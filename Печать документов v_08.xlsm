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gryKiwi\Desktop\Почта\"/>
    </mc:Choice>
  </mc:AlternateContent>
  <xr:revisionPtr revIDLastSave="0" documentId="13_ncr:1_{C9BD83CA-C614-477D-90B7-8D20A8A4570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Интерфейс" sheetId="1" r:id="rId1"/>
    <sheet name="Документ" sheetId="2" r:id="rId2"/>
    <sheet name="реестр" sheetId="5" r:id="rId3"/>
    <sheet name="db" sheetId="6" r:id="rId4"/>
    <sheet name="annatation" sheetId="4" r:id="rId5"/>
  </sheets>
  <functionGroups builtInGroupCount="19"/>
  <definedNames>
    <definedName name="Адрес">Документ!$F$3</definedName>
    <definedName name="Адресат">Документ!$F$2</definedName>
    <definedName name="ИО">Документ!$D$9</definedName>
    <definedName name="КрСт">Документ!$C$22</definedName>
    <definedName name="Преамбула" localSheetId="1">Документ!$A$11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7" i="2" l="1"/>
  <c r="A34" i="2"/>
  <c r="A11" i="2"/>
  <c r="D3" i="5"/>
  <c r="D4" i="5"/>
  <c r="D5" i="5"/>
  <c r="D2" i="5"/>
  <c r="F3" i="2"/>
  <c r="F2" i="2"/>
  <c r="D2" i="1"/>
  <c r="H5" i="2" s="1"/>
  <c r="E8" i="1"/>
  <c r="A27" i="2"/>
  <c r="A26" i="2"/>
  <c r="A22" i="2"/>
  <c r="A21" i="2"/>
  <c r="B4" i="1"/>
  <c r="B10" i="1"/>
  <c r="D9" i="2"/>
  <c r="C4" i="1"/>
  <c r="C10" i="1" a="1"/>
  <c r="C10" i="1" l="1"/>
  <c r="A1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<sst xmlns="http://schemas.openxmlformats.org/spreadsheetml/2006/main" count="1197" uniqueCount="630">
  <si>
    <t>ФИО</t>
  </si>
  <si>
    <t>№ Договора</t>
  </si>
  <si>
    <t>Мачуришвили Ольга Евгеньевна</t>
  </si>
  <si>
    <t>204З24/6</t>
  </si>
  <si>
    <t>Дата Договора</t>
  </si>
  <si>
    <t>КПК</t>
  </si>
  <si>
    <t>Оплатить До</t>
  </si>
  <si>
    <t>Стимул</t>
  </si>
  <si>
    <t>Сумма ПЗ</t>
  </si>
  <si>
    <t>Просроченный ОД</t>
  </si>
  <si>
    <t>Просроченные %</t>
  </si>
  <si>
    <t>Просроченные Пени</t>
  </si>
  <si>
    <t>ЧВ</t>
  </si>
  <si>
    <t>Полное погашение</t>
  </si>
  <si>
    <t>Остаток ОД</t>
  </si>
  <si>
    <t>Костромская обл  г Галич  ул Свободы д.16 кв.6</t>
  </si>
  <si>
    <t>АДРЕС РЕГИСТРАЦИИ</t>
  </si>
  <si>
    <t>ИНДЕКС (АР)</t>
  </si>
  <si>
    <t>ИНДЕКС (ФА)</t>
  </si>
  <si>
    <t>ФАКТИЧЕСКИЙ АДРЕС</t>
  </si>
  <si>
    <t>УВЕДОМЛЕНИЕ</t>
  </si>
  <si>
    <t>ПОЛ</t>
  </si>
  <si>
    <t>Ж</t>
  </si>
  <si>
    <t>Срок Просрочки</t>
  </si>
  <si>
    <t>Переменная</t>
  </si>
  <si>
    <t>Значение</t>
  </si>
  <si>
    <t>ФИО заемщика</t>
  </si>
  <si>
    <t>Адрес регистрации заемщика</t>
  </si>
  <si>
    <t>{FIO}</t>
  </si>
  <si>
    <t>{IO}</t>
  </si>
  <si>
    <t>ИО заемщика</t>
  </si>
  <si>
    <t>{agent}</t>
  </si>
  <si>
    <t>Общество с ограниченной ответственностью «ПРОФЕССИОНАЛЬНАЯ КОЛЛЕКТОРСКАЯ ОРГАНИЗАЦИЯ «ШАМИЛЬ И ПАРТНЕРЫ» (далее  - ООО ПКО «ШИП»)</t>
  </si>
  <si>
    <t>{creditor}</t>
  </si>
  <si>
    <t>Займодавец</t>
  </si>
  <si>
    <t>Номер договора</t>
  </si>
  <si>
    <t>Дата договора</t>
  </si>
  <si>
    <t>{date}</t>
  </si>
  <si>
    <t>Дата уведомления</t>
  </si>
  <si>
    <t>{loan_number}</t>
  </si>
  <si>
    <t>{loan_date}</t>
  </si>
  <si>
    <t>{days_overdue}</t>
  </si>
  <si>
    <t>{sum_dept}</t>
  </si>
  <si>
    <t>{agent_abbreviated_name}</t>
  </si>
  <si>
    <t>ООО ПКО «ШИП»</t>
  </si>
  <si>
    <t>Количество дней просрочки</t>
  </si>
  <si>
    <t>Сумма задолженности</t>
  </si>
  <si>
    <t>{address}</t>
  </si>
  <si>
    <t>Сумма долга текст</t>
  </si>
  <si>
    <t>Дата отправки</t>
  </si>
  <si>
    <t>Полный адрес</t>
  </si>
  <si>
    <t>Сумма Текст</t>
  </si>
  <si>
    <t>Проср ОД</t>
  </si>
  <si>
    <t>Проср %</t>
  </si>
  <si>
    <t>Проср Пени</t>
  </si>
  <si>
    <t>ЧленВзн</t>
  </si>
  <si>
    <t>Адрес</t>
  </si>
  <si>
    <t>ШиП</t>
  </si>
  <si>
    <t> Новости</t>
  </si>
  <si>
    <t> Входящие</t>
  </si>
  <si>
    <t> Судебка</t>
  </si>
  <si>
    <t> Досудебка</t>
  </si>
  <si>
    <t> Импорт</t>
  </si>
  <si>
    <t> Экспорт</t>
  </si>
  <si>
    <t> Журнал</t>
  </si>
  <si>
    <t> Парсеры</t>
  </si>
  <si>
    <t> Выход</t>
  </si>
  <si>
    <t>Досудебка</t>
  </si>
  <si>
    <t> Клиент : ALL Статус : ALL Сумма задолженности : ALL Кол-во дней просрочки : ALL КПК : ALL Задачи : ALL Всего : 263</t>
  </si>
  <si>
    <t>Search:</t>
  </si>
  <si>
    <t>ID</t>
  </si>
  <si>
    <t>Общая сумма задолженности</t>
  </si>
  <si>
    <t>Кол-во дней просрочки</t>
  </si>
  <si>
    <t>Текущее время у клиента</t>
  </si>
  <si>
    <t>Дата последнего контакта</t>
  </si>
  <si>
    <t>Название последнего статуса</t>
  </si>
  <si>
    <t>Задача</t>
  </si>
  <si>
    <t>Выгозерский</t>
  </si>
  <si>
    <t>Няттиева Любовь Владимировна</t>
  </si>
  <si>
    <t>111661.54</t>
  </si>
  <si>
    <t>Таймзона не указана</t>
  </si>
  <si>
    <t>Неконтактный</t>
  </si>
  <si>
    <t>Вельский</t>
  </si>
  <si>
    <t>Емельянова Ольга Сергеевна</t>
  </si>
  <si>
    <t>114602.12</t>
  </si>
  <si>
    <t>Бароян Елена Владимировна</t>
  </si>
  <si>
    <t>170091.62</t>
  </si>
  <si>
    <t>Контактный</t>
  </si>
  <si>
    <t>Няттиев Тимофей Петрович</t>
  </si>
  <si>
    <t>79928.03</t>
  </si>
  <si>
    <t>Апатиты-кредит</t>
  </si>
  <si>
    <t>Кузьмин Сергей Александрович</t>
  </si>
  <si>
    <t>85627.26</t>
  </si>
  <si>
    <t>Коновалова Галина Григорьевна</t>
  </si>
  <si>
    <t>87969.40</t>
  </si>
  <si>
    <t>Малков Егор Владимирович</t>
  </si>
  <si>
    <t>76077.53</t>
  </si>
  <si>
    <t>Черпухина Ирина Николаевна</t>
  </si>
  <si>
    <t>144976.02</t>
  </si>
  <si>
    <t>КредТорг</t>
  </si>
  <si>
    <t>Потешкина Мария Вячеславовна</t>
  </si>
  <si>
    <t>68369.54</t>
  </si>
  <si>
    <t>Наумова Елена Васильевна</t>
  </si>
  <si>
    <t>192354.07</t>
  </si>
  <si>
    <t>Банкрот</t>
  </si>
  <si>
    <t>Доронина Мария Николаевна</t>
  </si>
  <si>
    <t>95287.90</t>
  </si>
  <si>
    <t>Выгозерский КПК Выгозерский</t>
  </si>
  <si>
    <t>Лукашевич Екатерина Сергеевна</t>
  </si>
  <si>
    <t>63607.61</t>
  </si>
  <si>
    <t>Рыбин Юрий Александрович</t>
  </si>
  <si>
    <t>173630.44</t>
  </si>
  <si>
    <t>Ковалева Валентина Геннадьевна</t>
  </si>
  <si>
    <t>40610.51</t>
  </si>
  <si>
    <t>Капустина Галина Валерьевна</t>
  </si>
  <si>
    <t>56201.00</t>
  </si>
  <si>
    <t>Максимова Людмила Васильевна</t>
  </si>
  <si>
    <t>38915.48</t>
  </si>
  <si>
    <t>Лукинская Валентина Ивановна</t>
  </si>
  <si>
    <t>71378.00</t>
  </si>
  <si>
    <t>Фролов Евгений Николаевич</t>
  </si>
  <si>
    <t>32562.80</t>
  </si>
  <si>
    <t>Серова Юлия Валентиновна</t>
  </si>
  <si>
    <t>52124.00</t>
  </si>
  <si>
    <t>Кузнецова Людмила Владимировна</t>
  </si>
  <si>
    <t>28639.40</t>
  </si>
  <si>
    <t>Турусова Светлана Николаевна</t>
  </si>
  <si>
    <t>103082.31</t>
  </si>
  <si>
    <t>Денисюк Елена Ивановна</t>
  </si>
  <si>
    <t>130356.00</t>
  </si>
  <si>
    <t>Горельченкова Елена Анатольевна</t>
  </si>
  <si>
    <t>55591.60</t>
  </si>
  <si>
    <t>Ляпин Александр Яковлевич</t>
  </si>
  <si>
    <t>369841.38</t>
  </si>
  <si>
    <t>Ляпина Наталья Юрьевна</t>
  </si>
  <si>
    <t>401964.05</t>
  </si>
  <si>
    <t>Барцев Алексей Сергеевич</t>
  </si>
  <si>
    <t>22636.80</t>
  </si>
  <si>
    <t>Красушкин Иван Сергеевич</t>
  </si>
  <si>
    <t>63124.29</t>
  </si>
  <si>
    <t>Акулов Вячеслав Юрьевич</t>
  </si>
  <si>
    <t>41910.00</t>
  </si>
  <si>
    <t>Губарева Светлана Сергеевна</t>
  </si>
  <si>
    <t>141655.84</t>
  </si>
  <si>
    <t>Коломиец Сергей Николаевич</t>
  </si>
  <si>
    <t>57424.37</t>
  </si>
  <si>
    <t>Рачкова Анна Ивановна</t>
  </si>
  <si>
    <t>109343.86</t>
  </si>
  <si>
    <t>Козловский Олег Викторович</t>
  </si>
  <si>
    <t>6268.00</t>
  </si>
  <si>
    <t>Подушкина Любовь Вячеславовна</t>
  </si>
  <si>
    <t>62578.90</t>
  </si>
  <si>
    <t>Беремеш Виктор Григорьевич</t>
  </si>
  <si>
    <t>61512.17</t>
  </si>
  <si>
    <t>Маслов Виталий Юрьевич</t>
  </si>
  <si>
    <t>29424.00</t>
  </si>
  <si>
    <t>Бушуева Надежда Алексеевна</t>
  </si>
  <si>
    <t>48115.60</t>
  </si>
  <si>
    <t>Бронникова Надежда Васильевна</t>
  </si>
  <si>
    <t>64598.00</t>
  </si>
  <si>
    <t>Ступак Вадим Олегович</t>
  </si>
  <si>
    <t>128687.36</t>
  </si>
  <si>
    <t>Калинина Виталина Александровна</t>
  </si>
  <si>
    <t>20205.80</t>
  </si>
  <si>
    <t>Ершова Евгения Евгеньевна</t>
  </si>
  <si>
    <t>42906.00</t>
  </si>
  <si>
    <t>Комаров Сергей Александрович</t>
  </si>
  <si>
    <t>56587.21</t>
  </si>
  <si>
    <t>Вельгина Ольга Геннадьевна</t>
  </si>
  <si>
    <t>239290.06</t>
  </si>
  <si>
    <t>Кондратюк Елена Иосифовна</t>
  </si>
  <si>
    <t>33709.20</t>
  </si>
  <si>
    <t>Рыбакова Елена Валерьевна</t>
  </si>
  <si>
    <t>91722.34</t>
  </si>
  <si>
    <t>Леготин Леонид Александрович</t>
  </si>
  <si>
    <t>21247.00</t>
  </si>
  <si>
    <t>Леу Людмила Александровна</t>
  </si>
  <si>
    <t>37061.92</t>
  </si>
  <si>
    <t>Березуева Любовь Викторовна</t>
  </si>
  <si>
    <t>119423.78</t>
  </si>
  <si>
    <t>Пецык Олег Сергеевич</t>
  </si>
  <si>
    <t>211544.82</t>
  </si>
  <si>
    <t>Кузнецова Юлия Валерьевна</t>
  </si>
  <si>
    <t>81157.08</t>
  </si>
  <si>
    <t>Сахновский Георгий Витальевич</t>
  </si>
  <si>
    <t>588362.39</t>
  </si>
  <si>
    <t>Передан от Клиента</t>
  </si>
  <si>
    <t>Колотова Светлана Владимировна</t>
  </si>
  <si>
    <t>28104.00</t>
  </si>
  <si>
    <t>Глебова Анна Сергеевна</t>
  </si>
  <si>
    <t>60678.00</t>
  </si>
  <si>
    <t>Алибаев Серик Тумгушпаевич</t>
  </si>
  <si>
    <t>94762.61</t>
  </si>
  <si>
    <t>Федотова Марина Петровна</t>
  </si>
  <si>
    <t>48368.40</t>
  </si>
  <si>
    <t>Гонтарь Денис Васильевич</t>
  </si>
  <si>
    <t>84695.00</t>
  </si>
  <si>
    <t>Ларченко Алла Михайловна</t>
  </si>
  <si>
    <t>13021.64</t>
  </si>
  <si>
    <t>Самойлов Иван Андреевич</t>
  </si>
  <si>
    <t>146680.72</t>
  </si>
  <si>
    <t>Неруцких Елена Павловна</t>
  </si>
  <si>
    <t>14767.00</t>
  </si>
  <si>
    <t>Волкова Людмила Сергеевна</t>
  </si>
  <si>
    <t>234144.78</t>
  </si>
  <si>
    <t>Тестова Надежда Геннадьевна</t>
  </si>
  <si>
    <t>77910.07</t>
  </si>
  <si>
    <t>Чапля Валентина Ивановна</t>
  </si>
  <si>
    <t>40052.00</t>
  </si>
  <si>
    <t>Махкамова Раксана Рустамовна</t>
  </si>
  <si>
    <t>18054.40</t>
  </si>
  <si>
    <t>Кузнецова Марина Викторовна</t>
  </si>
  <si>
    <t>29216.20</t>
  </si>
  <si>
    <t>Соколов Александр Владимирович</t>
  </si>
  <si>
    <t>69014.00</t>
  </si>
  <si>
    <t>Бронзова Ольга Владимировна</t>
  </si>
  <si>
    <t>26592.80</t>
  </si>
  <si>
    <t>Загоруйко Сергей Яковлевич</t>
  </si>
  <si>
    <t>154585.64</t>
  </si>
  <si>
    <t>Янушонис Павел Анатольевич</t>
  </si>
  <si>
    <t>55944.33</t>
  </si>
  <si>
    <t>Петров Георгий Александрович</t>
  </si>
  <si>
    <t>255342.16</t>
  </si>
  <si>
    <t>Пелёвина Светлана Юрьевна</t>
  </si>
  <si>
    <t>77688.60</t>
  </si>
  <si>
    <t>Иванова Ирина Александровна</t>
  </si>
  <si>
    <t>16283.00</t>
  </si>
  <si>
    <t>Черноусова Мария Николаевна</t>
  </si>
  <si>
    <t>108841.52</t>
  </si>
  <si>
    <t>Бронникова Ольга Леонидовна</t>
  </si>
  <si>
    <t>47783.00</t>
  </si>
  <si>
    <t>Вельгин Константин Анатольевич</t>
  </si>
  <si>
    <t>157309.00</t>
  </si>
  <si>
    <t>Панфиленко Татьяна Вениаминовна</t>
  </si>
  <si>
    <t>22591.80</t>
  </si>
  <si>
    <t>Гуров Алексей Сергеевич</t>
  </si>
  <si>
    <t>43480.00</t>
  </si>
  <si>
    <t>Зубовская Алена Александровна</t>
  </si>
  <si>
    <t>23848.00</t>
  </si>
  <si>
    <t>Самученко Сергей Валерьевич</t>
  </si>
  <si>
    <t>45913.00</t>
  </si>
  <si>
    <t>Романов Егор Романович</t>
  </si>
  <si>
    <t>51634.10</t>
  </si>
  <si>
    <t>Списание пени</t>
  </si>
  <si>
    <t>Афанасенкова Юлия Тимофеевна</t>
  </si>
  <si>
    <t>70560.84</t>
  </si>
  <si>
    <t>Нестеров Евгений Анатольевич</t>
  </si>
  <si>
    <t>158514.51</t>
  </si>
  <si>
    <t>Пантелеев Андрей Эдуардович</t>
  </si>
  <si>
    <t>27822.38</t>
  </si>
  <si>
    <t>Тотменин Евгений Александрович</t>
  </si>
  <si>
    <t>32644.40</t>
  </si>
  <si>
    <t>Тихомирова Светлана Викторовна</t>
  </si>
  <si>
    <t>29246.00</t>
  </si>
  <si>
    <t>Желдак Елена Алексеевна</t>
  </si>
  <si>
    <t>32191.00</t>
  </si>
  <si>
    <t>Соколова Юлия Викторовна</t>
  </si>
  <si>
    <t>83778.96</t>
  </si>
  <si>
    <t>Касьянова Татьяна Анатольевна</t>
  </si>
  <si>
    <t>90228.60</t>
  </si>
  <si>
    <t>Киятова Надежда Евлампиевна</t>
  </si>
  <si>
    <t>81852.50</t>
  </si>
  <si>
    <t>Синицина Марина Николаевна</t>
  </si>
  <si>
    <t>17665.30</t>
  </si>
  <si>
    <t>Рыбина Наталья Николаевна</t>
  </si>
  <si>
    <t>227770.29</t>
  </si>
  <si>
    <t>Муравьёва Анна Александровна</t>
  </si>
  <si>
    <t>34748.00</t>
  </si>
  <si>
    <t>Белашова Оксана Александровна</t>
  </si>
  <si>
    <t>33942.73</t>
  </si>
  <si>
    <t>Баринова Наталья Семеновна</t>
  </si>
  <si>
    <t>160202.89</t>
  </si>
  <si>
    <t>Ларионов Андрей Викторович</t>
  </si>
  <si>
    <t>38480.00</t>
  </si>
  <si>
    <t>Лебедев Виталий Николаевич</t>
  </si>
  <si>
    <t>4484.00</t>
  </si>
  <si>
    <t>Полоневич Светлана Александровна</t>
  </si>
  <si>
    <t>119384.18</t>
  </si>
  <si>
    <t>Маратканов Николай Иванович</t>
  </si>
  <si>
    <t>75511.00</t>
  </si>
  <si>
    <t>Верещагина Татьяна Александровна</t>
  </si>
  <si>
    <t>11996.00</t>
  </si>
  <si>
    <t>Звир Максим Васильевич</t>
  </si>
  <si>
    <t>42961.68</t>
  </si>
  <si>
    <t>Павлов Петр Валерианович</t>
  </si>
  <si>
    <t>20835.00</t>
  </si>
  <si>
    <t>Чебан Ольга Викторовна</t>
  </si>
  <si>
    <t>29358.00</t>
  </si>
  <si>
    <t>Сафронов Александр Владимирович</t>
  </si>
  <si>
    <t>64672.00</t>
  </si>
  <si>
    <t>Алексеенко Роман Владимирович</t>
  </si>
  <si>
    <t>19088.00</t>
  </si>
  <si>
    <t>Протас Анна Викторовна</t>
  </si>
  <si>
    <t>55872.78</t>
  </si>
  <si>
    <t>Кирилов Юрий Алексеевич</t>
  </si>
  <si>
    <t>90216.22</t>
  </si>
  <si>
    <t>Огар Игорь Мирославович</t>
  </si>
  <si>
    <t>101623.65</t>
  </si>
  <si>
    <t>Балицкий Сергей Максимович</t>
  </si>
  <si>
    <t>7064.41</t>
  </si>
  <si>
    <t>Андронова Людмила Васильевна</t>
  </si>
  <si>
    <t>16212.56</t>
  </si>
  <si>
    <t>Карпова Елена Николаевна</t>
  </si>
  <si>
    <t>8641.98</t>
  </si>
  <si>
    <t>Иванов Александр Геннадьевич</t>
  </si>
  <si>
    <t>22262.00</t>
  </si>
  <si>
    <t>Соболев Андрей Юрьевич</t>
  </si>
  <si>
    <t>55052.49</t>
  </si>
  <si>
    <t>Юрина Наталья Александровна</t>
  </si>
  <si>
    <t>18782.00</t>
  </si>
  <si>
    <t>Исакова Светлана Леонидовна</t>
  </si>
  <si>
    <t>51892.39</t>
  </si>
  <si>
    <t>Кузнецова Ольга Сергеевна</t>
  </si>
  <si>
    <t>28270.80</t>
  </si>
  <si>
    <t>Булаева Тамара Валерьевна</t>
  </si>
  <si>
    <t>23938.00</t>
  </si>
  <si>
    <t>Микитюк Сергей Тимофеевич</t>
  </si>
  <si>
    <t>19427.80</t>
  </si>
  <si>
    <t>Тойкка Андрей Владимирович</t>
  </si>
  <si>
    <t>174431.61</t>
  </si>
  <si>
    <t>Щелованова Елена Павловна</t>
  </si>
  <si>
    <t>20303.00</t>
  </si>
  <si>
    <t>Егоров Андрей Анатольевич</t>
  </si>
  <si>
    <t>90927.21</t>
  </si>
  <si>
    <t>Глуховская Анна Юрьевна</t>
  </si>
  <si>
    <t>90614.49</t>
  </si>
  <si>
    <t>Богомолов Александр Валерьевич</t>
  </si>
  <si>
    <t>79711.87</t>
  </si>
  <si>
    <t>Ельцова Наталья Никифоровна</t>
  </si>
  <si>
    <t>58744.27</t>
  </si>
  <si>
    <t>Тунгусова Надежда Николаевна</t>
  </si>
  <si>
    <t>17878.00</t>
  </si>
  <si>
    <t>Суханов Иван Андреевич</t>
  </si>
  <si>
    <t>45509.05</t>
  </si>
  <si>
    <t>Шайкина Ирина Константиновна</t>
  </si>
  <si>
    <t>30705.60</t>
  </si>
  <si>
    <t>Журавлев Даниил Игоревич</t>
  </si>
  <si>
    <t>31366.00</t>
  </si>
  <si>
    <t>Горохов Александр Владимирович</t>
  </si>
  <si>
    <t>23203.76</t>
  </si>
  <si>
    <t>Воеводина Светлана Сергеевна</t>
  </si>
  <si>
    <t>62600.63</t>
  </si>
  <si>
    <t>Алексеев Михаил Вячеславович</t>
  </si>
  <si>
    <t>48328.64</t>
  </si>
  <si>
    <t>Ковалева Нина Матвеевна</t>
  </si>
  <si>
    <t>28424.00</t>
  </si>
  <si>
    <t>Чебаевская Елена Николаевна</t>
  </si>
  <si>
    <t>102339.69</t>
  </si>
  <si>
    <t>Жукова Тамара Павловна</t>
  </si>
  <si>
    <t>50255.45</t>
  </si>
  <si>
    <t>Брагин Василий Николаевич</t>
  </si>
  <si>
    <t>60174.13</t>
  </si>
  <si>
    <t>Сидорова Елена Лонгьевна</t>
  </si>
  <si>
    <t>17674.20</t>
  </si>
  <si>
    <t>Малафеев Владимир Леонидович</t>
  </si>
  <si>
    <t>31848.40</t>
  </si>
  <si>
    <t>Сахипов Максим Игоревич</t>
  </si>
  <si>
    <t>6790.00</t>
  </si>
  <si>
    <t>Паньков Яков Витальевич</t>
  </si>
  <si>
    <t>56683.14</t>
  </si>
  <si>
    <t>Самохвал Михаил Николаевич</t>
  </si>
  <si>
    <t>88141.27</t>
  </si>
  <si>
    <t>Чёрный Василий Сергеевич</t>
  </si>
  <si>
    <t>20310.00</t>
  </si>
  <si>
    <t>Петрова Татьяна Петровна</t>
  </si>
  <si>
    <t>92236.06</t>
  </si>
  <si>
    <t>Паньшина Екатерина Олеговна</t>
  </si>
  <si>
    <t>81171.45</t>
  </si>
  <si>
    <t>Остроумов Алексей Владимирович</t>
  </si>
  <si>
    <t>25792.00</t>
  </si>
  <si>
    <t>Тимошичев Иван Александрович</t>
  </si>
  <si>
    <t>136064.34</t>
  </si>
  <si>
    <t>Гурьева Таисья Николаевна</t>
  </si>
  <si>
    <t>148174.53</t>
  </si>
  <si>
    <t>Ларин Александр Иванович</t>
  </si>
  <si>
    <t>33361.00</t>
  </si>
  <si>
    <t>Стрельникова Оксана Сергеевна</t>
  </si>
  <si>
    <t>64547.61</t>
  </si>
  <si>
    <t>Кондратьев Михаил Сергеевич</t>
  </si>
  <si>
    <t>3527.00</t>
  </si>
  <si>
    <t>Балынский Илья Андреевич</t>
  </si>
  <si>
    <t>22672.00</t>
  </si>
  <si>
    <t>Прудников Иван Федорович</t>
  </si>
  <si>
    <t>123018.79</t>
  </si>
  <si>
    <t>Купцов Валерий Николаевич</t>
  </si>
  <si>
    <t>45110.36</t>
  </si>
  <si>
    <t>Брату Николай Викторович</t>
  </si>
  <si>
    <t>125524.59</t>
  </si>
  <si>
    <t>Баранов Виталий Вячеславович</t>
  </si>
  <si>
    <t>361888.00</t>
  </si>
  <si>
    <t>Буракова Любовь Николаевна</t>
  </si>
  <si>
    <t>107173.05</t>
  </si>
  <si>
    <t>Лесонен Елена Николаевна</t>
  </si>
  <si>
    <t>48196.23</t>
  </si>
  <si>
    <t>Зубов Руслан Александрович</t>
  </si>
  <si>
    <t>62793.10</t>
  </si>
  <si>
    <t>Захарченко Александр Сергеевич</t>
  </si>
  <si>
    <t>43002.02</t>
  </si>
  <si>
    <t>Крылова Марина Валерьевна</t>
  </si>
  <si>
    <t>72119.73</t>
  </si>
  <si>
    <t>Худякова Алевтина Алексеевна</t>
  </si>
  <si>
    <t>44203.45</t>
  </si>
  <si>
    <t>Николаева Марина Алексеевна</t>
  </si>
  <si>
    <t>70082.19</t>
  </si>
  <si>
    <t>Ермилова Ирина Леонидовна</t>
  </si>
  <si>
    <t>71568.81</t>
  </si>
  <si>
    <t>Жолобова Анна Михайловна</t>
  </si>
  <si>
    <t>97306.03</t>
  </si>
  <si>
    <t>Крылов Евгений Сергеевич</t>
  </si>
  <si>
    <t>73643.03</t>
  </si>
  <si>
    <t>Каширина Жанна Игоревна</t>
  </si>
  <si>
    <t>14076.00</t>
  </si>
  <si>
    <t>Соколов Владимир Борисович</t>
  </si>
  <si>
    <t>14978.00</t>
  </si>
  <si>
    <t>Братко Алексей Владимирович</t>
  </si>
  <si>
    <t>55687.30</t>
  </si>
  <si>
    <t>Бобров Андрей Александрович</t>
  </si>
  <si>
    <t>12437.89</t>
  </si>
  <si>
    <t>Обещание об оплате</t>
  </si>
  <si>
    <t>Богдашевский Валентин Станиславович</t>
  </si>
  <si>
    <t>50826.57</t>
  </si>
  <si>
    <t>Воронцова Наталья Михайловна</t>
  </si>
  <si>
    <t>15762.85</t>
  </si>
  <si>
    <t>Цыпухина Мария Сергеевна</t>
  </si>
  <si>
    <t>23129.00</t>
  </si>
  <si>
    <t>Воронова Ольга Станиславовна</t>
  </si>
  <si>
    <t>11180.00</t>
  </si>
  <si>
    <t>Олликайнен Павел Евгеньевич</t>
  </si>
  <si>
    <t>12063.00</t>
  </si>
  <si>
    <t>Мамедова Гюляр Чингиз Кызы</t>
  </si>
  <si>
    <t>29615.00</t>
  </si>
  <si>
    <t>Логинова Галина Николаевна</t>
  </si>
  <si>
    <t>76045.99</t>
  </si>
  <si>
    <t>Мартюшова Марина Алексеевна</t>
  </si>
  <si>
    <t>14570.00</t>
  </si>
  <si>
    <t>Сычёв Александр Леонидович</t>
  </si>
  <si>
    <t>151532.90</t>
  </si>
  <si>
    <t>Позвонить в дату:15.04.2025</t>
  </si>
  <si>
    <t>Глушкова Елена Валентиновна</t>
  </si>
  <si>
    <t>79494.30</t>
  </si>
  <si>
    <t>Аникина Мария Сергеевна</t>
  </si>
  <si>
    <t>14125.00</t>
  </si>
  <si>
    <t>Лопата Раиса Ивановна</t>
  </si>
  <si>
    <t>64637.95</t>
  </si>
  <si>
    <t>Стасев Алексей Васильевич</t>
  </si>
  <si>
    <t>45550.95</t>
  </si>
  <si>
    <t>Талашкевич Артур Александрович</t>
  </si>
  <si>
    <t>79686.81</t>
  </si>
  <si>
    <t>Митрошенко Игорь Иванович</t>
  </si>
  <si>
    <t>50889.73</t>
  </si>
  <si>
    <t>Моисеева Элеонора Олгертовна</t>
  </si>
  <si>
    <t>25782.49</t>
  </si>
  <si>
    <t>Камелов Андрей Альбертович</t>
  </si>
  <si>
    <t>23186.20</t>
  </si>
  <si>
    <t>Ефимова Надежда Леонидовна</t>
  </si>
  <si>
    <t>41905.15</t>
  </si>
  <si>
    <t>Угарова Надежда Борисовна</t>
  </si>
  <si>
    <t>27470.57</t>
  </si>
  <si>
    <t>Волкова Любовь Анатольевна</t>
  </si>
  <si>
    <t>17991.80</t>
  </si>
  <si>
    <t>Виноградов Алексей Витальевич</t>
  </si>
  <si>
    <t>68212.44</t>
  </si>
  <si>
    <t>Шарыгина Елена Николаевна</t>
  </si>
  <si>
    <t>50423.04</t>
  </si>
  <si>
    <t>Петушков Алексей Александрович</t>
  </si>
  <si>
    <t>3029.60</t>
  </si>
  <si>
    <t>Судовых Олег Владимирович</t>
  </si>
  <si>
    <t>20965.45</t>
  </si>
  <si>
    <t>Артамонова Александра Николаевна</t>
  </si>
  <si>
    <t>15268.47</t>
  </si>
  <si>
    <t>Каменских Ольга Викторовна</t>
  </si>
  <si>
    <t>42743.21</t>
  </si>
  <si>
    <t>Шеховцова Марина Андреевна</t>
  </si>
  <si>
    <t>24817.00</t>
  </si>
  <si>
    <t>Семакова Ирина Геннадьевна</t>
  </si>
  <si>
    <t>18537.00</t>
  </si>
  <si>
    <t>Пролеев Николай Александрович</t>
  </si>
  <si>
    <t>24348.40</t>
  </si>
  <si>
    <t>Лобанова Галина Михайловна</t>
  </si>
  <si>
    <t>26571.31</t>
  </si>
  <si>
    <t>Панфилова Татьяна Юрьевна</t>
  </si>
  <si>
    <t>32795.73</t>
  </si>
  <si>
    <t>Голубев Владислав Сергеевич</t>
  </si>
  <si>
    <t>32283.26</t>
  </si>
  <si>
    <t>Родькина Елена Николаевна</t>
  </si>
  <si>
    <t>84735.81</t>
  </si>
  <si>
    <t>Малютина Светлана Сергеевна</t>
  </si>
  <si>
    <t>7506.92</t>
  </si>
  <si>
    <t>Логинов Дмитрий Юрьевич</t>
  </si>
  <si>
    <t>1585.20</t>
  </si>
  <si>
    <t>Благовещенская Юлия Владимировна</t>
  </si>
  <si>
    <t>134771.04</t>
  </si>
  <si>
    <t>Казаковцева Екатерина Сергеевна</t>
  </si>
  <si>
    <t>31855.55</t>
  </si>
  <si>
    <t>Лебедева Вера Лазаревна</t>
  </si>
  <si>
    <t>28787.60</t>
  </si>
  <si>
    <t>Шамирьян Елена Александровна</t>
  </si>
  <si>
    <t>25604.17</t>
  </si>
  <si>
    <t>Гречина Елена Николаевна</t>
  </si>
  <si>
    <t>21669.73</t>
  </si>
  <si>
    <t>Белозеров Роман Сергеевич</t>
  </si>
  <si>
    <t>12448.31</t>
  </si>
  <si>
    <t>Маркин Эдуард Владимирович</t>
  </si>
  <si>
    <t>43225.96</t>
  </si>
  <si>
    <t>Березина Юлия Викторовна</t>
  </si>
  <si>
    <t>31160.72</t>
  </si>
  <si>
    <t>Мелентьев Алексей Николаевич</t>
  </si>
  <si>
    <t>33534.56</t>
  </si>
  <si>
    <t>Никулина Галина Робертовна</t>
  </si>
  <si>
    <t>65729.37</t>
  </si>
  <si>
    <t>Рудный Роман Викторович</t>
  </si>
  <si>
    <t>43345.58</t>
  </si>
  <si>
    <t>Казанков Дмитрий Анатольевич</t>
  </si>
  <si>
    <t>11562.00</t>
  </si>
  <si>
    <t>Волков Сергей Николаевич</t>
  </si>
  <si>
    <t>8077.00</t>
  </si>
  <si>
    <t>Саткевич Николай Николаевич</t>
  </si>
  <si>
    <t>4007.40</t>
  </si>
  <si>
    <t>Карлин Алексей Александрович</t>
  </si>
  <si>
    <t>39135.48</t>
  </si>
  <si>
    <t>Кондаков Дмитрий Михайлович</t>
  </si>
  <si>
    <t>16913.56</t>
  </si>
  <si>
    <t>Морозова Ольга Анатольевна</t>
  </si>
  <si>
    <t>14414.00</t>
  </si>
  <si>
    <t>Перевезенцев Евгений Викторович</t>
  </si>
  <si>
    <t>8795.00</t>
  </si>
  <si>
    <t>Кошутина Ульяна Валерьевна</t>
  </si>
  <si>
    <t>36262.75</t>
  </si>
  <si>
    <t>Кучумова Людмила Ростиславовна</t>
  </si>
  <si>
    <t>15074.03</t>
  </si>
  <si>
    <t>Ченушкин Алексей Васильевич</t>
  </si>
  <si>
    <t>40461.21</t>
  </si>
  <si>
    <t>Фролов Алексей Павлович</t>
  </si>
  <si>
    <t>24984.66</t>
  </si>
  <si>
    <t>Долгополов Евгений Викторович</t>
  </si>
  <si>
    <t>6023.00</t>
  </si>
  <si>
    <t>Кулиненко Ольга Евгеньевна</t>
  </si>
  <si>
    <t>52069.75</t>
  </si>
  <si>
    <t>Ващенко Диана Анатольевна</t>
  </si>
  <si>
    <t>17697.96</t>
  </si>
  <si>
    <t>Рощина Татьяна Михайловна</t>
  </si>
  <si>
    <t>43712.62</t>
  </si>
  <si>
    <t>Головина Мария Михайловна</t>
  </si>
  <si>
    <t>18647.98</t>
  </si>
  <si>
    <t>Неказаков Александр Васильевич</t>
  </si>
  <si>
    <t>23085.90</t>
  </si>
  <si>
    <t>Ферына Татьяна Сергеевна</t>
  </si>
  <si>
    <t>59669.26</t>
  </si>
  <si>
    <t>Заозерская Светлана Даниловна</t>
  </si>
  <si>
    <t>5947.41</t>
  </si>
  <si>
    <t>Бессмертная Галина Ивановна</t>
  </si>
  <si>
    <t>18479.29</t>
  </si>
  <si>
    <t>Юдинцев Василий Алексеевич</t>
  </si>
  <si>
    <t>5057.69</t>
  </si>
  <si>
    <t>Жидков Василий Вячеславович</t>
  </si>
  <si>
    <t>7130.00</t>
  </si>
  <si>
    <t>Паршуков Василий Александрович</t>
  </si>
  <si>
    <t>6858.00</t>
  </si>
  <si>
    <t>Жарков Антон Борисович</t>
  </si>
  <si>
    <t>9446.20</t>
  </si>
  <si>
    <t>Смыкова Наталья Андреевна</t>
  </si>
  <si>
    <t>99378.20</t>
  </si>
  <si>
    <t>Адамович Надежда Константиновна</t>
  </si>
  <si>
    <t>103206.49</t>
  </si>
  <si>
    <t>Широкова Ольга Борисовна</t>
  </si>
  <si>
    <t>8575.00</t>
  </si>
  <si>
    <t>Шумилова Галина Геннадьевна</t>
  </si>
  <si>
    <t>6203.00</t>
  </si>
  <si>
    <t>Ошес Инесса Сергеевна</t>
  </si>
  <si>
    <t>14541.20</t>
  </si>
  <si>
    <t>Литикова Елена Викторовна</t>
  </si>
  <si>
    <t>4925.07</t>
  </si>
  <si>
    <t>Журавлев Леонид Петрович</t>
  </si>
  <si>
    <t>10574.00</t>
  </si>
  <si>
    <t>Шарепа Александр Викторович</t>
  </si>
  <si>
    <t>6707.16</t>
  </si>
  <si>
    <t>Колесник Данил Андреевич</t>
  </si>
  <si>
    <t>8160.88</t>
  </si>
  <si>
    <t>Фурсов Василий Васильевич</t>
  </si>
  <si>
    <t>12840.14</t>
  </si>
  <si>
    <t>Спирова Марина Васильевна</t>
  </si>
  <si>
    <t>18922.75</t>
  </si>
  <si>
    <t>Токарева Светлана Александровна</t>
  </si>
  <si>
    <t>32908.10</t>
  </si>
  <si>
    <t>Васильев Прохор Владимирович</t>
  </si>
  <si>
    <t>4448.00</t>
  </si>
  <si>
    <t>Федоркова Валентина Владиславовна</t>
  </si>
  <si>
    <t>8403.40</t>
  </si>
  <si>
    <t>Тарасов Игорь Геннадьевич</t>
  </si>
  <si>
    <t>19814.03</t>
  </si>
  <si>
    <t>Мельник Людмила Васильевна</t>
  </si>
  <si>
    <t>7081.00</t>
  </si>
  <si>
    <t>Гуляев Александр Александрович</t>
  </si>
  <si>
    <t>15456.91</t>
  </si>
  <si>
    <t>Веснина Лариса Николаевна</t>
  </si>
  <si>
    <t>12635.32</t>
  </si>
  <si>
    <t>Суворова Ольга Сергеевна</t>
  </si>
  <si>
    <t>16779.53</t>
  </si>
  <si>
    <t>Малярова Раиса Ивановна</t>
  </si>
  <si>
    <t>8509.00</t>
  </si>
  <si>
    <t>Сидорчик Ирина Геннадиевна</t>
  </si>
  <si>
    <t>4393.00</t>
  </si>
  <si>
    <t>Бубнов Анатолий Сергеевич</t>
  </si>
  <si>
    <t>11235.06</t>
  </si>
  <si>
    <t>Уланова Людмила Михайловна</t>
  </si>
  <si>
    <t>18080.46</t>
  </si>
  <si>
    <t>Токарев Антон Владимирович</t>
  </si>
  <si>
    <t>27422.23</t>
  </si>
  <si>
    <t>Секарев Виталий Иванович</t>
  </si>
  <si>
    <t>9818.55</t>
  </si>
  <si>
    <t>Исаева Оксана Александровна</t>
  </si>
  <si>
    <t>10878.73</t>
  </si>
  <si>
    <t>Сапожникова Лариса Владимировна</t>
  </si>
  <si>
    <t>6809.16</t>
  </si>
  <si>
    <t>Постнова Любовь Викторовна</t>
  </si>
  <si>
    <t>2151.00</t>
  </si>
  <si>
    <t>2023 – 2025 © SHP</t>
  </si>
  <si>
    <t>Договор 1</t>
  </si>
  <si>
    <t>Договор 2</t>
  </si>
  <si>
    <t>Договор 3</t>
  </si>
  <si>
    <t>Договор 4</t>
  </si>
  <si>
    <t>101001, какой то адрес 1</t>
  </si>
  <si>
    <t>101001, какой то адрес 2</t>
  </si>
  <si>
    <t>101001, какой то адрес 3</t>
  </si>
  <si>
    <t>101001, какой то адрес 4</t>
  </si>
  <si>
    <t>27422,23</t>
  </si>
  <si>
    <t>9818,55</t>
  </si>
  <si>
    <t>10878,73</t>
  </si>
  <si>
    <t>6809,16</t>
  </si>
  <si>
    <t xml:space="preserve">        В случае непогашения Вами задолженности в установленный срок, Кредитор имеет право обратится в суд для взыскания вышеуказанной задолженности в принудительном порядке. С Вас могут быть взысканы все понесенные судебные издержки, включая расходы на представителей, в т.ч. ООО «ПКО «ШИП», нотариусов, судебных приставов-исполнителей, исполнительский сбор и оплату государственных пошлин. Иные ограничения предусмотренные Федеральным законом "Об исполнительном производстве" от 02.10.2007 N 229-ФЗ.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</si>
</sst>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₽_-;\-* #,##0.00\ _₽_-;_-* &quot;-&quot;??\ _₽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8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right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0" xfId="0" applyFont="1"/>
    <xf numFmtId="0" fontId="7" fillId="2" borderId="10" xfId="0" applyFont="1" applyFill="1" applyBorder="1" applyAlignment="1">
      <alignment vertical="center"/>
    </xf>
    <xf numFmtId="14" fontId="0" fillId="0" borderId="0" xfId="0" applyNumberFormat="1"/>
    <xf numFmtId="21" fontId="0" fillId="0" borderId="0" xfId="0" applyNumberFormat="1"/>
    <xf numFmtId="0" fontId="0" fillId="0" borderId="0" xfId="0" applyNumberFormat="1"/>
    <xf numFmtId="2" fontId="0" fillId="0" borderId="0" xfId="0" applyNumberFormat="1"/>
    <xf numFmtId="0" fontId="5" fillId="2" borderId="10" xfId="0" applyFont="1" applyFill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43" fontId="4" fillId="0" borderId="10" xfId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3" fillId="0" borderId="10" xfId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0" borderId="12" xfId="0" applyBorder="1"/>
    <xf numFmtId="0" fontId="5" fillId="2" borderId="12" xfId="0" applyFont="1" applyFill="1" applyBorder="1" applyAlignment="1">
      <alignment horizontal="center" vertical="center"/>
    </xf>
    <xf numFmtId="43" fontId="3" fillId="0" borderId="11" xfId="1" applyFont="1" applyBorder="1" applyAlignment="1">
      <alignment horizontal="center" vertical="center"/>
    </xf>
    <xf numFmtId="43" fontId="0" fillId="0" borderId="12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left" vertical="center" wrapText="1"/>
    </xf>
    <xf numFmtId="0" fontId="1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 wrapText="1"/>
    </xf>
    <xf numFmtId="0" fontId="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39</xdr:row>
      <xdr:rowOff>9525</xdr:rowOff>
    </xdr:from>
    <xdr:to>
      <xdr:col>8</xdr:col>
      <xdr:colOff>143654</xdr:colOff>
      <xdr:row>46</xdr:row>
      <xdr:rowOff>133553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FF9DB7C6-DD4E-4479-B264-80CB9B83D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24725"/>
          <a:ext cx="5582429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10"/>
  <sheetViews>
    <sheetView tabSelected="1" workbookViewId="0">
      <selection activeCell="H10" sqref="H10"/>
    </sheetView>
  </sheetViews>
  <sheetFormatPr defaultRowHeight="15" x14ac:dyDescent="0.25"/>
  <cols>
    <col min="1" max="1" width="34.5703125" bestFit="1" customWidth="1"/>
    <col min="2" max="2" width="26.85546875" bestFit="1" customWidth="1"/>
    <col min="3" max="3" width="26.28515625" bestFit="1" customWidth="1"/>
    <col min="4" max="4" width="26.85546875" bestFit="1" customWidth="1"/>
    <col min="5" max="5" width="19" customWidth="1"/>
  </cols>
  <sheetData>
    <row r="1" spans="1:5" ht="18.75" x14ac:dyDescent="0.25">
      <c r="A1" s="1" t="s">
        <v>0</v>
      </c>
      <c r="B1" s="2" t="s">
        <v>1</v>
      </c>
      <c r="C1" s="2" t="s">
        <v>4</v>
      </c>
      <c r="D1" s="2" t="s">
        <v>49</v>
      </c>
      <c r="E1" s="3" t="s">
        <v>21</v>
      </c>
    </row>
    <row r="2" spans="1:5" ht="30" customHeight="1" x14ac:dyDescent="0.25">
      <c r="A2" s="35" t="s">
        <v>2</v>
      </c>
      <c r="B2" s="9" t="s">
        <v>3</v>
      </c>
      <c r="C2" s="29">
        <v>45616</v>
      </c>
      <c r="D2" s="30">
        <f ca="1">TODAY()</f>
        <v>45762</v>
      </c>
      <c r="E2" s="36" t="s">
        <v>22</v>
      </c>
    </row>
    <row r="3" spans="1:5" ht="18.75" x14ac:dyDescent="0.25">
      <c r="A3" s="37" t="s">
        <v>5</v>
      </c>
      <c r="B3" s="28" t="s">
        <v>8</v>
      </c>
      <c r="C3" s="28" t="s">
        <v>13</v>
      </c>
      <c r="D3" s="28" t="s">
        <v>6</v>
      </c>
      <c r="E3" s="38"/>
    </row>
    <row r="4" spans="1:5" ht="30" customHeight="1" x14ac:dyDescent="0.25">
      <c r="A4" s="35" t="s">
        <v>7</v>
      </c>
      <c r="B4" s="31">
        <f>SUM(A6:D6)</f>
        <v>14530</v>
      </c>
      <c r="C4" s="32">
        <f>E6+SUM(B6:D6)-A6</f>
        <v>50769</v>
      </c>
      <c r="D4" s="29">
        <v>45767</v>
      </c>
      <c r="E4" s="38"/>
    </row>
    <row r="5" spans="1:5" ht="18.75" x14ac:dyDescent="0.25">
      <c r="A5" s="37" t="s">
        <v>9</v>
      </c>
      <c r="B5" s="28" t="s">
        <v>10</v>
      </c>
      <c r="C5" s="28" t="s">
        <v>11</v>
      </c>
      <c r="D5" s="28" t="s">
        <v>12</v>
      </c>
      <c r="E5" s="39" t="s">
        <v>14</v>
      </c>
    </row>
    <row r="6" spans="1:5" s="8" customFormat="1" ht="30" customHeight="1" x14ac:dyDescent="0.25">
      <c r="A6" s="40">
        <v>3177</v>
      </c>
      <c r="B6" s="33">
        <v>1210</v>
      </c>
      <c r="C6" s="33">
        <v>2343</v>
      </c>
      <c r="D6" s="33">
        <v>7800</v>
      </c>
      <c r="E6" s="41">
        <v>42593</v>
      </c>
    </row>
    <row r="7" spans="1:5" ht="18.75" x14ac:dyDescent="0.25">
      <c r="A7" s="37" t="s">
        <v>17</v>
      </c>
      <c r="B7" s="28" t="s">
        <v>16</v>
      </c>
      <c r="C7" s="28" t="s">
        <v>18</v>
      </c>
      <c r="D7" s="28" t="s">
        <v>19</v>
      </c>
      <c r="E7" s="39" t="s">
        <v>50</v>
      </c>
    </row>
    <row r="8" spans="1:5" s="8" customFormat="1" ht="30" customHeight="1" x14ac:dyDescent="0.25">
      <c r="A8" s="42">
        <v>157201</v>
      </c>
      <c r="B8" s="34" t="s">
        <v>15</v>
      </c>
      <c r="C8" s="29"/>
      <c r="D8" s="9"/>
      <c r="E8" s="43" t="str">
        <f>A8&amp;", "&amp;B8</f>
        <v>157201, Костромская обл  г Галич  ул Свободы д.16 кв.6</v>
      </c>
    </row>
    <row r="9" spans="1:5" ht="18.75" x14ac:dyDescent="0.25">
      <c r="A9" s="46" t="s">
        <v>23</v>
      </c>
      <c r="B9" s="47"/>
      <c r="C9" s="47" t="s">
        <v>48</v>
      </c>
      <c r="D9" s="47"/>
      <c r="E9" s="38"/>
    </row>
    <row r="10" spans="1:5" s="8" customFormat="1" ht="30" customHeight="1" thickBot="1" x14ac:dyDescent="0.3">
      <c r="A10" s="4">
        <v>22</v>
      </c>
      <c r="B10" s="44" t="str">
        <f>A10&amp;" "&amp;IF(AND(MOD(A10,100)&gt;=11, MOD(A10,100)&lt;=14), "дней",
 IF(MOD(A10,10)=1, "день",
 IF(AND(MOD(A10,10)&gt;=2, MOD(A10,10)&lt;=4), "дня", "дней")))</f>
        <v>22 дня</v>
      </c>
      <c r="C10" s="48" t="str" cm="1">
        <f t="array" ref="C10">MSumPropActive(B4)</f>
        <v>14 530,00 (Четырнадцать тысяч пятьсот тридцать рублей 0 копеек) рублей</v>
      </c>
      <c r="D10" s="48"/>
      <c r="E10" s="45"/>
    </row>
  </sheetData>
  <mergeCells count="3">
    <mergeCell ref="A9:B9"/>
    <mergeCell ref="C9:D9"/>
    <mergeCell ref="C10:D10"/>
  </mergeCells>
  <dataValidations count="1">
    <dataValidation type="list" allowBlank="1" showInputMessage="1" showErrorMessage="1" sqref="E2" xr:uid="{EF27C255-B94C-4E8E-824D-55A229AE33D8}">
      <formula1>"М,Ж"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4BF3-8DD0-4807-96E6-5C2ED0561ACD}">
  <sheetPr codeName="Лист2"/>
  <dimension ref="A2:Q39"/>
  <sheetViews>
    <sheetView view="pageLayout" zoomScaleNormal="100" workbookViewId="0">
      <selection activeCell="G9" sqref="G9"/>
    </sheetView>
  </sheetViews>
  <sheetFormatPr defaultRowHeight="15" x14ac:dyDescent="0.25"/>
  <cols>
    <col min="3" max="3" width="9.140625" customWidth="1"/>
    <col min="5" max="5" width="9.140625" customWidth="1"/>
    <col min="7" max="7" width="11.7109375" bestFit="1" customWidth="1"/>
    <col min="11" max="11" width="10.85546875" bestFit="1" customWidth="1"/>
  </cols>
  <sheetData>
    <row r="2" spans="1:17" x14ac:dyDescent="0.25">
      <c r="F2" s="54" t="str">
        <f>"ФИО: "&amp;Интерфейс!A2</f>
        <v>ФИО: Мачуришвили Ольга Евгеньевна</v>
      </c>
      <c r="G2" s="54"/>
      <c r="H2" s="54"/>
      <c r="I2" s="54"/>
      <c r="K2" s="7"/>
      <c r="L2" s="7"/>
      <c r="M2" s="7"/>
      <c r="N2" s="7"/>
    </row>
    <row r="3" spans="1:17" ht="15" customHeight="1" x14ac:dyDescent="0.25">
      <c r="F3" s="55" t="str">
        <f>TRIM("Адрес регистрации: "&amp;Интерфейс!A8&amp;", "&amp;Интерфейс!B8)</f>
        <v>Адрес регистрации: 157201, Костромская обл г Галич ул Свободы д.16 кв.6</v>
      </c>
      <c r="G3" s="55"/>
      <c r="H3" s="55"/>
      <c r="I3" s="55"/>
      <c r="K3" s="5"/>
      <c r="L3" s="5"/>
      <c r="M3" s="5"/>
      <c r="N3" s="5"/>
    </row>
    <row r="4" spans="1:17" x14ac:dyDescent="0.25">
      <c r="F4" s="55"/>
      <c r="G4" s="55"/>
      <c r="H4" s="55"/>
      <c r="I4" s="55"/>
      <c r="K4" s="7"/>
      <c r="L4" s="7"/>
      <c r="M4" s="7"/>
      <c r="N4" s="7"/>
      <c r="O4" s="7"/>
    </row>
    <row r="5" spans="1:17" x14ac:dyDescent="0.25">
      <c r="H5" s="54" t="str">
        <f ca="1">TRIM("Дата: "&amp;TEXT(Интерфейс!D2,"ДД.ММ.ГГГГ"))</f>
        <v>Дата: 15.04.2025</v>
      </c>
      <c r="I5" s="54"/>
      <c r="K5" s="7"/>
      <c r="L5" s="7"/>
      <c r="M5" s="7"/>
      <c r="N5" s="7"/>
      <c r="O5" s="7"/>
    </row>
    <row r="6" spans="1:17" x14ac:dyDescent="0.25">
      <c r="H6" s="14"/>
      <c r="I6" s="14"/>
      <c r="K6" s="7"/>
      <c r="L6" s="7"/>
      <c r="M6" s="7"/>
      <c r="N6" s="7"/>
      <c r="O6" s="7"/>
    </row>
    <row r="7" spans="1:17" x14ac:dyDescent="0.25">
      <c r="K7" s="7"/>
      <c r="L7" s="7"/>
      <c r="M7" s="7"/>
      <c r="N7" s="7"/>
      <c r="O7" s="7"/>
    </row>
    <row r="8" spans="1:17" ht="15.75" x14ac:dyDescent="0.25">
      <c r="D8" s="53" t="s">
        <v>20</v>
      </c>
      <c r="E8" s="53"/>
      <c r="F8" s="53"/>
    </row>
    <row r="9" spans="1:17" x14ac:dyDescent="0.25">
      <c r="D9" t="str">
        <f>IF(Интерфейс!E2="М","Уважаемый, ","Уважаемая, ")&amp;RIGHT(Интерфейс!A2,LEN(Интерфейс!A2)- FIND(" ",Интерфейс!A2))&amp;","</f>
        <v>Уважаемая, Ольга Евгеньевна,</v>
      </c>
      <c r="J9" s="5"/>
      <c r="K9" s="5"/>
      <c r="L9" s="5"/>
      <c r="M9" s="5"/>
      <c r="N9" s="5"/>
      <c r="O9" s="5"/>
      <c r="P9" s="5"/>
      <c r="Q9" s="5"/>
    </row>
    <row r="10" spans="1:17" x14ac:dyDescent="0.25">
      <c r="J10" s="5"/>
      <c r="K10" s="5"/>
      <c r="L10" s="5"/>
      <c r="M10" s="5"/>
      <c r="N10" s="5"/>
      <c r="O10" s="5"/>
      <c r="P10" s="5"/>
      <c r="Q10" s="5"/>
    </row>
    <row r="11" spans="1:17" ht="15" customHeight="1" x14ac:dyDescent="0.25">
      <c r="A11" s="57" t="str">
        <f>"         "&amp;TRIM("Общество с ограниченной ответственностью «ПРОФЕССИОНАЛЬНАЯ КОЛЛЕКТОРСКАЯ ОРГАНИЗАЦИЯ «ШАМИЛЬ И ПАРТНЕРЫ» (далее  - ООО ПКО «ШИП»), действуя в интересах ООО КПК «"&amp;Интерфейс!A4&amp;"» (Далее - Кредитор) на основании Агенсткого договора уведомляет Вас о том, в связи с неисполнением Вами условий Договора займа №"&amp;Интерфейс!B2&amp;" от "&amp;TEXT(Интерфейс!C2,"ДД.ММ.ГГГГ")&amp;" г., взыскание задолженности по указанному Договору поручено ООО ПКО «ШИП», деятельностью которого является профессиональное взыскание задолженности на досудебной и судебной стадиях.")</f>
        <v xml:space="preserve">         Общество с ограниченной ответственностью «ПРОФЕССИОНАЛЬНАЯ КОЛЛЕКТОРСКАЯ ОРГАНИЗАЦИЯ «ШАМИЛЬ И ПАРТНЕРЫ» (далее - ООО ПКО «ШИП»), действуя в интересах ООО КПК «Стимул» (Далее - Кредитор) на основании Агенсткого договора уведомляет Вас о том, в связи с неисполнением Вами условий Договора займа №204З24/6 от 20.11.2024 г., взыскание задолженности по указанному Договору поручено ООО ПКО «ШИП», деятельностью которого является профессиональное взыскание задолженности на досудебной и судебной стадиях.</v>
      </c>
      <c r="B11" s="57"/>
      <c r="C11" s="57"/>
      <c r="D11" s="57"/>
      <c r="E11" s="57"/>
      <c r="F11" s="57"/>
      <c r="G11" s="57"/>
      <c r="H11" s="57"/>
      <c r="I11" s="57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"/>
      <c r="K15" s="5"/>
      <c r="L15" s="5"/>
      <c r="M15" s="5"/>
      <c r="N15" s="5"/>
      <c r="O15" s="5"/>
      <c r="P15" s="5"/>
      <c r="Q15" s="5"/>
    </row>
    <row r="16" spans="1:17" ht="15.75" customHeight="1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6"/>
    </row>
    <row r="17" spans="1:9" ht="15" customHeight="1" x14ac:dyDescent="0.25">
      <c r="A17" s="57" t="str">
        <f ca="1">"        "&amp;TRIM("Сообщаем, что по состоянию на "&amp;TEXT(TODAY(),"ДД.ММ.ГГГГ")&amp;"г., срок просрочки составил "&amp;Интерфейс!B10&amp;", сумма: "&amp;Интерфейс!C10&amp;". Вам необходимо в течение 3 (трех) рабочих дней, со дня получения настоящего уведомления произвести оплату Кредитору!")</f>
        <v xml:space="preserve">        Сообщаем, что по состоянию на 15.04.2025г., срок просрочки составил 22 дня, сумма: 14 530,00 (Четырнадцать тысяч пятьсот тридцать рублей 0 копеек) рублей. Вам необходимо в течение 3 (трех) рабочих дней, со дня получения настоящего уведомления произвести оплату Кредитору!</v>
      </c>
      <c r="B17" s="57"/>
      <c r="C17" s="57"/>
      <c r="D17" s="57"/>
      <c r="E17" s="57"/>
      <c r="F17" s="57"/>
      <c r="G17" s="57"/>
      <c r="H17" s="57"/>
      <c r="I17" s="57"/>
    </row>
    <row r="18" spans="1:9" x14ac:dyDescent="0.25">
      <c r="A18" s="57"/>
      <c r="B18" s="57"/>
      <c r="C18" s="57"/>
      <c r="D18" s="57"/>
      <c r="E18" s="57"/>
      <c r="F18" s="57"/>
      <c r="G18" s="57"/>
      <c r="H18" s="57"/>
      <c r="I18" s="57"/>
    </row>
    <row r="19" spans="1:9" x14ac:dyDescent="0.25">
      <c r="A19" s="57"/>
      <c r="B19" s="57"/>
      <c r="C19" s="57"/>
      <c r="D19" s="57"/>
      <c r="E19" s="57"/>
      <c r="F19" s="57"/>
      <c r="G19" s="57"/>
      <c r="H19" s="57"/>
      <c r="I19" s="57"/>
    </row>
    <row r="20" spans="1:9" ht="6.95" customHeight="1" x14ac:dyDescent="0.25">
      <c r="A20" s="6"/>
      <c r="B20" s="6"/>
      <c r="C20" s="6"/>
      <c r="D20" s="6"/>
      <c r="E20" s="6"/>
      <c r="F20" s="6"/>
      <c r="G20" s="6"/>
      <c r="H20" s="6"/>
      <c r="I20" s="6"/>
    </row>
    <row r="21" spans="1:9" ht="17.25" customHeight="1" x14ac:dyDescent="0.25">
      <c r="A21" s="51" t="str">
        <f>"        "&amp;TRIM("Обращаем Ваше внимание, что размер задолженности увеличивается ежедневно!")</f>
        <v xml:space="preserve">        Обращаем Ваше внимание, что размер задолженности увеличивается ежедневно!</v>
      </c>
      <c r="B21" s="51"/>
      <c r="C21" s="51"/>
      <c r="D21" s="51"/>
      <c r="E21" s="51"/>
      <c r="F21" s="51"/>
      <c r="G21" s="51"/>
      <c r="H21" s="51"/>
      <c r="I21" s="51"/>
    </row>
    <row r="22" spans="1:9" ht="15" customHeight="1" x14ac:dyDescent="0.25">
      <c r="A22" s="52" t="str">
        <f>"        "&amp;TRIM("Точную сумму Вашей задолженности на день оплаты Вы можете узнать, обратившись к нам, любым из способов, по бесплатному телефону 88007005346, e-mail: shamil.collector@gmail.com, мессенджеры "&amp;"("&amp;"WhatsApp, Telegram"&amp;")"&amp;" 89602112613, форме обращения с сайта https://ka-ship.ru.")</f>
        <v xml:space="preserve">        Точную сумму Вашей задолженности на день оплаты Вы можете узнать, обратившись к нам, любым из способов, по бесплатному телефону 88007005346, e-mail: shamil.collector@gmail.com, мессенджеры (WhatsApp, Telegram) 89602112613, форме обращения с сайта https://ka-ship.ru.</v>
      </c>
      <c r="B22" s="52"/>
      <c r="C22" s="52"/>
      <c r="D22" s="52"/>
      <c r="E22" s="52"/>
      <c r="F22" s="52"/>
      <c r="G22" s="52"/>
      <c r="H22" s="52"/>
      <c r="I22" s="52"/>
    </row>
    <row r="23" spans="1:9" x14ac:dyDescent="0.25">
      <c r="A23" s="52"/>
      <c r="B23" s="52"/>
      <c r="C23" s="52"/>
      <c r="D23" s="52"/>
      <c r="E23" s="52"/>
      <c r="F23" s="52"/>
      <c r="G23" s="52"/>
      <c r="H23" s="52"/>
      <c r="I23" s="52"/>
    </row>
    <row r="24" spans="1:9" x14ac:dyDescent="0.25">
      <c r="A24" s="52"/>
      <c r="B24" s="52"/>
      <c r="C24" s="52"/>
      <c r="D24" s="52"/>
      <c r="E24" s="52"/>
      <c r="F24" s="52"/>
      <c r="G24" s="52"/>
      <c r="H24" s="52"/>
      <c r="I24" s="52"/>
    </row>
    <row r="25" spans="1:9" ht="6.95" customHeight="1" x14ac:dyDescent="0.25">
      <c r="A25" s="6"/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56" t="str">
        <f>"        "&amp;TRIM("Вместе мы найдем обоюдовыгодное решение!")</f>
        <v xml:space="preserve">        Вместе мы найдем обоюдовыгодное решение!</v>
      </c>
      <c r="B26" s="56"/>
      <c r="C26" s="56"/>
      <c r="D26" s="56"/>
      <c r="E26" s="56"/>
      <c r="F26" s="56"/>
      <c r="G26" s="56"/>
      <c r="H26" s="56"/>
      <c r="I26" s="56"/>
    </row>
    <row r="27" spans="1:9" ht="18.75" customHeight="1" x14ac:dyDescent="0.25">
      <c r="A27" s="12" t="str">
        <f>TRIM("Если возникли трудности - сообщите нам. Готовы обсудить рассрочку или реструктуризацию.")</f>
        <v>Если возникли трудности - сообщите нам. Готовы обсудить рассрочку или реструктуризацию.</v>
      </c>
      <c r="B27" s="11"/>
      <c r="C27" s="11"/>
      <c r="D27" s="11"/>
      <c r="E27" s="11"/>
      <c r="F27" s="11"/>
      <c r="G27" s="11"/>
      <c r="H27" s="11"/>
      <c r="I27" s="11"/>
    </row>
    <row r="28" spans="1:9" ht="6.95" customHeight="1" x14ac:dyDescent="0.25">
      <c r="A28" s="12"/>
      <c r="B28" s="11"/>
      <c r="C28" s="11"/>
      <c r="D28" s="11"/>
      <c r="E28" s="11"/>
      <c r="F28" s="11"/>
      <c r="G28" s="11"/>
      <c r="H28" s="11"/>
      <c r="I28" s="11"/>
    </row>
    <row r="29" spans="1:9" ht="15" customHeight="1" x14ac:dyDescent="0.25">
      <c r="A29" s="52" t="s">
        <v>629</v>
      </c>
      <c r="B29" s="52"/>
      <c r="C29" s="52"/>
      <c r="D29" s="52"/>
      <c r="E29" s="52"/>
      <c r="F29" s="52"/>
      <c r="G29" s="52"/>
      <c r="H29" s="52"/>
      <c r="I29" s="52"/>
    </row>
    <row r="30" spans="1:9" x14ac:dyDescent="0.25">
      <c r="A30" s="52"/>
      <c r="B30" s="52"/>
      <c r="C30" s="52"/>
      <c r="D30" s="52"/>
      <c r="E30" s="52"/>
      <c r="F30" s="52"/>
      <c r="G30" s="52"/>
      <c r="H30" s="52"/>
      <c r="I30" s="52"/>
    </row>
    <row r="31" spans="1:9" x14ac:dyDescent="0.25">
      <c r="A31" s="52"/>
      <c r="B31" s="52"/>
      <c r="C31" s="52"/>
      <c r="D31" s="52"/>
      <c r="E31" s="52"/>
      <c r="F31" s="52"/>
      <c r="G31" s="52"/>
      <c r="H31" s="52"/>
      <c r="I31" s="52"/>
    </row>
    <row r="32" spans="1:9" x14ac:dyDescent="0.25">
      <c r="A32" s="52"/>
      <c r="B32" s="52"/>
      <c r="C32" s="52"/>
      <c r="D32" s="52"/>
      <c r="E32" s="52"/>
      <c r="F32" s="52"/>
      <c r="G32" s="52"/>
      <c r="H32" s="52"/>
      <c r="I32" s="52"/>
    </row>
    <row r="33" spans="1:9" ht="30.75" customHeight="1" x14ac:dyDescent="0.25">
      <c r="A33" s="52"/>
      <c r="B33" s="52"/>
      <c r="C33" s="52"/>
      <c r="D33" s="52"/>
      <c r="E33" s="52"/>
      <c r="F33" s="52"/>
      <c r="G33" s="52"/>
      <c r="H33" s="52"/>
      <c r="I33" s="52"/>
    </row>
    <row r="34" spans="1:9" ht="15" customHeight="1" x14ac:dyDescent="0.25">
      <c r="A34" s="49" t="str">
        <f>"        "&amp;TRIM("Напоминаем Вам, что Кредитор, согласно действующему законодательству и условиям договора займа, имеет право продать Вашу задолженность по договору цессии третьим лицам.")</f>
        <v xml:space="preserve">        Напоминаем Вам, что Кредитор, согласно действующему законодательству и условиям договора займа, имеет право продать Вашу задолженность по договору цессии третьим лицам.</v>
      </c>
      <c r="B34" s="49"/>
      <c r="C34" s="49"/>
      <c r="D34" s="49"/>
      <c r="E34" s="49"/>
      <c r="F34" s="49"/>
      <c r="G34" s="49"/>
      <c r="H34" s="49"/>
      <c r="I34" s="49"/>
    </row>
    <row r="35" spans="1:9" x14ac:dyDescent="0.25">
      <c r="A35" s="49"/>
      <c r="B35" s="49"/>
      <c r="C35" s="49"/>
      <c r="D35" s="49"/>
      <c r="E35" s="49"/>
      <c r="F35" s="49"/>
      <c r="G35" s="49"/>
      <c r="H35" s="49"/>
      <c r="I35" s="49"/>
    </row>
    <row r="36" spans="1:9" ht="6.9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</row>
    <row r="37" spans="1:9" ht="15" customHeight="1" x14ac:dyDescent="0.25">
      <c r="A37" s="49" t="str">
        <f>"        "&amp;TRIM("Если на момент получения настоящего уведомления Вы оплатили имеющуюся задолженность, ООО «ПКО «ШИП» благодарит Вас за исполнение обязательств перед Кредитором.")</f>
        <v xml:space="preserve">        Если на момент получения настоящего уведомления Вы оплатили имеющуюся задолженность, ООО «ПКО «ШИП» благодарит Вас за исполнение обязательств перед Кредитором.</v>
      </c>
      <c r="B37" s="50"/>
      <c r="C37" s="50"/>
      <c r="D37" s="50"/>
      <c r="E37" s="50"/>
      <c r="F37" s="50"/>
      <c r="G37" s="50"/>
      <c r="H37" s="50"/>
      <c r="I37" s="50"/>
    </row>
    <row r="38" spans="1:9" ht="15.75" customHeight="1" x14ac:dyDescent="0.25">
      <c r="A38" s="50"/>
      <c r="B38" s="50"/>
      <c r="C38" s="50"/>
      <c r="D38" s="50"/>
      <c r="E38" s="50"/>
      <c r="F38" s="50"/>
      <c r="G38" s="50"/>
      <c r="H38" s="50"/>
      <c r="I38" s="50"/>
    </row>
    <row r="39" spans="1:9" x14ac:dyDescent="0.25">
      <c r="A39" s="50"/>
      <c r="B39" s="50"/>
      <c r="C39" s="50"/>
      <c r="D39" s="50"/>
      <c r="E39" s="50"/>
      <c r="F39" s="50"/>
      <c r="G39" s="50"/>
      <c r="H39" s="50"/>
      <c r="I39" s="50"/>
    </row>
  </sheetData>
  <mergeCells count="12">
    <mergeCell ref="F2:I2"/>
    <mergeCell ref="F3:I4"/>
    <mergeCell ref="H5:I5"/>
    <mergeCell ref="A26:I26"/>
    <mergeCell ref="A11:I16"/>
    <mergeCell ref="A17:I19"/>
    <mergeCell ref="A22:I24"/>
    <mergeCell ref="A37:I39"/>
    <mergeCell ref="A21:I21"/>
    <mergeCell ref="A29:I33"/>
    <mergeCell ref="A34:I35"/>
    <mergeCell ref="D8:F8"/>
  </mergeCells>
  <pageMargins left="0.58333333333333337" right="0.97916666666666663" top="1.3333333333333333" bottom="0.91666666666666663" header="0.3" footer="0.3"/>
  <pageSetup paperSize="9" orientation="portrait" r:id="rId1"/>
  <headerFooter>
    <oddHeader>&amp;L&amp;G&amp;C
_______________________________________________________________________________________&amp;R&amp;"-,курсив"ОБЩЕСТВО С ОГРАНИЧЕННОЙ ОТВЕТСТВЕННОСТЬЮ 
«ПРОФЕССИОНАЛЬНАЯ КОЛЛЕКТОРСКАЯ ОРГАНИЗАЦИЯ 
«ШАМИЛЬ И ПАРТНЕРЫ»
ИНН  6908019416 КПП 695001001</oddHeader>
    <oddFooter xml:space="preserve">&amp;L&amp;"-,курсив"Юридический адрес:
170100, г. Тверь, ул. Андрея Дементьева, д. 3
&amp;R&amp;"-,курсив"Телефон: 8-800-700-53-46
e-mail: Info@ka-ship.ru
сайт: https://ka-ship.ru 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BB3ED-CBAC-48A5-B2C7-48B71EC3C3CF}">
  <sheetPr codeName="Лист3"/>
  <dimension ref="A1:P9"/>
  <sheetViews>
    <sheetView workbookViewId="0">
      <selection activeCell="E18" sqref="E18"/>
    </sheetView>
  </sheetViews>
  <sheetFormatPr defaultRowHeight="15" x14ac:dyDescent="0.25"/>
  <cols>
    <col min="1" max="1" width="35" bestFit="1" customWidth="1"/>
    <col min="2" max="2" width="16" bestFit="1" customWidth="1"/>
    <col min="3" max="3" width="18.7109375" bestFit="1" customWidth="1"/>
    <col min="4" max="4" width="14.28515625" bestFit="1" customWidth="1"/>
    <col min="5" max="5" width="9.5703125" bestFit="1" customWidth="1"/>
    <col min="6" max="6" width="10" bestFit="1" customWidth="1"/>
    <col min="7" max="7" width="12.5703125" bestFit="1" customWidth="1"/>
    <col min="8" max="8" width="15.85546875" bestFit="1" customWidth="1"/>
    <col min="9" max="9" width="18.85546875" bestFit="1" customWidth="1"/>
    <col min="10" max="10" width="12.5703125" bestFit="1" customWidth="1"/>
    <col min="11" max="11" width="11.42578125" bestFit="1" customWidth="1"/>
    <col min="12" max="12" width="18.42578125" bestFit="1" customWidth="1"/>
    <col min="13" max="13" width="17" bestFit="1" customWidth="1"/>
    <col min="14" max="14" width="26.140625" bestFit="1" customWidth="1"/>
    <col min="15" max="15" width="8.85546875" bestFit="1" customWidth="1"/>
    <col min="16" max="16" width="23.28515625" bestFit="1" customWidth="1"/>
  </cols>
  <sheetData>
    <row r="1" spans="1:16" s="22" customFormat="1" x14ac:dyDescent="0.25">
      <c r="A1" s="15" t="s">
        <v>0</v>
      </c>
      <c r="B1" s="16" t="s">
        <v>1</v>
      </c>
      <c r="C1" s="17" t="s">
        <v>4</v>
      </c>
      <c r="D1" s="18" t="s">
        <v>49</v>
      </c>
      <c r="E1" s="15" t="s">
        <v>5</v>
      </c>
      <c r="F1" s="16" t="s">
        <v>8</v>
      </c>
      <c r="G1" s="17" t="s">
        <v>51</v>
      </c>
      <c r="H1" s="23" t="s">
        <v>23</v>
      </c>
      <c r="I1" s="17" t="s">
        <v>13</v>
      </c>
      <c r="J1" s="19" t="s">
        <v>6</v>
      </c>
      <c r="K1" s="21" t="s">
        <v>14</v>
      </c>
      <c r="L1" s="15" t="s">
        <v>52</v>
      </c>
      <c r="M1" s="16" t="s">
        <v>53</v>
      </c>
      <c r="N1" s="17" t="s">
        <v>54</v>
      </c>
      <c r="O1" s="20" t="s">
        <v>55</v>
      </c>
      <c r="P1" s="18" t="s">
        <v>56</v>
      </c>
    </row>
    <row r="2" spans="1:16" x14ac:dyDescent="0.25">
      <c r="A2" t="s">
        <v>606</v>
      </c>
      <c r="B2" t="s">
        <v>617</v>
      </c>
      <c r="C2" s="24">
        <v>44927</v>
      </c>
      <c r="D2" s="24">
        <f ca="1">TODAY()</f>
        <v>45762</v>
      </c>
      <c r="E2" t="s">
        <v>99</v>
      </c>
      <c r="F2" s="27" t="s">
        <v>625</v>
      </c>
      <c r="H2">
        <v>1</v>
      </c>
      <c r="P2" t="s">
        <v>621</v>
      </c>
    </row>
    <row r="3" spans="1:16" x14ac:dyDescent="0.25">
      <c r="A3" t="s">
        <v>608</v>
      </c>
      <c r="B3" t="s">
        <v>618</v>
      </c>
      <c r="C3" s="24">
        <v>44928</v>
      </c>
      <c r="D3" s="24">
        <f t="shared" ref="D3:D5" ca="1" si="0">TODAY()</f>
        <v>45762</v>
      </c>
      <c r="E3" t="s">
        <v>82</v>
      </c>
      <c r="F3" s="27" t="s">
        <v>626</v>
      </c>
      <c r="H3">
        <v>3</v>
      </c>
      <c r="P3" t="s">
        <v>622</v>
      </c>
    </row>
    <row r="4" spans="1:16" x14ac:dyDescent="0.25">
      <c r="A4" t="s">
        <v>610</v>
      </c>
      <c r="B4" t="s">
        <v>619</v>
      </c>
      <c r="C4" s="24">
        <v>44929</v>
      </c>
      <c r="D4" s="24">
        <f t="shared" ca="1" si="0"/>
        <v>45762</v>
      </c>
      <c r="E4" t="s">
        <v>7</v>
      </c>
      <c r="F4" s="27" t="s">
        <v>627</v>
      </c>
      <c r="H4">
        <v>5</v>
      </c>
      <c r="P4" t="s">
        <v>623</v>
      </c>
    </row>
    <row r="5" spans="1:16" x14ac:dyDescent="0.25">
      <c r="A5" t="s">
        <v>612</v>
      </c>
      <c r="B5" t="s">
        <v>620</v>
      </c>
      <c r="C5" s="24">
        <v>44930</v>
      </c>
      <c r="D5" s="24">
        <f t="shared" ca="1" si="0"/>
        <v>45762</v>
      </c>
      <c r="E5" t="s">
        <v>99</v>
      </c>
      <c r="F5" s="27" t="s">
        <v>628</v>
      </c>
      <c r="H5">
        <v>1125</v>
      </c>
      <c r="P5" t="s">
        <v>624</v>
      </c>
    </row>
    <row r="9" spans="1:16" x14ac:dyDescent="0.25">
      <c r="F9" s="2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9D07A-0557-447A-AE89-0C2476C825AB}">
  <sheetPr codeName="Лист5"/>
  <dimension ref="A1:I280"/>
  <sheetViews>
    <sheetView topLeftCell="A259" workbookViewId="0">
      <selection activeCell="C283" sqref="C283"/>
    </sheetView>
  </sheetViews>
  <sheetFormatPr defaultRowHeight="15" x14ac:dyDescent="0.25"/>
  <cols>
    <col min="2" max="2" width="29.42578125" bestFit="1" customWidth="1"/>
    <col min="3" max="3" width="38.140625" bestFit="1" customWidth="1"/>
    <col min="4" max="4" width="28.42578125" bestFit="1" customWidth="1"/>
    <col min="7" max="7" width="25.28515625" bestFit="1" customWidth="1"/>
  </cols>
  <sheetData>
    <row r="1" spans="1:9" x14ac:dyDescent="0.25">
      <c r="A1" t="s">
        <v>57</v>
      </c>
    </row>
    <row r="2" spans="1:9" x14ac:dyDescent="0.25">
      <c r="A2" t="s">
        <v>58</v>
      </c>
    </row>
    <row r="3" spans="1:9" x14ac:dyDescent="0.25">
      <c r="A3" t="s">
        <v>59</v>
      </c>
    </row>
    <row r="4" spans="1:9" x14ac:dyDescent="0.25">
      <c r="A4" t="s">
        <v>60</v>
      </c>
    </row>
    <row r="5" spans="1:9" x14ac:dyDescent="0.25">
      <c r="A5" t="s">
        <v>61</v>
      </c>
    </row>
    <row r="6" spans="1:9" x14ac:dyDescent="0.25">
      <c r="A6" t="s">
        <v>62</v>
      </c>
    </row>
    <row r="7" spans="1:9" x14ac:dyDescent="0.25">
      <c r="A7" t="s">
        <v>63</v>
      </c>
    </row>
    <row r="8" spans="1:9" x14ac:dyDescent="0.25">
      <c r="A8" t="s">
        <v>64</v>
      </c>
    </row>
    <row r="9" spans="1:9" x14ac:dyDescent="0.25">
      <c r="A9" t="s">
        <v>65</v>
      </c>
    </row>
    <row r="10" spans="1:9" x14ac:dyDescent="0.25">
      <c r="A10" t="s">
        <v>66</v>
      </c>
    </row>
    <row r="12" spans="1:9" x14ac:dyDescent="0.25">
      <c r="A12" t="s">
        <v>67</v>
      </c>
    </row>
    <row r="13" spans="1:9" x14ac:dyDescent="0.25">
      <c r="A13" t="s">
        <v>68</v>
      </c>
    </row>
    <row r="15" spans="1:9" x14ac:dyDescent="0.25">
      <c r="A15" t="s">
        <v>69</v>
      </c>
    </row>
    <row r="16" spans="1:9" x14ac:dyDescent="0.25">
      <c r="A16" t="s">
        <v>70</v>
      </c>
      <c r="B16" t="s">
        <v>5</v>
      </c>
      <c r="C16" t="s">
        <v>0</v>
      </c>
      <c r="D16" t="s">
        <v>71</v>
      </c>
      <c r="E16" t="s">
        <v>72</v>
      </c>
      <c r="F16" t="s">
        <v>73</v>
      </c>
      <c r="G16" t="s">
        <v>74</v>
      </c>
      <c r="H16" t="s">
        <v>75</v>
      </c>
      <c r="I16" t="s">
        <v>76</v>
      </c>
    </row>
    <row r="17" spans="1:8" x14ac:dyDescent="0.25">
      <c r="A17">
        <v>86860</v>
      </c>
      <c r="B17" t="s">
        <v>77</v>
      </c>
      <c r="C17" t="s">
        <v>78</v>
      </c>
      <c r="D17" t="s">
        <v>79</v>
      </c>
      <c r="E17">
        <v>120</v>
      </c>
      <c r="F17" t="s">
        <v>80</v>
      </c>
      <c r="G17" s="24">
        <v>45754</v>
      </c>
      <c r="H17" t="s">
        <v>81</v>
      </c>
    </row>
    <row r="18" spans="1:8" x14ac:dyDescent="0.25">
      <c r="A18">
        <v>137389</v>
      </c>
      <c r="B18" t="s">
        <v>82</v>
      </c>
      <c r="C18" t="s">
        <v>83</v>
      </c>
      <c r="D18" t="s">
        <v>84</v>
      </c>
      <c r="E18">
        <v>120</v>
      </c>
      <c r="F18" s="25">
        <v>0.76312500000000005</v>
      </c>
      <c r="G18" s="24">
        <v>45754</v>
      </c>
      <c r="H18" t="s">
        <v>81</v>
      </c>
    </row>
    <row r="19" spans="1:8" x14ac:dyDescent="0.25">
      <c r="A19">
        <v>137395</v>
      </c>
      <c r="B19" t="s">
        <v>7</v>
      </c>
      <c r="C19" t="s">
        <v>85</v>
      </c>
      <c r="D19" t="s">
        <v>86</v>
      </c>
      <c r="E19">
        <v>120</v>
      </c>
      <c r="F19" s="25">
        <v>0.76312500000000005</v>
      </c>
      <c r="G19" s="24">
        <v>45755</v>
      </c>
      <c r="H19" t="s">
        <v>87</v>
      </c>
    </row>
    <row r="20" spans="1:8" x14ac:dyDescent="0.25">
      <c r="A20">
        <v>78314</v>
      </c>
      <c r="B20" t="s">
        <v>77</v>
      </c>
      <c r="C20" t="s">
        <v>88</v>
      </c>
      <c r="D20" t="s">
        <v>89</v>
      </c>
      <c r="E20">
        <v>119</v>
      </c>
      <c r="F20" t="s">
        <v>80</v>
      </c>
      <c r="G20" s="24">
        <v>45754</v>
      </c>
      <c r="H20" t="s">
        <v>81</v>
      </c>
    </row>
    <row r="21" spans="1:8" x14ac:dyDescent="0.25">
      <c r="A21">
        <v>83303</v>
      </c>
      <c r="B21" t="s">
        <v>90</v>
      </c>
      <c r="C21" t="s">
        <v>91</v>
      </c>
      <c r="D21" t="s">
        <v>92</v>
      </c>
      <c r="E21">
        <v>119</v>
      </c>
      <c r="F21" s="25">
        <v>0.76312500000000005</v>
      </c>
      <c r="G21" s="24">
        <v>45702</v>
      </c>
      <c r="H21" t="s">
        <v>81</v>
      </c>
    </row>
    <row r="22" spans="1:8" x14ac:dyDescent="0.25">
      <c r="A22">
        <v>137385</v>
      </c>
      <c r="B22" t="s">
        <v>90</v>
      </c>
      <c r="C22" t="s">
        <v>93</v>
      </c>
      <c r="D22" t="s">
        <v>94</v>
      </c>
      <c r="E22">
        <v>119</v>
      </c>
      <c r="F22" s="25">
        <v>0.76312500000000005</v>
      </c>
      <c r="G22" s="24">
        <v>45754</v>
      </c>
      <c r="H22" t="s">
        <v>81</v>
      </c>
    </row>
    <row r="23" spans="1:8" x14ac:dyDescent="0.25">
      <c r="A23">
        <v>137387</v>
      </c>
      <c r="B23" t="s">
        <v>82</v>
      </c>
      <c r="C23" t="s">
        <v>95</v>
      </c>
      <c r="D23" t="s">
        <v>96</v>
      </c>
      <c r="E23">
        <v>119</v>
      </c>
      <c r="F23" s="25">
        <v>0.76312500000000005</v>
      </c>
      <c r="G23" s="24">
        <v>45754</v>
      </c>
      <c r="H23" t="s">
        <v>81</v>
      </c>
    </row>
    <row r="24" spans="1:8" x14ac:dyDescent="0.25">
      <c r="A24">
        <v>137397</v>
      </c>
      <c r="B24" t="s">
        <v>7</v>
      </c>
      <c r="C24" t="s">
        <v>97</v>
      </c>
      <c r="D24" t="s">
        <v>98</v>
      </c>
      <c r="E24">
        <v>119</v>
      </c>
      <c r="F24" s="25">
        <v>0.76312500000000005</v>
      </c>
      <c r="G24" s="24">
        <v>45754</v>
      </c>
      <c r="H24" t="s">
        <v>81</v>
      </c>
    </row>
    <row r="25" spans="1:8" x14ac:dyDescent="0.25">
      <c r="A25">
        <v>137410</v>
      </c>
      <c r="B25" t="s">
        <v>99</v>
      </c>
      <c r="C25" t="s">
        <v>100</v>
      </c>
      <c r="D25" t="s">
        <v>101</v>
      </c>
      <c r="E25">
        <v>119</v>
      </c>
      <c r="F25" s="25">
        <v>0.76312500000000005</v>
      </c>
      <c r="G25" s="24">
        <v>45754</v>
      </c>
      <c r="H25" t="s">
        <v>81</v>
      </c>
    </row>
    <row r="26" spans="1:8" x14ac:dyDescent="0.25">
      <c r="A26">
        <v>86098</v>
      </c>
      <c r="B26" t="s">
        <v>82</v>
      </c>
      <c r="C26" t="s">
        <v>102</v>
      </c>
      <c r="D26" t="s">
        <v>103</v>
      </c>
      <c r="E26">
        <v>118</v>
      </c>
      <c r="F26" t="s">
        <v>80</v>
      </c>
      <c r="G26" s="24">
        <v>45702</v>
      </c>
      <c r="H26" t="s">
        <v>104</v>
      </c>
    </row>
    <row r="27" spans="1:8" x14ac:dyDescent="0.25">
      <c r="A27">
        <v>87083</v>
      </c>
      <c r="B27" t="s">
        <v>99</v>
      </c>
      <c r="C27" t="s">
        <v>105</v>
      </c>
      <c r="D27" t="s">
        <v>106</v>
      </c>
      <c r="E27">
        <v>118</v>
      </c>
      <c r="F27" s="25">
        <v>0.76312500000000005</v>
      </c>
      <c r="G27" s="24">
        <v>45754</v>
      </c>
      <c r="H27" t="s">
        <v>81</v>
      </c>
    </row>
    <row r="28" spans="1:8" x14ac:dyDescent="0.25">
      <c r="A28">
        <v>86107</v>
      </c>
      <c r="B28" t="s">
        <v>107</v>
      </c>
      <c r="C28" t="s">
        <v>108</v>
      </c>
      <c r="D28" t="s">
        <v>109</v>
      </c>
      <c r="E28">
        <v>117</v>
      </c>
      <c r="F28" t="s">
        <v>80</v>
      </c>
      <c r="G28" s="24">
        <v>45754</v>
      </c>
      <c r="H28" t="s">
        <v>81</v>
      </c>
    </row>
    <row r="29" spans="1:8" x14ac:dyDescent="0.25">
      <c r="A29">
        <v>137414</v>
      </c>
      <c r="B29" t="s">
        <v>90</v>
      </c>
      <c r="C29" t="s">
        <v>110</v>
      </c>
      <c r="D29" t="s">
        <v>111</v>
      </c>
      <c r="E29">
        <v>117</v>
      </c>
      <c r="F29" s="25">
        <v>0.76312500000000005</v>
      </c>
      <c r="G29" s="24">
        <v>45754</v>
      </c>
      <c r="H29" t="s">
        <v>81</v>
      </c>
    </row>
    <row r="30" spans="1:8" x14ac:dyDescent="0.25">
      <c r="A30">
        <v>78539</v>
      </c>
      <c r="B30" t="s">
        <v>7</v>
      </c>
      <c r="C30" t="s">
        <v>112</v>
      </c>
      <c r="D30" t="s">
        <v>113</v>
      </c>
      <c r="E30">
        <v>116</v>
      </c>
      <c r="F30" t="s">
        <v>80</v>
      </c>
      <c r="G30" s="24">
        <v>45754</v>
      </c>
      <c r="H30" t="s">
        <v>81</v>
      </c>
    </row>
    <row r="31" spans="1:8" x14ac:dyDescent="0.25">
      <c r="A31">
        <v>137423</v>
      </c>
      <c r="B31" t="s">
        <v>7</v>
      </c>
      <c r="C31" t="s">
        <v>114</v>
      </c>
      <c r="D31" t="s">
        <v>115</v>
      </c>
      <c r="E31">
        <v>116</v>
      </c>
      <c r="F31" s="25">
        <v>0.76312500000000005</v>
      </c>
      <c r="G31" s="24">
        <v>45650</v>
      </c>
      <c r="H31" t="s">
        <v>87</v>
      </c>
    </row>
    <row r="32" spans="1:8" x14ac:dyDescent="0.25">
      <c r="A32">
        <v>137427</v>
      </c>
      <c r="B32" t="s">
        <v>107</v>
      </c>
      <c r="C32" t="s">
        <v>116</v>
      </c>
      <c r="D32" t="s">
        <v>117</v>
      </c>
      <c r="E32">
        <v>116</v>
      </c>
      <c r="F32" s="25">
        <v>0.76312500000000005</v>
      </c>
      <c r="G32" s="24">
        <v>45754</v>
      </c>
      <c r="H32" t="s">
        <v>81</v>
      </c>
    </row>
    <row r="33" spans="1:8" x14ac:dyDescent="0.25">
      <c r="A33">
        <v>137431</v>
      </c>
      <c r="B33" t="s">
        <v>82</v>
      </c>
      <c r="C33" t="s">
        <v>118</v>
      </c>
      <c r="D33" t="s">
        <v>119</v>
      </c>
      <c r="E33">
        <v>115</v>
      </c>
      <c r="F33" s="25">
        <v>0.76312500000000005</v>
      </c>
      <c r="G33" s="24">
        <v>45754</v>
      </c>
      <c r="H33" t="s">
        <v>81</v>
      </c>
    </row>
    <row r="34" spans="1:8" x14ac:dyDescent="0.25">
      <c r="A34">
        <v>87149</v>
      </c>
      <c r="B34" t="s">
        <v>7</v>
      </c>
      <c r="C34" t="s">
        <v>120</v>
      </c>
      <c r="D34" t="s">
        <v>121</v>
      </c>
      <c r="E34">
        <v>112</v>
      </c>
      <c r="F34" s="25">
        <v>0.76312500000000005</v>
      </c>
      <c r="G34" s="24">
        <v>45754</v>
      </c>
      <c r="H34" t="s">
        <v>81</v>
      </c>
    </row>
    <row r="35" spans="1:8" x14ac:dyDescent="0.25">
      <c r="A35">
        <v>77471</v>
      </c>
      <c r="B35" t="s">
        <v>7</v>
      </c>
      <c r="C35" t="s">
        <v>122</v>
      </c>
      <c r="D35" t="s">
        <v>123</v>
      </c>
      <c r="E35">
        <v>111</v>
      </c>
      <c r="F35" t="s">
        <v>80</v>
      </c>
      <c r="G35" s="24">
        <v>45685</v>
      </c>
      <c r="H35" t="s">
        <v>87</v>
      </c>
    </row>
    <row r="36" spans="1:8" x14ac:dyDescent="0.25">
      <c r="A36">
        <v>86910</v>
      </c>
      <c r="B36" t="s">
        <v>82</v>
      </c>
      <c r="C36" t="s">
        <v>124</v>
      </c>
      <c r="D36" t="s">
        <v>125</v>
      </c>
      <c r="E36">
        <v>110</v>
      </c>
      <c r="F36" t="s">
        <v>80</v>
      </c>
      <c r="G36" s="24">
        <v>45754</v>
      </c>
      <c r="H36" t="s">
        <v>87</v>
      </c>
    </row>
    <row r="37" spans="1:8" x14ac:dyDescent="0.25">
      <c r="A37">
        <v>87382</v>
      </c>
      <c r="B37" t="s">
        <v>77</v>
      </c>
      <c r="C37" t="s">
        <v>126</v>
      </c>
      <c r="D37" t="s">
        <v>127</v>
      </c>
      <c r="E37">
        <v>110</v>
      </c>
      <c r="F37" s="25">
        <v>0.76312500000000005</v>
      </c>
      <c r="G37" s="24">
        <v>45754</v>
      </c>
      <c r="H37" t="s">
        <v>81</v>
      </c>
    </row>
    <row r="38" spans="1:8" x14ac:dyDescent="0.25">
      <c r="A38">
        <v>87323</v>
      </c>
      <c r="B38" t="s">
        <v>90</v>
      </c>
      <c r="C38" t="s">
        <v>128</v>
      </c>
      <c r="D38" t="s">
        <v>129</v>
      </c>
      <c r="E38">
        <v>109</v>
      </c>
      <c r="F38" s="25">
        <v>0.76312500000000005</v>
      </c>
      <c r="G38" s="24">
        <v>45754</v>
      </c>
      <c r="H38" t="s">
        <v>81</v>
      </c>
    </row>
    <row r="39" spans="1:8" x14ac:dyDescent="0.25">
      <c r="A39">
        <v>137630</v>
      </c>
      <c r="B39" t="s">
        <v>77</v>
      </c>
      <c r="C39" t="s">
        <v>130</v>
      </c>
      <c r="D39" t="s">
        <v>131</v>
      </c>
      <c r="E39">
        <v>109</v>
      </c>
      <c r="F39" s="25">
        <v>0.76312500000000005</v>
      </c>
      <c r="G39" s="24">
        <v>45754</v>
      </c>
      <c r="H39" t="s">
        <v>81</v>
      </c>
    </row>
    <row r="40" spans="1:8" x14ac:dyDescent="0.25">
      <c r="A40">
        <v>80889</v>
      </c>
      <c r="B40" t="s">
        <v>82</v>
      </c>
      <c r="C40" t="s">
        <v>132</v>
      </c>
      <c r="D40" t="s">
        <v>133</v>
      </c>
      <c r="E40">
        <v>108</v>
      </c>
      <c r="F40" s="25">
        <v>0.76312500000000005</v>
      </c>
      <c r="G40" s="24">
        <v>45751</v>
      </c>
      <c r="H40" t="s">
        <v>81</v>
      </c>
    </row>
    <row r="41" spans="1:8" x14ac:dyDescent="0.25">
      <c r="A41">
        <v>80896</v>
      </c>
      <c r="B41" t="s">
        <v>82</v>
      </c>
      <c r="C41" t="s">
        <v>134</v>
      </c>
      <c r="D41" t="s">
        <v>135</v>
      </c>
      <c r="E41">
        <v>108</v>
      </c>
      <c r="F41" s="25">
        <v>0.76312500000000005</v>
      </c>
      <c r="G41" s="24">
        <v>45751</v>
      </c>
      <c r="H41" t="s">
        <v>81</v>
      </c>
    </row>
    <row r="42" spans="1:8" x14ac:dyDescent="0.25">
      <c r="A42">
        <v>87160</v>
      </c>
      <c r="B42" t="s">
        <v>99</v>
      </c>
      <c r="C42" t="s">
        <v>136</v>
      </c>
      <c r="D42" t="s">
        <v>137</v>
      </c>
      <c r="E42">
        <v>108</v>
      </c>
      <c r="F42" s="25">
        <v>0.76312500000000005</v>
      </c>
      <c r="G42" s="24">
        <v>45754</v>
      </c>
      <c r="H42" t="s">
        <v>81</v>
      </c>
    </row>
    <row r="43" spans="1:8" x14ac:dyDescent="0.25">
      <c r="A43">
        <v>87200</v>
      </c>
      <c r="B43" t="s">
        <v>7</v>
      </c>
      <c r="C43" t="s">
        <v>138</v>
      </c>
      <c r="D43" t="s">
        <v>139</v>
      </c>
      <c r="E43">
        <v>108</v>
      </c>
      <c r="F43" s="25">
        <v>0.76312500000000005</v>
      </c>
      <c r="G43" s="24">
        <v>45754</v>
      </c>
      <c r="H43" t="s">
        <v>81</v>
      </c>
    </row>
    <row r="44" spans="1:8" x14ac:dyDescent="0.25">
      <c r="A44">
        <v>137660</v>
      </c>
      <c r="B44" t="s">
        <v>7</v>
      </c>
      <c r="C44" t="s">
        <v>140</v>
      </c>
      <c r="D44" t="s">
        <v>141</v>
      </c>
      <c r="E44">
        <v>107</v>
      </c>
      <c r="F44" s="25">
        <v>0.76312500000000005</v>
      </c>
      <c r="G44" s="24">
        <v>45751</v>
      </c>
      <c r="H44" t="s">
        <v>81</v>
      </c>
    </row>
    <row r="45" spans="1:8" x14ac:dyDescent="0.25">
      <c r="A45">
        <v>137656</v>
      </c>
      <c r="B45" t="s">
        <v>82</v>
      </c>
      <c r="C45" t="s">
        <v>142</v>
      </c>
      <c r="D45" t="s">
        <v>143</v>
      </c>
      <c r="E45">
        <v>105</v>
      </c>
      <c r="F45" s="25">
        <v>0.76312500000000005</v>
      </c>
      <c r="G45" s="24">
        <v>45751</v>
      </c>
      <c r="H45" t="s">
        <v>81</v>
      </c>
    </row>
    <row r="46" spans="1:8" x14ac:dyDescent="0.25">
      <c r="A46">
        <v>137674</v>
      </c>
      <c r="B46" t="s">
        <v>82</v>
      </c>
      <c r="C46" t="s">
        <v>144</v>
      </c>
      <c r="D46" t="s">
        <v>145</v>
      </c>
      <c r="E46">
        <v>105</v>
      </c>
      <c r="F46" s="25">
        <v>0.76312500000000005</v>
      </c>
      <c r="G46" s="24">
        <v>45751</v>
      </c>
      <c r="H46" t="s">
        <v>81</v>
      </c>
    </row>
    <row r="47" spans="1:8" x14ac:dyDescent="0.25">
      <c r="A47">
        <v>79030</v>
      </c>
      <c r="B47" t="s">
        <v>82</v>
      </c>
      <c r="C47" t="s">
        <v>146</v>
      </c>
      <c r="D47" t="s">
        <v>147</v>
      </c>
      <c r="E47">
        <v>103</v>
      </c>
      <c r="F47" s="25">
        <v>0.76312500000000005</v>
      </c>
      <c r="G47" s="24">
        <v>45751</v>
      </c>
      <c r="H47" t="s">
        <v>81</v>
      </c>
    </row>
    <row r="48" spans="1:8" x14ac:dyDescent="0.25">
      <c r="A48">
        <v>137673</v>
      </c>
      <c r="B48" t="s">
        <v>107</v>
      </c>
      <c r="C48" t="s">
        <v>148</v>
      </c>
      <c r="D48" t="s">
        <v>149</v>
      </c>
      <c r="E48">
        <v>102</v>
      </c>
      <c r="F48" s="25">
        <v>0.76312500000000005</v>
      </c>
      <c r="G48" s="24">
        <v>45751</v>
      </c>
      <c r="H48" t="s">
        <v>81</v>
      </c>
    </row>
    <row r="49" spans="1:8" x14ac:dyDescent="0.25">
      <c r="A49">
        <v>86010</v>
      </c>
      <c r="B49" t="s">
        <v>7</v>
      </c>
      <c r="C49" t="s">
        <v>150</v>
      </c>
      <c r="D49" t="s">
        <v>151</v>
      </c>
      <c r="E49">
        <v>100</v>
      </c>
      <c r="F49" s="25">
        <v>0.76312500000000005</v>
      </c>
      <c r="G49" s="24">
        <v>45751</v>
      </c>
      <c r="H49" t="s">
        <v>81</v>
      </c>
    </row>
    <row r="50" spans="1:8" x14ac:dyDescent="0.25">
      <c r="A50">
        <v>137688</v>
      </c>
      <c r="B50" t="s">
        <v>90</v>
      </c>
      <c r="C50" t="s">
        <v>152</v>
      </c>
      <c r="D50" t="s">
        <v>153</v>
      </c>
      <c r="E50">
        <v>100</v>
      </c>
      <c r="F50" s="25">
        <v>0.76312500000000005</v>
      </c>
      <c r="G50" s="24">
        <v>45751</v>
      </c>
      <c r="H50" t="s">
        <v>81</v>
      </c>
    </row>
    <row r="51" spans="1:8" x14ac:dyDescent="0.25">
      <c r="A51">
        <v>79183</v>
      </c>
      <c r="B51" t="s">
        <v>82</v>
      </c>
      <c r="C51" t="s">
        <v>154</v>
      </c>
      <c r="D51" t="s">
        <v>155</v>
      </c>
      <c r="E51">
        <v>100</v>
      </c>
      <c r="F51" s="25">
        <v>0.76312500000000005</v>
      </c>
      <c r="G51" s="24">
        <v>45751</v>
      </c>
      <c r="H51" t="s">
        <v>81</v>
      </c>
    </row>
    <row r="52" spans="1:8" x14ac:dyDescent="0.25">
      <c r="A52">
        <v>137801</v>
      </c>
      <c r="B52" t="s">
        <v>90</v>
      </c>
      <c r="C52" t="s">
        <v>156</v>
      </c>
      <c r="D52" t="s">
        <v>157</v>
      </c>
      <c r="E52">
        <v>100</v>
      </c>
      <c r="F52" s="25">
        <v>0.76312500000000005</v>
      </c>
      <c r="G52" s="24">
        <v>45751</v>
      </c>
      <c r="H52" t="s">
        <v>81</v>
      </c>
    </row>
    <row r="53" spans="1:8" x14ac:dyDescent="0.25">
      <c r="A53">
        <v>137687</v>
      </c>
      <c r="B53" t="s">
        <v>82</v>
      </c>
      <c r="C53" t="s">
        <v>158</v>
      </c>
      <c r="D53" t="s">
        <v>159</v>
      </c>
      <c r="E53">
        <v>99</v>
      </c>
      <c r="F53" s="25">
        <v>0.76312500000000005</v>
      </c>
      <c r="G53" s="24">
        <v>45728</v>
      </c>
      <c r="H53" t="s">
        <v>81</v>
      </c>
    </row>
    <row r="54" spans="1:8" x14ac:dyDescent="0.25">
      <c r="A54">
        <v>137683</v>
      </c>
      <c r="B54" t="s">
        <v>7</v>
      </c>
      <c r="C54" t="s">
        <v>160</v>
      </c>
      <c r="D54" t="s">
        <v>161</v>
      </c>
      <c r="E54">
        <v>98</v>
      </c>
      <c r="F54" s="25">
        <v>0.76312500000000005</v>
      </c>
      <c r="G54" s="24">
        <v>45698</v>
      </c>
      <c r="H54" t="s">
        <v>87</v>
      </c>
    </row>
    <row r="55" spans="1:8" x14ac:dyDescent="0.25">
      <c r="A55">
        <v>137712</v>
      </c>
      <c r="B55" t="s">
        <v>82</v>
      </c>
      <c r="C55" t="s">
        <v>162</v>
      </c>
      <c r="D55" t="s">
        <v>163</v>
      </c>
      <c r="E55">
        <v>96</v>
      </c>
      <c r="F55" s="25">
        <v>0.76312500000000005</v>
      </c>
      <c r="G55" s="24">
        <v>45751</v>
      </c>
      <c r="H55" t="s">
        <v>81</v>
      </c>
    </row>
    <row r="56" spans="1:8" x14ac:dyDescent="0.25">
      <c r="A56">
        <v>86052</v>
      </c>
      <c r="B56" t="s">
        <v>82</v>
      </c>
      <c r="C56" t="s">
        <v>164</v>
      </c>
      <c r="D56" t="s">
        <v>165</v>
      </c>
      <c r="E56">
        <v>95</v>
      </c>
      <c r="F56" t="s">
        <v>80</v>
      </c>
      <c r="G56" s="24">
        <v>45751</v>
      </c>
      <c r="H56" t="s">
        <v>81</v>
      </c>
    </row>
    <row r="57" spans="1:8" x14ac:dyDescent="0.25">
      <c r="A57">
        <v>86550</v>
      </c>
      <c r="B57" t="s">
        <v>90</v>
      </c>
      <c r="C57" t="s">
        <v>166</v>
      </c>
      <c r="D57" t="s">
        <v>167</v>
      </c>
      <c r="E57">
        <v>95</v>
      </c>
      <c r="F57" t="s">
        <v>80</v>
      </c>
      <c r="G57" s="24">
        <v>45751</v>
      </c>
      <c r="H57" t="s">
        <v>81</v>
      </c>
    </row>
    <row r="58" spans="1:8" x14ac:dyDescent="0.25">
      <c r="A58">
        <v>86582</v>
      </c>
      <c r="B58" t="s">
        <v>7</v>
      </c>
      <c r="C58" t="s">
        <v>168</v>
      </c>
      <c r="D58" t="s">
        <v>169</v>
      </c>
      <c r="E58">
        <v>94</v>
      </c>
      <c r="F58" t="s">
        <v>80</v>
      </c>
      <c r="G58" s="24">
        <v>45751</v>
      </c>
      <c r="H58" t="s">
        <v>81</v>
      </c>
    </row>
    <row r="59" spans="1:8" x14ac:dyDescent="0.25">
      <c r="A59">
        <v>137725</v>
      </c>
      <c r="B59" t="s">
        <v>90</v>
      </c>
      <c r="C59" t="s">
        <v>170</v>
      </c>
      <c r="D59" t="s">
        <v>171</v>
      </c>
      <c r="E59">
        <v>94</v>
      </c>
      <c r="F59" s="25">
        <v>0.76312500000000005</v>
      </c>
      <c r="G59" s="24">
        <v>45751</v>
      </c>
      <c r="H59" t="s">
        <v>81</v>
      </c>
    </row>
    <row r="60" spans="1:8" x14ac:dyDescent="0.25">
      <c r="A60">
        <v>137728</v>
      </c>
      <c r="B60" t="s">
        <v>7</v>
      </c>
      <c r="C60" t="s">
        <v>172</v>
      </c>
      <c r="D60" t="s">
        <v>173</v>
      </c>
      <c r="E60">
        <v>94</v>
      </c>
      <c r="F60" s="25">
        <v>0.76312500000000005</v>
      </c>
      <c r="G60" s="24">
        <v>45751</v>
      </c>
      <c r="H60" t="s">
        <v>81</v>
      </c>
    </row>
    <row r="61" spans="1:8" x14ac:dyDescent="0.25">
      <c r="A61">
        <v>87349</v>
      </c>
      <c r="B61" t="s">
        <v>99</v>
      </c>
      <c r="C61" t="s">
        <v>174</v>
      </c>
      <c r="D61" t="s">
        <v>175</v>
      </c>
      <c r="E61">
        <v>94</v>
      </c>
      <c r="F61" s="25">
        <v>0.84645833333333331</v>
      </c>
      <c r="G61" s="24">
        <v>45751</v>
      </c>
      <c r="H61" t="s">
        <v>81</v>
      </c>
    </row>
    <row r="62" spans="1:8" x14ac:dyDescent="0.25">
      <c r="A62">
        <v>87162</v>
      </c>
      <c r="B62" t="s">
        <v>82</v>
      </c>
      <c r="C62" t="s">
        <v>176</v>
      </c>
      <c r="D62" t="s">
        <v>177</v>
      </c>
      <c r="E62">
        <v>93</v>
      </c>
      <c r="F62" s="25">
        <v>0.76312500000000005</v>
      </c>
      <c r="G62" s="24">
        <v>45761</v>
      </c>
      <c r="H62" t="s">
        <v>81</v>
      </c>
    </row>
    <row r="63" spans="1:8" x14ac:dyDescent="0.25">
      <c r="A63">
        <v>83240</v>
      </c>
      <c r="B63" t="s">
        <v>82</v>
      </c>
      <c r="C63" t="s">
        <v>178</v>
      </c>
      <c r="D63" t="s">
        <v>179</v>
      </c>
      <c r="E63">
        <v>93</v>
      </c>
      <c r="F63" s="25">
        <v>0.76312500000000005</v>
      </c>
      <c r="G63" s="24">
        <v>45761</v>
      </c>
      <c r="H63" t="s">
        <v>81</v>
      </c>
    </row>
    <row r="64" spans="1:8" x14ac:dyDescent="0.25">
      <c r="A64">
        <v>86032</v>
      </c>
      <c r="B64" t="s">
        <v>82</v>
      </c>
      <c r="C64" t="s">
        <v>180</v>
      </c>
      <c r="D64" t="s">
        <v>181</v>
      </c>
      <c r="E64">
        <v>93</v>
      </c>
      <c r="F64" s="25">
        <v>0.76312500000000005</v>
      </c>
      <c r="G64" s="24">
        <v>45751</v>
      </c>
      <c r="H64" t="s">
        <v>81</v>
      </c>
    </row>
    <row r="65" spans="1:8" x14ac:dyDescent="0.25">
      <c r="A65">
        <v>137749</v>
      </c>
      <c r="B65" t="s">
        <v>82</v>
      </c>
      <c r="C65" t="s">
        <v>182</v>
      </c>
      <c r="D65" t="s">
        <v>183</v>
      </c>
      <c r="E65">
        <v>91</v>
      </c>
      <c r="F65" s="25">
        <v>0.76312500000000005</v>
      </c>
      <c r="G65" s="24">
        <v>45751</v>
      </c>
      <c r="H65" t="s">
        <v>87</v>
      </c>
    </row>
    <row r="66" spans="1:8" x14ac:dyDescent="0.25">
      <c r="A66">
        <v>139088</v>
      </c>
      <c r="B66" t="s">
        <v>99</v>
      </c>
      <c r="C66" t="s">
        <v>184</v>
      </c>
      <c r="D66" t="s">
        <v>185</v>
      </c>
      <c r="E66">
        <v>91</v>
      </c>
      <c r="F66" s="25">
        <v>0.76313657407407409</v>
      </c>
      <c r="G66" s="24">
        <v>45748</v>
      </c>
      <c r="H66" t="s">
        <v>186</v>
      </c>
    </row>
    <row r="67" spans="1:8" x14ac:dyDescent="0.25">
      <c r="A67">
        <v>78403</v>
      </c>
      <c r="B67" t="s">
        <v>82</v>
      </c>
      <c r="C67" t="s">
        <v>187</v>
      </c>
      <c r="D67" t="s">
        <v>188</v>
      </c>
      <c r="E67">
        <v>90</v>
      </c>
      <c r="F67" t="s">
        <v>80</v>
      </c>
      <c r="G67" s="24">
        <v>45761</v>
      </c>
      <c r="H67" t="s">
        <v>81</v>
      </c>
    </row>
    <row r="68" spans="1:8" x14ac:dyDescent="0.25">
      <c r="A68">
        <v>137391</v>
      </c>
      <c r="B68" t="s">
        <v>7</v>
      </c>
      <c r="C68" t="s">
        <v>189</v>
      </c>
      <c r="D68" t="s">
        <v>190</v>
      </c>
      <c r="E68">
        <v>90</v>
      </c>
      <c r="F68" s="25">
        <v>0.76312500000000005</v>
      </c>
      <c r="G68" s="24">
        <v>45700</v>
      </c>
      <c r="H68" t="s">
        <v>87</v>
      </c>
    </row>
    <row r="69" spans="1:8" x14ac:dyDescent="0.25">
      <c r="A69">
        <v>81374</v>
      </c>
      <c r="B69" t="s">
        <v>90</v>
      </c>
      <c r="C69" t="s">
        <v>191</v>
      </c>
      <c r="D69" t="s">
        <v>192</v>
      </c>
      <c r="E69">
        <v>88</v>
      </c>
      <c r="F69" s="25">
        <v>0.76312500000000005</v>
      </c>
      <c r="G69" s="24">
        <v>45761</v>
      </c>
      <c r="H69" t="s">
        <v>81</v>
      </c>
    </row>
    <row r="70" spans="1:8" x14ac:dyDescent="0.25">
      <c r="A70">
        <v>137778</v>
      </c>
      <c r="B70" t="s">
        <v>7</v>
      </c>
      <c r="C70" t="s">
        <v>193</v>
      </c>
      <c r="D70" t="s">
        <v>194</v>
      </c>
      <c r="E70">
        <v>88</v>
      </c>
      <c r="F70" s="25">
        <v>0.76312500000000005</v>
      </c>
      <c r="G70" s="24">
        <v>45761</v>
      </c>
      <c r="H70" t="s">
        <v>81</v>
      </c>
    </row>
    <row r="71" spans="1:8" x14ac:dyDescent="0.25">
      <c r="A71">
        <v>137781</v>
      </c>
      <c r="B71" t="s">
        <v>90</v>
      </c>
      <c r="C71" t="s">
        <v>195</v>
      </c>
      <c r="D71" t="s">
        <v>196</v>
      </c>
      <c r="E71">
        <v>88</v>
      </c>
      <c r="F71" s="25">
        <v>0.76312500000000005</v>
      </c>
      <c r="G71" s="24">
        <v>45757</v>
      </c>
      <c r="H71" t="s">
        <v>81</v>
      </c>
    </row>
    <row r="72" spans="1:8" x14ac:dyDescent="0.25">
      <c r="A72">
        <v>137979</v>
      </c>
      <c r="B72" t="s">
        <v>90</v>
      </c>
      <c r="C72" t="s">
        <v>197</v>
      </c>
      <c r="D72" t="s">
        <v>198</v>
      </c>
      <c r="E72">
        <v>88</v>
      </c>
      <c r="F72" s="25">
        <v>0.76312500000000005</v>
      </c>
      <c r="G72" s="24">
        <v>45761</v>
      </c>
      <c r="H72" t="s">
        <v>87</v>
      </c>
    </row>
    <row r="73" spans="1:8" x14ac:dyDescent="0.25">
      <c r="A73">
        <v>86345</v>
      </c>
      <c r="B73" t="s">
        <v>7</v>
      </c>
      <c r="C73" t="s">
        <v>199</v>
      </c>
      <c r="D73" t="s">
        <v>200</v>
      </c>
      <c r="E73">
        <v>87</v>
      </c>
      <c r="F73" t="s">
        <v>80</v>
      </c>
      <c r="G73" s="24">
        <v>45761</v>
      </c>
      <c r="H73" t="s">
        <v>81</v>
      </c>
    </row>
    <row r="74" spans="1:8" x14ac:dyDescent="0.25">
      <c r="A74">
        <v>137780</v>
      </c>
      <c r="B74" t="s">
        <v>90</v>
      </c>
      <c r="C74" t="s">
        <v>201</v>
      </c>
      <c r="D74" t="s">
        <v>202</v>
      </c>
      <c r="E74">
        <v>87</v>
      </c>
      <c r="F74" s="25">
        <v>0.76312500000000005</v>
      </c>
      <c r="G74" s="24">
        <v>45761</v>
      </c>
      <c r="H74" t="s">
        <v>81</v>
      </c>
    </row>
    <row r="75" spans="1:8" x14ac:dyDescent="0.25">
      <c r="A75">
        <v>86120</v>
      </c>
      <c r="B75" t="s">
        <v>99</v>
      </c>
      <c r="C75" t="s">
        <v>203</v>
      </c>
      <c r="D75" t="s">
        <v>204</v>
      </c>
      <c r="E75">
        <v>86</v>
      </c>
      <c r="F75" t="s">
        <v>80</v>
      </c>
      <c r="G75" s="24">
        <v>45761</v>
      </c>
      <c r="H75" t="s">
        <v>81</v>
      </c>
    </row>
    <row r="76" spans="1:8" x14ac:dyDescent="0.25">
      <c r="A76">
        <v>138810</v>
      </c>
      <c r="B76" t="s">
        <v>99</v>
      </c>
      <c r="C76" t="s">
        <v>205</v>
      </c>
      <c r="D76" t="s">
        <v>206</v>
      </c>
      <c r="E76">
        <v>86</v>
      </c>
      <c r="F76" s="25">
        <v>0.76313657407407409</v>
      </c>
      <c r="G76" s="24">
        <v>45761</v>
      </c>
      <c r="H76" t="s">
        <v>81</v>
      </c>
    </row>
    <row r="77" spans="1:8" x14ac:dyDescent="0.25">
      <c r="A77">
        <v>137791</v>
      </c>
      <c r="B77" t="s">
        <v>90</v>
      </c>
      <c r="C77" t="s">
        <v>207</v>
      </c>
      <c r="D77" t="s">
        <v>208</v>
      </c>
      <c r="E77">
        <v>85</v>
      </c>
      <c r="F77" s="25">
        <v>0.76312500000000005</v>
      </c>
      <c r="G77" s="24">
        <v>45749</v>
      </c>
      <c r="H77" t="s">
        <v>81</v>
      </c>
    </row>
    <row r="78" spans="1:8" x14ac:dyDescent="0.25">
      <c r="A78">
        <v>137804</v>
      </c>
      <c r="B78" t="s">
        <v>7</v>
      </c>
      <c r="C78" t="s">
        <v>209</v>
      </c>
      <c r="D78" t="s">
        <v>210</v>
      </c>
      <c r="E78">
        <v>84</v>
      </c>
      <c r="F78" s="25">
        <v>0.76312500000000005</v>
      </c>
      <c r="G78" s="24">
        <v>45761</v>
      </c>
      <c r="H78" t="s">
        <v>81</v>
      </c>
    </row>
    <row r="79" spans="1:8" x14ac:dyDescent="0.25">
      <c r="A79">
        <v>137808</v>
      </c>
      <c r="B79" t="s">
        <v>90</v>
      </c>
      <c r="C79" t="s">
        <v>211</v>
      </c>
      <c r="D79" t="s">
        <v>212</v>
      </c>
      <c r="E79">
        <v>84</v>
      </c>
      <c r="F79" s="25">
        <v>0.76312500000000005</v>
      </c>
      <c r="G79" s="24">
        <v>45737</v>
      </c>
      <c r="H79" t="s">
        <v>81</v>
      </c>
    </row>
    <row r="80" spans="1:8" x14ac:dyDescent="0.25">
      <c r="A80">
        <v>137812</v>
      </c>
      <c r="B80" t="s">
        <v>7</v>
      </c>
      <c r="C80" t="s">
        <v>213</v>
      </c>
      <c r="D80" t="s">
        <v>214</v>
      </c>
      <c r="E80">
        <v>84</v>
      </c>
      <c r="F80" s="25">
        <v>0.76312500000000005</v>
      </c>
      <c r="G80" s="24">
        <v>45761</v>
      </c>
      <c r="H80" t="s">
        <v>81</v>
      </c>
    </row>
    <row r="81" spans="1:8" x14ac:dyDescent="0.25">
      <c r="A81">
        <v>137813</v>
      </c>
      <c r="B81" t="s">
        <v>7</v>
      </c>
      <c r="C81" t="s">
        <v>215</v>
      </c>
      <c r="D81" t="s">
        <v>216</v>
      </c>
      <c r="E81">
        <v>84</v>
      </c>
      <c r="F81" s="25">
        <v>0.76312500000000005</v>
      </c>
      <c r="G81" s="24">
        <v>45761</v>
      </c>
      <c r="H81" t="s">
        <v>81</v>
      </c>
    </row>
    <row r="82" spans="1:8" x14ac:dyDescent="0.25">
      <c r="A82">
        <v>137439</v>
      </c>
      <c r="B82" t="s">
        <v>90</v>
      </c>
      <c r="C82" t="s">
        <v>217</v>
      </c>
      <c r="D82" t="s">
        <v>218</v>
      </c>
      <c r="E82">
        <v>81</v>
      </c>
      <c r="F82" s="25">
        <v>0.76312500000000005</v>
      </c>
      <c r="G82" s="24">
        <v>45750</v>
      </c>
      <c r="H82" t="s">
        <v>87</v>
      </c>
    </row>
    <row r="83" spans="1:8" x14ac:dyDescent="0.25">
      <c r="A83">
        <v>137911</v>
      </c>
      <c r="B83" t="s">
        <v>77</v>
      </c>
      <c r="C83" t="s">
        <v>219</v>
      </c>
      <c r="D83" t="s">
        <v>220</v>
      </c>
      <c r="E83">
        <v>81</v>
      </c>
      <c r="F83" s="25">
        <v>0.76312500000000005</v>
      </c>
      <c r="G83" s="24">
        <v>45761</v>
      </c>
      <c r="H83" t="s">
        <v>81</v>
      </c>
    </row>
    <row r="84" spans="1:8" x14ac:dyDescent="0.25">
      <c r="A84">
        <v>83149</v>
      </c>
      <c r="B84" t="s">
        <v>90</v>
      </c>
      <c r="C84" t="s">
        <v>221</v>
      </c>
      <c r="D84" t="s">
        <v>222</v>
      </c>
      <c r="E84">
        <v>81</v>
      </c>
      <c r="F84" s="25">
        <v>0.76312500000000005</v>
      </c>
      <c r="G84" s="24">
        <v>45761</v>
      </c>
      <c r="H84" t="s">
        <v>81</v>
      </c>
    </row>
    <row r="85" spans="1:8" x14ac:dyDescent="0.25">
      <c r="A85">
        <v>87338</v>
      </c>
      <c r="B85" t="s">
        <v>7</v>
      </c>
      <c r="C85" t="s">
        <v>223</v>
      </c>
      <c r="D85" t="s">
        <v>224</v>
      </c>
      <c r="E85">
        <v>80</v>
      </c>
      <c r="F85" s="25">
        <v>0.76312500000000005</v>
      </c>
      <c r="G85" s="24">
        <v>45761</v>
      </c>
      <c r="H85" t="s">
        <v>81</v>
      </c>
    </row>
    <row r="86" spans="1:8" x14ac:dyDescent="0.25">
      <c r="A86">
        <v>137914</v>
      </c>
      <c r="B86" t="s">
        <v>7</v>
      </c>
      <c r="C86" t="s">
        <v>225</v>
      </c>
      <c r="D86" t="s">
        <v>226</v>
      </c>
      <c r="E86">
        <v>80</v>
      </c>
      <c r="F86" s="25">
        <v>0.76312500000000005</v>
      </c>
      <c r="G86" s="24">
        <v>45761</v>
      </c>
      <c r="H86" t="s">
        <v>81</v>
      </c>
    </row>
    <row r="87" spans="1:8" x14ac:dyDescent="0.25">
      <c r="A87">
        <v>79223</v>
      </c>
      <c r="B87" t="s">
        <v>77</v>
      </c>
      <c r="C87" t="s">
        <v>227</v>
      </c>
      <c r="D87" t="s">
        <v>228</v>
      </c>
      <c r="E87">
        <v>79</v>
      </c>
      <c r="F87" s="25">
        <v>0.76312500000000005</v>
      </c>
      <c r="G87" s="24">
        <v>45761</v>
      </c>
      <c r="H87" t="s">
        <v>81</v>
      </c>
    </row>
    <row r="88" spans="1:8" x14ac:dyDescent="0.25">
      <c r="A88">
        <v>85471</v>
      </c>
      <c r="B88" t="s">
        <v>99</v>
      </c>
      <c r="C88" t="s">
        <v>229</v>
      </c>
      <c r="D88" t="s">
        <v>230</v>
      </c>
      <c r="E88">
        <v>78</v>
      </c>
      <c r="F88" t="s">
        <v>80</v>
      </c>
      <c r="G88" s="24">
        <v>45761</v>
      </c>
      <c r="H88" t="s">
        <v>81</v>
      </c>
    </row>
    <row r="89" spans="1:8" x14ac:dyDescent="0.25">
      <c r="A89">
        <v>83619</v>
      </c>
      <c r="B89" t="s">
        <v>7</v>
      </c>
      <c r="C89" t="s">
        <v>231</v>
      </c>
      <c r="D89" t="s">
        <v>232</v>
      </c>
      <c r="E89">
        <v>77</v>
      </c>
      <c r="F89" t="s">
        <v>80</v>
      </c>
      <c r="G89" s="24">
        <v>45761</v>
      </c>
      <c r="H89" t="s">
        <v>81</v>
      </c>
    </row>
    <row r="90" spans="1:8" x14ac:dyDescent="0.25">
      <c r="A90">
        <v>137937</v>
      </c>
      <c r="B90" t="s">
        <v>7</v>
      </c>
      <c r="C90" t="s">
        <v>233</v>
      </c>
      <c r="D90" t="s">
        <v>234</v>
      </c>
      <c r="E90">
        <v>77</v>
      </c>
      <c r="F90" s="25">
        <v>0.76312500000000005</v>
      </c>
      <c r="G90" s="24">
        <v>45761</v>
      </c>
      <c r="H90" t="s">
        <v>81</v>
      </c>
    </row>
    <row r="91" spans="1:8" x14ac:dyDescent="0.25">
      <c r="A91">
        <v>137938</v>
      </c>
      <c r="B91" t="s">
        <v>99</v>
      </c>
      <c r="C91" t="s">
        <v>235</v>
      </c>
      <c r="D91" t="s">
        <v>236</v>
      </c>
      <c r="E91">
        <v>77</v>
      </c>
      <c r="F91" s="25">
        <v>0.76312500000000005</v>
      </c>
      <c r="G91" s="24">
        <v>45761</v>
      </c>
      <c r="H91" t="s">
        <v>81</v>
      </c>
    </row>
    <row r="92" spans="1:8" x14ac:dyDescent="0.25">
      <c r="A92">
        <v>137939</v>
      </c>
      <c r="B92" t="s">
        <v>7</v>
      </c>
      <c r="C92" t="s">
        <v>237</v>
      </c>
      <c r="D92" t="s">
        <v>238</v>
      </c>
      <c r="E92">
        <v>77</v>
      </c>
      <c r="F92" s="25">
        <v>0.76312500000000005</v>
      </c>
      <c r="G92" s="24">
        <v>45761</v>
      </c>
      <c r="H92" t="s">
        <v>81</v>
      </c>
    </row>
    <row r="93" spans="1:8" x14ac:dyDescent="0.25">
      <c r="A93">
        <v>137942</v>
      </c>
      <c r="B93" t="s">
        <v>90</v>
      </c>
      <c r="C93" t="s">
        <v>239</v>
      </c>
      <c r="D93" t="s">
        <v>240</v>
      </c>
      <c r="E93">
        <v>77</v>
      </c>
      <c r="F93" s="25">
        <v>0.76312500000000005</v>
      </c>
      <c r="G93" s="24">
        <v>45755</v>
      </c>
      <c r="H93" t="s">
        <v>81</v>
      </c>
    </row>
    <row r="94" spans="1:8" x14ac:dyDescent="0.25">
      <c r="A94">
        <v>137946</v>
      </c>
      <c r="B94" t="s">
        <v>90</v>
      </c>
      <c r="C94" t="s">
        <v>241</v>
      </c>
      <c r="D94" t="s">
        <v>242</v>
      </c>
      <c r="E94">
        <v>77</v>
      </c>
      <c r="F94" s="25">
        <v>0.76312500000000005</v>
      </c>
      <c r="G94" s="24">
        <v>45757</v>
      </c>
      <c r="H94" t="s">
        <v>243</v>
      </c>
    </row>
    <row r="95" spans="1:8" x14ac:dyDescent="0.25">
      <c r="A95">
        <v>87076</v>
      </c>
      <c r="B95" t="s">
        <v>77</v>
      </c>
      <c r="C95" t="s">
        <v>244</v>
      </c>
      <c r="D95" t="s">
        <v>245</v>
      </c>
      <c r="E95">
        <v>76</v>
      </c>
      <c r="F95" s="25">
        <v>0.76312500000000005</v>
      </c>
      <c r="G95" s="24">
        <v>45761</v>
      </c>
      <c r="H95" t="s">
        <v>81</v>
      </c>
    </row>
    <row r="96" spans="1:8" x14ac:dyDescent="0.25">
      <c r="A96">
        <v>137433</v>
      </c>
      <c r="B96" t="s">
        <v>7</v>
      </c>
      <c r="C96" t="s">
        <v>246</v>
      </c>
      <c r="D96" t="s">
        <v>247</v>
      </c>
      <c r="E96">
        <v>76</v>
      </c>
      <c r="F96" s="25">
        <v>0.76312500000000005</v>
      </c>
      <c r="G96" s="24">
        <v>45761</v>
      </c>
      <c r="H96" t="s">
        <v>81</v>
      </c>
    </row>
    <row r="97" spans="1:8" x14ac:dyDescent="0.25">
      <c r="A97">
        <v>137956</v>
      </c>
      <c r="B97" t="s">
        <v>7</v>
      </c>
      <c r="C97" t="s">
        <v>248</v>
      </c>
      <c r="D97" t="s">
        <v>249</v>
      </c>
      <c r="E97">
        <v>76</v>
      </c>
      <c r="F97" s="25">
        <v>0.76312500000000005</v>
      </c>
      <c r="G97" s="24">
        <v>45757</v>
      </c>
      <c r="H97" t="s">
        <v>87</v>
      </c>
    </row>
    <row r="98" spans="1:8" x14ac:dyDescent="0.25">
      <c r="A98">
        <v>137958</v>
      </c>
      <c r="B98" t="s">
        <v>99</v>
      </c>
      <c r="C98" t="s">
        <v>250</v>
      </c>
      <c r="D98" t="s">
        <v>251</v>
      </c>
      <c r="E98">
        <v>76</v>
      </c>
      <c r="F98" s="25">
        <v>0.76312500000000005</v>
      </c>
      <c r="G98" s="24">
        <v>45761</v>
      </c>
      <c r="H98" t="s">
        <v>81</v>
      </c>
    </row>
    <row r="99" spans="1:8" x14ac:dyDescent="0.25">
      <c r="A99">
        <v>137960</v>
      </c>
      <c r="B99" t="s">
        <v>99</v>
      </c>
      <c r="C99" t="s">
        <v>252</v>
      </c>
      <c r="D99" t="s">
        <v>253</v>
      </c>
      <c r="E99">
        <v>76</v>
      </c>
      <c r="F99" s="25">
        <v>0.76312500000000005</v>
      </c>
      <c r="G99" s="24">
        <v>45761</v>
      </c>
      <c r="H99" t="s">
        <v>81</v>
      </c>
    </row>
    <row r="100" spans="1:8" x14ac:dyDescent="0.25">
      <c r="A100">
        <v>137961</v>
      </c>
      <c r="B100" t="s">
        <v>82</v>
      </c>
      <c r="C100" t="s">
        <v>254</v>
      </c>
      <c r="D100" t="s">
        <v>255</v>
      </c>
      <c r="E100">
        <v>76</v>
      </c>
      <c r="F100" s="25">
        <v>0.76312500000000005</v>
      </c>
      <c r="G100" s="24">
        <v>45761</v>
      </c>
      <c r="H100" t="s">
        <v>81</v>
      </c>
    </row>
    <row r="101" spans="1:8" x14ac:dyDescent="0.25">
      <c r="A101">
        <v>78795</v>
      </c>
      <c r="B101" t="s">
        <v>99</v>
      </c>
      <c r="C101" t="s">
        <v>256</v>
      </c>
      <c r="D101" t="s">
        <v>257</v>
      </c>
      <c r="E101">
        <v>76</v>
      </c>
      <c r="F101" s="25">
        <v>0.76312500000000005</v>
      </c>
      <c r="G101" s="24">
        <v>45761</v>
      </c>
      <c r="H101" t="s">
        <v>81</v>
      </c>
    </row>
    <row r="102" spans="1:8" x14ac:dyDescent="0.25">
      <c r="A102">
        <v>137966</v>
      </c>
      <c r="B102" t="s">
        <v>82</v>
      </c>
      <c r="C102" t="s">
        <v>258</v>
      </c>
      <c r="D102" t="s">
        <v>259</v>
      </c>
      <c r="E102">
        <v>75</v>
      </c>
      <c r="F102" s="25">
        <v>0.76312500000000005</v>
      </c>
      <c r="G102" s="24">
        <v>45761</v>
      </c>
      <c r="H102" t="s">
        <v>81</v>
      </c>
    </row>
    <row r="103" spans="1:8" x14ac:dyDescent="0.25">
      <c r="A103">
        <v>86521</v>
      </c>
      <c r="B103" t="s">
        <v>82</v>
      </c>
      <c r="C103" t="s">
        <v>260</v>
      </c>
      <c r="D103" t="s">
        <v>261</v>
      </c>
      <c r="E103">
        <v>74</v>
      </c>
      <c r="F103" t="s">
        <v>80</v>
      </c>
      <c r="G103" s="24">
        <v>45761</v>
      </c>
      <c r="H103" t="s">
        <v>81</v>
      </c>
    </row>
    <row r="104" spans="1:8" x14ac:dyDescent="0.25">
      <c r="A104">
        <v>87379</v>
      </c>
      <c r="B104" t="s">
        <v>90</v>
      </c>
      <c r="C104" t="s">
        <v>262</v>
      </c>
      <c r="D104" t="s">
        <v>263</v>
      </c>
      <c r="E104">
        <v>74</v>
      </c>
      <c r="F104" s="25">
        <v>0.76312500000000005</v>
      </c>
      <c r="G104" s="24">
        <v>45755</v>
      </c>
      <c r="H104" t="s">
        <v>87</v>
      </c>
    </row>
    <row r="105" spans="1:8" x14ac:dyDescent="0.25">
      <c r="A105">
        <v>137976</v>
      </c>
      <c r="B105" t="s">
        <v>90</v>
      </c>
      <c r="C105" t="s">
        <v>264</v>
      </c>
      <c r="D105" t="s">
        <v>265</v>
      </c>
      <c r="E105">
        <v>74</v>
      </c>
      <c r="F105" s="25">
        <v>0.76312500000000005</v>
      </c>
      <c r="G105" s="24">
        <v>45761</v>
      </c>
      <c r="H105" t="s">
        <v>81</v>
      </c>
    </row>
    <row r="106" spans="1:8" x14ac:dyDescent="0.25">
      <c r="A106">
        <v>79220</v>
      </c>
      <c r="B106" t="s">
        <v>99</v>
      </c>
      <c r="C106" t="s">
        <v>266</v>
      </c>
      <c r="D106" t="s">
        <v>267</v>
      </c>
      <c r="E106">
        <v>72</v>
      </c>
      <c r="F106" t="s">
        <v>80</v>
      </c>
      <c r="G106" s="24">
        <v>45758</v>
      </c>
      <c r="H106" t="s">
        <v>81</v>
      </c>
    </row>
    <row r="107" spans="1:8" x14ac:dyDescent="0.25">
      <c r="A107">
        <v>137987</v>
      </c>
      <c r="B107" t="s">
        <v>90</v>
      </c>
      <c r="C107" t="s">
        <v>268</v>
      </c>
      <c r="D107" t="s">
        <v>269</v>
      </c>
      <c r="E107">
        <v>72</v>
      </c>
      <c r="F107" s="25">
        <v>0.76312500000000005</v>
      </c>
      <c r="G107" s="24">
        <v>45758</v>
      </c>
      <c r="H107" t="s">
        <v>81</v>
      </c>
    </row>
    <row r="108" spans="1:8" x14ac:dyDescent="0.25">
      <c r="A108">
        <v>137986</v>
      </c>
      <c r="B108" t="s">
        <v>7</v>
      </c>
      <c r="C108" t="s">
        <v>270</v>
      </c>
      <c r="D108" t="s">
        <v>271</v>
      </c>
      <c r="E108">
        <v>71</v>
      </c>
      <c r="F108" s="25">
        <v>0.76312500000000005</v>
      </c>
      <c r="G108" s="24">
        <v>45758</v>
      </c>
      <c r="H108" t="s">
        <v>81</v>
      </c>
    </row>
    <row r="109" spans="1:8" x14ac:dyDescent="0.25">
      <c r="A109">
        <v>137998</v>
      </c>
      <c r="B109" t="s">
        <v>77</v>
      </c>
      <c r="C109" t="s">
        <v>272</v>
      </c>
      <c r="D109" t="s">
        <v>273</v>
      </c>
      <c r="E109">
        <v>70</v>
      </c>
      <c r="F109" s="25">
        <v>0.76312500000000005</v>
      </c>
      <c r="G109" s="24">
        <v>45761</v>
      </c>
      <c r="H109" t="s">
        <v>81</v>
      </c>
    </row>
    <row r="110" spans="1:8" x14ac:dyDescent="0.25">
      <c r="A110">
        <v>138004</v>
      </c>
      <c r="B110" t="s">
        <v>99</v>
      </c>
      <c r="C110" t="s">
        <v>274</v>
      </c>
      <c r="D110" t="s">
        <v>275</v>
      </c>
      <c r="E110">
        <v>67</v>
      </c>
      <c r="F110" s="25">
        <v>0.76312500000000005</v>
      </c>
      <c r="G110" s="24">
        <v>45761</v>
      </c>
      <c r="H110" t="s">
        <v>81</v>
      </c>
    </row>
    <row r="111" spans="1:8" x14ac:dyDescent="0.25">
      <c r="A111">
        <v>83314</v>
      </c>
      <c r="B111" t="s">
        <v>82</v>
      </c>
      <c r="C111" t="s">
        <v>276</v>
      </c>
      <c r="D111" t="s">
        <v>277</v>
      </c>
      <c r="E111">
        <v>66</v>
      </c>
      <c r="F111" s="25">
        <v>0.76312500000000005</v>
      </c>
      <c r="G111" s="24">
        <v>45761</v>
      </c>
      <c r="H111" t="s">
        <v>81</v>
      </c>
    </row>
    <row r="112" spans="1:8" x14ac:dyDescent="0.25">
      <c r="A112">
        <v>138006</v>
      </c>
      <c r="B112" t="s">
        <v>82</v>
      </c>
      <c r="C112" t="s">
        <v>278</v>
      </c>
      <c r="D112" t="s">
        <v>279</v>
      </c>
      <c r="E112">
        <v>66</v>
      </c>
      <c r="F112" s="25">
        <v>0.76312500000000005</v>
      </c>
      <c r="G112" s="24">
        <v>45761</v>
      </c>
      <c r="H112" t="s">
        <v>81</v>
      </c>
    </row>
    <row r="113" spans="1:8" x14ac:dyDescent="0.25">
      <c r="A113">
        <v>138007</v>
      </c>
      <c r="B113" t="s">
        <v>7</v>
      </c>
      <c r="C113" t="s">
        <v>280</v>
      </c>
      <c r="D113" t="s">
        <v>281</v>
      </c>
      <c r="E113">
        <v>66</v>
      </c>
      <c r="F113" s="25">
        <v>0.76312500000000005</v>
      </c>
      <c r="G113" s="24">
        <v>45757</v>
      </c>
      <c r="H113" t="s">
        <v>87</v>
      </c>
    </row>
    <row r="114" spans="1:8" x14ac:dyDescent="0.25">
      <c r="A114">
        <v>138011</v>
      </c>
      <c r="B114" t="s">
        <v>90</v>
      </c>
      <c r="C114" t="s">
        <v>282</v>
      </c>
      <c r="D114" t="s">
        <v>283</v>
      </c>
      <c r="E114">
        <v>66</v>
      </c>
      <c r="F114" s="25">
        <v>0.76312500000000005</v>
      </c>
      <c r="G114" s="24">
        <v>45761</v>
      </c>
      <c r="H114" t="s">
        <v>81</v>
      </c>
    </row>
    <row r="115" spans="1:8" x14ac:dyDescent="0.25">
      <c r="A115">
        <v>138020</v>
      </c>
      <c r="B115" t="s">
        <v>7</v>
      </c>
      <c r="C115" t="s">
        <v>284</v>
      </c>
      <c r="D115" t="s">
        <v>285</v>
      </c>
      <c r="E115">
        <v>64</v>
      </c>
      <c r="F115" s="25">
        <v>0.76313657407407409</v>
      </c>
      <c r="G115" s="24">
        <v>45761</v>
      </c>
      <c r="H115" t="s">
        <v>81</v>
      </c>
    </row>
    <row r="116" spans="1:8" x14ac:dyDescent="0.25">
      <c r="A116">
        <v>86593</v>
      </c>
      <c r="B116" t="s">
        <v>7</v>
      </c>
      <c r="C116" t="s">
        <v>286</v>
      </c>
      <c r="D116" t="s">
        <v>287</v>
      </c>
      <c r="E116">
        <v>63</v>
      </c>
      <c r="F116" s="25">
        <v>0.76312500000000005</v>
      </c>
      <c r="G116" s="24">
        <v>45761</v>
      </c>
      <c r="H116" t="s">
        <v>81</v>
      </c>
    </row>
    <row r="117" spans="1:8" x14ac:dyDescent="0.25">
      <c r="A117">
        <v>138024</v>
      </c>
      <c r="B117" t="s">
        <v>77</v>
      </c>
      <c r="C117" t="s">
        <v>288</v>
      </c>
      <c r="D117" t="s">
        <v>289</v>
      </c>
      <c r="E117">
        <v>63</v>
      </c>
      <c r="F117" s="25">
        <v>0.76313657407407409</v>
      </c>
      <c r="G117" s="24">
        <v>45761</v>
      </c>
      <c r="H117" t="s">
        <v>81</v>
      </c>
    </row>
    <row r="118" spans="1:8" x14ac:dyDescent="0.25">
      <c r="A118">
        <v>138026</v>
      </c>
      <c r="B118" t="s">
        <v>99</v>
      </c>
      <c r="C118" t="s">
        <v>290</v>
      </c>
      <c r="D118" t="s">
        <v>291</v>
      </c>
      <c r="E118">
        <v>63</v>
      </c>
      <c r="F118" s="25">
        <v>0.76313657407407409</v>
      </c>
      <c r="G118" s="24">
        <v>45761</v>
      </c>
      <c r="H118" t="s">
        <v>81</v>
      </c>
    </row>
    <row r="119" spans="1:8" x14ac:dyDescent="0.25">
      <c r="A119">
        <v>137741</v>
      </c>
      <c r="B119" t="s">
        <v>107</v>
      </c>
      <c r="C119" t="s">
        <v>292</v>
      </c>
      <c r="D119" t="s">
        <v>293</v>
      </c>
      <c r="E119">
        <v>62</v>
      </c>
      <c r="F119" s="25">
        <v>0.76312500000000005</v>
      </c>
      <c r="G119" s="24">
        <v>45761</v>
      </c>
      <c r="H119" t="s">
        <v>81</v>
      </c>
    </row>
    <row r="120" spans="1:8" x14ac:dyDescent="0.25">
      <c r="A120">
        <v>77478</v>
      </c>
      <c r="B120" t="s">
        <v>7</v>
      </c>
      <c r="C120" t="s">
        <v>294</v>
      </c>
      <c r="D120" t="s">
        <v>295</v>
      </c>
      <c r="E120">
        <v>61</v>
      </c>
      <c r="F120" s="25">
        <v>0.76312500000000005</v>
      </c>
      <c r="G120" s="24">
        <v>45761</v>
      </c>
      <c r="H120" t="s">
        <v>81</v>
      </c>
    </row>
    <row r="121" spans="1:8" x14ac:dyDescent="0.25">
      <c r="A121">
        <v>83494</v>
      </c>
      <c r="B121" t="s">
        <v>77</v>
      </c>
      <c r="C121" t="s">
        <v>296</v>
      </c>
      <c r="D121" t="s">
        <v>297</v>
      </c>
      <c r="E121">
        <v>60</v>
      </c>
      <c r="F121" s="25">
        <v>0.76312500000000005</v>
      </c>
      <c r="G121" s="24">
        <v>45761</v>
      </c>
      <c r="H121" t="s">
        <v>81</v>
      </c>
    </row>
    <row r="122" spans="1:8" x14ac:dyDescent="0.25">
      <c r="A122">
        <v>78271</v>
      </c>
      <c r="B122" t="s">
        <v>77</v>
      </c>
      <c r="C122" t="s">
        <v>298</v>
      </c>
      <c r="D122" t="s">
        <v>299</v>
      </c>
      <c r="E122">
        <v>59</v>
      </c>
      <c r="F122" t="s">
        <v>80</v>
      </c>
      <c r="G122" s="24">
        <v>45761</v>
      </c>
      <c r="H122" t="s">
        <v>87</v>
      </c>
    </row>
    <row r="123" spans="1:8" x14ac:dyDescent="0.25">
      <c r="A123">
        <v>80923</v>
      </c>
      <c r="B123" t="s">
        <v>77</v>
      </c>
      <c r="C123" t="s">
        <v>300</v>
      </c>
      <c r="D123" t="s">
        <v>301</v>
      </c>
      <c r="E123">
        <v>59</v>
      </c>
      <c r="F123" s="25">
        <v>0.76312500000000005</v>
      </c>
      <c r="G123" s="24">
        <v>45761</v>
      </c>
      <c r="H123" t="s">
        <v>87</v>
      </c>
    </row>
    <row r="124" spans="1:8" x14ac:dyDescent="0.25">
      <c r="A124">
        <v>86896</v>
      </c>
      <c r="B124" t="s">
        <v>82</v>
      </c>
      <c r="C124" t="s">
        <v>302</v>
      </c>
      <c r="D124" t="s">
        <v>303</v>
      </c>
      <c r="E124">
        <v>59</v>
      </c>
      <c r="F124" t="s">
        <v>80</v>
      </c>
      <c r="G124" s="24">
        <v>45761</v>
      </c>
      <c r="H124" t="s">
        <v>81</v>
      </c>
    </row>
    <row r="125" spans="1:8" x14ac:dyDescent="0.25">
      <c r="A125">
        <v>138038</v>
      </c>
      <c r="B125" t="s">
        <v>82</v>
      </c>
      <c r="C125" t="s">
        <v>304</v>
      </c>
      <c r="D125" t="s">
        <v>305</v>
      </c>
      <c r="E125">
        <v>59</v>
      </c>
      <c r="F125" s="25">
        <v>0.76313657407407409</v>
      </c>
      <c r="G125" s="24">
        <v>45761</v>
      </c>
      <c r="H125" t="s">
        <v>87</v>
      </c>
    </row>
    <row r="126" spans="1:8" x14ac:dyDescent="0.25">
      <c r="A126">
        <v>137769</v>
      </c>
      <c r="B126" t="s">
        <v>82</v>
      </c>
      <c r="C126" t="s">
        <v>306</v>
      </c>
      <c r="D126" t="s">
        <v>307</v>
      </c>
      <c r="E126">
        <v>58</v>
      </c>
      <c r="F126" s="25">
        <v>0.76312500000000005</v>
      </c>
      <c r="G126" s="24">
        <v>45761</v>
      </c>
      <c r="H126" t="s">
        <v>87</v>
      </c>
    </row>
    <row r="127" spans="1:8" x14ac:dyDescent="0.25">
      <c r="A127">
        <v>138054</v>
      </c>
      <c r="B127" t="s">
        <v>82</v>
      </c>
      <c r="C127" t="s">
        <v>308</v>
      </c>
      <c r="D127" t="s">
        <v>309</v>
      </c>
      <c r="E127">
        <v>58</v>
      </c>
      <c r="F127" s="25">
        <v>0.76313657407407409</v>
      </c>
      <c r="G127" s="24">
        <v>45761</v>
      </c>
      <c r="H127" t="s">
        <v>81</v>
      </c>
    </row>
    <row r="128" spans="1:8" x14ac:dyDescent="0.25">
      <c r="A128">
        <v>86105</v>
      </c>
      <c r="B128" t="s">
        <v>77</v>
      </c>
      <c r="C128" t="s">
        <v>310</v>
      </c>
      <c r="D128" t="s">
        <v>311</v>
      </c>
      <c r="E128">
        <v>56</v>
      </c>
      <c r="F128" t="s">
        <v>80</v>
      </c>
      <c r="G128" s="24">
        <v>45758</v>
      </c>
      <c r="H128" t="s">
        <v>87</v>
      </c>
    </row>
    <row r="129" spans="1:8" x14ac:dyDescent="0.25">
      <c r="A129">
        <v>137959</v>
      </c>
      <c r="B129" t="s">
        <v>82</v>
      </c>
      <c r="C129" t="s">
        <v>312</v>
      </c>
      <c r="D129" t="s">
        <v>313</v>
      </c>
      <c r="E129">
        <v>56</v>
      </c>
      <c r="F129" s="25">
        <v>0.76312500000000005</v>
      </c>
      <c r="G129" s="24">
        <v>45757</v>
      </c>
      <c r="H129" t="s">
        <v>87</v>
      </c>
    </row>
    <row r="130" spans="1:8" x14ac:dyDescent="0.25">
      <c r="A130">
        <v>138352</v>
      </c>
      <c r="B130" t="s">
        <v>99</v>
      </c>
      <c r="C130" t="s">
        <v>314</v>
      </c>
      <c r="D130" t="s">
        <v>315</v>
      </c>
      <c r="E130">
        <v>56</v>
      </c>
      <c r="F130" s="25">
        <v>0.76313657407407409</v>
      </c>
      <c r="G130" s="24">
        <v>45761</v>
      </c>
      <c r="H130" t="s">
        <v>81</v>
      </c>
    </row>
    <row r="131" spans="1:8" x14ac:dyDescent="0.25">
      <c r="A131">
        <v>83590</v>
      </c>
      <c r="B131" t="s">
        <v>7</v>
      </c>
      <c r="C131" t="s">
        <v>316</v>
      </c>
      <c r="D131" t="s">
        <v>317</v>
      </c>
      <c r="E131">
        <v>55</v>
      </c>
      <c r="F131" t="s">
        <v>80</v>
      </c>
      <c r="G131" s="24">
        <v>45761</v>
      </c>
      <c r="H131" t="s">
        <v>81</v>
      </c>
    </row>
    <row r="132" spans="1:8" x14ac:dyDescent="0.25">
      <c r="A132">
        <v>138082</v>
      </c>
      <c r="B132" t="s">
        <v>107</v>
      </c>
      <c r="C132" t="s">
        <v>318</v>
      </c>
      <c r="D132" t="s">
        <v>319</v>
      </c>
      <c r="E132">
        <v>55</v>
      </c>
      <c r="F132" s="25">
        <v>0.76313657407407409</v>
      </c>
      <c r="G132" s="24">
        <v>45761</v>
      </c>
      <c r="H132" t="s">
        <v>87</v>
      </c>
    </row>
    <row r="133" spans="1:8" x14ac:dyDescent="0.25">
      <c r="A133">
        <v>138084</v>
      </c>
      <c r="B133" t="s">
        <v>82</v>
      </c>
      <c r="C133" t="s">
        <v>320</v>
      </c>
      <c r="D133" t="s">
        <v>321</v>
      </c>
      <c r="E133">
        <v>55</v>
      </c>
      <c r="F133" s="25">
        <v>0.76313657407407409</v>
      </c>
      <c r="G133" s="24">
        <v>45761</v>
      </c>
      <c r="H133" t="s">
        <v>81</v>
      </c>
    </row>
    <row r="134" spans="1:8" x14ac:dyDescent="0.25">
      <c r="A134">
        <v>70807</v>
      </c>
      <c r="B134" t="s">
        <v>90</v>
      </c>
      <c r="C134" t="s">
        <v>322</v>
      </c>
      <c r="D134" t="s">
        <v>323</v>
      </c>
      <c r="E134">
        <v>53</v>
      </c>
      <c r="F134" t="s">
        <v>80</v>
      </c>
      <c r="G134" s="24">
        <v>45758</v>
      </c>
      <c r="H134" t="s">
        <v>81</v>
      </c>
    </row>
    <row r="135" spans="1:8" x14ac:dyDescent="0.25">
      <c r="A135">
        <v>137806</v>
      </c>
      <c r="B135" t="s">
        <v>82</v>
      </c>
      <c r="C135" t="s">
        <v>324</v>
      </c>
      <c r="D135" t="s">
        <v>325</v>
      </c>
      <c r="E135">
        <v>53</v>
      </c>
      <c r="F135" s="25">
        <v>0.76312500000000005</v>
      </c>
      <c r="G135" s="24">
        <v>45761</v>
      </c>
      <c r="H135" t="s">
        <v>81</v>
      </c>
    </row>
    <row r="136" spans="1:8" x14ac:dyDescent="0.25">
      <c r="A136">
        <v>138087</v>
      </c>
      <c r="B136" t="s">
        <v>7</v>
      </c>
      <c r="C136" t="s">
        <v>326</v>
      </c>
      <c r="D136" t="s">
        <v>327</v>
      </c>
      <c r="E136">
        <v>53</v>
      </c>
      <c r="F136" s="25">
        <v>0.76313657407407409</v>
      </c>
      <c r="G136" s="24">
        <v>45716</v>
      </c>
      <c r="H136" t="s">
        <v>87</v>
      </c>
    </row>
    <row r="137" spans="1:8" x14ac:dyDescent="0.25">
      <c r="A137">
        <v>138097</v>
      </c>
      <c r="B137" t="s">
        <v>90</v>
      </c>
      <c r="C137" t="s">
        <v>328</v>
      </c>
      <c r="D137" t="s">
        <v>329</v>
      </c>
      <c r="E137">
        <v>53</v>
      </c>
      <c r="F137" s="25">
        <v>0.76313657407407409</v>
      </c>
      <c r="G137" s="24">
        <v>45761</v>
      </c>
      <c r="H137" t="s">
        <v>81</v>
      </c>
    </row>
    <row r="138" spans="1:8" x14ac:dyDescent="0.25">
      <c r="A138">
        <v>138098</v>
      </c>
      <c r="B138" t="s">
        <v>82</v>
      </c>
      <c r="C138" t="s">
        <v>330</v>
      </c>
      <c r="D138" t="s">
        <v>331</v>
      </c>
      <c r="E138">
        <v>53</v>
      </c>
      <c r="F138" s="25">
        <v>0.76313657407407409</v>
      </c>
      <c r="G138" s="24">
        <v>45761</v>
      </c>
      <c r="H138" t="s">
        <v>81</v>
      </c>
    </row>
    <row r="139" spans="1:8" x14ac:dyDescent="0.25">
      <c r="A139">
        <v>87207</v>
      </c>
      <c r="B139" t="s">
        <v>7</v>
      </c>
      <c r="C139" t="s">
        <v>332</v>
      </c>
      <c r="D139" t="s">
        <v>333</v>
      </c>
      <c r="E139">
        <v>52</v>
      </c>
      <c r="F139" s="25">
        <v>0.76312500000000005</v>
      </c>
      <c r="G139" s="24">
        <v>45761</v>
      </c>
      <c r="H139" t="s">
        <v>81</v>
      </c>
    </row>
    <row r="140" spans="1:8" x14ac:dyDescent="0.25">
      <c r="A140">
        <v>87335</v>
      </c>
      <c r="B140" t="s">
        <v>82</v>
      </c>
      <c r="C140" t="s">
        <v>334</v>
      </c>
      <c r="D140" t="s">
        <v>335</v>
      </c>
      <c r="E140">
        <v>51</v>
      </c>
      <c r="F140" s="25">
        <v>0.76312500000000005</v>
      </c>
      <c r="G140" s="24">
        <v>45761</v>
      </c>
      <c r="H140" t="s">
        <v>81</v>
      </c>
    </row>
    <row r="141" spans="1:8" x14ac:dyDescent="0.25">
      <c r="A141">
        <v>138315</v>
      </c>
      <c r="B141" t="s">
        <v>90</v>
      </c>
      <c r="C141" t="s">
        <v>336</v>
      </c>
      <c r="D141" t="s">
        <v>337</v>
      </c>
      <c r="E141">
        <v>51</v>
      </c>
      <c r="F141" s="25">
        <v>0.76313657407407409</v>
      </c>
      <c r="G141" s="24">
        <v>45761</v>
      </c>
      <c r="H141" t="s">
        <v>81</v>
      </c>
    </row>
    <row r="142" spans="1:8" x14ac:dyDescent="0.25">
      <c r="A142">
        <v>138306</v>
      </c>
      <c r="B142" t="s">
        <v>7</v>
      </c>
      <c r="C142" t="s">
        <v>338</v>
      </c>
      <c r="D142" t="s">
        <v>339</v>
      </c>
      <c r="E142">
        <v>49</v>
      </c>
      <c r="F142" s="25">
        <v>0.76313657407407409</v>
      </c>
      <c r="G142" s="24">
        <v>45761</v>
      </c>
      <c r="H142" t="s">
        <v>81</v>
      </c>
    </row>
    <row r="143" spans="1:8" x14ac:dyDescent="0.25">
      <c r="A143">
        <v>86424</v>
      </c>
      <c r="B143" t="s">
        <v>99</v>
      </c>
      <c r="C143" t="s">
        <v>340</v>
      </c>
      <c r="D143" t="s">
        <v>341</v>
      </c>
      <c r="E143">
        <v>49</v>
      </c>
      <c r="F143" s="25">
        <v>0.76313657407407409</v>
      </c>
      <c r="G143" s="24">
        <v>45720</v>
      </c>
      <c r="H143" t="s">
        <v>87</v>
      </c>
    </row>
    <row r="144" spans="1:8" x14ac:dyDescent="0.25">
      <c r="A144">
        <v>138310</v>
      </c>
      <c r="B144" t="s">
        <v>82</v>
      </c>
      <c r="C144" t="s">
        <v>342</v>
      </c>
      <c r="D144" t="s">
        <v>343</v>
      </c>
      <c r="E144">
        <v>49</v>
      </c>
      <c r="F144" s="25">
        <v>0.76313657407407409</v>
      </c>
      <c r="G144" s="24">
        <v>45761</v>
      </c>
      <c r="H144" t="s">
        <v>81</v>
      </c>
    </row>
    <row r="145" spans="1:8" x14ac:dyDescent="0.25">
      <c r="A145">
        <v>138461</v>
      </c>
      <c r="B145" t="s">
        <v>77</v>
      </c>
      <c r="C145" t="s">
        <v>344</v>
      </c>
      <c r="D145" t="s">
        <v>345</v>
      </c>
      <c r="E145">
        <v>49</v>
      </c>
      <c r="F145" s="25">
        <v>0.76313657407407409</v>
      </c>
      <c r="G145" s="24">
        <v>45758</v>
      </c>
      <c r="H145" t="s">
        <v>87</v>
      </c>
    </row>
    <row r="146" spans="1:8" x14ac:dyDescent="0.25">
      <c r="A146">
        <v>138650</v>
      </c>
      <c r="B146" t="s">
        <v>99</v>
      </c>
      <c r="C146" t="s">
        <v>346</v>
      </c>
      <c r="D146" t="s">
        <v>347</v>
      </c>
      <c r="E146">
        <v>49</v>
      </c>
      <c r="F146" s="25">
        <v>0.76313657407407409</v>
      </c>
      <c r="G146" s="24">
        <v>45761</v>
      </c>
      <c r="H146" t="s">
        <v>81</v>
      </c>
    </row>
    <row r="147" spans="1:8" x14ac:dyDescent="0.25">
      <c r="A147">
        <v>87351</v>
      </c>
      <c r="B147" t="s">
        <v>7</v>
      </c>
      <c r="C147" t="s">
        <v>348</v>
      </c>
      <c r="D147" t="s">
        <v>349</v>
      </c>
      <c r="E147">
        <v>48</v>
      </c>
      <c r="F147" s="25">
        <v>0.76312500000000005</v>
      </c>
      <c r="G147" s="24">
        <v>45761</v>
      </c>
      <c r="H147" t="s">
        <v>81</v>
      </c>
    </row>
    <row r="148" spans="1:8" x14ac:dyDescent="0.25">
      <c r="A148">
        <v>138322</v>
      </c>
      <c r="B148" t="s">
        <v>7</v>
      </c>
      <c r="C148" t="s">
        <v>350</v>
      </c>
      <c r="D148" t="s">
        <v>351</v>
      </c>
      <c r="E148">
        <v>48</v>
      </c>
      <c r="F148" s="25">
        <v>0.76313657407407409</v>
      </c>
      <c r="G148" s="24">
        <v>45761</v>
      </c>
      <c r="H148" t="s">
        <v>81</v>
      </c>
    </row>
    <row r="149" spans="1:8" x14ac:dyDescent="0.25">
      <c r="A149">
        <v>138327</v>
      </c>
      <c r="B149" t="s">
        <v>82</v>
      </c>
      <c r="C149" t="s">
        <v>352</v>
      </c>
      <c r="D149" t="s">
        <v>353</v>
      </c>
      <c r="E149">
        <v>48</v>
      </c>
      <c r="F149" s="25">
        <v>0.76313657407407409</v>
      </c>
      <c r="G149" s="24">
        <v>45758</v>
      </c>
      <c r="H149" t="s">
        <v>87</v>
      </c>
    </row>
    <row r="150" spans="1:8" x14ac:dyDescent="0.25">
      <c r="A150">
        <v>86445</v>
      </c>
      <c r="B150" t="s">
        <v>82</v>
      </c>
      <c r="C150" t="s">
        <v>354</v>
      </c>
      <c r="D150" t="s">
        <v>355</v>
      </c>
      <c r="E150">
        <v>47</v>
      </c>
      <c r="F150" t="s">
        <v>80</v>
      </c>
      <c r="G150" s="24">
        <v>45756</v>
      </c>
      <c r="H150" t="s">
        <v>87</v>
      </c>
    </row>
    <row r="151" spans="1:8" x14ac:dyDescent="0.25">
      <c r="A151">
        <v>138332</v>
      </c>
      <c r="B151" t="s">
        <v>82</v>
      </c>
      <c r="C151" t="s">
        <v>356</v>
      </c>
      <c r="D151" t="s">
        <v>357</v>
      </c>
      <c r="E151">
        <v>47</v>
      </c>
      <c r="F151" s="25">
        <v>0.76313657407407409</v>
      </c>
      <c r="G151" s="24">
        <v>45761</v>
      </c>
      <c r="H151" t="s">
        <v>81</v>
      </c>
    </row>
    <row r="152" spans="1:8" x14ac:dyDescent="0.25">
      <c r="A152">
        <v>81120</v>
      </c>
      <c r="B152" t="s">
        <v>90</v>
      </c>
      <c r="C152" t="s">
        <v>358</v>
      </c>
      <c r="D152" t="s">
        <v>359</v>
      </c>
      <c r="E152">
        <v>46</v>
      </c>
      <c r="F152" s="25">
        <v>0.76312500000000005</v>
      </c>
      <c r="G152" s="24">
        <v>45761</v>
      </c>
      <c r="H152" t="s">
        <v>81</v>
      </c>
    </row>
    <row r="153" spans="1:8" x14ac:dyDescent="0.25">
      <c r="A153">
        <v>138334</v>
      </c>
      <c r="B153" t="s">
        <v>77</v>
      </c>
      <c r="C153" t="s">
        <v>360</v>
      </c>
      <c r="D153" t="s">
        <v>361</v>
      </c>
      <c r="E153">
        <v>46</v>
      </c>
      <c r="F153" s="25">
        <v>0.76313657407407409</v>
      </c>
      <c r="G153" s="24">
        <v>45761</v>
      </c>
      <c r="H153" t="s">
        <v>81</v>
      </c>
    </row>
    <row r="154" spans="1:8" x14ac:dyDescent="0.25">
      <c r="A154">
        <v>138340</v>
      </c>
      <c r="B154" t="s">
        <v>90</v>
      </c>
      <c r="C154" t="s">
        <v>362</v>
      </c>
      <c r="D154" t="s">
        <v>363</v>
      </c>
      <c r="E154">
        <v>46</v>
      </c>
      <c r="F154" s="25">
        <v>0.76313657407407409</v>
      </c>
      <c r="G154" s="24">
        <v>45761</v>
      </c>
      <c r="H154" t="s">
        <v>81</v>
      </c>
    </row>
    <row r="155" spans="1:8" x14ac:dyDescent="0.25">
      <c r="A155">
        <v>138353</v>
      </c>
      <c r="B155" t="s">
        <v>77</v>
      </c>
      <c r="C155" t="s">
        <v>364</v>
      </c>
      <c r="D155" t="s">
        <v>365</v>
      </c>
      <c r="E155">
        <v>46</v>
      </c>
      <c r="F155" s="25">
        <v>0.76313657407407409</v>
      </c>
      <c r="G155" s="24">
        <v>45761</v>
      </c>
      <c r="H155" t="s">
        <v>81</v>
      </c>
    </row>
    <row r="156" spans="1:8" x14ac:dyDescent="0.25">
      <c r="A156">
        <v>138359</v>
      </c>
      <c r="B156" t="s">
        <v>90</v>
      </c>
      <c r="C156" t="s">
        <v>366</v>
      </c>
      <c r="D156" t="s">
        <v>367</v>
      </c>
      <c r="E156">
        <v>46</v>
      </c>
      <c r="F156" s="25">
        <v>0.76313657407407409</v>
      </c>
      <c r="G156" s="24">
        <v>45761</v>
      </c>
      <c r="H156" t="s">
        <v>81</v>
      </c>
    </row>
    <row r="157" spans="1:8" x14ac:dyDescent="0.25">
      <c r="A157">
        <v>86882</v>
      </c>
      <c r="B157" t="s">
        <v>7</v>
      </c>
      <c r="C157" t="s">
        <v>368</v>
      </c>
      <c r="D157" t="s">
        <v>369</v>
      </c>
      <c r="E157">
        <v>45</v>
      </c>
      <c r="F157" t="s">
        <v>80</v>
      </c>
      <c r="G157" s="24">
        <v>45761</v>
      </c>
      <c r="H157" t="s">
        <v>87</v>
      </c>
    </row>
    <row r="158" spans="1:8" x14ac:dyDescent="0.25">
      <c r="A158">
        <v>137647</v>
      </c>
      <c r="B158" t="s">
        <v>7</v>
      </c>
      <c r="C158" t="s">
        <v>370</v>
      </c>
      <c r="D158" t="s">
        <v>371</v>
      </c>
      <c r="E158">
        <v>45</v>
      </c>
      <c r="F158" s="25">
        <v>0.76312500000000005</v>
      </c>
      <c r="G158" s="24">
        <v>45761</v>
      </c>
      <c r="H158" t="s">
        <v>87</v>
      </c>
    </row>
    <row r="159" spans="1:8" x14ac:dyDescent="0.25">
      <c r="A159">
        <v>137978</v>
      </c>
      <c r="B159" t="s">
        <v>77</v>
      </c>
      <c r="C159" t="s">
        <v>372</v>
      </c>
      <c r="D159" t="s">
        <v>373</v>
      </c>
      <c r="E159">
        <v>45</v>
      </c>
      <c r="F159" s="25">
        <v>0.76312500000000005</v>
      </c>
      <c r="G159" s="24">
        <v>45756</v>
      </c>
      <c r="H159" t="s">
        <v>87</v>
      </c>
    </row>
    <row r="160" spans="1:8" x14ac:dyDescent="0.25">
      <c r="A160">
        <v>138341</v>
      </c>
      <c r="B160" t="s">
        <v>90</v>
      </c>
      <c r="C160" t="s">
        <v>374</v>
      </c>
      <c r="D160" t="s">
        <v>375</v>
      </c>
      <c r="E160">
        <v>45</v>
      </c>
      <c r="F160" s="25">
        <v>0.76313657407407409</v>
      </c>
      <c r="G160" s="24">
        <v>45748</v>
      </c>
      <c r="H160" t="s">
        <v>87</v>
      </c>
    </row>
    <row r="161" spans="1:8" x14ac:dyDescent="0.25">
      <c r="A161">
        <v>138355</v>
      </c>
      <c r="B161" t="s">
        <v>90</v>
      </c>
      <c r="C161" t="s">
        <v>376</v>
      </c>
      <c r="D161" t="s">
        <v>377</v>
      </c>
      <c r="E161">
        <v>45</v>
      </c>
      <c r="F161" s="25">
        <v>0.76313657407407409</v>
      </c>
      <c r="G161" s="24">
        <v>45761</v>
      </c>
      <c r="H161" t="s">
        <v>81</v>
      </c>
    </row>
    <row r="162" spans="1:8" x14ac:dyDescent="0.25">
      <c r="A162">
        <v>138361</v>
      </c>
      <c r="B162" t="s">
        <v>82</v>
      </c>
      <c r="C162" t="s">
        <v>378</v>
      </c>
      <c r="D162" t="s">
        <v>379</v>
      </c>
      <c r="E162">
        <v>45</v>
      </c>
      <c r="F162" s="25">
        <v>0.76313657407407409</v>
      </c>
      <c r="G162" s="24">
        <v>45761</v>
      </c>
      <c r="H162" t="s">
        <v>81</v>
      </c>
    </row>
    <row r="163" spans="1:8" x14ac:dyDescent="0.25">
      <c r="A163">
        <v>138364</v>
      </c>
      <c r="B163" t="s">
        <v>99</v>
      </c>
      <c r="C163" t="s">
        <v>380</v>
      </c>
      <c r="D163" t="s">
        <v>381</v>
      </c>
      <c r="E163">
        <v>43</v>
      </c>
      <c r="F163" s="25">
        <v>0.76313657407407409</v>
      </c>
      <c r="G163" s="24">
        <v>45761</v>
      </c>
      <c r="H163" t="s">
        <v>81</v>
      </c>
    </row>
    <row r="164" spans="1:8" x14ac:dyDescent="0.25">
      <c r="A164">
        <v>138369</v>
      </c>
      <c r="B164" t="s">
        <v>107</v>
      </c>
      <c r="C164" t="s">
        <v>382</v>
      </c>
      <c r="D164" t="s">
        <v>383</v>
      </c>
      <c r="E164">
        <v>43</v>
      </c>
      <c r="F164" s="25">
        <v>0.76313657407407409</v>
      </c>
      <c r="G164" s="24">
        <v>45761</v>
      </c>
      <c r="H164" t="s">
        <v>81</v>
      </c>
    </row>
    <row r="165" spans="1:8" x14ac:dyDescent="0.25">
      <c r="A165">
        <v>137970</v>
      </c>
      <c r="B165" t="s">
        <v>7</v>
      </c>
      <c r="C165" t="s">
        <v>384</v>
      </c>
      <c r="D165" t="s">
        <v>385</v>
      </c>
      <c r="E165">
        <v>42</v>
      </c>
      <c r="F165" s="25">
        <v>0.76312500000000005</v>
      </c>
      <c r="G165" s="24">
        <v>45761</v>
      </c>
      <c r="H165" t="s">
        <v>81</v>
      </c>
    </row>
    <row r="166" spans="1:8" x14ac:dyDescent="0.25">
      <c r="A166">
        <v>138073</v>
      </c>
      <c r="B166" t="s">
        <v>77</v>
      </c>
      <c r="C166" t="s">
        <v>386</v>
      </c>
      <c r="D166" t="s">
        <v>387</v>
      </c>
      <c r="E166">
        <v>42</v>
      </c>
      <c r="F166" s="25">
        <v>0.76313657407407409</v>
      </c>
      <c r="G166" s="24">
        <v>45761</v>
      </c>
      <c r="H166" t="s">
        <v>81</v>
      </c>
    </row>
    <row r="167" spans="1:8" x14ac:dyDescent="0.25">
      <c r="A167">
        <v>137698</v>
      </c>
      <c r="B167" t="s">
        <v>99</v>
      </c>
      <c r="C167" t="s">
        <v>388</v>
      </c>
      <c r="D167" t="s">
        <v>389</v>
      </c>
      <c r="E167">
        <v>41</v>
      </c>
      <c r="F167" s="25">
        <v>0.76312500000000005</v>
      </c>
      <c r="G167" s="24">
        <v>45761</v>
      </c>
      <c r="H167" t="s">
        <v>87</v>
      </c>
    </row>
    <row r="168" spans="1:8" x14ac:dyDescent="0.25">
      <c r="A168">
        <v>83299</v>
      </c>
      <c r="B168" t="s">
        <v>99</v>
      </c>
      <c r="C168" t="s">
        <v>390</v>
      </c>
      <c r="D168" t="s">
        <v>391</v>
      </c>
      <c r="E168">
        <v>41</v>
      </c>
      <c r="F168" s="25">
        <v>0.76313657407407409</v>
      </c>
      <c r="G168" s="24">
        <v>45761</v>
      </c>
      <c r="H168" t="s">
        <v>81</v>
      </c>
    </row>
    <row r="169" spans="1:8" x14ac:dyDescent="0.25">
      <c r="A169">
        <v>85423</v>
      </c>
      <c r="B169" t="s">
        <v>77</v>
      </c>
      <c r="C169" t="s">
        <v>392</v>
      </c>
      <c r="D169" t="s">
        <v>393</v>
      </c>
      <c r="E169">
        <v>40</v>
      </c>
      <c r="F169" t="s">
        <v>80</v>
      </c>
      <c r="G169" s="24">
        <v>45761</v>
      </c>
      <c r="H169" t="s">
        <v>81</v>
      </c>
    </row>
    <row r="170" spans="1:8" x14ac:dyDescent="0.25">
      <c r="A170">
        <v>137693</v>
      </c>
      <c r="B170" t="s">
        <v>90</v>
      </c>
      <c r="C170" t="s">
        <v>394</v>
      </c>
      <c r="D170" t="s">
        <v>395</v>
      </c>
      <c r="E170">
        <v>40</v>
      </c>
      <c r="F170" s="25">
        <v>0.76312500000000005</v>
      </c>
      <c r="G170" s="24">
        <v>45761</v>
      </c>
      <c r="H170" t="s">
        <v>87</v>
      </c>
    </row>
    <row r="171" spans="1:8" x14ac:dyDescent="0.25">
      <c r="A171">
        <v>138451</v>
      </c>
      <c r="B171" t="s">
        <v>99</v>
      </c>
      <c r="C171" t="s">
        <v>396</v>
      </c>
      <c r="D171" t="s">
        <v>397</v>
      </c>
      <c r="E171">
        <v>39</v>
      </c>
      <c r="F171" s="25">
        <v>0.76313657407407409</v>
      </c>
      <c r="G171" s="24">
        <v>45761</v>
      </c>
      <c r="H171" t="s">
        <v>81</v>
      </c>
    </row>
    <row r="172" spans="1:8" x14ac:dyDescent="0.25">
      <c r="A172">
        <v>138458</v>
      </c>
      <c r="B172" t="s">
        <v>99</v>
      </c>
      <c r="C172" t="s">
        <v>398</v>
      </c>
      <c r="D172" t="s">
        <v>399</v>
      </c>
      <c r="E172">
        <v>39</v>
      </c>
      <c r="F172" s="25">
        <v>0.76313657407407409</v>
      </c>
      <c r="G172" s="24">
        <v>45751</v>
      </c>
      <c r="H172" t="s">
        <v>87</v>
      </c>
    </row>
    <row r="173" spans="1:8" x14ac:dyDescent="0.25">
      <c r="A173">
        <v>138447</v>
      </c>
      <c r="B173" t="s">
        <v>99</v>
      </c>
      <c r="C173" t="s">
        <v>400</v>
      </c>
      <c r="D173" t="s">
        <v>401</v>
      </c>
      <c r="E173">
        <v>38</v>
      </c>
      <c r="F173" s="25">
        <v>0.76313657407407409</v>
      </c>
      <c r="G173" s="24">
        <v>45761</v>
      </c>
      <c r="H173" t="s">
        <v>81</v>
      </c>
    </row>
    <row r="174" spans="1:8" x14ac:dyDescent="0.25">
      <c r="A174">
        <v>79046</v>
      </c>
      <c r="B174" t="s">
        <v>99</v>
      </c>
      <c r="C174" t="s">
        <v>402</v>
      </c>
      <c r="D174" t="s">
        <v>403</v>
      </c>
      <c r="E174">
        <v>38</v>
      </c>
      <c r="F174" s="25">
        <v>0.76313657407407409</v>
      </c>
      <c r="G174" s="24">
        <v>45754</v>
      </c>
      <c r="H174" t="s">
        <v>81</v>
      </c>
    </row>
    <row r="175" spans="1:8" x14ac:dyDescent="0.25">
      <c r="A175">
        <v>137147</v>
      </c>
      <c r="B175" t="s">
        <v>99</v>
      </c>
      <c r="C175" t="s">
        <v>404</v>
      </c>
      <c r="D175" t="s">
        <v>405</v>
      </c>
      <c r="E175">
        <v>37</v>
      </c>
      <c r="F175" s="25">
        <v>0.76312500000000005</v>
      </c>
      <c r="G175" s="24">
        <v>45755</v>
      </c>
      <c r="H175" t="s">
        <v>87</v>
      </c>
    </row>
    <row r="176" spans="1:8" x14ac:dyDescent="0.25">
      <c r="A176">
        <v>138464</v>
      </c>
      <c r="B176" t="s">
        <v>77</v>
      </c>
      <c r="C176" t="s">
        <v>406</v>
      </c>
      <c r="D176" t="s">
        <v>407</v>
      </c>
      <c r="E176">
        <v>36</v>
      </c>
      <c r="F176" s="25">
        <v>0.76313657407407409</v>
      </c>
      <c r="G176" s="24">
        <v>45761</v>
      </c>
      <c r="H176" t="s">
        <v>81</v>
      </c>
    </row>
    <row r="177" spans="1:9" x14ac:dyDescent="0.25">
      <c r="A177">
        <v>138030</v>
      </c>
      <c r="B177" t="s">
        <v>99</v>
      </c>
      <c r="C177" t="s">
        <v>408</v>
      </c>
      <c r="D177" t="s">
        <v>409</v>
      </c>
      <c r="E177">
        <v>34</v>
      </c>
      <c r="F177" s="25">
        <v>0.76313657407407409</v>
      </c>
      <c r="G177" s="24">
        <v>45757</v>
      </c>
      <c r="H177" t="s">
        <v>81</v>
      </c>
    </row>
    <row r="178" spans="1:9" x14ac:dyDescent="0.25">
      <c r="A178">
        <v>138471</v>
      </c>
      <c r="B178" t="s">
        <v>82</v>
      </c>
      <c r="C178" t="s">
        <v>410</v>
      </c>
      <c r="D178" t="s">
        <v>411</v>
      </c>
      <c r="E178">
        <v>34</v>
      </c>
      <c r="F178" s="25">
        <v>0.76313657407407409</v>
      </c>
      <c r="G178" s="24">
        <v>45761</v>
      </c>
      <c r="H178" t="s">
        <v>81</v>
      </c>
    </row>
    <row r="179" spans="1:9" x14ac:dyDescent="0.25">
      <c r="A179">
        <v>138474</v>
      </c>
      <c r="B179" t="s">
        <v>99</v>
      </c>
      <c r="C179" t="s">
        <v>412</v>
      </c>
      <c r="D179" t="s">
        <v>413</v>
      </c>
      <c r="E179">
        <v>34</v>
      </c>
      <c r="F179" s="25">
        <v>0.76313657407407409</v>
      </c>
      <c r="G179" s="24">
        <v>45761</v>
      </c>
      <c r="H179" t="s">
        <v>81</v>
      </c>
    </row>
    <row r="180" spans="1:9" x14ac:dyDescent="0.25">
      <c r="A180">
        <v>87175</v>
      </c>
      <c r="B180" t="s">
        <v>107</v>
      </c>
      <c r="C180" t="s">
        <v>414</v>
      </c>
      <c r="D180" t="s">
        <v>415</v>
      </c>
      <c r="E180">
        <v>33</v>
      </c>
      <c r="F180" s="25">
        <v>0.76312500000000005</v>
      </c>
      <c r="G180" s="24">
        <v>45757</v>
      </c>
      <c r="H180" t="s">
        <v>81</v>
      </c>
    </row>
    <row r="181" spans="1:9" x14ac:dyDescent="0.25">
      <c r="A181">
        <v>137746</v>
      </c>
      <c r="B181" t="s">
        <v>82</v>
      </c>
      <c r="C181" t="s">
        <v>416</v>
      </c>
      <c r="D181" t="s">
        <v>417</v>
      </c>
      <c r="E181">
        <v>33</v>
      </c>
      <c r="F181" s="25">
        <v>0.76312500000000005</v>
      </c>
      <c r="G181" s="24">
        <v>45757</v>
      </c>
      <c r="H181" t="s">
        <v>418</v>
      </c>
    </row>
    <row r="182" spans="1:9" x14ac:dyDescent="0.25">
      <c r="A182">
        <v>83486</v>
      </c>
      <c r="B182" t="s">
        <v>90</v>
      </c>
      <c r="C182" t="s">
        <v>419</v>
      </c>
      <c r="D182" t="s">
        <v>420</v>
      </c>
      <c r="E182">
        <v>32</v>
      </c>
      <c r="F182" s="25">
        <v>0.76312500000000005</v>
      </c>
      <c r="G182" s="24">
        <v>45757</v>
      </c>
      <c r="H182" t="s">
        <v>81</v>
      </c>
    </row>
    <row r="183" spans="1:9" x14ac:dyDescent="0.25">
      <c r="A183">
        <v>137390</v>
      </c>
      <c r="B183" t="s">
        <v>82</v>
      </c>
      <c r="C183" t="s">
        <v>421</v>
      </c>
      <c r="D183" t="s">
        <v>422</v>
      </c>
      <c r="E183">
        <v>32</v>
      </c>
      <c r="F183" s="25">
        <v>0.76312500000000005</v>
      </c>
      <c r="G183" s="24">
        <v>45761</v>
      </c>
      <c r="H183" t="s">
        <v>87</v>
      </c>
    </row>
    <row r="184" spans="1:9" x14ac:dyDescent="0.25">
      <c r="A184">
        <v>138482</v>
      </c>
      <c r="B184" t="s">
        <v>77</v>
      </c>
      <c r="C184" t="s">
        <v>423</v>
      </c>
      <c r="D184" t="s">
        <v>424</v>
      </c>
      <c r="E184">
        <v>32</v>
      </c>
      <c r="F184" s="25">
        <v>0.76313657407407409</v>
      </c>
      <c r="G184" s="24">
        <v>45757</v>
      </c>
      <c r="H184" t="s">
        <v>81</v>
      </c>
    </row>
    <row r="185" spans="1:9" x14ac:dyDescent="0.25">
      <c r="A185">
        <v>138483</v>
      </c>
      <c r="B185" t="s">
        <v>77</v>
      </c>
      <c r="C185" t="s">
        <v>425</v>
      </c>
      <c r="D185" t="s">
        <v>426</v>
      </c>
      <c r="E185">
        <v>32</v>
      </c>
      <c r="F185" s="25">
        <v>0.76313657407407409</v>
      </c>
      <c r="G185" s="24">
        <v>45757</v>
      </c>
      <c r="H185" t="s">
        <v>81</v>
      </c>
    </row>
    <row r="186" spans="1:9" x14ac:dyDescent="0.25">
      <c r="A186">
        <v>138488</v>
      </c>
      <c r="B186" t="s">
        <v>107</v>
      </c>
      <c r="C186" t="s">
        <v>427</v>
      </c>
      <c r="D186" t="s">
        <v>428</v>
      </c>
      <c r="E186">
        <v>32</v>
      </c>
      <c r="F186" s="25">
        <v>0.76313657407407409</v>
      </c>
      <c r="G186" s="24">
        <v>45757</v>
      </c>
      <c r="H186" t="s">
        <v>81</v>
      </c>
    </row>
    <row r="187" spans="1:9" x14ac:dyDescent="0.25">
      <c r="A187">
        <v>87190</v>
      </c>
      <c r="B187" t="s">
        <v>82</v>
      </c>
      <c r="C187" t="s">
        <v>429</v>
      </c>
      <c r="D187" t="s">
        <v>430</v>
      </c>
      <c r="E187">
        <v>31</v>
      </c>
      <c r="F187" s="25">
        <v>0.76312500000000005</v>
      </c>
      <c r="G187" s="24">
        <v>45757</v>
      </c>
      <c r="H187" t="s">
        <v>81</v>
      </c>
    </row>
    <row r="188" spans="1:9" x14ac:dyDescent="0.25">
      <c r="A188">
        <v>138804</v>
      </c>
      <c r="B188" t="s">
        <v>82</v>
      </c>
      <c r="C188" t="s">
        <v>431</v>
      </c>
      <c r="D188" t="s">
        <v>432</v>
      </c>
      <c r="E188">
        <v>31</v>
      </c>
      <c r="F188" s="25">
        <v>0.76313657407407409</v>
      </c>
      <c r="G188" s="24">
        <v>45758</v>
      </c>
      <c r="H188" t="s">
        <v>81</v>
      </c>
    </row>
    <row r="189" spans="1:9" x14ac:dyDescent="0.25">
      <c r="A189">
        <v>138501</v>
      </c>
      <c r="B189" t="s">
        <v>7</v>
      </c>
      <c r="C189" t="s">
        <v>433</v>
      </c>
      <c r="D189" t="s">
        <v>434</v>
      </c>
      <c r="E189">
        <v>30</v>
      </c>
      <c r="F189" s="25">
        <v>0.76313657407407409</v>
      </c>
      <c r="G189" s="24">
        <v>45757</v>
      </c>
      <c r="H189" t="s">
        <v>81</v>
      </c>
    </row>
    <row r="190" spans="1:9" x14ac:dyDescent="0.25">
      <c r="A190">
        <v>138508</v>
      </c>
      <c r="B190" t="s">
        <v>82</v>
      </c>
      <c r="C190" t="s">
        <v>435</v>
      </c>
      <c r="D190" t="s">
        <v>436</v>
      </c>
      <c r="E190">
        <v>28</v>
      </c>
      <c r="F190" s="25">
        <v>0.76312500000000005</v>
      </c>
      <c r="G190" s="24">
        <v>45761</v>
      </c>
      <c r="H190" t="s">
        <v>76</v>
      </c>
      <c r="I190" t="s">
        <v>437</v>
      </c>
    </row>
    <row r="191" spans="1:9" x14ac:dyDescent="0.25">
      <c r="A191">
        <v>78086</v>
      </c>
      <c r="B191" t="s">
        <v>7</v>
      </c>
      <c r="C191" t="s">
        <v>438</v>
      </c>
      <c r="D191" t="s">
        <v>439</v>
      </c>
      <c r="E191">
        <v>28</v>
      </c>
      <c r="F191" t="s">
        <v>80</v>
      </c>
      <c r="G191" s="24">
        <v>45761</v>
      </c>
      <c r="H191" t="s">
        <v>104</v>
      </c>
    </row>
    <row r="192" spans="1:9" x14ac:dyDescent="0.25">
      <c r="A192">
        <v>79130</v>
      </c>
      <c r="B192" t="s">
        <v>7</v>
      </c>
      <c r="C192" t="s">
        <v>440</v>
      </c>
      <c r="D192" t="s">
        <v>441</v>
      </c>
      <c r="E192">
        <v>28</v>
      </c>
      <c r="F192" s="25">
        <v>0.76312500000000005</v>
      </c>
      <c r="G192" s="24">
        <v>45758</v>
      </c>
      <c r="H192" t="s">
        <v>81</v>
      </c>
    </row>
    <row r="193" spans="1:8" x14ac:dyDescent="0.25">
      <c r="A193">
        <v>137934</v>
      </c>
      <c r="B193" t="s">
        <v>90</v>
      </c>
      <c r="C193" t="s">
        <v>442</v>
      </c>
      <c r="D193" t="s">
        <v>443</v>
      </c>
      <c r="E193">
        <v>28</v>
      </c>
      <c r="F193" s="25">
        <v>0.76312500000000005</v>
      </c>
      <c r="G193" s="24">
        <v>45758</v>
      </c>
      <c r="H193" t="s">
        <v>87</v>
      </c>
    </row>
    <row r="194" spans="1:8" x14ac:dyDescent="0.25">
      <c r="A194">
        <v>138078</v>
      </c>
      <c r="B194" t="s">
        <v>7</v>
      </c>
      <c r="C194" t="s">
        <v>444</v>
      </c>
      <c r="D194" t="s">
        <v>445</v>
      </c>
      <c r="E194">
        <v>28</v>
      </c>
      <c r="F194" s="25">
        <v>0.76313657407407409</v>
      </c>
      <c r="G194" s="24">
        <v>45761</v>
      </c>
      <c r="H194" t="s">
        <v>418</v>
      </c>
    </row>
    <row r="195" spans="1:8" x14ac:dyDescent="0.25">
      <c r="A195">
        <v>138511</v>
      </c>
      <c r="B195" t="s">
        <v>82</v>
      </c>
      <c r="C195" t="s">
        <v>446</v>
      </c>
      <c r="D195" t="s">
        <v>447</v>
      </c>
      <c r="E195">
        <v>28</v>
      </c>
      <c r="F195" s="25">
        <v>0.76313657407407409</v>
      </c>
      <c r="G195" s="24">
        <v>45758</v>
      </c>
      <c r="H195" t="s">
        <v>81</v>
      </c>
    </row>
    <row r="196" spans="1:8" x14ac:dyDescent="0.25">
      <c r="A196">
        <v>138515</v>
      </c>
      <c r="B196" t="s">
        <v>7</v>
      </c>
      <c r="C196" t="s">
        <v>448</v>
      </c>
      <c r="D196" t="s">
        <v>449</v>
      </c>
      <c r="E196">
        <v>28</v>
      </c>
      <c r="F196" s="25">
        <v>0.76313657407407409</v>
      </c>
      <c r="G196" s="24">
        <v>45758</v>
      </c>
      <c r="H196" t="s">
        <v>81</v>
      </c>
    </row>
    <row r="197" spans="1:8" x14ac:dyDescent="0.25">
      <c r="A197">
        <v>138516</v>
      </c>
      <c r="B197" t="s">
        <v>107</v>
      </c>
      <c r="C197" t="s">
        <v>450</v>
      </c>
      <c r="D197" t="s">
        <v>451</v>
      </c>
      <c r="E197">
        <v>28</v>
      </c>
      <c r="F197" s="25">
        <v>0.76313657407407409</v>
      </c>
      <c r="G197" s="24">
        <v>45758</v>
      </c>
      <c r="H197" t="s">
        <v>81</v>
      </c>
    </row>
    <row r="198" spans="1:8" x14ac:dyDescent="0.25">
      <c r="A198">
        <v>138646</v>
      </c>
      <c r="B198" t="s">
        <v>82</v>
      </c>
      <c r="C198" t="s">
        <v>452</v>
      </c>
      <c r="D198" t="s">
        <v>453</v>
      </c>
      <c r="E198">
        <v>27</v>
      </c>
      <c r="F198" s="25">
        <v>0.76313657407407409</v>
      </c>
      <c r="G198" s="24">
        <v>45758</v>
      </c>
      <c r="H198" t="s">
        <v>81</v>
      </c>
    </row>
    <row r="199" spans="1:8" x14ac:dyDescent="0.25">
      <c r="A199">
        <v>138648</v>
      </c>
      <c r="B199" t="s">
        <v>99</v>
      </c>
      <c r="C199" t="s">
        <v>454</v>
      </c>
      <c r="D199" t="s">
        <v>455</v>
      </c>
      <c r="E199">
        <v>27</v>
      </c>
      <c r="F199" s="25">
        <v>0.76313657407407409</v>
      </c>
      <c r="G199" s="24">
        <v>45758</v>
      </c>
      <c r="H199" t="s">
        <v>81</v>
      </c>
    </row>
    <row r="200" spans="1:8" x14ac:dyDescent="0.25">
      <c r="A200">
        <v>83512</v>
      </c>
      <c r="B200" t="s">
        <v>99</v>
      </c>
      <c r="C200" t="s">
        <v>456</v>
      </c>
      <c r="D200" t="s">
        <v>457</v>
      </c>
      <c r="E200">
        <v>25</v>
      </c>
      <c r="F200" s="25">
        <v>0.76313657407407409</v>
      </c>
      <c r="G200" s="24">
        <v>45758</v>
      </c>
      <c r="H200" t="s">
        <v>81</v>
      </c>
    </row>
    <row r="201" spans="1:8" x14ac:dyDescent="0.25">
      <c r="A201">
        <v>138652</v>
      </c>
      <c r="B201" t="s">
        <v>99</v>
      </c>
      <c r="C201" t="s">
        <v>458</v>
      </c>
      <c r="D201" t="s">
        <v>459</v>
      </c>
      <c r="E201">
        <v>25</v>
      </c>
      <c r="F201" s="25">
        <v>0.76313657407407409</v>
      </c>
      <c r="G201" s="24">
        <v>45761</v>
      </c>
      <c r="H201" t="s">
        <v>418</v>
      </c>
    </row>
    <row r="202" spans="1:8" x14ac:dyDescent="0.25">
      <c r="A202">
        <v>138660</v>
      </c>
      <c r="B202" t="s">
        <v>99</v>
      </c>
      <c r="C202" t="s">
        <v>460</v>
      </c>
      <c r="D202" t="s">
        <v>461</v>
      </c>
      <c r="E202">
        <v>25</v>
      </c>
      <c r="F202" s="25">
        <v>0.76313657407407409</v>
      </c>
      <c r="G202" s="24">
        <v>45758</v>
      </c>
      <c r="H202" t="s">
        <v>81</v>
      </c>
    </row>
    <row r="203" spans="1:8" x14ac:dyDescent="0.25">
      <c r="A203">
        <v>138663</v>
      </c>
      <c r="B203" t="s">
        <v>7</v>
      </c>
      <c r="C203" t="s">
        <v>462</v>
      </c>
      <c r="D203" t="s">
        <v>463</v>
      </c>
      <c r="E203">
        <v>25</v>
      </c>
      <c r="F203" s="25">
        <v>0.76313657407407409</v>
      </c>
      <c r="G203" s="24">
        <v>45757</v>
      </c>
      <c r="H203" t="s">
        <v>81</v>
      </c>
    </row>
    <row r="204" spans="1:8" x14ac:dyDescent="0.25">
      <c r="A204">
        <v>87358</v>
      </c>
      <c r="B204" t="s">
        <v>99</v>
      </c>
      <c r="C204" t="s">
        <v>464</v>
      </c>
      <c r="D204" t="s">
        <v>465</v>
      </c>
      <c r="E204">
        <v>25</v>
      </c>
      <c r="F204" s="25">
        <v>0.76313657407407409</v>
      </c>
      <c r="G204" s="24">
        <v>45761</v>
      </c>
      <c r="H204" t="s">
        <v>418</v>
      </c>
    </row>
    <row r="205" spans="1:8" x14ac:dyDescent="0.25">
      <c r="A205">
        <v>86897</v>
      </c>
      <c r="B205" t="s">
        <v>82</v>
      </c>
      <c r="C205" t="s">
        <v>466</v>
      </c>
      <c r="D205" t="s">
        <v>467</v>
      </c>
      <c r="E205">
        <v>24</v>
      </c>
      <c r="F205" t="s">
        <v>80</v>
      </c>
      <c r="G205" s="24">
        <v>45761</v>
      </c>
      <c r="H205" t="s">
        <v>418</v>
      </c>
    </row>
    <row r="206" spans="1:8" x14ac:dyDescent="0.25">
      <c r="A206">
        <v>138654</v>
      </c>
      <c r="B206" t="s">
        <v>77</v>
      </c>
      <c r="C206" t="s">
        <v>468</v>
      </c>
      <c r="D206" t="s">
        <v>469</v>
      </c>
      <c r="E206">
        <v>24</v>
      </c>
      <c r="F206" s="25">
        <v>0.76313657407407409</v>
      </c>
      <c r="G206" s="24">
        <v>45761</v>
      </c>
      <c r="H206" t="s">
        <v>418</v>
      </c>
    </row>
    <row r="207" spans="1:8" x14ac:dyDescent="0.25">
      <c r="A207">
        <v>138655</v>
      </c>
      <c r="B207" t="s">
        <v>99</v>
      </c>
      <c r="C207" t="s">
        <v>470</v>
      </c>
      <c r="D207" t="s">
        <v>471</v>
      </c>
      <c r="E207">
        <v>24</v>
      </c>
      <c r="F207" s="25">
        <v>0.76313657407407409</v>
      </c>
      <c r="G207" s="24">
        <v>45758</v>
      </c>
      <c r="H207" t="s">
        <v>81</v>
      </c>
    </row>
    <row r="208" spans="1:8" x14ac:dyDescent="0.25">
      <c r="A208">
        <v>138661</v>
      </c>
      <c r="B208" t="s">
        <v>99</v>
      </c>
      <c r="C208" t="s">
        <v>472</v>
      </c>
      <c r="D208" t="s">
        <v>473</v>
      </c>
      <c r="E208">
        <v>24</v>
      </c>
      <c r="F208" s="25">
        <v>0.76313657407407409</v>
      </c>
      <c r="G208" s="24">
        <v>45758</v>
      </c>
      <c r="H208" t="s">
        <v>81</v>
      </c>
    </row>
    <row r="209" spans="1:8" x14ac:dyDescent="0.25">
      <c r="A209">
        <v>138666</v>
      </c>
      <c r="B209" t="s">
        <v>82</v>
      </c>
      <c r="C209" t="s">
        <v>474</v>
      </c>
      <c r="D209" t="s">
        <v>475</v>
      </c>
      <c r="E209">
        <v>24</v>
      </c>
      <c r="F209" s="25">
        <v>0.76313657407407409</v>
      </c>
      <c r="G209" s="24">
        <v>45758</v>
      </c>
      <c r="H209" t="s">
        <v>81</v>
      </c>
    </row>
    <row r="210" spans="1:8" x14ac:dyDescent="0.25">
      <c r="A210">
        <v>138667</v>
      </c>
      <c r="B210" t="s">
        <v>99</v>
      </c>
      <c r="C210" t="s">
        <v>476</v>
      </c>
      <c r="D210" t="s">
        <v>477</v>
      </c>
      <c r="E210">
        <v>24</v>
      </c>
      <c r="F210" s="25">
        <v>0.76313657407407409</v>
      </c>
      <c r="G210" s="24">
        <v>45758</v>
      </c>
      <c r="H210" t="s">
        <v>81</v>
      </c>
    </row>
    <row r="211" spans="1:8" x14ac:dyDescent="0.25">
      <c r="A211">
        <v>83570</v>
      </c>
      <c r="B211" t="s">
        <v>7</v>
      </c>
      <c r="C211" t="s">
        <v>478</v>
      </c>
      <c r="D211" t="s">
        <v>479</v>
      </c>
      <c r="E211">
        <v>23</v>
      </c>
      <c r="F211" s="25">
        <v>0.76313657407407409</v>
      </c>
      <c r="G211" s="24">
        <v>45761</v>
      </c>
      <c r="H211" t="s">
        <v>418</v>
      </c>
    </row>
    <row r="212" spans="1:8" x14ac:dyDescent="0.25">
      <c r="A212">
        <v>137438</v>
      </c>
      <c r="B212" t="s">
        <v>7</v>
      </c>
      <c r="C212" t="s">
        <v>480</v>
      </c>
      <c r="D212" t="s">
        <v>481</v>
      </c>
      <c r="E212">
        <v>22</v>
      </c>
      <c r="F212" s="25">
        <v>0.76312500000000005</v>
      </c>
      <c r="G212" s="24">
        <v>45758</v>
      </c>
      <c r="H212" t="s">
        <v>81</v>
      </c>
    </row>
    <row r="213" spans="1:8" x14ac:dyDescent="0.25">
      <c r="A213">
        <v>138316</v>
      </c>
      <c r="B213" t="s">
        <v>99</v>
      </c>
      <c r="C213" t="s">
        <v>482</v>
      </c>
      <c r="D213" t="s">
        <v>483</v>
      </c>
      <c r="E213">
        <v>21</v>
      </c>
      <c r="F213" s="25">
        <v>0.76313657407407409</v>
      </c>
      <c r="G213" s="24">
        <v>45761</v>
      </c>
      <c r="H213" t="s">
        <v>418</v>
      </c>
    </row>
    <row r="214" spans="1:8" x14ac:dyDescent="0.25">
      <c r="A214">
        <v>138788</v>
      </c>
      <c r="B214" t="s">
        <v>77</v>
      </c>
      <c r="C214" t="s">
        <v>484</v>
      </c>
      <c r="D214" t="s">
        <v>485</v>
      </c>
      <c r="E214">
        <v>21</v>
      </c>
      <c r="F214" s="25">
        <v>0.76313657407407409</v>
      </c>
      <c r="G214" s="24">
        <v>45757</v>
      </c>
      <c r="H214" t="s">
        <v>81</v>
      </c>
    </row>
    <row r="215" spans="1:8" x14ac:dyDescent="0.25">
      <c r="A215">
        <v>138790</v>
      </c>
      <c r="B215" t="s">
        <v>82</v>
      </c>
      <c r="C215" t="s">
        <v>486</v>
      </c>
      <c r="D215" t="s">
        <v>487</v>
      </c>
      <c r="E215">
        <v>21</v>
      </c>
      <c r="F215" s="25">
        <v>0.76313657407407409</v>
      </c>
      <c r="G215" s="24">
        <v>45757</v>
      </c>
      <c r="H215" t="s">
        <v>81</v>
      </c>
    </row>
    <row r="216" spans="1:8" x14ac:dyDescent="0.25">
      <c r="A216">
        <v>138792</v>
      </c>
      <c r="B216" t="s">
        <v>99</v>
      </c>
      <c r="C216" t="s">
        <v>488</v>
      </c>
      <c r="D216" t="s">
        <v>489</v>
      </c>
      <c r="E216">
        <v>21</v>
      </c>
      <c r="F216" s="25">
        <v>0.76313657407407409</v>
      </c>
      <c r="G216" s="24">
        <v>45757</v>
      </c>
      <c r="H216" t="s">
        <v>81</v>
      </c>
    </row>
    <row r="217" spans="1:8" x14ac:dyDescent="0.25">
      <c r="A217">
        <v>86141</v>
      </c>
      <c r="B217" t="s">
        <v>90</v>
      </c>
      <c r="C217" t="s">
        <v>490</v>
      </c>
      <c r="D217" t="s">
        <v>491</v>
      </c>
      <c r="E217">
        <v>20</v>
      </c>
      <c r="F217" t="s">
        <v>80</v>
      </c>
      <c r="G217" s="24">
        <v>45757</v>
      </c>
      <c r="H217" t="s">
        <v>81</v>
      </c>
    </row>
    <row r="218" spans="1:8" x14ac:dyDescent="0.25">
      <c r="A218">
        <v>138794</v>
      </c>
      <c r="B218" t="s">
        <v>99</v>
      </c>
      <c r="C218" t="s">
        <v>492</v>
      </c>
      <c r="D218" t="s">
        <v>493</v>
      </c>
      <c r="E218">
        <v>20</v>
      </c>
      <c r="F218" s="25">
        <v>0.76313657407407409</v>
      </c>
      <c r="G218" s="24">
        <v>45757</v>
      </c>
      <c r="H218" t="s">
        <v>81</v>
      </c>
    </row>
    <row r="219" spans="1:8" x14ac:dyDescent="0.25">
      <c r="A219">
        <v>138796</v>
      </c>
      <c r="B219" t="s">
        <v>90</v>
      </c>
      <c r="C219" t="s">
        <v>494</v>
      </c>
      <c r="D219" t="s">
        <v>495</v>
      </c>
      <c r="E219">
        <v>20</v>
      </c>
      <c r="F219" s="25">
        <v>0.76313657407407409</v>
      </c>
      <c r="G219" s="24">
        <v>45757</v>
      </c>
      <c r="H219" t="s">
        <v>81</v>
      </c>
    </row>
    <row r="220" spans="1:8" x14ac:dyDescent="0.25">
      <c r="A220">
        <v>138799</v>
      </c>
      <c r="B220" t="s">
        <v>82</v>
      </c>
      <c r="C220" t="s">
        <v>496</v>
      </c>
      <c r="D220" t="s">
        <v>497</v>
      </c>
      <c r="E220">
        <v>20</v>
      </c>
      <c r="F220" s="25">
        <v>0.76313657407407409</v>
      </c>
      <c r="G220" s="24">
        <v>45757</v>
      </c>
      <c r="H220" t="s">
        <v>81</v>
      </c>
    </row>
    <row r="221" spans="1:8" x14ac:dyDescent="0.25">
      <c r="A221">
        <v>138800</v>
      </c>
      <c r="B221" t="s">
        <v>99</v>
      </c>
      <c r="C221" t="s">
        <v>498</v>
      </c>
      <c r="D221" t="s">
        <v>499</v>
      </c>
      <c r="E221">
        <v>20</v>
      </c>
      <c r="F221" s="25">
        <v>0.76313657407407409</v>
      </c>
      <c r="G221" s="24">
        <v>45757</v>
      </c>
      <c r="H221" t="s">
        <v>81</v>
      </c>
    </row>
    <row r="222" spans="1:8" x14ac:dyDescent="0.25">
      <c r="A222">
        <v>87075</v>
      </c>
      <c r="B222" t="s">
        <v>90</v>
      </c>
      <c r="C222" t="s">
        <v>500</v>
      </c>
      <c r="D222" t="s">
        <v>501</v>
      </c>
      <c r="E222">
        <v>19</v>
      </c>
      <c r="F222" s="25">
        <v>0.76312500000000005</v>
      </c>
      <c r="G222" s="24">
        <v>45757</v>
      </c>
      <c r="H222" t="s">
        <v>81</v>
      </c>
    </row>
    <row r="223" spans="1:8" x14ac:dyDescent="0.25">
      <c r="A223">
        <v>138802</v>
      </c>
      <c r="B223" t="s">
        <v>7</v>
      </c>
      <c r="C223" t="s">
        <v>502</v>
      </c>
      <c r="D223" t="s">
        <v>503</v>
      </c>
      <c r="E223">
        <v>19</v>
      </c>
      <c r="F223" s="25">
        <v>0.76313657407407409</v>
      </c>
      <c r="G223" s="24">
        <v>45761</v>
      </c>
      <c r="H223" t="s">
        <v>81</v>
      </c>
    </row>
    <row r="224" spans="1:8" x14ac:dyDescent="0.25">
      <c r="A224">
        <v>138805</v>
      </c>
      <c r="B224" t="s">
        <v>90</v>
      </c>
      <c r="C224" t="s">
        <v>504</v>
      </c>
      <c r="D224" t="s">
        <v>505</v>
      </c>
      <c r="E224">
        <v>19</v>
      </c>
      <c r="F224" s="25">
        <v>0.76313657407407409</v>
      </c>
      <c r="G224" s="24">
        <v>45757</v>
      </c>
      <c r="H224" t="s">
        <v>81</v>
      </c>
    </row>
    <row r="225" spans="1:8" x14ac:dyDescent="0.25">
      <c r="A225">
        <v>83569</v>
      </c>
      <c r="B225" t="s">
        <v>90</v>
      </c>
      <c r="C225" t="s">
        <v>506</v>
      </c>
      <c r="D225" t="s">
        <v>507</v>
      </c>
      <c r="E225">
        <v>18</v>
      </c>
      <c r="F225" t="s">
        <v>80</v>
      </c>
      <c r="G225" s="24">
        <v>45757</v>
      </c>
      <c r="H225" t="s">
        <v>81</v>
      </c>
    </row>
    <row r="226" spans="1:8" x14ac:dyDescent="0.25">
      <c r="A226">
        <v>137941</v>
      </c>
      <c r="B226" t="s">
        <v>82</v>
      </c>
      <c r="C226" t="s">
        <v>508</v>
      </c>
      <c r="D226" t="s">
        <v>509</v>
      </c>
      <c r="E226">
        <v>18</v>
      </c>
      <c r="F226" s="25">
        <v>0.76312500000000005</v>
      </c>
      <c r="G226" s="24">
        <v>45758</v>
      </c>
      <c r="H226" t="s">
        <v>81</v>
      </c>
    </row>
    <row r="227" spans="1:8" x14ac:dyDescent="0.25">
      <c r="A227">
        <v>138807</v>
      </c>
      <c r="B227" t="s">
        <v>82</v>
      </c>
      <c r="C227" t="s">
        <v>510</v>
      </c>
      <c r="D227" t="s">
        <v>511</v>
      </c>
      <c r="E227">
        <v>18</v>
      </c>
      <c r="F227" s="25">
        <v>0.76313657407407409</v>
      </c>
      <c r="G227" s="24">
        <v>45758</v>
      </c>
      <c r="H227" t="s">
        <v>81</v>
      </c>
    </row>
    <row r="228" spans="1:8" x14ac:dyDescent="0.25">
      <c r="A228">
        <v>138808</v>
      </c>
      <c r="B228" t="s">
        <v>77</v>
      </c>
      <c r="C228" t="s">
        <v>512</v>
      </c>
      <c r="D228" t="s">
        <v>513</v>
      </c>
      <c r="E228">
        <v>18</v>
      </c>
      <c r="F228" s="25">
        <v>0.76313657407407409</v>
      </c>
      <c r="G228" s="24">
        <v>45758</v>
      </c>
      <c r="H228" t="s">
        <v>81</v>
      </c>
    </row>
    <row r="229" spans="1:8" x14ac:dyDescent="0.25">
      <c r="A229">
        <v>138812</v>
      </c>
      <c r="B229" t="s">
        <v>90</v>
      </c>
      <c r="C229" t="s">
        <v>514</v>
      </c>
      <c r="D229" t="s">
        <v>515</v>
      </c>
      <c r="E229">
        <v>18</v>
      </c>
      <c r="F229" s="25">
        <v>0.76313657407407409</v>
      </c>
      <c r="G229" s="24">
        <v>45758</v>
      </c>
      <c r="H229" t="s">
        <v>81</v>
      </c>
    </row>
    <row r="230" spans="1:8" x14ac:dyDescent="0.25">
      <c r="A230">
        <v>138816</v>
      </c>
      <c r="B230" t="s">
        <v>7</v>
      </c>
      <c r="C230" t="s">
        <v>516</v>
      </c>
      <c r="D230" t="s">
        <v>517</v>
      </c>
      <c r="E230">
        <v>18</v>
      </c>
      <c r="F230" s="25">
        <v>0.76313657407407409</v>
      </c>
      <c r="G230" s="24">
        <v>45758</v>
      </c>
      <c r="H230" t="s">
        <v>81</v>
      </c>
    </row>
    <row r="231" spans="1:8" x14ac:dyDescent="0.25">
      <c r="A231">
        <v>86533</v>
      </c>
      <c r="B231" t="s">
        <v>90</v>
      </c>
      <c r="C231" t="s">
        <v>518</v>
      </c>
      <c r="D231" t="s">
        <v>519</v>
      </c>
      <c r="E231">
        <v>17</v>
      </c>
      <c r="F231" t="s">
        <v>80</v>
      </c>
      <c r="G231" s="24">
        <v>45761</v>
      </c>
      <c r="H231" t="s">
        <v>418</v>
      </c>
    </row>
    <row r="232" spans="1:8" x14ac:dyDescent="0.25">
      <c r="A232">
        <v>86541</v>
      </c>
      <c r="B232" t="s">
        <v>82</v>
      </c>
      <c r="C232" t="s">
        <v>520</v>
      </c>
      <c r="D232" t="s">
        <v>521</v>
      </c>
      <c r="E232">
        <v>17</v>
      </c>
      <c r="F232" t="s">
        <v>80</v>
      </c>
      <c r="G232" s="24">
        <v>45758</v>
      </c>
      <c r="H232" t="s">
        <v>81</v>
      </c>
    </row>
    <row r="233" spans="1:8" x14ac:dyDescent="0.25">
      <c r="A233">
        <v>138811</v>
      </c>
      <c r="B233" t="s">
        <v>90</v>
      </c>
      <c r="C233" t="s">
        <v>522</v>
      </c>
      <c r="D233" t="s">
        <v>523</v>
      </c>
      <c r="E233">
        <v>17</v>
      </c>
      <c r="F233" s="25">
        <v>0.76313657407407409</v>
      </c>
      <c r="G233" s="24">
        <v>45761</v>
      </c>
      <c r="H233" t="s">
        <v>418</v>
      </c>
    </row>
    <row r="234" spans="1:8" x14ac:dyDescent="0.25">
      <c r="A234">
        <v>138822</v>
      </c>
      <c r="B234" t="s">
        <v>7</v>
      </c>
      <c r="C234" t="s">
        <v>524</v>
      </c>
      <c r="D234" t="s">
        <v>525</v>
      </c>
      <c r="E234">
        <v>17</v>
      </c>
      <c r="F234" s="25">
        <v>0.76313657407407409</v>
      </c>
      <c r="G234" s="24">
        <v>45758</v>
      </c>
      <c r="H234" t="s">
        <v>81</v>
      </c>
    </row>
    <row r="235" spans="1:8" x14ac:dyDescent="0.25">
      <c r="A235">
        <v>86075</v>
      </c>
      <c r="B235" t="s">
        <v>82</v>
      </c>
      <c r="C235" t="s">
        <v>526</v>
      </c>
      <c r="D235" t="s">
        <v>527</v>
      </c>
      <c r="E235">
        <v>17</v>
      </c>
      <c r="F235" s="25">
        <v>0.76313657407407409</v>
      </c>
      <c r="G235" s="24">
        <v>45758</v>
      </c>
      <c r="H235" t="s">
        <v>81</v>
      </c>
    </row>
    <row r="236" spans="1:8" x14ac:dyDescent="0.25">
      <c r="A236">
        <v>139189</v>
      </c>
      <c r="B236" t="s">
        <v>90</v>
      </c>
      <c r="C236" t="s">
        <v>528</v>
      </c>
      <c r="D236" t="s">
        <v>529</v>
      </c>
      <c r="E236">
        <v>14</v>
      </c>
      <c r="F236" s="25">
        <v>0.76313657407407409</v>
      </c>
      <c r="G236" s="24">
        <v>45761</v>
      </c>
      <c r="H236" t="s">
        <v>418</v>
      </c>
    </row>
    <row r="237" spans="1:8" x14ac:dyDescent="0.25">
      <c r="A237">
        <v>78001</v>
      </c>
      <c r="B237" t="s">
        <v>82</v>
      </c>
      <c r="C237" t="s">
        <v>530</v>
      </c>
      <c r="D237" t="s">
        <v>531</v>
      </c>
      <c r="E237">
        <v>13</v>
      </c>
      <c r="F237" t="s">
        <v>80</v>
      </c>
      <c r="G237" s="24">
        <v>45761</v>
      </c>
      <c r="H237" t="s">
        <v>418</v>
      </c>
    </row>
    <row r="238" spans="1:8" x14ac:dyDescent="0.25">
      <c r="A238">
        <v>137667</v>
      </c>
      <c r="B238" t="s">
        <v>7</v>
      </c>
      <c r="C238" t="s">
        <v>532</v>
      </c>
      <c r="D238" t="s">
        <v>533</v>
      </c>
      <c r="E238">
        <v>13</v>
      </c>
      <c r="F238" s="25">
        <v>0.76312500000000005</v>
      </c>
      <c r="G238" s="24">
        <v>45761</v>
      </c>
      <c r="H238" t="s">
        <v>418</v>
      </c>
    </row>
    <row r="239" spans="1:8" x14ac:dyDescent="0.25">
      <c r="A239">
        <v>87380</v>
      </c>
      <c r="B239" t="s">
        <v>107</v>
      </c>
      <c r="C239" t="s">
        <v>534</v>
      </c>
      <c r="D239" t="s">
        <v>535</v>
      </c>
      <c r="E239">
        <v>13</v>
      </c>
      <c r="F239" s="25">
        <v>0.76313657407407409</v>
      </c>
      <c r="G239" s="24">
        <v>45761</v>
      </c>
      <c r="H239" t="s">
        <v>418</v>
      </c>
    </row>
    <row r="240" spans="1:8" x14ac:dyDescent="0.25">
      <c r="A240">
        <v>139191</v>
      </c>
      <c r="B240" t="s">
        <v>90</v>
      </c>
      <c r="C240" t="s">
        <v>536</v>
      </c>
      <c r="D240" t="s">
        <v>537</v>
      </c>
      <c r="E240">
        <v>12</v>
      </c>
      <c r="F240" s="25">
        <v>0.76313657407407409</v>
      </c>
      <c r="G240" s="24">
        <v>45758</v>
      </c>
      <c r="H240" t="s">
        <v>81</v>
      </c>
    </row>
    <row r="241" spans="1:8" x14ac:dyDescent="0.25">
      <c r="A241">
        <v>139192</v>
      </c>
      <c r="B241" t="s">
        <v>82</v>
      </c>
      <c r="C241" t="s">
        <v>538</v>
      </c>
      <c r="D241" t="s">
        <v>539</v>
      </c>
      <c r="E241">
        <v>12</v>
      </c>
      <c r="F241" s="25">
        <v>0.76313657407407409</v>
      </c>
      <c r="G241" s="24">
        <v>45758</v>
      </c>
      <c r="H241" t="s">
        <v>81</v>
      </c>
    </row>
    <row r="242" spans="1:8" x14ac:dyDescent="0.25">
      <c r="A242">
        <v>139193</v>
      </c>
      <c r="B242" t="s">
        <v>77</v>
      </c>
      <c r="C242" t="s">
        <v>540</v>
      </c>
      <c r="D242" t="s">
        <v>541</v>
      </c>
      <c r="E242">
        <v>12</v>
      </c>
      <c r="F242" s="25">
        <v>0.76313657407407409</v>
      </c>
      <c r="G242" s="24">
        <v>45761</v>
      </c>
      <c r="H242" t="s">
        <v>104</v>
      </c>
    </row>
    <row r="243" spans="1:8" x14ac:dyDescent="0.25">
      <c r="A243">
        <v>139196</v>
      </c>
      <c r="B243" t="s">
        <v>99</v>
      </c>
      <c r="C243" t="s">
        <v>542</v>
      </c>
      <c r="D243" t="s">
        <v>543</v>
      </c>
      <c r="E243">
        <v>11</v>
      </c>
      <c r="F243" s="25">
        <v>0.76313657407407409</v>
      </c>
      <c r="G243" s="24">
        <v>45757</v>
      </c>
      <c r="H243" t="s">
        <v>81</v>
      </c>
    </row>
    <row r="244" spans="1:8" x14ac:dyDescent="0.25">
      <c r="A244">
        <v>139198</v>
      </c>
      <c r="B244" t="s">
        <v>77</v>
      </c>
      <c r="C244" t="s">
        <v>544</v>
      </c>
      <c r="D244" t="s">
        <v>545</v>
      </c>
      <c r="E244">
        <v>11</v>
      </c>
      <c r="F244" s="25">
        <v>0.76313657407407409</v>
      </c>
      <c r="G244" s="24">
        <v>45761</v>
      </c>
      <c r="H244" t="s">
        <v>418</v>
      </c>
    </row>
    <row r="245" spans="1:8" x14ac:dyDescent="0.25">
      <c r="A245">
        <v>139202</v>
      </c>
      <c r="B245" t="s">
        <v>7</v>
      </c>
      <c r="C245" t="s">
        <v>546</v>
      </c>
      <c r="D245" t="s">
        <v>547</v>
      </c>
      <c r="E245">
        <v>11</v>
      </c>
      <c r="F245" s="25">
        <v>0.76313657407407409</v>
      </c>
      <c r="G245" s="24">
        <v>45761</v>
      </c>
      <c r="H245" t="s">
        <v>418</v>
      </c>
    </row>
    <row r="246" spans="1:8" x14ac:dyDescent="0.25">
      <c r="A246">
        <v>78264</v>
      </c>
      <c r="B246" t="s">
        <v>90</v>
      </c>
      <c r="C246" t="s">
        <v>548</v>
      </c>
      <c r="D246" t="s">
        <v>549</v>
      </c>
      <c r="E246">
        <v>10</v>
      </c>
      <c r="F246" t="s">
        <v>80</v>
      </c>
      <c r="G246" s="24">
        <v>45757</v>
      </c>
      <c r="H246" t="s">
        <v>81</v>
      </c>
    </row>
    <row r="247" spans="1:8" x14ac:dyDescent="0.25">
      <c r="A247">
        <v>138378</v>
      </c>
      <c r="B247" t="s">
        <v>90</v>
      </c>
      <c r="C247" t="s">
        <v>550</v>
      </c>
      <c r="D247" t="s">
        <v>551</v>
      </c>
      <c r="E247">
        <v>10</v>
      </c>
      <c r="F247" s="25">
        <v>0.76313657407407409</v>
      </c>
      <c r="G247" s="24">
        <v>45757</v>
      </c>
      <c r="H247" t="s">
        <v>81</v>
      </c>
    </row>
    <row r="248" spans="1:8" x14ac:dyDescent="0.25">
      <c r="A248">
        <v>137699</v>
      </c>
      <c r="B248" t="s">
        <v>99</v>
      </c>
      <c r="C248" t="s">
        <v>552</v>
      </c>
      <c r="D248" t="s">
        <v>553</v>
      </c>
      <c r="E248">
        <v>9</v>
      </c>
      <c r="F248" s="25">
        <v>0.76312500000000005</v>
      </c>
      <c r="G248" s="24">
        <v>45758</v>
      </c>
      <c r="H248" t="s">
        <v>81</v>
      </c>
    </row>
    <row r="249" spans="1:8" x14ac:dyDescent="0.25">
      <c r="A249">
        <v>139208</v>
      </c>
      <c r="B249" t="s">
        <v>90</v>
      </c>
      <c r="C249" t="s">
        <v>554</v>
      </c>
      <c r="D249" t="s">
        <v>555</v>
      </c>
      <c r="E249">
        <v>9</v>
      </c>
      <c r="F249" s="25">
        <v>0.76313657407407409</v>
      </c>
      <c r="G249" s="24">
        <v>45761</v>
      </c>
      <c r="H249" t="s">
        <v>418</v>
      </c>
    </row>
    <row r="250" spans="1:8" x14ac:dyDescent="0.25">
      <c r="A250">
        <v>139210</v>
      </c>
      <c r="B250" t="s">
        <v>82</v>
      </c>
      <c r="C250" t="s">
        <v>556</v>
      </c>
      <c r="D250" t="s">
        <v>557</v>
      </c>
      <c r="E250">
        <v>9</v>
      </c>
      <c r="F250" s="25">
        <v>0.76313657407407409</v>
      </c>
      <c r="G250" s="24">
        <v>45758</v>
      </c>
      <c r="H250" t="s">
        <v>81</v>
      </c>
    </row>
    <row r="251" spans="1:8" x14ac:dyDescent="0.25">
      <c r="A251">
        <v>139211</v>
      </c>
      <c r="B251" t="s">
        <v>90</v>
      </c>
      <c r="C251" t="s">
        <v>558</v>
      </c>
      <c r="D251" t="s">
        <v>559</v>
      </c>
      <c r="E251">
        <v>9</v>
      </c>
      <c r="F251" s="25">
        <v>0.76313657407407409</v>
      </c>
      <c r="G251" s="24">
        <v>45758</v>
      </c>
      <c r="H251" t="s">
        <v>81</v>
      </c>
    </row>
    <row r="252" spans="1:8" x14ac:dyDescent="0.25">
      <c r="A252">
        <v>137697</v>
      </c>
      <c r="B252" t="s">
        <v>99</v>
      </c>
      <c r="C252" t="s">
        <v>560</v>
      </c>
      <c r="D252" t="s">
        <v>561</v>
      </c>
      <c r="E252">
        <v>8</v>
      </c>
      <c r="F252" s="25">
        <v>0.76312500000000005</v>
      </c>
      <c r="G252" s="24">
        <v>45761</v>
      </c>
      <c r="H252" t="s">
        <v>418</v>
      </c>
    </row>
    <row r="253" spans="1:8" x14ac:dyDescent="0.25">
      <c r="A253">
        <v>138046</v>
      </c>
      <c r="B253" t="s">
        <v>77</v>
      </c>
      <c r="C253" t="s">
        <v>562</v>
      </c>
      <c r="D253" t="s">
        <v>563</v>
      </c>
      <c r="E253">
        <v>8</v>
      </c>
      <c r="F253" s="25">
        <v>0.76313657407407409</v>
      </c>
      <c r="G253" s="24">
        <v>45761</v>
      </c>
      <c r="H253" t="s">
        <v>104</v>
      </c>
    </row>
    <row r="254" spans="1:8" x14ac:dyDescent="0.25">
      <c r="A254">
        <v>139213</v>
      </c>
      <c r="B254" t="s">
        <v>82</v>
      </c>
      <c r="C254" t="s">
        <v>564</v>
      </c>
      <c r="D254" t="s">
        <v>565</v>
      </c>
      <c r="E254">
        <v>8</v>
      </c>
      <c r="F254" s="25">
        <v>0.76313657407407409</v>
      </c>
      <c r="G254" s="24">
        <v>45758</v>
      </c>
      <c r="H254" t="s">
        <v>81</v>
      </c>
    </row>
    <row r="255" spans="1:8" x14ac:dyDescent="0.25">
      <c r="A255">
        <v>80932</v>
      </c>
      <c r="B255" t="s">
        <v>99</v>
      </c>
      <c r="C255" t="s">
        <v>566</v>
      </c>
      <c r="D255" t="s">
        <v>567</v>
      </c>
      <c r="E255">
        <v>7</v>
      </c>
      <c r="F255" s="25">
        <v>0.76312500000000005</v>
      </c>
      <c r="G255" s="24">
        <v>45758</v>
      </c>
      <c r="H255" t="s">
        <v>81</v>
      </c>
    </row>
    <row r="256" spans="1:8" x14ac:dyDescent="0.25">
      <c r="A256">
        <v>137686</v>
      </c>
      <c r="B256" t="s">
        <v>90</v>
      </c>
      <c r="C256" t="s">
        <v>568</v>
      </c>
      <c r="D256" t="s">
        <v>569</v>
      </c>
      <c r="E256">
        <v>7</v>
      </c>
      <c r="F256" s="25">
        <v>0.76312500000000005</v>
      </c>
      <c r="G256" s="24">
        <v>45758</v>
      </c>
      <c r="H256" t="s">
        <v>81</v>
      </c>
    </row>
    <row r="257" spans="1:8" x14ac:dyDescent="0.25">
      <c r="A257">
        <v>139400</v>
      </c>
      <c r="B257" t="s">
        <v>99</v>
      </c>
      <c r="C257" t="s">
        <v>570</v>
      </c>
      <c r="D257" t="s">
        <v>571</v>
      </c>
      <c r="E257">
        <v>7</v>
      </c>
      <c r="F257" s="25">
        <v>0.76313657407407409</v>
      </c>
      <c r="G257" s="24">
        <v>45758</v>
      </c>
      <c r="H257" t="s">
        <v>81</v>
      </c>
    </row>
    <row r="258" spans="1:8" x14ac:dyDescent="0.25">
      <c r="A258">
        <v>139401</v>
      </c>
      <c r="B258" t="s">
        <v>82</v>
      </c>
      <c r="C258" t="s">
        <v>572</v>
      </c>
      <c r="D258" t="s">
        <v>573</v>
      </c>
      <c r="E258">
        <v>7</v>
      </c>
      <c r="F258" s="25">
        <v>0.76313657407407409</v>
      </c>
      <c r="G258" s="24">
        <v>45761</v>
      </c>
      <c r="H258" t="s">
        <v>418</v>
      </c>
    </row>
    <row r="259" spans="1:8" x14ac:dyDescent="0.25">
      <c r="A259">
        <v>139402</v>
      </c>
      <c r="B259" t="s">
        <v>99</v>
      </c>
      <c r="C259" t="s">
        <v>574</v>
      </c>
      <c r="D259" t="s">
        <v>575</v>
      </c>
      <c r="E259">
        <v>7</v>
      </c>
      <c r="F259" s="25">
        <v>0.76313657407407409</v>
      </c>
      <c r="G259" s="24">
        <v>45758</v>
      </c>
      <c r="H259" t="s">
        <v>81</v>
      </c>
    </row>
    <row r="260" spans="1:8" x14ac:dyDescent="0.25">
      <c r="A260">
        <v>137149</v>
      </c>
      <c r="B260" t="s">
        <v>90</v>
      </c>
      <c r="C260" t="s">
        <v>576</v>
      </c>
      <c r="D260" t="s">
        <v>577</v>
      </c>
      <c r="E260">
        <v>6</v>
      </c>
      <c r="F260" s="25">
        <v>0.76312500000000005</v>
      </c>
      <c r="G260" s="24">
        <v>45757</v>
      </c>
      <c r="H260" t="s">
        <v>81</v>
      </c>
    </row>
    <row r="261" spans="1:8" x14ac:dyDescent="0.25">
      <c r="A261">
        <v>137150</v>
      </c>
      <c r="B261" t="s">
        <v>77</v>
      </c>
      <c r="C261" t="s">
        <v>578</v>
      </c>
      <c r="D261" t="s">
        <v>579</v>
      </c>
      <c r="E261">
        <v>6</v>
      </c>
      <c r="F261" s="25">
        <v>0.76312500000000005</v>
      </c>
      <c r="G261" s="24">
        <v>45761</v>
      </c>
      <c r="H261" t="s">
        <v>418</v>
      </c>
    </row>
    <row r="262" spans="1:8" x14ac:dyDescent="0.25">
      <c r="A262">
        <v>87370</v>
      </c>
      <c r="B262" t="s">
        <v>7</v>
      </c>
      <c r="C262" t="s">
        <v>580</v>
      </c>
      <c r="D262" t="s">
        <v>581</v>
      </c>
      <c r="E262">
        <v>5</v>
      </c>
      <c r="F262" s="25">
        <v>0.76312500000000005</v>
      </c>
      <c r="G262" s="24">
        <v>45758</v>
      </c>
      <c r="H262" t="s">
        <v>81</v>
      </c>
    </row>
    <row r="263" spans="1:8" x14ac:dyDescent="0.25">
      <c r="A263">
        <v>137175</v>
      </c>
      <c r="B263" t="s">
        <v>99</v>
      </c>
      <c r="C263" t="s">
        <v>582</v>
      </c>
      <c r="D263" t="s">
        <v>583</v>
      </c>
      <c r="E263">
        <v>5</v>
      </c>
      <c r="F263" s="25">
        <v>0.76312500000000005</v>
      </c>
      <c r="G263" s="24">
        <v>45761</v>
      </c>
      <c r="H263" t="s">
        <v>418</v>
      </c>
    </row>
    <row r="264" spans="1:8" x14ac:dyDescent="0.25">
      <c r="A264">
        <v>139403</v>
      </c>
      <c r="B264" t="s">
        <v>90</v>
      </c>
      <c r="C264" t="s">
        <v>584</v>
      </c>
      <c r="D264" t="s">
        <v>585</v>
      </c>
      <c r="E264">
        <v>5</v>
      </c>
      <c r="F264" s="25">
        <v>0.76313657407407409</v>
      </c>
      <c r="G264" s="24">
        <v>45758</v>
      </c>
      <c r="H264" t="s">
        <v>81</v>
      </c>
    </row>
    <row r="265" spans="1:8" x14ac:dyDescent="0.25">
      <c r="A265">
        <v>79073</v>
      </c>
      <c r="B265" t="s">
        <v>77</v>
      </c>
      <c r="C265" t="s">
        <v>586</v>
      </c>
      <c r="D265" t="s">
        <v>587</v>
      </c>
      <c r="E265">
        <v>4</v>
      </c>
      <c r="F265" s="25">
        <v>0.76312500000000005</v>
      </c>
      <c r="G265" s="24">
        <v>45761</v>
      </c>
      <c r="H265" t="s">
        <v>81</v>
      </c>
    </row>
    <row r="266" spans="1:8" x14ac:dyDescent="0.25">
      <c r="A266">
        <v>87066</v>
      </c>
      <c r="B266" t="s">
        <v>90</v>
      </c>
      <c r="C266" t="s">
        <v>588</v>
      </c>
      <c r="D266" t="s">
        <v>589</v>
      </c>
      <c r="E266">
        <v>4</v>
      </c>
      <c r="F266" s="25">
        <v>0.76312500000000005</v>
      </c>
      <c r="G266" s="24">
        <v>45761</v>
      </c>
      <c r="H266" t="s">
        <v>81</v>
      </c>
    </row>
    <row r="267" spans="1:8" x14ac:dyDescent="0.25">
      <c r="A267">
        <v>138465</v>
      </c>
      <c r="B267" t="s">
        <v>82</v>
      </c>
      <c r="C267" t="s">
        <v>590</v>
      </c>
      <c r="D267" t="s">
        <v>591</v>
      </c>
      <c r="E267">
        <v>4</v>
      </c>
      <c r="F267" s="25">
        <v>0.76313657407407409</v>
      </c>
      <c r="G267" s="24">
        <v>45761</v>
      </c>
      <c r="H267" t="s">
        <v>418</v>
      </c>
    </row>
    <row r="268" spans="1:8" x14ac:dyDescent="0.25">
      <c r="A268">
        <v>139405</v>
      </c>
      <c r="B268" t="s">
        <v>99</v>
      </c>
      <c r="C268" t="s">
        <v>592</v>
      </c>
      <c r="D268" t="s">
        <v>593</v>
      </c>
      <c r="E268">
        <v>4</v>
      </c>
      <c r="F268" s="25">
        <v>0.76313657407407409</v>
      </c>
      <c r="G268" s="24">
        <v>45761</v>
      </c>
      <c r="H268" t="s">
        <v>81</v>
      </c>
    </row>
    <row r="269" spans="1:8" x14ac:dyDescent="0.25">
      <c r="A269">
        <v>139406</v>
      </c>
      <c r="B269" t="s">
        <v>90</v>
      </c>
      <c r="C269" t="s">
        <v>594</v>
      </c>
      <c r="D269" t="s">
        <v>595</v>
      </c>
      <c r="E269">
        <v>4</v>
      </c>
      <c r="F269" s="25">
        <v>0.76313657407407409</v>
      </c>
      <c r="G269" s="24">
        <v>45761</v>
      </c>
      <c r="H269" t="s">
        <v>418</v>
      </c>
    </row>
    <row r="270" spans="1:8" x14ac:dyDescent="0.25">
      <c r="A270">
        <v>139407</v>
      </c>
      <c r="B270" t="s">
        <v>82</v>
      </c>
      <c r="C270" t="s">
        <v>596</v>
      </c>
      <c r="D270" t="s">
        <v>597</v>
      </c>
      <c r="E270">
        <v>4</v>
      </c>
      <c r="F270" s="25">
        <v>0.76313657407407409</v>
      </c>
      <c r="G270" s="24">
        <v>45761</v>
      </c>
      <c r="H270" t="s">
        <v>81</v>
      </c>
    </row>
    <row r="271" spans="1:8" x14ac:dyDescent="0.25">
      <c r="A271">
        <v>83152</v>
      </c>
      <c r="B271" t="s">
        <v>90</v>
      </c>
      <c r="C271" t="s">
        <v>598</v>
      </c>
      <c r="D271" t="s">
        <v>599</v>
      </c>
      <c r="E271">
        <v>4</v>
      </c>
      <c r="F271" s="25">
        <v>0.76313657407407409</v>
      </c>
      <c r="G271" s="24">
        <v>45761</v>
      </c>
      <c r="H271" t="s">
        <v>81</v>
      </c>
    </row>
    <row r="272" spans="1:8" x14ac:dyDescent="0.25">
      <c r="A272">
        <v>139408</v>
      </c>
      <c r="B272" t="s">
        <v>107</v>
      </c>
      <c r="C272" t="s">
        <v>600</v>
      </c>
      <c r="D272" t="s">
        <v>601</v>
      </c>
      <c r="E272">
        <v>4</v>
      </c>
      <c r="F272" s="25">
        <v>0.76313657407407409</v>
      </c>
      <c r="G272" s="24">
        <v>45761</v>
      </c>
      <c r="H272" t="s">
        <v>81</v>
      </c>
    </row>
    <row r="273" spans="1:8" x14ac:dyDescent="0.25">
      <c r="A273">
        <v>139409</v>
      </c>
      <c r="B273" t="s">
        <v>82</v>
      </c>
      <c r="C273" t="s">
        <v>602</v>
      </c>
      <c r="D273" t="s">
        <v>603</v>
      </c>
      <c r="E273">
        <v>4</v>
      </c>
      <c r="F273" s="25">
        <v>0.76313657407407409</v>
      </c>
      <c r="G273" s="24">
        <v>45761</v>
      </c>
      <c r="H273" t="s">
        <v>418</v>
      </c>
    </row>
    <row r="274" spans="1:8" ht="15.75" customHeight="1" x14ac:dyDescent="0.25">
      <c r="A274">
        <v>139410</v>
      </c>
      <c r="B274" t="s">
        <v>82</v>
      </c>
      <c r="C274" t="s">
        <v>604</v>
      </c>
      <c r="D274" t="s">
        <v>605</v>
      </c>
      <c r="E274">
        <v>4</v>
      </c>
      <c r="F274" s="25">
        <v>0.76313657407407409</v>
      </c>
      <c r="G274" s="24">
        <v>45761</v>
      </c>
      <c r="H274" t="s">
        <v>81</v>
      </c>
    </row>
    <row r="275" spans="1:8" x14ac:dyDescent="0.25">
      <c r="A275">
        <v>83498</v>
      </c>
      <c r="B275" t="s">
        <v>99</v>
      </c>
      <c r="C275" t="s">
        <v>606</v>
      </c>
      <c r="D275" t="s">
        <v>607</v>
      </c>
      <c r="E275">
        <v>3</v>
      </c>
      <c r="F275" s="25">
        <v>0.76312500000000005</v>
      </c>
      <c r="G275" s="24">
        <v>45761</v>
      </c>
      <c r="H275" t="s">
        <v>418</v>
      </c>
    </row>
    <row r="276" spans="1:8" x14ac:dyDescent="0.25">
      <c r="A276">
        <v>87395</v>
      </c>
      <c r="B276" t="s">
        <v>82</v>
      </c>
      <c r="C276" t="s">
        <v>608</v>
      </c>
      <c r="D276" t="s">
        <v>609</v>
      </c>
      <c r="E276">
        <v>3</v>
      </c>
      <c r="F276" s="25">
        <v>0.76312500000000005</v>
      </c>
      <c r="G276" s="24">
        <v>45761</v>
      </c>
      <c r="H276" t="s">
        <v>418</v>
      </c>
    </row>
    <row r="277" spans="1:8" x14ac:dyDescent="0.25">
      <c r="A277">
        <v>83496</v>
      </c>
      <c r="B277" t="s">
        <v>7</v>
      </c>
      <c r="C277" t="s">
        <v>610</v>
      </c>
      <c r="D277" t="s">
        <v>611</v>
      </c>
      <c r="E277">
        <v>3</v>
      </c>
      <c r="F277" s="25">
        <v>0.76312500000000005</v>
      </c>
      <c r="G277" s="24">
        <v>45761</v>
      </c>
      <c r="H277" t="s">
        <v>418</v>
      </c>
    </row>
    <row r="278" spans="1:8" x14ac:dyDescent="0.25">
      <c r="A278">
        <v>83187</v>
      </c>
      <c r="B278" t="s">
        <v>99</v>
      </c>
      <c r="C278" t="s">
        <v>612</v>
      </c>
      <c r="D278" t="s">
        <v>613</v>
      </c>
      <c r="E278">
        <v>3</v>
      </c>
      <c r="F278" s="25">
        <v>0.76313657407407409</v>
      </c>
      <c r="G278" s="24">
        <v>45727</v>
      </c>
      <c r="H278" t="s">
        <v>87</v>
      </c>
    </row>
    <row r="279" spans="1:8" x14ac:dyDescent="0.25">
      <c r="A279">
        <v>81654</v>
      </c>
      <c r="B279" t="s">
        <v>7</v>
      </c>
      <c r="C279" t="s">
        <v>614</v>
      </c>
      <c r="D279" t="s">
        <v>615</v>
      </c>
      <c r="F279" s="25">
        <v>0.76312500000000005</v>
      </c>
      <c r="G279" s="24">
        <v>45744</v>
      </c>
      <c r="H279" t="s">
        <v>243</v>
      </c>
    </row>
    <row r="280" spans="1:8" x14ac:dyDescent="0.25">
      <c r="A280" t="s">
        <v>616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CF0E-E82C-4A6A-979E-FCCA9A5C9886}">
  <sheetPr codeName="Лист4"/>
  <dimension ref="A1:B12"/>
  <sheetViews>
    <sheetView workbookViewId="0">
      <selection activeCell="B20" sqref="B20"/>
    </sheetView>
  </sheetViews>
  <sheetFormatPr defaultRowHeight="15" x14ac:dyDescent="0.25"/>
  <cols>
    <col min="1" max="1" width="25.7109375" bestFit="1" customWidth="1"/>
    <col min="2" max="2" width="28.5703125" bestFit="1" customWidth="1"/>
  </cols>
  <sheetData>
    <row r="1" spans="1:2" ht="15.75" x14ac:dyDescent="0.25">
      <c r="A1" s="10" t="s">
        <v>24</v>
      </c>
      <c r="B1" s="10" t="s">
        <v>25</v>
      </c>
    </row>
    <row r="2" spans="1:2" x14ac:dyDescent="0.25">
      <c r="A2" t="s">
        <v>28</v>
      </c>
      <c r="B2" t="s">
        <v>26</v>
      </c>
    </row>
    <row r="3" spans="1:2" x14ac:dyDescent="0.25">
      <c r="A3" t="s">
        <v>47</v>
      </c>
      <c r="B3" t="s">
        <v>27</v>
      </c>
    </row>
    <row r="4" spans="1:2" x14ac:dyDescent="0.25">
      <c r="A4" t="s">
        <v>29</v>
      </c>
      <c r="B4" t="s">
        <v>30</v>
      </c>
    </row>
    <row r="5" spans="1:2" x14ac:dyDescent="0.25">
      <c r="A5" t="s">
        <v>31</v>
      </c>
      <c r="B5" t="s">
        <v>32</v>
      </c>
    </row>
    <row r="6" spans="1:2" x14ac:dyDescent="0.25">
      <c r="A6" t="s">
        <v>43</v>
      </c>
      <c r="B6" t="s">
        <v>44</v>
      </c>
    </row>
    <row r="7" spans="1:2" x14ac:dyDescent="0.25">
      <c r="A7" t="s">
        <v>33</v>
      </c>
      <c r="B7" t="s">
        <v>34</v>
      </c>
    </row>
    <row r="8" spans="1:2" x14ac:dyDescent="0.25">
      <c r="A8" t="s">
        <v>39</v>
      </c>
      <c r="B8" t="s">
        <v>35</v>
      </c>
    </row>
    <row r="9" spans="1:2" x14ac:dyDescent="0.25">
      <c r="A9" t="s">
        <v>40</v>
      </c>
      <c r="B9" t="s">
        <v>36</v>
      </c>
    </row>
    <row r="10" spans="1:2" x14ac:dyDescent="0.25">
      <c r="A10" t="s">
        <v>37</v>
      </c>
      <c r="B10" t="s">
        <v>38</v>
      </c>
    </row>
    <row r="11" spans="1:2" x14ac:dyDescent="0.25">
      <c r="A11" t="s">
        <v>41</v>
      </c>
      <c r="B11" t="s">
        <v>45</v>
      </c>
    </row>
    <row r="12" spans="1:2" x14ac:dyDescent="0.25">
      <c r="A12" t="s">
        <v>42</v>
      </c>
      <c r="B12" t="s">
        <v>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Интерфейс</vt:lpstr>
      <vt:lpstr>Документ</vt:lpstr>
      <vt:lpstr>реестр</vt:lpstr>
      <vt:lpstr>db</vt:lpstr>
      <vt:lpstr>annatation</vt:lpstr>
      <vt:lpstr>Адрес</vt:lpstr>
      <vt:lpstr>Адресат</vt:lpstr>
      <vt:lpstr>ИО</vt:lpstr>
      <vt:lpstr>КрСт</vt:lpstr>
      <vt:lpstr>Документ!Преамбула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AngryKiwi</dc:creator>
  <cp:lastModifiedBy>Герцог Кивийский</cp:lastModifiedBy>
  <cp:lastPrinted>2025-04-15T09:44:25Z</cp:lastPrinted>
  <dcterms:created xsi:type="dcterms:W3CDTF">2015-06-05T18:17:20Z</dcterms:created>
  <dcterms:modified xsi:type="dcterms:W3CDTF">2025-04-15T13:35:03Z</dcterms:modified>
</cp:coreProperties>
</file>
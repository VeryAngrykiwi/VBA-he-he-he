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латежи\"/>
    </mc:Choice>
  </mc:AlternateContent>
  <xr:revisionPtr revIDLastSave="0" documentId="13_ncr:1_{AD1A6B30-395B-4F69-9655-76E51301F0F5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ЭКВАЙРИНГ" sheetId="1" r:id="rId1"/>
    <sheet name="1C" sheetId="2" r:id="rId2"/>
    <sheet name="стат" sheetId="4" r:id="rId3"/>
    <sheet name="сохраняем" sheetId="3" r:id="rId4"/>
    <sheet name="поступление" sheetId="8" r:id="rId5"/>
    <sheet name="all" sheetId="6" r:id="rId6"/>
    <sheet name="prosr" sheetId="7" r:id="rId7"/>
    <sheet name="allA" sheetId="11" r:id="rId8"/>
    <sheet name="ПДП" sheetId="9" r:id="rId9"/>
    <sheet name="прочее" sheetId="12" r:id="rId10"/>
    <sheet name="xforms" sheetId="5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ЭКВАЙРИНГ!$A$1:$L$29</definedName>
    <definedName name="ala">OFFSET(allA!XEX1,0,0,1,COUNTA(allA!XEX1:'allA'!C1))</definedName>
    <definedName name="allloans">OFFSET(all!XEZ1,0,0,1,COUNTA(all!XEZ1:'all'!E1))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B3" i="9"/>
  <c r="B2" i="9"/>
  <c r="A2" i="9"/>
  <c r="K3" i="7"/>
  <c r="K2" i="7"/>
  <c r="A2" i="7" a="1"/>
  <c r="A2" i="7" s="1"/>
  <c r="A3" i="1"/>
  <c r="R3" i="1" s="1"/>
  <c r="A2" i="1"/>
  <c r="F2" i="1" s="1"/>
  <c r="C3" i="11"/>
  <c r="A2" i="11"/>
  <c r="M2" i="6"/>
  <c r="B3" i="6" a="1"/>
  <c r="B3" i="6" s="1"/>
  <c r="C3" i="6" a="1"/>
  <c r="C3" i="6" s="1"/>
  <c r="A3" i="6" a="1"/>
  <c r="A3" i="6" s="1"/>
  <c r="A2" i="6" a="1"/>
  <c r="A2" i="6" s="1"/>
  <c r="T3" i="1"/>
  <c r="U2" i="1"/>
  <c r="W2" i="1" s="1"/>
  <c r="T2" i="1"/>
  <c r="R2" i="1"/>
  <c r="J3" i="1"/>
  <c r="P3" i="1" s="1"/>
  <c r="Q3" i="1" s="1"/>
  <c r="K2" i="1"/>
  <c r="J2" i="1"/>
  <c r="P2" i="1" s="1"/>
  <c r="Q2" i="1" s="1"/>
  <c r="F3" i="2"/>
  <c r="F4" i="2"/>
  <c r="F5" i="2"/>
  <c r="F6" i="2"/>
  <c r="F2" i="2"/>
  <c r="K4" i="7"/>
  <c r="K5" i="7"/>
  <c r="R4" i="1"/>
  <c r="T4" i="1"/>
  <c r="T5" i="1"/>
  <c r="P4" i="1"/>
  <c r="Q4" i="1" s="1"/>
  <c r="K4" i="1"/>
  <c r="P5" i="1"/>
  <c r="Q5" i="1" s="1"/>
  <c r="K6" i="7"/>
  <c r="R6" i="1"/>
  <c r="T6" i="1"/>
  <c r="P6" i="1"/>
  <c r="Q6" i="1" s="1"/>
  <c r="K6" i="1"/>
  <c r="K7" i="7"/>
  <c r="K8" i="7"/>
  <c r="K9" i="7"/>
  <c r="A7" i="7" a="1"/>
  <c r="A7" i="7" s="1"/>
  <c r="T7" i="1"/>
  <c r="T8" i="1"/>
  <c r="R9" i="1"/>
  <c r="T9" i="1"/>
  <c r="P7" i="1"/>
  <c r="Q7" i="1" s="1"/>
  <c r="K7" i="1"/>
  <c r="P8" i="1"/>
  <c r="Q8" i="1" s="1"/>
  <c r="P9" i="1"/>
  <c r="Q9" i="1" s="1"/>
  <c r="K9" i="1"/>
  <c r="K10" i="7"/>
  <c r="K11" i="7"/>
  <c r="A10" i="7" a="1"/>
  <c r="A10" i="7" s="1"/>
  <c r="R10" i="1"/>
  <c r="T10" i="1"/>
  <c r="R11" i="1"/>
  <c r="T11" i="1"/>
  <c r="P10" i="1"/>
  <c r="Q10" i="1" s="1"/>
  <c r="K10" i="1"/>
  <c r="P11" i="1"/>
  <c r="Q11" i="1" s="1"/>
  <c r="K11" i="1"/>
  <c r="M3" i="6" l="1"/>
  <c r="K3" i="1"/>
  <c r="I3" i="1" s="1"/>
  <c r="U3" i="1"/>
  <c r="W3" i="1" s="1"/>
  <c r="F3" i="1"/>
  <c r="I2" i="1"/>
  <c r="K5" i="1"/>
  <c r="R5" i="1"/>
  <c r="K8" i="1"/>
  <c r="R8" i="1"/>
  <c r="R7" i="1"/>
  <c r="A12" i="7" l="1" a="1"/>
  <c r="A12" i="7" s="1"/>
  <c r="A14" i="7" a="1"/>
  <c r="A14" i="7" s="1"/>
  <c r="A15" i="7" a="1"/>
  <c r="A15" i="7" s="1"/>
  <c r="K13" i="1"/>
  <c r="K15" i="1"/>
  <c r="R12" i="1"/>
  <c r="T12" i="1"/>
  <c r="T13" i="1"/>
  <c r="R14" i="1"/>
  <c r="T14" i="1"/>
  <c r="T15" i="1"/>
  <c r="R16" i="1"/>
  <c r="T16" i="1"/>
  <c r="P12" i="1"/>
  <c r="Q12" i="1" s="1"/>
  <c r="K12" i="1"/>
  <c r="P13" i="1"/>
  <c r="Q13" i="1" s="1"/>
  <c r="P14" i="1"/>
  <c r="Q14" i="1" s="1"/>
  <c r="P15" i="1"/>
  <c r="Q15" i="1" s="1"/>
  <c r="P16" i="1"/>
  <c r="Q16" i="1" s="1"/>
  <c r="K16" i="1"/>
  <c r="K17" i="7"/>
  <c r="K18" i="7"/>
  <c r="K19" i="7"/>
  <c r="R17" i="1"/>
  <c r="T17" i="1"/>
  <c r="R18" i="1"/>
  <c r="T18" i="1"/>
  <c r="R19" i="1"/>
  <c r="T19" i="1"/>
  <c r="P17" i="1"/>
  <c r="Q17" i="1" s="1"/>
  <c r="K17" i="1"/>
  <c r="P18" i="1"/>
  <c r="Q18" i="1" s="1"/>
  <c r="K18" i="1"/>
  <c r="P19" i="1"/>
  <c r="Q19" i="1" s="1"/>
  <c r="K19" i="1"/>
  <c r="K16" i="7" l="1"/>
  <c r="K15" i="7"/>
  <c r="K14" i="7"/>
  <c r="K14" i="1"/>
  <c r="K13" i="7"/>
  <c r="K12" i="7"/>
  <c r="R15" i="1"/>
  <c r="R13" i="1"/>
  <c r="K20" i="7"/>
  <c r="K21" i="7"/>
  <c r="K22" i="7"/>
  <c r="K24" i="7" l="1"/>
  <c r="K27" i="7"/>
  <c r="R20" i="1"/>
  <c r="T20" i="1"/>
  <c r="R21" i="1"/>
  <c r="T21" i="1"/>
  <c r="P20" i="1"/>
  <c r="Q20" i="1" s="1"/>
  <c r="K20" i="1"/>
  <c r="P21" i="1"/>
  <c r="Q21" i="1" s="1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D28" i="7" a="1"/>
  <c r="D28" i="7" s="1"/>
  <c r="E28" i="7" a="1"/>
  <c r="E28" i="7" s="1"/>
  <c r="F28" i="7" a="1"/>
  <c r="F28" i="7" s="1"/>
  <c r="G28" i="7" a="1"/>
  <c r="G28" i="7" s="1"/>
  <c r="H28" i="7" a="1"/>
  <c r="H28" i="7" s="1"/>
  <c r="I28" i="7" a="1"/>
  <c r="I28" i="7" s="1"/>
  <c r="D29" i="7" a="1"/>
  <c r="D29" i="7" s="1"/>
  <c r="E29" i="7" a="1"/>
  <c r="E29" i="7" s="1"/>
  <c r="F29" i="7" a="1"/>
  <c r="F29" i="7" s="1"/>
  <c r="G29" i="7" a="1"/>
  <c r="G29" i="7" s="1"/>
  <c r="H29" i="7" a="1"/>
  <c r="H29" i="7" s="1"/>
  <c r="I29" i="7" a="1"/>
  <c r="I29" i="7" s="1"/>
  <c r="D30" i="7" a="1"/>
  <c r="D30" i="7" s="1"/>
  <c r="E30" i="7" a="1"/>
  <c r="E30" i="7" s="1"/>
  <c r="F30" i="7" a="1"/>
  <c r="F30" i="7" s="1"/>
  <c r="G30" i="7" a="1"/>
  <c r="G30" i="7" s="1"/>
  <c r="H30" i="7" a="1"/>
  <c r="H30" i="7" s="1"/>
  <c r="I30" i="7" a="1"/>
  <c r="I30" i="7" s="1"/>
  <c r="D31" i="7" a="1"/>
  <c r="D31" i="7" s="1"/>
  <c r="E31" i="7" a="1"/>
  <c r="E31" i="7" s="1"/>
  <c r="F31" i="7" a="1"/>
  <c r="F31" i="7" s="1"/>
  <c r="G31" i="7" a="1"/>
  <c r="G31" i="7" s="1"/>
  <c r="H31" i="7" a="1"/>
  <c r="H31" i="7" s="1"/>
  <c r="I31" i="7" a="1"/>
  <c r="I31" i="7" s="1"/>
  <c r="D32" i="7" a="1"/>
  <c r="D32" i="7" s="1"/>
  <c r="E32" i="7" a="1"/>
  <c r="E32" i="7" s="1"/>
  <c r="F32" i="7" a="1"/>
  <c r="F32" i="7" s="1"/>
  <c r="G32" i="7" a="1"/>
  <c r="G32" i="7" s="1"/>
  <c r="H32" i="7" a="1"/>
  <c r="H32" i="7" s="1"/>
  <c r="I32" i="7" a="1"/>
  <c r="I32" i="7" s="1"/>
  <c r="D33" i="7" a="1"/>
  <c r="D33" i="7" s="1"/>
  <c r="E33" i="7" a="1"/>
  <c r="E33" i="7" s="1"/>
  <c r="F33" i="7" a="1"/>
  <c r="F33" i="7" s="1"/>
  <c r="G33" i="7" a="1"/>
  <c r="G33" i="7" s="1"/>
  <c r="H33" i="7" a="1"/>
  <c r="H33" i="7" s="1"/>
  <c r="I33" i="7" a="1"/>
  <c r="I33" i="7" s="1"/>
  <c r="D34" i="7" a="1"/>
  <c r="D34" i="7" s="1"/>
  <c r="E34" i="7" a="1"/>
  <c r="E34" i="7" s="1"/>
  <c r="F34" i="7" a="1"/>
  <c r="F34" i="7" s="1"/>
  <c r="G34" i="7" a="1"/>
  <c r="G34" i="7" s="1"/>
  <c r="H34" i="7" a="1"/>
  <c r="H34" i="7" s="1"/>
  <c r="I34" i="7" a="1"/>
  <c r="I34" i="7" s="1"/>
  <c r="D35" i="7" a="1"/>
  <c r="D35" i="7" s="1"/>
  <c r="E35" i="7" a="1"/>
  <c r="E35" i="7" s="1"/>
  <c r="F35" i="7" a="1"/>
  <c r="F35" i="7" s="1"/>
  <c r="G35" i="7" a="1"/>
  <c r="G35" i="7" s="1"/>
  <c r="H35" i="7" a="1"/>
  <c r="H35" i="7" s="1"/>
  <c r="I35" i="7" a="1"/>
  <c r="I35" i="7" s="1"/>
  <c r="D36" i="7" a="1"/>
  <c r="D36" i="7" s="1"/>
  <c r="E36" i="7" a="1"/>
  <c r="E36" i="7" s="1"/>
  <c r="F36" i="7" a="1"/>
  <c r="F36" i="7" s="1"/>
  <c r="G36" i="7" a="1"/>
  <c r="G36" i="7" s="1"/>
  <c r="H36" i="7" a="1"/>
  <c r="H36" i="7" s="1"/>
  <c r="I36" i="7" a="1"/>
  <c r="I36" i="7" s="1"/>
  <c r="D37" i="7" a="1"/>
  <c r="D37" i="7" s="1"/>
  <c r="E37" i="7" a="1"/>
  <c r="E37" i="7" s="1"/>
  <c r="F37" i="7" a="1"/>
  <c r="F37" i="7" s="1"/>
  <c r="G37" i="7" a="1"/>
  <c r="G37" i="7" s="1"/>
  <c r="H37" i="7" a="1"/>
  <c r="H37" i="7" s="1"/>
  <c r="I37" i="7" a="1"/>
  <c r="I37" i="7" s="1"/>
  <c r="D38" i="7" a="1"/>
  <c r="D38" i="7" s="1"/>
  <c r="E38" i="7" a="1"/>
  <c r="E38" i="7" s="1"/>
  <c r="F38" i="7" a="1"/>
  <c r="F38" i="7" s="1"/>
  <c r="G38" i="7" a="1"/>
  <c r="G38" i="7" s="1"/>
  <c r="H38" i="7" a="1"/>
  <c r="H38" i="7" s="1"/>
  <c r="I38" i="7" a="1"/>
  <c r="I38" i="7" s="1"/>
  <c r="D39" i="7" a="1"/>
  <c r="D39" i="7" s="1"/>
  <c r="E39" i="7" a="1"/>
  <c r="E39" i="7" s="1"/>
  <c r="F39" i="7" a="1"/>
  <c r="F39" i="7" s="1"/>
  <c r="G39" i="7" a="1"/>
  <c r="G39" i="7" s="1"/>
  <c r="H39" i="7" a="1"/>
  <c r="H39" i="7" s="1"/>
  <c r="I39" i="7" a="1"/>
  <c r="I39" i="7" s="1"/>
  <c r="D40" i="7" a="1"/>
  <c r="D40" i="7" s="1"/>
  <c r="E40" i="7" a="1"/>
  <c r="E40" i="7" s="1"/>
  <c r="F40" i="7" a="1"/>
  <c r="F40" i="7" s="1"/>
  <c r="G40" i="7" a="1"/>
  <c r="G40" i="7" s="1"/>
  <c r="H40" i="7" a="1"/>
  <c r="H40" i="7" s="1"/>
  <c r="I40" i="7" a="1"/>
  <c r="I40" i="7" s="1"/>
  <c r="D41" i="7" a="1"/>
  <c r="D41" i="7" s="1"/>
  <c r="E41" i="7" a="1"/>
  <c r="E41" i="7" s="1"/>
  <c r="F41" i="7" a="1"/>
  <c r="F41" i="7" s="1"/>
  <c r="G41" i="7" a="1"/>
  <c r="G41" i="7" s="1"/>
  <c r="H41" i="7" a="1"/>
  <c r="H41" i="7" s="1"/>
  <c r="I41" i="7" a="1"/>
  <c r="I41" i="7" s="1"/>
  <c r="D42" i="7" a="1"/>
  <c r="D42" i="7" s="1"/>
  <c r="E42" i="7" a="1"/>
  <c r="E42" i="7" s="1"/>
  <c r="F42" i="7" a="1"/>
  <c r="F42" i="7" s="1"/>
  <c r="G42" i="7" a="1"/>
  <c r="G42" i="7" s="1"/>
  <c r="H42" i="7" a="1"/>
  <c r="H42" i="7" s="1"/>
  <c r="I42" i="7" a="1"/>
  <c r="I42" i="7" s="1"/>
  <c r="D43" i="7" a="1"/>
  <c r="D43" i="7" s="1"/>
  <c r="E43" i="7" a="1"/>
  <c r="E43" i="7" s="1"/>
  <c r="F43" i="7" a="1"/>
  <c r="F43" i="7" s="1"/>
  <c r="G43" i="7" a="1"/>
  <c r="G43" i="7" s="1"/>
  <c r="H43" i="7" a="1"/>
  <c r="H43" i="7" s="1"/>
  <c r="I43" i="7" a="1"/>
  <c r="I43" i="7" s="1"/>
  <c r="D44" i="7" a="1"/>
  <c r="D44" i="7" s="1"/>
  <c r="E44" i="7" a="1"/>
  <c r="E44" i="7" s="1"/>
  <c r="F44" i="7" a="1"/>
  <c r="F44" i="7" s="1"/>
  <c r="G44" i="7" a="1"/>
  <c r="G44" i="7" s="1"/>
  <c r="H44" i="7" a="1"/>
  <c r="H44" i="7" s="1"/>
  <c r="I44" i="7" a="1"/>
  <c r="I44" i="7" s="1"/>
  <c r="D45" i="7" a="1"/>
  <c r="D45" i="7" s="1"/>
  <c r="E45" i="7" a="1"/>
  <c r="E45" i="7" s="1"/>
  <c r="F45" i="7" a="1"/>
  <c r="F45" i="7" s="1"/>
  <c r="G45" i="7" a="1"/>
  <c r="G45" i="7" s="1"/>
  <c r="H45" i="7" a="1"/>
  <c r="H45" i="7" s="1"/>
  <c r="I45" i="7" a="1"/>
  <c r="I45" i="7" s="1"/>
  <c r="D46" i="7" a="1"/>
  <c r="D46" i="7" s="1"/>
  <c r="E46" i="7" a="1"/>
  <c r="E46" i="7" s="1"/>
  <c r="F46" i="7" a="1"/>
  <c r="F46" i="7" s="1"/>
  <c r="G46" i="7" a="1"/>
  <c r="G46" i="7" s="1"/>
  <c r="H46" i="7" a="1"/>
  <c r="H46" i="7" s="1"/>
  <c r="I46" i="7" a="1"/>
  <c r="I46" i="7" s="1"/>
  <c r="D47" i="7" a="1"/>
  <c r="D47" i="7" s="1"/>
  <c r="E47" i="7" a="1"/>
  <c r="E47" i="7" s="1"/>
  <c r="F47" i="7" a="1"/>
  <c r="F47" i="7" s="1"/>
  <c r="G47" i="7" a="1"/>
  <c r="G47" i="7" s="1"/>
  <c r="H47" i="7" a="1"/>
  <c r="H47" i="7" s="1"/>
  <c r="I47" i="7" a="1"/>
  <c r="I47" i="7" s="1"/>
  <c r="D48" i="7" a="1"/>
  <c r="D48" i="7" s="1"/>
  <c r="E48" i="7" a="1"/>
  <c r="E48" i="7" s="1"/>
  <c r="F48" i="7" a="1"/>
  <c r="F48" i="7" s="1"/>
  <c r="G48" i="7" a="1"/>
  <c r="G48" i="7" s="1"/>
  <c r="H48" i="7" a="1"/>
  <c r="H48" i="7" s="1"/>
  <c r="I48" i="7" a="1"/>
  <c r="I48" i="7" s="1"/>
  <c r="D49" i="7" a="1"/>
  <c r="D49" i="7" s="1"/>
  <c r="E49" i="7" a="1"/>
  <c r="E49" i="7" s="1"/>
  <c r="F49" i="7" a="1"/>
  <c r="F49" i="7" s="1"/>
  <c r="G49" i="7" a="1"/>
  <c r="G49" i="7" s="1"/>
  <c r="H49" i="7" a="1"/>
  <c r="H49" i="7" s="1"/>
  <c r="I49" i="7" a="1"/>
  <c r="I49" i="7" s="1"/>
  <c r="D50" i="7" a="1"/>
  <c r="D50" i="7" s="1"/>
  <c r="E50" i="7" a="1"/>
  <c r="E50" i="7" s="1"/>
  <c r="F50" i="7" a="1"/>
  <c r="F50" i="7" s="1"/>
  <c r="G50" i="7" a="1"/>
  <c r="G50" i="7" s="1"/>
  <c r="H50" i="7" a="1"/>
  <c r="H50" i="7" s="1"/>
  <c r="I50" i="7" a="1"/>
  <c r="I50" i="7" s="1"/>
  <c r="D51" i="7" a="1"/>
  <c r="D51" i="7" s="1"/>
  <c r="E51" i="7" a="1"/>
  <c r="E51" i="7" s="1"/>
  <c r="F51" i="7" a="1"/>
  <c r="F51" i="7" s="1"/>
  <c r="G51" i="7" a="1"/>
  <c r="G51" i="7" s="1"/>
  <c r="H51" i="7" a="1"/>
  <c r="H51" i="7" s="1"/>
  <c r="I51" i="7" a="1"/>
  <c r="I51" i="7" s="1"/>
  <c r="D52" i="7" a="1"/>
  <c r="D52" i="7" s="1"/>
  <c r="E52" i="7" a="1"/>
  <c r="E52" i="7" s="1"/>
  <c r="F52" i="7" a="1"/>
  <c r="F52" i="7" s="1"/>
  <c r="G52" i="7" a="1"/>
  <c r="G52" i="7" s="1"/>
  <c r="H52" i="7" a="1"/>
  <c r="H52" i="7" s="1"/>
  <c r="I52" i="7" a="1"/>
  <c r="I52" i="7" s="1"/>
  <c r="D53" i="7" a="1"/>
  <c r="D53" i="7" s="1"/>
  <c r="E53" i="7" a="1"/>
  <c r="E53" i="7" s="1"/>
  <c r="F53" i="7" a="1"/>
  <c r="F53" i="7" s="1"/>
  <c r="G53" i="7" a="1"/>
  <c r="G53" i="7" s="1"/>
  <c r="H53" i="7" a="1"/>
  <c r="H53" i="7" s="1"/>
  <c r="I53" i="7" a="1"/>
  <c r="I53" i="7" s="1"/>
  <c r="D54" i="7" a="1"/>
  <c r="D54" i="7" s="1"/>
  <c r="E54" i="7" a="1"/>
  <c r="E54" i="7" s="1"/>
  <c r="F54" i="7" a="1"/>
  <c r="F54" i="7" s="1"/>
  <c r="G54" i="7" a="1"/>
  <c r="G54" i="7" s="1"/>
  <c r="H54" i="7" a="1"/>
  <c r="H54" i="7" s="1"/>
  <c r="I54" i="7" a="1"/>
  <c r="I54" i="7" s="1"/>
  <c r="D55" i="7" a="1"/>
  <c r="D55" i="7" s="1"/>
  <c r="E55" i="7" a="1"/>
  <c r="E55" i="7" s="1"/>
  <c r="F55" i="7" a="1"/>
  <c r="F55" i="7" s="1"/>
  <c r="G55" i="7" a="1"/>
  <c r="G55" i="7" s="1"/>
  <c r="H55" i="7" a="1"/>
  <c r="H55" i="7" s="1"/>
  <c r="I55" i="7" a="1"/>
  <c r="I55" i="7" s="1"/>
  <c r="D56" i="7" a="1"/>
  <c r="D56" i="7" s="1"/>
  <c r="E56" i="7" a="1"/>
  <c r="E56" i="7" s="1"/>
  <c r="F56" i="7" a="1"/>
  <c r="F56" i="7" s="1"/>
  <c r="G56" i="7" a="1"/>
  <c r="G56" i="7" s="1"/>
  <c r="H56" i="7" a="1"/>
  <c r="H56" i="7" s="1"/>
  <c r="I56" i="7" a="1"/>
  <c r="I56" i="7" s="1"/>
  <c r="D57" i="7" a="1"/>
  <c r="D57" i="7" s="1"/>
  <c r="E57" i="7" a="1"/>
  <c r="E57" i="7" s="1"/>
  <c r="F57" i="7" a="1"/>
  <c r="F57" i="7" s="1"/>
  <c r="G57" i="7" a="1"/>
  <c r="G57" i="7" s="1"/>
  <c r="H57" i="7" a="1"/>
  <c r="H57" i="7" s="1"/>
  <c r="I57" i="7" a="1"/>
  <c r="I57" i="7" s="1"/>
  <c r="D58" i="7" a="1"/>
  <c r="D58" i="7" s="1"/>
  <c r="E58" i="7" a="1"/>
  <c r="E58" i="7" s="1"/>
  <c r="F58" i="7" a="1"/>
  <c r="F58" i="7" s="1"/>
  <c r="G58" i="7" a="1"/>
  <c r="G58" i="7" s="1"/>
  <c r="H58" i="7" a="1"/>
  <c r="H58" i="7" s="1"/>
  <c r="I58" i="7" a="1"/>
  <c r="I58" i="7" s="1"/>
  <c r="D59" i="7" a="1"/>
  <c r="D59" i="7" s="1"/>
  <c r="E59" i="7" a="1"/>
  <c r="E59" i="7" s="1"/>
  <c r="F59" i="7" a="1"/>
  <c r="F59" i="7" s="1"/>
  <c r="G59" i="7" a="1"/>
  <c r="G59" i="7" s="1"/>
  <c r="H59" i="7" a="1"/>
  <c r="H59" i="7" s="1"/>
  <c r="I59" i="7" a="1"/>
  <c r="I59" i="7" s="1"/>
  <c r="D60" i="7" a="1"/>
  <c r="D60" i="7" s="1"/>
  <c r="E60" i="7" a="1"/>
  <c r="E60" i="7" s="1"/>
  <c r="F60" i="7" a="1"/>
  <c r="F60" i="7" s="1"/>
  <c r="G60" i="7" a="1"/>
  <c r="G60" i="7" s="1"/>
  <c r="H60" i="7" a="1"/>
  <c r="H60" i="7" s="1"/>
  <c r="I60" i="7" a="1"/>
  <c r="I60" i="7" s="1"/>
  <c r="D61" i="7" a="1"/>
  <c r="D61" i="7" s="1"/>
  <c r="E61" i="7" a="1"/>
  <c r="E61" i="7" s="1"/>
  <c r="F61" i="7" a="1"/>
  <c r="F61" i="7" s="1"/>
  <c r="G61" i="7" a="1"/>
  <c r="G61" i="7" s="1"/>
  <c r="H61" i="7" a="1"/>
  <c r="H61" i="7" s="1"/>
  <c r="I61" i="7" a="1"/>
  <c r="I61" i="7" s="1"/>
  <c r="D62" i="7" a="1"/>
  <c r="D62" i="7" s="1"/>
  <c r="E62" i="7" a="1"/>
  <c r="E62" i="7" s="1"/>
  <c r="F62" i="7" a="1"/>
  <c r="F62" i="7" s="1"/>
  <c r="G62" i="7" a="1"/>
  <c r="G62" i="7" s="1"/>
  <c r="H62" i="7" a="1"/>
  <c r="H62" i="7" s="1"/>
  <c r="I62" i="7" a="1"/>
  <c r="I62" i="7" s="1"/>
  <c r="D63" i="7" a="1"/>
  <c r="D63" i="7" s="1"/>
  <c r="E63" i="7" a="1"/>
  <c r="E63" i="7" s="1"/>
  <c r="F63" i="7" a="1"/>
  <c r="F63" i="7" s="1"/>
  <c r="G63" i="7" a="1"/>
  <c r="G63" i="7" s="1"/>
  <c r="H63" i="7" a="1"/>
  <c r="H63" i="7" s="1"/>
  <c r="I63" i="7" a="1"/>
  <c r="I63" i="7" s="1"/>
  <c r="D64" i="7" a="1"/>
  <c r="D64" i="7" s="1"/>
  <c r="E64" i="7" a="1"/>
  <c r="E64" i="7" s="1"/>
  <c r="F64" i="7" a="1"/>
  <c r="F64" i="7" s="1"/>
  <c r="G64" i="7" a="1"/>
  <c r="G64" i="7" s="1"/>
  <c r="H64" i="7" a="1"/>
  <c r="H64" i="7" s="1"/>
  <c r="I64" i="7" a="1"/>
  <c r="I64" i="7" s="1"/>
  <c r="D65" i="7" a="1"/>
  <c r="D65" i="7" s="1"/>
  <c r="E65" i="7" a="1"/>
  <c r="E65" i="7" s="1"/>
  <c r="F65" i="7" a="1"/>
  <c r="F65" i="7" s="1"/>
  <c r="G65" i="7" a="1"/>
  <c r="G65" i="7" s="1"/>
  <c r="H65" i="7" a="1"/>
  <c r="H65" i="7" s="1"/>
  <c r="I65" i="7" a="1"/>
  <c r="I65" i="7" s="1"/>
  <c r="D66" i="7" a="1"/>
  <c r="D66" i="7" s="1"/>
  <c r="E66" i="7" a="1"/>
  <c r="E66" i="7" s="1"/>
  <c r="F66" i="7" a="1"/>
  <c r="F66" i="7" s="1"/>
  <c r="G66" i="7" a="1"/>
  <c r="G66" i="7" s="1"/>
  <c r="H66" i="7" a="1"/>
  <c r="H66" i="7" s="1"/>
  <c r="I66" i="7" a="1"/>
  <c r="I66" i="7" s="1"/>
  <c r="D67" i="7" a="1"/>
  <c r="D67" i="7" s="1"/>
  <c r="E67" i="7" a="1"/>
  <c r="E67" i="7" s="1"/>
  <c r="F67" i="7" a="1"/>
  <c r="F67" i="7" s="1"/>
  <c r="G67" i="7" a="1"/>
  <c r="G67" i="7" s="1"/>
  <c r="H67" i="7" a="1"/>
  <c r="H67" i="7" s="1"/>
  <c r="I67" i="7" a="1"/>
  <c r="I67" i="7" s="1"/>
  <c r="D68" i="7" a="1"/>
  <c r="D68" i="7" s="1"/>
  <c r="E68" i="7" a="1"/>
  <c r="E68" i="7" s="1"/>
  <c r="F68" i="7" a="1"/>
  <c r="F68" i="7" s="1"/>
  <c r="G68" i="7" a="1"/>
  <c r="G68" i="7" s="1"/>
  <c r="H68" i="7" a="1"/>
  <c r="H68" i="7" s="1"/>
  <c r="I68" i="7" a="1"/>
  <c r="I68" i="7" s="1"/>
  <c r="D69" i="7" a="1"/>
  <c r="D69" i="7" s="1"/>
  <c r="E69" i="7" a="1"/>
  <c r="E69" i="7" s="1"/>
  <c r="F69" i="7" a="1"/>
  <c r="F69" i="7" s="1"/>
  <c r="G69" i="7" a="1"/>
  <c r="G69" i="7" s="1"/>
  <c r="H69" i="7" a="1"/>
  <c r="H69" i="7" s="1"/>
  <c r="I69" i="7" a="1"/>
  <c r="I69" i="7" s="1"/>
  <c r="D70" i="7" a="1"/>
  <c r="D70" i="7" s="1"/>
  <c r="E70" i="7" a="1"/>
  <c r="E70" i="7" s="1"/>
  <c r="F70" i="7" a="1"/>
  <c r="F70" i="7" s="1"/>
  <c r="G70" i="7" a="1"/>
  <c r="G70" i="7" s="1"/>
  <c r="H70" i="7" a="1"/>
  <c r="H70" i="7" s="1"/>
  <c r="I70" i="7" a="1"/>
  <c r="I70" i="7" s="1"/>
  <c r="D71" i="7" a="1"/>
  <c r="D71" i="7" s="1"/>
  <c r="E71" i="7" a="1"/>
  <c r="E71" i="7" s="1"/>
  <c r="F71" i="7" a="1"/>
  <c r="F71" i="7" s="1"/>
  <c r="G71" i="7" a="1"/>
  <c r="G71" i="7" s="1"/>
  <c r="H71" i="7" a="1"/>
  <c r="H71" i="7" s="1"/>
  <c r="I71" i="7" a="1"/>
  <c r="I71" i="7" s="1"/>
  <c r="D72" i="7" a="1"/>
  <c r="D72" i="7" s="1"/>
  <c r="E72" i="7" a="1"/>
  <c r="E72" i="7" s="1"/>
  <c r="F72" i="7" a="1"/>
  <c r="F72" i="7" s="1"/>
  <c r="G72" i="7" a="1"/>
  <c r="G72" i="7" s="1"/>
  <c r="H72" i="7" a="1"/>
  <c r="H72" i="7" s="1"/>
  <c r="I72" i="7" a="1"/>
  <c r="I72" i="7" s="1"/>
  <c r="D73" i="7" a="1"/>
  <c r="D73" i="7" s="1"/>
  <c r="E73" i="7" a="1"/>
  <c r="E73" i="7" s="1"/>
  <c r="F73" i="7" a="1"/>
  <c r="F73" i="7" s="1"/>
  <c r="G73" i="7" a="1"/>
  <c r="G73" i="7" s="1"/>
  <c r="H73" i="7" a="1"/>
  <c r="H73" i="7" s="1"/>
  <c r="I73" i="7" a="1"/>
  <c r="I73" i="7" s="1"/>
  <c r="D74" i="7" a="1"/>
  <c r="D74" i="7" s="1"/>
  <c r="E74" i="7" a="1"/>
  <c r="E74" i="7" s="1"/>
  <c r="F74" i="7" a="1"/>
  <c r="F74" i="7" s="1"/>
  <c r="G74" i="7" a="1"/>
  <c r="G74" i="7" s="1"/>
  <c r="H74" i="7" a="1"/>
  <c r="H74" i="7" s="1"/>
  <c r="I74" i="7" a="1"/>
  <c r="I74" i="7" s="1"/>
  <c r="D75" i="7" a="1"/>
  <c r="D75" i="7" s="1"/>
  <c r="E75" i="7" a="1"/>
  <c r="E75" i="7" s="1"/>
  <c r="F75" i="7" a="1"/>
  <c r="F75" i="7" s="1"/>
  <c r="G75" i="7" a="1"/>
  <c r="G75" i="7" s="1"/>
  <c r="H75" i="7" a="1"/>
  <c r="H75" i="7" s="1"/>
  <c r="I75" i="7" a="1"/>
  <c r="I75" i="7" s="1"/>
  <c r="D76" i="7" a="1"/>
  <c r="D76" i="7" s="1"/>
  <c r="E76" i="7" a="1"/>
  <c r="E76" i="7" s="1"/>
  <c r="F76" i="7" a="1"/>
  <c r="F76" i="7" s="1"/>
  <c r="G76" i="7" a="1"/>
  <c r="G76" i="7" s="1"/>
  <c r="H76" i="7" a="1"/>
  <c r="H76" i="7" s="1"/>
  <c r="I76" i="7" a="1"/>
  <c r="I76" i="7" s="1"/>
  <c r="D77" i="7" a="1"/>
  <c r="D77" i="7" s="1"/>
  <c r="E77" i="7" a="1"/>
  <c r="E77" i="7" s="1"/>
  <c r="F77" i="7" a="1"/>
  <c r="F77" i="7" s="1"/>
  <c r="G77" i="7" a="1"/>
  <c r="G77" i="7" s="1"/>
  <c r="H77" i="7" a="1"/>
  <c r="H77" i="7" s="1"/>
  <c r="I77" i="7" a="1"/>
  <c r="I77" i="7" s="1"/>
  <c r="D78" i="7" a="1"/>
  <c r="D78" i="7" s="1"/>
  <c r="E78" i="7" a="1"/>
  <c r="E78" i="7" s="1"/>
  <c r="F78" i="7" a="1"/>
  <c r="F78" i="7" s="1"/>
  <c r="G78" i="7" a="1"/>
  <c r="G78" i="7" s="1"/>
  <c r="H78" i="7" a="1"/>
  <c r="H78" i="7" s="1"/>
  <c r="I78" i="7" a="1"/>
  <c r="I78" i="7" s="1"/>
  <c r="D79" i="7" a="1"/>
  <c r="D79" i="7" s="1"/>
  <c r="E79" i="7" a="1"/>
  <c r="E79" i="7" s="1"/>
  <c r="F79" i="7" a="1"/>
  <c r="F79" i="7" s="1"/>
  <c r="G79" i="7" a="1"/>
  <c r="G79" i="7" s="1"/>
  <c r="H79" i="7" a="1"/>
  <c r="H79" i="7" s="1"/>
  <c r="I79" i="7" a="1"/>
  <c r="I79" i="7" s="1"/>
  <c r="D80" i="7" a="1"/>
  <c r="D80" i="7" s="1"/>
  <c r="E80" i="7" a="1"/>
  <c r="E80" i="7" s="1"/>
  <c r="F80" i="7" a="1"/>
  <c r="F80" i="7" s="1"/>
  <c r="G80" i="7" a="1"/>
  <c r="G80" i="7" s="1"/>
  <c r="H80" i="7" a="1"/>
  <c r="H80" i="7" s="1"/>
  <c r="I80" i="7" a="1"/>
  <c r="I80" i="7" s="1"/>
  <c r="D81" i="7" a="1"/>
  <c r="D81" i="7" s="1"/>
  <c r="E81" i="7" a="1"/>
  <c r="E81" i="7" s="1"/>
  <c r="F81" i="7" a="1"/>
  <c r="F81" i="7" s="1"/>
  <c r="G81" i="7" a="1"/>
  <c r="G81" i="7" s="1"/>
  <c r="H81" i="7" a="1"/>
  <c r="H81" i="7" s="1"/>
  <c r="I81" i="7" a="1"/>
  <c r="I81" i="7" s="1"/>
  <c r="D82" i="7" a="1"/>
  <c r="D82" i="7" s="1"/>
  <c r="E82" i="7" a="1"/>
  <c r="E82" i="7" s="1"/>
  <c r="F82" i="7" a="1"/>
  <c r="F82" i="7" s="1"/>
  <c r="G82" i="7" a="1"/>
  <c r="G82" i="7" s="1"/>
  <c r="H82" i="7" a="1"/>
  <c r="H82" i="7" s="1"/>
  <c r="I82" i="7" a="1"/>
  <c r="I82" i="7" s="1"/>
  <c r="D83" i="7" a="1"/>
  <c r="D83" i="7" s="1"/>
  <c r="E83" i="7" a="1"/>
  <c r="E83" i="7" s="1"/>
  <c r="F83" i="7" a="1"/>
  <c r="F83" i="7" s="1"/>
  <c r="G83" i="7" a="1"/>
  <c r="G83" i="7" s="1"/>
  <c r="H83" i="7" a="1"/>
  <c r="H83" i="7" s="1"/>
  <c r="I83" i="7" a="1"/>
  <c r="I83" i="7" s="1"/>
  <c r="D84" i="7" a="1"/>
  <c r="D84" i="7" s="1"/>
  <c r="E84" i="7" a="1"/>
  <c r="E84" i="7" s="1"/>
  <c r="F84" i="7" a="1"/>
  <c r="F84" i="7" s="1"/>
  <c r="G84" i="7" a="1"/>
  <c r="G84" i="7" s="1"/>
  <c r="H84" i="7" a="1"/>
  <c r="H84" i="7" s="1"/>
  <c r="I84" i="7" a="1"/>
  <c r="I84" i="7" s="1"/>
  <c r="D85" i="7" a="1"/>
  <c r="D85" i="7" s="1"/>
  <c r="E85" i="7" a="1"/>
  <c r="E85" i="7" s="1"/>
  <c r="F85" i="7" a="1"/>
  <c r="F85" i="7" s="1"/>
  <c r="G85" i="7" a="1"/>
  <c r="G85" i="7" s="1"/>
  <c r="H85" i="7" a="1"/>
  <c r="H85" i="7" s="1"/>
  <c r="I85" i="7" a="1"/>
  <c r="I85" i="7" s="1"/>
  <c r="D86" i="7" a="1"/>
  <c r="D86" i="7" s="1"/>
  <c r="E86" i="7" a="1"/>
  <c r="E86" i="7" s="1"/>
  <c r="F86" i="7" a="1"/>
  <c r="F86" i="7" s="1"/>
  <c r="G86" i="7" a="1"/>
  <c r="G86" i="7" s="1"/>
  <c r="H86" i="7" a="1"/>
  <c r="H86" i="7" s="1"/>
  <c r="I86" i="7" a="1"/>
  <c r="I86" i="7" s="1"/>
  <c r="D87" i="7" a="1"/>
  <c r="D87" i="7" s="1"/>
  <c r="E87" i="7" a="1"/>
  <c r="E87" i="7" s="1"/>
  <c r="F87" i="7" a="1"/>
  <c r="F87" i="7" s="1"/>
  <c r="G87" i="7" a="1"/>
  <c r="G87" i="7" s="1"/>
  <c r="H87" i="7" a="1"/>
  <c r="H87" i="7" s="1"/>
  <c r="I87" i="7" a="1"/>
  <c r="I87" i="7" s="1"/>
  <c r="D88" i="7" a="1"/>
  <c r="D88" i="7" s="1"/>
  <c r="E88" i="7" a="1"/>
  <c r="E88" i="7" s="1"/>
  <c r="F88" i="7" a="1"/>
  <c r="F88" i="7" s="1"/>
  <c r="G88" i="7" a="1"/>
  <c r="G88" i="7" s="1"/>
  <c r="H88" i="7" a="1"/>
  <c r="H88" i="7" s="1"/>
  <c r="I88" i="7" a="1"/>
  <c r="I88" i="7" s="1"/>
  <c r="D89" i="7" a="1"/>
  <c r="D89" i="7" s="1"/>
  <c r="E89" i="7" a="1"/>
  <c r="E89" i="7" s="1"/>
  <c r="F89" i="7" a="1"/>
  <c r="F89" i="7" s="1"/>
  <c r="G89" i="7" a="1"/>
  <c r="G89" i="7" s="1"/>
  <c r="H89" i="7" a="1"/>
  <c r="H89" i="7" s="1"/>
  <c r="I89" i="7" a="1"/>
  <c r="I89" i="7" s="1"/>
  <c r="D90" i="7" a="1"/>
  <c r="D90" i="7" s="1"/>
  <c r="E90" i="7" a="1"/>
  <c r="E90" i="7" s="1"/>
  <c r="F90" i="7" a="1"/>
  <c r="F90" i="7" s="1"/>
  <c r="G90" i="7" a="1"/>
  <c r="G90" i="7" s="1"/>
  <c r="H90" i="7" a="1"/>
  <c r="H90" i="7" s="1"/>
  <c r="I90" i="7" a="1"/>
  <c r="I90" i="7" s="1"/>
  <c r="D91" i="7" a="1"/>
  <c r="D91" i="7" s="1"/>
  <c r="E91" i="7" a="1"/>
  <c r="E91" i="7" s="1"/>
  <c r="F91" i="7" a="1"/>
  <c r="F91" i="7" s="1"/>
  <c r="G91" i="7" a="1"/>
  <c r="G91" i="7" s="1"/>
  <c r="H91" i="7" a="1"/>
  <c r="H91" i="7" s="1"/>
  <c r="I91" i="7" a="1"/>
  <c r="I91" i="7" s="1"/>
  <c r="D92" i="7" a="1"/>
  <c r="D92" i="7" s="1"/>
  <c r="E92" i="7" a="1"/>
  <c r="E92" i="7" s="1"/>
  <c r="F92" i="7" a="1"/>
  <c r="F92" i="7" s="1"/>
  <c r="G92" i="7" a="1"/>
  <c r="G92" i="7" s="1"/>
  <c r="H92" i="7" a="1"/>
  <c r="H92" i="7" s="1"/>
  <c r="I92" i="7" a="1"/>
  <c r="I92" i="7" s="1"/>
  <c r="D93" i="7" a="1"/>
  <c r="D93" i="7" s="1"/>
  <c r="E93" i="7" a="1"/>
  <c r="E93" i="7" s="1"/>
  <c r="F93" i="7" a="1"/>
  <c r="F93" i="7" s="1"/>
  <c r="G93" i="7" a="1"/>
  <c r="G93" i="7" s="1"/>
  <c r="H93" i="7" a="1"/>
  <c r="H93" i="7" s="1"/>
  <c r="I93" i="7" a="1"/>
  <c r="I93" i="7" s="1"/>
  <c r="D94" i="7" a="1"/>
  <c r="D94" i="7" s="1"/>
  <c r="E94" i="7" a="1"/>
  <c r="E94" i="7" s="1"/>
  <c r="F94" i="7" a="1"/>
  <c r="F94" i="7" s="1"/>
  <c r="G94" i="7" a="1"/>
  <c r="G94" i="7" s="1"/>
  <c r="H94" i="7" a="1"/>
  <c r="H94" i="7" s="1"/>
  <c r="I94" i="7" a="1"/>
  <c r="I94" i="7" s="1"/>
  <c r="D95" i="7" a="1"/>
  <c r="D95" i="7" s="1"/>
  <c r="E95" i="7" a="1"/>
  <c r="E95" i="7" s="1"/>
  <c r="F95" i="7" a="1"/>
  <c r="F95" i="7" s="1"/>
  <c r="G95" i="7" a="1"/>
  <c r="G95" i="7" s="1"/>
  <c r="H95" i="7" a="1"/>
  <c r="H95" i="7" s="1"/>
  <c r="I95" i="7" a="1"/>
  <c r="I95" i="7" s="1"/>
  <c r="D96" i="7" a="1"/>
  <c r="D96" i="7" s="1"/>
  <c r="E96" i="7" a="1"/>
  <c r="E96" i="7" s="1"/>
  <c r="F96" i="7" a="1"/>
  <c r="F96" i="7" s="1"/>
  <c r="G96" i="7" a="1"/>
  <c r="G96" i="7" s="1"/>
  <c r="H96" i="7" a="1"/>
  <c r="H96" i="7" s="1"/>
  <c r="I96" i="7" a="1"/>
  <c r="I96" i="7" s="1"/>
  <c r="D97" i="7" a="1"/>
  <c r="D97" i="7" s="1"/>
  <c r="E97" i="7" a="1"/>
  <c r="E97" i="7" s="1"/>
  <c r="F97" i="7" a="1"/>
  <c r="F97" i="7" s="1"/>
  <c r="G97" i="7" a="1"/>
  <c r="G97" i="7" s="1"/>
  <c r="H97" i="7" a="1"/>
  <c r="H97" i="7" s="1"/>
  <c r="I97" i="7" a="1"/>
  <c r="I97" i="7" s="1"/>
  <c r="D98" i="7" a="1"/>
  <c r="D98" i="7" s="1"/>
  <c r="E98" i="7" a="1"/>
  <c r="E98" i="7" s="1"/>
  <c r="F98" i="7" a="1"/>
  <c r="F98" i="7" s="1"/>
  <c r="G98" i="7" a="1"/>
  <c r="G98" i="7" s="1"/>
  <c r="H98" i="7" a="1"/>
  <c r="H98" i="7" s="1"/>
  <c r="I98" i="7" a="1"/>
  <c r="I98" i="7" s="1"/>
  <c r="D99" i="7" a="1"/>
  <c r="D99" i="7" s="1"/>
  <c r="E99" i="7" a="1"/>
  <c r="E99" i="7" s="1"/>
  <c r="F99" i="7" a="1"/>
  <c r="F99" i="7" s="1"/>
  <c r="G99" i="7" a="1"/>
  <c r="G99" i="7" s="1"/>
  <c r="H99" i="7" a="1"/>
  <c r="H99" i="7" s="1"/>
  <c r="I99" i="7" a="1"/>
  <c r="I99" i="7" s="1"/>
  <c r="D100" i="7" a="1"/>
  <c r="D100" i="7" s="1"/>
  <c r="E100" i="7" a="1"/>
  <c r="E100" i="7" s="1"/>
  <c r="F100" i="7" a="1"/>
  <c r="F100" i="7" s="1"/>
  <c r="G100" i="7" a="1"/>
  <c r="G100" i="7" s="1"/>
  <c r="H100" i="7" a="1"/>
  <c r="H100" i="7" s="1"/>
  <c r="I100" i="7" a="1"/>
  <c r="I100" i="7" s="1"/>
  <c r="D101" i="7" a="1"/>
  <c r="D101" i="7" s="1"/>
  <c r="E101" i="7" a="1"/>
  <c r="E101" i="7" s="1"/>
  <c r="F101" i="7" a="1"/>
  <c r="F101" i="7" s="1"/>
  <c r="G101" i="7" a="1"/>
  <c r="G101" i="7" s="1"/>
  <c r="H101" i="7" a="1"/>
  <c r="H101" i="7" s="1"/>
  <c r="I101" i="7" a="1"/>
  <c r="I101" i="7" s="1"/>
  <c r="D102" i="7" a="1"/>
  <c r="D102" i="7" s="1"/>
  <c r="E102" i="7" a="1"/>
  <c r="E102" i="7" s="1"/>
  <c r="F102" i="7" a="1"/>
  <c r="F102" i="7" s="1"/>
  <c r="G102" i="7" a="1"/>
  <c r="G102" i="7" s="1"/>
  <c r="H102" i="7" a="1"/>
  <c r="H102" i="7" s="1"/>
  <c r="I102" i="7" a="1"/>
  <c r="I102" i="7" s="1"/>
  <c r="D103" i="7" a="1"/>
  <c r="D103" i="7" s="1"/>
  <c r="E103" i="7" a="1"/>
  <c r="E103" i="7" s="1"/>
  <c r="F103" i="7" a="1"/>
  <c r="F103" i="7" s="1"/>
  <c r="G103" i="7" a="1"/>
  <c r="G103" i="7" s="1"/>
  <c r="H103" i="7" a="1"/>
  <c r="H103" i="7" s="1"/>
  <c r="I103" i="7" a="1"/>
  <c r="I103" i="7" s="1"/>
  <c r="D104" i="7" a="1"/>
  <c r="D104" i="7" s="1"/>
  <c r="E104" i="7" a="1"/>
  <c r="E104" i="7" s="1"/>
  <c r="F104" i="7" a="1"/>
  <c r="F104" i="7" s="1"/>
  <c r="G104" i="7" a="1"/>
  <c r="G104" i="7" s="1"/>
  <c r="H104" i="7" a="1"/>
  <c r="H104" i="7" s="1"/>
  <c r="I104" i="7" a="1"/>
  <c r="I104" i="7" s="1"/>
  <c r="D105" i="7" a="1"/>
  <c r="D105" i="7" s="1"/>
  <c r="E105" i="7" a="1"/>
  <c r="E105" i="7" s="1"/>
  <c r="F105" i="7" a="1"/>
  <c r="F105" i="7" s="1"/>
  <c r="G105" i="7" a="1"/>
  <c r="G105" i="7" s="1"/>
  <c r="H105" i="7" a="1"/>
  <c r="H105" i="7" s="1"/>
  <c r="I105" i="7" a="1"/>
  <c r="I105" i="7" s="1"/>
  <c r="D106" i="7" a="1"/>
  <c r="D106" i="7" s="1"/>
  <c r="E106" i="7" a="1"/>
  <c r="E106" i="7" s="1"/>
  <c r="F106" i="7" a="1"/>
  <c r="F106" i="7" s="1"/>
  <c r="G106" i="7" a="1"/>
  <c r="G106" i="7" s="1"/>
  <c r="H106" i="7" a="1"/>
  <c r="H106" i="7" s="1"/>
  <c r="I106" i="7" a="1"/>
  <c r="I106" i="7" s="1"/>
  <c r="D107" i="7" a="1"/>
  <c r="D107" i="7" s="1"/>
  <c r="E107" i="7" a="1"/>
  <c r="E107" i="7" s="1"/>
  <c r="F107" i="7" a="1"/>
  <c r="F107" i="7" s="1"/>
  <c r="G107" i="7" a="1"/>
  <c r="G107" i="7" s="1"/>
  <c r="H107" i="7" a="1"/>
  <c r="H107" i="7" s="1"/>
  <c r="I107" i="7" a="1"/>
  <c r="I107" i="7" s="1"/>
  <c r="D108" i="7" a="1"/>
  <c r="D108" i="7" s="1"/>
  <c r="E108" i="7" a="1"/>
  <c r="E108" i="7" s="1"/>
  <c r="F108" i="7" a="1"/>
  <c r="F108" i="7" s="1"/>
  <c r="G108" i="7" a="1"/>
  <c r="G108" i="7" s="1"/>
  <c r="H108" i="7" a="1"/>
  <c r="H108" i="7" s="1"/>
  <c r="I108" i="7" a="1"/>
  <c r="I108" i="7" s="1"/>
  <c r="D109" i="7" a="1"/>
  <c r="D109" i="7" s="1"/>
  <c r="E109" i="7" a="1"/>
  <c r="E109" i="7" s="1"/>
  <c r="F109" i="7" a="1"/>
  <c r="F109" i="7" s="1"/>
  <c r="G109" i="7" a="1"/>
  <c r="G109" i="7" s="1"/>
  <c r="H109" i="7" a="1"/>
  <c r="H109" i="7" s="1"/>
  <c r="I109" i="7" a="1"/>
  <c r="I109" i="7" s="1"/>
  <c r="D110" i="7" a="1"/>
  <c r="D110" i="7" s="1"/>
  <c r="E110" i="7" a="1"/>
  <c r="E110" i="7" s="1"/>
  <c r="F110" i="7" a="1"/>
  <c r="F110" i="7" s="1"/>
  <c r="G110" i="7" a="1"/>
  <c r="G110" i="7" s="1"/>
  <c r="H110" i="7" a="1"/>
  <c r="H110" i="7" s="1"/>
  <c r="I110" i="7" a="1"/>
  <c r="I110" i="7" s="1"/>
  <c r="D111" i="7" a="1"/>
  <c r="D111" i="7" s="1"/>
  <c r="E111" i="7" a="1"/>
  <c r="E111" i="7" s="1"/>
  <c r="F111" i="7" a="1"/>
  <c r="F111" i="7" s="1"/>
  <c r="G111" i="7" a="1"/>
  <c r="G111" i="7" s="1"/>
  <c r="H111" i="7" a="1"/>
  <c r="H111" i="7" s="1"/>
  <c r="I111" i="7" a="1"/>
  <c r="I111" i="7" s="1"/>
  <c r="D112" i="7" a="1"/>
  <c r="D112" i="7" s="1"/>
  <c r="E112" i="7" a="1"/>
  <c r="E112" i="7" s="1"/>
  <c r="F112" i="7" a="1"/>
  <c r="F112" i="7" s="1"/>
  <c r="G112" i="7" a="1"/>
  <c r="G112" i="7" s="1"/>
  <c r="H112" i="7" a="1"/>
  <c r="H112" i="7" s="1"/>
  <c r="I112" i="7" a="1"/>
  <c r="I112" i="7" s="1"/>
  <c r="D113" i="7" a="1"/>
  <c r="D113" i="7" s="1"/>
  <c r="E113" i="7" a="1"/>
  <c r="E113" i="7" s="1"/>
  <c r="F113" i="7" a="1"/>
  <c r="F113" i="7" s="1"/>
  <c r="G113" i="7" a="1"/>
  <c r="G113" i="7" s="1"/>
  <c r="H113" i="7" a="1"/>
  <c r="H113" i="7" s="1"/>
  <c r="I113" i="7" a="1"/>
  <c r="I113" i="7" s="1"/>
  <c r="D114" i="7" a="1"/>
  <c r="D114" i="7" s="1"/>
  <c r="E114" i="7" a="1"/>
  <c r="E114" i="7" s="1"/>
  <c r="F114" i="7" a="1"/>
  <c r="F114" i="7" s="1"/>
  <c r="G114" i="7" a="1"/>
  <c r="G114" i="7" s="1"/>
  <c r="H114" i="7" a="1"/>
  <c r="H114" i="7" s="1"/>
  <c r="I114" i="7" a="1"/>
  <c r="I114" i="7" s="1"/>
  <c r="D115" i="7" a="1"/>
  <c r="D115" i="7" s="1"/>
  <c r="E115" i="7" a="1"/>
  <c r="E115" i="7" s="1"/>
  <c r="F115" i="7" a="1"/>
  <c r="F115" i="7" s="1"/>
  <c r="G115" i="7" a="1"/>
  <c r="G115" i="7" s="1"/>
  <c r="H115" i="7" a="1"/>
  <c r="H115" i="7" s="1"/>
  <c r="I115" i="7" a="1"/>
  <c r="I115" i="7" s="1"/>
  <c r="D116" i="7" a="1"/>
  <c r="D116" i="7" s="1"/>
  <c r="E116" i="7" a="1"/>
  <c r="E116" i="7" s="1"/>
  <c r="F116" i="7" a="1"/>
  <c r="F116" i="7" s="1"/>
  <c r="G116" i="7" a="1"/>
  <c r="G116" i="7" s="1"/>
  <c r="H116" i="7" a="1"/>
  <c r="H116" i="7" s="1"/>
  <c r="I116" i="7" a="1"/>
  <c r="I116" i="7" s="1"/>
  <c r="D117" i="7" a="1"/>
  <c r="D117" i="7" s="1"/>
  <c r="E117" i="7" a="1"/>
  <c r="E117" i="7" s="1"/>
  <c r="F117" i="7" a="1"/>
  <c r="F117" i="7" s="1"/>
  <c r="G117" i="7" a="1"/>
  <c r="G117" i="7" s="1"/>
  <c r="H117" i="7" a="1"/>
  <c r="H117" i="7" s="1"/>
  <c r="I117" i="7" a="1"/>
  <c r="I117" i="7" s="1"/>
  <c r="D118" i="7" a="1"/>
  <c r="D118" i="7" s="1"/>
  <c r="E118" i="7" a="1"/>
  <c r="E118" i="7" s="1"/>
  <c r="F118" i="7" a="1"/>
  <c r="F118" i="7" s="1"/>
  <c r="G118" i="7" a="1"/>
  <c r="G118" i="7" s="1"/>
  <c r="H118" i="7" a="1"/>
  <c r="H118" i="7" s="1"/>
  <c r="I118" i="7" a="1"/>
  <c r="I118" i="7" s="1"/>
  <c r="D119" i="7" a="1"/>
  <c r="D119" i="7" s="1"/>
  <c r="E119" i="7" a="1"/>
  <c r="E119" i="7" s="1"/>
  <c r="F119" i="7" a="1"/>
  <c r="F119" i="7" s="1"/>
  <c r="G119" i="7" a="1"/>
  <c r="G119" i="7" s="1"/>
  <c r="H119" i="7" a="1"/>
  <c r="H119" i="7" s="1"/>
  <c r="I119" i="7" a="1"/>
  <c r="I119" i="7" s="1"/>
  <c r="D120" i="7" a="1"/>
  <c r="D120" i="7" s="1"/>
  <c r="E120" i="7" a="1"/>
  <c r="E120" i="7" s="1"/>
  <c r="F120" i="7" a="1"/>
  <c r="F120" i="7" s="1"/>
  <c r="G120" i="7" a="1"/>
  <c r="G120" i="7" s="1"/>
  <c r="H120" i="7" a="1"/>
  <c r="H120" i="7" s="1"/>
  <c r="I120" i="7" a="1"/>
  <c r="I120" i="7" s="1"/>
  <c r="D121" i="7" a="1"/>
  <c r="D121" i="7" s="1"/>
  <c r="E121" i="7" a="1"/>
  <c r="E121" i="7" s="1"/>
  <c r="F121" i="7" a="1"/>
  <c r="F121" i="7" s="1"/>
  <c r="G121" i="7" a="1"/>
  <c r="G121" i="7" s="1"/>
  <c r="H121" i="7" a="1"/>
  <c r="H121" i="7" s="1"/>
  <c r="I121" i="7" a="1"/>
  <c r="I121" i="7" s="1"/>
  <c r="D122" i="7" a="1"/>
  <c r="D122" i="7" s="1"/>
  <c r="E122" i="7" a="1"/>
  <c r="E122" i="7" s="1"/>
  <c r="F122" i="7" a="1"/>
  <c r="F122" i="7" s="1"/>
  <c r="G122" i="7" a="1"/>
  <c r="G122" i="7" s="1"/>
  <c r="H122" i="7" a="1"/>
  <c r="H122" i="7" s="1"/>
  <c r="I122" i="7" a="1"/>
  <c r="I122" i="7" s="1"/>
  <c r="D123" i="7" a="1"/>
  <c r="D123" i="7" s="1"/>
  <c r="E123" i="7" a="1"/>
  <c r="E123" i="7" s="1"/>
  <c r="F123" i="7" a="1"/>
  <c r="F123" i="7" s="1"/>
  <c r="G123" i="7" a="1"/>
  <c r="G123" i="7" s="1"/>
  <c r="H123" i="7" a="1"/>
  <c r="H123" i="7" s="1"/>
  <c r="I123" i="7" a="1"/>
  <c r="I123" i="7" s="1"/>
  <c r="D124" i="7" a="1"/>
  <c r="D124" i="7" s="1"/>
  <c r="E124" i="7" a="1"/>
  <c r="E124" i="7" s="1"/>
  <c r="F124" i="7" a="1"/>
  <c r="F124" i="7" s="1"/>
  <c r="G124" i="7" a="1"/>
  <c r="G124" i="7" s="1"/>
  <c r="H124" i="7" a="1"/>
  <c r="H124" i="7" s="1"/>
  <c r="I124" i="7" a="1"/>
  <c r="I124" i="7" s="1"/>
  <c r="D125" i="7" a="1"/>
  <c r="D125" i="7" s="1"/>
  <c r="E125" i="7" a="1"/>
  <c r="E125" i="7" s="1"/>
  <c r="F125" i="7" a="1"/>
  <c r="F125" i="7" s="1"/>
  <c r="G125" i="7" a="1"/>
  <c r="G125" i="7" s="1"/>
  <c r="H125" i="7" a="1"/>
  <c r="H125" i="7" s="1"/>
  <c r="I125" i="7" a="1"/>
  <c r="I125" i="7" s="1"/>
  <c r="D126" i="7" a="1"/>
  <c r="D126" i="7" s="1"/>
  <c r="E126" i="7" a="1"/>
  <c r="E126" i="7" s="1"/>
  <c r="F126" i="7" a="1"/>
  <c r="F126" i="7" s="1"/>
  <c r="G126" i="7" a="1"/>
  <c r="G126" i="7" s="1"/>
  <c r="H126" i="7" a="1"/>
  <c r="H126" i="7" s="1"/>
  <c r="I126" i="7" a="1"/>
  <c r="I126" i="7" s="1"/>
  <c r="D127" i="7" a="1"/>
  <c r="D127" i="7" s="1"/>
  <c r="E127" i="7" a="1"/>
  <c r="E127" i="7" s="1"/>
  <c r="F127" i="7" a="1"/>
  <c r="F127" i="7" s="1"/>
  <c r="G127" i="7" a="1"/>
  <c r="G127" i="7" s="1"/>
  <c r="H127" i="7" a="1"/>
  <c r="H127" i="7" s="1"/>
  <c r="I127" i="7" a="1"/>
  <c r="I127" i="7" s="1"/>
  <c r="D128" i="7" a="1"/>
  <c r="D128" i="7" s="1"/>
  <c r="E128" i="7" a="1"/>
  <c r="E128" i="7" s="1"/>
  <c r="F128" i="7" a="1"/>
  <c r="F128" i="7" s="1"/>
  <c r="G128" i="7" a="1"/>
  <c r="G128" i="7" s="1"/>
  <c r="H128" i="7" a="1"/>
  <c r="H128" i="7" s="1"/>
  <c r="I128" i="7" a="1"/>
  <c r="I128" i="7" s="1"/>
  <c r="D129" i="7" a="1"/>
  <c r="D129" i="7" s="1"/>
  <c r="E129" i="7" a="1"/>
  <c r="E129" i="7" s="1"/>
  <c r="F129" i="7" a="1"/>
  <c r="F129" i="7" s="1"/>
  <c r="G129" i="7" a="1"/>
  <c r="G129" i="7" s="1"/>
  <c r="H129" i="7" a="1"/>
  <c r="H129" i="7" s="1"/>
  <c r="I129" i="7" a="1"/>
  <c r="I129" i="7" s="1"/>
  <c r="D130" i="7" a="1"/>
  <c r="D130" i="7" s="1"/>
  <c r="E130" i="7" a="1"/>
  <c r="E130" i="7" s="1"/>
  <c r="F130" i="7" a="1"/>
  <c r="F130" i="7" s="1"/>
  <c r="G130" i="7" a="1"/>
  <c r="G130" i="7" s="1"/>
  <c r="H130" i="7" a="1"/>
  <c r="H130" i="7" s="1"/>
  <c r="I130" i="7" a="1"/>
  <c r="I130" i="7" s="1"/>
  <c r="D131" i="7" a="1"/>
  <c r="D131" i="7" s="1"/>
  <c r="E131" i="7" a="1"/>
  <c r="E131" i="7" s="1"/>
  <c r="F131" i="7" a="1"/>
  <c r="F131" i="7" s="1"/>
  <c r="G131" i="7" a="1"/>
  <c r="G131" i="7" s="1"/>
  <c r="H131" i="7" a="1"/>
  <c r="H131" i="7" s="1"/>
  <c r="I131" i="7" a="1"/>
  <c r="I131" i="7" s="1"/>
  <c r="D132" i="7" a="1"/>
  <c r="D132" i="7" s="1"/>
  <c r="E132" i="7" a="1"/>
  <c r="E132" i="7" s="1"/>
  <c r="F132" i="7" a="1"/>
  <c r="F132" i="7" s="1"/>
  <c r="G132" i="7" a="1"/>
  <c r="G132" i="7" s="1"/>
  <c r="H132" i="7" a="1"/>
  <c r="H132" i="7" s="1"/>
  <c r="I132" i="7" a="1"/>
  <c r="I132" i="7" s="1"/>
  <c r="D133" i="7" a="1"/>
  <c r="D133" i="7" s="1"/>
  <c r="E133" i="7" a="1"/>
  <c r="E133" i="7" s="1"/>
  <c r="F133" i="7" a="1"/>
  <c r="F133" i="7" s="1"/>
  <c r="G133" i="7" a="1"/>
  <c r="G133" i="7" s="1"/>
  <c r="H133" i="7" a="1"/>
  <c r="H133" i="7" s="1"/>
  <c r="I133" i="7" a="1"/>
  <c r="I133" i="7" s="1"/>
  <c r="D134" i="7" a="1"/>
  <c r="D134" i="7" s="1"/>
  <c r="E134" i="7" a="1"/>
  <c r="E134" i="7" s="1"/>
  <c r="F134" i="7" a="1"/>
  <c r="F134" i="7" s="1"/>
  <c r="G134" i="7" a="1"/>
  <c r="G134" i="7" s="1"/>
  <c r="H134" i="7" a="1"/>
  <c r="H134" i="7" s="1"/>
  <c r="I134" i="7" a="1"/>
  <c r="I134" i="7" s="1"/>
  <c r="D135" i="7" a="1"/>
  <c r="D135" i="7" s="1"/>
  <c r="E135" i="7" a="1"/>
  <c r="E135" i="7" s="1"/>
  <c r="F135" i="7" a="1"/>
  <c r="F135" i="7" s="1"/>
  <c r="G135" i="7" a="1"/>
  <c r="G135" i="7" s="1"/>
  <c r="H135" i="7" a="1"/>
  <c r="H135" i="7" s="1"/>
  <c r="I135" i="7" a="1"/>
  <c r="I135" i="7" s="1"/>
  <c r="D136" i="7" a="1"/>
  <c r="D136" i="7" s="1"/>
  <c r="E136" i="7" a="1"/>
  <c r="E136" i="7" s="1"/>
  <c r="F136" i="7" a="1"/>
  <c r="F136" i="7" s="1"/>
  <c r="G136" i="7" a="1"/>
  <c r="G136" i="7" s="1"/>
  <c r="H136" i="7" a="1"/>
  <c r="H136" i="7" s="1"/>
  <c r="I136" i="7" a="1"/>
  <c r="I136" i="7" s="1"/>
  <c r="D137" i="7" a="1"/>
  <c r="D137" i="7" s="1"/>
  <c r="E137" i="7" a="1"/>
  <c r="E137" i="7" s="1"/>
  <c r="F137" i="7" a="1"/>
  <c r="F137" i="7" s="1"/>
  <c r="G137" i="7" a="1"/>
  <c r="G137" i="7" s="1"/>
  <c r="H137" i="7" a="1"/>
  <c r="H137" i="7" s="1"/>
  <c r="I137" i="7" a="1"/>
  <c r="I137" i="7" s="1"/>
  <c r="D138" i="7" a="1"/>
  <c r="D138" i="7" s="1"/>
  <c r="E138" i="7" a="1"/>
  <c r="E138" i="7" s="1"/>
  <c r="F138" i="7" a="1"/>
  <c r="F138" i="7" s="1"/>
  <c r="G138" i="7" a="1"/>
  <c r="G138" i="7" s="1"/>
  <c r="H138" i="7" a="1"/>
  <c r="H138" i="7" s="1"/>
  <c r="I138" i="7" a="1"/>
  <c r="I138" i="7" s="1"/>
  <c r="D139" i="7" a="1"/>
  <c r="D139" i="7" s="1"/>
  <c r="E139" i="7" a="1"/>
  <c r="E139" i="7" s="1"/>
  <c r="F139" i="7" a="1"/>
  <c r="F139" i="7" s="1"/>
  <c r="G139" i="7" a="1"/>
  <c r="G139" i="7" s="1"/>
  <c r="H139" i="7" a="1"/>
  <c r="H139" i="7" s="1"/>
  <c r="I139" i="7" a="1"/>
  <c r="I139" i="7" s="1"/>
  <c r="D140" i="7" a="1"/>
  <c r="D140" i="7" s="1"/>
  <c r="E140" i="7" a="1"/>
  <c r="E140" i="7" s="1"/>
  <c r="F140" i="7" a="1"/>
  <c r="F140" i="7" s="1"/>
  <c r="G140" i="7" a="1"/>
  <c r="G140" i="7" s="1"/>
  <c r="H140" i="7" a="1"/>
  <c r="H140" i="7" s="1"/>
  <c r="I140" i="7" a="1"/>
  <c r="I140" i="7" s="1"/>
  <c r="D141" i="7" a="1"/>
  <c r="D141" i="7" s="1"/>
  <c r="E141" i="7" a="1"/>
  <c r="E141" i="7" s="1"/>
  <c r="F141" i="7" a="1"/>
  <c r="F141" i="7" s="1"/>
  <c r="G141" i="7" a="1"/>
  <c r="G141" i="7" s="1"/>
  <c r="H141" i="7" a="1"/>
  <c r="H141" i="7" s="1"/>
  <c r="I141" i="7" a="1"/>
  <c r="I141" i="7" s="1"/>
  <c r="D142" i="7" a="1"/>
  <c r="D142" i="7" s="1"/>
  <c r="E142" i="7" a="1"/>
  <c r="E142" i="7" s="1"/>
  <c r="F142" i="7" a="1"/>
  <c r="F142" i="7" s="1"/>
  <c r="G142" i="7" a="1"/>
  <c r="G142" i="7" s="1"/>
  <c r="H142" i="7" a="1"/>
  <c r="H142" i="7" s="1"/>
  <c r="I142" i="7" a="1"/>
  <c r="I142" i="7" s="1"/>
  <c r="D143" i="7" a="1"/>
  <c r="D143" i="7" s="1"/>
  <c r="E143" i="7" a="1"/>
  <c r="E143" i="7" s="1"/>
  <c r="F143" i="7" a="1"/>
  <c r="F143" i="7" s="1"/>
  <c r="G143" i="7" a="1"/>
  <c r="G143" i="7" s="1"/>
  <c r="H143" i="7" a="1"/>
  <c r="H143" i="7" s="1"/>
  <c r="I143" i="7" a="1"/>
  <c r="I143" i="7" s="1"/>
  <c r="D144" i="7" a="1"/>
  <c r="D144" i="7" s="1"/>
  <c r="E144" i="7" a="1"/>
  <c r="E144" i="7" s="1"/>
  <c r="F144" i="7" a="1"/>
  <c r="F144" i="7" s="1"/>
  <c r="G144" i="7" a="1"/>
  <c r="G144" i="7" s="1"/>
  <c r="H144" i="7" a="1"/>
  <c r="H144" i="7" s="1"/>
  <c r="I144" i="7" a="1"/>
  <c r="I144" i="7" s="1"/>
  <c r="D145" i="7" a="1"/>
  <c r="D145" i="7" s="1"/>
  <c r="E145" i="7" a="1"/>
  <c r="E145" i="7" s="1"/>
  <c r="F145" i="7" a="1"/>
  <c r="F145" i="7" s="1"/>
  <c r="G145" i="7" a="1"/>
  <c r="G145" i="7" s="1"/>
  <c r="H145" i="7" a="1"/>
  <c r="H145" i="7" s="1"/>
  <c r="I145" i="7" a="1"/>
  <c r="I145" i="7" s="1"/>
  <c r="D146" i="7" a="1"/>
  <c r="D146" i="7" s="1"/>
  <c r="E146" i="7" a="1"/>
  <c r="E146" i="7" s="1"/>
  <c r="F146" i="7" a="1"/>
  <c r="F146" i="7" s="1"/>
  <c r="G146" i="7" a="1"/>
  <c r="G146" i="7" s="1"/>
  <c r="H146" i="7" a="1"/>
  <c r="H146" i="7" s="1"/>
  <c r="I146" i="7" a="1"/>
  <c r="I146" i="7" s="1"/>
  <c r="D147" i="7" a="1"/>
  <c r="D147" i="7" s="1"/>
  <c r="E147" i="7" a="1"/>
  <c r="E147" i="7" s="1"/>
  <c r="F147" i="7" a="1"/>
  <c r="F147" i="7" s="1"/>
  <c r="G147" i="7" a="1"/>
  <c r="G147" i="7" s="1"/>
  <c r="H147" i="7" a="1"/>
  <c r="H147" i="7" s="1"/>
  <c r="I147" i="7" a="1"/>
  <c r="I147" i="7" s="1"/>
  <c r="D148" i="7" a="1"/>
  <c r="D148" i="7" s="1"/>
  <c r="E148" i="7" a="1"/>
  <c r="E148" i="7" s="1"/>
  <c r="F148" i="7" a="1"/>
  <c r="F148" i="7" s="1"/>
  <c r="G148" i="7" a="1"/>
  <c r="G148" i="7" s="1"/>
  <c r="H148" i="7" a="1"/>
  <c r="H148" i="7" s="1"/>
  <c r="I148" i="7" a="1"/>
  <c r="I148" i="7" s="1"/>
  <c r="D149" i="7" a="1"/>
  <c r="D149" i="7" s="1"/>
  <c r="E149" i="7" a="1"/>
  <c r="E149" i="7" s="1"/>
  <c r="F149" i="7" a="1"/>
  <c r="F149" i="7" s="1"/>
  <c r="G149" i="7" a="1"/>
  <c r="G149" i="7" s="1"/>
  <c r="H149" i="7" a="1"/>
  <c r="H149" i="7" s="1"/>
  <c r="I149" i="7" a="1"/>
  <c r="I149" i="7" s="1"/>
  <c r="D150" i="7" a="1"/>
  <c r="D150" i="7" s="1"/>
  <c r="E150" i="7" a="1"/>
  <c r="E150" i="7" s="1"/>
  <c r="F150" i="7" a="1"/>
  <c r="F150" i="7" s="1"/>
  <c r="G150" i="7" a="1"/>
  <c r="G150" i="7" s="1"/>
  <c r="H150" i="7" a="1"/>
  <c r="H150" i="7" s="1"/>
  <c r="I150" i="7" a="1"/>
  <c r="I150" i="7" s="1"/>
  <c r="A154" i="7" a="1"/>
  <c r="A154" i="7" s="1"/>
  <c r="A155" i="7" a="1"/>
  <c r="A155" i="7" s="1"/>
  <c r="A156" i="7" a="1"/>
  <c r="A156" i="7" s="1"/>
  <c r="A164" i="7" a="1"/>
  <c r="A164" i="7" s="1"/>
  <c r="N4" i="1" l="1"/>
  <c r="K23" i="7"/>
  <c r="K26" i="7"/>
  <c r="K25" i="7"/>
  <c r="K21" i="1"/>
  <c r="B8" i="4" l="1"/>
  <c r="N5" i="1"/>
  <c r="N2" i="1" l="1"/>
  <c r="B1" i="4" l="1"/>
  <c r="B4" i="4" l="1"/>
  <c r="B3" i="4"/>
  <c r="B2" i="4"/>
  <c r="L6" i="5" l="1"/>
  <c r="C4" i="4"/>
  <c r="C3" i="4"/>
  <c r="C2" i="4"/>
  <c r="B5" i="4" l="1"/>
  <c r="B6" i="4"/>
  <c r="C5" i="4" l="1"/>
  <c r="D6" i="4" l="1"/>
  <c r="C6" i="4"/>
</calcChain>
</file>

<file path=xl/sharedStrings.xml><?xml version="1.0" encoding="utf-8"?>
<sst xmlns="http://schemas.openxmlformats.org/spreadsheetml/2006/main" count="165" uniqueCount="137">
  <si>
    <t>ОК</t>
  </si>
  <si>
    <t xml:space="preserve">Договор </t>
  </si>
  <si>
    <t>Дата</t>
  </si>
  <si>
    <t>Сумма</t>
  </si>
  <si>
    <t>Заемщик</t>
  </si>
  <si>
    <t>Статус</t>
  </si>
  <si>
    <t>Взято из тек.</t>
  </si>
  <si>
    <t>Списать</t>
  </si>
  <si>
    <t>? Статус ?</t>
  </si>
  <si>
    <t>Прощение</t>
  </si>
  <si>
    <t>КО</t>
  </si>
  <si>
    <t>На просрочке</t>
  </si>
  <si>
    <t>Поступление на текущий счет расчетов</t>
  </si>
  <si>
    <t>Просрочка погашена</t>
  </si>
  <si>
    <t>Выбери</t>
  </si>
  <si>
    <t>.Транш - 1</t>
  </si>
  <si>
    <t>""</t>
  </si>
  <si>
    <t>Оплата в срок</t>
  </si>
  <si>
    <t>.Транш - 2</t>
  </si>
  <si>
    <t>Реструкт (вх в график)</t>
  </si>
  <si>
    <t>.Транш - 3</t>
  </si>
  <si>
    <t>Частичная оплата (проср.)</t>
  </si>
  <si>
    <t>.Транш - 4</t>
  </si>
  <si>
    <t>Частичная оплата</t>
  </si>
  <si>
    <t>.Транш - 5</t>
  </si>
  <si>
    <t xml:space="preserve">Закрытие </t>
  </si>
  <si>
    <t>Погашение пени</t>
  </si>
  <si>
    <t>Ошибочный платеж</t>
  </si>
  <si>
    <t>Третье лицо</t>
  </si>
  <si>
    <t>всего</t>
  </si>
  <si>
    <t>%</t>
  </si>
  <si>
    <t>погашена</t>
  </si>
  <si>
    <t>в срок</t>
  </si>
  <si>
    <t>АКЦ (ОПЛ)</t>
  </si>
  <si>
    <t>Вышло ОД</t>
  </si>
  <si>
    <t>проср ЧО</t>
  </si>
  <si>
    <t>попали в АК</t>
  </si>
  <si>
    <t>от АК / АК ОПЛ %</t>
  </si>
  <si>
    <t>=ЕСЛИОШИБКА(ЕСЛИ(B2&gt;'\\192.168.81.12\share\Отдел сопровождения кредитования\Работа с просрочкой\2020\[АКЦИЯ.xlsx]Лист1'!$E$2;"акция кончилась";ЕСЛИ(ВПР(ЛЕВСИМВ(A2;10);'\\192.168.81.12\share\Отдел сопровождения кредитования\Работа с просрочкой\2020\[АКЦИЯ.xlsx]Лист1'!$I:$I;1;0)&lt;&gt;"";ВПР(ЛЕВСИМВ(A2;10);'\\192.168.81.12\share\Отдел сопровождения кредитования\Работа с просрочкой\2020\[АКЦИЯ.xlsx]Лист1'!$I:$J;2;0);""));"")</t>
  </si>
  <si>
    <t>=ЕСЛИОШИБКА(ЕСЛИ(B2&gt;[АКЦИЯ.xlsx]Лист1!$E$2;"акция кончилась";ЕСЛИ(ВПР(A2;[АКЦИЯ.xlsx]Лист1!$I:$I;1;0)&lt;&gt;"";ВПР(A2;[АКЦИЯ.xlsx]Лист1!$I:$J;2;0);""));"")</t>
  </si>
  <si>
    <t>'=ЕСЛИОШИБКА(ЕСЛИ(ВПР(ЛЕВСИМВ(A2;10);[КО.xlsx]Лист1!$A:$A;1;0)&lt;&gt;0;"КО";"");"")</t>
  </si>
  <si>
    <t xml:space="preserve">Сумма </t>
  </si>
  <si>
    <t>Подвесить</t>
  </si>
  <si>
    <t>Коммент</t>
  </si>
  <si>
    <t>=ЕСЛИОШИБКА(ЕСЛИ(ВПР(E2;'[20m10_Prosrochka_new_1.xlsm]22'!$A:$A;1;0)&lt;&gt;0;"просрочник");"")</t>
  </si>
  <si>
    <t>'=ЕСЛИОШИБКА(ЕСЛИ(И(A2&lt;&gt;"";ВПР(D2;'\\192.168.81.12\share\Отдел сопровождения кредитования\Работа с просрочкой\2020\[20m10_Prosrochka_new_1.xlsm]27'!$A:$A;1;0)&lt;&gt;"");"просрочник";"");"")</t>
  </si>
  <si>
    <t>=ЕСЛИОШИБКА(ЕСЛИ(ВПР(ЛЕВСИМВ(G2;10);ЭКВАЙРИНГ!R:R;1;0)&lt;&gt;0;"");"нет в списке")</t>
  </si>
  <si>
    <t>=ЕСЛИОШИБКА(ЕСЛИ(ПОИСК("Транш";G2)&lt;&gt;"";ЛЕВСИМВ(G2;10)&amp;".Транш - "&amp;S2);G2)</t>
  </si>
  <si>
    <t>=ЕСЛИОШИБКА(ПСТР(G2;ПОИСК("ш-?";G2;1)+2;2);"")</t>
  </si>
  <si>
    <t>=ЛЕВСИМВ(A2;10)</t>
  </si>
  <si>
    <t>=(СЧЁТЗ(E:E)-1)/(СЧЁТЗ(D:D)-1)</t>
  </si>
  <si>
    <t>=ЕСЛИОШИБКА(ЕСЛИ(ВПР(A2;[выписка.xlsm]Лист1!$F:$M;7;0)&lt;&gt;"";ВПР(A2;[выписка.xlsm]Лист1!$F:$M;7;0);ВПР(A2;[выписка.xlsm]Лист1!$F:$M;8;0));"лезь в 1С")</t>
  </si>
  <si>
    <t>=ЕСЛИОШИБКА(ЕСЛИ(ВПР(A2;[выписка.xlsm]Лист1!$F:$M;7;0)&gt;0,01;ВПР(A2;[выписка.xlsm]Лист1!$F:$M;7;0);"");"лезь в 1С")</t>
  </si>
  <si>
    <t>=ЕСЛИОШИБКА(ЕСЛИ(И(ВПР(A2;'[выписка.xlsm]Лист1'!$F:$M;7;0)=0;ВПР(A2;'[выписка.xlsm]Лист1'!$F:$M;8;0)=0);"";ЕСЛИ(ВПР(A2;'[выписка.xlsm]Лист1'!$F:$M;7;0)&gt;0,01;ВПР(A2;'[выписка.xlsm]Лист1'!$F:$M;7;0);ВПР(A2;'[выписка.xlsm]Лист1'!$F:$M;8;0)));"лезь в 1С")</t>
  </si>
  <si>
    <t>=ЕСЛИ(И([выписка.xlsm]Лист1!$L$9="Пеня 0,054% в день от остатка основного долга";[выписка.xlsm]Лист1!$M$9="Пеня 1% в день от суммы просроченной задолженности");ЕСЛИОШИБКА(ЕСЛИ(И(ВПР(A2;[выписка.xlsm]Лист1!$F:$M;7;0)=0;ВПР(A2;[выписка.xlsm]Лист1!$F:$M;8;0)=0);"";ЕСЛИ(ВПР(A2;[выписка.xlsm]Лист1!$F:$M;7;0)&gt;0,01;ВПР(A2;[выписка.xlsm]Лист1!$F:$M;7;0);ВПР(A2;[выписка.xlsm]Лист1!$F:$M;8;0)));"лезь в 1С");ЕСЛИОШИБКА(ЕСЛИ(И(ВПР(A28;[выписка.xlsm]Лист1!$F:$M;7;0)=0;ВПР(A28;[выписка.xlsm]Лист1!$F:$M;8;0)=0);"";ЕСЛИ(ВПР(A28;[выписка.xlsm]Лист1!$F:$M;7;0)&gt;0,01;ВПР(A28;[выписка.xlsm]Лист1!$F:$M;7;0);ВПР(A28;[выписка.xlsm]Лист1!$F:$M;8;0)));"лезь в 1С"))</t>
  </si>
  <si>
    <t>=ЕСЛИ(И('\\192.168.81.12\share\Отдел сопровождения кредитования\Работа с просрочкой\КСМ\[выписка.xlsm]Лист1'!$L$9="Пеня 0,054% в день от остатка основного долга";'\\192.168.81.12\share\Отдел сопровождения кредитования\Работа с просрочкой\КСМ\[выписка.xlsm]Лист1'!$M$9="Пеня 1% в день от суммы просроченной задолженности");ЕСЛИ(ВПР(A2;[выписка.xlsm]Лист1!$F:$M;7;0)&gt;0,01;ВПР(A2;[выписка.xlsm]Лист1!$F:$M;7;0);ВПР(A2;[выписка.xlsm]Лист1!$F:$M;8;0);ВПР(A2;[выписка.xlsm]Лист1!$F:$M;7;0)</t>
  </si>
  <si>
    <t>=ЕСЛИ('\\192.168.81.12\share\Отдел сопровождения кредитования\Работа с просрочкой\КСМ\подвал\[выписка.xlsm]Лист1'!$M$9&lt;&gt;"Пеня 1% в день от суммы просроченной задолженности";ЕСЛИ(ВПР(A2;'\\192.168.81.12\share\Отдел сопровождения кредитования\Работа с просрочкой\КСМ\подвал\[выписка.xlsm]Лист1'!$F:$N;7;0)&gt;0,01;ВПР(A2;'\\192.168.81.12\share\Отдел сопровождения кредитования\Работа с просрочкой\КСМ\подвал\[выписка.xlsm]Лист1'!$F:$N;7;0);"");ЕСЛИ(И(ВПР(A2;'\\192.168.81.12\share\Отдел сопровождения кредитования\Работа с просрочкой\КСМ\подвал\[выписка.xlsm]Лист1'!$F:$N;7;0)=0;ВПР(A2;'\\192.168.81.12\share\Отдел сопровождения кредитования\Работа с просрочкой\КСМ\подвал\[выписка.xlsm]Лист1'!$F:$N;8;0)=0);"";ЕСЛИ(ВПР(A2;'\\192.168.81.12\share\Отдел сопровождения кредитования\Работа с просрочкой\КСМ\подвал\[выписка.xlsm]Лист1'!$F:$N;7;0)&gt;0,01;ВПР(A2;'\\192.168.81.12\share\Отдел сопровождения кредитования\Работа с просрочкой\КСМ\подвал\[выписка.xlsm]Лист1'!$F:$N;7;0);ВПР(A2;'\\192.168.81.12\share\Отдел сопровождения кредитования\Работа с просрочкой\КСМ\подвал\[выписка.xlsm]Лист1'!$F:$N;8;0))))</t>
  </si>
  <si>
    <t>=ЕСЛИОШИБКА(ЕСЛИ(И(A2&lt;&gt;"";ВПР(D2;'\\192.168.81.12\share\Отдел сопровождения кредитования\Работа с просрочкой\2020\[20m11_Prosrochka_new_1.xlsm]'!$A:$A;1;0)&lt;&gt;"");"просрочник";"");"")</t>
  </si>
  <si>
    <t>!$A:$A;1;0)&lt;&gt;"");"просрочник";"");"")</t>
  </si>
  <si>
    <t xml:space="preserve"> =A23&amp;L6&amp;A24</t>
  </si>
  <si>
    <t xml:space="preserve"> =ЕСЛИОШИБКА(ЕСЛИ(И(ВПР(A2;'\\data\share\Отдел сопровождения кредитования\Работа с просрочкой\КСМ\подвал\[из 1С.xlsm]реестр просрочников'!$A:$A;1;0)&lt;&gt;"";(ВПР(A2;'\\data\share\Отдел сопровождения кредитования\Работа с просрочкой\КСМ\подвал\[из 1С.xlsm]реестр просрочников'!$A:$E;5;0)-C2)&gt;0,01);ВПР(A2;'\\data\share\Отдел сопровождения кредитования\Работа с просрочкой\КСМ\подвал\[из 1С.xlsm]реестр просрочников'!$A:$E;5;0)-C2;"");"")</t>
  </si>
  <si>
    <t xml:space="preserve"> =ЕСЛИ(И(F2&gt;0,01;L2="просрочник";ИЛИ(H2&lt;0,01;H2=""));"Просрочка погашена";ЕСЛИ(И(L2="просрочник";H2&gt;0,01);"Частичная оплата (проср.)";"оплата в срок"))</t>
  </si>
  <si>
    <t xml:space="preserve"> =ЕСЛИ(ИЛИ(И(НЕ(ЕОШ(НАЙТИ("КЭ";A2)&lt;&gt;""));ЕОШ(НАЙТИ("А2";A2)="");ЕОШ(НАЙТИ("Тр";A2)=""));И(НЕ(ЕОШ(НАЙТИ("КЛ";A2)&lt;&gt;""));ЕОШ(НАЙТИ("АЗ";A2)="");ЕОШ(НАЙТИ("Тр";A2)="")));A2&amp;".Транш - 1";A2)</t>
  </si>
  <si>
    <t xml:space="preserve"> =ЕСЛИОШИБКА(ЕСЛИ(И(ВПР(A2;'[из 1С.xlsm]РП (расш)'!$A:$H;8;0)&lt;&gt;0;(ВПР(A2;'[из 1С.xlsm]РП (расш)'!$A:$H;8;0)-C2)&lt;0);"Закрытие";ВПР(A2;'[из 1С.xlsm]РП (расш)'!$A:$H;8;0)-C2);"")</t>
  </si>
  <si>
    <t xml:space="preserve"> =ЕСЛИОШИБКА(ЕСЛИ(ВПР(D2;ЭКВАЙРИНГ!C:C;1;0)&lt;&gt;0;"");"нет в списке")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</si>
  <si>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(проср.)";ЕСЛИ(ИЛИ(ВПР(A2;'[Ближайшие платежи.xlsm]1С'!$B:$D;3;0)&lt;C2;ВПР(A2;'[Ближайшие платежи.xlsm]1С'!$B:$D;3;0)=C2);"оплата в срок";ЕСЛИ(ВПР(A2;'[Ближайшие платежи.xlsm]1С'!$B:$D;3;0)&gt;C2;"недоплата ОвС";ЕСЛИ(ИЛИ(ВПР(A2;'[из 1С.xlsm]РП (расш)'!$A:$F;6;0)&lt;C2;ВПР(A2;'[из 1С.xlsm]РП (расш)'!$A:$F;6;0)=C2);"Закрытие")))));"Проверить")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</si>
  <si>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(проср.)";ЕСЛИ(ИЛИ(ВПР(A2;'[Ближайшие платежи.xlsm]1С'!$B:$D;3;0)&lt;C2;ВПР(A2;'[Ближайшие платежи.xlsm]1С'!$B:$D;3;0)=C2);"оплата в срок";ЕСЛИ(ВПР(A2;'[Ближайшие платежи.xlsm]1С'!$B:$D;3;0)&gt;C2;"недоплата ОвС";ЕСЛИ(ИЛИ(СУММ(ВПР(A2;'[из 1С.xlsm]выписка'!$F:$K;6;0);ВПР(A2;'[из 1С.xlsm]выписка'!$F:$N;9;0))&lt;C2;СУММ(ВПР(A2;'[из 1С.xlsm]выписка'!$F:$K;6;0);ВПР(A2;'[из 1С.xlsm]выписка'!$F:$N;9;0))=C2);"оплата в срок";ЕСЛИ(СУММ(ВПР(A2;'[из 1С.xlsm]выписка'!$F:$K;6;0);ВПР(A2;'[из 1С.xlsm]выписка'!$F:$N;9;0))&gt;C2;"недоплата ОвС";ЕСЛИ(ИЛИ(ВПР(A2;'[из 1С.xlsm]РП (расш)'!$A:$F;6;0)&lt;C2;ВПР(A2;'[из 1С.xlsm]РП (расш)'!$A:$F;6;0)=C2);"Закрытие")))))));"Проверить")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</si>
  <si>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(проср.)";ЕСЛИ(ИЛИ(ВПР(A2;'[из 1С.xlsm]РП (расш)'!$A:$F;6;0)&lt;C2;ВПР(A2;'[из 1С.xlsm]РП (расш)'!$A:$F;6;0)=C2);"Закрытие";"Оплата в срок")));"Проверить")</t>
  </si>
  <si>
    <t xml:space="preserve"> =ЕСЛИ('[из 1С.xlsm]выписка'!$M$9&lt;&gt;"Пеня 1% в день от суммы просроченной задолженности";2;1)</t>
  </si>
  <si>
    <t xml:space="preserve"> =ЕСЛИОШИБКА(ВПР(A2;ВЫБОР({1;2};'[из 1С.xlsm]выписка'!$F:$F;'[из 1С.xlsm]выписка'!$B:$B);2;0);"Не обнаружен")</t>
  </si>
  <si>
    <t xml:space="preserve"> =ЕСЛИОШИБКА(ЕСЛИ('[из 1С.xlsm]выписка'!$L$9&lt;&gt;"Пеня 1% в день от суммы просроченной задолженности";ЕСЛИ(ВПР(A2;'[из 1С.xlsm]выписка'!$F:$K;6;0)&gt;0,01;ВПР(A2;'[из 1С.xlsm]выписка'!$F:$K;6;0);"");ЕСЛИ(И(ВПР(A2;'[из 1С.xlsm]выписка'!$F:$K;6;0)=0;ВПР(A2;'[из 1С.xlsm]выписка'!$F:$L;7;0)=0);"";ЕСЛИ(ВПР(A2;'[из 1С.xlsm]выписка'!$F:$K;6;0)&gt;0,01;ВПР(A2;'[из 1С.xlsm]выписка'!$F:$K;6;0);ВПР(A2;'[из 1С.xlsm]выписка'!$F:$L;7;0))));"")</t>
  </si>
  <si>
    <t xml:space="preserve"> =ЕСЛИОШИБКА(ЕСЛИ('[из 1С.xlsm]выписка'!$L$9&lt;&gt;"Пеня 1% в день от суммы просроченной задолженности";ЕСЛИ(ВПР(A2;'[из 1С.xlsm]выписка'!$F:$L;7;0)&gt;0,01;ВПР(A2;'[из 1С.xlsm]выписка'!$F:$L;7;0);"");ЕСЛИ(И(ВПР(A2;'[из 1С.xlsm]выписка'!$F:$L;7;0)=0;ВПР(A2;'[из 1С.xlsm]выписка'!$F:$M;8;0)=0);"";ЕСЛИ(ВПР(A2;'[из 1С.xlsm]выписка'!$F:$L;7;0)&gt;0,01;ВПР(A2;'[из 1С.xlsm]выписка'!$F:$L;7;0);ВПР(A2;'[из 1С.xlsm]выписка'!$F:$M;8;0))));"")</t>
  </si>
  <si>
    <t xml:space="preserve"> =ЕСЛИОШИБКА(ЕСЛИ(И('[из 1С.xlsm]выписка'!$L$9&lt;&gt;"Пеня 1% в день от суммы просроченной задолженности";'[из 1С.xlsm]выписка'!$L$9="Пеня 0.054% в день от остатка основного долга");ЕСЛИ(ВПР(A2;'[из 1С.xlsm]выписка'!$F:$L;7;0)&gt;0,01;ВПР(A2;'[из 1С.xlsm]выписка'!$F:$L;7;0);"");ЕСЛИ(И(ВПР(A2;'[из 1С.xlsm]выписка'!$F:$L;7;0)=0;ВПР(A2;'[из 1С.xlsm]выписка'!$F:$M;8;0)=0);"";ЕСЛИ('[из 1С.xlsm]выписка'!$L$9="Пеня 1% в день от суммы просроченной задолженности"; ЕСЛИ(ВПР(A2;'[из 1С.xlsm]выписка'!$F:$L;7;0)&gt;0,01;ВПР(A2;'[из 1С.xlsm]выписка'!$F:$L;7;0);"");ЕСЛИ(ВПР(A2;'[из 1С.xlsm]выписка'!$F:$L;7;0)&gt;0,01;ВПР(A2;'[из 1С.xlsm]выписка'!$F:$L;7;0);ВПР(A2;'[из 1С.xlsm]выписка'!$F:$M;8;0)))));"")</t>
  </si>
  <si>
    <t>=ЕСЛИ('\\192.168.81.12\share\Отдел сопровождения кредитования\Работа с просрочкой\КСМ\подвал\[из 1С.xlsm]выписка'!$M$9&lt;&gt;"Пеня 1% в день от суммы просроченной задолженности";ЕСЛИ(ВПР(A2;'\\192.168.81.12\share\Отдел сопровождения кредитования\Работа с просрочкой\КСМ\подвал\[из 1С.xlsm]выписка'!$F:$N;7;0)&gt;0,01;ВПР(A2;'\\192.168.81.12\share\Отдел сопровождения кредитования\Работа с просрочкой\КСМ\подвал\[из 1С.xlsm]выписка'!$F:$N;7;0);"");ЕСЛИ(И(ВПР(A2;'\\192.168.81.12\share\Отдел сопровождения кредитования\Работа с просрочкой\КСМ\подвал\[из 1С.xlsm]выписка'!$F:$N;7;0)=0;ВПР(A2;'\\192.168.81.12\share\Отдел сопровождения кредитования\Работа с просрочкой\КСМ\подвал\[из 1С.xlsm]выписка'!$F:$N;8;0)=0);"";ЕСЛИ(ВПР(A2;'\\192.168.81.12\share\Отдел сопровождения кредитования\Работа с просрочкой\КСМ\подвал\[из 1С.xlsm]выписка'!$F:$N;7;0)&gt;0,01;ВПР(A2;'\\192.168.81.12\share\Отдел сопровождения кредитования\Работа с просрочкой\КСМ\подвал\[из 1С.xlsm]выписка'!$F:$N;7;0);ВПР(A2;'\\192.168.81.12\share\Отдел сопровождения кредитования\Работа с просрочкой\КСМ\подвал\[из 1С.xlsm]выписка'!$F:$N;8;0))))</t>
  </si>
  <si>
    <t xml:space="preserve"> =ЕСЛИОШИБКА(ВПР(A3;'[из 1С.xlsm]выписка'!$B:$F;5;0);"")</t>
  </si>
  <si>
    <t xml:space="preserve"> =ЕСЛИОШИБКА(ЕСЛИ(ИЛИ(И(F2&gt;0,01;L2="просрочник");И(ВПР(A2;'[из 1С.xlsm]РП (расш)'!$A:$E;5;0)&gt;0,01;C2-(ВПР(A2;'[из 1С.xlsm]РП (расш)'!$A:$E;5;0)-(ВПР(A2;'[из 1С.xlsm]РП (расш)'!$A:$K;11;0)&lt;0,01))));"Просрочка погашена";ЕСЛИ(И(L2="просрочник";F2&lt;0,01);"Частичная оплата (проср.)";ЕСЛИ(ИЛИ(ВПР(A2;'[из 1С.xlsm]РП (расш)'!$A:$F;6;0)&lt;C2;ВПР(A2;'[из 1С.xlsm]РП (расш)'!$A:$F;6;0)=C2);"Закрытие";ЕСЛИ(И(ВПР(A2;[ПредПлат.xlsm]Лист1!$A:$A;1;0)&lt;&gt;"";(ВПР(A2;[ПредПлат.xlsm]Лист1!$A:$E;5;0)-C2)&lt;0,01);"Оплата в срок"))));"Проверить")</t>
  </si>
  <si>
    <t xml:space="preserve"> =ЕСЛИОШИБКА(ЕСЛИ(И(СУММ(F2)&gt;0,01;ИЛИ(L2="просрочник";M2="просрочник"));"Просрочка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(проср.)";ЕСЛИ(ИЛИ(ВПР(A2;'[из 1С.xlsm]РП (расш)'!$A:$F;6;0)&lt;C2;ВПР(A2;'[из 1С.xlsm]РП (расш)'!$A:$F;6;0)=C2);"Закрытие";ЕСЛИ(И(ВПР(A2;'\\192.168.81.12\share\Отдел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просрочкой\КСМ\подвал\[ПредПлат.xlsm]Лист1'!$A:$E;5;0)-C2)&lt;0,01);"Оплата в срок";"частичная оплата")))));"Проверить")</t>
  </si>
  <si>
    <t xml:space="preserve"> =ЕСЛИОШИБКА(ЕСЛИ(И(СУММ(F2)&gt;0,01;ИЛИ(L2="просрочник";M2="просрочник"));"Просрочка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1С.xlsm]#ССЫЛКА'!$A:$F;6;0)&lt;C2;ВПР(A2;'\\192.168.81.12\share\Отдел сопровождения кредитования\Работа с просрочкой\КСМ\подвал\[из 1С.xlsm]#ССЫЛКА'!$A:$F;6;0)=C2);"Закрытие";ЕСЛИ(И(ВПР(A2;'\\192.168.81.12\share\Отдел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просрочкой\КСМ\подвал\[ПредПлат.xlsm]Лист1'!$A:$E;5;0)-(C2+(ВПР(A2;'[из 1С.xlsm]на счету'!$B:$C;2;0)))&lt;0,01);"Оплата в срок";"частичная оплата")))));"Проверить")</t>
  </si>
  <si>
    <t xml:space="preserve"> =ЕСЛИОШИБКА(ЕСЛИ(ВПР(A2;'[из 1С.xlsm]на счету'!$B:$C;2;0)&lt;&gt;"";РУБЛЬ(ВПР(A2;'[из 1С.xlsm]на счету'!$B:$C;2;0);2)&amp;" (Д)");ЕСЛИОШИБКА(ЕСЛИ(ВПР(D2;'[из 1С.xlsm]на счету'!$A:$C;3;0)&lt;&gt;"";РУБЛЬ(ВПР(D2;'[из 1С.xlsm]на счету'!$A:$C;3;0);2)&amp;" (З)");""))</t>
  </si>
  <si>
    <t xml:space="preserve"> =ЕСЛИОШИБКА(ЕСЛИ('[из 1С.xlsm]выписка'!$M$9&lt;&gt;"Пеня 1% в день от суммы просроченной задолженности";ЕСЛИ(ВПР(A2;'[из 1С.xlsm]выписка'!$F:$N;7;0)&gt;0,01;ВПР(A2;'[из 1С.xlsm]выписка'!$F:$N;7;0);"");ЕСЛИ(И(ВПР(A2;'[из 1С.xlsm]выписка'!$F:$N;7;0)=0;ВПР(A2;'[из 1С.xlsm]выписка'!$F:$N;8;0)=0);"";ЕСЛИ(ВПР(A2;'[из 1С.xlsm]выписка'!$F:$N;7;0)&gt;0,01;ВПР(A2;'[из 1С.xlsm]выписка'!$F:$N;7;0);ВПР(A2;'[из 1С.xlsm]выписка'!$F:$N;8;0))));"")</t>
  </si>
  <si>
    <t xml:space="preserve"> =ЕСЛИОШИБКА(ЕСЛИ(K2="КО";"КО";ЕСЛИ(И(СУММ(F2)&gt;0,01;ИЛИ(L2="просрочник";M2="просрочник"));"Просрочка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(проср.)";ЕСЛИ(ИЛИ(ВПР(A2;'[из 1С.xlsm]РП (расш)'!$A:$F;6;0)&lt;C2;ВПР(A2;'[из 1С.xlsm]РП (расш)'!$A:$F;6;0)=C2);"Закрытие";ЕСЛИ(И(ВПР(A2;'\\192.168.81.12\share\Отдел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просрочкой\КСМ\подвал\[ПредПлат.xlsm]Лист1'!$A:$E;5;0)-C2)&lt;0,01);"Оплата в срок";"Частичная оплата"))))));"Проверить")</t>
  </si>
  <si>
    <t xml:space="preserve"> =ЕСЛИОШИБКА(ЕСЛИ(ИЛИ(E2="Просрочка погашена";E2="Реструкт (вх в график)");ВПР(A2;'[из 1С.xlsm]реестр просрочников'!$A:$F;6;0);"");"")</t>
  </si>
  <si>
    <t xml:space="preserve"> =ЕСЛИОШИБКА(ЕСЛИ(K2="КО";"КО";ЕСЛИ(И(СУММ(F2)&gt;0,01;L2="просрочник");"Просрочка погашена";ЕСЛИ(И(СУММ(F2)&gt;0,01;L2&lt;&gt;"просрочник");"возможно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(расш)'!$A:$F;6;0)=C2);"Закрытие";ЕСЛИ(И(ВПР(A2;'[платежи на месяц.xlsm]текМес'!$B:$G;6;0);(ВПР(A2;'[платежи на месяц.xlsm]текМес'!$B:$G;6;0)-C2)&lt;0,01);"Оплата в срок";"Частичная оплата"))))));"Проверить")</t>
  </si>
  <si>
    <t xml:space="preserve"> =ЕСЛИОШИБКА(ЕСЛИ(K2="КО";"КО";ЕСЛИ(И(СУММ(F2)&gt;0,01;L2="просрочник");"Просрочка погашена";ЕСЛИ(И(СУММ(F2)&gt;0,01;L2&lt;&gt;"просрочник");"возможно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месяц.xlsm]текМес'!$B:$G;6;0)-C2)&lt;0,01;"Оплата в срок";"Частичная оплата"))))));"Проверить")</t>
  </si>
  <si>
    <t xml:space="preserve"> =ЕСЛИОШИБКА(ЕСЛИ(K2="КО";"КО";ЕСЛИ(И(СУММ(F2)&gt;0,01;ИЛИ(L2="просрочник";W2="П"));"Просрочка погашена";ЕСЛИ(ИЛИ(И(L2="просрочник";СУММ(F2)&lt;0,01);W2="П");"Частичная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 v1.2.xlsm]текМес'!$B:$G;6;0)-C2)&lt;0,01;"Оплата в срок";"Частичная оплата")))));"Проверить")</t>
  </si>
  <si>
    <t xml:space="preserve"> =ЕСЛИ(И(U2&lt;&gt;"";ДЕНЬ(U2)&gt;ДЕНЬ(B2));"Б";ЕСЛИ(И(U2&lt;&gt;"";ДЕНЬ(U2)&lt;ДЕНЬ(B2));"П";ЕСЛИ(И(U2&lt;&gt;"";(ДЕНЬ(U2)=ДЕНЬ(B2)));"Н";"")))</t>
  </si>
  <si>
    <t xml:space="preserve"> =ЕСЛИОШИБКА(ЕСЛИ(И(ВПР(A2;'[из 1С.xlsm]реестр просрочников'!$A:$E;5;0)-C2&gt;0;E2&lt;&gt;"Реструкт (вх в график)";E2&lt;&gt;"Просрочка погашена");ВПР(A2;'[из 1С.xlsm]реестр просрочников'!$A:$E;5;0)-C2;"");"")</t>
  </si>
  <si>
    <t xml:space="preserve"> =ЕСЛИ(СЧЁТЕСЛИ('[21m05_Prosrochka_new_1.xlsm]13'!$A:$A;D2)&gt;0;СЧЁТЕСЛИ('[21m05_Prosrochka_new_1.xlsm]13'!$A:$A;D2)&amp;ЕСЛИ(СЧЁТЕСЛИ('[21m05_Prosrochka_new_1.xlsm]13'!$A:$A;D2)=1;" Договор";ЕСЛИ(ИЛИ(СЧЁТЕСЛИ('[21m05_Prosrochka_new_1.xlsm]13'!$A:$A;D2)=2;СЧЁТЕСЛИ('[21m05_Prosrochka_new_1.xlsm]13'!$A:$A;D2)=3;СЧЁТЕСЛИ('[21m05_Prosrochka_new_1.xlsm]13'!$A:$A;D2)=4);" Договора";" Договоров"));"")</t>
  </si>
  <si>
    <t xml:space="preserve"> =ЕСЛИОШИБКА(ЕСЛИ(K2="КО";"КО";ЕСЛИ(И(СУММ(F2)&gt;0,01;ИЛИ(L2&lt;&gt;"";W2="П"));"Просрочка погашена";ЕСЛИ(И(L2&lt;&gt;"";СУММ(F2)&lt;0,01);"Частичная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 v1.2.xlsm]текМес'!$B:$G;6;0)-C2)&lt;0,01;"Оплата в срок";"Частичная оплата")))));"Проверить")</t>
  </si>
  <si>
    <t xml:space="preserve"> {=СУММ(ЕСЛИ('\\192.168.81.12\share\Отдел сопровождения кредитования\Работа с просрочкой\2021\[21m05_Prosrochka_new_1.xlsm]13'!$A:$A=D2;1;0))}</t>
  </si>
  <si>
    <t>{=ЕСЛИ(СУММ(ЕСЛИ('\\192.168.81.12\share\Отдел сопровождения кредитования\Работа с просрочкой\2021\[21m05_Prosrochka_new_1.xlsm]17'!$A:$A=D2;1;0))&gt;0;СУММ(ЕСЛИ('\\192.168.81.12\share\Отдел сопровождения кредитования\Работа с просрочкой\2021\[21m05_Prosrochka_new_1.xlsm]17'!$A:$A=D2;1;0));"")}</t>
  </si>
  <si>
    <t>{=ПОДСТАВИТЬ(СУММ(ЕСЛИ('\\192.168.81.12\share\Отдел сопровождения кредитования\Работа с просрочкой\2021\[21m05_Prosrochka_new_1.xlsm]13'!$A:$A=D2;1;0));"0";"")}</t>
  </si>
  <si>
    <t>{=СУММ(ЕСЛИ('\\192.168.81.12\share\Отдел сопровождения кредитования\Работа с просрочкой\КСМ\подвал\[из 1С.xlsm]РП (расш)'!$B:$B=D2;1;0))}</t>
  </si>
  <si>
    <t>{=ЕСЛИОШИБКА(ИНДЕКС($A$16:$A$2003;НАИМЕНЬШИЙ(ЕСЛИ($O$13=$B$16:$B$2003;СТРОКА($A$16:$A$2003)-15);СТОЛБЕЦ(A1));1);"")}</t>
  </si>
  <si>
    <t>(A2) {=ЕСЛИОШИБКА(ИНДЕКС('[из 1С.xlsm]РП (расш)'!$A$16:$A$3000;НАИМЕНЬШИЙ(ЕСЛИ(ЭКВАЙРИНГ!$D2='[из 1С.xlsm]РП (расш)'!$B$16:$B$3000;СТРОКА('[из 1С.xlsm]РП (расш)'!$A$16:$A$3000)-15);СТОЛБЕЦ('[из 1С.xlsm]РП (расш)'!A1));1);"")}</t>
  </si>
  <si>
    <t xml:space="preserve"> =СМЕЩ(A1;0;0;1;СЧЁТЗ(A1:J1))</t>
  </si>
  <si>
    <t>% выполнения</t>
  </si>
  <si>
    <t>дата ЕП</t>
  </si>
  <si>
    <t>Договор</t>
  </si>
  <si>
    <t>П/Н/Б</t>
  </si>
  <si>
    <t xml:space="preserve"> {=НАИМЕНЬШИЙ(ЕСЛИ(N121:N247=4;M121:M247);2)}</t>
  </si>
  <si>
    <t>Удалить</t>
  </si>
  <si>
    <t xml:space="preserve"> =(СЧЁТЗ(ЭКВАЙРИНГ!D:D)-1)-СЧЁТЕСЛИ(ЭКВАЙРИНГ!E:E;"Удалить")</t>
  </si>
  <si>
    <t xml:space="preserve"> =ЕСЛИ(H2=0;V2;ЕСЛИ(H2&lt;&gt;"ОК";V2&amp;ПРАВСИМВ(ЗАМЕНИТЬ(H2;ПОИСК(" (*";H2);8;"");10);V2))</t>
  </si>
  <si>
    <t xml:space="preserve"> =ЕСЛИ(H6=0;V6;ЕСЛИ(H6&lt;&gt;"ОК";V6&amp;ПРАВСИМВ(СЖПРОБЕЛЫ(ЗАМЕНИТЬ(H6;ПОИСК("(*";H6);ДЛСТР(H6)-ПОИСК("(*";H6)+3;""));10);V6))</t>
  </si>
  <si>
    <t>прочее</t>
  </si>
  <si>
    <t xml:space="preserve"> =ЕСЛИОШИБКА(ВПР(ПОДСТАВИТЬ(ЭКВАЙРИНГ!A2;" ";"");'[ПРОЩЕНИЕ ПЕНИ.xlsx]НГ акция все пени'!$B:$C;2;0);"")</t>
  </si>
  <si>
    <t xml:space="preserve"> =ЕСЛИ(И(A1&lt;&gt;"";B1&gt;=ЭКВАЙРИНГ!B2);"Внимание";"")</t>
  </si>
  <si>
    <t xml:space="preserve"> =ЕСЛИОШИБКА(ЕСЛИ(ВПР(ПОДСТАВИТЬ(ЭКВАЙРИНГ!A2;" ";"");'\\192.168.81.12\share\Отдел сопровождения кредитования\Работа с просрочкой\2021\[ПРОЩЕНИЕ ПЕНИ.xlsx]НГ акция все пени'!$B:$B;1;0)&lt;&gt;"";ВПР(ЕСЛИ(ИЛИ(И(НЕ(ЕОШ(НАЙТИ("КЭ";'\\192.168.81.12\share\Отдел сопровождения кредитования\Работа с просрочкой\2021\[ПРОЩЕНИЕ ПЕНИ.xlsx]НГ акция все пени'!B2)&lt;&gt;""));ЕОШ(НАЙТИ("А2";'\\192.168.81.12\share\Отдел сопровождения кредитования\Работа с просрочкой\2021\[ПРОЩЕНИЕ ПЕНИ.xlsx]НГ акция все пени'!B2)="");ЕОШ(НАЙТИ("Тр";'\\192.168.81.12\share\Отдел сопровождения кредитования\Работа с просрочкой\2021\[ПРОЩЕНИЕ ПЕНИ.xlsx]НГ акция все пени'!B2)=""));И(НЕ(ЕОШ(НАЙТИ("КЛ";'\\192.168.81.12\share\Отдел сопровождения кредитования\Работа с просрочкой\2021\[ПРОЩЕНИЕ ПЕНИ.xlsx]НГ акция все пени'!B2)&lt;&gt;""));ЕОШ(НАЙТИ("АЗ";'\\192.168.81.12\share\Отдел сопровождения кредитования\Работа с просрочкой\2021\[ПРОЩЕНИЕ ПЕНИ.xlsx]НГ акция все пени'!B2)="");ЕОШ(НАЙТИ("Тр";'\\192.168.81.12\share\Отдел сопровождения кредитования\Работа с просрочкой\2021\[ПРОЩЕНИЕ ПЕНИ.xlsx]НГ акция все пени'!B2)="")));'\\192.168.81.12\share\Отдел сопровождения кредитования\Работа с просрочкой\2021\[ПРОЩЕНИЕ ПЕНИ.xlsx]НГ акция все пени'!B2&amp;".Транш - 1";ЕСЛИОШИБКА(ЛЕВСИМВ('\\192.168.81.12\share\Отдел сопровождения кредитования\Работа с просрочкой\2021\[ПРОЩЕНИЕ ПЕНИ.xlsx]НГ акция все пени'!B2;ПОИСК("нш";'\\192.168.81.12\share\Отдел сопровождения кредитования\Работа с просрочкой\2021\[ПРОЩЕНИЕ ПЕНИ.xlsx]НГ акция все пени'!B2)+1)&amp;" - "&amp;ПРАВСИМВ('\\192.168.81.12\share\Отдел сопровождения кредитования\Работа с просрочкой\2021\[ПРОЩЕНИЕ ПЕНИ.xlsx]НГ акция все пени'!B2;1);'\\192.168.81.12\share\Отдел сопровождения кредитования\Работа с просрочкой\2021\[ПРОЩЕНИЕ ПЕНИ.xlsx]НГ акция все пени'!B2));'\\192.168.81.12\share\Отдел сопровождения кредитования\Работа с просрочкой\КСМ\подвал\[платежи на месяц v1.3.xlsm]текМес'!$B:$C;2;0));"")</t>
  </si>
  <si>
    <t xml:space="preserve"> =ЕСЛИОШИБКА(ЕСЛИ(B2&gt;'\\192.168.81.12\share\Отдел сопровождения кредитования\Работа с просрочкой\[АКЦИЯ.xlsx]Лист1'!$G$2;"акция кончилась";ЕСЛИ(ВПР(A2;'\\192.168.81.12\share\Отдел сопровождения кредитования\Работа с просрочкой\[АКЦИЯ.xlsx]Лист1'!$B:$B;1;0)&lt;&gt;"";ВПР(A2;'\\192.168.81.12\share\Отдел сопровождения кредитования\Работа с просрочкой\[АКЦИЯ.xlsx]Лист1'!$B:$C;2;0)&amp;" "&amp;РУБЛЬ(ВПР(A2;'\\192.168.81.12\share\Отдел сопровождения кредитования\Работа с просрочкой\[АКЦИЯ.xlsx]Лист1'!$B:$D;3;0);0)&amp;" "&amp;РУБЛЬ(ВПР(A2;'\\192.168.81.12\share\Отдел сопровождения кредитования\Работа с просрочкой\[АКЦИЯ.xlsx]Лист1'!$B:$E;4;0);0)));"")</t>
  </si>
  <si>
    <t xml:space="preserve"> =ЕСЛИОШИБКА(all!A2&amp;" ("&amp;ТЕКСТ(ВПР(all!A2;'\\192.168.81.12\share\Отдел сопровождения кредитования\Работа с просрочкой\КСМ\подвал\[платежи на месяц v1.3.xlsm]текМес'!$B:$C;2;0);"ДД.ММ")&amp;")"&amp;" "&amp;РУБЛЬ(ВПР(all!A2;'\\192.168.81.12\share\Отдел сопровождения кредитования\Работа с просрочкой\КСМ\подвал\[платежи на месяц v1.3.xlsm]текМес'!$B:$I;6;0);0)&amp;" "&amp;РУБЛЬ(СУММ(ВПР(all!A2;'[из 1С.xlsm]РП (расш)'!$A:$H;8;0);ВПР(all!A2;'[из 1С.xlsm]РП (расш)'!$A:$I;9;0));2);"")</t>
  </si>
  <si>
    <t xml:space="preserve"> =ЕСЛИОШИБКА(ЕСЛИ(K2="КО";"КО";ЕСЛИ(И(СУММ(F2)&gt;0,01;ИЛИ(L2&lt;&gt;"";W2="П"));"Просрочка погашена";ЕСЛИ(И(L2&lt;&gt;"";СУММ(F2)&lt;0,01);"Частичная оплата (проср.)";ЕСЛИ(B2&gt;ВПР('[платежи на месяц v1.3.xlsm]текМес'!$B:$C;2;0);"Возможно просрочка";ЕСЛИ(ИЛИ(ВПР(A2;'\\192.168.81.12\share\Отдел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(расш)'!$A:$F;6;0)=C2);"Закрытие";ЕСЛИ((ВПР(A2;'[платежи на месяц v1.3.xlsm]текМес'!$B:$G;6;0)-C2)&lt;0,01;"Оплата в срок";"Частичная оплата"))))));"Проверить")</t>
  </si>
  <si>
    <t>? Транш 30+, 60+?</t>
  </si>
  <si>
    <t>Займ</t>
  </si>
  <si>
    <t>все пени</t>
  </si>
  <si>
    <t>НЕТ ИНФОРМАЦИИ</t>
  </si>
  <si>
    <t/>
  </si>
  <si>
    <t>Назаров Всеволод Владимирович</t>
  </si>
  <si>
    <t>Алешкевич Алексей Викторович</t>
  </si>
  <si>
    <t>6 320,00</t>
  </si>
  <si>
    <t>Волохов Юрий Викторович</t>
  </si>
  <si>
    <t>Зотов Дмитрий Анатольевич</t>
  </si>
  <si>
    <t>10 000,00</t>
  </si>
  <si>
    <t>Крайнева Марина Александровна</t>
  </si>
  <si>
    <t>Новоселов Сергей Владимирович</t>
  </si>
  <si>
    <t>Сельцова Наталья Юрьевна</t>
  </si>
  <si>
    <t>Ульбашева Елена Владимировна</t>
  </si>
  <si>
    <t>В-23370/КЛ.Транш - 2_В-21082023/Ц</t>
  </si>
  <si>
    <t>В-16023/КЛ.Транш - 1_В-20211230/Ц</t>
  </si>
  <si>
    <t>В-23555/КЛ.Транш - 2_В-21082023/Ц</t>
  </si>
  <si>
    <t>В-28684/КЛ.Транш - 1_В-21082023/Ц</t>
  </si>
  <si>
    <t>В-19740/КЛ.Транш - 8_В-21082023/Ц</t>
  </si>
  <si>
    <t>В-19548/КЛ.Транш - 1_В-21082023/Ц</t>
  </si>
  <si>
    <t>В-00439/КЛ.Транш - 1_В-21082023/Ц</t>
  </si>
  <si>
    <t>В-00439/КЛ.Транш - 2_В-21082023/Ц</t>
  </si>
  <si>
    <t>В-28539/КЛ.Транш - 1_В-21082023/Ц</t>
  </si>
  <si>
    <t xml:space="preserve">В-23555/КЛ.Транш - 1_В-21082023/Ц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</si>
</sst>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\ &quot;₽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7">
    <xf numFmtId="0" fontId="0" fillId="0" borderId="0" xfId="0"/>
    <xf numFmtId="0" fontId="4" fillId="2" borderId="2" xfId="0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3" fillId="0" borderId="9" xfId="0" applyFont="1" applyBorder="1"/>
    <xf numFmtId="10" fontId="0" fillId="0" borderId="10" xfId="0" applyNumberFormat="1" applyBorder="1"/>
    <xf numFmtId="10" fontId="0" fillId="0" borderId="0" xfId="0" applyNumberFormat="1"/>
    <xf numFmtId="10" fontId="0" fillId="0" borderId="8" xfId="0" applyNumberFormat="1" applyBorder="1"/>
    <xf numFmtId="164" fontId="0" fillId="0" borderId="0" xfId="0" applyNumberFormat="1"/>
    <xf numFmtId="0" fontId="3" fillId="0" borderId="11" xfId="0" applyFont="1" applyBorder="1"/>
    <xf numFmtId="10" fontId="0" fillId="0" borderId="12" xfId="0" applyNumberFormat="1" applyBorder="1"/>
    <xf numFmtId="0" fontId="3" fillId="0" borderId="8" xfId="0" applyFont="1" applyBorder="1"/>
    <xf numFmtId="10" fontId="3" fillId="0" borderId="8" xfId="0" applyNumberFormat="1" applyFont="1" applyBorder="1"/>
    <xf numFmtId="14" fontId="0" fillId="0" borderId="0" xfId="0" applyNumberFormat="1"/>
    <xf numFmtId="0" fontId="3" fillId="0" borderId="13" xfId="0" applyFont="1" applyBorder="1"/>
    <xf numFmtId="0" fontId="0" fillId="0" borderId="0" xfId="0" quotePrefix="1" applyAlignment="1">
      <alignment horizontal="left"/>
    </xf>
    <xf numFmtId="0" fontId="4" fillId="2" borderId="5" xfId="0" applyFont="1" applyFill="1" applyBorder="1" applyAlignment="1">
      <alignment horizontal="left" vertical="center"/>
    </xf>
    <xf numFmtId="14" fontId="4" fillId="2" borderId="6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top"/>
    </xf>
    <xf numFmtId="10" fontId="4" fillId="2" borderId="7" xfId="0" applyNumberFormat="1" applyFont="1" applyFill="1" applyBorder="1" applyAlignment="1">
      <alignment horizontal="left" vertical="center"/>
    </xf>
    <xf numFmtId="0" fontId="0" fillId="0" borderId="0" xfId="0" quotePrefix="1"/>
    <xf numFmtId="0" fontId="0" fillId="0" borderId="8" xfId="0" quotePrefix="1" applyBorder="1"/>
    <xf numFmtId="0" fontId="1" fillId="0" borderId="8" xfId="0" quotePrefix="1" applyFont="1" applyBorder="1"/>
    <xf numFmtId="0" fontId="3" fillId="0" borderId="0" xfId="0" quotePrefix="1" applyFont="1"/>
    <xf numFmtId="0" fontId="3" fillId="0" borderId="0" xfId="0" applyFont="1"/>
    <xf numFmtId="0" fontId="1" fillId="0" borderId="0" xfId="0" applyFont="1"/>
    <xf numFmtId="0" fontId="3" fillId="3" borderId="1" xfId="0" applyFont="1" applyFill="1" applyBorder="1"/>
    <xf numFmtId="14" fontId="3" fillId="3" borderId="13" xfId="0" applyNumberFormat="1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10" fontId="7" fillId="0" borderId="8" xfId="0" quotePrefix="1" applyNumberFormat="1" applyFont="1" applyBorder="1" applyAlignment="1">
      <alignment horizontal="center"/>
    </xf>
    <xf numFmtId="4" fontId="0" fillId="0" borderId="0" xfId="0" applyNumberFormat="1"/>
    <xf numFmtId="164" fontId="4" fillId="2" borderId="8" xfId="0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43" fontId="0" fillId="0" borderId="0" xfId="1" applyFont="1" applyAlignment="1">
      <alignment horizontal="right"/>
    </xf>
    <xf numFmtId="2" fontId="0" fillId="0" borderId="0" xfId="0" applyNumberFormat="1"/>
    <xf numFmtId="43" fontId="0" fillId="0" borderId="0" xfId="1" applyFont="1" applyAlignment="1"/>
    <xf numFmtId="43" fontId="7" fillId="0" borderId="14" xfId="1" applyFont="1" applyBorder="1"/>
    <xf numFmtId="1" fontId="6" fillId="3" borderId="6" xfId="0" applyNumberFormat="1" applyFont="1" applyFill="1" applyBorder="1" applyAlignment="1">
      <alignment horizontal="center"/>
    </xf>
    <xf numFmtId="1" fontId="0" fillId="0" borderId="8" xfId="0" applyNumberFormat="1" applyBorder="1"/>
    <xf numFmtId="1" fontId="0" fillId="0" borderId="0" xfId="0" applyNumberFormat="1"/>
    <xf numFmtId="43" fontId="0" fillId="4" borderId="0" xfId="1" applyFont="1" applyFill="1"/>
    <xf numFmtId="14" fontId="3" fillId="0" borderId="0" xfId="0" applyNumberFormat="1" applyFont="1"/>
    <xf numFmtId="0" fontId="4" fillId="2" borderId="3" xfId="0" applyFont="1" applyFill="1" applyBorder="1" applyAlignment="1">
      <alignment horizontal="left" vertical="center"/>
    </xf>
    <xf numFmtId="43" fontId="0" fillId="0" borderId="0" xfId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1" applyNumberFormat="1" applyFont="1"/>
    <xf numFmtId="0" fontId="0" fillId="0" borderId="15" xfId="0" applyBorder="1"/>
    <xf numFmtId="14" fontId="0" fillId="0" borderId="16" xfId="0" applyNumberFormat="1" applyBorder="1"/>
    <xf numFmtId="43" fontId="0" fillId="0" borderId="16" xfId="1" applyFont="1" applyBorder="1" applyAlignment="1">
      <alignment horizontal="right"/>
    </xf>
    <xf numFmtId="0" fontId="0" fillId="0" borderId="16" xfId="0" applyBorder="1"/>
    <xf numFmtId="43" fontId="0" fillId="0" borderId="16" xfId="1" applyFont="1" applyBorder="1"/>
    <xf numFmtId="0" fontId="0" fillId="0" borderId="17" xfId="0" applyBorder="1"/>
    <xf numFmtId="0" fontId="0" fillId="0" borderId="18" xfId="0" applyBorder="1"/>
    <xf numFmtId="14" fontId="0" fillId="0" borderId="19" xfId="0" applyNumberFormat="1" applyBorder="1"/>
    <xf numFmtId="43" fontId="0" fillId="0" borderId="19" xfId="1" applyFont="1" applyBorder="1" applyAlignment="1">
      <alignment horizontal="right"/>
    </xf>
    <xf numFmtId="0" fontId="0" fillId="0" borderId="19" xfId="0" applyBorder="1"/>
    <xf numFmtId="43" fontId="0" fillId="0" borderId="19" xfId="1" applyFont="1" applyBorder="1"/>
    <xf numFmtId="0" fontId="0" fillId="0" borderId="20" xfId="0" applyBorder="1"/>
    <xf numFmtId="164" fontId="7" fillId="0" borderId="8" xfId="0" quotePrefix="1" applyNumberFormat="1" applyFont="1" applyBorder="1" applyAlignment="1">
      <alignment horizontal="center"/>
    </xf>
    <xf numFmtId="0" fontId="4" fillId="2" borderId="21" xfId="1" applyNumberFormat="1" applyFont="1" applyFill="1" applyBorder="1" applyAlignment="1">
      <alignment horizontal="center" vertical="center"/>
    </xf>
    <xf numFmtId="43" fontId="4" fillId="2" borderId="22" xfId="1" applyFont="1" applyFill="1" applyBorder="1" applyAlignment="1">
      <alignment horizontal="center" vertical="center"/>
    </xf>
    <xf numFmtId="43" fontId="0" fillId="0" borderId="0" xfId="1" applyFont="1"/>
    <xf numFmtId="43" fontId="4" fillId="2" borderId="23" xfId="1" applyFont="1" applyFill="1" applyBorder="1" applyAlignment="1">
      <alignment horizontal="center" vertical="center"/>
    </xf>
    <xf numFmtId="14" fontId="4" fillId="2" borderId="23" xfId="1" applyNumberFormat="1" applyFont="1" applyFill="1" applyBorder="1" applyAlignment="1">
      <alignment horizontal="center" vertical="center"/>
    </xf>
    <xf numFmtId="43" fontId="4" fillId="2" borderId="23" xfId="1" applyFont="1" applyFill="1" applyBorder="1" applyAlignment="1">
      <alignment vertical="top"/>
    </xf>
    <xf numFmtId="43" fontId="4" fillId="2" borderId="23" xfId="1" applyFont="1" applyFill="1" applyBorder="1" applyAlignment="1">
      <alignment horizontal="center" vertical="top"/>
    </xf>
    <xf numFmtId="0" fontId="0" fillId="0" borderId="24" xfId="0" applyBorder="1"/>
    <xf numFmtId="14" fontId="0" fillId="0" borderId="25" xfId="0" applyNumberFormat="1" applyBorder="1"/>
    <xf numFmtId="43" fontId="0" fillId="0" borderId="25" xfId="1" applyFont="1" applyBorder="1" applyAlignment="1">
      <alignment horizontal="right"/>
    </xf>
    <xf numFmtId="0" fontId="0" fillId="0" borderId="25" xfId="0" applyBorder="1"/>
    <xf numFmtId="43" fontId="0" fillId="0" borderId="25" xfId="1" applyFont="1" applyBorder="1"/>
    <xf numFmtId="0" fontId="0" fillId="0" borderId="26" xfId="0" applyBorder="1"/>
    <xf numFmtId="0" fontId="9" fillId="0" borderId="0" xfId="0" applyFont="1" applyAlignment="1">
      <alignment horizontal="center"/>
    </xf>
  </cellXfs>
  <cellStyles count="2">
    <cellStyle name="Обычный" xfId="0" builtinId="0"/>
    <cellStyle name="Финансовый" xfId="1" builtinId="3"/>
  </cellStyles>
  <dxfs count="18"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00B050"/>
        </patternFill>
      </fill>
    </dxf>
    <dxf>
      <font>
        <b/>
        <i val="0"/>
        <color theme="0"/>
      </font>
      <fill>
        <patternFill>
          <fgColor indexed="64"/>
          <bgColor rgb="FF00B0F0"/>
        </patternFill>
      </fill>
    </dxf>
    <dxf>
      <font>
        <b/>
        <i val="0"/>
      </font>
      <fill>
        <patternFill>
          <fgColor indexed="64"/>
          <bgColor rgb="FFFFC000"/>
        </patternFill>
      </fill>
    </dxf>
    <dxf>
      <fill>
        <patternFill>
          <fgColor indexed="64"/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9" tint="0.59999389629810485"/>
        </patternFill>
      </fill>
    </dxf>
    <dxf>
      <font>
        <b/>
        <i val="0"/>
        <color theme="0"/>
      </font>
      <fill>
        <patternFill>
          <fgColor indexed="64"/>
          <bgColor rgb="FF00B0F0"/>
        </patternFill>
      </fill>
    </dxf>
    <dxf>
      <font>
        <b/>
        <i val="0"/>
        <color theme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C0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412935</xdr:colOff>
      <xdr:row>1</xdr:row>
      <xdr:rowOff>69348</xdr:rowOff>
    </xdr:from>
    <xdr:to>
      <xdr:col>12</xdr:col>
      <xdr:colOff>310965</xdr:colOff>
      <xdr:row>12</xdr:row>
      <xdr:rowOff>133350</xdr:rowOff>
    </xdr:to>
    <xdr:sp macro="[0]!clear_S1C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C99BCE28-5796-42BD-906B-3E8BD28B81D1}"/>
            </a:ext>
          </a:extLst>
        </xdr:cNvPr>
        <xdr:cNvSpPr/>
      </xdr:nvSpPr>
      <xdr:spPr>
        <a:xfrm>
          <a:off x="9737910" y="259848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40;&#1050;&#1062;&#1048;&#1071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&#1050;&#1057;&#1052;/&#1087;&#1086;&#1076;&#1074;&#1072;&#1083;/&#1080;&#1079;%201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  <sheetName val="2022"/>
      <sheetName val="наказанные"/>
      <sheetName val="цессия 21082023"/>
      <sheetName val="проср мес"/>
    </sheetNames>
    <sheetDataSet>
      <sheetData sheetId="0"/>
      <sheetData sheetId="1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16.07.2024</v>
          </cell>
        </row>
        <row r="5">
          <cell r="B5" t="str">
            <v>Включать в задолженность (Пени штрафы и прочие доходы): Нет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Просроченный займ Равно "Да" И</v>
          </cell>
        </row>
        <row r="9">
          <cell r="B9" t="str">
            <v>( Организация Равно "КА АЭК ООО" ) И</v>
          </cell>
        </row>
        <row r="10">
          <cell r="B10" t="str">
            <v>Заемщик Не в списке "АЭК ООО КА; АТЛАС ООО; ВЗАИМНО ООО; ИРБИС ООО" И</v>
          </cell>
        </row>
        <row r="11">
          <cell r="B11" t="str">
            <v>Дней на просрочке Меньше или равно "95" И</v>
          </cell>
        </row>
        <row r="12">
          <cell r="B12" t="str">
            <v>Актуальный займ.Договор.Дата передачи в КО (Договоры) Не заполнено</v>
          </cell>
        </row>
        <row r="14">
          <cell r="A14" t="str">
            <v>Заемщик</v>
          </cell>
          <cell r="B14" t="str">
            <v>Займ предоставленный.Номер договора</v>
          </cell>
          <cell r="C14" t="str">
            <v>Дней</v>
          </cell>
        </row>
        <row r="15">
          <cell r="A15" t="str">
            <v>Губская Светлана Анатольевна</v>
          </cell>
          <cell r="B15" t="str">
            <v>В-11396/КЛ.Транш - 2_В-21082023/Ц</v>
          </cell>
          <cell r="C15">
            <v>1</v>
          </cell>
        </row>
        <row r="16">
          <cell r="A16" t="str">
            <v>Попов Виктор Вячеславович</v>
          </cell>
          <cell r="B16" t="str">
            <v>В-21306/КЛ.Транш - 1_В-21082023/Ц</v>
          </cell>
          <cell r="C16">
            <v>1</v>
          </cell>
        </row>
        <row r="17">
          <cell r="A17" t="str">
            <v>Соколова Екатерина Николаевна</v>
          </cell>
          <cell r="B17" t="str">
            <v>В-25764/КЛ.Транш - 1_В-21082023/Ц</v>
          </cell>
          <cell r="C17">
            <v>2</v>
          </cell>
        </row>
        <row r="18">
          <cell r="A18" t="str">
            <v>Дудин Василий Васильевич</v>
          </cell>
          <cell r="B18" t="str">
            <v>В-16067/КЛ.Транш - 1_В-21082023/Ц</v>
          </cell>
          <cell r="C18">
            <v>2</v>
          </cell>
        </row>
        <row r="19">
          <cell r="A19" t="str">
            <v>Зотов Дмитрий Анатольевич</v>
          </cell>
          <cell r="B19" t="str">
            <v>В-23555/КЛ.Транш - 1_В-21082023/Ц</v>
          </cell>
          <cell r="C19">
            <v>3</v>
          </cell>
        </row>
        <row r="20">
          <cell r="A20" t="str">
            <v>Хлебников Владимир Витальевич</v>
          </cell>
          <cell r="B20" t="str">
            <v>В-16057/КЛ.Транш - 6_В-21082023/Ц</v>
          </cell>
          <cell r="C20">
            <v>5</v>
          </cell>
        </row>
        <row r="21">
          <cell r="A21" t="str">
            <v>Тарасов Олег Васильевич</v>
          </cell>
          <cell r="B21" t="str">
            <v>В-22205/КЛ.Транш - 2_В-21082023/Ц</v>
          </cell>
          <cell r="C21">
            <v>6</v>
          </cell>
        </row>
        <row r="22">
          <cell r="A22" t="str">
            <v>Тульнова Ольга Владимировна</v>
          </cell>
          <cell r="B22" t="str">
            <v>В-12067/КЛ.Транш - 1_В-21082023/Ц</v>
          </cell>
          <cell r="C22">
            <v>9</v>
          </cell>
        </row>
        <row r="23">
          <cell r="A23" t="str">
            <v>Селеверстов Михаил Васильевич</v>
          </cell>
          <cell r="B23" t="str">
            <v>В-18414/КЛ.Транш - 1_В-21082023/Ц</v>
          </cell>
          <cell r="C23">
            <v>19</v>
          </cell>
        </row>
        <row r="24">
          <cell r="A24" t="str">
            <v>Романов Евгений Юрьевич</v>
          </cell>
          <cell r="B24" t="str">
            <v>В-00955/АЗ_В-21082023/Ц</v>
          </cell>
          <cell r="C24">
            <v>22</v>
          </cell>
        </row>
        <row r="25">
          <cell r="A25" t="str">
            <v>Зотов Дмитрий Анатольевич</v>
          </cell>
          <cell r="B25" t="str">
            <v>В-23555/КЛ.Транш - 2_В-21082023/Ц</v>
          </cell>
          <cell r="C25">
            <v>25</v>
          </cell>
        </row>
        <row r="26">
          <cell r="A26" t="str">
            <v>Попов Михаил Александрович</v>
          </cell>
          <cell r="B26" t="str">
            <v>В-25810/АЗ_В-21082023/Ц</v>
          </cell>
          <cell r="C26">
            <v>36</v>
          </cell>
        </row>
        <row r="27">
          <cell r="A27" t="str">
            <v>Платонов Николай Владимирович</v>
          </cell>
          <cell r="B27" t="str">
            <v>В-25807/АЗ_В-21082023/Ц</v>
          </cell>
          <cell r="C27">
            <v>36</v>
          </cell>
        </row>
        <row r="28">
          <cell r="A28" t="str">
            <v>Копытман Александр Семенович</v>
          </cell>
          <cell r="B28" t="str">
            <v>В-17469/КЛ.Транш - 2_В-21082023/Ц</v>
          </cell>
          <cell r="C28">
            <v>52</v>
          </cell>
          <cell r="D28">
            <v>45437</v>
          </cell>
          <cell r="E28">
            <v>11403.38</v>
          </cell>
          <cell r="F28">
            <v>55078.39</v>
          </cell>
          <cell r="G28" t="str">
            <v>ОСК</v>
          </cell>
          <cell r="H28">
            <v>15</v>
          </cell>
          <cell r="I28" t="str">
            <v/>
          </cell>
        </row>
        <row r="29">
          <cell r="A29" t="str">
            <v>Копытман Александр Семенович</v>
          </cell>
          <cell r="B29" t="str">
            <v>В-17469/КЛ.Транш - 1_В-21082023/Ц</v>
          </cell>
          <cell r="C29">
            <v>65</v>
          </cell>
          <cell r="D29">
            <v>45424</v>
          </cell>
          <cell r="E29">
            <v>191444.74</v>
          </cell>
          <cell r="F29">
            <v>576927.80000000005</v>
          </cell>
          <cell r="G29" t="str">
            <v>ОСК</v>
          </cell>
          <cell r="H29">
            <v>1</v>
          </cell>
          <cell r="I29" t="str">
            <v/>
          </cell>
        </row>
        <row r="30">
          <cell r="A30" t="str">
            <v>Цирамуа Наталия Наполеоновна</v>
          </cell>
          <cell r="B30" t="str">
            <v>В-22979/КЛ.Транш - 1_В-21082023/Ц</v>
          </cell>
          <cell r="C30">
            <v>82</v>
          </cell>
          <cell r="D30">
            <v>45407</v>
          </cell>
          <cell r="E30">
            <v>30185.37</v>
          </cell>
          <cell r="F30">
            <v>237796.4</v>
          </cell>
          <cell r="G30" t="str">
            <v>ОСК</v>
          </cell>
          <cell r="H30">
            <v>6</v>
          </cell>
          <cell r="I30">
            <v>18</v>
          </cell>
        </row>
        <row r="31">
          <cell r="A31" t="str">
            <v>Сидоров Александр Владимирович</v>
          </cell>
          <cell r="B31" t="str">
            <v>В-19355/КЛ.Транш - 1_В-21082023/Ц</v>
          </cell>
          <cell r="C31">
            <v>89</v>
          </cell>
          <cell r="D31">
            <v>45400</v>
          </cell>
          <cell r="E31">
            <v>10189.06</v>
          </cell>
          <cell r="F31">
            <v>82778.91</v>
          </cell>
          <cell r="G31" t="str">
            <v>ОСК</v>
          </cell>
          <cell r="H31">
            <v>12</v>
          </cell>
          <cell r="I31">
            <v>19</v>
          </cell>
        </row>
      </sheetData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15.07.2024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  <cell r="G14" t="str">
            <v>ОД</v>
          </cell>
          <cell r="I14" t="str">
            <v>Проценты</v>
          </cell>
        </row>
        <row r="15">
          <cell r="E15" t="str">
            <v>Просрочено</v>
          </cell>
          <cell r="F15" t="str">
            <v>Всего</v>
          </cell>
          <cell r="G15" t="str">
            <v>Всего</v>
          </cell>
          <cell r="H15" t="str">
            <v>Просрочено</v>
          </cell>
          <cell r="I15" t="str">
            <v>Просрочено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3 642</v>
          </cell>
          <cell r="D16">
            <v>41846</v>
          </cell>
          <cell r="E16">
            <v>50321.72</v>
          </cell>
          <cell r="F16">
            <v>50321.72</v>
          </cell>
          <cell r="G16">
            <v>50321.72</v>
          </cell>
          <cell r="H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3 555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3 500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3 392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3 253</v>
          </cell>
          <cell r="D20">
            <v>42235</v>
          </cell>
          <cell r="E20">
            <v>920090.91</v>
          </cell>
          <cell r="F20">
            <v>920090.91</v>
          </cell>
          <cell r="G20">
            <v>790065.38</v>
          </cell>
          <cell r="H20">
            <v>790065.38</v>
          </cell>
          <cell r="I20">
            <v>5191.51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3 253</v>
          </cell>
          <cell r="D21">
            <v>42235</v>
          </cell>
          <cell r="E21">
            <v>400695.38</v>
          </cell>
          <cell r="F21">
            <v>400695.38</v>
          </cell>
          <cell r="G21">
            <v>338209.27</v>
          </cell>
          <cell r="H21">
            <v>338209.27</v>
          </cell>
          <cell r="I21">
            <v>7050.63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3 163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3 106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3 093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2 986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2 842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2 772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2 710</v>
          </cell>
          <cell r="D28">
            <v>42778</v>
          </cell>
          <cell r="E28">
            <v>277410.13</v>
          </cell>
          <cell r="F28">
            <v>277410.13</v>
          </cell>
          <cell r="G28">
            <v>177377.81</v>
          </cell>
          <cell r="H28">
            <v>177377.81</v>
          </cell>
          <cell r="I28">
            <v>2787.43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2 364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2 362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2 264</v>
          </cell>
          <cell r="D31">
            <v>43224</v>
          </cell>
          <cell r="E31">
            <v>86765.440000000002</v>
          </cell>
          <cell r="F31">
            <v>86765.440000000002</v>
          </cell>
          <cell r="G31">
            <v>74064.639999999999</v>
          </cell>
          <cell r="H31">
            <v>74064.639999999999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2 249</v>
          </cell>
          <cell r="D32">
            <v>43239</v>
          </cell>
          <cell r="E32">
            <v>989.47</v>
          </cell>
          <cell r="F32">
            <v>989.47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2 172</v>
          </cell>
          <cell r="D33">
            <v>43316</v>
          </cell>
          <cell r="E33">
            <v>265093.13</v>
          </cell>
          <cell r="F33">
            <v>265093.13</v>
          </cell>
          <cell r="G33">
            <v>237811.57</v>
          </cell>
          <cell r="H33">
            <v>237811.57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2 153</v>
          </cell>
          <cell r="D34">
            <v>43335</v>
          </cell>
          <cell r="E34">
            <v>579940.81000000006</v>
          </cell>
          <cell r="F34">
            <v>579940.81000000006</v>
          </cell>
          <cell r="G34">
            <v>390307.52</v>
          </cell>
          <cell r="H34">
            <v>390307.52</v>
          </cell>
          <cell r="I34">
            <v>147339.82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2 139</v>
          </cell>
          <cell r="D35">
            <v>43349</v>
          </cell>
          <cell r="E35">
            <v>87140.45</v>
          </cell>
          <cell r="F35">
            <v>87140.45</v>
          </cell>
          <cell r="G35">
            <v>23079.02</v>
          </cell>
          <cell r="H35">
            <v>23079.02</v>
          </cell>
          <cell r="I35">
            <v>47574.68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2 131</v>
          </cell>
          <cell r="D36">
            <v>43357</v>
          </cell>
          <cell r="E36">
            <v>215017.79</v>
          </cell>
          <cell r="F36">
            <v>215017.79</v>
          </cell>
          <cell r="G36">
            <v>11487.64</v>
          </cell>
          <cell r="H36">
            <v>11487.64</v>
          </cell>
          <cell r="I36">
            <v>181954.93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2 123</v>
          </cell>
          <cell r="D37">
            <v>43365</v>
          </cell>
          <cell r="E37">
            <v>9758.5499999999993</v>
          </cell>
          <cell r="F37">
            <v>9758.5499999999993</v>
          </cell>
          <cell r="G37">
            <v>6644.39</v>
          </cell>
          <cell r="H37">
            <v>6644.39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2 123</v>
          </cell>
          <cell r="D38">
            <v>43365</v>
          </cell>
          <cell r="E38">
            <v>210281.48</v>
          </cell>
          <cell r="F38">
            <v>210281.48</v>
          </cell>
          <cell r="G38">
            <v>38603.040000000001</v>
          </cell>
          <cell r="H38">
            <v>38603.040000000001</v>
          </cell>
          <cell r="I38">
            <v>24129.54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2 123</v>
          </cell>
          <cell r="D39">
            <v>43365</v>
          </cell>
          <cell r="E39">
            <v>4828264.55</v>
          </cell>
          <cell r="F39">
            <v>4828264.55</v>
          </cell>
          <cell r="G39">
            <v>103129.7</v>
          </cell>
          <cell r="H39">
            <v>103129.7</v>
          </cell>
          <cell r="I39">
            <v>181991.54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2 116</v>
          </cell>
          <cell r="D40">
            <v>43372</v>
          </cell>
          <cell r="E40">
            <v>1094969.98</v>
          </cell>
          <cell r="F40">
            <v>1094969.98</v>
          </cell>
          <cell r="G40">
            <v>127003.01</v>
          </cell>
          <cell r="H40">
            <v>127003.01</v>
          </cell>
          <cell r="I40">
            <v>714274.69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2 113</v>
          </cell>
          <cell r="D41">
            <v>43375</v>
          </cell>
          <cell r="E41">
            <v>192042.25</v>
          </cell>
          <cell r="F41">
            <v>192042.25</v>
          </cell>
          <cell r="G41">
            <v>40782.67</v>
          </cell>
          <cell r="H41">
            <v>40782.67</v>
          </cell>
          <cell r="I41">
            <v>124266.95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2 100</v>
          </cell>
          <cell r="D42">
            <v>43388</v>
          </cell>
          <cell r="E42">
            <v>481708.97</v>
          </cell>
          <cell r="F42">
            <v>481708.97</v>
          </cell>
          <cell r="G42">
            <v>123912.42</v>
          </cell>
          <cell r="H42">
            <v>123912.42</v>
          </cell>
          <cell r="I42">
            <v>334162.94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2 098</v>
          </cell>
          <cell r="D43">
            <v>43390</v>
          </cell>
          <cell r="E43">
            <v>1597121.3</v>
          </cell>
          <cell r="F43">
            <v>1597121.3</v>
          </cell>
          <cell r="G43">
            <v>250866.28</v>
          </cell>
          <cell r="H43">
            <v>250866.28</v>
          </cell>
          <cell r="I43">
            <v>1300398.07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2 087</v>
          </cell>
          <cell r="D44">
            <v>43401</v>
          </cell>
          <cell r="E44">
            <v>154281.26</v>
          </cell>
          <cell r="F44">
            <v>154281.26</v>
          </cell>
          <cell r="G44">
            <v>4761.99</v>
          </cell>
          <cell r="H44">
            <v>4761.99</v>
          </cell>
          <cell r="I44">
            <v>136934.9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2 086</v>
          </cell>
          <cell r="D45">
            <v>43402</v>
          </cell>
          <cell r="E45">
            <v>590789.67000000004</v>
          </cell>
          <cell r="F45">
            <v>590789.67000000004</v>
          </cell>
          <cell r="G45">
            <v>150000</v>
          </cell>
          <cell r="H45">
            <v>150000</v>
          </cell>
          <cell r="I45">
            <v>428268.5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2 061</v>
          </cell>
          <cell r="D46">
            <v>43427</v>
          </cell>
          <cell r="E46">
            <v>192894.35</v>
          </cell>
          <cell r="F46">
            <v>192894.35</v>
          </cell>
          <cell r="G46">
            <v>10165.23</v>
          </cell>
          <cell r="H46">
            <v>10165.23</v>
          </cell>
          <cell r="I46">
            <v>167269.64000000001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2 041</v>
          </cell>
          <cell r="D47">
            <v>43447</v>
          </cell>
          <cell r="E47">
            <v>173949.09</v>
          </cell>
          <cell r="F47">
            <v>173949.09</v>
          </cell>
          <cell r="G47">
            <v>62387.98</v>
          </cell>
          <cell r="H47">
            <v>62387.98</v>
          </cell>
          <cell r="I47">
            <v>18027.689999999999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2 014</v>
          </cell>
          <cell r="D48">
            <v>43474</v>
          </cell>
          <cell r="E48">
            <v>744592.76</v>
          </cell>
          <cell r="F48">
            <v>744592.76</v>
          </cell>
          <cell r="G48">
            <v>108860.81</v>
          </cell>
          <cell r="H48">
            <v>108860.81</v>
          </cell>
          <cell r="I48">
            <v>411820.55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1 969</v>
          </cell>
          <cell r="D49">
            <v>43519</v>
          </cell>
          <cell r="E49">
            <v>1671033.78</v>
          </cell>
          <cell r="F49">
            <v>1671033.78</v>
          </cell>
          <cell r="G49">
            <v>487000</v>
          </cell>
          <cell r="H49">
            <v>487000</v>
          </cell>
          <cell r="I49">
            <v>1140033.7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1 966</v>
          </cell>
          <cell r="D50">
            <v>43522</v>
          </cell>
          <cell r="E50">
            <v>132.62</v>
          </cell>
          <cell r="F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1 964</v>
          </cell>
          <cell r="D51">
            <v>43524</v>
          </cell>
          <cell r="E51">
            <v>189035.9</v>
          </cell>
          <cell r="F51">
            <v>189035.9</v>
          </cell>
          <cell r="G51">
            <v>119588.77</v>
          </cell>
          <cell r="H51">
            <v>119588.77</v>
          </cell>
          <cell r="I51">
            <v>5573.62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1 922</v>
          </cell>
          <cell r="D52">
            <v>43566</v>
          </cell>
          <cell r="E52">
            <v>18681.93</v>
          </cell>
          <cell r="F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1 913</v>
          </cell>
          <cell r="D53">
            <v>43575</v>
          </cell>
          <cell r="E53">
            <v>533220.43999999994</v>
          </cell>
          <cell r="F53">
            <v>533220.43999999994</v>
          </cell>
          <cell r="I53">
            <v>515530.87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1 911</v>
          </cell>
          <cell r="D54">
            <v>43577</v>
          </cell>
          <cell r="E54">
            <v>1643984.38</v>
          </cell>
          <cell r="F54">
            <v>1643984.38</v>
          </cell>
          <cell r="G54">
            <v>500000</v>
          </cell>
          <cell r="H54">
            <v>500000</v>
          </cell>
          <cell r="I54">
            <v>1093916.32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1 897</v>
          </cell>
          <cell r="D55">
            <v>43591</v>
          </cell>
          <cell r="E55">
            <v>1621994.16</v>
          </cell>
          <cell r="F55">
            <v>1621994.16</v>
          </cell>
          <cell r="G55">
            <v>400000</v>
          </cell>
          <cell r="H55">
            <v>400000</v>
          </cell>
          <cell r="I55">
            <v>934487.71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1 883</v>
          </cell>
          <cell r="D56">
            <v>43605</v>
          </cell>
          <cell r="E56">
            <v>916411.1</v>
          </cell>
          <cell r="F56">
            <v>916411.1</v>
          </cell>
          <cell r="G56">
            <v>306273.46999999997</v>
          </cell>
          <cell r="H56">
            <v>306273.46999999997</v>
          </cell>
          <cell r="I56">
            <v>575413.89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1 866</v>
          </cell>
          <cell r="D57">
            <v>43622</v>
          </cell>
          <cell r="E57">
            <v>1585897.61</v>
          </cell>
          <cell r="F57">
            <v>1585897.61</v>
          </cell>
          <cell r="G57">
            <v>400000</v>
          </cell>
          <cell r="H57">
            <v>400000</v>
          </cell>
          <cell r="I57">
            <v>905087.17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1 865</v>
          </cell>
          <cell r="D58">
            <v>43623</v>
          </cell>
          <cell r="E58">
            <v>297126.71999999997</v>
          </cell>
          <cell r="F58">
            <v>297126.71999999997</v>
          </cell>
          <cell r="G58">
            <v>98658.21</v>
          </cell>
          <cell r="H58">
            <v>98658.21</v>
          </cell>
          <cell r="I58">
            <v>182971.98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1 861</v>
          </cell>
          <cell r="D59">
            <v>43627</v>
          </cell>
          <cell r="E59">
            <v>746388.19</v>
          </cell>
          <cell r="F59">
            <v>746388.19</v>
          </cell>
          <cell r="G59">
            <v>252000</v>
          </cell>
          <cell r="H59">
            <v>252000</v>
          </cell>
          <cell r="I59">
            <v>468217.16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1 852</v>
          </cell>
          <cell r="D60">
            <v>43636</v>
          </cell>
          <cell r="E60">
            <v>523164.26</v>
          </cell>
          <cell r="F60">
            <v>523164.26</v>
          </cell>
          <cell r="I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1 850</v>
          </cell>
          <cell r="D61">
            <v>43638</v>
          </cell>
          <cell r="E61">
            <v>5708.52</v>
          </cell>
          <cell r="F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1 850</v>
          </cell>
          <cell r="D62">
            <v>43638</v>
          </cell>
          <cell r="E62">
            <v>488937.04</v>
          </cell>
          <cell r="F62">
            <v>488937.04</v>
          </cell>
          <cell r="G62">
            <v>98185.21</v>
          </cell>
          <cell r="H62">
            <v>98185.21</v>
          </cell>
          <cell r="I62">
            <v>282821.40999999997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1 850</v>
          </cell>
          <cell r="D63">
            <v>43638</v>
          </cell>
          <cell r="E63">
            <v>1910618.45</v>
          </cell>
          <cell r="F63">
            <v>1910618.45</v>
          </cell>
          <cell r="G63">
            <v>520000</v>
          </cell>
          <cell r="H63">
            <v>520000</v>
          </cell>
          <cell r="I63">
            <v>1104565.48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1 848</v>
          </cell>
          <cell r="D64">
            <v>43640</v>
          </cell>
          <cell r="E64">
            <v>398862.34</v>
          </cell>
          <cell r="F64">
            <v>398862.34</v>
          </cell>
          <cell r="I64">
            <v>275541.23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1 846</v>
          </cell>
          <cell r="D65">
            <v>43642</v>
          </cell>
          <cell r="E65">
            <v>20737.650000000001</v>
          </cell>
          <cell r="F65">
            <v>20737.650000000001</v>
          </cell>
          <cell r="I65">
            <v>6512.24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1 833</v>
          </cell>
          <cell r="D66">
            <v>43655</v>
          </cell>
          <cell r="E66">
            <v>609875.44999999995</v>
          </cell>
          <cell r="F66">
            <v>609875.44999999995</v>
          </cell>
          <cell r="G66">
            <v>97360.81</v>
          </cell>
          <cell r="H66">
            <v>97360.81</v>
          </cell>
          <cell r="I66">
            <v>483058.33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1 826</v>
          </cell>
          <cell r="D67">
            <v>43662</v>
          </cell>
          <cell r="E67">
            <v>2657159.41</v>
          </cell>
          <cell r="F67">
            <v>2657159.41</v>
          </cell>
          <cell r="G67">
            <v>577119.03</v>
          </cell>
          <cell r="H67">
            <v>577119.03</v>
          </cell>
          <cell r="I67">
            <v>1493852.87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1 825</v>
          </cell>
          <cell r="D68">
            <v>43663</v>
          </cell>
          <cell r="E68">
            <v>98496.61</v>
          </cell>
          <cell r="F68">
            <v>98496.61</v>
          </cell>
          <cell r="G68">
            <v>29873.82</v>
          </cell>
          <cell r="H68">
            <v>29873.82</v>
          </cell>
          <cell r="I68">
            <v>56026.55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1 825</v>
          </cell>
          <cell r="D69">
            <v>43663</v>
          </cell>
          <cell r="E69">
            <v>910000</v>
          </cell>
          <cell r="F69">
            <v>910000</v>
          </cell>
          <cell r="G69">
            <v>260000</v>
          </cell>
          <cell r="H69">
            <v>260000</v>
          </cell>
          <cell r="I69">
            <v>529958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1 825</v>
          </cell>
          <cell r="D70">
            <v>43663</v>
          </cell>
          <cell r="E70">
            <v>3500000</v>
          </cell>
          <cell r="F70">
            <v>3500000</v>
          </cell>
          <cell r="G70">
            <v>1000000</v>
          </cell>
          <cell r="H70">
            <v>1000000</v>
          </cell>
          <cell r="I70">
            <v>2038300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1 824</v>
          </cell>
          <cell r="D71">
            <v>43664</v>
          </cell>
          <cell r="E71">
            <v>121403.21</v>
          </cell>
          <cell r="F71">
            <v>121403.21</v>
          </cell>
          <cell r="G71">
            <v>31830.47</v>
          </cell>
          <cell r="H71">
            <v>31830.47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1 820</v>
          </cell>
          <cell r="D72">
            <v>43668</v>
          </cell>
          <cell r="E72">
            <v>1826668.22</v>
          </cell>
          <cell r="F72">
            <v>1826668.22</v>
          </cell>
          <cell r="G72">
            <v>490125.95</v>
          </cell>
          <cell r="H72">
            <v>490125.95</v>
          </cell>
          <cell r="I72">
            <v>1006141.33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1 808</v>
          </cell>
          <cell r="D73">
            <v>43680</v>
          </cell>
          <cell r="E73">
            <v>659884.5</v>
          </cell>
          <cell r="F73">
            <v>659884.5</v>
          </cell>
          <cell r="G73">
            <v>478000</v>
          </cell>
          <cell r="H73">
            <v>478000</v>
          </cell>
          <cell r="I73">
            <v>136197.26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1 808</v>
          </cell>
          <cell r="D74">
            <v>43680</v>
          </cell>
          <cell r="E74">
            <v>217881.18</v>
          </cell>
          <cell r="F74">
            <v>217881.18</v>
          </cell>
          <cell r="G74">
            <v>142000</v>
          </cell>
          <cell r="H74">
            <v>142000</v>
          </cell>
          <cell r="I74">
            <v>62308.82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1 808</v>
          </cell>
          <cell r="D75">
            <v>43680</v>
          </cell>
          <cell r="E75">
            <v>138051.17000000001</v>
          </cell>
          <cell r="F75">
            <v>138051.17000000001</v>
          </cell>
          <cell r="G75">
            <v>100000</v>
          </cell>
          <cell r="H75">
            <v>100000</v>
          </cell>
          <cell r="I75">
            <v>28493.17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1 807</v>
          </cell>
          <cell r="D76">
            <v>43681</v>
          </cell>
          <cell r="E76">
            <v>215898.04</v>
          </cell>
          <cell r="F76">
            <v>215898.04</v>
          </cell>
          <cell r="I76">
            <v>195462.94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1 787</v>
          </cell>
          <cell r="D77">
            <v>43701</v>
          </cell>
          <cell r="E77">
            <v>673.74</v>
          </cell>
          <cell r="F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1 785</v>
          </cell>
          <cell r="D78">
            <v>43703</v>
          </cell>
          <cell r="E78">
            <v>669785.31999999995</v>
          </cell>
          <cell r="F78">
            <v>669785.31999999995</v>
          </cell>
          <cell r="G78">
            <v>232871.46</v>
          </cell>
          <cell r="H78">
            <v>232871.46</v>
          </cell>
          <cell r="I78">
            <v>432214.57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1 772</v>
          </cell>
          <cell r="D79">
            <v>43716</v>
          </cell>
          <cell r="E79">
            <v>139624.44</v>
          </cell>
          <cell r="F79">
            <v>139624.44</v>
          </cell>
          <cell r="G79">
            <v>66449.03</v>
          </cell>
          <cell r="H79">
            <v>66449.03</v>
          </cell>
          <cell r="I79">
            <v>19996.599999999999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1 757</v>
          </cell>
          <cell r="D80">
            <v>43731</v>
          </cell>
          <cell r="E80">
            <v>2325725.92</v>
          </cell>
          <cell r="F80">
            <v>2325725.92</v>
          </cell>
          <cell r="G80">
            <v>700000</v>
          </cell>
          <cell r="H80">
            <v>700000</v>
          </cell>
          <cell r="I80">
            <v>1279095.8799999999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1 755</v>
          </cell>
          <cell r="D81">
            <v>43733</v>
          </cell>
          <cell r="E81">
            <v>261064.5</v>
          </cell>
          <cell r="F81">
            <v>261064.5</v>
          </cell>
          <cell r="G81">
            <v>84425.78</v>
          </cell>
          <cell r="H81">
            <v>84425.78</v>
          </cell>
          <cell r="I81">
            <v>114064.8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1 753</v>
          </cell>
          <cell r="D82">
            <v>43735</v>
          </cell>
          <cell r="E82">
            <v>138326.04</v>
          </cell>
          <cell r="F82">
            <v>138326.04</v>
          </cell>
          <cell r="G82">
            <v>72954.47</v>
          </cell>
          <cell r="H82">
            <v>72954.47</v>
          </cell>
          <cell r="I82">
            <v>19487.849999999999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1 751</v>
          </cell>
          <cell r="D83">
            <v>43737</v>
          </cell>
          <cell r="E83">
            <v>1479300.26</v>
          </cell>
          <cell r="F83">
            <v>1479300.26</v>
          </cell>
          <cell r="G83">
            <v>400000</v>
          </cell>
          <cell r="H83">
            <v>400000</v>
          </cell>
          <cell r="I83">
            <v>751762.59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1 750</v>
          </cell>
          <cell r="D84">
            <v>43738</v>
          </cell>
          <cell r="E84">
            <v>14692.95</v>
          </cell>
          <cell r="F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1 747</v>
          </cell>
          <cell r="D85">
            <v>43741</v>
          </cell>
          <cell r="E85">
            <v>953.73</v>
          </cell>
          <cell r="F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1 744</v>
          </cell>
          <cell r="D86">
            <v>43744</v>
          </cell>
          <cell r="E86">
            <v>124538.53</v>
          </cell>
          <cell r="F86">
            <v>124538.53</v>
          </cell>
          <cell r="G86">
            <v>57325.65</v>
          </cell>
          <cell r="H86">
            <v>57325.65</v>
          </cell>
          <cell r="I86">
            <v>18042.09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1 740</v>
          </cell>
          <cell r="D87">
            <v>43748</v>
          </cell>
          <cell r="E87">
            <v>1379898.95</v>
          </cell>
          <cell r="F87">
            <v>1379898.95</v>
          </cell>
          <cell r="G87">
            <v>360000</v>
          </cell>
          <cell r="H87">
            <v>360000</v>
          </cell>
          <cell r="I87">
            <v>667469.57999999996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1 739</v>
          </cell>
          <cell r="D88">
            <v>43749</v>
          </cell>
          <cell r="E88">
            <v>960371.24</v>
          </cell>
          <cell r="F88">
            <v>960371.24</v>
          </cell>
          <cell r="G88">
            <v>230936.52</v>
          </cell>
          <cell r="H88">
            <v>230936.52</v>
          </cell>
          <cell r="I88">
            <v>495653.96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1 736</v>
          </cell>
          <cell r="D89">
            <v>43752</v>
          </cell>
          <cell r="E89">
            <v>83611.320000000007</v>
          </cell>
          <cell r="F89">
            <v>83611.320000000007</v>
          </cell>
          <cell r="G89">
            <v>39486.800000000003</v>
          </cell>
          <cell r="H89">
            <v>39486.800000000003</v>
          </cell>
          <cell r="I89">
            <v>7160.01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1 731</v>
          </cell>
          <cell r="D90">
            <v>43757</v>
          </cell>
          <cell r="E90">
            <v>1610829.54</v>
          </cell>
          <cell r="F90">
            <v>1610829.54</v>
          </cell>
          <cell r="G90">
            <v>439671.01</v>
          </cell>
          <cell r="H90">
            <v>439671.01</v>
          </cell>
          <cell r="I90">
            <v>744802.69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1 730</v>
          </cell>
          <cell r="D91">
            <v>43758</v>
          </cell>
          <cell r="E91">
            <v>1444425.91</v>
          </cell>
          <cell r="F91">
            <v>1444425.91</v>
          </cell>
          <cell r="G91">
            <v>444998.76</v>
          </cell>
          <cell r="H91">
            <v>444998.76</v>
          </cell>
          <cell r="I91">
            <v>832177.9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1 729</v>
          </cell>
          <cell r="D92">
            <v>43759</v>
          </cell>
          <cell r="E92">
            <v>617292.99</v>
          </cell>
          <cell r="F92">
            <v>617292.99</v>
          </cell>
          <cell r="G92">
            <v>173191.3</v>
          </cell>
          <cell r="H92">
            <v>173191.3</v>
          </cell>
          <cell r="I92">
            <v>282399.90000000002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1 726</v>
          </cell>
          <cell r="D93">
            <v>43762</v>
          </cell>
          <cell r="E93">
            <v>883014.18</v>
          </cell>
          <cell r="F93">
            <v>883014.18</v>
          </cell>
          <cell r="G93">
            <v>283014.18</v>
          </cell>
          <cell r="H93">
            <v>283014.18</v>
          </cell>
          <cell r="I93">
            <v>476045.78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1 726</v>
          </cell>
          <cell r="D94">
            <v>43762</v>
          </cell>
          <cell r="E94">
            <v>443693.61</v>
          </cell>
          <cell r="F94">
            <v>443693.61</v>
          </cell>
          <cell r="G94">
            <v>160000</v>
          </cell>
          <cell r="H94">
            <v>160000</v>
          </cell>
          <cell r="I94">
            <v>258858.09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1 721</v>
          </cell>
          <cell r="D95">
            <v>43767</v>
          </cell>
          <cell r="E95">
            <v>997356.7</v>
          </cell>
          <cell r="F95">
            <v>997356.7</v>
          </cell>
          <cell r="G95">
            <v>272000</v>
          </cell>
          <cell r="H95">
            <v>272000</v>
          </cell>
          <cell r="I95">
            <v>455029.94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1 715</v>
          </cell>
          <cell r="D96">
            <v>43773</v>
          </cell>
          <cell r="E96">
            <v>2206416.35</v>
          </cell>
          <cell r="F96">
            <v>2206416.35</v>
          </cell>
          <cell r="G96">
            <v>80174.179999999993</v>
          </cell>
          <cell r="H96">
            <v>80174.179999999993</v>
          </cell>
          <cell r="I96">
            <v>61821.98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1 714</v>
          </cell>
          <cell r="D97">
            <v>43774</v>
          </cell>
          <cell r="E97">
            <v>1768245.49</v>
          </cell>
          <cell r="F97">
            <v>1768245.49</v>
          </cell>
          <cell r="G97">
            <v>488679.8</v>
          </cell>
          <cell r="H97">
            <v>488679.8</v>
          </cell>
          <cell r="I97">
            <v>811328.97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1 712</v>
          </cell>
          <cell r="D98">
            <v>43776</v>
          </cell>
          <cell r="E98">
            <v>1827577.47</v>
          </cell>
          <cell r="F98">
            <v>1827577.47</v>
          </cell>
          <cell r="G98">
            <v>493291</v>
          </cell>
          <cell r="H98">
            <v>493291</v>
          </cell>
          <cell r="I98">
            <v>861162.65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1 710</v>
          </cell>
          <cell r="D99">
            <v>43778</v>
          </cell>
          <cell r="E99">
            <v>201077.58</v>
          </cell>
          <cell r="F99">
            <v>201077.58</v>
          </cell>
          <cell r="I99">
            <v>122539.74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1 710</v>
          </cell>
          <cell r="D100">
            <v>43778</v>
          </cell>
          <cell r="E100">
            <v>757316.77</v>
          </cell>
          <cell r="F100">
            <v>757316.77</v>
          </cell>
          <cell r="G100">
            <v>210000</v>
          </cell>
          <cell r="H100">
            <v>210000</v>
          </cell>
          <cell r="I100">
            <v>378414.25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1 706</v>
          </cell>
          <cell r="D101">
            <v>43782</v>
          </cell>
          <cell r="E101">
            <v>468673.96</v>
          </cell>
          <cell r="F101">
            <v>468673.96</v>
          </cell>
          <cell r="G101">
            <v>248066.47</v>
          </cell>
          <cell r="H101">
            <v>248066.47</v>
          </cell>
          <cell r="I101">
            <v>144014.49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1 696</v>
          </cell>
          <cell r="D102">
            <v>43792</v>
          </cell>
          <cell r="E102">
            <v>710039.48</v>
          </cell>
          <cell r="F102">
            <v>710039.48</v>
          </cell>
          <cell r="G102">
            <v>146321.1</v>
          </cell>
          <cell r="H102">
            <v>146321.1</v>
          </cell>
          <cell r="I102">
            <v>358841.1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1 696</v>
          </cell>
          <cell r="D103">
            <v>43792</v>
          </cell>
          <cell r="E103">
            <v>352041.46</v>
          </cell>
          <cell r="F103">
            <v>352041.46</v>
          </cell>
          <cell r="G103">
            <v>100000</v>
          </cell>
          <cell r="H103">
            <v>100000</v>
          </cell>
          <cell r="I103">
            <v>167975.37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1 690</v>
          </cell>
          <cell r="D104">
            <v>43798</v>
          </cell>
          <cell r="E104">
            <v>1980844.79</v>
          </cell>
          <cell r="F104">
            <v>1980844.79</v>
          </cell>
          <cell r="G104">
            <v>539654.49</v>
          </cell>
          <cell r="H104">
            <v>539654.49</v>
          </cell>
          <cell r="I104">
            <v>930587.81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1 690</v>
          </cell>
          <cell r="D105">
            <v>43798</v>
          </cell>
          <cell r="E105">
            <v>674038.24</v>
          </cell>
          <cell r="F105">
            <v>674038.24</v>
          </cell>
          <cell r="G105">
            <v>203000</v>
          </cell>
          <cell r="H105">
            <v>203000</v>
          </cell>
          <cell r="I105">
            <v>309778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1 683</v>
          </cell>
          <cell r="D106">
            <v>43805</v>
          </cell>
          <cell r="E106">
            <v>3215491.56</v>
          </cell>
          <cell r="F106">
            <v>3215491.56</v>
          </cell>
          <cell r="I106">
            <v>102094.24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1 677</v>
          </cell>
          <cell r="D107">
            <v>43811</v>
          </cell>
          <cell r="E107">
            <v>281699.93</v>
          </cell>
          <cell r="F107">
            <v>281699.93</v>
          </cell>
          <cell r="I107">
            <v>199202.12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1 674</v>
          </cell>
          <cell r="D108">
            <v>43814</v>
          </cell>
          <cell r="E108">
            <v>351596.88</v>
          </cell>
          <cell r="F108">
            <v>351596.88</v>
          </cell>
          <cell r="G108">
            <v>210366.49</v>
          </cell>
          <cell r="H108">
            <v>210366.49</v>
          </cell>
          <cell r="I108">
            <v>117147.63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1 673</v>
          </cell>
          <cell r="D109">
            <v>43815</v>
          </cell>
          <cell r="E109">
            <v>202923.56</v>
          </cell>
          <cell r="F109">
            <v>202923.56</v>
          </cell>
          <cell r="G109">
            <v>85124.79</v>
          </cell>
          <cell r="H109">
            <v>85124.79</v>
          </cell>
          <cell r="I109">
            <v>75341.27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1 671</v>
          </cell>
          <cell r="D110">
            <v>43817</v>
          </cell>
          <cell r="E110">
            <v>338761.07</v>
          </cell>
          <cell r="F110">
            <v>338761.07</v>
          </cell>
          <cell r="G110">
            <v>145652.06</v>
          </cell>
          <cell r="H110">
            <v>145652.06</v>
          </cell>
          <cell r="I110">
            <v>66492.75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1 670</v>
          </cell>
          <cell r="D111">
            <v>43818</v>
          </cell>
          <cell r="E111">
            <v>257911.5</v>
          </cell>
          <cell r="F111">
            <v>257911.5</v>
          </cell>
          <cell r="G111">
            <v>91858.06</v>
          </cell>
          <cell r="H111">
            <v>91858.06</v>
          </cell>
          <cell r="I111">
            <v>87668.47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1 668</v>
          </cell>
          <cell r="D112">
            <v>43820</v>
          </cell>
          <cell r="E112">
            <v>1475097.7</v>
          </cell>
          <cell r="F112">
            <v>1475097.7</v>
          </cell>
          <cell r="G112">
            <v>741347.48</v>
          </cell>
          <cell r="H112">
            <v>741347.48</v>
          </cell>
          <cell r="I112">
            <v>581363.52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1 662</v>
          </cell>
          <cell r="D113">
            <v>43826</v>
          </cell>
          <cell r="E113">
            <v>82798.570000000007</v>
          </cell>
          <cell r="F113">
            <v>82798.570000000007</v>
          </cell>
          <cell r="I113">
            <v>17899.7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1 662</v>
          </cell>
          <cell r="D114">
            <v>43826</v>
          </cell>
          <cell r="E114">
            <v>332492.37</v>
          </cell>
          <cell r="F114">
            <v>332492.37</v>
          </cell>
          <cell r="G114">
            <v>85410.54</v>
          </cell>
          <cell r="H114">
            <v>85410.54</v>
          </cell>
          <cell r="I114">
            <v>160625.17000000001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1 662</v>
          </cell>
          <cell r="D115">
            <v>43826</v>
          </cell>
          <cell r="E115">
            <v>1072818.08</v>
          </cell>
          <cell r="F115">
            <v>1072818.08</v>
          </cell>
          <cell r="I115">
            <v>364972.72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1 661</v>
          </cell>
          <cell r="D116">
            <v>43827</v>
          </cell>
          <cell r="E116">
            <v>239318.89</v>
          </cell>
          <cell r="F116">
            <v>239318.89</v>
          </cell>
          <cell r="G116">
            <v>114053.82</v>
          </cell>
          <cell r="H116">
            <v>114053.82</v>
          </cell>
          <cell r="I116">
            <v>51996.07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1 661</v>
          </cell>
          <cell r="D117">
            <v>43827</v>
          </cell>
          <cell r="E117">
            <v>433663.74</v>
          </cell>
          <cell r="F117">
            <v>433663.74</v>
          </cell>
          <cell r="G117">
            <v>379699.27</v>
          </cell>
          <cell r="H117">
            <v>379699.27</v>
          </cell>
          <cell r="I117">
            <v>6361.5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1 661</v>
          </cell>
          <cell r="D118">
            <v>43827</v>
          </cell>
          <cell r="E118">
            <v>1339945.97</v>
          </cell>
          <cell r="F118">
            <v>1339945.97</v>
          </cell>
          <cell r="I118">
            <v>852039.39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1 660</v>
          </cell>
          <cell r="D119">
            <v>43828</v>
          </cell>
          <cell r="E119">
            <v>627765.97</v>
          </cell>
          <cell r="F119">
            <v>627765.97</v>
          </cell>
          <cell r="G119">
            <v>210743.64</v>
          </cell>
          <cell r="H119">
            <v>210743.64</v>
          </cell>
          <cell r="I119">
            <v>240421.97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1 657</v>
          </cell>
          <cell r="D120">
            <v>43831</v>
          </cell>
          <cell r="E120">
            <v>2318262.81</v>
          </cell>
          <cell r="F120">
            <v>2318262.81</v>
          </cell>
          <cell r="G120">
            <v>690483.81</v>
          </cell>
          <cell r="H120">
            <v>690483.81</v>
          </cell>
          <cell r="I120">
            <v>996993.76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1 652</v>
          </cell>
          <cell r="D121">
            <v>43836</v>
          </cell>
          <cell r="E121">
            <v>2513147.4300000002</v>
          </cell>
          <cell r="F121">
            <v>2513147.4300000002</v>
          </cell>
          <cell r="G121">
            <v>728728.05</v>
          </cell>
          <cell r="H121">
            <v>728728.05</v>
          </cell>
          <cell r="I121">
            <v>1114554.6100000001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1 641</v>
          </cell>
          <cell r="D122">
            <v>43847</v>
          </cell>
          <cell r="E122">
            <v>474203.59</v>
          </cell>
          <cell r="F122">
            <v>474203.59</v>
          </cell>
          <cell r="I122">
            <v>311163.2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1 639</v>
          </cell>
          <cell r="D123">
            <v>43849</v>
          </cell>
          <cell r="E123">
            <v>277142.24</v>
          </cell>
          <cell r="F123">
            <v>277142.24</v>
          </cell>
          <cell r="G123">
            <v>78920.72</v>
          </cell>
          <cell r="H123">
            <v>78920.72</v>
          </cell>
          <cell r="I123">
            <v>129549.08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1 639</v>
          </cell>
          <cell r="D124">
            <v>43849</v>
          </cell>
          <cell r="E124">
            <v>461334.02</v>
          </cell>
          <cell r="F124">
            <v>461334.02</v>
          </cell>
          <cell r="G124">
            <v>150000</v>
          </cell>
          <cell r="H124">
            <v>150000</v>
          </cell>
          <cell r="I124">
            <v>213600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1 636</v>
          </cell>
          <cell r="D125">
            <v>43852</v>
          </cell>
          <cell r="E125">
            <v>632756.14</v>
          </cell>
          <cell r="F125">
            <v>632756.14</v>
          </cell>
          <cell r="G125">
            <v>224017</v>
          </cell>
          <cell r="H125">
            <v>224017</v>
          </cell>
          <cell r="I125">
            <v>292185.13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1 632</v>
          </cell>
          <cell r="D126">
            <v>43856</v>
          </cell>
          <cell r="E126">
            <v>374608.85</v>
          </cell>
          <cell r="F126">
            <v>374608.85</v>
          </cell>
          <cell r="G126">
            <v>93799.11</v>
          </cell>
          <cell r="H126">
            <v>93799.11</v>
          </cell>
          <cell r="I126">
            <v>197952.66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1 625</v>
          </cell>
          <cell r="D127">
            <v>43863</v>
          </cell>
          <cell r="E127">
            <v>297142.8</v>
          </cell>
          <cell r="F127">
            <v>297142.8</v>
          </cell>
          <cell r="G127">
            <v>86908.13</v>
          </cell>
          <cell r="H127">
            <v>86908.13</v>
          </cell>
          <cell r="I127">
            <v>139604.97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1 623</v>
          </cell>
          <cell r="D128">
            <v>43865</v>
          </cell>
          <cell r="E128">
            <v>9609.5300000000007</v>
          </cell>
          <cell r="F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1 611</v>
          </cell>
          <cell r="D129">
            <v>43877</v>
          </cell>
          <cell r="E129">
            <v>954056.82</v>
          </cell>
          <cell r="F129">
            <v>954056.82</v>
          </cell>
          <cell r="G129">
            <v>300000</v>
          </cell>
          <cell r="H129">
            <v>300000</v>
          </cell>
          <cell r="I129">
            <v>432887.65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1 609</v>
          </cell>
          <cell r="D130">
            <v>43879</v>
          </cell>
          <cell r="E130">
            <v>407566.77</v>
          </cell>
          <cell r="F130">
            <v>407566.77</v>
          </cell>
          <cell r="G130">
            <v>307111.43</v>
          </cell>
          <cell r="H130">
            <v>307111.43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1 607</v>
          </cell>
          <cell r="D131">
            <v>43881</v>
          </cell>
          <cell r="E131">
            <v>1524530.49</v>
          </cell>
          <cell r="F131">
            <v>1524530.49</v>
          </cell>
          <cell r="G131">
            <v>525000</v>
          </cell>
          <cell r="H131">
            <v>525000</v>
          </cell>
          <cell r="I131">
            <v>630408.81000000006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1 607</v>
          </cell>
          <cell r="D132">
            <v>43881</v>
          </cell>
          <cell r="E132">
            <v>885148.6</v>
          </cell>
          <cell r="F132">
            <v>885148.6</v>
          </cell>
          <cell r="G132">
            <v>282000</v>
          </cell>
          <cell r="H132">
            <v>282000</v>
          </cell>
          <cell r="I132">
            <v>404534.76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1 606</v>
          </cell>
          <cell r="D133">
            <v>43882</v>
          </cell>
          <cell r="E133">
            <v>723220.69</v>
          </cell>
          <cell r="F133">
            <v>723220.69</v>
          </cell>
          <cell r="I133">
            <v>455671.22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1 606</v>
          </cell>
          <cell r="D134">
            <v>43882</v>
          </cell>
          <cell r="E134">
            <v>611051.31999999995</v>
          </cell>
          <cell r="F134">
            <v>611051.31999999995</v>
          </cell>
          <cell r="G134">
            <v>174750.36</v>
          </cell>
          <cell r="H134">
            <v>174750.36</v>
          </cell>
          <cell r="I134">
            <v>272968.28000000003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1 606</v>
          </cell>
          <cell r="D135">
            <v>43882</v>
          </cell>
          <cell r="E135">
            <v>1039409.01</v>
          </cell>
          <cell r="F135">
            <v>1039409.01</v>
          </cell>
          <cell r="I135">
            <v>514309.75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1 606</v>
          </cell>
          <cell r="D136">
            <v>43882</v>
          </cell>
          <cell r="E136">
            <v>723220.85</v>
          </cell>
          <cell r="F136">
            <v>723220.85</v>
          </cell>
          <cell r="I136">
            <v>455671.22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1 605</v>
          </cell>
          <cell r="D137">
            <v>43883</v>
          </cell>
          <cell r="E137">
            <v>10170906.5</v>
          </cell>
          <cell r="F137">
            <v>10170906.5</v>
          </cell>
          <cell r="G137">
            <v>300000</v>
          </cell>
          <cell r="H137">
            <v>300000</v>
          </cell>
          <cell r="I137">
            <v>362219.17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1 604</v>
          </cell>
          <cell r="D138">
            <v>43884</v>
          </cell>
          <cell r="E138">
            <v>304433.81</v>
          </cell>
          <cell r="F138">
            <v>304433.81</v>
          </cell>
          <cell r="I138">
            <v>179238.2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1 603</v>
          </cell>
          <cell r="D139">
            <v>43885</v>
          </cell>
          <cell r="E139">
            <v>214282.23999999999</v>
          </cell>
          <cell r="F139">
            <v>214282.23999999999</v>
          </cell>
          <cell r="G139">
            <v>100000</v>
          </cell>
          <cell r="H139">
            <v>100000</v>
          </cell>
          <cell r="I139">
            <v>41665.24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1 598</v>
          </cell>
          <cell r="D140">
            <v>43890</v>
          </cell>
          <cell r="E140">
            <v>274829.12</v>
          </cell>
          <cell r="F140">
            <v>274829.12</v>
          </cell>
          <cell r="G140">
            <v>140108.21</v>
          </cell>
          <cell r="H140">
            <v>140108.21</v>
          </cell>
          <cell r="I140">
            <v>60879.91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1 591</v>
          </cell>
          <cell r="D141">
            <v>43897</v>
          </cell>
          <cell r="E141">
            <v>267088.77</v>
          </cell>
          <cell r="F141">
            <v>267088.77</v>
          </cell>
          <cell r="I141">
            <v>217813.77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1 584</v>
          </cell>
          <cell r="D142">
            <v>43904</v>
          </cell>
          <cell r="E142">
            <v>4402.75</v>
          </cell>
          <cell r="F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1 583</v>
          </cell>
          <cell r="D143">
            <v>43905</v>
          </cell>
          <cell r="E143">
            <v>1913239.9</v>
          </cell>
          <cell r="F143">
            <v>1913239.9</v>
          </cell>
          <cell r="G143">
            <v>586228.01</v>
          </cell>
          <cell r="H143">
            <v>586228.01</v>
          </cell>
          <cell r="I143">
            <v>808778.71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1 582</v>
          </cell>
          <cell r="D144">
            <v>43906</v>
          </cell>
          <cell r="E144">
            <v>733133.25</v>
          </cell>
          <cell r="F144">
            <v>733133.25</v>
          </cell>
          <cell r="G144">
            <v>237942.86</v>
          </cell>
          <cell r="H144">
            <v>237942.86</v>
          </cell>
          <cell r="I144">
            <v>310753.37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1 582</v>
          </cell>
          <cell r="D145">
            <v>43906</v>
          </cell>
          <cell r="E145">
            <v>311765.32</v>
          </cell>
          <cell r="F145">
            <v>311765.32</v>
          </cell>
          <cell r="G145">
            <v>29278.63</v>
          </cell>
          <cell r="H145">
            <v>29278.63</v>
          </cell>
          <cell r="I145">
            <v>161776.98000000001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1 579</v>
          </cell>
          <cell r="D146">
            <v>43909</v>
          </cell>
          <cell r="E146">
            <v>676311.9</v>
          </cell>
          <cell r="F146">
            <v>676311.9</v>
          </cell>
          <cell r="G146">
            <v>232136.69</v>
          </cell>
          <cell r="H146">
            <v>232136.69</v>
          </cell>
          <cell r="I146">
            <v>264543.2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1 578</v>
          </cell>
          <cell r="D147">
            <v>43910</v>
          </cell>
          <cell r="E147">
            <v>566317.68000000005</v>
          </cell>
          <cell r="F147">
            <v>566317.68000000005</v>
          </cell>
          <cell r="G147">
            <v>224000</v>
          </cell>
          <cell r="H147">
            <v>224000</v>
          </cell>
          <cell r="I147">
            <v>241238.81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1 578</v>
          </cell>
          <cell r="D148">
            <v>43910</v>
          </cell>
          <cell r="E148">
            <v>646805.14</v>
          </cell>
          <cell r="F148">
            <v>646805.14</v>
          </cell>
          <cell r="G148">
            <v>256000</v>
          </cell>
          <cell r="H148">
            <v>256000</v>
          </cell>
          <cell r="I148">
            <v>294214.36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1 578</v>
          </cell>
          <cell r="D149">
            <v>43910</v>
          </cell>
          <cell r="E149">
            <v>434774.74</v>
          </cell>
          <cell r="F149">
            <v>434774.74</v>
          </cell>
          <cell r="G149">
            <v>126447.41</v>
          </cell>
          <cell r="H149">
            <v>126447.41</v>
          </cell>
          <cell r="I149">
            <v>209295.78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1 577</v>
          </cell>
          <cell r="D150">
            <v>43911</v>
          </cell>
          <cell r="E150">
            <v>1612647.4</v>
          </cell>
          <cell r="F150">
            <v>1612647.4</v>
          </cell>
          <cell r="G150">
            <v>540000</v>
          </cell>
          <cell r="H150">
            <v>540000</v>
          </cell>
          <cell r="I150">
            <v>691840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1 577</v>
          </cell>
          <cell r="D151">
            <v>43911</v>
          </cell>
          <cell r="E151">
            <v>888855.9</v>
          </cell>
          <cell r="F151">
            <v>888855.9</v>
          </cell>
          <cell r="G151">
            <v>349399.79</v>
          </cell>
          <cell r="H151">
            <v>349399.79</v>
          </cell>
          <cell r="I151">
            <v>390060.72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1 574</v>
          </cell>
          <cell r="D152">
            <v>43914</v>
          </cell>
          <cell r="E152">
            <v>154476.09</v>
          </cell>
          <cell r="F152">
            <v>154476.09</v>
          </cell>
          <cell r="G152">
            <v>73950.33</v>
          </cell>
          <cell r="H152">
            <v>73950.33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1 572</v>
          </cell>
          <cell r="D153">
            <v>43916</v>
          </cell>
          <cell r="E153">
            <v>332141.59000000003</v>
          </cell>
          <cell r="F153">
            <v>332141.59000000003</v>
          </cell>
          <cell r="G153">
            <v>87127.76</v>
          </cell>
          <cell r="H153">
            <v>87127.76</v>
          </cell>
          <cell r="I153">
            <v>42962.21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1 571</v>
          </cell>
          <cell r="D154">
            <v>43917</v>
          </cell>
          <cell r="E154">
            <v>75978.009999999995</v>
          </cell>
          <cell r="F154">
            <v>75978.009999999995</v>
          </cell>
          <cell r="G154">
            <v>39922.54</v>
          </cell>
          <cell r="H154">
            <v>39922.54</v>
          </cell>
          <cell r="I154">
            <v>6232.29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1 561</v>
          </cell>
          <cell r="D155">
            <v>43927</v>
          </cell>
          <cell r="E155">
            <v>810500</v>
          </cell>
          <cell r="F155">
            <v>810500</v>
          </cell>
          <cell r="G155">
            <v>271721.53999999998</v>
          </cell>
          <cell r="H155">
            <v>271721.53999999998</v>
          </cell>
          <cell r="I155">
            <v>468167.22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1 561</v>
          </cell>
          <cell r="D156">
            <v>43927</v>
          </cell>
          <cell r="E156">
            <v>719219.24</v>
          </cell>
          <cell r="F156">
            <v>719219.24</v>
          </cell>
          <cell r="G156">
            <v>240000</v>
          </cell>
          <cell r="H156">
            <v>240000</v>
          </cell>
          <cell r="I156">
            <v>307200.01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1 558</v>
          </cell>
          <cell r="D157">
            <v>43930</v>
          </cell>
          <cell r="E157">
            <v>578471.02</v>
          </cell>
          <cell r="F157">
            <v>578471.02</v>
          </cell>
          <cell r="G157">
            <v>218322.43</v>
          </cell>
          <cell r="H157">
            <v>218322.43</v>
          </cell>
          <cell r="I157">
            <v>203193.74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1 557</v>
          </cell>
          <cell r="D158">
            <v>43931</v>
          </cell>
          <cell r="E158">
            <v>772464.44</v>
          </cell>
          <cell r="F158">
            <v>772464.44</v>
          </cell>
          <cell r="G158">
            <v>315000</v>
          </cell>
          <cell r="H158">
            <v>315000</v>
          </cell>
          <cell r="I158">
            <v>179281.27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1 556</v>
          </cell>
          <cell r="D159">
            <v>43932</v>
          </cell>
          <cell r="E159">
            <v>391894.08</v>
          </cell>
          <cell r="F159">
            <v>391894.08</v>
          </cell>
          <cell r="G159">
            <v>163104.26999999999</v>
          </cell>
          <cell r="H159">
            <v>163104.26999999999</v>
          </cell>
          <cell r="I159">
            <v>91743.08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1 554</v>
          </cell>
          <cell r="D160">
            <v>43934</v>
          </cell>
          <cell r="E160">
            <v>318553.51</v>
          </cell>
          <cell r="F160">
            <v>318553.51</v>
          </cell>
          <cell r="G160">
            <v>121329.29</v>
          </cell>
          <cell r="H160">
            <v>121329.29</v>
          </cell>
          <cell r="I160">
            <v>63333.89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1 552</v>
          </cell>
          <cell r="D161">
            <v>43936</v>
          </cell>
          <cell r="E161">
            <v>138714.65</v>
          </cell>
          <cell r="F161">
            <v>138714.65</v>
          </cell>
          <cell r="G161">
            <v>42950.01</v>
          </cell>
          <cell r="H161">
            <v>42950.01</v>
          </cell>
          <cell r="I161">
            <v>63318.91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1 552</v>
          </cell>
          <cell r="D162">
            <v>43936</v>
          </cell>
          <cell r="E162">
            <v>253129.46</v>
          </cell>
          <cell r="F162">
            <v>253129.46</v>
          </cell>
          <cell r="G162">
            <v>81639.67</v>
          </cell>
          <cell r="H162">
            <v>81639.67</v>
          </cell>
          <cell r="I162">
            <v>110396.98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1 551</v>
          </cell>
          <cell r="D163">
            <v>43937</v>
          </cell>
          <cell r="E163">
            <v>245524.58</v>
          </cell>
          <cell r="F163">
            <v>245524.58</v>
          </cell>
          <cell r="I163">
            <v>143638.79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1 550</v>
          </cell>
          <cell r="D164">
            <v>43938</v>
          </cell>
          <cell r="E164">
            <v>265892.27</v>
          </cell>
          <cell r="F164">
            <v>265892.27</v>
          </cell>
          <cell r="G164">
            <v>146409.89000000001</v>
          </cell>
          <cell r="H164">
            <v>146409.89000000001</v>
          </cell>
          <cell r="I164">
            <v>18876.38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1 548</v>
          </cell>
          <cell r="D165">
            <v>43940</v>
          </cell>
          <cell r="E165">
            <v>257556.52</v>
          </cell>
          <cell r="F165">
            <v>257556.52</v>
          </cell>
          <cell r="G165">
            <v>96993.36</v>
          </cell>
          <cell r="H165">
            <v>96993.36</v>
          </cell>
          <cell r="I165">
            <v>123114.57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1 547</v>
          </cell>
          <cell r="D166">
            <v>43941</v>
          </cell>
          <cell r="E166">
            <v>488806.3</v>
          </cell>
          <cell r="F166">
            <v>488806.3</v>
          </cell>
          <cell r="I166">
            <v>263098.32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1 542</v>
          </cell>
          <cell r="D167">
            <v>43946</v>
          </cell>
          <cell r="E167">
            <v>604879.22</v>
          </cell>
          <cell r="F167">
            <v>604879.22</v>
          </cell>
          <cell r="G167">
            <v>197376.26</v>
          </cell>
          <cell r="H167">
            <v>197376.26</v>
          </cell>
          <cell r="I167">
            <v>266052.38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1 540</v>
          </cell>
          <cell r="D168">
            <v>43948</v>
          </cell>
          <cell r="E168">
            <v>897147.73</v>
          </cell>
          <cell r="F168">
            <v>897147.73</v>
          </cell>
          <cell r="G168">
            <v>16348.71</v>
          </cell>
          <cell r="H168">
            <v>16348.71</v>
          </cell>
          <cell r="I168">
            <v>27715.05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1 540</v>
          </cell>
          <cell r="D169">
            <v>43948</v>
          </cell>
          <cell r="E169">
            <v>213846.49</v>
          </cell>
          <cell r="F169">
            <v>213846.49</v>
          </cell>
          <cell r="G169">
            <v>22577.07</v>
          </cell>
          <cell r="H169">
            <v>22577.07</v>
          </cell>
          <cell r="I169">
            <v>108105.7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1 539</v>
          </cell>
          <cell r="D170">
            <v>43949</v>
          </cell>
          <cell r="E170">
            <v>416.33</v>
          </cell>
          <cell r="F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1 538</v>
          </cell>
          <cell r="D171">
            <v>43950</v>
          </cell>
          <cell r="E171">
            <v>39428.5</v>
          </cell>
          <cell r="F171">
            <v>39428.5</v>
          </cell>
          <cell r="G171">
            <v>24415.11</v>
          </cell>
          <cell r="H171">
            <v>24415.11</v>
          </cell>
          <cell r="I171">
            <v>1909.11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1 532</v>
          </cell>
          <cell r="D172">
            <v>43956</v>
          </cell>
          <cell r="E172">
            <v>2056802.22</v>
          </cell>
          <cell r="F172">
            <v>2056802.22</v>
          </cell>
          <cell r="G172">
            <v>84314.02</v>
          </cell>
          <cell r="H172">
            <v>84314.02</v>
          </cell>
          <cell r="I172">
            <v>70488.42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1 531</v>
          </cell>
          <cell r="D173">
            <v>43957</v>
          </cell>
          <cell r="E173">
            <v>7967605.9000000004</v>
          </cell>
          <cell r="F173">
            <v>7967605.9000000004</v>
          </cell>
          <cell r="G173">
            <v>352385.37</v>
          </cell>
          <cell r="H173">
            <v>352385.37</v>
          </cell>
          <cell r="I173">
            <v>185663.69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1 531</v>
          </cell>
          <cell r="D174">
            <v>43957</v>
          </cell>
          <cell r="E174">
            <v>395272.52</v>
          </cell>
          <cell r="F174">
            <v>395272.52</v>
          </cell>
          <cell r="G174">
            <v>117805.84</v>
          </cell>
          <cell r="H174">
            <v>117805.84</v>
          </cell>
          <cell r="I174">
            <v>180071.88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1 530</v>
          </cell>
          <cell r="D175">
            <v>43958</v>
          </cell>
          <cell r="E175">
            <v>200241.71</v>
          </cell>
          <cell r="F175">
            <v>200241.71</v>
          </cell>
          <cell r="G175">
            <v>87235.27</v>
          </cell>
          <cell r="H175">
            <v>87235.27</v>
          </cell>
          <cell r="I175">
            <v>40932.660000000003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1 521</v>
          </cell>
          <cell r="D176">
            <v>43967</v>
          </cell>
          <cell r="E176">
            <v>216429.22</v>
          </cell>
          <cell r="F176">
            <v>216429.22</v>
          </cell>
          <cell r="G176">
            <v>68737.990000000005</v>
          </cell>
          <cell r="H176">
            <v>68737.990000000005</v>
          </cell>
          <cell r="I176">
            <v>93807.55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1 517</v>
          </cell>
          <cell r="D177">
            <v>43971</v>
          </cell>
          <cell r="E177">
            <v>435633.69</v>
          </cell>
          <cell r="F177">
            <v>435633.69</v>
          </cell>
          <cell r="G177">
            <v>129718.58</v>
          </cell>
          <cell r="H177">
            <v>129718.58</v>
          </cell>
          <cell r="I177">
            <v>173134.12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1 516</v>
          </cell>
          <cell r="D178">
            <v>43972</v>
          </cell>
          <cell r="E178">
            <v>164110.19</v>
          </cell>
          <cell r="F178">
            <v>164110.19</v>
          </cell>
          <cell r="G178">
            <v>78391.5</v>
          </cell>
          <cell r="H178">
            <v>78391.5</v>
          </cell>
          <cell r="I178">
            <v>30338.94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1 516</v>
          </cell>
          <cell r="D179">
            <v>43972</v>
          </cell>
          <cell r="E179">
            <v>151237.82</v>
          </cell>
          <cell r="F179">
            <v>151237.82</v>
          </cell>
          <cell r="I179">
            <v>16373.16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1 516</v>
          </cell>
          <cell r="D180">
            <v>43972</v>
          </cell>
          <cell r="E180">
            <v>348103.88</v>
          </cell>
          <cell r="F180">
            <v>348103.88</v>
          </cell>
          <cell r="G180">
            <v>215861.99</v>
          </cell>
          <cell r="H180">
            <v>215861.99</v>
          </cell>
          <cell r="I180">
            <v>76862.14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1 515</v>
          </cell>
          <cell r="D181">
            <v>43973</v>
          </cell>
          <cell r="E181">
            <v>962935.54</v>
          </cell>
          <cell r="F181">
            <v>962935.54</v>
          </cell>
          <cell r="G181">
            <v>341241.24</v>
          </cell>
          <cell r="H181">
            <v>341241.24</v>
          </cell>
          <cell r="I181">
            <v>388571.59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1 507</v>
          </cell>
          <cell r="D182">
            <v>43981</v>
          </cell>
          <cell r="E182">
            <v>692675.99</v>
          </cell>
          <cell r="F182">
            <v>692675.99</v>
          </cell>
          <cell r="G182">
            <v>240890.38</v>
          </cell>
          <cell r="H182">
            <v>240890.38</v>
          </cell>
          <cell r="I182">
            <v>281728.81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1 501</v>
          </cell>
          <cell r="D183">
            <v>43987</v>
          </cell>
          <cell r="E183">
            <v>361624.98</v>
          </cell>
          <cell r="F183">
            <v>361624.98</v>
          </cell>
          <cell r="G183">
            <v>120000</v>
          </cell>
          <cell r="H183">
            <v>120000</v>
          </cell>
          <cell r="I183">
            <v>147383.44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1 482</v>
          </cell>
          <cell r="D184">
            <v>44006</v>
          </cell>
          <cell r="E184">
            <v>1589017.38</v>
          </cell>
          <cell r="F184">
            <v>1589017.38</v>
          </cell>
          <cell r="G184">
            <v>285524.37</v>
          </cell>
          <cell r="H184">
            <v>285524.37</v>
          </cell>
          <cell r="I184">
            <v>1061635.78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1 479</v>
          </cell>
          <cell r="D185">
            <v>44009</v>
          </cell>
          <cell r="E185">
            <v>312404.90000000002</v>
          </cell>
          <cell r="F185">
            <v>312404.90000000002</v>
          </cell>
          <cell r="G185">
            <v>112952.52</v>
          </cell>
          <cell r="H185">
            <v>112952.52</v>
          </cell>
          <cell r="I185">
            <v>118748.68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1 475</v>
          </cell>
          <cell r="D186">
            <v>44013</v>
          </cell>
          <cell r="E186">
            <v>912211.8</v>
          </cell>
          <cell r="F186">
            <v>912211.8</v>
          </cell>
          <cell r="G186">
            <v>428339.42</v>
          </cell>
          <cell r="H186">
            <v>428339.42</v>
          </cell>
          <cell r="I186">
            <v>214369.36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1 473</v>
          </cell>
          <cell r="D187">
            <v>44015</v>
          </cell>
          <cell r="E187">
            <v>1022553.13</v>
          </cell>
          <cell r="F187">
            <v>1022553.13</v>
          </cell>
          <cell r="G187">
            <v>456454.36</v>
          </cell>
          <cell r="H187">
            <v>456454.36</v>
          </cell>
          <cell r="I187">
            <v>212705.58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1 470</v>
          </cell>
          <cell r="D188">
            <v>44018</v>
          </cell>
          <cell r="E188">
            <v>1744675.02</v>
          </cell>
          <cell r="F188">
            <v>1744675.02</v>
          </cell>
          <cell r="G188">
            <v>981181.77</v>
          </cell>
          <cell r="H188">
            <v>981181.77</v>
          </cell>
          <cell r="I188">
            <v>361773.78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1 467</v>
          </cell>
          <cell r="D189">
            <v>44021</v>
          </cell>
          <cell r="E189">
            <v>101820.7</v>
          </cell>
          <cell r="F189">
            <v>101820.7</v>
          </cell>
          <cell r="G189">
            <v>65820.7</v>
          </cell>
          <cell r="H189">
            <v>65820.7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1 464</v>
          </cell>
          <cell r="D190">
            <v>44024</v>
          </cell>
          <cell r="E190">
            <v>635866.04</v>
          </cell>
          <cell r="F190">
            <v>635866.04</v>
          </cell>
          <cell r="G190">
            <v>221949.58</v>
          </cell>
          <cell r="H190">
            <v>221949.58</v>
          </cell>
          <cell r="I190">
            <v>248782.4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1 461</v>
          </cell>
          <cell r="D191">
            <v>44027</v>
          </cell>
          <cell r="E191">
            <v>156620.44</v>
          </cell>
          <cell r="F191">
            <v>156620.44</v>
          </cell>
          <cell r="G191">
            <v>68837.509999999995</v>
          </cell>
          <cell r="H191">
            <v>68837.509999999995</v>
          </cell>
          <cell r="I191">
            <v>47743.65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1 459</v>
          </cell>
          <cell r="D192">
            <v>44029</v>
          </cell>
          <cell r="E192">
            <v>343966.59</v>
          </cell>
          <cell r="F192">
            <v>343966.59</v>
          </cell>
          <cell r="G192">
            <v>119184.95</v>
          </cell>
          <cell r="H192">
            <v>119184.95</v>
          </cell>
          <cell r="I192">
            <v>145647.29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1 458</v>
          </cell>
          <cell r="D193">
            <v>44030</v>
          </cell>
          <cell r="E193">
            <v>985563.41</v>
          </cell>
          <cell r="F193">
            <v>985563.41</v>
          </cell>
          <cell r="G193">
            <v>357064.12</v>
          </cell>
          <cell r="H193">
            <v>357064.12</v>
          </cell>
          <cell r="I193">
            <v>399226.93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1 456</v>
          </cell>
          <cell r="D194">
            <v>44032</v>
          </cell>
          <cell r="E194">
            <v>129862.36</v>
          </cell>
          <cell r="F194">
            <v>129862.36</v>
          </cell>
          <cell r="G194">
            <v>67010.84</v>
          </cell>
          <cell r="H194">
            <v>67010.84</v>
          </cell>
          <cell r="I194">
            <v>20255.84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1 455</v>
          </cell>
          <cell r="D195">
            <v>44033</v>
          </cell>
          <cell r="E195">
            <v>238944.61</v>
          </cell>
          <cell r="F195">
            <v>238944.61</v>
          </cell>
          <cell r="G195">
            <v>82579.23</v>
          </cell>
          <cell r="H195">
            <v>82579.23</v>
          </cell>
          <cell r="I195">
            <v>100153.9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1 454</v>
          </cell>
          <cell r="D196">
            <v>44034</v>
          </cell>
          <cell r="E196">
            <v>626686.27</v>
          </cell>
          <cell r="F196">
            <v>626686.27</v>
          </cell>
          <cell r="G196">
            <v>216486.61</v>
          </cell>
          <cell r="H196">
            <v>216486.61</v>
          </cell>
          <cell r="I196">
            <v>240223.04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1 450</v>
          </cell>
          <cell r="D197">
            <v>44038</v>
          </cell>
          <cell r="E197">
            <v>548064.86</v>
          </cell>
          <cell r="F197">
            <v>548064.86</v>
          </cell>
          <cell r="G197">
            <v>190899.14</v>
          </cell>
          <cell r="H197">
            <v>190899.14</v>
          </cell>
          <cell r="I197">
            <v>229330.03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1 447</v>
          </cell>
          <cell r="D198">
            <v>44041</v>
          </cell>
          <cell r="E198">
            <v>281700.32</v>
          </cell>
          <cell r="F198">
            <v>281700.32</v>
          </cell>
          <cell r="G198">
            <v>152841.37</v>
          </cell>
          <cell r="H198">
            <v>152841.37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1 446</v>
          </cell>
          <cell r="D199">
            <v>44042</v>
          </cell>
          <cell r="E199">
            <v>3970471.47</v>
          </cell>
          <cell r="F199">
            <v>3970471.47</v>
          </cell>
          <cell r="G199">
            <v>150000</v>
          </cell>
          <cell r="H199">
            <v>150000</v>
          </cell>
          <cell r="I199">
            <v>130355.5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1 438</v>
          </cell>
          <cell r="D200">
            <v>44050</v>
          </cell>
          <cell r="E200">
            <v>187064.37</v>
          </cell>
          <cell r="F200">
            <v>187064.37</v>
          </cell>
          <cell r="G200">
            <v>110000</v>
          </cell>
          <cell r="H200">
            <v>110000</v>
          </cell>
          <cell r="I200">
            <v>25064.37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1 436</v>
          </cell>
          <cell r="D201">
            <v>44052</v>
          </cell>
          <cell r="E201">
            <v>6994955.5800000001</v>
          </cell>
          <cell r="F201">
            <v>6994955.5800000001</v>
          </cell>
          <cell r="G201">
            <v>289226.32</v>
          </cell>
          <cell r="H201">
            <v>289226.32</v>
          </cell>
          <cell r="I201">
            <v>201661.2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1 435</v>
          </cell>
          <cell r="D202">
            <v>44053</v>
          </cell>
          <cell r="E202">
            <v>946482.04</v>
          </cell>
          <cell r="F202">
            <v>946482.04</v>
          </cell>
          <cell r="G202">
            <v>539180.56999999995</v>
          </cell>
          <cell r="H202">
            <v>539180.56999999995</v>
          </cell>
          <cell r="I202">
            <v>121426.43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1 434</v>
          </cell>
          <cell r="D203">
            <v>44054</v>
          </cell>
          <cell r="E203">
            <v>1468728.48</v>
          </cell>
          <cell r="F203">
            <v>1468728.48</v>
          </cell>
          <cell r="G203">
            <v>597267.06999999995</v>
          </cell>
          <cell r="H203">
            <v>597267.06999999995</v>
          </cell>
          <cell r="I203">
            <v>492728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1 433</v>
          </cell>
          <cell r="D204">
            <v>44055</v>
          </cell>
          <cell r="E204">
            <v>1250000</v>
          </cell>
          <cell r="F204">
            <v>1250000</v>
          </cell>
          <cell r="G204">
            <v>500000</v>
          </cell>
          <cell r="H204">
            <v>500000</v>
          </cell>
          <cell r="I204">
            <v>441145.84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1 432</v>
          </cell>
          <cell r="D205">
            <v>44056</v>
          </cell>
          <cell r="E205">
            <v>3399185.61</v>
          </cell>
          <cell r="F205">
            <v>3399185.61</v>
          </cell>
          <cell r="G205">
            <v>150000</v>
          </cell>
          <cell r="H205">
            <v>150000</v>
          </cell>
          <cell r="I205">
            <v>133566.89000000001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1 431</v>
          </cell>
          <cell r="D206">
            <v>44057</v>
          </cell>
          <cell r="E206">
            <v>725592.74</v>
          </cell>
          <cell r="F206">
            <v>725592.74</v>
          </cell>
          <cell r="G206">
            <v>420910.34</v>
          </cell>
          <cell r="H206">
            <v>420910.34</v>
          </cell>
          <cell r="I206">
            <v>46351.29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1 429</v>
          </cell>
          <cell r="D207">
            <v>44059</v>
          </cell>
          <cell r="E207">
            <v>255670.01</v>
          </cell>
          <cell r="F207">
            <v>255670.01</v>
          </cell>
          <cell r="G207">
            <v>131027.51</v>
          </cell>
          <cell r="H207">
            <v>131027.51</v>
          </cell>
          <cell r="I207">
            <v>96494.16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1 429</v>
          </cell>
          <cell r="D208">
            <v>44059</v>
          </cell>
          <cell r="E208">
            <v>67041.100000000006</v>
          </cell>
          <cell r="F208">
            <v>67041.100000000006</v>
          </cell>
          <cell r="I208">
            <v>35821.22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1 427</v>
          </cell>
          <cell r="D209">
            <v>44061</v>
          </cell>
          <cell r="E209">
            <v>3739889.47</v>
          </cell>
          <cell r="F209">
            <v>3739889.47</v>
          </cell>
          <cell r="G209">
            <v>170071.42</v>
          </cell>
          <cell r="H209">
            <v>170071.42</v>
          </cell>
          <cell r="I209">
            <v>116487.27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1 425</v>
          </cell>
          <cell r="D210">
            <v>44063</v>
          </cell>
          <cell r="E210">
            <v>541617.34</v>
          </cell>
          <cell r="F210">
            <v>541617.34</v>
          </cell>
          <cell r="G210">
            <v>200000</v>
          </cell>
          <cell r="H210">
            <v>200000</v>
          </cell>
          <cell r="I210">
            <v>223249.34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1 416</v>
          </cell>
          <cell r="D211">
            <v>44072</v>
          </cell>
          <cell r="E211">
            <v>53619.1</v>
          </cell>
          <cell r="F211">
            <v>53619.1</v>
          </cell>
          <cell r="G211">
            <v>20033.48</v>
          </cell>
          <cell r="H211">
            <v>20033.48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1 416</v>
          </cell>
          <cell r="D212">
            <v>44072</v>
          </cell>
          <cell r="E212">
            <v>482434.59</v>
          </cell>
          <cell r="F212">
            <v>482434.59</v>
          </cell>
          <cell r="G212">
            <v>167386.20000000001</v>
          </cell>
          <cell r="H212">
            <v>167386.20000000001</v>
          </cell>
          <cell r="I212">
            <v>181058.21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1 414</v>
          </cell>
          <cell r="D213">
            <v>44074</v>
          </cell>
          <cell r="E213">
            <v>443.58</v>
          </cell>
          <cell r="F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1 412</v>
          </cell>
          <cell r="D214">
            <v>44076</v>
          </cell>
          <cell r="E214">
            <v>425397.33</v>
          </cell>
          <cell r="F214">
            <v>425397.33</v>
          </cell>
          <cell r="G214">
            <v>149849.26</v>
          </cell>
          <cell r="H214">
            <v>149849.26</v>
          </cell>
          <cell r="I214">
            <v>167256.41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1 407</v>
          </cell>
          <cell r="D215">
            <v>44081</v>
          </cell>
          <cell r="E215">
            <v>452289.59</v>
          </cell>
          <cell r="F215">
            <v>452289.59</v>
          </cell>
          <cell r="G215">
            <v>175558.02</v>
          </cell>
          <cell r="H215">
            <v>175558.02</v>
          </cell>
          <cell r="I215">
            <v>168535.74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1 400</v>
          </cell>
          <cell r="D216">
            <v>44088</v>
          </cell>
          <cell r="E216">
            <v>1378655.79</v>
          </cell>
          <cell r="F216">
            <v>1378655.79</v>
          </cell>
          <cell r="G216">
            <v>556489.29</v>
          </cell>
          <cell r="H216">
            <v>556489.29</v>
          </cell>
          <cell r="I216">
            <v>482069.89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1 400</v>
          </cell>
          <cell r="D217">
            <v>44088</v>
          </cell>
          <cell r="E217">
            <v>101723.4</v>
          </cell>
          <cell r="F217">
            <v>101723.4</v>
          </cell>
          <cell r="I217">
            <v>48253.24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1 399</v>
          </cell>
          <cell r="D218">
            <v>44089</v>
          </cell>
          <cell r="E218">
            <v>102275.65</v>
          </cell>
          <cell r="F218">
            <v>102275.65</v>
          </cell>
          <cell r="I218">
            <v>43463.9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1 393</v>
          </cell>
          <cell r="D219">
            <v>44095</v>
          </cell>
          <cell r="E219">
            <v>1103568.75</v>
          </cell>
          <cell r="F219">
            <v>1103568.75</v>
          </cell>
          <cell r="G219">
            <v>450000</v>
          </cell>
          <cell r="H219">
            <v>450000</v>
          </cell>
          <cell r="I219">
            <v>379183.58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1 389</v>
          </cell>
          <cell r="D220">
            <v>44099</v>
          </cell>
          <cell r="E220">
            <v>442441.3</v>
          </cell>
          <cell r="F220">
            <v>442441.3</v>
          </cell>
          <cell r="G220">
            <v>187562.77</v>
          </cell>
          <cell r="H220">
            <v>187562.77</v>
          </cell>
          <cell r="I220">
            <v>140070.87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1 382</v>
          </cell>
          <cell r="D221">
            <v>44106</v>
          </cell>
          <cell r="E221">
            <v>496240.02</v>
          </cell>
          <cell r="F221">
            <v>496240.02</v>
          </cell>
          <cell r="G221">
            <v>193846.7</v>
          </cell>
          <cell r="H221">
            <v>193846.7</v>
          </cell>
          <cell r="I221">
            <v>176012.79999999999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1 379</v>
          </cell>
          <cell r="D222">
            <v>44109</v>
          </cell>
          <cell r="E222">
            <v>1403865.85</v>
          </cell>
          <cell r="F222">
            <v>1403865.85</v>
          </cell>
          <cell r="G222">
            <v>511436.55</v>
          </cell>
          <cell r="H222">
            <v>511436.55</v>
          </cell>
          <cell r="I222">
            <v>588754.54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1 379</v>
          </cell>
          <cell r="D223">
            <v>44109</v>
          </cell>
          <cell r="E223">
            <v>116921.18</v>
          </cell>
          <cell r="F223">
            <v>116921.18</v>
          </cell>
          <cell r="G223">
            <v>82976.45</v>
          </cell>
          <cell r="H223">
            <v>82976.45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1 376</v>
          </cell>
          <cell r="D224">
            <v>44112</v>
          </cell>
          <cell r="E224">
            <v>203546.29</v>
          </cell>
          <cell r="F224">
            <v>203546.29</v>
          </cell>
          <cell r="G224">
            <v>100000</v>
          </cell>
          <cell r="H224">
            <v>100000</v>
          </cell>
          <cell r="I224">
            <v>71461.61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1 370</v>
          </cell>
          <cell r="D225">
            <v>44118</v>
          </cell>
          <cell r="E225">
            <v>158680.45000000001</v>
          </cell>
          <cell r="F225">
            <v>158680.45000000001</v>
          </cell>
          <cell r="G225">
            <v>8494.57</v>
          </cell>
          <cell r="H225">
            <v>8494.57</v>
          </cell>
          <cell r="I225">
            <v>3085.97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1 370</v>
          </cell>
          <cell r="D226">
            <v>44118</v>
          </cell>
          <cell r="E226">
            <v>313290.65000000002</v>
          </cell>
          <cell r="F226">
            <v>313290.65000000002</v>
          </cell>
          <cell r="G226">
            <v>132678.44</v>
          </cell>
          <cell r="H226">
            <v>132678.44</v>
          </cell>
          <cell r="I226">
            <v>92032.35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1 368</v>
          </cell>
          <cell r="D227">
            <v>44120</v>
          </cell>
          <cell r="E227">
            <v>241667.66</v>
          </cell>
          <cell r="F227">
            <v>241667.66</v>
          </cell>
          <cell r="G227">
            <v>100000</v>
          </cell>
          <cell r="H227">
            <v>100000</v>
          </cell>
          <cell r="I227">
            <v>79561.66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1 367</v>
          </cell>
          <cell r="D228">
            <v>44121</v>
          </cell>
          <cell r="E228">
            <v>1932036.91</v>
          </cell>
          <cell r="F228">
            <v>1932036.91</v>
          </cell>
          <cell r="G228">
            <v>300000</v>
          </cell>
          <cell r="H228">
            <v>300000</v>
          </cell>
          <cell r="I228">
            <v>201410.96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1 365</v>
          </cell>
          <cell r="D229">
            <v>44123</v>
          </cell>
          <cell r="E229">
            <v>4641062.6500000004</v>
          </cell>
          <cell r="F229">
            <v>4641062.6500000004</v>
          </cell>
          <cell r="G229">
            <v>201747.18</v>
          </cell>
          <cell r="H229">
            <v>201747.18</v>
          </cell>
          <cell r="I229">
            <v>154124.6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1 365</v>
          </cell>
          <cell r="D230">
            <v>44123</v>
          </cell>
          <cell r="E230">
            <v>66657.11</v>
          </cell>
          <cell r="F230">
            <v>66657.11</v>
          </cell>
          <cell r="G230">
            <v>34377.370000000003</v>
          </cell>
          <cell r="H230">
            <v>34377.370000000003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1 365</v>
          </cell>
          <cell r="D231">
            <v>44123</v>
          </cell>
          <cell r="E231">
            <v>665666.41</v>
          </cell>
          <cell r="F231">
            <v>665666.41</v>
          </cell>
          <cell r="G231">
            <v>250000</v>
          </cell>
          <cell r="H231">
            <v>250000</v>
          </cell>
          <cell r="I231">
            <v>218500.01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1 358</v>
          </cell>
          <cell r="D232">
            <v>44130</v>
          </cell>
          <cell r="E232">
            <v>2124.21</v>
          </cell>
          <cell r="F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1 356</v>
          </cell>
          <cell r="D233">
            <v>44132</v>
          </cell>
          <cell r="E233">
            <v>297433.15000000002</v>
          </cell>
          <cell r="F233">
            <v>297433.15000000002</v>
          </cell>
          <cell r="G233">
            <v>17353.419999999998</v>
          </cell>
          <cell r="H233">
            <v>17353.419999999998</v>
          </cell>
          <cell r="I233">
            <v>128767.15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1 351</v>
          </cell>
          <cell r="D234">
            <v>44137</v>
          </cell>
          <cell r="E234">
            <v>49456.52</v>
          </cell>
          <cell r="F234">
            <v>49456.52</v>
          </cell>
          <cell r="I234">
            <v>13112.43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1 350</v>
          </cell>
          <cell r="D235">
            <v>44138</v>
          </cell>
          <cell r="E235">
            <v>3837675.23</v>
          </cell>
          <cell r="F235">
            <v>3837675.23</v>
          </cell>
          <cell r="G235">
            <v>166198.04</v>
          </cell>
          <cell r="H235">
            <v>166198.04</v>
          </cell>
          <cell r="I235">
            <v>122944.19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1 346</v>
          </cell>
          <cell r="D236">
            <v>44142</v>
          </cell>
          <cell r="E236">
            <v>630799.71</v>
          </cell>
          <cell r="F236">
            <v>630799.71</v>
          </cell>
          <cell r="G236">
            <v>250564.83</v>
          </cell>
          <cell r="H236">
            <v>250564.83</v>
          </cell>
          <cell r="I236">
            <v>231562.05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1 343</v>
          </cell>
          <cell r="D237">
            <v>44145</v>
          </cell>
          <cell r="E237">
            <v>4290962.95</v>
          </cell>
          <cell r="F237">
            <v>4290962.95</v>
          </cell>
          <cell r="G237">
            <v>196372.36</v>
          </cell>
          <cell r="H237">
            <v>196372.36</v>
          </cell>
          <cell r="I237">
            <v>144883.64000000001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1 340</v>
          </cell>
          <cell r="D238">
            <v>44148</v>
          </cell>
          <cell r="E238">
            <v>446770.76</v>
          </cell>
          <cell r="F238">
            <v>446770.76</v>
          </cell>
          <cell r="G238">
            <v>198184.95999999999</v>
          </cell>
          <cell r="H238">
            <v>198184.95999999999</v>
          </cell>
          <cell r="I238">
            <v>128328.89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1 336</v>
          </cell>
          <cell r="D239">
            <v>44152</v>
          </cell>
          <cell r="E239">
            <v>500676.34</v>
          </cell>
          <cell r="F239">
            <v>500676.34</v>
          </cell>
          <cell r="G239">
            <v>78202.25</v>
          </cell>
          <cell r="H239">
            <v>78202.25</v>
          </cell>
          <cell r="I239">
            <v>4214.3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1 336</v>
          </cell>
          <cell r="D240">
            <v>44152</v>
          </cell>
          <cell r="E240">
            <v>740713.62</v>
          </cell>
          <cell r="F240">
            <v>740713.62</v>
          </cell>
          <cell r="G240">
            <v>287003.11</v>
          </cell>
          <cell r="H240">
            <v>287003.11</v>
          </cell>
          <cell r="I240">
            <v>115839.73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1 328</v>
          </cell>
          <cell r="D241">
            <v>44160</v>
          </cell>
          <cell r="E241">
            <v>22809.17</v>
          </cell>
          <cell r="F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1 326</v>
          </cell>
          <cell r="D242">
            <v>44162</v>
          </cell>
          <cell r="E242">
            <v>1.83</v>
          </cell>
          <cell r="F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1 326</v>
          </cell>
          <cell r="D243">
            <v>44162</v>
          </cell>
          <cell r="E243">
            <v>273940.15999999997</v>
          </cell>
          <cell r="F243">
            <v>273940.15999999997</v>
          </cell>
          <cell r="G243">
            <v>112418.39</v>
          </cell>
          <cell r="H243">
            <v>112418.39</v>
          </cell>
          <cell r="I243">
            <v>89459.61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1 325</v>
          </cell>
          <cell r="D244">
            <v>44163</v>
          </cell>
          <cell r="E244">
            <v>920520.63</v>
          </cell>
          <cell r="F244">
            <v>920520.63</v>
          </cell>
          <cell r="G244">
            <v>380000</v>
          </cell>
          <cell r="H244">
            <v>380000</v>
          </cell>
          <cell r="I244">
            <v>321539.76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1 324</v>
          </cell>
          <cell r="D245">
            <v>44164</v>
          </cell>
          <cell r="E245">
            <v>3181.83</v>
          </cell>
          <cell r="F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1 323</v>
          </cell>
          <cell r="D246">
            <v>44165</v>
          </cell>
          <cell r="E246">
            <v>191747.97</v>
          </cell>
          <cell r="F246">
            <v>191747.97</v>
          </cell>
          <cell r="G246">
            <v>21676.78</v>
          </cell>
          <cell r="H246">
            <v>21676.78</v>
          </cell>
          <cell r="I246">
            <v>97366.01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1 321</v>
          </cell>
          <cell r="D247">
            <v>44167</v>
          </cell>
          <cell r="E247">
            <v>529085.30000000005</v>
          </cell>
          <cell r="F247">
            <v>529085.30000000005</v>
          </cell>
          <cell r="G247">
            <v>299175.76</v>
          </cell>
          <cell r="H247">
            <v>299175.76</v>
          </cell>
          <cell r="I247">
            <v>46595.4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1 319</v>
          </cell>
          <cell r="D248">
            <v>44169</v>
          </cell>
          <cell r="E248">
            <v>98520</v>
          </cell>
          <cell r="F248">
            <v>98520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1 319</v>
          </cell>
          <cell r="D249">
            <v>44169</v>
          </cell>
          <cell r="E249">
            <v>182087.85</v>
          </cell>
          <cell r="F249">
            <v>182087.85</v>
          </cell>
          <cell r="G249">
            <v>75124.52</v>
          </cell>
          <cell r="H249">
            <v>75124.52</v>
          </cell>
          <cell r="I249">
            <v>60801.760000000002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1 314</v>
          </cell>
          <cell r="D250">
            <v>44174</v>
          </cell>
          <cell r="E250">
            <v>237560.99</v>
          </cell>
          <cell r="F250">
            <v>237560.99</v>
          </cell>
          <cell r="G250">
            <v>99404.02</v>
          </cell>
          <cell r="H250">
            <v>99404.02</v>
          </cell>
          <cell r="I250">
            <v>84316.42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1 302</v>
          </cell>
          <cell r="D251">
            <v>44186</v>
          </cell>
          <cell r="E251">
            <v>1140755.8500000001</v>
          </cell>
          <cell r="F251">
            <v>1140755.8500000001</v>
          </cell>
          <cell r="G251">
            <v>494746.63</v>
          </cell>
          <cell r="H251">
            <v>494746.63</v>
          </cell>
          <cell r="I251">
            <v>370069.46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1 299</v>
          </cell>
          <cell r="D252">
            <v>44189</v>
          </cell>
          <cell r="E252">
            <v>1658770.7</v>
          </cell>
          <cell r="F252">
            <v>1658770.7</v>
          </cell>
          <cell r="G252">
            <v>937868.61</v>
          </cell>
          <cell r="H252">
            <v>937868.61</v>
          </cell>
          <cell r="I252">
            <v>579602.81000000006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1 299</v>
          </cell>
          <cell r="D253">
            <v>44189</v>
          </cell>
          <cell r="E253">
            <v>4248770.47</v>
          </cell>
          <cell r="F253">
            <v>4248770.47</v>
          </cell>
          <cell r="G253">
            <v>386153.29</v>
          </cell>
          <cell r="H253">
            <v>386153.29</v>
          </cell>
          <cell r="I253">
            <v>425716.01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1 298</v>
          </cell>
          <cell r="D254">
            <v>44190</v>
          </cell>
          <cell r="E254">
            <v>226578.32</v>
          </cell>
          <cell r="F254">
            <v>226578.32</v>
          </cell>
          <cell r="G254">
            <v>94409.06</v>
          </cell>
          <cell r="H254">
            <v>94409.06</v>
          </cell>
          <cell r="I254">
            <v>76768.78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1 296</v>
          </cell>
          <cell r="D255">
            <v>44192</v>
          </cell>
          <cell r="E255">
            <v>116693.56</v>
          </cell>
          <cell r="F255">
            <v>116693.56</v>
          </cell>
          <cell r="G255">
            <v>80979.48</v>
          </cell>
          <cell r="H255">
            <v>80979.48</v>
          </cell>
          <cell r="I255">
            <v>11706.9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1 293</v>
          </cell>
          <cell r="D256">
            <v>44195</v>
          </cell>
          <cell r="E256">
            <v>203092.79</v>
          </cell>
          <cell r="F256">
            <v>203092.79</v>
          </cell>
          <cell r="I256">
            <v>96330.06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1 290</v>
          </cell>
          <cell r="D257">
            <v>44198</v>
          </cell>
          <cell r="E257">
            <v>1317905</v>
          </cell>
          <cell r="F257">
            <v>1317905</v>
          </cell>
          <cell r="G257">
            <v>582013.02</v>
          </cell>
          <cell r="H257">
            <v>582013.02</v>
          </cell>
          <cell r="I257">
            <v>422938.41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1 287</v>
          </cell>
          <cell r="D258">
            <v>44201</v>
          </cell>
          <cell r="E258">
            <v>7235.9</v>
          </cell>
          <cell r="F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1 286</v>
          </cell>
          <cell r="D259">
            <v>44202</v>
          </cell>
          <cell r="E259">
            <v>863538.59</v>
          </cell>
          <cell r="F259">
            <v>863538.59</v>
          </cell>
          <cell r="G259">
            <v>355797.7</v>
          </cell>
          <cell r="H259">
            <v>355797.7</v>
          </cell>
          <cell r="I259">
            <v>246452.83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1 286</v>
          </cell>
          <cell r="D260">
            <v>44202</v>
          </cell>
          <cell r="E260">
            <v>407245.79</v>
          </cell>
          <cell r="F260">
            <v>407245.79</v>
          </cell>
          <cell r="G260">
            <v>245941.85</v>
          </cell>
          <cell r="H260">
            <v>245941.85</v>
          </cell>
          <cell r="I260">
            <v>23673.67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1 283</v>
          </cell>
          <cell r="D261">
            <v>44205</v>
          </cell>
          <cell r="E261">
            <v>1544759.73</v>
          </cell>
          <cell r="F261">
            <v>1544759.73</v>
          </cell>
          <cell r="G261">
            <v>1000000</v>
          </cell>
          <cell r="H261">
            <v>1000000</v>
          </cell>
          <cell r="I261">
            <v>402739.73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1 281</v>
          </cell>
          <cell r="D262">
            <v>44207</v>
          </cell>
          <cell r="E262">
            <v>225416.98</v>
          </cell>
          <cell r="F262">
            <v>225416.98</v>
          </cell>
          <cell r="G262">
            <v>94178.15</v>
          </cell>
          <cell r="H262">
            <v>94178.15</v>
          </cell>
          <cell r="I262">
            <v>73071.91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1 281</v>
          </cell>
          <cell r="D263">
            <v>44207</v>
          </cell>
          <cell r="E263">
            <v>463030.37</v>
          </cell>
          <cell r="F263">
            <v>463030.37</v>
          </cell>
          <cell r="G263">
            <v>98780.09</v>
          </cell>
          <cell r="H263">
            <v>98780.09</v>
          </cell>
          <cell r="I263">
            <v>64109.56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1 281</v>
          </cell>
          <cell r="D264">
            <v>44207</v>
          </cell>
          <cell r="E264">
            <v>462994.09</v>
          </cell>
          <cell r="F264">
            <v>462994.09</v>
          </cell>
          <cell r="G264">
            <v>200000</v>
          </cell>
          <cell r="H264">
            <v>200000</v>
          </cell>
          <cell r="I264">
            <v>155178.09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1 279</v>
          </cell>
          <cell r="D265">
            <v>44209</v>
          </cell>
          <cell r="E265">
            <v>461901.37</v>
          </cell>
          <cell r="F265">
            <v>461901.37</v>
          </cell>
          <cell r="G265">
            <v>200000</v>
          </cell>
          <cell r="H265">
            <v>200000</v>
          </cell>
          <cell r="I265">
            <v>154301.37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1 270</v>
          </cell>
          <cell r="D266">
            <v>44218</v>
          </cell>
          <cell r="E266">
            <v>179091.93</v>
          </cell>
          <cell r="F266">
            <v>179091.93</v>
          </cell>
          <cell r="G266">
            <v>86377.65</v>
          </cell>
          <cell r="H266">
            <v>86377.65</v>
          </cell>
          <cell r="I266">
            <v>39478.9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1 269</v>
          </cell>
          <cell r="D267">
            <v>44219</v>
          </cell>
          <cell r="E267">
            <v>111132.07</v>
          </cell>
          <cell r="F267">
            <v>111132.07</v>
          </cell>
          <cell r="I267">
            <v>82804.77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1 269</v>
          </cell>
          <cell r="D268">
            <v>44219</v>
          </cell>
          <cell r="E268">
            <v>450454.71</v>
          </cell>
          <cell r="F268">
            <v>450454.71</v>
          </cell>
          <cell r="G268">
            <v>188784.43</v>
          </cell>
          <cell r="H268">
            <v>188784.43</v>
          </cell>
          <cell r="I268">
            <v>153892.94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1 259</v>
          </cell>
          <cell r="D269">
            <v>44229</v>
          </cell>
          <cell r="E269">
            <v>502638.64</v>
          </cell>
          <cell r="F269">
            <v>502638.64</v>
          </cell>
          <cell r="G269">
            <v>298017.05</v>
          </cell>
          <cell r="H269">
            <v>298017.05</v>
          </cell>
          <cell r="I269">
            <v>38733.79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1 254</v>
          </cell>
          <cell r="D270">
            <v>44234</v>
          </cell>
          <cell r="E270">
            <v>179145.82</v>
          </cell>
          <cell r="F270">
            <v>179145.82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1 253</v>
          </cell>
          <cell r="D271">
            <v>44235</v>
          </cell>
          <cell r="E271">
            <v>533268.54</v>
          </cell>
          <cell r="F271">
            <v>533268.54</v>
          </cell>
          <cell r="G271">
            <v>130238.97</v>
          </cell>
          <cell r="H271">
            <v>130238.97</v>
          </cell>
          <cell r="I271">
            <v>52416.71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1 252</v>
          </cell>
          <cell r="D272">
            <v>44236</v>
          </cell>
          <cell r="E272">
            <v>512574.71999999997</v>
          </cell>
          <cell r="F272">
            <v>512574.71999999997</v>
          </cell>
          <cell r="G272">
            <v>235006.39</v>
          </cell>
          <cell r="H272">
            <v>235006.39</v>
          </cell>
          <cell r="I272">
            <v>138106.46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1 251</v>
          </cell>
          <cell r="D273">
            <v>44237</v>
          </cell>
          <cell r="E273">
            <v>400419.53</v>
          </cell>
          <cell r="F273">
            <v>400419.53</v>
          </cell>
          <cell r="G273">
            <v>197796.4</v>
          </cell>
          <cell r="H273">
            <v>197796.4</v>
          </cell>
          <cell r="I273">
            <v>89781.6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1 251</v>
          </cell>
          <cell r="D274">
            <v>44237</v>
          </cell>
          <cell r="E274">
            <v>369916.58</v>
          </cell>
          <cell r="F274">
            <v>369916.58</v>
          </cell>
          <cell r="G274">
            <v>158541.84</v>
          </cell>
          <cell r="H274">
            <v>158541.84</v>
          </cell>
          <cell r="I274">
            <v>92874.27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1 248</v>
          </cell>
          <cell r="D275">
            <v>44240</v>
          </cell>
          <cell r="E275">
            <v>138742.20000000001</v>
          </cell>
          <cell r="F275">
            <v>138742.20000000001</v>
          </cell>
          <cell r="G275">
            <v>59337.89</v>
          </cell>
          <cell r="H275">
            <v>59337.89</v>
          </cell>
          <cell r="I275">
            <v>39348.959999999999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1 243</v>
          </cell>
          <cell r="D276">
            <v>44245</v>
          </cell>
          <cell r="E276">
            <v>56010.3</v>
          </cell>
          <cell r="F276">
            <v>56010.3</v>
          </cell>
          <cell r="I276">
            <v>21296.58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1 240</v>
          </cell>
          <cell r="D277">
            <v>44248</v>
          </cell>
          <cell r="E277">
            <v>1599428.42</v>
          </cell>
          <cell r="F277">
            <v>1599428.42</v>
          </cell>
          <cell r="G277">
            <v>709729.29</v>
          </cell>
          <cell r="H277">
            <v>709729.29</v>
          </cell>
          <cell r="I277">
            <v>529496.94999999995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1 240</v>
          </cell>
          <cell r="D278">
            <v>44248</v>
          </cell>
          <cell r="E278">
            <v>316389.78000000003</v>
          </cell>
          <cell r="F278">
            <v>316389.78000000003</v>
          </cell>
          <cell r="G278">
            <v>126823.45</v>
          </cell>
          <cell r="H278">
            <v>126823.45</v>
          </cell>
          <cell r="I278">
            <v>75207.360000000001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1 239</v>
          </cell>
          <cell r="D279">
            <v>44249</v>
          </cell>
          <cell r="E279">
            <v>323675.59000000003</v>
          </cell>
          <cell r="F279">
            <v>323675.59000000003</v>
          </cell>
          <cell r="G279">
            <v>161059.79</v>
          </cell>
          <cell r="H279">
            <v>161059.79</v>
          </cell>
          <cell r="I279">
            <v>72146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1 238</v>
          </cell>
          <cell r="D280">
            <v>44250</v>
          </cell>
          <cell r="E280">
            <v>10483.959999999999</v>
          </cell>
          <cell r="F280">
            <v>49579.82</v>
          </cell>
          <cell r="G280">
            <v>37952.1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1 238</v>
          </cell>
          <cell r="D281">
            <v>44250</v>
          </cell>
          <cell r="E281">
            <v>389589.87</v>
          </cell>
          <cell r="F281">
            <v>389589.87</v>
          </cell>
          <cell r="G281">
            <v>127352.03</v>
          </cell>
          <cell r="H281">
            <v>127352.03</v>
          </cell>
          <cell r="I281">
            <v>105019.01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1 237</v>
          </cell>
          <cell r="D282">
            <v>44251</v>
          </cell>
          <cell r="E282">
            <v>1003422.87</v>
          </cell>
          <cell r="F282">
            <v>1003422.87</v>
          </cell>
          <cell r="G282">
            <v>283795.51</v>
          </cell>
          <cell r="H282">
            <v>283795.51</v>
          </cell>
          <cell r="I282">
            <v>553266.93999999994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1 237</v>
          </cell>
          <cell r="D283">
            <v>44251</v>
          </cell>
          <cell r="E283">
            <v>1448111.24</v>
          </cell>
          <cell r="F283">
            <v>1448111.24</v>
          </cell>
          <cell r="G283">
            <v>993963.4</v>
          </cell>
          <cell r="H283">
            <v>993963.4</v>
          </cell>
          <cell r="I283">
            <v>337675.21</v>
          </cell>
        </row>
        <row r="284">
          <cell r="A284" t="str">
            <v>В-00508/АЗ_В-21082023/Ц</v>
          </cell>
          <cell r="B284" t="str">
            <v>Мошкин Андрей Викторович</v>
          </cell>
          <cell r="C284" t="str">
            <v>1 225</v>
          </cell>
          <cell r="D284">
            <v>44263</v>
          </cell>
          <cell r="E284">
            <v>352617.53</v>
          </cell>
          <cell r="F284">
            <v>352617.53</v>
          </cell>
          <cell r="G284">
            <v>216649.33</v>
          </cell>
          <cell r="H284">
            <v>216649.33</v>
          </cell>
          <cell r="I284">
            <v>39174.94</v>
          </cell>
        </row>
        <row r="285">
          <cell r="A285" t="str">
            <v>В-06186/КЛ.Транш - 1_А-20210929/Ц</v>
          </cell>
          <cell r="B285" t="str">
            <v>Станкеев Сергей Николаевич</v>
          </cell>
          <cell r="C285" t="str">
            <v>1 224</v>
          </cell>
          <cell r="D285">
            <v>44264</v>
          </cell>
          <cell r="E285">
            <v>71804.039999999994</v>
          </cell>
          <cell r="F285">
            <v>71804.039999999994</v>
          </cell>
          <cell r="I285">
            <v>58541.38</v>
          </cell>
        </row>
        <row r="286">
          <cell r="A286" t="str">
            <v>В-12016/КЛ.Транш - 2_В-20211230/Ц</v>
          </cell>
          <cell r="B286" t="str">
            <v>Исаков Магомед Владимирович</v>
          </cell>
          <cell r="C286" t="str">
            <v>1 223</v>
          </cell>
          <cell r="D286">
            <v>44265</v>
          </cell>
          <cell r="E286">
            <v>52493.59</v>
          </cell>
          <cell r="F286">
            <v>52493.59</v>
          </cell>
          <cell r="I286">
            <v>21387.59</v>
          </cell>
        </row>
        <row r="287">
          <cell r="A287" t="str">
            <v>В-00687/АЗ_В-21082023/Ц</v>
          </cell>
          <cell r="B287" t="str">
            <v>Калантарян Артур Вазгени</v>
          </cell>
          <cell r="C287" t="str">
            <v>1 219</v>
          </cell>
          <cell r="D287">
            <v>44269</v>
          </cell>
          <cell r="E287">
            <v>157336.73000000001</v>
          </cell>
          <cell r="F287">
            <v>157336.73000000001</v>
          </cell>
          <cell r="G287">
            <v>65666.039999999994</v>
          </cell>
          <cell r="H287">
            <v>65666.039999999994</v>
          </cell>
          <cell r="I287">
            <v>49059.97</v>
          </cell>
        </row>
        <row r="288">
          <cell r="A288" t="str">
            <v>В-12016/КЛ.Транш - 3_В-20211230/Ц</v>
          </cell>
          <cell r="B288" t="str">
            <v>Исаков Магомед Владимирович</v>
          </cell>
          <cell r="C288" t="str">
            <v>1 218</v>
          </cell>
          <cell r="D288">
            <v>44270</v>
          </cell>
          <cell r="E288">
            <v>54613.56</v>
          </cell>
          <cell r="F288">
            <v>54613.56</v>
          </cell>
          <cell r="I288">
            <v>23777.56</v>
          </cell>
        </row>
        <row r="289">
          <cell r="A289" t="str">
            <v>В-00547/АЗ_В-21082023/Ц</v>
          </cell>
          <cell r="B289" t="str">
            <v>Струнгарь Григорий Васильевич</v>
          </cell>
          <cell r="C289" t="str">
            <v>1 215</v>
          </cell>
          <cell r="D289">
            <v>44273</v>
          </cell>
          <cell r="E289">
            <v>18195.78</v>
          </cell>
          <cell r="F289">
            <v>18195.78</v>
          </cell>
          <cell r="G289">
            <v>2319.38</v>
          </cell>
          <cell r="H289">
            <v>2319.38</v>
          </cell>
        </row>
        <row r="290">
          <cell r="A290" t="str">
            <v>А-30003/КЭ.Транш - 1</v>
          </cell>
          <cell r="B290" t="str">
            <v>ТЕХНИКА ЮГА ООО</v>
          </cell>
          <cell r="C290" t="str">
            <v>1 214</v>
          </cell>
          <cell r="D290">
            <v>44274</v>
          </cell>
          <cell r="E290">
            <v>25407.8</v>
          </cell>
          <cell r="F290">
            <v>25407.8</v>
          </cell>
        </row>
        <row r="291">
          <cell r="A291" t="str">
            <v>В-12741/КЛ.Транш - 1_В-21082023/Ц</v>
          </cell>
          <cell r="B291" t="str">
            <v>Фролов Сергей Владимирович</v>
          </cell>
          <cell r="C291" t="str">
            <v>1 214</v>
          </cell>
          <cell r="D291">
            <v>44274</v>
          </cell>
          <cell r="E291">
            <v>473072.27</v>
          </cell>
          <cell r="F291">
            <v>473072.27</v>
          </cell>
          <cell r="G291">
            <v>246917.61</v>
          </cell>
          <cell r="H291">
            <v>246917.61</v>
          </cell>
          <cell r="I291">
            <v>95860.68</v>
          </cell>
        </row>
        <row r="292">
          <cell r="A292" t="str">
            <v>В-09290/КЛ.Транш - 1_В-21082023/Ц</v>
          </cell>
          <cell r="B292" t="str">
            <v>Корносенков Евгений Алексеевич</v>
          </cell>
          <cell r="C292" t="str">
            <v>1 213</v>
          </cell>
          <cell r="D292">
            <v>44275</v>
          </cell>
          <cell r="E292">
            <v>371205.56</v>
          </cell>
          <cell r="F292">
            <v>371205.56</v>
          </cell>
          <cell r="G292">
            <v>176667.54</v>
          </cell>
          <cell r="H292">
            <v>176667.54</v>
          </cell>
          <cell r="I292">
            <v>98740.23</v>
          </cell>
        </row>
        <row r="293">
          <cell r="A293" t="str">
            <v>В-13625/КЛ.Транш - 1_В-21082023/Ц</v>
          </cell>
          <cell r="B293" t="str">
            <v>Саакян Рафик Самвелович</v>
          </cell>
          <cell r="C293" t="str">
            <v>1 213</v>
          </cell>
          <cell r="D293">
            <v>44275</v>
          </cell>
          <cell r="E293">
            <v>340332.25</v>
          </cell>
          <cell r="F293">
            <v>340332.25</v>
          </cell>
          <cell r="G293">
            <v>184919.38</v>
          </cell>
          <cell r="H293">
            <v>184919.38</v>
          </cell>
          <cell r="I293">
            <v>55510.89</v>
          </cell>
        </row>
        <row r="294">
          <cell r="A294" t="str">
            <v>Т-00002/КЭ_Т-20211028/Ц</v>
          </cell>
          <cell r="B294" t="str">
            <v>ИП Клякин Станислав Анатольевич</v>
          </cell>
          <cell r="C294" t="str">
            <v>1 209</v>
          </cell>
          <cell r="D294">
            <v>44279</v>
          </cell>
          <cell r="E294">
            <v>3526632.71</v>
          </cell>
          <cell r="F294">
            <v>3526632.71</v>
          </cell>
          <cell r="G294">
            <v>375337.6</v>
          </cell>
          <cell r="H294">
            <v>375337.6</v>
          </cell>
          <cell r="I294">
            <v>342386.01</v>
          </cell>
        </row>
        <row r="295">
          <cell r="A295" t="str">
            <v>В-01099/АЗ_В-21082023/Ц</v>
          </cell>
          <cell r="B295" t="str">
            <v>Мазуренко Наталья Владимировна</v>
          </cell>
          <cell r="C295" t="str">
            <v>1 205</v>
          </cell>
          <cell r="D295">
            <v>44283</v>
          </cell>
          <cell r="E295">
            <v>479752.35</v>
          </cell>
          <cell r="F295">
            <v>479752.35</v>
          </cell>
          <cell r="G295">
            <v>256763.61</v>
          </cell>
          <cell r="H295">
            <v>256763.61</v>
          </cell>
          <cell r="I295">
            <v>94046.02</v>
          </cell>
        </row>
        <row r="296">
          <cell r="A296" t="str">
            <v>В-13177/КЛ.Транш - 1_А-20210929/Ц</v>
          </cell>
          <cell r="B296" t="str">
            <v>Гараев Ровшан Гасымович</v>
          </cell>
          <cell r="C296" t="str">
            <v>1 205</v>
          </cell>
          <cell r="D296">
            <v>44283</v>
          </cell>
          <cell r="E296">
            <v>1310858.8899999999</v>
          </cell>
          <cell r="F296">
            <v>1310858.8899999999</v>
          </cell>
          <cell r="G296">
            <v>1000000</v>
          </cell>
          <cell r="H296">
            <v>1000000</v>
          </cell>
          <cell r="I296">
            <v>210958.89</v>
          </cell>
        </row>
        <row r="297">
          <cell r="A297" t="str">
            <v>В-11307/КЛ.Транш - 1_В-21082023/Ц</v>
          </cell>
          <cell r="B297" t="str">
            <v>Никифоров Александр Андреевич</v>
          </cell>
          <cell r="C297" t="str">
            <v>1 201</v>
          </cell>
          <cell r="D297">
            <v>44287</v>
          </cell>
          <cell r="E297">
            <v>217930.86</v>
          </cell>
          <cell r="F297">
            <v>217930.86</v>
          </cell>
          <cell r="G297">
            <v>113049.44</v>
          </cell>
          <cell r="H297">
            <v>113049.44</v>
          </cell>
          <cell r="I297">
            <v>38066.17</v>
          </cell>
        </row>
        <row r="298">
          <cell r="A298" t="str">
            <v>В-30003/КЭ.Транш - 1_В-21082023/Ц</v>
          </cell>
          <cell r="B298" t="str">
            <v>ИП Вертейко Алексей Михайлович</v>
          </cell>
          <cell r="C298" t="str">
            <v>1 200</v>
          </cell>
          <cell r="D298">
            <v>44288</v>
          </cell>
          <cell r="E298">
            <v>448683.54</v>
          </cell>
          <cell r="F298">
            <v>448683.54</v>
          </cell>
          <cell r="G298">
            <v>146164.03</v>
          </cell>
          <cell r="H298">
            <v>146164.03</v>
          </cell>
          <cell r="I298">
            <v>52579.02</v>
          </cell>
        </row>
        <row r="299">
          <cell r="A299" t="str">
            <v>В-00359/КЛ.Транш - 2_В-20211230/Ц</v>
          </cell>
          <cell r="B299" t="str">
            <v>Голота Илья Викторович</v>
          </cell>
          <cell r="C299" t="str">
            <v>1 199</v>
          </cell>
          <cell r="D299">
            <v>44289</v>
          </cell>
          <cell r="E299">
            <v>157505.21</v>
          </cell>
          <cell r="F299">
            <v>157505.21</v>
          </cell>
          <cell r="G299">
            <v>76378.320000000007</v>
          </cell>
          <cell r="H299">
            <v>76378.320000000007</v>
          </cell>
          <cell r="I299">
            <v>17157.939999999999</v>
          </cell>
        </row>
        <row r="300">
          <cell r="A300" t="str">
            <v>В-07544/КЛ.Транш - 1_В-21082023/Ц</v>
          </cell>
          <cell r="B300" t="str">
            <v>Долгополов Сергей Юрьевич</v>
          </cell>
          <cell r="C300" t="str">
            <v>1 192</v>
          </cell>
          <cell r="D300">
            <v>44296</v>
          </cell>
          <cell r="E300">
            <v>404568.26</v>
          </cell>
          <cell r="F300">
            <v>404568.26</v>
          </cell>
          <cell r="G300">
            <v>197192.25</v>
          </cell>
          <cell r="H300">
            <v>197192.25</v>
          </cell>
          <cell r="I300">
            <v>103722.45</v>
          </cell>
        </row>
        <row r="301">
          <cell r="A301" t="str">
            <v>В-12294/КЛ.Транш - 1_В-20211230/Ц</v>
          </cell>
          <cell r="B301" t="str">
            <v>Макаров Алексей Александрович</v>
          </cell>
          <cell r="C301" t="str">
            <v>1 190</v>
          </cell>
          <cell r="D301">
            <v>44298</v>
          </cell>
          <cell r="E301">
            <v>178306.43</v>
          </cell>
          <cell r="F301">
            <v>178306.43</v>
          </cell>
          <cell r="G301">
            <v>100000</v>
          </cell>
          <cell r="H301">
            <v>100000</v>
          </cell>
          <cell r="I301">
            <v>4657.17</v>
          </cell>
        </row>
        <row r="302">
          <cell r="A302" t="str">
            <v>В-03392/КЛ.Транш - 1</v>
          </cell>
          <cell r="B302" t="str">
            <v>Громов Сергей Дмитриевич</v>
          </cell>
          <cell r="C302" t="str">
            <v>1 189</v>
          </cell>
          <cell r="D302">
            <v>44299</v>
          </cell>
          <cell r="E302">
            <v>753928.89</v>
          </cell>
          <cell r="F302">
            <v>753928.89</v>
          </cell>
          <cell r="G302">
            <v>350969.69</v>
          </cell>
          <cell r="H302">
            <v>350969.69</v>
          </cell>
          <cell r="I302">
            <v>163968.25</v>
          </cell>
        </row>
        <row r="303">
          <cell r="A303" t="str">
            <v>В-13600/КЛ.Транш - 1_В-20211230/Ц</v>
          </cell>
          <cell r="B303" t="str">
            <v>Карманов Александр Иванович</v>
          </cell>
          <cell r="C303" t="str">
            <v>1 189</v>
          </cell>
          <cell r="D303">
            <v>44299</v>
          </cell>
          <cell r="E303">
            <v>322609.34000000003</v>
          </cell>
          <cell r="F303">
            <v>322609.34000000003</v>
          </cell>
          <cell r="G303">
            <v>163668.96</v>
          </cell>
          <cell r="H303">
            <v>163668.96</v>
          </cell>
          <cell r="I303">
            <v>39086.28</v>
          </cell>
        </row>
        <row r="304">
          <cell r="A304" t="str">
            <v>В-14569/КЛ.Транш - 1_А-20210929/Ц</v>
          </cell>
          <cell r="B304" t="str">
            <v>Ануфриенко Сергей Владимирович</v>
          </cell>
          <cell r="C304" t="str">
            <v>1 188</v>
          </cell>
          <cell r="D304">
            <v>44300</v>
          </cell>
          <cell r="E304">
            <v>1227804.1599999999</v>
          </cell>
          <cell r="F304">
            <v>1227804.1599999999</v>
          </cell>
          <cell r="G304">
            <v>900000</v>
          </cell>
          <cell r="H304">
            <v>900000</v>
          </cell>
          <cell r="I304">
            <v>246156.16</v>
          </cell>
        </row>
        <row r="305">
          <cell r="A305" t="str">
            <v>В-11333/КЛ.Транш - 1_В-20211230/Ц</v>
          </cell>
          <cell r="B305" t="str">
            <v>Нургушиев Нуридин Эдильбийевич</v>
          </cell>
          <cell r="C305" t="str">
            <v>1 185</v>
          </cell>
          <cell r="D305">
            <v>44303</v>
          </cell>
          <cell r="E305">
            <v>157823.91</v>
          </cell>
          <cell r="F305">
            <v>157823.91</v>
          </cell>
          <cell r="G305">
            <v>74526.33</v>
          </cell>
          <cell r="H305">
            <v>74526.33</v>
          </cell>
          <cell r="I305">
            <v>26287.279999999999</v>
          </cell>
        </row>
        <row r="306">
          <cell r="A306" t="str">
            <v>В-09247/КЛ.Транш - 1_А-20210929/Ц</v>
          </cell>
          <cell r="B306" t="str">
            <v>Резников Сергей Владимирович</v>
          </cell>
          <cell r="C306" t="str">
            <v>1 184</v>
          </cell>
          <cell r="D306">
            <v>44304</v>
          </cell>
          <cell r="E306">
            <v>212754.31</v>
          </cell>
          <cell r="F306">
            <v>212754.31</v>
          </cell>
          <cell r="G306">
            <v>103180</v>
          </cell>
          <cell r="H306">
            <v>103180</v>
          </cell>
          <cell r="I306">
            <v>74150.31</v>
          </cell>
        </row>
        <row r="307">
          <cell r="A307" t="str">
            <v>В-01109/АЗ_В-21082023/Ц</v>
          </cell>
          <cell r="B307" t="str">
            <v>Мазуренко Наталья Владимировна</v>
          </cell>
          <cell r="C307" t="str">
            <v>1 183</v>
          </cell>
          <cell r="D307">
            <v>44305</v>
          </cell>
          <cell r="E307">
            <v>308962.93</v>
          </cell>
          <cell r="F307">
            <v>343133.31</v>
          </cell>
          <cell r="G307">
            <v>99070.9</v>
          </cell>
          <cell r="H307">
            <v>64900.52</v>
          </cell>
          <cell r="I307">
            <v>180444.75</v>
          </cell>
        </row>
        <row r="308">
          <cell r="A308" t="str">
            <v>А-00458/КЭ.Транш - 1</v>
          </cell>
          <cell r="B308" t="str">
            <v>ИП Харин Евгений Александрович</v>
          </cell>
          <cell r="C308" t="str">
            <v>1 179</v>
          </cell>
          <cell r="D308">
            <v>44309</v>
          </cell>
          <cell r="E308">
            <v>611257.09</v>
          </cell>
          <cell r="F308">
            <v>611257.09</v>
          </cell>
          <cell r="G308">
            <v>395657.83</v>
          </cell>
          <cell r="H308">
            <v>395657.83</v>
          </cell>
          <cell r="I308">
            <v>106944.72</v>
          </cell>
        </row>
        <row r="309">
          <cell r="A309" t="str">
            <v>В-12894/КЛ.Транш - 1_В-20211230/Ц</v>
          </cell>
          <cell r="B309" t="str">
            <v>Щеглов Роман Сергеевич</v>
          </cell>
          <cell r="C309" t="str">
            <v>1 179</v>
          </cell>
          <cell r="D309">
            <v>44309</v>
          </cell>
          <cell r="E309">
            <v>188233</v>
          </cell>
          <cell r="F309">
            <v>188233</v>
          </cell>
          <cell r="G309">
            <v>97845.22</v>
          </cell>
          <cell r="H309">
            <v>97845.22</v>
          </cell>
          <cell r="I309">
            <v>28093.64</v>
          </cell>
        </row>
        <row r="310">
          <cell r="A310" t="str">
            <v>В-13136/КЛ.Транш - 1_В-20211230/Ц</v>
          </cell>
          <cell r="B310" t="str">
            <v>Пахомов Михаил Юрьевич</v>
          </cell>
          <cell r="C310" t="str">
            <v>1 174</v>
          </cell>
          <cell r="D310">
            <v>44314</v>
          </cell>
          <cell r="E310">
            <v>379746.08</v>
          </cell>
          <cell r="F310">
            <v>445644.26</v>
          </cell>
          <cell r="G310">
            <v>65898.179999999993</v>
          </cell>
          <cell r="I310">
            <v>272198.55</v>
          </cell>
        </row>
        <row r="311">
          <cell r="A311" t="str">
            <v>В-02690/КЛ.Транш - 1_В-20211230/Ц</v>
          </cell>
          <cell r="B311" t="str">
            <v>Никонов Андрей Георгиевич</v>
          </cell>
          <cell r="C311" t="str">
            <v>1 172</v>
          </cell>
          <cell r="D311">
            <v>44316</v>
          </cell>
          <cell r="E311">
            <v>177254.25</v>
          </cell>
          <cell r="F311">
            <v>177254.25</v>
          </cell>
          <cell r="G311">
            <v>93309.37</v>
          </cell>
          <cell r="H311">
            <v>93309.37</v>
          </cell>
        </row>
        <row r="312">
          <cell r="A312" t="str">
            <v>Т-10005/КЭ_Т-20211028/Ц</v>
          </cell>
          <cell r="B312" t="str">
            <v>ИП Богданова Лариса Анатольевна</v>
          </cell>
          <cell r="C312" t="str">
            <v>1 172</v>
          </cell>
          <cell r="D312">
            <v>44316</v>
          </cell>
          <cell r="E312">
            <v>183930.89</v>
          </cell>
          <cell r="F312">
            <v>183930.89</v>
          </cell>
          <cell r="G312">
            <v>170687.58</v>
          </cell>
          <cell r="H312">
            <v>170687.58</v>
          </cell>
          <cell r="I312">
            <v>10353.49</v>
          </cell>
        </row>
        <row r="313">
          <cell r="A313" t="str">
            <v>В-16441/КЛ.Транш - 1_В-20211230/Ц</v>
          </cell>
          <cell r="B313" t="str">
            <v>Тюрин Алексей Викторович</v>
          </cell>
          <cell r="C313" t="str">
            <v>1 169</v>
          </cell>
          <cell r="D313">
            <v>44319</v>
          </cell>
          <cell r="E313">
            <v>529090.86</v>
          </cell>
          <cell r="F313">
            <v>529090.86</v>
          </cell>
          <cell r="G313">
            <v>284090.90000000002</v>
          </cell>
          <cell r="H313">
            <v>284090.90000000002</v>
          </cell>
          <cell r="I313">
            <v>52926.53</v>
          </cell>
        </row>
        <row r="314">
          <cell r="A314" t="str">
            <v>А-04357/АЗ</v>
          </cell>
          <cell r="B314" t="str">
            <v>Головко Владимир Павлович</v>
          </cell>
          <cell r="C314" t="str">
            <v>1 167</v>
          </cell>
          <cell r="D314">
            <v>44321</v>
          </cell>
          <cell r="E314">
            <v>579.04</v>
          </cell>
          <cell r="F314">
            <v>579.04</v>
          </cell>
        </row>
        <row r="315">
          <cell r="A315" t="str">
            <v>В-16457/КЛ.Транш - 1_В-20211230/Ц</v>
          </cell>
          <cell r="B315" t="str">
            <v>Мирошниченко Евгений Константинович</v>
          </cell>
          <cell r="C315" t="str">
            <v>1 165</v>
          </cell>
          <cell r="D315">
            <v>44323</v>
          </cell>
          <cell r="E315">
            <v>617485.84</v>
          </cell>
          <cell r="F315">
            <v>617485.84</v>
          </cell>
          <cell r="G315">
            <v>340909.1</v>
          </cell>
          <cell r="H315">
            <v>340909.1</v>
          </cell>
          <cell r="I315">
            <v>62110.82</v>
          </cell>
        </row>
        <row r="316">
          <cell r="A316" t="str">
            <v>В-09302/КЛ.Транш - 3_В-20211230/Ц</v>
          </cell>
          <cell r="B316" t="str">
            <v>Шквыр Виктор Викторович</v>
          </cell>
          <cell r="C316" t="str">
            <v>1 161</v>
          </cell>
          <cell r="D316">
            <v>44327</v>
          </cell>
          <cell r="E316">
            <v>49853.5</v>
          </cell>
          <cell r="F316">
            <v>49853.5</v>
          </cell>
        </row>
        <row r="317">
          <cell r="A317" t="str">
            <v>В-16777/КЛ.Транш - 1_В-20211230/Ц</v>
          </cell>
          <cell r="B317" t="str">
            <v>Фролов Василий Михайлович</v>
          </cell>
          <cell r="C317" t="str">
            <v>1 159</v>
          </cell>
          <cell r="D317">
            <v>44329</v>
          </cell>
          <cell r="E317">
            <v>214513.65</v>
          </cell>
          <cell r="F317">
            <v>214513.65</v>
          </cell>
          <cell r="G317">
            <v>113636.4</v>
          </cell>
          <cell r="H317">
            <v>113636.4</v>
          </cell>
          <cell r="I317">
            <v>19769.61</v>
          </cell>
        </row>
        <row r="318">
          <cell r="A318" t="str">
            <v>В-16873/КЛ.Транш - 1</v>
          </cell>
          <cell r="B318" t="str">
            <v>Казанин Игорь Викторович</v>
          </cell>
          <cell r="C318" t="str">
            <v>1 157</v>
          </cell>
          <cell r="D318">
            <v>44331</v>
          </cell>
          <cell r="E318">
            <v>612277.14</v>
          </cell>
          <cell r="F318">
            <v>612277.14</v>
          </cell>
          <cell r="G318">
            <v>340909.1</v>
          </cell>
          <cell r="H318">
            <v>340909.1</v>
          </cell>
          <cell r="I318">
            <v>58374.85</v>
          </cell>
        </row>
        <row r="319">
          <cell r="A319" t="str">
            <v>В-09302/КЛ.Транш - 4_В-20211230/Ц</v>
          </cell>
          <cell r="B319" t="str">
            <v>Шквыр Виктор Викторович</v>
          </cell>
          <cell r="C319" t="str">
            <v>1 156</v>
          </cell>
          <cell r="D319">
            <v>44332</v>
          </cell>
          <cell r="E319">
            <v>117690.19</v>
          </cell>
          <cell r="F319">
            <v>117690.19</v>
          </cell>
          <cell r="G319">
            <v>57218.29</v>
          </cell>
          <cell r="H319">
            <v>57218.29</v>
          </cell>
        </row>
        <row r="320">
          <cell r="A320" t="str">
            <v>В-09302/КЛ.Транш - 2_В-20211230/Ц</v>
          </cell>
          <cell r="B320" t="str">
            <v>Шквыр Виктор Викторович</v>
          </cell>
          <cell r="C320" t="str">
            <v>1 149</v>
          </cell>
          <cell r="D320">
            <v>44339</v>
          </cell>
          <cell r="E320">
            <v>35194.410000000003</v>
          </cell>
          <cell r="F320">
            <v>35194.410000000003</v>
          </cell>
        </row>
        <row r="321">
          <cell r="A321" t="str">
            <v>В-16186/КЛ.Транш - 1_В-21082023/Ц</v>
          </cell>
          <cell r="B321" t="str">
            <v>Атцаев Ахмед Шахитович</v>
          </cell>
          <cell r="C321" t="str">
            <v>1 144</v>
          </cell>
          <cell r="D321">
            <v>44344</v>
          </cell>
          <cell r="E321">
            <v>236104.18</v>
          </cell>
          <cell r="F321">
            <v>236104.18</v>
          </cell>
          <cell r="G321">
            <v>141050.5</v>
          </cell>
          <cell r="H321">
            <v>141050.5</v>
          </cell>
          <cell r="I321">
            <v>22364.34</v>
          </cell>
        </row>
        <row r="322">
          <cell r="A322" t="str">
            <v>В-17494/КЛ.Транш - 1_В-21082023/Ц</v>
          </cell>
          <cell r="B322" t="str">
            <v>Герейханов Фаик Гуснеддинович</v>
          </cell>
          <cell r="C322" t="str">
            <v>1 143</v>
          </cell>
          <cell r="D322">
            <v>44345</v>
          </cell>
          <cell r="E322">
            <v>712935.01</v>
          </cell>
          <cell r="F322">
            <v>712935.01</v>
          </cell>
          <cell r="G322">
            <v>400000</v>
          </cell>
          <cell r="H322">
            <v>400000</v>
          </cell>
          <cell r="I322">
            <v>122476.72</v>
          </cell>
        </row>
        <row r="323">
          <cell r="A323" t="str">
            <v>В-13669/КЛ.Транш - 2_В-20211230/Ц</v>
          </cell>
          <cell r="B323" t="str">
            <v>Почапский Антон Вячеславович</v>
          </cell>
          <cell r="C323" t="str">
            <v>1 142</v>
          </cell>
          <cell r="D323">
            <v>44346</v>
          </cell>
          <cell r="E323">
            <v>191795.08</v>
          </cell>
          <cell r="F323">
            <v>191795.08</v>
          </cell>
          <cell r="G323">
            <v>98193.9</v>
          </cell>
          <cell r="H323">
            <v>98193.9</v>
          </cell>
          <cell r="I323">
            <v>33046.97</v>
          </cell>
        </row>
        <row r="324">
          <cell r="A324" t="str">
            <v>В-17533/КЛ.Транш - 1_В-20211230/Ц</v>
          </cell>
          <cell r="B324" t="str">
            <v>Даниялов Марат Алавутдинович</v>
          </cell>
          <cell r="C324" t="str">
            <v>1 142</v>
          </cell>
          <cell r="D324">
            <v>44346</v>
          </cell>
          <cell r="E324">
            <v>1896296.44</v>
          </cell>
          <cell r="F324">
            <v>1896296.44</v>
          </cell>
          <cell r="G324">
            <v>1000000</v>
          </cell>
          <cell r="H324">
            <v>1000000</v>
          </cell>
          <cell r="I324">
            <v>279616.44</v>
          </cell>
        </row>
        <row r="325">
          <cell r="A325" t="str">
            <v>В-10433/КЛ.Транш - 2_В-21082023/Ц</v>
          </cell>
          <cell r="B325" t="str">
            <v>Сорокин Константин Витальевич</v>
          </cell>
          <cell r="C325" t="str">
            <v>1 139</v>
          </cell>
          <cell r="D325">
            <v>44349</v>
          </cell>
          <cell r="E325">
            <v>859611.56</v>
          </cell>
          <cell r="F325">
            <v>859611.56</v>
          </cell>
          <cell r="G325">
            <v>491867.54</v>
          </cell>
          <cell r="H325">
            <v>491867.54</v>
          </cell>
          <cell r="I325">
            <v>142601.16</v>
          </cell>
        </row>
        <row r="326">
          <cell r="A326" t="str">
            <v>В-00319/КЛ.Транш - 2_В-20211230/Ц</v>
          </cell>
          <cell r="B326" t="str">
            <v>Бардин Андрей Юрьевич</v>
          </cell>
          <cell r="C326" t="str">
            <v>1 138</v>
          </cell>
          <cell r="D326">
            <v>44350</v>
          </cell>
          <cell r="E326">
            <v>110004.83</v>
          </cell>
          <cell r="F326">
            <v>110004.83</v>
          </cell>
          <cell r="G326">
            <v>56007.23</v>
          </cell>
          <cell r="H326">
            <v>56007.23</v>
          </cell>
          <cell r="I326">
            <v>9336.26</v>
          </cell>
        </row>
        <row r="327">
          <cell r="A327" t="str">
            <v>В-12016/КЛ.Транш - 1_В-20211230/Ц</v>
          </cell>
          <cell r="B327" t="str">
            <v>Исаков Магомед Владимирович</v>
          </cell>
          <cell r="C327" t="str">
            <v>1 136</v>
          </cell>
          <cell r="D327">
            <v>44352</v>
          </cell>
          <cell r="E327">
            <v>43625.5</v>
          </cell>
          <cell r="F327">
            <v>43625.5</v>
          </cell>
          <cell r="I327">
            <v>15100.52</v>
          </cell>
        </row>
        <row r="328">
          <cell r="A328" t="str">
            <v>В-07717/КЛ.Транш - 1_В-20211230/Ц</v>
          </cell>
          <cell r="B328" t="str">
            <v>Перевалов Артём Владимирович</v>
          </cell>
          <cell r="C328" t="str">
            <v>1 134</v>
          </cell>
          <cell r="D328">
            <v>44354</v>
          </cell>
          <cell r="E328">
            <v>155139.42000000001</v>
          </cell>
          <cell r="F328">
            <v>155139.42000000001</v>
          </cell>
          <cell r="G328">
            <v>78274.16</v>
          </cell>
          <cell r="H328">
            <v>78274.16</v>
          </cell>
          <cell r="I328">
            <v>20095.25</v>
          </cell>
        </row>
        <row r="329">
          <cell r="A329" t="str">
            <v>В-13669/КЛ.Транш - 3_В-20211230/Ц</v>
          </cell>
          <cell r="B329" t="str">
            <v>Почапский Антон Вячеславович</v>
          </cell>
          <cell r="C329" t="str">
            <v>1 132</v>
          </cell>
          <cell r="D329">
            <v>44356</v>
          </cell>
          <cell r="E329">
            <v>185850.19</v>
          </cell>
          <cell r="F329">
            <v>185850.19</v>
          </cell>
          <cell r="G329">
            <v>97843.09</v>
          </cell>
          <cell r="H329">
            <v>97843.09</v>
          </cell>
          <cell r="I329">
            <v>28197.57</v>
          </cell>
        </row>
        <row r="330">
          <cell r="A330" t="str">
            <v>В-09302/КЛ.Транш - 5_В-20211230/Ц</v>
          </cell>
          <cell r="B330" t="str">
            <v>Шквыр Виктор Викторович</v>
          </cell>
          <cell r="C330" t="str">
            <v>1 131</v>
          </cell>
          <cell r="D330">
            <v>44357</v>
          </cell>
          <cell r="E330">
            <v>175624.61</v>
          </cell>
          <cell r="F330">
            <v>175624.61</v>
          </cell>
          <cell r="G330">
            <v>97032.62</v>
          </cell>
          <cell r="H330">
            <v>97032.62</v>
          </cell>
          <cell r="I330">
            <v>17330.29</v>
          </cell>
        </row>
        <row r="331">
          <cell r="A331" t="str">
            <v>В-13669/КЛ.Транш - 6_В-20211230/Ц</v>
          </cell>
          <cell r="B331" t="str">
            <v>Почапский Антон Вячеславович</v>
          </cell>
          <cell r="C331" t="str">
            <v>1 131</v>
          </cell>
          <cell r="D331">
            <v>44357</v>
          </cell>
          <cell r="E331">
            <v>189709.61</v>
          </cell>
          <cell r="F331">
            <v>189709.61</v>
          </cell>
          <cell r="G331">
            <v>100000</v>
          </cell>
          <cell r="H331">
            <v>100000</v>
          </cell>
          <cell r="I331">
            <v>28635.61</v>
          </cell>
        </row>
        <row r="332">
          <cell r="A332" t="str">
            <v>В-14484/КЛ.Транш - 1_В-21082023/Ц</v>
          </cell>
          <cell r="B332" t="str">
            <v>Титов Максим Сергеевич</v>
          </cell>
          <cell r="C332" t="str">
            <v>1 129</v>
          </cell>
          <cell r="D332">
            <v>44359</v>
          </cell>
          <cell r="E332">
            <v>95479.38</v>
          </cell>
          <cell r="F332">
            <v>95479.38</v>
          </cell>
          <cell r="G332">
            <v>34474.03</v>
          </cell>
          <cell r="H332">
            <v>34474.03</v>
          </cell>
        </row>
        <row r="333">
          <cell r="A333" t="str">
            <v>В-16915/КЛ.Транш - 1_В-20211230/Ц</v>
          </cell>
          <cell r="B333" t="str">
            <v>Ильинский Владимир Юрьевич</v>
          </cell>
          <cell r="C333" t="str">
            <v>1 124</v>
          </cell>
          <cell r="D333">
            <v>44364</v>
          </cell>
          <cell r="E333">
            <v>1693923.71</v>
          </cell>
          <cell r="F333">
            <v>1693923.71</v>
          </cell>
          <cell r="G333">
            <v>940452.63</v>
          </cell>
          <cell r="H333">
            <v>940452.63</v>
          </cell>
          <cell r="I333">
            <v>182653.96</v>
          </cell>
        </row>
        <row r="334">
          <cell r="A334" t="str">
            <v>В-00022/КЭ.Транш - 1_А-20210929/Ц</v>
          </cell>
          <cell r="B334" t="str">
            <v>ИП Харин Евгений Александрович</v>
          </cell>
          <cell r="C334" t="str">
            <v>1 123</v>
          </cell>
          <cell r="D334">
            <v>44365</v>
          </cell>
          <cell r="E334">
            <v>328009.43</v>
          </cell>
          <cell r="F334">
            <v>328009.43</v>
          </cell>
          <cell r="G334">
            <v>200489.60000000001</v>
          </cell>
          <cell r="H334">
            <v>200489.60000000001</v>
          </cell>
          <cell r="I334">
            <v>43100.63</v>
          </cell>
        </row>
        <row r="335">
          <cell r="A335" t="str">
            <v>В-00011/КЭ.Транш - 1_А-20210929/Ц</v>
          </cell>
          <cell r="B335" t="str">
            <v>ЛИДЕР ГРУПП ООО</v>
          </cell>
          <cell r="C335" t="str">
            <v>1 122</v>
          </cell>
          <cell r="D335">
            <v>44366</v>
          </cell>
          <cell r="E335">
            <v>264514.83</v>
          </cell>
          <cell r="F335">
            <v>264514.83</v>
          </cell>
          <cell r="G335">
            <v>148111.51</v>
          </cell>
          <cell r="H335">
            <v>148111.51</v>
          </cell>
          <cell r="I335">
            <v>34640.480000000003</v>
          </cell>
        </row>
        <row r="336">
          <cell r="A336" t="str">
            <v>В-10278/КЛ.Транш - 1_В-21082023/Ц</v>
          </cell>
          <cell r="B336" t="str">
            <v>Инджелер Фатих</v>
          </cell>
          <cell r="C336" t="str">
            <v>1 122</v>
          </cell>
          <cell r="D336">
            <v>44366</v>
          </cell>
          <cell r="E336">
            <v>1202644.78</v>
          </cell>
          <cell r="F336">
            <v>1202644.78</v>
          </cell>
          <cell r="G336">
            <v>612100.54</v>
          </cell>
          <cell r="H336">
            <v>612100.54</v>
          </cell>
          <cell r="I336">
            <v>306050.28000000003</v>
          </cell>
        </row>
        <row r="337">
          <cell r="A337" t="str">
            <v>В-18171/КЛ.Транш - 1_В-20211230/Ц</v>
          </cell>
          <cell r="B337" t="str">
            <v>Гачегов Дмитрий Сергеевич</v>
          </cell>
          <cell r="C337" t="str">
            <v>1 121</v>
          </cell>
          <cell r="D337">
            <v>44367</v>
          </cell>
          <cell r="E337">
            <v>335950.31</v>
          </cell>
          <cell r="F337">
            <v>335950.31</v>
          </cell>
          <cell r="G337">
            <v>181818.2</v>
          </cell>
          <cell r="H337">
            <v>181818.2</v>
          </cell>
          <cell r="I337">
            <v>32627.64</v>
          </cell>
        </row>
        <row r="338">
          <cell r="A338" t="str">
            <v>В-17075/КЛ.Транш - 1_В-20211230/Ц</v>
          </cell>
          <cell r="B338" t="str">
            <v>Хашимов Далерджон Темурович</v>
          </cell>
          <cell r="C338" t="str">
            <v>1 120</v>
          </cell>
          <cell r="D338">
            <v>44368</v>
          </cell>
          <cell r="E338">
            <v>915248.18</v>
          </cell>
          <cell r="F338">
            <v>915248.18</v>
          </cell>
          <cell r="G338">
            <v>504706.65</v>
          </cell>
          <cell r="H338">
            <v>504706.65</v>
          </cell>
          <cell r="I338">
            <v>89879.27</v>
          </cell>
        </row>
        <row r="339">
          <cell r="A339" t="str">
            <v>В-18216/КЛ.Транш - 1_В-20211230/Ц</v>
          </cell>
          <cell r="B339" t="str">
            <v>Иванов Илья Андреевич</v>
          </cell>
          <cell r="C339" t="str">
            <v>1 120</v>
          </cell>
          <cell r="D339">
            <v>44368</v>
          </cell>
          <cell r="E339">
            <v>158109.43</v>
          </cell>
          <cell r="F339">
            <v>158109.43</v>
          </cell>
          <cell r="G339">
            <v>91093.14</v>
          </cell>
          <cell r="H339">
            <v>91093.14</v>
          </cell>
        </row>
        <row r="340">
          <cell r="A340" t="str">
            <v>А-05387/АЗ</v>
          </cell>
          <cell r="B340" t="str">
            <v>Кульчак Екатерина Александровна</v>
          </cell>
          <cell r="C340" t="str">
            <v>1 119</v>
          </cell>
          <cell r="D340">
            <v>44369</v>
          </cell>
          <cell r="E340">
            <v>54.22</v>
          </cell>
          <cell r="F340">
            <v>54.22</v>
          </cell>
        </row>
        <row r="341">
          <cell r="A341" t="str">
            <v>В-10433/КЛ.Транш - 1_В-21082023/Ц</v>
          </cell>
          <cell r="B341" t="str">
            <v>Сорокин Константин Витальевич</v>
          </cell>
          <cell r="C341" t="str">
            <v>1 119</v>
          </cell>
          <cell r="D341">
            <v>44369</v>
          </cell>
          <cell r="E341">
            <v>722172.23</v>
          </cell>
          <cell r="F341">
            <v>722172.23</v>
          </cell>
          <cell r="G341">
            <v>450073.9</v>
          </cell>
          <cell r="H341">
            <v>450073.9</v>
          </cell>
          <cell r="I341">
            <v>75834.38</v>
          </cell>
        </row>
        <row r="342">
          <cell r="A342" t="str">
            <v>В-13669/КЛ.Транш - 4_В-20211230/Ц</v>
          </cell>
          <cell r="B342" t="str">
            <v>Почапский Антон Вячеславович</v>
          </cell>
          <cell r="C342" t="str">
            <v>1 119</v>
          </cell>
          <cell r="D342">
            <v>44369</v>
          </cell>
          <cell r="E342">
            <v>182828.5</v>
          </cell>
          <cell r="F342">
            <v>182828.5</v>
          </cell>
          <cell r="G342">
            <v>97843.09</v>
          </cell>
          <cell r="H342">
            <v>97843.09</v>
          </cell>
          <cell r="I342">
            <v>25862.74</v>
          </cell>
        </row>
        <row r="343">
          <cell r="A343" t="str">
            <v>В-17043/КЛ.Транш - 1_В-20211230/Ц</v>
          </cell>
          <cell r="B343" t="str">
            <v>Петров Сергей Анатольевич</v>
          </cell>
          <cell r="C343" t="str">
            <v>1 119</v>
          </cell>
          <cell r="D343">
            <v>44369</v>
          </cell>
          <cell r="E343">
            <v>549352.32999999996</v>
          </cell>
          <cell r="F343">
            <v>549352.32999999996</v>
          </cell>
          <cell r="G343">
            <v>282703.67</v>
          </cell>
          <cell r="H343">
            <v>282703.67</v>
          </cell>
          <cell r="I343">
            <v>82812.800000000003</v>
          </cell>
        </row>
        <row r="344">
          <cell r="A344" t="str">
            <v>В-08288/КЛ.Транш - 2_В-21082023/Ц</v>
          </cell>
          <cell r="B344" t="str">
            <v>Атаманов Максим Владимирович</v>
          </cell>
          <cell r="C344" t="str">
            <v>1 118</v>
          </cell>
          <cell r="D344">
            <v>44370</v>
          </cell>
          <cell r="E344">
            <v>198026.13</v>
          </cell>
          <cell r="F344">
            <v>198026.13</v>
          </cell>
          <cell r="G344">
            <v>44089.13</v>
          </cell>
          <cell r="H344">
            <v>44089.13</v>
          </cell>
        </row>
        <row r="345">
          <cell r="A345" t="str">
            <v>В-13042/КЛ.Транш - 1_В-20211230/Ц</v>
          </cell>
          <cell r="B345" t="str">
            <v>Шумилов Валерий Игоревич</v>
          </cell>
          <cell r="C345" t="str">
            <v>1 116</v>
          </cell>
          <cell r="D345">
            <v>44372</v>
          </cell>
          <cell r="E345">
            <v>191171.85</v>
          </cell>
          <cell r="F345">
            <v>191171.85</v>
          </cell>
          <cell r="G345">
            <v>97642.22</v>
          </cell>
          <cell r="H345">
            <v>97642.22</v>
          </cell>
          <cell r="I345">
            <v>24931.48</v>
          </cell>
        </row>
        <row r="346">
          <cell r="A346" t="str">
            <v>А-10118/КЭ.Транш - 1</v>
          </cell>
          <cell r="B346" t="str">
            <v>ТРАНСЛОГ ООО</v>
          </cell>
          <cell r="C346" t="str">
            <v>1 114</v>
          </cell>
          <cell r="D346">
            <v>44374</v>
          </cell>
          <cell r="E346">
            <v>101241.39</v>
          </cell>
          <cell r="F346">
            <v>101241.39</v>
          </cell>
        </row>
        <row r="347">
          <cell r="A347" t="str">
            <v>В-00239/КЛ.Транш - 1_В-20211230/Ц</v>
          </cell>
          <cell r="B347" t="str">
            <v>Морозкина Наталья Сергеевна</v>
          </cell>
          <cell r="C347" t="str">
            <v>1 114</v>
          </cell>
          <cell r="D347">
            <v>44374</v>
          </cell>
          <cell r="E347">
            <v>65919.72</v>
          </cell>
          <cell r="F347">
            <v>65919.72</v>
          </cell>
          <cell r="G347">
            <v>49167.83</v>
          </cell>
          <cell r="H347">
            <v>49167.83</v>
          </cell>
          <cell r="I347">
            <v>10470.92</v>
          </cell>
        </row>
        <row r="348">
          <cell r="A348" t="str">
            <v>В-15583/КЛ.Транш - 1_В-21082023/Ц</v>
          </cell>
          <cell r="B348" t="str">
            <v>Кокина Татьяна Викторовна</v>
          </cell>
          <cell r="C348" t="str">
            <v>1 114</v>
          </cell>
          <cell r="D348">
            <v>44374</v>
          </cell>
          <cell r="E348">
            <v>509600.19</v>
          </cell>
          <cell r="F348">
            <v>509600.19</v>
          </cell>
          <cell r="G348">
            <v>297351.01</v>
          </cell>
          <cell r="H348">
            <v>297351.01</v>
          </cell>
          <cell r="I348">
            <v>73131.87</v>
          </cell>
        </row>
        <row r="349">
          <cell r="A349" t="str">
            <v>В-13070/КЛ.Транш - 3_В-21082023/Ц</v>
          </cell>
          <cell r="B349" t="str">
            <v>Деревяга Илья Викторович</v>
          </cell>
          <cell r="C349" t="str">
            <v>1 111</v>
          </cell>
          <cell r="D349">
            <v>44377</v>
          </cell>
          <cell r="E349">
            <v>179091.71</v>
          </cell>
          <cell r="F349">
            <v>179091.71</v>
          </cell>
          <cell r="G349">
            <v>97417.05</v>
          </cell>
          <cell r="H349">
            <v>97417.05</v>
          </cell>
          <cell r="I349">
            <v>33913.54</v>
          </cell>
        </row>
        <row r="350">
          <cell r="A350" t="str">
            <v>А-00063/БЭ</v>
          </cell>
          <cell r="B350" t="str">
            <v>Иванов Евгений Владимирович</v>
          </cell>
          <cell r="C350" t="str">
            <v>1 108</v>
          </cell>
          <cell r="D350">
            <v>44380</v>
          </cell>
          <cell r="E350">
            <v>397880.3</v>
          </cell>
          <cell r="F350">
            <v>397880.3</v>
          </cell>
          <cell r="G350">
            <v>154334.04999999999</v>
          </cell>
          <cell r="H350">
            <v>154334.04999999999</v>
          </cell>
          <cell r="I350">
            <v>151205.1</v>
          </cell>
        </row>
        <row r="351">
          <cell r="A351" t="str">
            <v>В-13669/КЛ.Транш - 5_В-20211230/Ц</v>
          </cell>
          <cell r="B351" t="str">
            <v>Почапский Антон Вячеславович</v>
          </cell>
          <cell r="C351" t="str">
            <v>1 108</v>
          </cell>
          <cell r="D351">
            <v>44380</v>
          </cell>
          <cell r="E351">
            <v>180429.95</v>
          </cell>
          <cell r="F351">
            <v>180429.95</v>
          </cell>
          <cell r="G351">
            <v>98026.65</v>
          </cell>
          <cell r="H351">
            <v>98026.65</v>
          </cell>
          <cell r="I351">
            <v>23751.99</v>
          </cell>
        </row>
        <row r="352">
          <cell r="A352" t="str">
            <v>Т-00038/БЭ_Т-20211028/Ц</v>
          </cell>
          <cell r="B352" t="str">
            <v>Иванов Евгений Владимирович</v>
          </cell>
          <cell r="C352" t="str">
            <v>1 108</v>
          </cell>
          <cell r="D352">
            <v>44380</v>
          </cell>
          <cell r="E352">
            <v>397880.3</v>
          </cell>
          <cell r="F352">
            <v>397880.3</v>
          </cell>
          <cell r="G352">
            <v>154334.04999999999</v>
          </cell>
          <cell r="H352">
            <v>154334.04999999999</v>
          </cell>
          <cell r="I352">
            <v>151205.1</v>
          </cell>
        </row>
        <row r="353">
          <cell r="A353" t="str">
            <v>В-17625/КЛ.Транш - 1_В-20211230/Ц</v>
          </cell>
          <cell r="B353" t="str">
            <v>Иванов Борис Александрович</v>
          </cell>
          <cell r="C353" t="str">
            <v>1 107</v>
          </cell>
          <cell r="D353">
            <v>44381</v>
          </cell>
          <cell r="E353">
            <v>1872821.22</v>
          </cell>
          <cell r="F353">
            <v>1872821.22</v>
          </cell>
          <cell r="G353">
            <v>994190.24</v>
          </cell>
          <cell r="H353">
            <v>994190.24</v>
          </cell>
          <cell r="I353">
            <v>284323.94</v>
          </cell>
        </row>
        <row r="354">
          <cell r="A354" t="str">
            <v>В-18791/КЛ.Транш - 1_В-21082023/Ц</v>
          </cell>
          <cell r="B354" t="str">
            <v>Агаджанян Самвел Амаякович</v>
          </cell>
          <cell r="C354" t="str">
            <v>1 107</v>
          </cell>
          <cell r="D354">
            <v>44381</v>
          </cell>
          <cell r="E354">
            <v>355191.52</v>
          </cell>
          <cell r="F354">
            <v>355191.52</v>
          </cell>
          <cell r="G354">
            <v>180000</v>
          </cell>
          <cell r="H354">
            <v>180000</v>
          </cell>
          <cell r="I354">
            <v>87438.92</v>
          </cell>
        </row>
        <row r="355">
          <cell r="A355" t="str">
            <v>В-11521/КЛ.Транш - 1_В-21082023/Ц</v>
          </cell>
          <cell r="B355" t="str">
            <v>Абдульманова Ангелина Рамилевна</v>
          </cell>
          <cell r="C355" t="str">
            <v>1 102</v>
          </cell>
          <cell r="D355">
            <v>44386</v>
          </cell>
          <cell r="E355">
            <v>244333.6</v>
          </cell>
          <cell r="F355">
            <v>244333.6</v>
          </cell>
          <cell r="G355">
            <v>140364.92000000001</v>
          </cell>
          <cell r="H355">
            <v>140364.92000000001</v>
          </cell>
          <cell r="I355">
            <v>27634.57</v>
          </cell>
        </row>
        <row r="356">
          <cell r="A356" t="str">
            <v>В-15465/КЛ.Транш - 1_В-20211230/Ц</v>
          </cell>
          <cell r="B356" t="str">
            <v>Бабичев Андрей Юрьевич</v>
          </cell>
          <cell r="C356" t="str">
            <v>1 101</v>
          </cell>
          <cell r="D356">
            <v>44387</v>
          </cell>
          <cell r="E356">
            <v>685128.02</v>
          </cell>
          <cell r="F356">
            <v>685128.02</v>
          </cell>
          <cell r="G356">
            <v>365325.76</v>
          </cell>
          <cell r="H356">
            <v>365325.76</v>
          </cell>
          <cell r="I356">
            <v>102601.49</v>
          </cell>
        </row>
        <row r="357">
          <cell r="A357" t="str">
            <v>В-19025/КЛ.Транш - 1_В-20211230/Ц</v>
          </cell>
          <cell r="B357" t="str">
            <v>Лялин Анатолий Геннадьевич</v>
          </cell>
          <cell r="C357" t="str">
            <v>1 101</v>
          </cell>
          <cell r="D357">
            <v>44387</v>
          </cell>
          <cell r="E357">
            <v>197051.11</v>
          </cell>
          <cell r="F357">
            <v>197051.11</v>
          </cell>
          <cell r="G357">
            <v>100000</v>
          </cell>
          <cell r="H357">
            <v>100000</v>
          </cell>
          <cell r="I357">
            <v>27739.72</v>
          </cell>
        </row>
        <row r="358">
          <cell r="A358" t="str">
            <v>В-19097/КЛ.Транш - 1_В-20211230/Ц</v>
          </cell>
          <cell r="B358" t="str">
            <v>Павликивский Владимир Васильевич</v>
          </cell>
          <cell r="C358" t="str">
            <v>1 100</v>
          </cell>
          <cell r="D358">
            <v>44388</v>
          </cell>
          <cell r="E358">
            <v>61753.7</v>
          </cell>
          <cell r="F358">
            <v>61753.7</v>
          </cell>
        </row>
        <row r="359">
          <cell r="A359" t="str">
            <v>В-04293/КЛ.Транш - 1_В-20211230/Ц</v>
          </cell>
          <cell r="B359" t="str">
            <v>Манин Сергей Викторович</v>
          </cell>
          <cell r="C359" t="str">
            <v>1 099</v>
          </cell>
          <cell r="D359">
            <v>44389</v>
          </cell>
          <cell r="E359">
            <v>174942.16</v>
          </cell>
          <cell r="F359">
            <v>174942.16</v>
          </cell>
          <cell r="G359">
            <v>95203.01</v>
          </cell>
          <cell r="H359">
            <v>95203.01</v>
          </cell>
          <cell r="I359">
            <v>23239.97</v>
          </cell>
        </row>
        <row r="360">
          <cell r="A360" t="str">
            <v>В-01176/АЗ_В-20211230/Ц</v>
          </cell>
          <cell r="B360" t="str">
            <v>Маренич Иван Евгеньевич</v>
          </cell>
          <cell r="C360" t="str">
            <v>1 094</v>
          </cell>
          <cell r="D360">
            <v>44394</v>
          </cell>
          <cell r="E360">
            <v>1780703.63</v>
          </cell>
          <cell r="F360">
            <v>1780703.63</v>
          </cell>
          <cell r="G360">
            <v>997815.8</v>
          </cell>
          <cell r="H360">
            <v>997815.8</v>
          </cell>
          <cell r="I360">
            <v>193418.17</v>
          </cell>
        </row>
        <row r="361">
          <cell r="A361" t="str">
            <v>В-13070/КЛ.Транш - 2_В-21082023/Ц</v>
          </cell>
          <cell r="B361" t="str">
            <v>Деревяга Илья Викторович</v>
          </cell>
          <cell r="C361" t="str">
            <v>1 094</v>
          </cell>
          <cell r="D361">
            <v>44394</v>
          </cell>
          <cell r="E361">
            <v>133179.59</v>
          </cell>
          <cell r="F361">
            <v>133179.59</v>
          </cell>
          <cell r="G361">
            <v>72492.850000000006</v>
          </cell>
          <cell r="H361">
            <v>72492.850000000006</v>
          </cell>
          <cell r="I361">
            <v>25739.94</v>
          </cell>
        </row>
        <row r="362">
          <cell r="A362" t="str">
            <v>В-19329/КЛ.Транш - 1_В-20211230/Ц</v>
          </cell>
          <cell r="B362" t="str">
            <v>Сахимова Анна Владимировна</v>
          </cell>
          <cell r="C362" t="str">
            <v>1 094</v>
          </cell>
          <cell r="D362">
            <v>44394</v>
          </cell>
          <cell r="E362">
            <v>845663.91</v>
          </cell>
          <cell r="F362">
            <v>845663.91</v>
          </cell>
          <cell r="G362">
            <v>450000</v>
          </cell>
          <cell r="H362">
            <v>450000</v>
          </cell>
          <cell r="I362">
            <v>129821.91</v>
          </cell>
        </row>
        <row r="363">
          <cell r="A363" t="str">
            <v>А-10122/КЭ.Транш - 1</v>
          </cell>
          <cell r="B363" t="str">
            <v>ГАЛАКТИКА ООО</v>
          </cell>
          <cell r="C363" t="str">
            <v>1 093</v>
          </cell>
          <cell r="D363">
            <v>44395</v>
          </cell>
          <cell r="E363">
            <v>597538.85</v>
          </cell>
          <cell r="F363">
            <v>597538.85</v>
          </cell>
          <cell r="G363">
            <v>218227.75</v>
          </cell>
          <cell r="H363">
            <v>218227.75</v>
          </cell>
          <cell r="I363">
            <v>324501.44</v>
          </cell>
        </row>
        <row r="364">
          <cell r="A364" t="str">
            <v>В-09890/КЛ.Транш - 1_В-21082023/Ц</v>
          </cell>
          <cell r="B364" t="str">
            <v>Климахина Татьяна Сергеевна</v>
          </cell>
          <cell r="C364" t="str">
            <v>1 091</v>
          </cell>
          <cell r="D364">
            <v>44397</v>
          </cell>
          <cell r="E364">
            <v>74574.850000000006</v>
          </cell>
          <cell r="F364">
            <v>74574.850000000006</v>
          </cell>
          <cell r="G364">
            <v>17715.04</v>
          </cell>
          <cell r="H364">
            <v>17715.04</v>
          </cell>
        </row>
        <row r="365">
          <cell r="A365" t="str">
            <v>В-08361/КЛ.Транш - 1_В-20211230/Ц</v>
          </cell>
          <cell r="B365" t="str">
            <v>Афонин Николай Юрьевич</v>
          </cell>
          <cell r="C365" t="str">
            <v>1 086</v>
          </cell>
          <cell r="D365">
            <v>44402</v>
          </cell>
          <cell r="E365">
            <v>68071.03</v>
          </cell>
          <cell r="F365">
            <v>68071.03</v>
          </cell>
        </row>
        <row r="366">
          <cell r="A366" t="str">
            <v>В-18538/КЛ.Транш - 1_В-20211230/Ц</v>
          </cell>
          <cell r="B366" t="str">
            <v>Росляков Артем Владимирович</v>
          </cell>
          <cell r="C366" t="str">
            <v>1 083</v>
          </cell>
          <cell r="D366">
            <v>44405</v>
          </cell>
          <cell r="E366">
            <v>455720</v>
          </cell>
          <cell r="F366">
            <v>455720</v>
          </cell>
          <cell r="G366">
            <v>236141.18</v>
          </cell>
          <cell r="H366">
            <v>236141.18</v>
          </cell>
          <cell r="I366">
            <v>81478.73</v>
          </cell>
        </row>
        <row r="367">
          <cell r="A367" t="str">
            <v>В-19901/КЛ.Транш - 1_В-20211230/Ц</v>
          </cell>
          <cell r="B367" t="str">
            <v>Ермилин Виталий Владимирович</v>
          </cell>
          <cell r="C367" t="str">
            <v>1 078</v>
          </cell>
          <cell r="D367">
            <v>44410</v>
          </cell>
          <cell r="E367">
            <v>629083.09</v>
          </cell>
          <cell r="F367">
            <v>629083.09</v>
          </cell>
          <cell r="G367">
            <v>350000</v>
          </cell>
          <cell r="H367">
            <v>350000</v>
          </cell>
          <cell r="I367">
            <v>75341.09</v>
          </cell>
        </row>
        <row r="368">
          <cell r="A368" t="str">
            <v>В-19766/КЛ.Транш - 1_В-20211230/Ц</v>
          </cell>
          <cell r="B368" t="str">
            <v>Камышов Игорь Николаевич</v>
          </cell>
          <cell r="C368" t="str">
            <v>1 077</v>
          </cell>
          <cell r="D368">
            <v>44411</v>
          </cell>
          <cell r="E368">
            <v>205400.7</v>
          </cell>
          <cell r="F368">
            <v>205400.7</v>
          </cell>
          <cell r="G368">
            <v>113636.4</v>
          </cell>
          <cell r="H368">
            <v>113636.4</v>
          </cell>
          <cell r="I368">
            <v>21637.62</v>
          </cell>
        </row>
        <row r="369">
          <cell r="A369" t="str">
            <v>В-00317/АЗ_В-20211230/Ц</v>
          </cell>
          <cell r="B369" t="str">
            <v>Озёрская Дарья Семеновна</v>
          </cell>
          <cell r="C369" t="str">
            <v>1 076</v>
          </cell>
          <cell r="D369">
            <v>44412</v>
          </cell>
          <cell r="E369">
            <v>249842.82</v>
          </cell>
          <cell r="F369">
            <v>249842.82</v>
          </cell>
          <cell r="G369">
            <v>124632.3</v>
          </cell>
          <cell r="H369">
            <v>124632.3</v>
          </cell>
          <cell r="I369">
            <v>42736.92</v>
          </cell>
        </row>
        <row r="370">
          <cell r="A370" t="str">
            <v>В-15330/КЛ.Транш - 1_В-20211230/Ц</v>
          </cell>
          <cell r="B370" t="str">
            <v>Заргарян Марианна Марленовна</v>
          </cell>
          <cell r="C370" t="str">
            <v>1 074</v>
          </cell>
          <cell r="D370">
            <v>44414</v>
          </cell>
          <cell r="E370">
            <v>1252028.52</v>
          </cell>
          <cell r="F370">
            <v>1252028.52</v>
          </cell>
          <cell r="G370">
            <v>687025.26</v>
          </cell>
          <cell r="H370">
            <v>687025.26</v>
          </cell>
          <cell r="I370">
            <v>166556.09</v>
          </cell>
        </row>
        <row r="371">
          <cell r="A371" t="str">
            <v>В-19846/КЛ.Транш - 1_В-20211230/Ц</v>
          </cell>
          <cell r="B371" t="str">
            <v>Камбулина Ирина Юрьевна</v>
          </cell>
          <cell r="C371" t="str">
            <v>1 073</v>
          </cell>
          <cell r="D371">
            <v>44415</v>
          </cell>
          <cell r="E371">
            <v>97908.24</v>
          </cell>
          <cell r="F371">
            <v>97908.24</v>
          </cell>
        </row>
        <row r="372">
          <cell r="A372" t="str">
            <v>В-00178/КЛ.Транш - 1_В-21082023/Ц</v>
          </cell>
          <cell r="B372" t="str">
            <v>Скопинов Иван Алексеевич</v>
          </cell>
          <cell r="C372" t="str">
            <v>1 070</v>
          </cell>
          <cell r="D372">
            <v>44418</v>
          </cell>
          <cell r="E372">
            <v>129078.12</v>
          </cell>
          <cell r="F372">
            <v>129078.12</v>
          </cell>
          <cell r="G372">
            <v>79498.23</v>
          </cell>
          <cell r="H372">
            <v>79498.23</v>
          </cell>
        </row>
        <row r="373">
          <cell r="A373" t="str">
            <v>В-15448/КЛ.Транш - 1_В-20211230/Ц</v>
          </cell>
          <cell r="B373" t="str">
            <v>Ведешин Максим Сергеевич</v>
          </cell>
          <cell r="C373" t="str">
            <v>1 070</v>
          </cell>
          <cell r="D373">
            <v>44418</v>
          </cell>
          <cell r="E373">
            <v>475146.02</v>
          </cell>
          <cell r="F373">
            <v>475146.02</v>
          </cell>
          <cell r="G373">
            <v>230589.93</v>
          </cell>
          <cell r="H373">
            <v>230589.93</v>
          </cell>
          <cell r="I373">
            <v>111321.22</v>
          </cell>
        </row>
        <row r="374">
          <cell r="A374" t="str">
            <v>В-13507/КЛ.Транш - 1_В-21082023/Ц</v>
          </cell>
          <cell r="B374" t="str">
            <v>Векилянц Екатерина Николаевна</v>
          </cell>
          <cell r="C374" t="str">
            <v>1 068</v>
          </cell>
          <cell r="D374">
            <v>44420</v>
          </cell>
          <cell r="E374">
            <v>716723.01</v>
          </cell>
          <cell r="F374">
            <v>716723.01</v>
          </cell>
          <cell r="G374">
            <v>472339.68</v>
          </cell>
          <cell r="H374">
            <v>472339.68</v>
          </cell>
          <cell r="I374">
            <v>40762.019999999997</v>
          </cell>
        </row>
        <row r="375">
          <cell r="A375" t="str">
            <v>В-00612/АЗ_В-21082023/Ц</v>
          </cell>
          <cell r="B375" t="str">
            <v>Поддубный Николай Станиславович</v>
          </cell>
          <cell r="C375" t="str">
            <v>1 067</v>
          </cell>
          <cell r="D375">
            <v>44421</v>
          </cell>
          <cell r="E375">
            <v>862448.82</v>
          </cell>
          <cell r="F375">
            <v>862448.82</v>
          </cell>
          <cell r="G375">
            <v>513677.81</v>
          </cell>
          <cell r="H375">
            <v>513677.81</v>
          </cell>
          <cell r="I375">
            <v>116840.21</v>
          </cell>
        </row>
        <row r="376">
          <cell r="A376" t="str">
            <v>В-08603/КЛ.Транш - 1_В-21082023/Ц</v>
          </cell>
          <cell r="B376" t="str">
            <v>Стародубов Виталий Юрьевич</v>
          </cell>
          <cell r="C376" t="str">
            <v>1 066</v>
          </cell>
          <cell r="D376">
            <v>44422</v>
          </cell>
          <cell r="E376">
            <v>505082.8</v>
          </cell>
          <cell r="F376">
            <v>505082.8</v>
          </cell>
          <cell r="G376">
            <v>286339.36</v>
          </cell>
          <cell r="H376">
            <v>286339.36</v>
          </cell>
          <cell r="I376">
            <v>91628.6</v>
          </cell>
        </row>
        <row r="377">
          <cell r="A377" t="str">
            <v>В-12380/КЛ.Транш - 1_В-20211230/Ц</v>
          </cell>
          <cell r="B377" t="str">
            <v>Денисенко Руслана Анатольевна</v>
          </cell>
          <cell r="C377" t="str">
            <v>1 066</v>
          </cell>
          <cell r="D377">
            <v>44422</v>
          </cell>
          <cell r="E377">
            <v>155725.01</v>
          </cell>
          <cell r="F377">
            <v>155725.01</v>
          </cell>
          <cell r="G377">
            <v>90892.45</v>
          </cell>
          <cell r="H377">
            <v>90892.45</v>
          </cell>
        </row>
        <row r="378">
          <cell r="A378" t="str">
            <v>В-07717/КЛ.Транш - 5_В-20211230/Ц</v>
          </cell>
          <cell r="B378" t="str">
            <v>Перевалов Артём Владимирович</v>
          </cell>
          <cell r="C378" t="str">
            <v>1 064</v>
          </cell>
          <cell r="D378">
            <v>44424</v>
          </cell>
          <cell r="E378">
            <v>164357.21</v>
          </cell>
          <cell r="F378">
            <v>164357.21</v>
          </cell>
          <cell r="G378">
            <v>85285.8</v>
          </cell>
          <cell r="H378">
            <v>85285.8</v>
          </cell>
          <cell r="I378">
            <v>29069.599999999999</v>
          </cell>
        </row>
        <row r="379">
          <cell r="A379" t="str">
            <v>В-00012/КЭ.Транш - 1_В-20211230/Ц</v>
          </cell>
          <cell r="B379" t="str">
            <v>ИП Тен Елена Манкильевна</v>
          </cell>
          <cell r="C379" t="str">
            <v>1 061</v>
          </cell>
          <cell r="D379">
            <v>44427</v>
          </cell>
          <cell r="E379">
            <v>1813842.29</v>
          </cell>
          <cell r="F379">
            <v>1813842.29</v>
          </cell>
          <cell r="G379">
            <v>124655.15</v>
          </cell>
          <cell r="H379">
            <v>124655.15</v>
          </cell>
          <cell r="I379">
            <v>56382.22</v>
          </cell>
        </row>
        <row r="380">
          <cell r="A380" t="str">
            <v>В-00918/АЗ_В-21082023/Ц</v>
          </cell>
          <cell r="B380" t="str">
            <v>Чикунов Дмитрий Александрович</v>
          </cell>
          <cell r="C380" t="str">
            <v>1 061</v>
          </cell>
          <cell r="D380">
            <v>44427</v>
          </cell>
          <cell r="E380">
            <v>426773.91</v>
          </cell>
          <cell r="F380">
            <v>426773.91</v>
          </cell>
          <cell r="G380">
            <v>248141.8</v>
          </cell>
          <cell r="H380">
            <v>248141.8</v>
          </cell>
          <cell r="I380">
            <v>68052.03</v>
          </cell>
        </row>
        <row r="381">
          <cell r="A381" t="str">
            <v>В-20635/КЛ.Транш - 1_В-20211230/Ц</v>
          </cell>
          <cell r="B381" t="str">
            <v>Чурсинов Ярослав Александрович</v>
          </cell>
          <cell r="C381" t="str">
            <v>1 061</v>
          </cell>
          <cell r="D381">
            <v>44427</v>
          </cell>
          <cell r="E381">
            <v>192107.07</v>
          </cell>
          <cell r="F381">
            <v>192107.07</v>
          </cell>
          <cell r="G381">
            <v>100000</v>
          </cell>
          <cell r="H381">
            <v>100000</v>
          </cell>
          <cell r="I381">
            <v>34813.07</v>
          </cell>
        </row>
        <row r="382">
          <cell r="A382" t="str">
            <v>В-12484/КЛ.Транш - 1_В-21082023/Ц</v>
          </cell>
          <cell r="B382" t="str">
            <v>Гриднева Татьяна Николаевна</v>
          </cell>
          <cell r="C382" t="str">
            <v>1 060</v>
          </cell>
          <cell r="D382">
            <v>44428</v>
          </cell>
          <cell r="E382">
            <v>234814.09</v>
          </cell>
          <cell r="F382">
            <v>234814.09</v>
          </cell>
          <cell r="G382">
            <v>156148.01</v>
          </cell>
          <cell r="H382">
            <v>156148.01</v>
          </cell>
        </row>
        <row r="383">
          <cell r="A383" t="str">
            <v>В-17051/КЛ.Транш - 1_В-20211230/Ц</v>
          </cell>
          <cell r="B383" t="str">
            <v>Гринь Юлия Владимировна</v>
          </cell>
          <cell r="C383" t="str">
            <v>1 060</v>
          </cell>
          <cell r="D383">
            <v>44428</v>
          </cell>
          <cell r="E383">
            <v>227988.49</v>
          </cell>
          <cell r="F383">
            <v>227988.49</v>
          </cell>
          <cell r="G383">
            <v>144017.03</v>
          </cell>
          <cell r="H383">
            <v>144017.03</v>
          </cell>
          <cell r="I383">
            <v>8392.0300000000007</v>
          </cell>
        </row>
        <row r="384">
          <cell r="A384" t="str">
            <v>В-07717/КЛ.Транш - 2_В-20211230/Ц</v>
          </cell>
          <cell r="B384" t="str">
            <v>Перевалов Артём Владимирович</v>
          </cell>
          <cell r="C384" t="str">
            <v>1 059</v>
          </cell>
          <cell r="D384">
            <v>44429</v>
          </cell>
          <cell r="E384">
            <v>141528.37</v>
          </cell>
          <cell r="F384">
            <v>141528.37</v>
          </cell>
          <cell r="G384">
            <v>73405.399999999994</v>
          </cell>
          <cell r="H384">
            <v>73405.399999999994</v>
          </cell>
          <cell r="I384">
            <v>24145.360000000001</v>
          </cell>
        </row>
        <row r="385">
          <cell r="A385" t="str">
            <v>В-20703/КЛ.Транш - 1_В-20211230/Ц</v>
          </cell>
          <cell r="B385" t="str">
            <v>Кириллов Николай Валерьевич</v>
          </cell>
          <cell r="C385" t="str">
            <v>1 059</v>
          </cell>
          <cell r="D385">
            <v>44429</v>
          </cell>
          <cell r="E385">
            <v>140614.01</v>
          </cell>
          <cell r="F385">
            <v>140614.01</v>
          </cell>
          <cell r="G385">
            <v>85725.07</v>
          </cell>
          <cell r="H385">
            <v>85725.07</v>
          </cell>
        </row>
        <row r="386">
          <cell r="A386" t="str">
            <v>В-17167/КЛ.Транш - 1_В-20211230/Ц</v>
          </cell>
          <cell r="B386" t="str">
            <v>Зинкевич Константин Владимирович</v>
          </cell>
          <cell r="C386" t="str">
            <v>1 057</v>
          </cell>
          <cell r="D386">
            <v>44431</v>
          </cell>
          <cell r="E386">
            <v>296877.69</v>
          </cell>
          <cell r="F386">
            <v>296877.69</v>
          </cell>
          <cell r="G386">
            <v>166750.64000000001</v>
          </cell>
          <cell r="H386">
            <v>166750.64000000001</v>
          </cell>
          <cell r="I386">
            <v>34949.120000000003</v>
          </cell>
        </row>
        <row r="387">
          <cell r="A387" t="str">
            <v>В-11595/КЛ.Транш - 1_В-20211230/Ц</v>
          </cell>
          <cell r="B387" t="str">
            <v>Рожкова Наталья Петровна</v>
          </cell>
          <cell r="C387" t="str">
            <v>1 055</v>
          </cell>
          <cell r="D387">
            <v>44433</v>
          </cell>
          <cell r="E387">
            <v>521887.46</v>
          </cell>
          <cell r="F387">
            <v>521887.46</v>
          </cell>
          <cell r="G387">
            <v>283787.75</v>
          </cell>
          <cell r="H387">
            <v>283787.75</v>
          </cell>
          <cell r="I387">
            <v>82104.08</v>
          </cell>
        </row>
        <row r="388">
          <cell r="A388" t="str">
            <v>В-14453/КЛ.Транш - 1_В-21082023/Ц</v>
          </cell>
          <cell r="B388" t="str">
            <v>Архипов Данил Алексеевич</v>
          </cell>
          <cell r="C388" t="str">
            <v>1 054</v>
          </cell>
          <cell r="D388">
            <v>44434</v>
          </cell>
          <cell r="E388">
            <v>589421.25</v>
          </cell>
          <cell r="F388">
            <v>589421.25</v>
          </cell>
          <cell r="G388">
            <v>411284.2</v>
          </cell>
          <cell r="H388">
            <v>411284.2</v>
          </cell>
        </row>
        <row r="389">
          <cell r="A389" t="str">
            <v>В-20300/КЛ.Транш - 1_В-20211230/Ц</v>
          </cell>
          <cell r="B389" t="str">
            <v>Дзейтов Муслим Алиевич</v>
          </cell>
          <cell r="C389" t="str">
            <v>1 053</v>
          </cell>
          <cell r="D389">
            <v>44435</v>
          </cell>
          <cell r="E389">
            <v>1021473.47</v>
          </cell>
          <cell r="F389">
            <v>1021473.47</v>
          </cell>
          <cell r="G389">
            <v>568181.80000000005</v>
          </cell>
          <cell r="H389">
            <v>568181.80000000005</v>
          </cell>
          <cell r="I389">
            <v>130212.13</v>
          </cell>
        </row>
        <row r="390">
          <cell r="A390" t="str">
            <v>В-17315/КЛ.Транш - 1_В-20211230/Ц</v>
          </cell>
          <cell r="B390" t="str">
            <v>Рагимов Рафик Балайевич</v>
          </cell>
          <cell r="C390" t="str">
            <v>1 052</v>
          </cell>
          <cell r="D390">
            <v>44436</v>
          </cell>
          <cell r="E390">
            <v>303280.21999999997</v>
          </cell>
          <cell r="F390">
            <v>303280.21999999997</v>
          </cell>
          <cell r="G390">
            <v>166750.64000000001</v>
          </cell>
          <cell r="H390">
            <v>166750.64000000001</v>
          </cell>
          <cell r="I390">
            <v>41801.879999999997</v>
          </cell>
        </row>
        <row r="391">
          <cell r="A391" t="str">
            <v>В-00806/АЗ_В-20211230/Ц</v>
          </cell>
          <cell r="B391" t="str">
            <v>Белинский Сергей Игоревич</v>
          </cell>
          <cell r="C391" t="str">
            <v>1 049</v>
          </cell>
          <cell r="D391">
            <v>44439</v>
          </cell>
          <cell r="E391">
            <v>179591.77</v>
          </cell>
          <cell r="F391">
            <v>179591.77</v>
          </cell>
        </row>
        <row r="392">
          <cell r="A392" t="str">
            <v>В-13264/КЛ.Транш - 2_В-21082023/Ц</v>
          </cell>
          <cell r="B392" t="str">
            <v>Леднев Алексей Иванович</v>
          </cell>
          <cell r="C392" t="str">
            <v>1 048</v>
          </cell>
          <cell r="D392">
            <v>44440</v>
          </cell>
          <cell r="E392">
            <v>29357.919999999998</v>
          </cell>
          <cell r="F392">
            <v>29357.919999999998</v>
          </cell>
        </row>
        <row r="393">
          <cell r="A393" t="str">
            <v>В-21219/КЛ.Транш - 1_В-20211230/Ц</v>
          </cell>
          <cell r="B393" t="str">
            <v>Майоров Олег Владимирович</v>
          </cell>
          <cell r="C393" t="str">
            <v>1 046</v>
          </cell>
          <cell r="D393">
            <v>44442</v>
          </cell>
          <cell r="E393">
            <v>1341739.0900000001</v>
          </cell>
          <cell r="F393">
            <v>1341739.0900000001</v>
          </cell>
          <cell r="G393">
            <v>795454.5</v>
          </cell>
          <cell r="H393">
            <v>795454.5</v>
          </cell>
          <cell r="I393">
            <v>96980.07</v>
          </cell>
        </row>
        <row r="394">
          <cell r="A394" t="str">
            <v>В-07717/КЛ.Транш - 4_В-20211230/Ц</v>
          </cell>
          <cell r="B394" t="str">
            <v>Перевалов Артём Владимирович</v>
          </cell>
          <cell r="C394" t="str">
            <v>1 045</v>
          </cell>
          <cell r="D394">
            <v>44443</v>
          </cell>
          <cell r="E394">
            <v>168399.42</v>
          </cell>
          <cell r="F394">
            <v>168399.42</v>
          </cell>
          <cell r="G394">
            <v>90159.83</v>
          </cell>
          <cell r="H394">
            <v>90159.83</v>
          </cell>
          <cell r="I394">
            <v>26362.39</v>
          </cell>
        </row>
        <row r="395">
          <cell r="A395" t="str">
            <v>В-07717/КЛ.Транш - 3_В-20211230/Ц</v>
          </cell>
          <cell r="B395" t="str">
            <v>Перевалов Артём Владимирович</v>
          </cell>
          <cell r="C395" t="str">
            <v>1 043</v>
          </cell>
          <cell r="D395">
            <v>44445</v>
          </cell>
          <cell r="E395">
            <v>164268.1</v>
          </cell>
          <cell r="F395">
            <v>164268.1</v>
          </cell>
          <cell r="G395">
            <v>87667.83</v>
          </cell>
          <cell r="H395">
            <v>87667.83</v>
          </cell>
          <cell r="I395">
            <v>25224</v>
          </cell>
        </row>
        <row r="396">
          <cell r="A396" t="str">
            <v>В-00708/АЗ_В-21082023/Ц</v>
          </cell>
          <cell r="B396" t="str">
            <v>Богданова Марина Алексеевна</v>
          </cell>
          <cell r="C396" t="str">
            <v>1 040</v>
          </cell>
          <cell r="D396">
            <v>44448</v>
          </cell>
          <cell r="E396">
            <v>287721.87</v>
          </cell>
          <cell r="F396">
            <v>287721.87</v>
          </cell>
          <cell r="G396">
            <v>159795.87</v>
          </cell>
          <cell r="H396">
            <v>159795.87</v>
          </cell>
          <cell r="I396">
            <v>55089.43</v>
          </cell>
        </row>
        <row r="397">
          <cell r="A397" t="str">
            <v>В-14005/КЛ.Транш - 3_В-20211230/Ц</v>
          </cell>
          <cell r="B397" t="str">
            <v>Биятов Малик Серекович</v>
          </cell>
          <cell r="C397" t="str">
            <v>1 039</v>
          </cell>
          <cell r="D397">
            <v>44449</v>
          </cell>
          <cell r="E397">
            <v>206150.92</v>
          </cell>
          <cell r="F397">
            <v>206150.92</v>
          </cell>
          <cell r="G397">
            <v>157126.31</v>
          </cell>
          <cell r="H397">
            <v>157126.31</v>
          </cell>
          <cell r="I397">
            <v>24149.73</v>
          </cell>
        </row>
        <row r="398">
          <cell r="A398" t="str">
            <v>В-04229/КЛ.Транш - 1_В-20211230/Ц</v>
          </cell>
          <cell r="B398" t="str">
            <v>Матросов Дмитрий Сергеевич</v>
          </cell>
          <cell r="C398" t="str">
            <v>1 038</v>
          </cell>
          <cell r="D398">
            <v>44450</v>
          </cell>
          <cell r="E398">
            <v>126209.85</v>
          </cell>
          <cell r="F398">
            <v>126209.85</v>
          </cell>
          <cell r="G398">
            <v>78817.759999999995</v>
          </cell>
          <cell r="H398">
            <v>78817.759999999995</v>
          </cell>
        </row>
        <row r="399">
          <cell r="A399" t="str">
            <v>В-11186/КЛ.Транш - 1_В-21082023/Ц</v>
          </cell>
          <cell r="B399" t="str">
            <v>Гадян Артак Андраникович</v>
          </cell>
          <cell r="C399" t="str">
            <v>1 036</v>
          </cell>
          <cell r="D399">
            <v>44452</v>
          </cell>
          <cell r="E399">
            <v>394753.46</v>
          </cell>
          <cell r="F399">
            <v>394753.46</v>
          </cell>
          <cell r="G399">
            <v>149631.57</v>
          </cell>
          <cell r="H399">
            <v>149631.57</v>
          </cell>
          <cell r="I399">
            <v>161412.01</v>
          </cell>
        </row>
        <row r="400">
          <cell r="A400" t="str">
            <v>В-00439/КЛ.Транш - 1_В-21082023/Ц</v>
          </cell>
          <cell r="B400" t="str">
            <v>Сельцова Наталья Юрьевна</v>
          </cell>
          <cell r="C400" t="str">
            <v>1 034</v>
          </cell>
          <cell r="D400">
            <v>44454</v>
          </cell>
          <cell r="E400">
            <v>26053.42</v>
          </cell>
          <cell r="F400">
            <v>26053.42</v>
          </cell>
          <cell r="G400">
            <v>15724.51</v>
          </cell>
          <cell r="H400">
            <v>15724.51</v>
          </cell>
          <cell r="I400">
            <v>4089.22</v>
          </cell>
        </row>
        <row r="401">
          <cell r="A401" t="str">
            <v>В-18008/КЛ.Транш - 1_В-21082023/Ц</v>
          </cell>
          <cell r="B401" t="str">
            <v>Цикишев Сергей Николаевич</v>
          </cell>
          <cell r="C401" t="str">
            <v>1 033</v>
          </cell>
          <cell r="D401">
            <v>44455</v>
          </cell>
          <cell r="E401">
            <v>109088.57</v>
          </cell>
          <cell r="F401">
            <v>109088.57</v>
          </cell>
          <cell r="G401">
            <v>52139.58</v>
          </cell>
          <cell r="H401">
            <v>52139.58</v>
          </cell>
        </row>
        <row r="402">
          <cell r="A402" t="str">
            <v>В-20442/КЛ.Транш - 1_В-20211230/Ц</v>
          </cell>
          <cell r="B402" t="str">
            <v>Салимов Шерзод Тохирович</v>
          </cell>
          <cell r="C402" t="str">
            <v>1 033</v>
          </cell>
          <cell r="D402">
            <v>44455</v>
          </cell>
          <cell r="E402">
            <v>364988.42</v>
          </cell>
          <cell r="F402">
            <v>364988.42</v>
          </cell>
          <cell r="G402">
            <v>188912.94</v>
          </cell>
          <cell r="H402">
            <v>188912.94</v>
          </cell>
          <cell r="I402">
            <v>70696.070000000007</v>
          </cell>
        </row>
        <row r="403">
          <cell r="A403" t="str">
            <v>В-19349/КЛ.Транш - 1_В-20211230/Ц</v>
          </cell>
          <cell r="B403" t="str">
            <v>Еременко Сергей Артурович</v>
          </cell>
          <cell r="C403" t="str">
            <v>1 031</v>
          </cell>
          <cell r="D403">
            <v>44457</v>
          </cell>
          <cell r="E403">
            <v>170173.56</v>
          </cell>
          <cell r="F403">
            <v>170173.56</v>
          </cell>
          <cell r="G403">
            <v>88294.39</v>
          </cell>
          <cell r="H403">
            <v>88294.39</v>
          </cell>
          <cell r="I403">
            <v>32722.15</v>
          </cell>
        </row>
        <row r="404">
          <cell r="A404" t="str">
            <v>В-15908/КЛ.Транш - 1_В-20211230/Ц</v>
          </cell>
          <cell r="B404" t="str">
            <v>Базарова Нафиса Ибрагимжановна</v>
          </cell>
          <cell r="C404" t="str">
            <v>1 028</v>
          </cell>
          <cell r="D404">
            <v>44460</v>
          </cell>
          <cell r="E404">
            <v>242524.23</v>
          </cell>
          <cell r="F404">
            <v>242524.23</v>
          </cell>
          <cell r="G404">
            <v>174287.07</v>
          </cell>
          <cell r="H404">
            <v>174287.07</v>
          </cell>
          <cell r="I404">
            <v>44268.33</v>
          </cell>
        </row>
        <row r="405">
          <cell r="A405" t="str">
            <v>В-14529/КЛ.Транш - 1_В-20211230/Ц</v>
          </cell>
          <cell r="B405" t="str">
            <v>Емельяненко Александр Николаевич</v>
          </cell>
          <cell r="C405" t="str">
            <v>1 027</v>
          </cell>
          <cell r="D405">
            <v>44461</v>
          </cell>
          <cell r="E405">
            <v>1321003.3700000001</v>
          </cell>
          <cell r="F405">
            <v>1321003.3700000001</v>
          </cell>
          <cell r="G405">
            <v>849321.77</v>
          </cell>
          <cell r="H405">
            <v>849321.77</v>
          </cell>
          <cell r="I405">
            <v>2458.21</v>
          </cell>
        </row>
        <row r="406">
          <cell r="A406" t="str">
            <v>В-12551/КЛ.Транш - 1_В-20211230/Ц</v>
          </cell>
          <cell r="B406" t="str">
            <v>Иванченко Сергей Александрович</v>
          </cell>
          <cell r="C406" t="str">
            <v>1 026</v>
          </cell>
          <cell r="D406">
            <v>44462</v>
          </cell>
          <cell r="E406">
            <v>294951.23</v>
          </cell>
          <cell r="F406">
            <v>294951.23</v>
          </cell>
          <cell r="G406">
            <v>168483.97</v>
          </cell>
          <cell r="H406">
            <v>168483.97</v>
          </cell>
          <cell r="I406">
            <v>33120.400000000001</v>
          </cell>
        </row>
        <row r="407">
          <cell r="A407" t="str">
            <v>В-14005/КЛ.Транш - 1_В-20211230/Ц</v>
          </cell>
          <cell r="B407" t="str">
            <v>Биятов Малик Серекович</v>
          </cell>
          <cell r="C407" t="str">
            <v>1 022</v>
          </cell>
          <cell r="D407">
            <v>44466</v>
          </cell>
          <cell r="E407">
            <v>20176.63</v>
          </cell>
          <cell r="F407">
            <v>20176.63</v>
          </cell>
          <cell r="G407">
            <v>16376.92</v>
          </cell>
          <cell r="H407">
            <v>16376.92</v>
          </cell>
        </row>
        <row r="408">
          <cell r="A408" t="str">
            <v>В-02961/КЛ.Транш - 1_В-21082023/Ц</v>
          </cell>
          <cell r="B408" t="str">
            <v>Любушкин Сергей Васильевич</v>
          </cell>
          <cell r="C408" t="str">
            <v>1 021</v>
          </cell>
          <cell r="D408">
            <v>44467</v>
          </cell>
          <cell r="E408">
            <v>73738.259999999995</v>
          </cell>
          <cell r="F408">
            <v>73738.259999999995</v>
          </cell>
        </row>
        <row r="409">
          <cell r="A409" t="str">
            <v>В-17458/КЛ.Транш - 1_В-20211230/Ц</v>
          </cell>
          <cell r="B409" t="str">
            <v>Белолипцев Дмитрий Олегович</v>
          </cell>
          <cell r="C409" t="str">
            <v>1 021</v>
          </cell>
          <cell r="D409">
            <v>44467</v>
          </cell>
          <cell r="E409">
            <v>440009.85</v>
          </cell>
          <cell r="F409">
            <v>440009.85</v>
          </cell>
          <cell r="G409">
            <v>217155.4</v>
          </cell>
          <cell r="H409">
            <v>217155.4</v>
          </cell>
          <cell r="I409">
            <v>103127.99</v>
          </cell>
        </row>
        <row r="410">
          <cell r="A410" t="str">
            <v>В-22173/КЛ.Транш - 1_В-20211230/Ц</v>
          </cell>
          <cell r="B410" t="str">
            <v>Байтемиров Ахметхан Магарамович</v>
          </cell>
          <cell r="C410" t="str">
            <v>1 019</v>
          </cell>
          <cell r="D410">
            <v>44469</v>
          </cell>
          <cell r="E410">
            <v>501124.61</v>
          </cell>
          <cell r="F410">
            <v>501124.61</v>
          </cell>
          <cell r="G410">
            <v>284090.90000000002</v>
          </cell>
          <cell r="H410">
            <v>284090.90000000002</v>
          </cell>
          <cell r="I410">
            <v>60709.86</v>
          </cell>
        </row>
        <row r="411">
          <cell r="A411" t="str">
            <v>В-18163/КЛ.Транш - 1_В-21082023/Ц</v>
          </cell>
          <cell r="B411" t="str">
            <v>Магомедов Ахмед Багаутдинович</v>
          </cell>
          <cell r="C411" t="str">
            <v>1 015</v>
          </cell>
          <cell r="D411">
            <v>44473</v>
          </cell>
          <cell r="E411">
            <v>148655.57999999999</v>
          </cell>
          <cell r="F411">
            <v>148655.57999999999</v>
          </cell>
          <cell r="G411">
            <v>81433.66</v>
          </cell>
          <cell r="H411">
            <v>81433.66</v>
          </cell>
          <cell r="I411">
            <v>27568.29</v>
          </cell>
        </row>
        <row r="412">
          <cell r="A412" t="str">
            <v>В-22434/АЗ_В-20211230/Ц</v>
          </cell>
          <cell r="B412" t="str">
            <v>Касутин Евгений Дмитриевич</v>
          </cell>
          <cell r="C412" t="str">
            <v>1 009</v>
          </cell>
          <cell r="D412">
            <v>44479</v>
          </cell>
          <cell r="E412">
            <v>817157.24</v>
          </cell>
          <cell r="F412">
            <v>1794723.01</v>
          </cell>
          <cell r="G412">
            <v>1000000</v>
          </cell>
          <cell r="H412">
            <v>22434.23</v>
          </cell>
          <cell r="I412">
            <v>249863.01</v>
          </cell>
        </row>
        <row r="413">
          <cell r="A413" t="str">
            <v>В-22436/АЗ_В-20211230/Ц</v>
          </cell>
          <cell r="B413" t="str">
            <v>Касутина Виктория Алексеевна</v>
          </cell>
          <cell r="C413" t="str">
            <v>1 009</v>
          </cell>
          <cell r="D413">
            <v>44479</v>
          </cell>
          <cell r="E413">
            <v>185978.91</v>
          </cell>
          <cell r="F413">
            <v>185978.91</v>
          </cell>
          <cell r="G413">
            <v>100000</v>
          </cell>
          <cell r="H413">
            <v>100000</v>
          </cell>
          <cell r="I413">
            <v>27901.37</v>
          </cell>
        </row>
        <row r="414">
          <cell r="A414" t="str">
            <v>В-03541/КЛ.Транш - 1_В-21082023/Ц</v>
          </cell>
          <cell r="B414" t="str">
            <v>Баранов Сергей Алексеевич</v>
          </cell>
          <cell r="C414" t="str">
            <v>1 007</v>
          </cell>
          <cell r="D414">
            <v>44481</v>
          </cell>
          <cell r="E414">
            <v>128832.27</v>
          </cell>
          <cell r="F414">
            <v>128832.27</v>
          </cell>
          <cell r="G414">
            <v>99738.09</v>
          </cell>
          <cell r="H414">
            <v>99738.09</v>
          </cell>
        </row>
        <row r="415">
          <cell r="A415" t="str">
            <v>В-18022/КЛ.Транш - 1_В-20211230/Ц</v>
          </cell>
          <cell r="B415" t="str">
            <v>Сосков Иван Сергеевич</v>
          </cell>
          <cell r="C415" t="str">
            <v>1 003</v>
          </cell>
          <cell r="D415">
            <v>44485</v>
          </cell>
          <cell r="E415">
            <v>347776.85</v>
          </cell>
          <cell r="F415">
            <v>347776.85</v>
          </cell>
          <cell r="G415">
            <v>187978.77</v>
          </cell>
          <cell r="H415">
            <v>187978.77</v>
          </cell>
          <cell r="I415">
            <v>57985.02</v>
          </cell>
        </row>
        <row r="416">
          <cell r="A416" t="str">
            <v>В-05425/КЛ.Транш - 2_В-20211230/Ц</v>
          </cell>
          <cell r="B416" t="str">
            <v>Мелкумян Масис Владимирович</v>
          </cell>
          <cell r="C416" t="str">
            <v>1 002</v>
          </cell>
          <cell r="D416">
            <v>44486</v>
          </cell>
          <cell r="E416">
            <v>42067.71</v>
          </cell>
          <cell r="F416">
            <v>42067.71</v>
          </cell>
          <cell r="G416">
            <v>17119.16</v>
          </cell>
          <cell r="H416">
            <v>17119.16</v>
          </cell>
        </row>
        <row r="417">
          <cell r="A417" t="str">
            <v>В-21208/КЛ.Транш - 2_В-20211230/Ц</v>
          </cell>
          <cell r="B417" t="str">
            <v>Журавлева Наталья Юрьевна</v>
          </cell>
          <cell r="C417" t="str">
            <v>1 002</v>
          </cell>
          <cell r="D417">
            <v>44486</v>
          </cell>
          <cell r="E417">
            <v>151955.04999999999</v>
          </cell>
          <cell r="F417">
            <v>151955.04999999999</v>
          </cell>
          <cell r="G417">
            <v>80315.05</v>
          </cell>
          <cell r="H417">
            <v>80315.05</v>
          </cell>
        </row>
        <row r="418">
          <cell r="A418" t="str">
            <v>В-00034/КЭ.Транш - 1_В20211230/Ц</v>
          </cell>
          <cell r="B418" t="str">
            <v>ТК МЕЖРЕГИОНСЕРВИС-77 ООО</v>
          </cell>
          <cell r="C418" t="str">
            <v>1 000</v>
          </cell>
          <cell r="D418">
            <v>44488</v>
          </cell>
          <cell r="E418">
            <v>13544186.52</v>
          </cell>
          <cell r="F418">
            <v>13544186.52</v>
          </cell>
          <cell r="G418">
            <v>1547256.3</v>
          </cell>
          <cell r="H418">
            <v>1547256.3</v>
          </cell>
          <cell r="I418">
            <v>1326060.97</v>
          </cell>
        </row>
        <row r="419">
          <cell r="A419" t="str">
            <v>В-01179/АЗ_В-20211230/Ц</v>
          </cell>
          <cell r="B419" t="str">
            <v>Забиров Ринат Шавкатович</v>
          </cell>
          <cell r="C419" t="str">
            <v>1 000</v>
          </cell>
          <cell r="D419">
            <v>44488</v>
          </cell>
          <cell r="E419">
            <v>285292.15000000002</v>
          </cell>
          <cell r="F419">
            <v>623946.59</v>
          </cell>
          <cell r="G419">
            <v>346911.57</v>
          </cell>
          <cell r="H419">
            <v>8257.1299999999992</v>
          </cell>
          <cell r="I419">
            <v>89702.77</v>
          </cell>
        </row>
        <row r="420">
          <cell r="A420" t="str">
            <v>В-04682/КЛ.Транш - 3_В-20211230/Ц</v>
          </cell>
          <cell r="B420" t="str">
            <v>Усиков Андрей Васильевич</v>
          </cell>
          <cell r="C420" t="str">
            <v>1 000</v>
          </cell>
          <cell r="D420">
            <v>44488</v>
          </cell>
          <cell r="E420">
            <v>19227.830000000002</v>
          </cell>
          <cell r="F420">
            <v>19227.830000000002</v>
          </cell>
          <cell r="G420">
            <v>8054.83</v>
          </cell>
          <cell r="H420">
            <v>8054.83</v>
          </cell>
          <cell r="I420">
            <v>1325.41</v>
          </cell>
        </row>
        <row r="421">
          <cell r="A421" t="str">
            <v>В-17030/КЛ.Транш - 1_В-21082023/Ц</v>
          </cell>
          <cell r="B421" t="str">
            <v>Цуриков Яков Владимирович</v>
          </cell>
          <cell r="C421" t="str">
            <v>1 000</v>
          </cell>
          <cell r="D421">
            <v>44488</v>
          </cell>
          <cell r="E421">
            <v>171937.37</v>
          </cell>
          <cell r="F421">
            <v>171937.37</v>
          </cell>
          <cell r="G421">
            <v>92553.21</v>
          </cell>
          <cell r="H421">
            <v>92553.21</v>
          </cell>
          <cell r="I421">
            <v>31961.1</v>
          </cell>
        </row>
        <row r="422">
          <cell r="A422" t="str">
            <v>В-13264/КЛ.Транш - 3_В-21082023/Ц</v>
          </cell>
          <cell r="B422" t="str">
            <v>Леднев Алексей Иванович</v>
          </cell>
          <cell r="C422">
            <v>999</v>
          </cell>
          <cell r="D422">
            <v>44489</v>
          </cell>
          <cell r="E422">
            <v>36741.15</v>
          </cell>
          <cell r="F422">
            <v>36741.15</v>
          </cell>
        </row>
        <row r="423">
          <cell r="A423" t="str">
            <v>В-13264/КЛ.Транш - 1_В-21082023/Ц</v>
          </cell>
          <cell r="B423" t="str">
            <v>Леднев Алексей Иванович</v>
          </cell>
          <cell r="C423">
            <v>990</v>
          </cell>
          <cell r="D423">
            <v>44498</v>
          </cell>
          <cell r="E423">
            <v>27323.59</v>
          </cell>
          <cell r="F423">
            <v>27323.59</v>
          </cell>
        </row>
        <row r="424">
          <cell r="A424" t="str">
            <v>В-22100/КЛ.Транш - 1_В-20211230/Ц</v>
          </cell>
          <cell r="B424" t="str">
            <v>Кострыгина Юлия Викторовна</v>
          </cell>
          <cell r="C424">
            <v>989</v>
          </cell>
          <cell r="D424">
            <v>44499</v>
          </cell>
          <cell r="E424">
            <v>329208.40999999997</v>
          </cell>
          <cell r="F424">
            <v>329208.40999999997</v>
          </cell>
          <cell r="G424">
            <v>201803.89</v>
          </cell>
          <cell r="H424">
            <v>201803.89</v>
          </cell>
          <cell r="I424">
            <v>6500.13</v>
          </cell>
        </row>
        <row r="425">
          <cell r="A425" t="str">
            <v>В-21146/КЛ.Транш - 1_В-20211230/Ц</v>
          </cell>
          <cell r="B425" t="str">
            <v>Тришина Екатерина Викторовна</v>
          </cell>
          <cell r="C425">
            <v>988</v>
          </cell>
          <cell r="D425">
            <v>44500</v>
          </cell>
          <cell r="E425">
            <v>991428.92</v>
          </cell>
          <cell r="F425">
            <v>991428.92</v>
          </cell>
          <cell r="G425">
            <v>560402.75</v>
          </cell>
          <cell r="H425">
            <v>560402.75</v>
          </cell>
          <cell r="I425">
            <v>132040.1</v>
          </cell>
        </row>
        <row r="426">
          <cell r="A426" t="str">
            <v>В-23325/АЗ_В-20211230/Ц</v>
          </cell>
          <cell r="B426" t="str">
            <v>Ермакова Кристина Алексеевна</v>
          </cell>
          <cell r="C426">
            <v>982</v>
          </cell>
          <cell r="D426">
            <v>44506</v>
          </cell>
          <cell r="E426">
            <v>1643227.86</v>
          </cell>
          <cell r="F426">
            <v>1643227.86</v>
          </cell>
          <cell r="G426">
            <v>970000</v>
          </cell>
          <cell r="H426">
            <v>970000</v>
          </cell>
          <cell r="I426">
            <v>127684.94</v>
          </cell>
        </row>
        <row r="427">
          <cell r="A427" t="str">
            <v>В-23339/АЗ_В-20211230/Ц</v>
          </cell>
          <cell r="B427" t="str">
            <v>Ермаков Владислав Олегович</v>
          </cell>
          <cell r="C427">
            <v>982</v>
          </cell>
          <cell r="D427">
            <v>44506</v>
          </cell>
          <cell r="E427">
            <v>431551.46</v>
          </cell>
          <cell r="F427">
            <v>431551.46</v>
          </cell>
          <cell r="G427">
            <v>265226.84999999998</v>
          </cell>
          <cell r="H427">
            <v>265226.84999999998</v>
          </cell>
        </row>
        <row r="428">
          <cell r="A428" t="str">
            <v>В-04682/КЛ.Транш - 4_В-20211230/Ц</v>
          </cell>
          <cell r="B428" t="str">
            <v>Усиков Андрей Васильевич</v>
          </cell>
          <cell r="C428">
            <v>980</v>
          </cell>
          <cell r="D428">
            <v>44508</v>
          </cell>
          <cell r="E428">
            <v>22771.99</v>
          </cell>
          <cell r="F428">
            <v>22771.99</v>
          </cell>
          <cell r="G428">
            <v>11701.75</v>
          </cell>
          <cell r="H428">
            <v>11701.75</v>
          </cell>
          <cell r="I428">
            <v>2877.67</v>
          </cell>
        </row>
        <row r="429">
          <cell r="A429" t="str">
            <v>В-04682/КЛ.Транш - 5_В-20211230/Ц</v>
          </cell>
          <cell r="B429" t="str">
            <v>Усиков Андрей Васильевич</v>
          </cell>
          <cell r="C429">
            <v>979</v>
          </cell>
          <cell r="D429">
            <v>44509</v>
          </cell>
          <cell r="E429">
            <v>39918.559999999998</v>
          </cell>
          <cell r="F429">
            <v>39918.559999999998</v>
          </cell>
          <cell r="G429">
            <v>22517.63</v>
          </cell>
          <cell r="H429">
            <v>22517.63</v>
          </cell>
          <cell r="I429">
            <v>5496.76</v>
          </cell>
        </row>
        <row r="430">
          <cell r="A430" t="str">
            <v>В-04682/КЛ.Транш - 8_В-20211230/Ц</v>
          </cell>
          <cell r="B430" t="str">
            <v>Усиков Андрей Васильевич</v>
          </cell>
          <cell r="C430">
            <v>978</v>
          </cell>
          <cell r="D430">
            <v>44510</v>
          </cell>
          <cell r="E430">
            <v>100037.63</v>
          </cell>
          <cell r="F430">
            <v>100037.63</v>
          </cell>
          <cell r="G430">
            <v>57780.17</v>
          </cell>
          <cell r="H430">
            <v>57780.17</v>
          </cell>
          <cell r="I430">
            <v>11242.6</v>
          </cell>
        </row>
        <row r="431">
          <cell r="A431" t="str">
            <v>В-14005/КЛ.Транш - 2_В-20211230/Ц</v>
          </cell>
          <cell r="B431" t="str">
            <v>Биятов Малик Серекович</v>
          </cell>
          <cell r="C431">
            <v>977</v>
          </cell>
          <cell r="D431">
            <v>44511</v>
          </cell>
          <cell r="E431">
            <v>21148.25</v>
          </cell>
          <cell r="F431">
            <v>21148.25</v>
          </cell>
          <cell r="G431">
            <v>17598.169999999998</v>
          </cell>
          <cell r="H431">
            <v>17598.169999999998</v>
          </cell>
        </row>
        <row r="432">
          <cell r="A432" t="str">
            <v>В-01175/АЗ_В-20211230/Ц</v>
          </cell>
          <cell r="B432" t="str">
            <v>Евстигнеев Дмитрий Станиславович</v>
          </cell>
          <cell r="C432">
            <v>976</v>
          </cell>
          <cell r="D432">
            <v>44512</v>
          </cell>
          <cell r="E432">
            <v>891126.33</v>
          </cell>
          <cell r="F432">
            <v>891126.33</v>
          </cell>
          <cell r="G432">
            <v>645232.57999999996</v>
          </cell>
          <cell r="H432">
            <v>645232.57999999996</v>
          </cell>
          <cell r="I432">
            <v>170058.53</v>
          </cell>
        </row>
        <row r="433">
          <cell r="A433" t="str">
            <v>В-00021/КЭ.Транш - 1_В-20211230/Ц</v>
          </cell>
          <cell r="B433" t="str">
            <v>ИП Арутюнян Ваге Андреасович</v>
          </cell>
          <cell r="C433">
            <v>973</v>
          </cell>
          <cell r="D433">
            <v>44515</v>
          </cell>
          <cell r="E433">
            <v>409245.91</v>
          </cell>
          <cell r="F433">
            <v>409245.91</v>
          </cell>
        </row>
        <row r="434">
          <cell r="A434" t="str">
            <v>В-01107/АЗ_В-20211230/Ц</v>
          </cell>
          <cell r="B434" t="str">
            <v>Лещинский Михаил Дмитриевич</v>
          </cell>
          <cell r="C434">
            <v>971</v>
          </cell>
          <cell r="D434">
            <v>44517</v>
          </cell>
          <cell r="E434">
            <v>77922.080000000002</v>
          </cell>
          <cell r="F434">
            <v>77922.080000000002</v>
          </cell>
          <cell r="G434">
            <v>46812.73</v>
          </cell>
          <cell r="H434">
            <v>46812.73</v>
          </cell>
        </row>
        <row r="435">
          <cell r="A435" t="str">
            <v>В-04682/КЛ.Транш - 7_В-20211230/Ц</v>
          </cell>
          <cell r="B435" t="str">
            <v>Усиков Андрей Васильевич</v>
          </cell>
          <cell r="C435">
            <v>969</v>
          </cell>
          <cell r="D435">
            <v>44519</v>
          </cell>
          <cell r="E435">
            <v>67446.820000000007</v>
          </cell>
          <cell r="F435">
            <v>67446.820000000007</v>
          </cell>
          <cell r="G435">
            <v>39270.370000000003</v>
          </cell>
          <cell r="H435">
            <v>39270.370000000003</v>
          </cell>
          <cell r="I435">
            <v>7127.84</v>
          </cell>
        </row>
        <row r="436">
          <cell r="A436" t="str">
            <v>В-11186/КЛ.Транш - 2_В-21082023/Ц</v>
          </cell>
          <cell r="B436" t="str">
            <v>Гадян Артак Андраникович</v>
          </cell>
          <cell r="C436">
            <v>969</v>
          </cell>
          <cell r="D436">
            <v>44519</v>
          </cell>
          <cell r="E436">
            <v>159275.35999999999</v>
          </cell>
          <cell r="F436">
            <v>159275.35999999999</v>
          </cell>
          <cell r="G436">
            <v>62098.65</v>
          </cell>
          <cell r="H436">
            <v>62098.65</v>
          </cell>
          <cell r="I436">
            <v>64682.97</v>
          </cell>
        </row>
        <row r="437">
          <cell r="A437" t="str">
            <v>В-04682/КЛ.Транш - 6_В-20211230/Ц</v>
          </cell>
          <cell r="B437" t="str">
            <v>Усиков Андрей Васильевич</v>
          </cell>
          <cell r="C437">
            <v>963</v>
          </cell>
          <cell r="D437">
            <v>44525</v>
          </cell>
          <cell r="E437">
            <v>53970.87</v>
          </cell>
          <cell r="F437">
            <v>53970.87</v>
          </cell>
          <cell r="G437">
            <v>30875.34</v>
          </cell>
          <cell r="H437">
            <v>30875.34</v>
          </cell>
          <cell r="I437">
            <v>6039.73</v>
          </cell>
        </row>
        <row r="438">
          <cell r="A438" t="str">
            <v>В-00951/АЗ_В-20211230/Ц</v>
          </cell>
          <cell r="B438" t="str">
            <v>Громов Вячеслав Александрович</v>
          </cell>
          <cell r="C438">
            <v>962</v>
          </cell>
          <cell r="D438">
            <v>44526</v>
          </cell>
          <cell r="E438">
            <v>1471293.29</v>
          </cell>
          <cell r="F438">
            <v>1471293.29</v>
          </cell>
          <cell r="G438">
            <v>849570.3</v>
          </cell>
          <cell r="H438">
            <v>849570.3</v>
          </cell>
          <cell r="I438">
            <v>180388.21</v>
          </cell>
        </row>
        <row r="439">
          <cell r="A439" t="str">
            <v>Т-01931/АЗ_Т-20211028/Ц</v>
          </cell>
          <cell r="B439" t="str">
            <v>Громов Вячеслав Александрович</v>
          </cell>
          <cell r="C439">
            <v>962</v>
          </cell>
          <cell r="D439">
            <v>44526</v>
          </cell>
          <cell r="E439">
            <v>366983.13</v>
          </cell>
          <cell r="F439">
            <v>366983.13</v>
          </cell>
          <cell r="G439">
            <v>127435.59</v>
          </cell>
          <cell r="H439">
            <v>127435.59</v>
          </cell>
          <cell r="I439">
            <v>173347.3</v>
          </cell>
        </row>
        <row r="440">
          <cell r="A440" t="str">
            <v>В-24072/АЗ_В-20211230/Ц</v>
          </cell>
          <cell r="B440" t="str">
            <v>Султанов Салим Исламович</v>
          </cell>
          <cell r="C440">
            <v>961</v>
          </cell>
          <cell r="D440">
            <v>44527</v>
          </cell>
          <cell r="E440">
            <v>308515.84000000003</v>
          </cell>
          <cell r="F440">
            <v>308515.84000000003</v>
          </cell>
          <cell r="G440">
            <v>170000</v>
          </cell>
          <cell r="H440">
            <v>170000</v>
          </cell>
          <cell r="I440">
            <v>47697.8</v>
          </cell>
        </row>
        <row r="441">
          <cell r="A441" t="str">
            <v>Т-01914/АЗ_Т-20211028/Ц</v>
          </cell>
          <cell r="B441" t="str">
            <v>Битюцких Александр Александрович</v>
          </cell>
          <cell r="C441">
            <v>960</v>
          </cell>
          <cell r="D441">
            <v>44528</v>
          </cell>
          <cell r="E441">
            <v>173286.46</v>
          </cell>
          <cell r="F441">
            <v>346916.83</v>
          </cell>
          <cell r="G441">
            <v>204166.39</v>
          </cell>
          <cell r="H441">
            <v>30536.02</v>
          </cell>
          <cell r="I441">
            <v>36910.58</v>
          </cell>
        </row>
        <row r="442">
          <cell r="A442" t="str">
            <v>В-02707/КЛ.Транш - 1_В-21082023/Ц</v>
          </cell>
          <cell r="B442" t="str">
            <v>Гавриленко Денис Владимирович</v>
          </cell>
          <cell r="C442">
            <v>959</v>
          </cell>
          <cell r="D442">
            <v>44529</v>
          </cell>
          <cell r="E442">
            <v>97458.4</v>
          </cell>
          <cell r="F442">
            <v>97458.4</v>
          </cell>
          <cell r="G442">
            <v>39475.85</v>
          </cell>
          <cell r="H442">
            <v>39475.85</v>
          </cell>
          <cell r="I442">
            <v>37397.370000000003</v>
          </cell>
        </row>
        <row r="443">
          <cell r="A443" t="str">
            <v>В-20046/КЛ.Транш - 1_В-21082023/Ц</v>
          </cell>
          <cell r="B443" t="str">
            <v>Лебедовский Максим Юрьевич</v>
          </cell>
          <cell r="C443">
            <v>959</v>
          </cell>
          <cell r="D443">
            <v>44529</v>
          </cell>
          <cell r="E443">
            <v>231504.82</v>
          </cell>
          <cell r="F443">
            <v>231504.82</v>
          </cell>
          <cell r="G443">
            <v>142516.70000000001</v>
          </cell>
          <cell r="H443">
            <v>142516.70000000001</v>
          </cell>
          <cell r="I443">
            <v>29673.89</v>
          </cell>
        </row>
        <row r="444">
          <cell r="A444" t="str">
            <v>В-17687/КЛ.Транш - 2_В-20211230/Ц</v>
          </cell>
          <cell r="B444" t="str">
            <v>Мусаев Саид Рамазанович</v>
          </cell>
          <cell r="C444">
            <v>957</v>
          </cell>
          <cell r="D444">
            <v>44531</v>
          </cell>
          <cell r="E444">
            <v>393808.47</v>
          </cell>
          <cell r="F444">
            <v>393808.47</v>
          </cell>
          <cell r="G444">
            <v>258693.73</v>
          </cell>
          <cell r="H444">
            <v>258693.73</v>
          </cell>
        </row>
        <row r="445">
          <cell r="A445" t="str">
            <v>В-22026/КЛ.Транш - 1_В-20211230/Ц</v>
          </cell>
          <cell r="B445" t="str">
            <v>Гречкин Сергей Петрович</v>
          </cell>
          <cell r="C445">
            <v>952</v>
          </cell>
          <cell r="D445">
            <v>44536</v>
          </cell>
          <cell r="E445">
            <v>397567.81</v>
          </cell>
          <cell r="F445">
            <v>397567.81</v>
          </cell>
          <cell r="G445">
            <v>225088.84</v>
          </cell>
          <cell r="H445">
            <v>225088.84</v>
          </cell>
          <cell r="I445">
            <v>56833.38</v>
          </cell>
        </row>
        <row r="446">
          <cell r="A446" t="str">
            <v>В-20109/КЛ.Транш - 1_В-21082023/Ц</v>
          </cell>
          <cell r="B446" t="str">
            <v>Спицын Антон Вадимович</v>
          </cell>
          <cell r="C446">
            <v>951</v>
          </cell>
          <cell r="D446">
            <v>44537</v>
          </cell>
          <cell r="E446">
            <v>443084.52</v>
          </cell>
          <cell r="F446">
            <v>443084.52</v>
          </cell>
          <cell r="G446">
            <v>257341.17</v>
          </cell>
          <cell r="H446">
            <v>257341.17</v>
          </cell>
          <cell r="I446">
            <v>86233.96</v>
          </cell>
        </row>
        <row r="447">
          <cell r="A447" t="str">
            <v>В-01898/КЛ.Транш - 1_В-20211230/Ц</v>
          </cell>
          <cell r="B447" t="str">
            <v>Захаркин Алексей Викторович</v>
          </cell>
          <cell r="C447">
            <v>947</v>
          </cell>
          <cell r="D447">
            <v>44541</v>
          </cell>
          <cell r="E447">
            <v>182950.05</v>
          </cell>
          <cell r="F447">
            <v>182950.05</v>
          </cell>
          <cell r="G447">
            <v>108586.85</v>
          </cell>
          <cell r="H447">
            <v>108586.85</v>
          </cell>
          <cell r="I447">
            <v>7383.91</v>
          </cell>
        </row>
        <row r="448">
          <cell r="A448" t="str">
            <v>В-17805/КЛ.Транш - 2_В-20211230/Ц</v>
          </cell>
          <cell r="B448" t="str">
            <v>Апухтина Виолетта Байрамовна</v>
          </cell>
          <cell r="C448">
            <v>946</v>
          </cell>
          <cell r="D448">
            <v>44542</v>
          </cell>
          <cell r="E448">
            <v>354795</v>
          </cell>
          <cell r="F448">
            <v>354795</v>
          </cell>
          <cell r="G448">
            <v>215672.81</v>
          </cell>
          <cell r="H448">
            <v>215672.81</v>
          </cell>
          <cell r="I448">
            <v>28947.89</v>
          </cell>
        </row>
        <row r="449">
          <cell r="A449" t="str">
            <v>В-00039/КЭ.Транш - 1_В-20211230/Ц</v>
          </cell>
          <cell r="B449" t="str">
            <v>ЭЛ-КОМПЛЕКТ ООО</v>
          </cell>
          <cell r="C449">
            <v>945</v>
          </cell>
          <cell r="D449">
            <v>44543</v>
          </cell>
          <cell r="E449">
            <v>1474441.3</v>
          </cell>
          <cell r="F449">
            <v>1474441.3</v>
          </cell>
          <cell r="G449">
            <v>19789.57</v>
          </cell>
          <cell r="H449">
            <v>19789.57</v>
          </cell>
        </row>
        <row r="450">
          <cell r="A450" t="str">
            <v>В-01084/АЗ</v>
          </cell>
          <cell r="B450" t="str">
            <v>Печеникова Оксана Александровна</v>
          </cell>
          <cell r="C450">
            <v>944</v>
          </cell>
          <cell r="D450">
            <v>44544</v>
          </cell>
          <cell r="E450">
            <v>114550.33</v>
          </cell>
          <cell r="F450">
            <v>114550.33</v>
          </cell>
          <cell r="I450">
            <v>42855.39</v>
          </cell>
        </row>
        <row r="451">
          <cell r="A451" t="str">
            <v>В-23633/КЛ.Транш - 1_В-20211230/Ц</v>
          </cell>
          <cell r="B451" t="str">
            <v>Кошелева Светлана Сергеевна</v>
          </cell>
          <cell r="C451">
            <v>944</v>
          </cell>
          <cell r="D451">
            <v>44544</v>
          </cell>
          <cell r="E451">
            <v>102455.16</v>
          </cell>
          <cell r="F451">
            <v>102455.16</v>
          </cell>
        </row>
        <row r="452">
          <cell r="A452" t="str">
            <v>В-00439/КЛ.Транш - 2_В-21082023/Ц</v>
          </cell>
          <cell r="B452" t="str">
            <v>Сельцова Наталья Юрьевна</v>
          </cell>
          <cell r="C452">
            <v>942</v>
          </cell>
          <cell r="D452">
            <v>44546</v>
          </cell>
          <cell r="E452">
            <v>91326.38</v>
          </cell>
          <cell r="F452">
            <v>91326.38</v>
          </cell>
          <cell r="G452">
            <v>77448.45</v>
          </cell>
          <cell r="H452">
            <v>77448.45</v>
          </cell>
          <cell r="I452">
            <v>12163.22</v>
          </cell>
        </row>
        <row r="453">
          <cell r="A453" t="str">
            <v>В-11334/КЛ.Транш - 1_В-20211230/Ц</v>
          </cell>
          <cell r="B453" t="str">
            <v>Кольчицкий Захар Викторович</v>
          </cell>
          <cell r="C453">
            <v>939</v>
          </cell>
          <cell r="D453">
            <v>44549</v>
          </cell>
          <cell r="E453">
            <v>550225.6</v>
          </cell>
          <cell r="F453">
            <v>550225.6</v>
          </cell>
          <cell r="G453">
            <v>311027.09000000003</v>
          </cell>
          <cell r="H453">
            <v>311027.09000000003</v>
          </cell>
          <cell r="I453">
            <v>81489.11</v>
          </cell>
        </row>
        <row r="454">
          <cell r="A454" t="str">
            <v>В-24983/КЛ.Транш - 1_В-20211230/Ц</v>
          </cell>
          <cell r="B454" t="str">
            <v>Новрузов Марат Абильфас Оглы</v>
          </cell>
          <cell r="C454">
            <v>939</v>
          </cell>
          <cell r="D454">
            <v>44549</v>
          </cell>
          <cell r="E454">
            <v>2765661.95</v>
          </cell>
          <cell r="F454">
            <v>3471607.94</v>
          </cell>
          <cell r="G454">
            <v>1000000</v>
          </cell>
          <cell r="H454">
            <v>329402.75</v>
          </cell>
          <cell r="I454">
            <v>1929199.2</v>
          </cell>
        </row>
        <row r="455">
          <cell r="A455" t="str">
            <v>В-23840/КЛ.Транш - 1_В-20211230/Ц</v>
          </cell>
          <cell r="B455" t="str">
            <v>Золотов Олег Владимирович</v>
          </cell>
          <cell r="C455">
            <v>937</v>
          </cell>
          <cell r="D455">
            <v>44551</v>
          </cell>
          <cell r="E455">
            <v>375697.33</v>
          </cell>
          <cell r="F455">
            <v>375697.33</v>
          </cell>
          <cell r="I455">
            <v>129376.78</v>
          </cell>
        </row>
        <row r="456">
          <cell r="A456" t="str">
            <v>В-17153/КЛ.Транш - 2_В-20211230/Ц</v>
          </cell>
          <cell r="B456" t="str">
            <v>Хасанов Жасур Абдурашидович</v>
          </cell>
          <cell r="C456">
            <v>936</v>
          </cell>
          <cell r="D456">
            <v>44552</v>
          </cell>
          <cell r="E456">
            <v>135911.01999999999</v>
          </cell>
          <cell r="F456">
            <v>135911.01999999999</v>
          </cell>
          <cell r="G456">
            <v>74464.7</v>
          </cell>
          <cell r="H456">
            <v>74464.7</v>
          </cell>
          <cell r="I456">
            <v>20808.88</v>
          </cell>
        </row>
        <row r="457">
          <cell r="A457" t="str">
            <v>В-20766/КЛ.Транш - 1_В-20211230/Ц</v>
          </cell>
          <cell r="B457" t="str">
            <v>Васильев Сергей Владимирович</v>
          </cell>
          <cell r="C457">
            <v>936</v>
          </cell>
          <cell r="D457">
            <v>44552</v>
          </cell>
          <cell r="E457">
            <v>168737.46</v>
          </cell>
          <cell r="F457">
            <v>168737.46</v>
          </cell>
          <cell r="G457">
            <v>81956.56</v>
          </cell>
          <cell r="H457">
            <v>81956.56</v>
          </cell>
          <cell r="I457">
            <v>45356.77</v>
          </cell>
        </row>
        <row r="458">
          <cell r="A458" t="str">
            <v>В-16023/КЛ.Транш - 1_В-20211230/Ц</v>
          </cell>
          <cell r="B458" t="str">
            <v>Волохов Юрий Викторович</v>
          </cell>
          <cell r="C458">
            <v>934</v>
          </cell>
          <cell r="D458">
            <v>44554</v>
          </cell>
          <cell r="E458">
            <v>1197535.55</v>
          </cell>
          <cell r="F458">
            <v>1197535.55</v>
          </cell>
          <cell r="G458">
            <v>710064.12</v>
          </cell>
          <cell r="H458">
            <v>710064.12</v>
          </cell>
          <cell r="I458">
            <v>135481.17000000001</v>
          </cell>
        </row>
        <row r="459">
          <cell r="A459" t="str">
            <v>В-17153/КЛ.Транш - 1_В-20211230/Ц</v>
          </cell>
          <cell r="B459" t="str">
            <v>Хасанов Жасур Абдурашидович</v>
          </cell>
          <cell r="C459">
            <v>934</v>
          </cell>
          <cell r="D459">
            <v>44554</v>
          </cell>
          <cell r="E459">
            <v>273592.36</v>
          </cell>
          <cell r="F459">
            <v>273592.36</v>
          </cell>
          <cell r="G459">
            <v>150000</v>
          </cell>
          <cell r="H459">
            <v>150000</v>
          </cell>
          <cell r="I459">
            <v>44938.36</v>
          </cell>
        </row>
        <row r="460">
          <cell r="A460" t="str">
            <v>В-19655/КЛ.Транш - 1_В-20211230/Ц</v>
          </cell>
          <cell r="B460" t="str">
            <v>Башленко Илья Васильевич</v>
          </cell>
          <cell r="C460">
            <v>931</v>
          </cell>
          <cell r="D460">
            <v>44557</v>
          </cell>
          <cell r="E460">
            <v>53079.83</v>
          </cell>
          <cell r="F460">
            <v>53079.83</v>
          </cell>
          <cell r="G460">
            <v>46351.839999999997</v>
          </cell>
          <cell r="H460">
            <v>46351.839999999997</v>
          </cell>
        </row>
        <row r="461">
          <cell r="A461" t="str">
            <v>В-12427/КЛ.Транш - 1_В-21082023/Ц</v>
          </cell>
          <cell r="B461" t="str">
            <v>Хуртов Сергей Георгиевич</v>
          </cell>
          <cell r="C461">
            <v>929</v>
          </cell>
          <cell r="D461">
            <v>44559</v>
          </cell>
          <cell r="E461">
            <v>6843.48</v>
          </cell>
          <cell r="F461">
            <v>6843.48</v>
          </cell>
        </row>
        <row r="462">
          <cell r="A462" t="str">
            <v>В-21040/КЛ.Транш - 1_В-20211230/Ц</v>
          </cell>
          <cell r="B462" t="str">
            <v>Рассказов Максим Владимирович</v>
          </cell>
          <cell r="C462">
            <v>929</v>
          </cell>
          <cell r="D462">
            <v>44559</v>
          </cell>
          <cell r="E462">
            <v>328179.21999999997</v>
          </cell>
          <cell r="F462">
            <v>328179.21999999997</v>
          </cell>
          <cell r="G462">
            <v>203416.39</v>
          </cell>
          <cell r="H462">
            <v>203416.39</v>
          </cell>
          <cell r="I462">
            <v>22716.97</v>
          </cell>
        </row>
        <row r="463">
          <cell r="A463" t="str">
            <v>В-16959/КЛ.Транш - 1_В-20211230/Ц</v>
          </cell>
          <cell r="B463" t="str">
            <v>Рева Анастасия Владимировна</v>
          </cell>
          <cell r="C463">
            <v>928</v>
          </cell>
          <cell r="D463">
            <v>44560</v>
          </cell>
          <cell r="E463">
            <v>162634.79</v>
          </cell>
          <cell r="F463">
            <v>162634.79</v>
          </cell>
          <cell r="G463">
            <v>106660.18</v>
          </cell>
          <cell r="H463">
            <v>106660.18</v>
          </cell>
          <cell r="I463">
            <v>4310.13</v>
          </cell>
        </row>
        <row r="464">
          <cell r="A464" t="str">
            <v>В-21208/КЛ.Транш - 1_В-20211230/Ц</v>
          </cell>
          <cell r="B464" t="str">
            <v>Журавлева Наталья Юрьевна</v>
          </cell>
          <cell r="C464">
            <v>925</v>
          </cell>
          <cell r="D464">
            <v>44563</v>
          </cell>
          <cell r="E464">
            <v>2647.59</v>
          </cell>
          <cell r="F464">
            <v>2647.59</v>
          </cell>
        </row>
        <row r="465">
          <cell r="A465" t="str">
            <v>В-25457/КЛ.Транш - 1_В-20211230/Ц</v>
          </cell>
          <cell r="B465" t="str">
            <v>Крючковский Сергей Владиславович</v>
          </cell>
          <cell r="C465">
            <v>925</v>
          </cell>
          <cell r="D465">
            <v>44563</v>
          </cell>
          <cell r="E465">
            <v>180679.84</v>
          </cell>
          <cell r="F465">
            <v>180679.84</v>
          </cell>
          <cell r="G465">
            <v>119920.36</v>
          </cell>
          <cell r="H465">
            <v>119920.36</v>
          </cell>
        </row>
        <row r="466">
          <cell r="A466" t="str">
            <v>В-21269/КЛ.Транш - 1_В-20211230/Ц</v>
          </cell>
          <cell r="B466" t="str">
            <v>Елизарова Виктория Андреевна</v>
          </cell>
          <cell r="C466">
            <v>922</v>
          </cell>
          <cell r="D466">
            <v>44566</v>
          </cell>
          <cell r="E466">
            <v>1400255.08</v>
          </cell>
          <cell r="F466">
            <v>1400255.08</v>
          </cell>
          <cell r="G466">
            <v>883318.18</v>
          </cell>
          <cell r="H466">
            <v>883318.18</v>
          </cell>
          <cell r="I466">
            <v>74150.45</v>
          </cell>
        </row>
        <row r="467">
          <cell r="A467" t="str">
            <v>В-10934/КЛ.Транш - 1_В-20211230/Ц</v>
          </cell>
          <cell r="B467" t="str">
            <v>Бендас Евгений Васильевич</v>
          </cell>
          <cell r="C467">
            <v>921</v>
          </cell>
          <cell r="D467">
            <v>44567</v>
          </cell>
          <cell r="E467">
            <v>148449.85</v>
          </cell>
          <cell r="F467">
            <v>148449.85</v>
          </cell>
          <cell r="G467">
            <v>87729.919999999998</v>
          </cell>
          <cell r="H467">
            <v>87729.919999999998</v>
          </cell>
          <cell r="I467">
            <v>17088.330000000002</v>
          </cell>
        </row>
        <row r="468">
          <cell r="A468" t="str">
            <v>В-12391/КЛ.Транш - 2_В-20211230/Ц</v>
          </cell>
          <cell r="B468" t="str">
            <v>Саутин Александр Юрьевич</v>
          </cell>
          <cell r="C468">
            <v>921</v>
          </cell>
          <cell r="D468">
            <v>44567</v>
          </cell>
          <cell r="E468">
            <v>457015.34</v>
          </cell>
          <cell r="F468">
            <v>457015.34</v>
          </cell>
          <cell r="G468">
            <v>245424.3</v>
          </cell>
          <cell r="H468">
            <v>245424.3</v>
          </cell>
        </row>
        <row r="469">
          <cell r="A469" t="str">
            <v>В-30009/КЭ.Транш - 1_В-20211230/Ц</v>
          </cell>
          <cell r="B469" t="str">
            <v>ИП Федотов Тихон Андреевич</v>
          </cell>
          <cell r="C469">
            <v>921</v>
          </cell>
          <cell r="D469">
            <v>44567</v>
          </cell>
          <cell r="E469">
            <v>1595536.34</v>
          </cell>
          <cell r="F469">
            <v>1595536.34</v>
          </cell>
          <cell r="G469">
            <v>139831.44</v>
          </cell>
          <cell r="H469">
            <v>139831.44</v>
          </cell>
          <cell r="I469">
            <v>28387.69</v>
          </cell>
        </row>
        <row r="470">
          <cell r="A470" t="str">
            <v>В-17687/КЛ.Транш - 1_В-20211230/Ц</v>
          </cell>
          <cell r="B470" t="str">
            <v>Мусаев Саид Рамазанович</v>
          </cell>
          <cell r="C470">
            <v>919</v>
          </cell>
          <cell r="D470">
            <v>44569</v>
          </cell>
          <cell r="E470">
            <v>38601.43</v>
          </cell>
          <cell r="F470">
            <v>38601.43</v>
          </cell>
        </row>
        <row r="471">
          <cell r="A471" t="str">
            <v>В-25747/КЛ.Транш - 1_В-20211230/Ц</v>
          </cell>
          <cell r="B471" t="str">
            <v>Инютин Никита Александрович</v>
          </cell>
          <cell r="C471">
            <v>919</v>
          </cell>
          <cell r="D471">
            <v>44569</v>
          </cell>
          <cell r="E471">
            <v>1174405.1100000001</v>
          </cell>
          <cell r="F471">
            <v>1174405.1100000001</v>
          </cell>
          <cell r="G471">
            <v>665000</v>
          </cell>
          <cell r="H471">
            <v>665000</v>
          </cell>
          <cell r="I471">
            <v>179568.23</v>
          </cell>
        </row>
        <row r="472">
          <cell r="A472" t="str">
            <v>В-12427/КЛ.Транш - 2_В-21082023/Ц</v>
          </cell>
          <cell r="B472" t="str">
            <v>Хуртов Сергей Георгиевич</v>
          </cell>
          <cell r="C472">
            <v>917</v>
          </cell>
          <cell r="D472">
            <v>44571</v>
          </cell>
          <cell r="E472">
            <v>56337.599999999999</v>
          </cell>
          <cell r="F472">
            <v>56337.599999999999</v>
          </cell>
        </row>
        <row r="473">
          <cell r="A473" t="str">
            <v>В-08918/КЛ.Транш - 1_В-20211230/Ц</v>
          </cell>
          <cell r="B473" t="str">
            <v>Фофанов Михаил Михайлович</v>
          </cell>
          <cell r="C473">
            <v>916</v>
          </cell>
          <cell r="D473">
            <v>44572</v>
          </cell>
          <cell r="E473">
            <v>53429.46</v>
          </cell>
          <cell r="F473">
            <v>53429.46</v>
          </cell>
        </row>
        <row r="474">
          <cell r="A474" t="str">
            <v>В-17805/КЛ.Транш - 1_В-20211230/Ц</v>
          </cell>
          <cell r="B474" t="str">
            <v>Апухтина Виолетта Байрамовна</v>
          </cell>
          <cell r="C474">
            <v>916</v>
          </cell>
          <cell r="D474">
            <v>44572</v>
          </cell>
          <cell r="E474">
            <v>246529.63</v>
          </cell>
          <cell r="F474">
            <v>246529.63</v>
          </cell>
          <cell r="G474">
            <v>153915.17000000001</v>
          </cell>
          <cell r="H474">
            <v>153915.17000000001</v>
          </cell>
          <cell r="I474">
            <v>16481.86</v>
          </cell>
        </row>
        <row r="475">
          <cell r="A475" t="str">
            <v>В-10934/КЛ.Транш - 2_В-20211230/Ц</v>
          </cell>
          <cell r="B475" t="str">
            <v>Бендас Евгений Васильевич</v>
          </cell>
          <cell r="C475">
            <v>915</v>
          </cell>
          <cell r="D475">
            <v>44573</v>
          </cell>
          <cell r="E475">
            <v>146659.43</v>
          </cell>
          <cell r="F475">
            <v>146659.43</v>
          </cell>
          <cell r="G475">
            <v>85760.74</v>
          </cell>
          <cell r="H475">
            <v>85760.74</v>
          </cell>
          <cell r="I475">
            <v>18524.310000000001</v>
          </cell>
        </row>
        <row r="476">
          <cell r="A476" t="str">
            <v>В-16959/КЛ.Транш - 2_В-20211230/Ц</v>
          </cell>
          <cell r="B476" t="str">
            <v>Рева Анастасия Владимировна</v>
          </cell>
          <cell r="C476">
            <v>915</v>
          </cell>
          <cell r="D476">
            <v>44573</v>
          </cell>
          <cell r="E476">
            <v>178962.04</v>
          </cell>
          <cell r="F476">
            <v>178962.04</v>
          </cell>
          <cell r="G476">
            <v>108644.45</v>
          </cell>
          <cell r="H476">
            <v>108644.45</v>
          </cell>
          <cell r="I476">
            <v>18454.669999999998</v>
          </cell>
        </row>
        <row r="477">
          <cell r="A477" t="str">
            <v>В-12368/КЛ.Транш - 1_В-20211230/Ц</v>
          </cell>
          <cell r="B477" t="str">
            <v>Масальский Руслан Иванович</v>
          </cell>
          <cell r="C477">
            <v>913</v>
          </cell>
          <cell r="D477">
            <v>44575</v>
          </cell>
          <cell r="E477">
            <v>123633.17</v>
          </cell>
          <cell r="F477">
            <v>123633.17</v>
          </cell>
          <cell r="G477">
            <v>34686.21</v>
          </cell>
          <cell r="H477">
            <v>34686.21</v>
          </cell>
          <cell r="I477">
            <v>5892.09</v>
          </cell>
        </row>
        <row r="478">
          <cell r="A478" t="str">
            <v>В-17788/КЛ.Транш - 2_В-20211230/Ц</v>
          </cell>
          <cell r="B478" t="str">
            <v>Ташланова Юлия Юрьевна</v>
          </cell>
          <cell r="C478">
            <v>910</v>
          </cell>
          <cell r="D478">
            <v>44578</v>
          </cell>
          <cell r="E478">
            <v>46930.6</v>
          </cell>
          <cell r="F478">
            <v>46930.6</v>
          </cell>
        </row>
        <row r="479">
          <cell r="A479" t="str">
            <v>В-09795/КЛ.Транш - 1_В-20211230/Ц</v>
          </cell>
          <cell r="B479" t="str">
            <v>Матвеев Андрей Александрович</v>
          </cell>
          <cell r="C479">
            <v>909</v>
          </cell>
          <cell r="D479">
            <v>44579</v>
          </cell>
          <cell r="E479">
            <v>234219.94</v>
          </cell>
          <cell r="F479">
            <v>234219.94</v>
          </cell>
          <cell r="G479">
            <v>187087.25</v>
          </cell>
          <cell r="H479">
            <v>187087.25</v>
          </cell>
          <cell r="I479">
            <v>32548.04</v>
          </cell>
        </row>
        <row r="480">
          <cell r="A480" t="str">
            <v>В-14818/КЛ.Транш - 1_В-20211230/Ц</v>
          </cell>
          <cell r="B480" t="str">
            <v>Навасардян Алёна Евгеньевна</v>
          </cell>
          <cell r="C480">
            <v>907</v>
          </cell>
          <cell r="D480">
            <v>44581</v>
          </cell>
          <cell r="E480">
            <v>483962.28</v>
          </cell>
          <cell r="F480">
            <v>483962.28</v>
          </cell>
          <cell r="G480">
            <v>265431.03000000003</v>
          </cell>
          <cell r="H480">
            <v>265431.03000000003</v>
          </cell>
          <cell r="I480">
            <v>88253.99</v>
          </cell>
        </row>
        <row r="481">
          <cell r="A481" t="str">
            <v>В-17788/КЛ.Транш - 3_В-20211230/Ц</v>
          </cell>
          <cell r="B481" t="str">
            <v>Ташланова Юлия Юрьевна</v>
          </cell>
          <cell r="C481">
            <v>907</v>
          </cell>
          <cell r="D481">
            <v>44581</v>
          </cell>
          <cell r="E481">
            <v>208590.54</v>
          </cell>
          <cell r="F481">
            <v>208590.54</v>
          </cell>
          <cell r="G481">
            <v>134481.29999999999</v>
          </cell>
          <cell r="H481">
            <v>134481.29999999999</v>
          </cell>
          <cell r="I481">
            <v>9550.15</v>
          </cell>
        </row>
        <row r="482">
          <cell r="A482" t="str">
            <v>В-26247/КЛ.Транш - 1_В-20211230/Ц</v>
          </cell>
          <cell r="B482" t="str">
            <v>Марков Владислав Владимирович</v>
          </cell>
          <cell r="C482">
            <v>906</v>
          </cell>
          <cell r="D482">
            <v>44582</v>
          </cell>
          <cell r="E482">
            <v>1381350.97</v>
          </cell>
          <cell r="F482">
            <v>1381350.97</v>
          </cell>
          <cell r="G482">
            <v>750000</v>
          </cell>
          <cell r="H482">
            <v>750000</v>
          </cell>
          <cell r="I482">
            <v>263999.99</v>
          </cell>
        </row>
        <row r="483">
          <cell r="A483" t="str">
            <v>В-21847/КЛ.Транш - 1_В-20211230/Ц</v>
          </cell>
          <cell r="B483" t="str">
            <v>Пантелеев Даниил Александрович</v>
          </cell>
          <cell r="C483">
            <v>905</v>
          </cell>
          <cell r="D483">
            <v>44583</v>
          </cell>
          <cell r="E483">
            <v>17478.41</v>
          </cell>
          <cell r="F483">
            <v>17478.41</v>
          </cell>
        </row>
        <row r="484">
          <cell r="A484" t="str">
            <v>В-04210/КЛ.Транш - 1_В-20211230/Ц</v>
          </cell>
          <cell r="B484" t="str">
            <v>Фейзуллаев Альберт Нефтуллаевич</v>
          </cell>
          <cell r="C484">
            <v>902</v>
          </cell>
          <cell r="D484">
            <v>44586</v>
          </cell>
          <cell r="E484">
            <v>231560.53</v>
          </cell>
          <cell r="F484">
            <v>231560.53</v>
          </cell>
          <cell r="G484">
            <v>152936.34</v>
          </cell>
          <cell r="H484">
            <v>152936.34</v>
          </cell>
        </row>
        <row r="485">
          <cell r="A485" t="str">
            <v>В-12391/КЛ.Транш - 1_В-20211230/Ц</v>
          </cell>
          <cell r="B485" t="str">
            <v>Саутин Александр Юрьевич</v>
          </cell>
          <cell r="C485">
            <v>902</v>
          </cell>
          <cell r="D485">
            <v>44586</v>
          </cell>
          <cell r="E485">
            <v>42253.18</v>
          </cell>
          <cell r="F485">
            <v>42253.18</v>
          </cell>
        </row>
        <row r="486">
          <cell r="A486" t="str">
            <v>В-18370/КЛ.Транш - 1_В-20211230/Ц</v>
          </cell>
          <cell r="B486" t="str">
            <v>Богданов Борис Владимирович</v>
          </cell>
          <cell r="C486">
            <v>902</v>
          </cell>
          <cell r="D486">
            <v>44586</v>
          </cell>
          <cell r="E486">
            <v>19795.330000000002</v>
          </cell>
          <cell r="F486">
            <v>19795.330000000002</v>
          </cell>
        </row>
        <row r="487">
          <cell r="A487" t="str">
            <v>В-20855/КЛ.Транш - 1_В-20211230/Ц</v>
          </cell>
          <cell r="B487" t="str">
            <v>Лебедева Евгения Александровна</v>
          </cell>
          <cell r="C487">
            <v>902</v>
          </cell>
          <cell r="D487">
            <v>44586</v>
          </cell>
          <cell r="E487">
            <v>120069.83</v>
          </cell>
          <cell r="F487">
            <v>120069.83</v>
          </cell>
        </row>
        <row r="488">
          <cell r="A488" t="str">
            <v>В-24021/КЛ.Транш - 1_В-20211230/Ц</v>
          </cell>
          <cell r="B488" t="str">
            <v>Кострюков Сергей Вячеславович</v>
          </cell>
          <cell r="C488">
            <v>902</v>
          </cell>
          <cell r="D488">
            <v>44586</v>
          </cell>
          <cell r="E488">
            <v>138182.68</v>
          </cell>
          <cell r="F488">
            <v>138182.68</v>
          </cell>
          <cell r="G488">
            <v>35976.559999999998</v>
          </cell>
          <cell r="H488">
            <v>35976.559999999998</v>
          </cell>
          <cell r="I488">
            <v>2131.48</v>
          </cell>
        </row>
        <row r="489">
          <cell r="A489" t="str">
            <v>В-12401/КЛ.Транш - 1_В-21082023/Ц</v>
          </cell>
          <cell r="B489" t="str">
            <v>Джабраилов Саид-Хусейн Хасанович</v>
          </cell>
          <cell r="C489">
            <v>901</v>
          </cell>
          <cell r="D489">
            <v>44587</v>
          </cell>
          <cell r="E489">
            <v>148956.49</v>
          </cell>
          <cell r="F489">
            <v>148956.49</v>
          </cell>
          <cell r="G489">
            <v>125658</v>
          </cell>
          <cell r="H489">
            <v>125658</v>
          </cell>
          <cell r="I489">
            <v>20380.71</v>
          </cell>
        </row>
        <row r="490">
          <cell r="A490" t="str">
            <v>В-12401/КЛ.Транш - 2_В-21082023/Ц</v>
          </cell>
          <cell r="B490" t="str">
            <v>Джабраилов Саид-Хусейн Хасанович</v>
          </cell>
          <cell r="C490">
            <v>899</v>
          </cell>
          <cell r="D490">
            <v>44589</v>
          </cell>
          <cell r="E490">
            <v>191121.34</v>
          </cell>
          <cell r="F490">
            <v>191121.34</v>
          </cell>
          <cell r="G490">
            <v>165572.75</v>
          </cell>
          <cell r="H490">
            <v>165572.75</v>
          </cell>
          <cell r="I490">
            <v>21882.81</v>
          </cell>
        </row>
        <row r="491">
          <cell r="A491" t="str">
            <v>В-10012/КЭ.Транш - 1_В-20211230/Ц</v>
          </cell>
          <cell r="B491" t="str">
            <v>АРТЭС ООО</v>
          </cell>
          <cell r="C491">
            <v>898</v>
          </cell>
          <cell r="D491">
            <v>44590</v>
          </cell>
          <cell r="E491">
            <v>2121495.81</v>
          </cell>
          <cell r="F491">
            <v>2121495.81</v>
          </cell>
          <cell r="G491">
            <v>195756.47</v>
          </cell>
          <cell r="H491">
            <v>195756.47</v>
          </cell>
          <cell r="I491">
            <v>28383.58</v>
          </cell>
        </row>
        <row r="492">
          <cell r="A492" t="str">
            <v>В-25302/КЛ.Транш - 1_В-20211230/Ц</v>
          </cell>
          <cell r="B492" t="str">
            <v>Пеньков Алексей Александрович</v>
          </cell>
          <cell r="C492">
            <v>898</v>
          </cell>
          <cell r="D492">
            <v>44590</v>
          </cell>
          <cell r="E492">
            <v>1811744.43</v>
          </cell>
          <cell r="F492">
            <v>1811744.43</v>
          </cell>
          <cell r="G492">
            <v>996455.47</v>
          </cell>
          <cell r="H492">
            <v>996455.47</v>
          </cell>
          <cell r="I492">
            <v>331532.99</v>
          </cell>
        </row>
        <row r="493">
          <cell r="A493" t="str">
            <v>В-12427/КЛ.Транш - 3_В-21082023/Ц</v>
          </cell>
          <cell r="B493" t="str">
            <v>Хуртов Сергей Георгиевич</v>
          </cell>
          <cell r="C493">
            <v>897</v>
          </cell>
          <cell r="D493">
            <v>44591</v>
          </cell>
          <cell r="E493">
            <v>33672</v>
          </cell>
          <cell r="F493">
            <v>33672</v>
          </cell>
        </row>
        <row r="494">
          <cell r="A494" t="str">
            <v>В-21048/КЛ.Транш - 1_В-20211230/Ц</v>
          </cell>
          <cell r="B494" t="str">
            <v>Матузов Алексей Викторович</v>
          </cell>
          <cell r="C494">
            <v>894</v>
          </cell>
          <cell r="D494">
            <v>44594</v>
          </cell>
          <cell r="E494">
            <v>32937.47</v>
          </cell>
          <cell r="F494">
            <v>32937.47</v>
          </cell>
        </row>
        <row r="495">
          <cell r="A495" t="str">
            <v>В-17788/КЛ.Транш - 1_В-20211230/Ц</v>
          </cell>
          <cell r="B495" t="str">
            <v>Ташланова Юлия Юрьевна</v>
          </cell>
          <cell r="C495">
            <v>886</v>
          </cell>
          <cell r="D495">
            <v>44602</v>
          </cell>
          <cell r="E495">
            <v>67788.05</v>
          </cell>
          <cell r="F495">
            <v>67788.05</v>
          </cell>
        </row>
        <row r="496">
          <cell r="A496" t="str">
            <v>В-25806/КЛ.Транш - 1_В-20211230/Ц</v>
          </cell>
          <cell r="B496" t="str">
            <v>Армяновский Сергей Владимирович</v>
          </cell>
          <cell r="C496">
            <v>886</v>
          </cell>
          <cell r="D496">
            <v>44602</v>
          </cell>
          <cell r="E496">
            <v>295450.19</v>
          </cell>
          <cell r="F496">
            <v>295450.19</v>
          </cell>
          <cell r="G496">
            <v>225509.31</v>
          </cell>
          <cell r="H496">
            <v>225509.31</v>
          </cell>
          <cell r="I496">
            <v>54962.49</v>
          </cell>
        </row>
        <row r="497">
          <cell r="A497" t="str">
            <v>В-17824/КЛ.Транш - 1_В-20211230/Ц</v>
          </cell>
          <cell r="B497" t="str">
            <v>Трунтов Андрей Федорович</v>
          </cell>
          <cell r="C497">
            <v>885</v>
          </cell>
          <cell r="D497">
            <v>44603</v>
          </cell>
          <cell r="E497">
            <v>307981.92</v>
          </cell>
          <cell r="F497">
            <v>307981.92</v>
          </cell>
          <cell r="G497">
            <v>277060.77</v>
          </cell>
          <cell r="H497">
            <v>277060.77</v>
          </cell>
          <cell r="I497">
            <v>14375.86</v>
          </cell>
        </row>
        <row r="498">
          <cell r="A498" t="str">
            <v>В-17805/КЛ.Транш - 3_В-20211230/Ц</v>
          </cell>
          <cell r="B498" t="str">
            <v>Апухтина Виолетта Байрамовна</v>
          </cell>
          <cell r="C498">
            <v>884</v>
          </cell>
          <cell r="D498">
            <v>44604</v>
          </cell>
          <cell r="E498">
            <v>176959.86</v>
          </cell>
          <cell r="F498">
            <v>176959.86</v>
          </cell>
          <cell r="G498">
            <v>111799</v>
          </cell>
          <cell r="H498">
            <v>111799</v>
          </cell>
          <cell r="I498">
            <v>11792.49</v>
          </cell>
        </row>
        <row r="499">
          <cell r="A499" t="str">
            <v>В-14178/КЛ.Транш - 1_В-20211230/Ц</v>
          </cell>
          <cell r="B499" t="str">
            <v>Киселев Андрей Владимирович</v>
          </cell>
          <cell r="C499">
            <v>881</v>
          </cell>
          <cell r="D499">
            <v>44607</v>
          </cell>
          <cell r="E499">
            <v>94447.35</v>
          </cell>
          <cell r="F499">
            <v>94447.35</v>
          </cell>
          <cell r="G499">
            <v>70754.86</v>
          </cell>
          <cell r="H499">
            <v>70754.86</v>
          </cell>
          <cell r="I499">
            <v>18572.669999999998</v>
          </cell>
        </row>
        <row r="500">
          <cell r="A500" t="str">
            <v>В-18757/КЛ.Транш - 1_В-20211230/Ц</v>
          </cell>
          <cell r="B500" t="str">
            <v>Машковцев Алексей Валерьевич</v>
          </cell>
          <cell r="C500">
            <v>881</v>
          </cell>
          <cell r="D500">
            <v>44607</v>
          </cell>
          <cell r="E500">
            <v>167500</v>
          </cell>
          <cell r="F500">
            <v>167500</v>
          </cell>
          <cell r="G500">
            <v>151175.47</v>
          </cell>
          <cell r="H500">
            <v>151175.47</v>
          </cell>
        </row>
        <row r="501">
          <cell r="A501" t="str">
            <v>В-17062/КЛ.Транш - 2_В-20211230/Ц</v>
          </cell>
          <cell r="B501" t="str">
            <v>Мацола Артём Иванович</v>
          </cell>
          <cell r="C501">
            <v>880</v>
          </cell>
          <cell r="D501">
            <v>44608</v>
          </cell>
          <cell r="E501">
            <v>137065.20000000001</v>
          </cell>
          <cell r="F501">
            <v>137065.20000000001</v>
          </cell>
          <cell r="G501">
            <v>116694.96</v>
          </cell>
          <cell r="H501">
            <v>116694.96</v>
          </cell>
          <cell r="I501">
            <v>11989.21</v>
          </cell>
        </row>
        <row r="502">
          <cell r="A502" t="str">
            <v>В-17062/КЛ.Транш - 3_В-20211230/Ц</v>
          </cell>
          <cell r="B502" t="str">
            <v>Мацола Артём Иванович</v>
          </cell>
          <cell r="C502">
            <v>880</v>
          </cell>
          <cell r="D502">
            <v>44608</v>
          </cell>
          <cell r="E502">
            <v>197891.23</v>
          </cell>
          <cell r="F502">
            <v>197891.23</v>
          </cell>
          <cell r="G502">
            <v>163263.93</v>
          </cell>
          <cell r="H502">
            <v>163263.93</v>
          </cell>
          <cell r="I502">
            <v>22901.68</v>
          </cell>
        </row>
        <row r="503">
          <cell r="A503" t="str">
            <v>В-20490/КЛ.Транш - 1_В-21082023/Ц</v>
          </cell>
          <cell r="B503" t="str">
            <v>Муравьев Сергей Сергеевич</v>
          </cell>
          <cell r="C503">
            <v>880</v>
          </cell>
          <cell r="D503">
            <v>44608</v>
          </cell>
          <cell r="E503">
            <v>345922.99</v>
          </cell>
          <cell r="F503">
            <v>345922.99</v>
          </cell>
          <cell r="G503">
            <v>221017.86</v>
          </cell>
          <cell r="H503">
            <v>221017.86</v>
          </cell>
          <cell r="I503">
            <v>45293.53</v>
          </cell>
        </row>
        <row r="504">
          <cell r="A504" t="str">
            <v>В-21574/КЛ.Транш - 1_В-20211230/Ц</v>
          </cell>
          <cell r="B504" t="str">
            <v>Тряпко Владимир Александрович</v>
          </cell>
          <cell r="C504">
            <v>880</v>
          </cell>
          <cell r="D504">
            <v>44608</v>
          </cell>
          <cell r="E504">
            <v>345124.76</v>
          </cell>
          <cell r="F504">
            <v>345124.76</v>
          </cell>
          <cell r="G504">
            <v>283080.28000000003</v>
          </cell>
          <cell r="H504">
            <v>283080.28000000003</v>
          </cell>
          <cell r="I504">
            <v>41713.65</v>
          </cell>
        </row>
        <row r="505">
          <cell r="A505" t="str">
            <v>В-20952/КЛ.Транш - 4_В-21082023/Ц</v>
          </cell>
          <cell r="B505" t="str">
            <v>Ширманов Никита Александрович</v>
          </cell>
          <cell r="C505">
            <v>879</v>
          </cell>
          <cell r="D505">
            <v>44609</v>
          </cell>
          <cell r="E505">
            <v>120947.73</v>
          </cell>
          <cell r="F505">
            <v>184800.81</v>
          </cell>
          <cell r="G505">
            <v>84770.39</v>
          </cell>
          <cell r="H505">
            <v>24565.87</v>
          </cell>
          <cell r="I505">
            <v>68237</v>
          </cell>
        </row>
        <row r="506">
          <cell r="A506" t="str">
            <v>В-08745/КЛ.Транш - 1_В-21082023/Ц</v>
          </cell>
          <cell r="B506" t="str">
            <v>Правдивцева Наталья Владимировна</v>
          </cell>
          <cell r="C506">
            <v>878</v>
          </cell>
          <cell r="D506">
            <v>44610</v>
          </cell>
          <cell r="E506">
            <v>234195.41</v>
          </cell>
          <cell r="F506">
            <v>234195.41</v>
          </cell>
          <cell r="G506">
            <v>148567.23000000001</v>
          </cell>
          <cell r="H506">
            <v>148567.23000000001</v>
          </cell>
          <cell r="I506">
            <v>41583.94</v>
          </cell>
        </row>
        <row r="507">
          <cell r="A507" t="str">
            <v>В-24878/КЛ.Транш - 1_В-20211230/Ц</v>
          </cell>
          <cell r="B507" t="str">
            <v>Мовсесян Гарик Вагифович</v>
          </cell>
          <cell r="C507">
            <v>877</v>
          </cell>
          <cell r="D507">
            <v>44611</v>
          </cell>
          <cell r="E507">
            <v>578361.67000000004</v>
          </cell>
          <cell r="F507">
            <v>578361.67000000004</v>
          </cell>
          <cell r="G507">
            <v>449305.93</v>
          </cell>
          <cell r="H507">
            <v>449305.93</v>
          </cell>
          <cell r="I507">
            <v>97514.46</v>
          </cell>
        </row>
        <row r="508">
          <cell r="A508" t="str">
            <v>В-11534/КЛ.Транш - 2_В-20211230/Ц</v>
          </cell>
          <cell r="B508" t="str">
            <v>Иванов Владимир Леонидович</v>
          </cell>
          <cell r="C508">
            <v>876</v>
          </cell>
          <cell r="D508">
            <v>44612</v>
          </cell>
          <cell r="E508">
            <v>253711.37</v>
          </cell>
          <cell r="F508">
            <v>253711.37</v>
          </cell>
          <cell r="G508">
            <v>188012.23</v>
          </cell>
          <cell r="H508">
            <v>188012.23</v>
          </cell>
          <cell r="I508">
            <v>52602.21</v>
          </cell>
        </row>
        <row r="509">
          <cell r="A509" t="str">
            <v>В-13336/КЛ.Транш - 2_В-21082023/Ц</v>
          </cell>
          <cell r="B509" t="str">
            <v>Алыбаев Долеткельди Ягудович</v>
          </cell>
          <cell r="C509">
            <v>874</v>
          </cell>
          <cell r="D509">
            <v>44614</v>
          </cell>
          <cell r="E509">
            <v>269323.46999999997</v>
          </cell>
          <cell r="F509">
            <v>269323.46999999997</v>
          </cell>
          <cell r="G509">
            <v>195543.37</v>
          </cell>
          <cell r="H509">
            <v>195543.37</v>
          </cell>
          <cell r="I509">
            <v>21816.34</v>
          </cell>
        </row>
        <row r="510">
          <cell r="A510" t="str">
            <v>В-17106/КЛ.Транш - 1_В-20211230/Ц</v>
          </cell>
          <cell r="B510" t="str">
            <v>Кебурия Илья Нугзариевич</v>
          </cell>
          <cell r="C510">
            <v>874</v>
          </cell>
          <cell r="D510">
            <v>44614</v>
          </cell>
          <cell r="E510">
            <v>84643.06</v>
          </cell>
          <cell r="F510">
            <v>84643.06</v>
          </cell>
          <cell r="G510">
            <v>67895.75</v>
          </cell>
          <cell r="H510">
            <v>67895.75</v>
          </cell>
          <cell r="I510">
            <v>12091.02</v>
          </cell>
        </row>
        <row r="511">
          <cell r="A511" t="str">
            <v>В-24927/КЛ.Транш - 1_В-20211230/Ц</v>
          </cell>
          <cell r="B511" t="str">
            <v>Златин Денис Петрович</v>
          </cell>
          <cell r="C511">
            <v>874</v>
          </cell>
          <cell r="D511">
            <v>44614</v>
          </cell>
          <cell r="E511">
            <v>220947.03</v>
          </cell>
          <cell r="F511">
            <v>220947.03</v>
          </cell>
          <cell r="G511">
            <v>168816.6</v>
          </cell>
          <cell r="H511">
            <v>168816.6</v>
          </cell>
          <cell r="I511">
            <v>40552.99</v>
          </cell>
        </row>
        <row r="512">
          <cell r="A512" t="str">
            <v>В-21858/КЛ.Транш - 1_В-20211230/Ц</v>
          </cell>
          <cell r="B512" t="str">
            <v>Тонконогов Артем Андреевич</v>
          </cell>
          <cell r="C512">
            <v>873</v>
          </cell>
          <cell r="D512">
            <v>44615</v>
          </cell>
          <cell r="E512">
            <v>478682.42</v>
          </cell>
          <cell r="F512">
            <v>478682.42</v>
          </cell>
          <cell r="G512">
            <v>260536.4</v>
          </cell>
          <cell r="H512">
            <v>260536.4</v>
          </cell>
        </row>
        <row r="513">
          <cell r="A513" t="str">
            <v>В-14907/КЛ.Транш - 1_В-20211230/Ц</v>
          </cell>
          <cell r="B513" t="str">
            <v>Аперян Любовь Артуровна</v>
          </cell>
          <cell r="C513">
            <v>872</v>
          </cell>
          <cell r="D513">
            <v>44616</v>
          </cell>
          <cell r="E513">
            <v>18357.53</v>
          </cell>
          <cell r="F513">
            <v>18357.53</v>
          </cell>
          <cell r="G513">
            <v>13559.44</v>
          </cell>
          <cell r="H513">
            <v>13559.44</v>
          </cell>
          <cell r="I513">
            <v>3882.83</v>
          </cell>
        </row>
        <row r="514">
          <cell r="A514" t="str">
            <v>В-25131/КЛ.Транш - 1_В-20211230/Ц</v>
          </cell>
          <cell r="B514" t="str">
            <v>Айрапетян Нарек Гайкович</v>
          </cell>
          <cell r="C514">
            <v>872</v>
          </cell>
          <cell r="D514">
            <v>44616</v>
          </cell>
          <cell r="E514">
            <v>508874.19</v>
          </cell>
          <cell r="F514">
            <v>508874.19</v>
          </cell>
          <cell r="G514">
            <v>290917.65000000002</v>
          </cell>
          <cell r="H514">
            <v>290917.65000000002</v>
          </cell>
        </row>
        <row r="515">
          <cell r="A515" t="str">
            <v>В-11534/КЛ.Транш - 1_В-20211230/Ц</v>
          </cell>
          <cell r="B515" t="str">
            <v>Иванов Владимир Леонидович</v>
          </cell>
          <cell r="C515">
            <v>871</v>
          </cell>
          <cell r="D515">
            <v>44617</v>
          </cell>
          <cell r="E515">
            <v>287904.3</v>
          </cell>
          <cell r="F515">
            <v>287904.3</v>
          </cell>
          <cell r="G515">
            <v>230479.84</v>
          </cell>
          <cell r="H515">
            <v>230479.84</v>
          </cell>
          <cell r="I515">
            <v>41991.53</v>
          </cell>
        </row>
        <row r="516">
          <cell r="A516" t="str">
            <v>В-14544/КЛ.Транш - 1_В-20211230/Ц</v>
          </cell>
          <cell r="B516" t="str">
            <v>Солдатенков Алексей Геннадиевич</v>
          </cell>
          <cell r="C516">
            <v>871</v>
          </cell>
          <cell r="D516">
            <v>44617</v>
          </cell>
          <cell r="E516">
            <v>221601.18</v>
          </cell>
          <cell r="F516">
            <v>221601.18</v>
          </cell>
          <cell r="G516">
            <v>169768.2</v>
          </cell>
          <cell r="H516">
            <v>169768.2</v>
          </cell>
          <cell r="I516">
            <v>40465.300000000003</v>
          </cell>
        </row>
        <row r="517">
          <cell r="A517" t="str">
            <v>В-14544/КЛ.Транш - 2_В-20211230/Ц</v>
          </cell>
          <cell r="B517" t="str">
            <v>Солдатенков Алексей Геннадиевич</v>
          </cell>
          <cell r="C517">
            <v>871</v>
          </cell>
          <cell r="D517">
            <v>44617</v>
          </cell>
          <cell r="E517">
            <v>173544.82</v>
          </cell>
          <cell r="F517">
            <v>173544.82</v>
          </cell>
          <cell r="G517">
            <v>130000</v>
          </cell>
          <cell r="H517">
            <v>130000</v>
          </cell>
          <cell r="I517">
            <v>34840.019999999997</v>
          </cell>
        </row>
        <row r="518">
          <cell r="A518" t="str">
            <v>В-22057/КЛ.Транш - 2_В-20211230/Ц</v>
          </cell>
          <cell r="B518" t="str">
            <v>Лихачева Мария Николаевна</v>
          </cell>
          <cell r="C518">
            <v>871</v>
          </cell>
          <cell r="D518">
            <v>44617</v>
          </cell>
          <cell r="E518">
            <v>210348.02</v>
          </cell>
          <cell r="F518">
            <v>210348.02</v>
          </cell>
          <cell r="G518">
            <v>157374.98000000001</v>
          </cell>
          <cell r="H518">
            <v>157374.98000000001</v>
          </cell>
          <cell r="I518">
            <v>42435.21</v>
          </cell>
        </row>
        <row r="519">
          <cell r="A519" t="str">
            <v>В-27521/КЛ.Транш - 1_В-20211230/Ц</v>
          </cell>
          <cell r="B519" t="str">
            <v>Невкипелый Дмитрий Валерьевич</v>
          </cell>
          <cell r="C519">
            <v>871</v>
          </cell>
          <cell r="D519">
            <v>44617</v>
          </cell>
          <cell r="E519">
            <v>280487.65999999997</v>
          </cell>
          <cell r="F519">
            <v>280487.65999999997</v>
          </cell>
          <cell r="G519">
            <v>269513.53000000003</v>
          </cell>
          <cell r="H519">
            <v>269513.53000000003</v>
          </cell>
        </row>
        <row r="520">
          <cell r="A520" t="str">
            <v>В-01051/АЗ_В-20211230/Ц</v>
          </cell>
          <cell r="B520" t="str">
            <v>Демченко Андрей Сергеевич</v>
          </cell>
          <cell r="C520">
            <v>870</v>
          </cell>
          <cell r="D520">
            <v>44618</v>
          </cell>
          <cell r="E520">
            <v>904019.63</v>
          </cell>
          <cell r="F520">
            <v>904019.63</v>
          </cell>
          <cell r="G520">
            <v>485590.5</v>
          </cell>
          <cell r="H520">
            <v>485590.5</v>
          </cell>
          <cell r="I520">
            <v>192586.54</v>
          </cell>
        </row>
        <row r="521">
          <cell r="A521" t="str">
            <v>В-00068/КЭ.Транш - 1_В-20211230/Ц</v>
          </cell>
          <cell r="B521" t="str">
            <v>Бизнес Бухгалтер ООО</v>
          </cell>
          <cell r="C521">
            <v>868</v>
          </cell>
          <cell r="D521">
            <v>44620</v>
          </cell>
          <cell r="E521">
            <v>2805724.82</v>
          </cell>
          <cell r="F521">
            <v>2805724.82</v>
          </cell>
          <cell r="G521">
            <v>255257.44</v>
          </cell>
          <cell r="H521">
            <v>255257.44</v>
          </cell>
          <cell r="I521">
            <v>48184.22</v>
          </cell>
        </row>
        <row r="522">
          <cell r="A522" t="str">
            <v>В-17062/КЛ.Транш - 1_В-20211230/Ц</v>
          </cell>
          <cell r="B522" t="str">
            <v>Мацола Артём Иванович</v>
          </cell>
          <cell r="C522">
            <v>868</v>
          </cell>
          <cell r="D522">
            <v>44620</v>
          </cell>
          <cell r="E522">
            <v>134489.06</v>
          </cell>
          <cell r="F522">
            <v>134489.06</v>
          </cell>
          <cell r="G522">
            <v>117058.82</v>
          </cell>
          <cell r="H522">
            <v>117058.82</v>
          </cell>
          <cell r="I522">
            <v>9781.6200000000008</v>
          </cell>
        </row>
        <row r="523">
          <cell r="A523" t="str">
            <v>В-22057/КЛ.Транш - 1_В-20211230/Ц</v>
          </cell>
          <cell r="B523" t="str">
            <v>Лихачева Мария Николаевна</v>
          </cell>
          <cell r="C523">
            <v>868</v>
          </cell>
          <cell r="D523">
            <v>44620</v>
          </cell>
          <cell r="E523">
            <v>724410.15</v>
          </cell>
          <cell r="F523">
            <v>724410.15</v>
          </cell>
          <cell r="G523">
            <v>583556.47</v>
          </cell>
          <cell r="H523">
            <v>583556.47</v>
          </cell>
          <cell r="I523">
            <v>102724.1</v>
          </cell>
        </row>
        <row r="524">
          <cell r="A524" t="str">
            <v>В-25304/АЗ_В-20211230/Ц</v>
          </cell>
          <cell r="B524" t="str">
            <v>Гаврин Валентин Николаевич</v>
          </cell>
          <cell r="C524">
            <v>868</v>
          </cell>
          <cell r="D524">
            <v>44620</v>
          </cell>
          <cell r="E524">
            <v>1291563.54</v>
          </cell>
          <cell r="F524">
            <v>1291563.54</v>
          </cell>
          <cell r="G524">
            <v>992657.44</v>
          </cell>
          <cell r="H524">
            <v>992657.44</v>
          </cell>
          <cell r="I524">
            <v>234045.86</v>
          </cell>
        </row>
        <row r="525">
          <cell r="A525" t="str">
            <v>В-26776/КЛ.Транш - 1_В-20211230/Ц</v>
          </cell>
          <cell r="B525" t="str">
            <v>Комаров Андрей Сергеевич</v>
          </cell>
          <cell r="C525">
            <v>868</v>
          </cell>
          <cell r="D525">
            <v>44620</v>
          </cell>
          <cell r="E525">
            <v>1085577.21</v>
          </cell>
          <cell r="F525">
            <v>1085577.21</v>
          </cell>
          <cell r="G525">
            <v>894567.06</v>
          </cell>
          <cell r="H525">
            <v>894567.06</v>
          </cell>
          <cell r="I525">
            <v>183815.15</v>
          </cell>
        </row>
        <row r="526">
          <cell r="A526" t="str">
            <v>В-27747/КЛ.Транш - 1_В-20211230/Ц</v>
          </cell>
          <cell r="B526" t="str">
            <v>Гусейнов Магомед Динисламович</v>
          </cell>
          <cell r="C526">
            <v>868</v>
          </cell>
          <cell r="D526">
            <v>44620</v>
          </cell>
          <cell r="E526">
            <v>145625.62</v>
          </cell>
          <cell r="F526">
            <v>145625.62</v>
          </cell>
          <cell r="G526">
            <v>110000</v>
          </cell>
          <cell r="H526">
            <v>110000</v>
          </cell>
          <cell r="I526">
            <v>32909.58</v>
          </cell>
        </row>
        <row r="527">
          <cell r="A527" t="str">
            <v>В-00070/КЭ.Транш - 1_В-20211230/Ц</v>
          </cell>
          <cell r="B527" t="str">
            <v>ТехТара ООО</v>
          </cell>
          <cell r="C527">
            <v>866</v>
          </cell>
          <cell r="D527">
            <v>44622</v>
          </cell>
          <cell r="E527">
            <v>2100610.35</v>
          </cell>
          <cell r="F527">
            <v>2100610.35</v>
          </cell>
          <cell r="G527">
            <v>189983.15</v>
          </cell>
          <cell r="H527">
            <v>189983.15</v>
          </cell>
          <cell r="I527">
            <v>34847.599999999999</v>
          </cell>
        </row>
        <row r="528">
          <cell r="A528" t="str">
            <v>В-19451/КЛ.Транш - 2_В-20211230/Ц</v>
          </cell>
          <cell r="B528" t="str">
            <v>Устинов Максим Викторович</v>
          </cell>
          <cell r="C528">
            <v>866</v>
          </cell>
          <cell r="D528">
            <v>44622</v>
          </cell>
          <cell r="E528">
            <v>109698.3</v>
          </cell>
          <cell r="F528">
            <v>109698.3</v>
          </cell>
          <cell r="G528">
            <v>86699.6</v>
          </cell>
          <cell r="H528">
            <v>86699.6</v>
          </cell>
          <cell r="I528">
            <v>17427.38</v>
          </cell>
        </row>
        <row r="529">
          <cell r="A529" t="str">
            <v>В-07877/КЛ.Транш - 12_В-21082023/Ц</v>
          </cell>
          <cell r="B529" t="str">
            <v>Кильдюшкин Андрей Николаевич</v>
          </cell>
          <cell r="C529">
            <v>862</v>
          </cell>
          <cell r="D529">
            <v>44626</v>
          </cell>
          <cell r="E529">
            <v>226770.46</v>
          </cell>
          <cell r="F529">
            <v>226770.46</v>
          </cell>
          <cell r="G529">
            <v>81525.179999999993</v>
          </cell>
          <cell r="H529">
            <v>81525.179999999993</v>
          </cell>
          <cell r="I529">
            <v>107345.2</v>
          </cell>
        </row>
        <row r="530">
          <cell r="A530" t="str">
            <v>В-27006/КЛ.Транш - 1_В-20211230/Ц</v>
          </cell>
          <cell r="B530" t="str">
            <v>Валиков Алексей Анатольевич</v>
          </cell>
          <cell r="C530">
            <v>858</v>
          </cell>
          <cell r="D530">
            <v>44630</v>
          </cell>
          <cell r="E530">
            <v>107222.81</v>
          </cell>
          <cell r="F530">
            <v>107222.81</v>
          </cell>
          <cell r="I530">
            <v>10511.96</v>
          </cell>
        </row>
        <row r="531">
          <cell r="A531" t="str">
            <v>В-14907/КЛ.Транш - 2_В-20211230/Ц</v>
          </cell>
          <cell r="B531" t="str">
            <v>Аперян Любовь Артуровна</v>
          </cell>
          <cell r="C531">
            <v>856</v>
          </cell>
          <cell r="D531">
            <v>44632</v>
          </cell>
          <cell r="E531">
            <v>782720.84</v>
          </cell>
          <cell r="F531">
            <v>782720.84</v>
          </cell>
          <cell r="G531">
            <v>585600</v>
          </cell>
          <cell r="H531">
            <v>585600</v>
          </cell>
          <cell r="I531">
            <v>162652.42000000001</v>
          </cell>
        </row>
        <row r="532">
          <cell r="A532" t="str">
            <v>В-17752/КЛ.Транш - 1_В-20211230/Ц</v>
          </cell>
          <cell r="B532" t="str">
            <v>Симонов Станислав Валерьевич</v>
          </cell>
          <cell r="C532">
            <v>856</v>
          </cell>
          <cell r="D532">
            <v>44632</v>
          </cell>
          <cell r="E532">
            <v>369867.04</v>
          </cell>
          <cell r="F532">
            <v>369867.04</v>
          </cell>
          <cell r="G532">
            <v>296850.77</v>
          </cell>
          <cell r="H532">
            <v>296850.77</v>
          </cell>
          <cell r="I532">
            <v>55543.63</v>
          </cell>
        </row>
        <row r="533">
          <cell r="A533" t="str">
            <v>В-27050/АЗ_В-20211230/Ц</v>
          </cell>
          <cell r="B533" t="str">
            <v>Бутурлакин Марк Николаевич</v>
          </cell>
          <cell r="C533">
            <v>856</v>
          </cell>
          <cell r="D533">
            <v>44632</v>
          </cell>
          <cell r="E533">
            <v>536324.46</v>
          </cell>
          <cell r="F533">
            <v>536324.46</v>
          </cell>
          <cell r="G533">
            <v>413095.75</v>
          </cell>
          <cell r="H533">
            <v>413095.75</v>
          </cell>
          <cell r="I533">
            <v>119390.32</v>
          </cell>
        </row>
        <row r="534">
          <cell r="A534" t="str">
            <v>В-17752/КЛ.Транш - 2_В-20211230/Ц</v>
          </cell>
          <cell r="B534" t="str">
            <v>Симонов Станислав Валерьевич</v>
          </cell>
          <cell r="C534">
            <v>852</v>
          </cell>
          <cell r="D534">
            <v>44636</v>
          </cell>
          <cell r="E534">
            <v>135442.16</v>
          </cell>
          <cell r="F534">
            <v>135442.16</v>
          </cell>
          <cell r="G534">
            <v>109325.25</v>
          </cell>
          <cell r="H534">
            <v>109325.25</v>
          </cell>
          <cell r="I534">
            <v>19918.169999999998</v>
          </cell>
        </row>
        <row r="535">
          <cell r="A535" t="str">
            <v>В-15393/КЛ.Транш - 1_В-20211230/Ц</v>
          </cell>
          <cell r="B535" t="str">
            <v>Темникова Оксана Дмитриевна</v>
          </cell>
          <cell r="C535">
            <v>851</v>
          </cell>
          <cell r="D535">
            <v>44637</v>
          </cell>
          <cell r="E535">
            <v>117663.15</v>
          </cell>
          <cell r="F535">
            <v>117663.15</v>
          </cell>
          <cell r="G535">
            <v>92548.6</v>
          </cell>
          <cell r="H535">
            <v>92548.6</v>
          </cell>
          <cell r="I535">
            <v>19917.02</v>
          </cell>
        </row>
        <row r="536">
          <cell r="A536" t="str">
            <v>В-07877/КЛ.Транш - 15_В-21082023/Ц</v>
          </cell>
          <cell r="B536" t="str">
            <v>Кильдюшкин Андрей Николаевич</v>
          </cell>
          <cell r="C536">
            <v>850</v>
          </cell>
          <cell r="D536">
            <v>44638</v>
          </cell>
          <cell r="E536">
            <v>232192.72</v>
          </cell>
          <cell r="F536">
            <v>238941.01</v>
          </cell>
          <cell r="G536">
            <v>86951.96</v>
          </cell>
          <cell r="H536">
            <v>80490.45</v>
          </cell>
          <cell r="I536">
            <v>112488.71</v>
          </cell>
        </row>
        <row r="537">
          <cell r="A537" t="str">
            <v>В-26093/КЛ.Транш - 1_В-20211230/Ц</v>
          </cell>
          <cell r="B537" t="str">
            <v>Храмцова Дарья Юрьевна</v>
          </cell>
          <cell r="C537">
            <v>848</v>
          </cell>
          <cell r="D537">
            <v>44640</v>
          </cell>
          <cell r="E537">
            <v>318985.53000000003</v>
          </cell>
          <cell r="F537">
            <v>318985.53000000003</v>
          </cell>
          <cell r="G537">
            <v>153752.76</v>
          </cell>
          <cell r="H537">
            <v>153752.76</v>
          </cell>
          <cell r="I537">
            <v>133131.68</v>
          </cell>
        </row>
        <row r="538">
          <cell r="A538" t="str">
            <v>В-07877/КЛ.Транш - 14_В-21082023/Ц</v>
          </cell>
          <cell r="B538" t="str">
            <v>Кильдюшкин Андрей Николаевич</v>
          </cell>
          <cell r="C538">
            <v>847</v>
          </cell>
          <cell r="D538">
            <v>44641</v>
          </cell>
          <cell r="E538">
            <v>168674.08</v>
          </cell>
          <cell r="F538">
            <v>168674.08</v>
          </cell>
          <cell r="G538">
            <v>61346.76</v>
          </cell>
          <cell r="H538">
            <v>61346.76</v>
          </cell>
          <cell r="I538">
            <v>79263.39</v>
          </cell>
        </row>
        <row r="539">
          <cell r="A539" t="str">
            <v>В-27416/АЗ_В-20211230/Ц</v>
          </cell>
          <cell r="B539" t="str">
            <v>Жолобов Алексей Юрьевич</v>
          </cell>
          <cell r="C539">
            <v>847</v>
          </cell>
          <cell r="D539">
            <v>44641</v>
          </cell>
          <cell r="E539">
            <v>290545.06</v>
          </cell>
          <cell r="F539">
            <v>290545.06</v>
          </cell>
          <cell r="G539">
            <v>42862.02</v>
          </cell>
          <cell r="H539">
            <v>42862.02</v>
          </cell>
          <cell r="I539">
            <v>238801.5</v>
          </cell>
        </row>
        <row r="540">
          <cell r="A540" t="str">
            <v>В-00077/КЭ.Транш - 1_В-20211230/Ц</v>
          </cell>
          <cell r="B540" t="str">
            <v>ДОРРЕМСТРОЙ ООО</v>
          </cell>
          <cell r="C540">
            <v>845</v>
          </cell>
          <cell r="D540">
            <v>44643</v>
          </cell>
          <cell r="E540">
            <v>2838617.95</v>
          </cell>
          <cell r="F540">
            <v>2838617.95</v>
          </cell>
          <cell r="G540">
            <v>1382886.78</v>
          </cell>
          <cell r="H540">
            <v>1382886.78</v>
          </cell>
          <cell r="I540">
            <v>187542.18</v>
          </cell>
        </row>
        <row r="541">
          <cell r="A541" t="str">
            <v>В-19451/КЛ.Транш - 3_В-20211230/Ц</v>
          </cell>
          <cell r="B541" t="str">
            <v>Устинов Максим Викторович</v>
          </cell>
          <cell r="C541">
            <v>845</v>
          </cell>
          <cell r="D541">
            <v>44643</v>
          </cell>
          <cell r="E541">
            <v>106252.33</v>
          </cell>
          <cell r="F541">
            <v>106252.33</v>
          </cell>
          <cell r="G541">
            <v>86699.6</v>
          </cell>
          <cell r="H541">
            <v>86699.6</v>
          </cell>
          <cell r="I541">
            <v>14964.59</v>
          </cell>
        </row>
        <row r="542">
          <cell r="A542" t="str">
            <v>В-20787/КЛ.Транш - 1_В-20211230/Ц</v>
          </cell>
          <cell r="B542" t="str">
            <v>Исаков Иван Владимирович</v>
          </cell>
          <cell r="C542">
            <v>845</v>
          </cell>
          <cell r="D542">
            <v>44643</v>
          </cell>
          <cell r="E542">
            <v>118180.95</v>
          </cell>
          <cell r="F542">
            <v>118180.95</v>
          </cell>
          <cell r="G542">
            <v>105093.83</v>
          </cell>
          <cell r="H542">
            <v>105093.83</v>
          </cell>
          <cell r="I542">
            <v>7525.55</v>
          </cell>
        </row>
        <row r="543">
          <cell r="A543" t="str">
            <v>В-17199/КЛ.Транш - 3_В-20211230/Ц</v>
          </cell>
          <cell r="B543" t="str">
            <v>Мустафин Ринад Исмаилович</v>
          </cell>
          <cell r="C543">
            <v>843</v>
          </cell>
          <cell r="D543">
            <v>44645</v>
          </cell>
          <cell r="E543">
            <v>15676.99</v>
          </cell>
          <cell r="F543">
            <v>15676.99</v>
          </cell>
          <cell r="I543">
            <v>9829.1299999999992</v>
          </cell>
        </row>
        <row r="544">
          <cell r="A544" t="str">
            <v>В-11630/КЛ.Транш - 1_В-20211230/Ц</v>
          </cell>
          <cell r="B544" t="str">
            <v>Комарова Марина Владимировна</v>
          </cell>
          <cell r="C544">
            <v>842</v>
          </cell>
          <cell r="D544">
            <v>44646</v>
          </cell>
          <cell r="E544">
            <v>1404822.72</v>
          </cell>
          <cell r="F544">
            <v>1404822.72</v>
          </cell>
          <cell r="G544">
            <v>868613.88</v>
          </cell>
          <cell r="H544">
            <v>868613.88</v>
          </cell>
          <cell r="I544">
            <v>152490.42000000001</v>
          </cell>
        </row>
        <row r="545">
          <cell r="A545" t="str">
            <v>В-17506/КЛ.Транш - 1_В-21082023/Ц</v>
          </cell>
          <cell r="B545" t="str">
            <v>Богачук Сергей Прокопьевич</v>
          </cell>
          <cell r="C545">
            <v>839</v>
          </cell>
          <cell r="D545">
            <v>44649</v>
          </cell>
          <cell r="E545">
            <v>985790.77</v>
          </cell>
          <cell r="F545">
            <v>985790.77</v>
          </cell>
          <cell r="G545">
            <v>729903.21</v>
          </cell>
          <cell r="H545">
            <v>729903.21</v>
          </cell>
          <cell r="I545">
            <v>54867.68</v>
          </cell>
        </row>
        <row r="546">
          <cell r="A546" t="str">
            <v>В-23074/КЛ.Транш - 1_В-20211230/Ц</v>
          </cell>
          <cell r="B546" t="str">
            <v>Дорожинская Екатерина Андреевна</v>
          </cell>
          <cell r="C546">
            <v>838</v>
          </cell>
          <cell r="D546">
            <v>44650</v>
          </cell>
          <cell r="E546">
            <v>296317.98</v>
          </cell>
          <cell r="F546">
            <v>296317.98</v>
          </cell>
          <cell r="G546">
            <v>186575.46</v>
          </cell>
          <cell r="H546">
            <v>186575.46</v>
          </cell>
          <cell r="I546">
            <v>15140.28</v>
          </cell>
        </row>
        <row r="547">
          <cell r="A547" t="str">
            <v>В-24261/КЛ.Транш - 1_В-20211230/Ц</v>
          </cell>
          <cell r="B547" t="str">
            <v>Мустафьева Айтан Таджединовна</v>
          </cell>
          <cell r="C547">
            <v>835</v>
          </cell>
          <cell r="D547">
            <v>44653</v>
          </cell>
          <cell r="E547">
            <v>287707.90999999997</v>
          </cell>
          <cell r="F547">
            <v>287707.90999999997</v>
          </cell>
          <cell r="G547">
            <v>245619.82</v>
          </cell>
          <cell r="H547">
            <v>245619.82</v>
          </cell>
          <cell r="I547">
            <v>33083.839999999997</v>
          </cell>
        </row>
        <row r="548">
          <cell r="A548" t="str">
            <v>В-24336/КЛ.Транш - 1_В-21082023/Ц</v>
          </cell>
          <cell r="B548" t="str">
            <v>Алексанян Роберт Робертович</v>
          </cell>
          <cell r="C548">
            <v>835</v>
          </cell>
          <cell r="D548">
            <v>44653</v>
          </cell>
          <cell r="E548">
            <v>53312.89</v>
          </cell>
          <cell r="F548">
            <v>53312.89</v>
          </cell>
        </row>
        <row r="549">
          <cell r="A549" t="str">
            <v>В-16432/КЛ.Транш - 1_В-21082023/Ц</v>
          </cell>
          <cell r="B549" t="str">
            <v>Малинина Оксана Александровна</v>
          </cell>
          <cell r="C549">
            <v>834</v>
          </cell>
          <cell r="D549">
            <v>44654</v>
          </cell>
          <cell r="E549">
            <v>669486.55000000005</v>
          </cell>
          <cell r="F549">
            <v>669486.55000000005</v>
          </cell>
          <cell r="G549">
            <v>463654.9</v>
          </cell>
          <cell r="H549">
            <v>463654.9</v>
          </cell>
          <cell r="I549">
            <v>79392.960000000006</v>
          </cell>
        </row>
        <row r="550">
          <cell r="A550" t="str">
            <v>В-21175/КЛ.Транш - 1_В-21082023/Ц</v>
          </cell>
          <cell r="B550" t="str">
            <v>Пилюгин Олег Васильевич</v>
          </cell>
          <cell r="C550">
            <v>834</v>
          </cell>
          <cell r="D550">
            <v>44654</v>
          </cell>
          <cell r="E550">
            <v>262606.06</v>
          </cell>
          <cell r="F550">
            <v>262606.06</v>
          </cell>
          <cell r="G550">
            <v>180657.57</v>
          </cell>
          <cell r="H550">
            <v>180657.57</v>
          </cell>
          <cell r="I550">
            <v>19181.98</v>
          </cell>
        </row>
        <row r="551">
          <cell r="A551" t="str">
            <v>В-17199/КЛ.Транш - 2_В-20211230/Ц</v>
          </cell>
          <cell r="B551" t="str">
            <v>Мустафин Ринад Исмаилович</v>
          </cell>
          <cell r="C551">
            <v>833</v>
          </cell>
          <cell r="D551">
            <v>44655</v>
          </cell>
          <cell r="E551">
            <v>8454.2999999999993</v>
          </cell>
          <cell r="F551">
            <v>8454.2999999999993</v>
          </cell>
          <cell r="I551">
            <v>4218.54</v>
          </cell>
        </row>
        <row r="552">
          <cell r="A552" t="str">
            <v>В-24336/КЛ.Транш - 2_В-21082023/Ц</v>
          </cell>
          <cell r="B552" t="str">
            <v>Алексанян Роберт Робертович</v>
          </cell>
          <cell r="C552">
            <v>832</v>
          </cell>
          <cell r="D552">
            <v>44656</v>
          </cell>
          <cell r="E552">
            <v>156180.94</v>
          </cell>
          <cell r="F552">
            <v>156180.94</v>
          </cell>
          <cell r="G552">
            <v>101424</v>
          </cell>
          <cell r="H552">
            <v>101424</v>
          </cell>
        </row>
        <row r="553">
          <cell r="A553" t="str">
            <v>В-19179/КЛ.Транш - 2_В-20211230/Ц</v>
          </cell>
          <cell r="B553" t="str">
            <v>Буренкова Екатерина Сергеевна</v>
          </cell>
          <cell r="C553">
            <v>831</v>
          </cell>
          <cell r="D553">
            <v>44657</v>
          </cell>
          <cell r="E553">
            <v>235546.78</v>
          </cell>
          <cell r="F553">
            <v>235546.78</v>
          </cell>
          <cell r="G553">
            <v>143102.51</v>
          </cell>
          <cell r="H553">
            <v>143102.51</v>
          </cell>
          <cell r="I553">
            <v>28228.45</v>
          </cell>
        </row>
        <row r="554">
          <cell r="A554" t="str">
            <v>В-29072/КЛ.Транш - 1_В-20211230/Ц</v>
          </cell>
          <cell r="B554" t="str">
            <v>Папикян Андраник Климентович</v>
          </cell>
          <cell r="C554">
            <v>830</v>
          </cell>
          <cell r="D554">
            <v>44658</v>
          </cell>
          <cell r="E554">
            <v>62013.61</v>
          </cell>
          <cell r="F554">
            <v>62013.61</v>
          </cell>
          <cell r="G554">
            <v>28964.38</v>
          </cell>
          <cell r="H554">
            <v>28964.38</v>
          </cell>
        </row>
        <row r="555">
          <cell r="A555" t="str">
            <v>В-16261/КЛ.Транш - 1_В-20211230/Ц</v>
          </cell>
          <cell r="B555" t="str">
            <v>Прусаков Максим Владимирович</v>
          </cell>
          <cell r="C555">
            <v>829</v>
          </cell>
          <cell r="D555">
            <v>44659</v>
          </cell>
          <cell r="E555">
            <v>135109.14000000001</v>
          </cell>
          <cell r="F555">
            <v>135109.14000000001</v>
          </cell>
          <cell r="G555">
            <v>78719.33</v>
          </cell>
          <cell r="H555">
            <v>78719.33</v>
          </cell>
          <cell r="I555">
            <v>15636.04</v>
          </cell>
        </row>
        <row r="556">
          <cell r="A556" t="str">
            <v>В-19179/КЛ.Транш - 1_В-20211230/Ц</v>
          </cell>
          <cell r="B556" t="str">
            <v>Буренкова Екатерина Сергеевна</v>
          </cell>
          <cell r="C556">
            <v>824</v>
          </cell>
          <cell r="D556">
            <v>44664</v>
          </cell>
          <cell r="E556">
            <v>87363.64</v>
          </cell>
          <cell r="F556">
            <v>87363.64</v>
          </cell>
          <cell r="G556">
            <v>11794.47</v>
          </cell>
          <cell r="H556">
            <v>11794.47</v>
          </cell>
        </row>
        <row r="557">
          <cell r="A557" t="str">
            <v>В-20458/КЛ.Транш - 1_В-20211230/Ц</v>
          </cell>
          <cell r="B557" t="str">
            <v>Музыка Евгений Александрович</v>
          </cell>
          <cell r="C557">
            <v>822</v>
          </cell>
          <cell r="D557">
            <v>44666</v>
          </cell>
          <cell r="E557">
            <v>345801.22</v>
          </cell>
          <cell r="F557">
            <v>345801.22</v>
          </cell>
          <cell r="G557">
            <v>228477.28</v>
          </cell>
          <cell r="H557">
            <v>228477.28</v>
          </cell>
        </row>
        <row r="558">
          <cell r="A558" t="str">
            <v>В-24336/КЛ.Транш - 3_В-21082023/Ц</v>
          </cell>
          <cell r="B558" t="str">
            <v>Алексанян Роберт Робертович</v>
          </cell>
          <cell r="C558">
            <v>822</v>
          </cell>
          <cell r="D558">
            <v>44666</v>
          </cell>
          <cell r="E558">
            <v>353587.87</v>
          </cell>
          <cell r="F558">
            <v>353587.87</v>
          </cell>
          <cell r="G558">
            <v>226198.69</v>
          </cell>
          <cell r="H558">
            <v>226198.69</v>
          </cell>
          <cell r="I558">
            <v>62170.559999999998</v>
          </cell>
        </row>
        <row r="559">
          <cell r="A559" t="str">
            <v>В-21666/КЛ.Транш - 1_В-20211230/Ц</v>
          </cell>
          <cell r="B559" t="str">
            <v>Кочнева Наталья Николаевна</v>
          </cell>
          <cell r="C559">
            <v>820</v>
          </cell>
          <cell r="D559">
            <v>44668</v>
          </cell>
          <cell r="E559">
            <v>704357.26</v>
          </cell>
          <cell r="F559">
            <v>704357.26</v>
          </cell>
          <cell r="G559">
            <v>429470.36</v>
          </cell>
          <cell r="H559">
            <v>429470.36</v>
          </cell>
          <cell r="I559">
            <v>84717.43</v>
          </cell>
        </row>
        <row r="560">
          <cell r="A560" t="str">
            <v>В-28383/КЛ.Транш - 1_В-20211230/Ц</v>
          </cell>
          <cell r="B560" t="str">
            <v>Абдуллин Азат Мазитович</v>
          </cell>
          <cell r="C560">
            <v>820</v>
          </cell>
          <cell r="D560">
            <v>44668</v>
          </cell>
          <cell r="E560">
            <v>556224.99</v>
          </cell>
          <cell r="F560">
            <v>556224.99</v>
          </cell>
          <cell r="G560">
            <v>363376.74</v>
          </cell>
          <cell r="H560">
            <v>363376.74</v>
          </cell>
        </row>
        <row r="561">
          <cell r="A561" t="str">
            <v>В-24336/КЛ.Транш - 4_В-21082023/Ц</v>
          </cell>
          <cell r="B561" t="str">
            <v>Алексанян Роберт Робертович</v>
          </cell>
          <cell r="C561">
            <v>819</v>
          </cell>
          <cell r="D561">
            <v>44669</v>
          </cell>
          <cell r="E561">
            <v>282767.19</v>
          </cell>
          <cell r="F561">
            <v>282767.19</v>
          </cell>
          <cell r="G561">
            <v>183838.7</v>
          </cell>
          <cell r="H561">
            <v>183838.7</v>
          </cell>
          <cell r="I561">
            <v>45284.77</v>
          </cell>
        </row>
        <row r="562">
          <cell r="A562" t="str">
            <v>В-18851/КЛ.Транш - 1_В-21082023/Ц</v>
          </cell>
          <cell r="B562" t="str">
            <v>Царьков Павел Игоревич</v>
          </cell>
          <cell r="C562">
            <v>818</v>
          </cell>
          <cell r="D562">
            <v>44670</v>
          </cell>
          <cell r="E562">
            <v>51458.83</v>
          </cell>
          <cell r="F562">
            <v>51458.83</v>
          </cell>
          <cell r="G562">
            <v>30048.27</v>
          </cell>
          <cell r="H562">
            <v>30048.27</v>
          </cell>
          <cell r="I562">
            <v>6133.13</v>
          </cell>
        </row>
        <row r="563">
          <cell r="A563" t="str">
            <v>В-23897/КЛ.Транш - 1_В-20211230/Ц</v>
          </cell>
          <cell r="B563" t="str">
            <v>Курнакова Надежда Александровна</v>
          </cell>
          <cell r="C563">
            <v>816</v>
          </cell>
          <cell r="D563">
            <v>44672</v>
          </cell>
          <cell r="E563">
            <v>88017.88</v>
          </cell>
          <cell r="F563">
            <v>88017.88</v>
          </cell>
          <cell r="G563">
            <v>54264.51</v>
          </cell>
          <cell r="H563">
            <v>54264.51</v>
          </cell>
          <cell r="I563">
            <v>6889.97</v>
          </cell>
        </row>
        <row r="564">
          <cell r="A564" t="str">
            <v>В-28684/КЛ.Транш - 1_В-21082023/Ц</v>
          </cell>
          <cell r="B564" t="str">
            <v>Крайнева Марина Александровна</v>
          </cell>
          <cell r="C564">
            <v>813</v>
          </cell>
          <cell r="D564">
            <v>44675</v>
          </cell>
          <cell r="E564">
            <v>312103.37</v>
          </cell>
          <cell r="F564">
            <v>312103.37</v>
          </cell>
          <cell r="G564">
            <v>77834.94</v>
          </cell>
          <cell r="H564">
            <v>77834.94</v>
          </cell>
          <cell r="I564">
            <v>128890.64</v>
          </cell>
        </row>
        <row r="565">
          <cell r="A565" t="str">
            <v>В-18334/КЛ.Транш - 1_В-20211230/Ц</v>
          </cell>
          <cell r="B565" t="str">
            <v>Акиньшин Олег Алексеевич</v>
          </cell>
          <cell r="C565">
            <v>812</v>
          </cell>
          <cell r="D565">
            <v>44676</v>
          </cell>
          <cell r="E565">
            <v>40560.58</v>
          </cell>
          <cell r="F565">
            <v>40560.58</v>
          </cell>
          <cell r="G565">
            <v>22869.38</v>
          </cell>
          <cell r="H565">
            <v>22869.38</v>
          </cell>
          <cell r="I565">
            <v>7663.43</v>
          </cell>
        </row>
        <row r="566">
          <cell r="A566" t="str">
            <v>В-01050/АЗ_В-20211230/Ц</v>
          </cell>
          <cell r="B566" t="str">
            <v>Демченко Андрей Сергеевич</v>
          </cell>
          <cell r="C566">
            <v>811</v>
          </cell>
          <cell r="D566">
            <v>44677</v>
          </cell>
          <cell r="E566">
            <v>657464.21</v>
          </cell>
          <cell r="F566">
            <v>657464.21</v>
          </cell>
          <cell r="G566">
            <v>386298.82</v>
          </cell>
          <cell r="H566">
            <v>386298.82</v>
          </cell>
          <cell r="I566">
            <v>100894.46</v>
          </cell>
        </row>
        <row r="567">
          <cell r="A567" t="str">
            <v>В-20921/КЛ.Транш - 1_В-20211230/Ц</v>
          </cell>
          <cell r="B567" t="str">
            <v>Оганесян Наири Миранович</v>
          </cell>
          <cell r="C567">
            <v>810</v>
          </cell>
          <cell r="D567">
            <v>44678</v>
          </cell>
          <cell r="E567">
            <v>1276091.76</v>
          </cell>
          <cell r="F567">
            <v>1276091.76</v>
          </cell>
          <cell r="G567">
            <v>849727.94</v>
          </cell>
          <cell r="H567">
            <v>849727.94</v>
          </cell>
          <cell r="I567">
            <v>75998.45</v>
          </cell>
        </row>
        <row r="568">
          <cell r="A568" t="str">
            <v>В-25367/АЗ_В-20211230/Ц</v>
          </cell>
          <cell r="B568" t="str">
            <v>Диакону Сергей Борисович</v>
          </cell>
          <cell r="C568">
            <v>808</v>
          </cell>
          <cell r="D568">
            <v>44680</v>
          </cell>
          <cell r="E568">
            <v>548916.32999999996</v>
          </cell>
          <cell r="F568">
            <v>548916.32999999996</v>
          </cell>
          <cell r="G568">
            <v>227921.22</v>
          </cell>
          <cell r="H568">
            <v>227921.22</v>
          </cell>
        </row>
        <row r="569">
          <cell r="A569" t="str">
            <v>В-25370/АЗ_В-20211230/Ц</v>
          </cell>
          <cell r="B569" t="str">
            <v>Науменко Андрей Николаевич</v>
          </cell>
          <cell r="C569">
            <v>808</v>
          </cell>
          <cell r="D569">
            <v>44680</v>
          </cell>
          <cell r="E569">
            <v>863628.9</v>
          </cell>
          <cell r="F569">
            <v>863628.9</v>
          </cell>
          <cell r="G569">
            <v>520512.45</v>
          </cell>
          <cell r="H569">
            <v>520512.45</v>
          </cell>
        </row>
        <row r="570">
          <cell r="A570" t="str">
            <v>В-19227/КЛ.Транш - 1_В-20211230/Ц</v>
          </cell>
          <cell r="B570" t="str">
            <v>Мощинская Елена Николаевна</v>
          </cell>
          <cell r="C570">
            <v>806</v>
          </cell>
          <cell r="D570">
            <v>44682</v>
          </cell>
          <cell r="E570">
            <v>472907.66</v>
          </cell>
          <cell r="F570">
            <v>472907.66</v>
          </cell>
          <cell r="G570">
            <v>317000.24</v>
          </cell>
          <cell r="H570">
            <v>317000.24</v>
          </cell>
          <cell r="I570">
            <v>17936.240000000002</v>
          </cell>
        </row>
        <row r="571">
          <cell r="A571" t="str">
            <v>В-23919/КЛ.Транш - 1_В-21082023/Ц</v>
          </cell>
          <cell r="B571" t="str">
            <v>Локшина Ольга Владимировна</v>
          </cell>
          <cell r="C571">
            <v>800</v>
          </cell>
          <cell r="D571">
            <v>44688</v>
          </cell>
          <cell r="E571">
            <v>1267544.6299999999</v>
          </cell>
          <cell r="F571">
            <v>1387989.94</v>
          </cell>
          <cell r="G571">
            <v>475359.11</v>
          </cell>
          <cell r="H571">
            <v>356785</v>
          </cell>
          <cell r="I571">
            <v>705404.49</v>
          </cell>
        </row>
        <row r="572">
          <cell r="A572" t="str">
            <v>В-05402/КЛ.Транш - 4_В-21082023/Ц</v>
          </cell>
          <cell r="B572" t="str">
            <v>Мылов Сергей Геннадьевич</v>
          </cell>
          <cell r="C572">
            <v>796</v>
          </cell>
          <cell r="D572">
            <v>44692</v>
          </cell>
          <cell r="E572">
            <v>501324.77</v>
          </cell>
          <cell r="F572">
            <v>501324.77</v>
          </cell>
          <cell r="G572">
            <v>301632.03000000003</v>
          </cell>
          <cell r="H572">
            <v>301632.03000000003</v>
          </cell>
          <cell r="I572">
            <v>120702.39999999999</v>
          </cell>
        </row>
        <row r="573">
          <cell r="A573" t="str">
            <v>В-19093/КЛ.Транш - 1_В-20211230/Ц</v>
          </cell>
          <cell r="B573" t="str">
            <v>Баранов Аркадий Александрович</v>
          </cell>
          <cell r="C573">
            <v>796</v>
          </cell>
          <cell r="D573">
            <v>44692</v>
          </cell>
          <cell r="E573">
            <v>792966.62</v>
          </cell>
          <cell r="F573">
            <v>792966.62</v>
          </cell>
          <cell r="G573">
            <v>464844.35</v>
          </cell>
          <cell r="H573">
            <v>464844.35</v>
          </cell>
          <cell r="I573">
            <v>110090.02</v>
          </cell>
        </row>
        <row r="574">
          <cell r="A574" t="str">
            <v>В-07072/КЛ.Транш - 1_В-20211230/Ц</v>
          </cell>
          <cell r="B574" t="str">
            <v>Мазурин Николай Анатольевич</v>
          </cell>
          <cell r="C574">
            <v>793</v>
          </cell>
          <cell r="D574">
            <v>44695</v>
          </cell>
          <cell r="E574">
            <v>523837.46</v>
          </cell>
          <cell r="F574">
            <v>523837.46</v>
          </cell>
          <cell r="G574">
            <v>291242.32</v>
          </cell>
          <cell r="H574">
            <v>291242.32</v>
          </cell>
          <cell r="I574">
            <v>107879.35</v>
          </cell>
        </row>
        <row r="575">
          <cell r="A575" t="str">
            <v>В-17853/КЛ.Транш - 6_В-20211230/Ц</v>
          </cell>
          <cell r="B575" t="str">
            <v>Савельев Александр Владимирович</v>
          </cell>
          <cell r="C575">
            <v>792</v>
          </cell>
          <cell r="D575">
            <v>44696</v>
          </cell>
          <cell r="E575">
            <v>168984.2</v>
          </cell>
          <cell r="F575">
            <v>168984.2</v>
          </cell>
          <cell r="G575">
            <v>102269.77</v>
          </cell>
          <cell r="H575">
            <v>102269.77</v>
          </cell>
          <cell r="I575">
            <v>22975.7</v>
          </cell>
        </row>
        <row r="576">
          <cell r="A576" t="str">
            <v>В-23410/КЛ.Транш - 1_В-20211230/Ц</v>
          </cell>
          <cell r="B576" t="str">
            <v>Шиховцов Игорь Николаевич</v>
          </cell>
          <cell r="C576">
            <v>791</v>
          </cell>
          <cell r="D576">
            <v>44697</v>
          </cell>
          <cell r="E576">
            <v>403404.78</v>
          </cell>
          <cell r="F576">
            <v>403404.78</v>
          </cell>
          <cell r="G576">
            <v>281706.62</v>
          </cell>
          <cell r="H576">
            <v>281706.62</v>
          </cell>
        </row>
        <row r="577">
          <cell r="A577" t="str">
            <v>В-13336/КЛ.Транш - 1_В-21082023/Ц</v>
          </cell>
          <cell r="B577" t="str">
            <v>Алыбаев Долеткельди Ягудович</v>
          </cell>
          <cell r="C577">
            <v>789</v>
          </cell>
          <cell r="D577">
            <v>44699</v>
          </cell>
          <cell r="E577">
            <v>276865.57</v>
          </cell>
          <cell r="F577">
            <v>276865.57</v>
          </cell>
          <cell r="G577">
            <v>182060.65</v>
          </cell>
          <cell r="H577">
            <v>182060.65</v>
          </cell>
          <cell r="I577">
            <v>49581.05</v>
          </cell>
        </row>
        <row r="578">
          <cell r="A578" t="str">
            <v>В-15451/КЛ.Транш - 1_В-21082023/Ц</v>
          </cell>
          <cell r="B578" t="str">
            <v>Кутанов Егор Сергеевич</v>
          </cell>
          <cell r="C578">
            <v>782</v>
          </cell>
          <cell r="D578">
            <v>44706</v>
          </cell>
          <cell r="E578">
            <v>232727.95</v>
          </cell>
          <cell r="F578">
            <v>232727.95</v>
          </cell>
          <cell r="I578">
            <v>154486.75</v>
          </cell>
        </row>
        <row r="579">
          <cell r="A579" t="str">
            <v>В-17853/КЛ.Транш - 4_В-20211230/Ц</v>
          </cell>
          <cell r="B579" t="str">
            <v>Савельев Александр Владимирович</v>
          </cell>
          <cell r="C579">
            <v>782</v>
          </cell>
          <cell r="D579">
            <v>44706</v>
          </cell>
          <cell r="E579">
            <v>161162.13</v>
          </cell>
          <cell r="F579">
            <v>161162.13</v>
          </cell>
          <cell r="G579">
            <v>98676.39</v>
          </cell>
          <cell r="H579">
            <v>98676.39</v>
          </cell>
          <cell r="I579">
            <v>20816.68</v>
          </cell>
        </row>
        <row r="580">
          <cell r="A580" t="str">
            <v>В-28694/КЛ.Транш - 1_В-21082023/Ц</v>
          </cell>
          <cell r="B580" t="str">
            <v>Аракелян Лусине Вардановна</v>
          </cell>
          <cell r="C580">
            <v>782</v>
          </cell>
          <cell r="D580">
            <v>44706</v>
          </cell>
          <cell r="E580">
            <v>598824.53</v>
          </cell>
          <cell r="F580">
            <v>598824.53</v>
          </cell>
          <cell r="G580">
            <v>328244.65000000002</v>
          </cell>
          <cell r="H580">
            <v>328244.65000000002</v>
          </cell>
          <cell r="I580">
            <v>237338.23</v>
          </cell>
        </row>
        <row r="581">
          <cell r="A581" t="str">
            <v>В-07072/КЛ.Транш - 3_В-20211230/Ц</v>
          </cell>
          <cell r="B581" t="str">
            <v>Мазурин Николай Анатольевич</v>
          </cell>
          <cell r="C581">
            <v>781</v>
          </cell>
          <cell r="D581">
            <v>44707</v>
          </cell>
          <cell r="E581">
            <v>272074.64</v>
          </cell>
          <cell r="F581">
            <v>272074.64</v>
          </cell>
          <cell r="G581">
            <v>153701.38</v>
          </cell>
          <cell r="H581">
            <v>153701.38</v>
          </cell>
          <cell r="I581">
            <v>53551.24</v>
          </cell>
        </row>
        <row r="582">
          <cell r="A582" t="str">
            <v>В-18164/КЛ.Транш - 1_В-21082023/Ц</v>
          </cell>
          <cell r="B582" t="str">
            <v>Гилаев Флюс Фаусович</v>
          </cell>
          <cell r="C582">
            <v>781</v>
          </cell>
          <cell r="D582">
            <v>44707</v>
          </cell>
          <cell r="E582">
            <v>617266.99</v>
          </cell>
          <cell r="F582">
            <v>617266.99</v>
          </cell>
          <cell r="G582">
            <v>227762.38</v>
          </cell>
          <cell r="H582">
            <v>227762.38</v>
          </cell>
          <cell r="I582">
            <v>278338.11</v>
          </cell>
        </row>
        <row r="583">
          <cell r="A583" t="str">
            <v>В-17853/КЛ.Транш - 3_В-20211230/Ц</v>
          </cell>
          <cell r="B583" t="str">
            <v>Савельев Александр Владимирович</v>
          </cell>
          <cell r="C583">
            <v>780</v>
          </cell>
          <cell r="D583">
            <v>44708</v>
          </cell>
          <cell r="E583">
            <v>157303.46</v>
          </cell>
          <cell r="F583">
            <v>157303.46</v>
          </cell>
          <cell r="G583">
            <v>96539.59</v>
          </cell>
          <cell r="H583">
            <v>96539.59</v>
          </cell>
          <cell r="I583">
            <v>20101.400000000001</v>
          </cell>
        </row>
        <row r="584">
          <cell r="A584" t="str">
            <v>В-17853/КЛ.Транш - 5_В-20211230/Ц</v>
          </cell>
          <cell r="B584" t="str">
            <v>Савельев Александр Владимирович</v>
          </cell>
          <cell r="C584">
            <v>779</v>
          </cell>
          <cell r="D584">
            <v>44709</v>
          </cell>
          <cell r="E584">
            <v>163581.65</v>
          </cell>
          <cell r="F584">
            <v>163581.65</v>
          </cell>
          <cell r="G584">
            <v>100510.42</v>
          </cell>
          <cell r="H584">
            <v>100510.42</v>
          </cell>
          <cell r="I584">
            <v>20790.52</v>
          </cell>
        </row>
        <row r="585">
          <cell r="A585" t="str">
            <v>В-13740/КЛ.Транш - 1_В-21082023/Ц</v>
          </cell>
          <cell r="B585" t="str">
            <v>Семенов Андрей Сергеевич</v>
          </cell>
          <cell r="C585">
            <v>777</v>
          </cell>
          <cell r="D585">
            <v>44711</v>
          </cell>
          <cell r="E585">
            <v>1096197.1000000001</v>
          </cell>
          <cell r="F585">
            <v>1096197.1000000001</v>
          </cell>
          <cell r="G585">
            <v>750359.09</v>
          </cell>
          <cell r="H585">
            <v>750359.09</v>
          </cell>
          <cell r="I585">
            <v>266825.2</v>
          </cell>
        </row>
        <row r="586">
          <cell r="A586" t="str">
            <v>В-27251/КЛ.Транш - 1_В-21082023/Ц</v>
          </cell>
          <cell r="B586" t="str">
            <v>Алешкин Алексей Владиславович</v>
          </cell>
          <cell r="C586">
            <v>775</v>
          </cell>
          <cell r="D586">
            <v>44713</v>
          </cell>
          <cell r="E586">
            <v>77593.789999999994</v>
          </cell>
          <cell r="F586">
            <v>77593.789999999994</v>
          </cell>
          <cell r="G586">
            <v>25248.14</v>
          </cell>
          <cell r="H586">
            <v>25248.14</v>
          </cell>
        </row>
        <row r="587">
          <cell r="A587" t="str">
            <v>В-10141/КЛ.Транш - 2_В-20211230/Ц</v>
          </cell>
          <cell r="B587" t="str">
            <v>Галеев Александр Ринатович</v>
          </cell>
          <cell r="C587">
            <v>773</v>
          </cell>
          <cell r="D587">
            <v>44715</v>
          </cell>
          <cell r="E587">
            <v>115422.36</v>
          </cell>
          <cell r="F587">
            <v>115422.36</v>
          </cell>
          <cell r="G587">
            <v>77027.12</v>
          </cell>
          <cell r="H587">
            <v>77027.12</v>
          </cell>
          <cell r="I587">
            <v>6241.28</v>
          </cell>
        </row>
        <row r="588">
          <cell r="A588" t="str">
            <v>В-17853/КЛ.Транш - 7_В-20211230/Ц</v>
          </cell>
          <cell r="B588" t="str">
            <v>Савельев Александр Владимирович</v>
          </cell>
          <cell r="C588">
            <v>771</v>
          </cell>
          <cell r="D588">
            <v>44717</v>
          </cell>
          <cell r="E588">
            <v>165054.46</v>
          </cell>
          <cell r="F588">
            <v>165054.46</v>
          </cell>
          <cell r="G588">
            <v>102289.56</v>
          </cell>
          <cell r="H588">
            <v>102289.56</v>
          </cell>
          <cell r="I588">
            <v>20177.669999999998</v>
          </cell>
        </row>
        <row r="589">
          <cell r="A589" t="str">
            <v>В-09174/КЛ.Транш - 9_В-20211230/Ц</v>
          </cell>
          <cell r="B589" t="str">
            <v>Скрипичников Егор Сергеевич</v>
          </cell>
          <cell r="C589">
            <v>768</v>
          </cell>
          <cell r="D589">
            <v>44720</v>
          </cell>
          <cell r="E589">
            <v>157932.4</v>
          </cell>
          <cell r="F589">
            <v>157932.4</v>
          </cell>
          <cell r="G589">
            <v>95538.49</v>
          </cell>
          <cell r="H589">
            <v>95538.49</v>
          </cell>
          <cell r="I589">
            <v>22772.19</v>
          </cell>
        </row>
        <row r="590">
          <cell r="A590" t="str">
            <v>В-09174/КЛ.Транш - 7_В-20211230/Ц</v>
          </cell>
          <cell r="B590" t="str">
            <v>Скрипичников Егор Сергеевич</v>
          </cell>
          <cell r="C590">
            <v>765</v>
          </cell>
          <cell r="D590">
            <v>44723</v>
          </cell>
          <cell r="E590">
            <v>155819.85999999999</v>
          </cell>
          <cell r="F590">
            <v>155819.85999999999</v>
          </cell>
          <cell r="G590">
            <v>93530.64</v>
          </cell>
          <cell r="H590">
            <v>93530.64</v>
          </cell>
          <cell r="I590">
            <v>23651.71</v>
          </cell>
        </row>
        <row r="591">
          <cell r="A591" t="str">
            <v>В-11050/КЛ.Транш - 1_В-20211230/Ц</v>
          </cell>
          <cell r="B591" t="str">
            <v>Садигов Нарман Адждар Оглы</v>
          </cell>
          <cell r="C591">
            <v>764</v>
          </cell>
          <cell r="D591">
            <v>44724</v>
          </cell>
          <cell r="E591">
            <v>246184.99</v>
          </cell>
          <cell r="F591">
            <v>246184.99</v>
          </cell>
          <cell r="G591">
            <v>136126.84</v>
          </cell>
          <cell r="H591">
            <v>136126.84</v>
          </cell>
          <cell r="I591">
            <v>42068.800000000003</v>
          </cell>
        </row>
        <row r="592">
          <cell r="A592" t="str">
            <v>В-17853/КЛ.Транш - 1_В-20211230/Ц</v>
          </cell>
          <cell r="B592" t="str">
            <v>Савельев Александр Владимирович</v>
          </cell>
          <cell r="C592">
            <v>764</v>
          </cell>
          <cell r="D592">
            <v>44724</v>
          </cell>
          <cell r="E592">
            <v>369194.57</v>
          </cell>
          <cell r="F592">
            <v>369194.57</v>
          </cell>
          <cell r="G592">
            <v>230713.27</v>
          </cell>
          <cell r="H592">
            <v>230713.27</v>
          </cell>
          <cell r="I592">
            <v>43298.23</v>
          </cell>
        </row>
        <row r="593">
          <cell r="A593" t="str">
            <v>В-17853/КЛ.Транш - 2_В-20211230/Ц</v>
          </cell>
          <cell r="B593" t="str">
            <v>Савельев Александр Владимирович</v>
          </cell>
          <cell r="C593">
            <v>764</v>
          </cell>
          <cell r="D593">
            <v>44724</v>
          </cell>
          <cell r="E593">
            <v>150994.06</v>
          </cell>
          <cell r="F593">
            <v>150994.06</v>
          </cell>
          <cell r="G593">
            <v>94357.66</v>
          </cell>
          <cell r="H593">
            <v>94357.66</v>
          </cell>
          <cell r="I593">
            <v>17708.2</v>
          </cell>
        </row>
        <row r="594">
          <cell r="A594" t="str">
            <v>В-27105/КЛ.Транш - 1_В-20211230/Ц</v>
          </cell>
          <cell r="B594" t="str">
            <v>Холодков Денис Владимирович</v>
          </cell>
          <cell r="C594">
            <v>764</v>
          </cell>
          <cell r="D594">
            <v>44724</v>
          </cell>
          <cell r="E594">
            <v>825324.52</v>
          </cell>
          <cell r="F594">
            <v>825324.52</v>
          </cell>
          <cell r="G594">
            <v>443666.24</v>
          </cell>
          <cell r="H594">
            <v>443666.24</v>
          </cell>
          <cell r="I594">
            <v>180956.57</v>
          </cell>
        </row>
        <row r="595">
          <cell r="A595" t="str">
            <v>В-07072/КЛ.Транш - 2_В-20211230/Ц</v>
          </cell>
          <cell r="B595" t="str">
            <v>Мазурин Николай Анатольевич</v>
          </cell>
          <cell r="C595">
            <v>763</v>
          </cell>
          <cell r="D595">
            <v>44725</v>
          </cell>
          <cell r="E595">
            <v>253456.25</v>
          </cell>
          <cell r="F595">
            <v>253456.25</v>
          </cell>
          <cell r="G595">
            <v>147455.22</v>
          </cell>
          <cell r="H595">
            <v>147455.22</v>
          </cell>
          <cell r="I595">
            <v>45246.53</v>
          </cell>
        </row>
        <row r="596">
          <cell r="A596" t="str">
            <v>В-10141/КЛ.Транш - 1_В-20211230/Ц</v>
          </cell>
          <cell r="B596" t="str">
            <v>Галеев Александр Ринатович</v>
          </cell>
          <cell r="C596">
            <v>763</v>
          </cell>
          <cell r="D596">
            <v>44725</v>
          </cell>
          <cell r="E596">
            <v>153986.18</v>
          </cell>
          <cell r="F596">
            <v>153986.18</v>
          </cell>
          <cell r="G596">
            <v>88583.72</v>
          </cell>
          <cell r="H596">
            <v>88583.72</v>
          </cell>
          <cell r="I596">
            <v>16988.66</v>
          </cell>
        </row>
        <row r="597">
          <cell r="A597" t="str">
            <v>В-09174/КЛ.Транш - 8_В-20211230/Ц</v>
          </cell>
          <cell r="B597" t="str">
            <v>Скрипичников Егор Сергеевич</v>
          </cell>
          <cell r="C597">
            <v>754</v>
          </cell>
          <cell r="D597">
            <v>44734</v>
          </cell>
          <cell r="E597">
            <v>153642.84</v>
          </cell>
          <cell r="F597">
            <v>153642.84</v>
          </cell>
          <cell r="G597">
            <v>94694.98</v>
          </cell>
          <cell r="H597">
            <v>94694.98</v>
          </cell>
          <cell r="I597">
            <v>20391.849999999999</v>
          </cell>
        </row>
        <row r="598">
          <cell r="A598" t="str">
            <v>В-19425/КЛ.Транш - 1_В-20211230/Ц</v>
          </cell>
          <cell r="B598" t="str">
            <v>Молчанов Дмитрий Викторович</v>
          </cell>
          <cell r="C598">
            <v>746</v>
          </cell>
          <cell r="D598">
            <v>44742</v>
          </cell>
          <cell r="E598">
            <v>802259.83</v>
          </cell>
          <cell r="F598">
            <v>802259.83</v>
          </cell>
          <cell r="G598">
            <v>478102.78</v>
          </cell>
          <cell r="H598">
            <v>478102.78</v>
          </cell>
          <cell r="I598">
            <v>131558.12</v>
          </cell>
        </row>
        <row r="599">
          <cell r="A599" t="str">
            <v>В-24308/КЛ.Транш - 1_В-20211230/Ц</v>
          </cell>
          <cell r="B599" t="str">
            <v>Кондратюк Алексей Николаевич</v>
          </cell>
          <cell r="C599">
            <v>745</v>
          </cell>
          <cell r="D599">
            <v>44743</v>
          </cell>
          <cell r="E599">
            <v>568970.26</v>
          </cell>
          <cell r="F599">
            <v>568970.26</v>
          </cell>
          <cell r="G599">
            <v>341433.95</v>
          </cell>
          <cell r="H599">
            <v>341433.95</v>
          </cell>
          <cell r="I599">
            <v>69605.179999999993</v>
          </cell>
        </row>
        <row r="600">
          <cell r="A600" t="str">
            <v>В-08644/КЛ.Транш - 1_В-21082023/Ц</v>
          </cell>
          <cell r="B600" t="str">
            <v>Жирнов Игорь Владимирович</v>
          </cell>
          <cell r="C600">
            <v>744</v>
          </cell>
          <cell r="D600">
            <v>44744</v>
          </cell>
          <cell r="E600">
            <v>121346.89</v>
          </cell>
          <cell r="F600">
            <v>132065.60000000001</v>
          </cell>
          <cell r="G600">
            <v>68963.759999999995</v>
          </cell>
          <cell r="H600">
            <v>58245.05</v>
          </cell>
          <cell r="I600">
            <v>40274.839999999997</v>
          </cell>
        </row>
        <row r="601">
          <cell r="A601" t="str">
            <v>В-27855/КЛ.Транш - 1_В-20211230/Ц</v>
          </cell>
          <cell r="B601" t="str">
            <v>Калашников Юрий Витальевич</v>
          </cell>
          <cell r="C601">
            <v>744</v>
          </cell>
          <cell r="D601">
            <v>44744</v>
          </cell>
          <cell r="E601">
            <v>1046212.54</v>
          </cell>
          <cell r="F601">
            <v>1046212.54</v>
          </cell>
          <cell r="G601">
            <v>695054.08</v>
          </cell>
          <cell r="H601">
            <v>695054.08</v>
          </cell>
          <cell r="I601">
            <v>60070.19</v>
          </cell>
        </row>
        <row r="602">
          <cell r="A602" t="str">
            <v>В-24350/КЛ.Транш - 1_В-20211230/Ц</v>
          </cell>
          <cell r="B602" t="str">
            <v>Мусаев Заурбек Хадживелиевич</v>
          </cell>
          <cell r="C602">
            <v>743</v>
          </cell>
          <cell r="D602">
            <v>44745</v>
          </cell>
          <cell r="E602">
            <v>943425.54</v>
          </cell>
          <cell r="F602">
            <v>943425.54</v>
          </cell>
          <cell r="G602">
            <v>234354.87</v>
          </cell>
          <cell r="H602">
            <v>234354.87</v>
          </cell>
          <cell r="I602">
            <v>372250.38</v>
          </cell>
        </row>
        <row r="603">
          <cell r="A603" t="str">
            <v>В-09174/КЛ.Транш - 10_В-20211230/Ц</v>
          </cell>
          <cell r="B603" t="str">
            <v>Скрипичников Егор Сергеевич</v>
          </cell>
          <cell r="C603">
            <v>739</v>
          </cell>
          <cell r="D603">
            <v>44749</v>
          </cell>
          <cell r="E603">
            <v>128847.63</v>
          </cell>
          <cell r="F603">
            <v>128847.63</v>
          </cell>
          <cell r="G603">
            <v>92760.7</v>
          </cell>
          <cell r="H603">
            <v>92760.7</v>
          </cell>
        </row>
        <row r="604">
          <cell r="A604" t="str">
            <v>В-25792/КЛ.Транш - 1_В-20211230/Ц</v>
          </cell>
          <cell r="B604" t="str">
            <v>Бакласова Мирабелла Викторовна</v>
          </cell>
          <cell r="C604">
            <v>737</v>
          </cell>
          <cell r="D604">
            <v>44751</v>
          </cell>
          <cell r="E604">
            <v>1343744.58</v>
          </cell>
          <cell r="F604">
            <v>1343744.58</v>
          </cell>
          <cell r="G604">
            <v>700000</v>
          </cell>
          <cell r="H604">
            <v>700000</v>
          </cell>
          <cell r="I604">
            <v>343535.99</v>
          </cell>
        </row>
        <row r="605">
          <cell r="A605" t="str">
            <v>В-19227/КЛ.Транш - 2_В-20211230/Ц</v>
          </cell>
          <cell r="B605" t="str">
            <v>Мощинская Елена Николаевна</v>
          </cell>
          <cell r="C605">
            <v>735</v>
          </cell>
          <cell r="D605">
            <v>44753</v>
          </cell>
          <cell r="E605">
            <v>164796.18</v>
          </cell>
          <cell r="F605">
            <v>164796.18</v>
          </cell>
          <cell r="G605">
            <v>106391.85</v>
          </cell>
          <cell r="H605">
            <v>106391.85</v>
          </cell>
          <cell r="I605">
            <v>16177.4</v>
          </cell>
        </row>
        <row r="606">
          <cell r="A606" t="str">
            <v>В-06818/КЛ.Транш - 1_В-20211230/Ц</v>
          </cell>
          <cell r="B606" t="str">
            <v>Собиров Раджабали Карахужаевич</v>
          </cell>
          <cell r="C606">
            <v>731</v>
          </cell>
          <cell r="D606">
            <v>44757</v>
          </cell>
          <cell r="E606">
            <v>259078.84</v>
          </cell>
          <cell r="F606">
            <v>259078.84</v>
          </cell>
          <cell r="G606">
            <v>147031.49</v>
          </cell>
          <cell r="H606">
            <v>147031.49</v>
          </cell>
          <cell r="I606">
            <v>42251.49</v>
          </cell>
        </row>
        <row r="607">
          <cell r="A607" t="str">
            <v>В-28360/КЛ.Транш - 1_В-20211230/Ц</v>
          </cell>
          <cell r="B607" t="str">
            <v>Абакумов Вадим Михайлович</v>
          </cell>
          <cell r="C607">
            <v>718</v>
          </cell>
          <cell r="D607">
            <v>44770</v>
          </cell>
          <cell r="E607">
            <v>308951.46000000002</v>
          </cell>
          <cell r="F607">
            <v>383626.49</v>
          </cell>
          <cell r="G607">
            <v>137796.93</v>
          </cell>
          <cell r="H607">
            <v>104872.69</v>
          </cell>
          <cell r="I607">
            <v>169880.88</v>
          </cell>
        </row>
        <row r="608">
          <cell r="A608" t="str">
            <v>В-18548/КЛ.Транш - 1_В-20211230/Ц</v>
          </cell>
          <cell r="B608" t="str">
            <v>Элоян Артур Гамбарович</v>
          </cell>
          <cell r="C608">
            <v>717</v>
          </cell>
          <cell r="D608">
            <v>44771</v>
          </cell>
          <cell r="E608">
            <v>829715.11</v>
          </cell>
          <cell r="F608">
            <v>829715.11</v>
          </cell>
          <cell r="G608">
            <v>494147.5</v>
          </cell>
          <cell r="H608">
            <v>494147.5</v>
          </cell>
          <cell r="I608">
            <v>122323.12</v>
          </cell>
        </row>
        <row r="609">
          <cell r="A609" t="str">
            <v>В-28872/КЛ.Транш - 1_В-20211230/Ц</v>
          </cell>
          <cell r="B609" t="str">
            <v>Хачатрян Лаврент Юрикович</v>
          </cell>
          <cell r="C609">
            <v>714</v>
          </cell>
          <cell r="D609">
            <v>44774</v>
          </cell>
          <cell r="E609">
            <v>1221218.3999999999</v>
          </cell>
          <cell r="F609">
            <v>1221218.3999999999</v>
          </cell>
          <cell r="G609">
            <v>750876.09</v>
          </cell>
          <cell r="H609">
            <v>750876.09</v>
          </cell>
          <cell r="I609">
            <v>149259.60999999999</v>
          </cell>
        </row>
        <row r="610">
          <cell r="A610" t="str">
            <v>В-02583/КЛ.Транш - 8_В-21082023/Ц</v>
          </cell>
          <cell r="B610" t="str">
            <v>Филатова Юлия Петровна</v>
          </cell>
          <cell r="C610">
            <v>713</v>
          </cell>
          <cell r="D610">
            <v>44775</v>
          </cell>
          <cell r="E610">
            <v>135890.53</v>
          </cell>
          <cell r="F610">
            <v>135890.53</v>
          </cell>
          <cell r="G610">
            <v>107594.14</v>
          </cell>
          <cell r="H610">
            <v>107594.14</v>
          </cell>
          <cell r="I610">
            <v>16920.29</v>
          </cell>
        </row>
        <row r="611">
          <cell r="A611" t="str">
            <v>В-30001/КЭ.Транш - 1_В-20211230/Ц</v>
          </cell>
          <cell r="B611" t="str">
            <v>ИП Белан Надежда Александровна</v>
          </cell>
          <cell r="C611">
            <v>710</v>
          </cell>
          <cell r="D611">
            <v>44778</v>
          </cell>
          <cell r="E611">
            <v>539171.82999999996</v>
          </cell>
          <cell r="F611">
            <v>539171.82999999996</v>
          </cell>
          <cell r="G611">
            <v>62617.29</v>
          </cell>
          <cell r="H611">
            <v>62617.29</v>
          </cell>
          <cell r="I611">
            <v>3701.38</v>
          </cell>
        </row>
        <row r="612">
          <cell r="A612" t="str">
            <v>В-02583/КЛ.Транш - 5_В-21082023/Ц</v>
          </cell>
          <cell r="B612" t="str">
            <v>Филатова Юлия Петровна</v>
          </cell>
          <cell r="C612">
            <v>709</v>
          </cell>
          <cell r="D612">
            <v>44779</v>
          </cell>
          <cell r="E612">
            <v>120632.76</v>
          </cell>
          <cell r="F612">
            <v>120632.76</v>
          </cell>
          <cell r="G612">
            <v>96312.13</v>
          </cell>
          <cell r="H612">
            <v>96312.13</v>
          </cell>
          <cell r="I612">
            <v>14407.23</v>
          </cell>
        </row>
        <row r="613">
          <cell r="A613" t="str">
            <v>В-10008/КЭ.Транш - 2_В-20211230/Ц</v>
          </cell>
          <cell r="B613" t="str">
            <v>ИП Светлов Виталий Анатольевич</v>
          </cell>
          <cell r="C613">
            <v>707</v>
          </cell>
          <cell r="D613">
            <v>44781</v>
          </cell>
          <cell r="E613">
            <v>2234645.23</v>
          </cell>
          <cell r="F613">
            <v>2234645.23</v>
          </cell>
          <cell r="G613">
            <v>254579.72</v>
          </cell>
          <cell r="H613">
            <v>254579.72</v>
          </cell>
          <cell r="I613">
            <v>38082.36</v>
          </cell>
        </row>
        <row r="614">
          <cell r="A614" t="str">
            <v>В-12113/КЛ.Транш - 1_В-20211230/Ц</v>
          </cell>
          <cell r="B614" t="str">
            <v>Кузьмин Михаил Юрьевич</v>
          </cell>
          <cell r="C614">
            <v>707</v>
          </cell>
          <cell r="D614">
            <v>44781</v>
          </cell>
          <cell r="E614">
            <v>177998.82</v>
          </cell>
          <cell r="F614">
            <v>177998.82</v>
          </cell>
          <cell r="G614">
            <v>118573.92</v>
          </cell>
          <cell r="H614">
            <v>118573.92</v>
          </cell>
          <cell r="I614">
            <v>3512.36</v>
          </cell>
        </row>
        <row r="615">
          <cell r="A615" t="str">
            <v>В-18548/КЛ.Транш - 2_В-20211230/Ц</v>
          </cell>
          <cell r="B615" t="str">
            <v>Элоян Артур Гамбарович</v>
          </cell>
          <cell r="C615">
            <v>706</v>
          </cell>
          <cell r="D615">
            <v>44782</v>
          </cell>
          <cell r="E615">
            <v>757988.42</v>
          </cell>
          <cell r="F615">
            <v>757988.42</v>
          </cell>
          <cell r="G615">
            <v>422614.63</v>
          </cell>
          <cell r="H615">
            <v>422614.63</v>
          </cell>
          <cell r="I615">
            <v>174256.19</v>
          </cell>
        </row>
        <row r="616">
          <cell r="A616" t="str">
            <v>В-04724/КЛ.Транш - 3_В-20211230/Ц</v>
          </cell>
          <cell r="B616" t="str">
            <v>Белан Надежда Александровна</v>
          </cell>
          <cell r="C616">
            <v>705</v>
          </cell>
          <cell r="D616">
            <v>44783</v>
          </cell>
          <cell r="E616">
            <v>565641.43999999994</v>
          </cell>
          <cell r="F616">
            <v>565641.43999999994</v>
          </cell>
          <cell r="G616">
            <v>344945.56</v>
          </cell>
          <cell r="H616">
            <v>344945.56</v>
          </cell>
          <cell r="I616">
            <v>89375.1</v>
          </cell>
        </row>
        <row r="617">
          <cell r="A617" t="str">
            <v>В-17417/КЛ.Транш - 1_В-20211230/Ц</v>
          </cell>
          <cell r="B617" t="str">
            <v>Минаева Наталия Анатольевна</v>
          </cell>
          <cell r="C617">
            <v>705</v>
          </cell>
          <cell r="D617">
            <v>44783</v>
          </cell>
          <cell r="E617">
            <v>341610.78</v>
          </cell>
          <cell r="F617">
            <v>341610.78</v>
          </cell>
          <cell r="G617">
            <v>200335.03</v>
          </cell>
          <cell r="H617">
            <v>200335.03</v>
          </cell>
          <cell r="I617">
            <v>52526.22</v>
          </cell>
        </row>
        <row r="618">
          <cell r="A618" t="str">
            <v>В-10008/КЭ.Транш - 3_В-20211230/Ц</v>
          </cell>
          <cell r="B618" t="str">
            <v>ИП Светлов Виталий Анатольевич</v>
          </cell>
          <cell r="C618">
            <v>704</v>
          </cell>
          <cell r="D618">
            <v>44784</v>
          </cell>
          <cell r="E618">
            <v>751673.68</v>
          </cell>
          <cell r="F618">
            <v>751673.68</v>
          </cell>
          <cell r="G618">
            <v>86356.46</v>
          </cell>
          <cell r="H618">
            <v>86356.46</v>
          </cell>
          <cell r="I618">
            <v>12456.62</v>
          </cell>
        </row>
        <row r="619">
          <cell r="A619" t="str">
            <v>В-10024/КЭ.Транш - 1_В-20211230/Ц</v>
          </cell>
          <cell r="B619" t="str">
            <v>ИП Светлов Виталий Анатольевич</v>
          </cell>
          <cell r="C619">
            <v>701</v>
          </cell>
          <cell r="D619">
            <v>44787</v>
          </cell>
          <cell r="E619">
            <v>1970417.25</v>
          </cell>
          <cell r="F619">
            <v>1970417.25</v>
          </cell>
          <cell r="G619">
            <v>227999.63</v>
          </cell>
          <cell r="H619">
            <v>227999.63</v>
          </cell>
          <cell r="I619">
            <v>31670.09</v>
          </cell>
        </row>
        <row r="620">
          <cell r="A620" t="str">
            <v>В-20251/КЛ.Транш - 2_В-20211230/Ц</v>
          </cell>
          <cell r="B620" t="str">
            <v>Слепнев Иван Викторович</v>
          </cell>
          <cell r="C620">
            <v>698</v>
          </cell>
          <cell r="D620">
            <v>44790</v>
          </cell>
          <cell r="E620">
            <v>315395.17</v>
          </cell>
          <cell r="F620">
            <v>315395.17</v>
          </cell>
          <cell r="G620">
            <v>188883.75</v>
          </cell>
          <cell r="H620">
            <v>188883.75</v>
          </cell>
          <cell r="I620">
            <v>43210.38</v>
          </cell>
        </row>
        <row r="621">
          <cell r="A621" t="str">
            <v>В-28393/КЛ.Транш - 1_В-20211230/Ц</v>
          </cell>
          <cell r="B621" t="str">
            <v>Петров Николай Анатольевич</v>
          </cell>
          <cell r="C621">
            <v>698</v>
          </cell>
          <cell r="D621">
            <v>44790</v>
          </cell>
          <cell r="E621">
            <v>5614.92</v>
          </cell>
          <cell r="F621">
            <v>5614.92</v>
          </cell>
        </row>
        <row r="622">
          <cell r="A622" t="str">
            <v>В-01217/АЗ_В-20211230/Ц</v>
          </cell>
          <cell r="B622" t="str">
            <v>Гупало Илья Александрович</v>
          </cell>
          <cell r="C622">
            <v>694</v>
          </cell>
          <cell r="D622">
            <v>44794</v>
          </cell>
          <cell r="E622">
            <v>573858.86</v>
          </cell>
          <cell r="F622">
            <v>573858.86</v>
          </cell>
          <cell r="G622">
            <v>340495.15</v>
          </cell>
          <cell r="H622">
            <v>340495.15</v>
          </cell>
          <cell r="I622">
            <v>91152.88</v>
          </cell>
        </row>
        <row r="623">
          <cell r="A623" t="str">
            <v>В-26449/АЗ_В-20211230/Ц</v>
          </cell>
          <cell r="B623" t="str">
            <v>Светлов Виталий Анатольевич</v>
          </cell>
          <cell r="C623">
            <v>691</v>
          </cell>
          <cell r="D623">
            <v>44797</v>
          </cell>
          <cell r="E623">
            <v>1564685.77</v>
          </cell>
          <cell r="F623">
            <v>1564685.77</v>
          </cell>
          <cell r="G623">
            <v>966941.07</v>
          </cell>
          <cell r="H623">
            <v>966941.07</v>
          </cell>
          <cell r="I623">
            <v>211932.29</v>
          </cell>
        </row>
        <row r="624">
          <cell r="A624" t="str">
            <v>В-10008/КЭ.Транш - 1_В-20211230/Ц</v>
          </cell>
          <cell r="B624" t="str">
            <v>ИП Светлов Виталий Анатольевич</v>
          </cell>
          <cell r="C624">
            <v>685</v>
          </cell>
          <cell r="D624">
            <v>44803</v>
          </cell>
          <cell r="E624">
            <v>451030.33</v>
          </cell>
          <cell r="F624">
            <v>451030.33</v>
          </cell>
          <cell r="G624">
            <v>50650.14</v>
          </cell>
          <cell r="H624">
            <v>50650.14</v>
          </cell>
          <cell r="I624">
            <v>5592.33</v>
          </cell>
        </row>
        <row r="625">
          <cell r="A625" t="str">
            <v>В-26816/КЛ.Транш - 1_В-20211230/Ц</v>
          </cell>
          <cell r="B625" t="str">
            <v>Мартынко Александра Андреевна</v>
          </cell>
          <cell r="C625">
            <v>685</v>
          </cell>
          <cell r="D625">
            <v>44803</v>
          </cell>
          <cell r="E625">
            <v>305589.65999999997</v>
          </cell>
          <cell r="F625">
            <v>305589.65999999997</v>
          </cell>
          <cell r="G625">
            <v>161018.21</v>
          </cell>
          <cell r="H625">
            <v>161018.21</v>
          </cell>
        </row>
        <row r="626">
          <cell r="A626" t="str">
            <v>В-00063/КЭ.Транш - 3_В-20211230/Ц</v>
          </cell>
          <cell r="B626" t="str">
            <v>ИП Месропян Аревик Орбеловна</v>
          </cell>
          <cell r="C626">
            <v>681</v>
          </cell>
          <cell r="D626">
            <v>44807</v>
          </cell>
          <cell r="E626">
            <v>1887835.47</v>
          </cell>
          <cell r="F626">
            <v>1887835.47</v>
          </cell>
          <cell r="G626">
            <v>252337.44</v>
          </cell>
          <cell r="H626">
            <v>252337.44</v>
          </cell>
          <cell r="I626">
            <v>25841.279999999999</v>
          </cell>
        </row>
        <row r="627">
          <cell r="A627" t="str">
            <v>В-25792/КЛ.Транш - 2_В-20211230/Ц</v>
          </cell>
          <cell r="B627" t="str">
            <v>Бакласова Мирабелла Викторовна</v>
          </cell>
          <cell r="C627">
            <v>675</v>
          </cell>
          <cell r="D627">
            <v>44813</v>
          </cell>
          <cell r="E627">
            <v>57625.14</v>
          </cell>
          <cell r="F627">
            <v>57625.14</v>
          </cell>
          <cell r="G627">
            <v>32041.16</v>
          </cell>
          <cell r="H627">
            <v>32041.16</v>
          </cell>
          <cell r="I627">
            <v>13904.98</v>
          </cell>
        </row>
        <row r="628">
          <cell r="A628" t="str">
            <v>В-28090/АЗ_В-20211230/Ц</v>
          </cell>
          <cell r="B628" t="str">
            <v>Колесников Михаил Вячеславович</v>
          </cell>
          <cell r="C628">
            <v>675</v>
          </cell>
          <cell r="D628">
            <v>44813</v>
          </cell>
          <cell r="E628">
            <v>1462302.43</v>
          </cell>
          <cell r="F628">
            <v>1462302.43</v>
          </cell>
          <cell r="G628">
            <v>915534.29</v>
          </cell>
          <cell r="H628">
            <v>915534.29</v>
          </cell>
          <cell r="I628">
            <v>184032.38</v>
          </cell>
        </row>
        <row r="629">
          <cell r="A629" t="str">
            <v>В-10025/КЭ.Транш - 1_В-20211230/Ц</v>
          </cell>
          <cell r="B629" t="str">
            <v>ИП Петров Юрий Викторович</v>
          </cell>
          <cell r="C629">
            <v>670</v>
          </cell>
          <cell r="D629">
            <v>44818</v>
          </cell>
          <cell r="E629">
            <v>2141049.0099999998</v>
          </cell>
          <cell r="F629">
            <v>2141049.0099999998</v>
          </cell>
          <cell r="G629">
            <v>254968.95</v>
          </cell>
          <cell r="H629">
            <v>254968.95</v>
          </cell>
          <cell r="I629">
            <v>60113.55</v>
          </cell>
        </row>
        <row r="630">
          <cell r="A630" t="str">
            <v>В-25950/КЛ.Транш - 1_В-20211230/Ц</v>
          </cell>
          <cell r="B630" t="str">
            <v>Пивченкова Наталья Александровна</v>
          </cell>
          <cell r="C630">
            <v>670</v>
          </cell>
          <cell r="D630">
            <v>44818</v>
          </cell>
          <cell r="E630">
            <v>114370.68</v>
          </cell>
          <cell r="F630">
            <v>114370.68</v>
          </cell>
          <cell r="I630">
            <v>35010.160000000003</v>
          </cell>
        </row>
        <row r="631">
          <cell r="A631" t="str">
            <v>В-26170/КЛ.Транш - 1_В-20211230/Ц</v>
          </cell>
          <cell r="B631" t="str">
            <v>Магомедов Саид Магомедрасулович</v>
          </cell>
          <cell r="C631">
            <v>667</v>
          </cell>
          <cell r="D631">
            <v>44821</v>
          </cell>
          <cell r="E631">
            <v>148902.82</v>
          </cell>
          <cell r="F631">
            <v>148902.82</v>
          </cell>
          <cell r="G631">
            <v>84396.97</v>
          </cell>
          <cell r="H631">
            <v>84396.97</v>
          </cell>
          <cell r="I631">
            <v>14465.75</v>
          </cell>
        </row>
        <row r="632">
          <cell r="A632" t="str">
            <v>В-24308/КЛ.Транш - 2_В-20211230/Ц</v>
          </cell>
          <cell r="B632" t="str">
            <v>Кондратюк Алексей Николаевич</v>
          </cell>
          <cell r="C632">
            <v>662</v>
          </cell>
          <cell r="D632">
            <v>44826</v>
          </cell>
          <cell r="E632">
            <v>602508.88</v>
          </cell>
          <cell r="F632">
            <v>602508.88</v>
          </cell>
          <cell r="G632">
            <v>422557.17</v>
          </cell>
          <cell r="H632">
            <v>422557.17</v>
          </cell>
          <cell r="I632">
            <v>28895.97</v>
          </cell>
        </row>
        <row r="633">
          <cell r="A633" t="str">
            <v>Т-01885/АЗ_Т-20211028/Ц</v>
          </cell>
          <cell r="B633" t="str">
            <v>Месропян Аревик Орбеловна</v>
          </cell>
          <cell r="C633">
            <v>661</v>
          </cell>
          <cell r="D633">
            <v>44827</v>
          </cell>
          <cell r="E633">
            <v>194420.7</v>
          </cell>
          <cell r="F633">
            <v>194420.7</v>
          </cell>
          <cell r="G633">
            <v>98003.53</v>
          </cell>
          <cell r="H633">
            <v>98003.53</v>
          </cell>
          <cell r="I633">
            <v>50789.71</v>
          </cell>
        </row>
        <row r="634">
          <cell r="A634" t="str">
            <v>В-10039/КЛ.Транш - 1_В-20211230/Ц</v>
          </cell>
          <cell r="B634" t="str">
            <v>Чеботкова Полина Михайловна</v>
          </cell>
          <cell r="C634">
            <v>660</v>
          </cell>
          <cell r="D634">
            <v>44828</v>
          </cell>
          <cell r="E634">
            <v>846864.68</v>
          </cell>
          <cell r="F634">
            <v>846864.68</v>
          </cell>
          <cell r="G634">
            <v>510538.93</v>
          </cell>
          <cell r="H634">
            <v>510538.93</v>
          </cell>
          <cell r="I634">
            <v>144269.68</v>
          </cell>
        </row>
        <row r="635">
          <cell r="A635" t="str">
            <v>В-26450/АЗ_В-20211230/Ц</v>
          </cell>
          <cell r="B635" t="str">
            <v>Петров Юрий Викторович</v>
          </cell>
          <cell r="C635">
            <v>660</v>
          </cell>
          <cell r="D635">
            <v>44828</v>
          </cell>
          <cell r="E635">
            <v>880797.79</v>
          </cell>
          <cell r="F635">
            <v>880797.79</v>
          </cell>
          <cell r="G635">
            <v>575064.78</v>
          </cell>
          <cell r="H635">
            <v>575064.78</v>
          </cell>
          <cell r="I635">
            <v>100779.92</v>
          </cell>
        </row>
        <row r="636">
          <cell r="A636" t="str">
            <v>В-02583/КЛ.Транш - 6_В-21082023/Ц</v>
          </cell>
          <cell r="B636" t="str">
            <v>Филатова Юлия Петровна</v>
          </cell>
          <cell r="C636">
            <v>659</v>
          </cell>
          <cell r="D636">
            <v>44829</v>
          </cell>
          <cell r="E636">
            <v>100983.26</v>
          </cell>
          <cell r="F636">
            <v>100983.26</v>
          </cell>
          <cell r="G636">
            <v>79192.86</v>
          </cell>
          <cell r="H636">
            <v>79192.86</v>
          </cell>
          <cell r="I636">
            <v>14157.07</v>
          </cell>
        </row>
        <row r="637">
          <cell r="A637" t="str">
            <v>В-10039/КЛ.Транш - 2_В-20211230/Ц</v>
          </cell>
          <cell r="B637" t="str">
            <v>Чеботкова Полина Михайловна</v>
          </cell>
          <cell r="C637">
            <v>656</v>
          </cell>
          <cell r="D637">
            <v>44832</v>
          </cell>
          <cell r="E637">
            <v>252013.43</v>
          </cell>
          <cell r="F637">
            <v>252013.43</v>
          </cell>
          <cell r="G637">
            <v>146529.69</v>
          </cell>
          <cell r="H637">
            <v>146529.69</v>
          </cell>
          <cell r="I637">
            <v>43657.81</v>
          </cell>
        </row>
        <row r="638">
          <cell r="A638" t="str">
            <v>В-02583/КЛ.Транш - 7_В-21082023/Ц</v>
          </cell>
          <cell r="B638" t="str">
            <v>Филатова Юлия Петровна</v>
          </cell>
          <cell r="C638">
            <v>654</v>
          </cell>
          <cell r="D638">
            <v>44834</v>
          </cell>
          <cell r="E638">
            <v>125995.57</v>
          </cell>
          <cell r="F638">
            <v>125995.57</v>
          </cell>
          <cell r="G638">
            <v>98821.17</v>
          </cell>
          <cell r="H638">
            <v>98821.17</v>
          </cell>
          <cell r="I638">
            <v>17056.8</v>
          </cell>
        </row>
        <row r="639">
          <cell r="A639" t="str">
            <v>В-10020/КЭ.Транш - 1_В-20211230/Ц</v>
          </cell>
          <cell r="B639" t="str">
            <v>АС ООО</v>
          </cell>
          <cell r="C639">
            <v>653</v>
          </cell>
          <cell r="D639">
            <v>44835</v>
          </cell>
          <cell r="E639">
            <v>5997097.0099999998</v>
          </cell>
          <cell r="F639">
            <v>5997097.0099999998</v>
          </cell>
          <cell r="G639">
            <v>761323.76</v>
          </cell>
          <cell r="H639">
            <v>761323.76</v>
          </cell>
          <cell r="I639">
            <v>126049.61</v>
          </cell>
        </row>
        <row r="640">
          <cell r="A640" t="str">
            <v>В-25659/КЛ.Транш - 1_В-20211230/Ц</v>
          </cell>
          <cell r="B640" t="str">
            <v>Бондаренко Александр Александрович</v>
          </cell>
          <cell r="C640">
            <v>647</v>
          </cell>
          <cell r="D640">
            <v>44841</v>
          </cell>
          <cell r="E640">
            <v>117931.53</v>
          </cell>
          <cell r="F640">
            <v>250121.03</v>
          </cell>
          <cell r="G640">
            <v>107547.4</v>
          </cell>
          <cell r="H640">
            <v>12047.83</v>
          </cell>
          <cell r="I640">
            <v>79285.070000000007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640</v>
          </cell>
          <cell r="D641">
            <v>44848</v>
          </cell>
          <cell r="E641">
            <v>46799.12</v>
          </cell>
          <cell r="F641">
            <v>46799.12</v>
          </cell>
          <cell r="G641">
            <v>35828.65</v>
          </cell>
          <cell r="H641">
            <v>35828.65</v>
          </cell>
        </row>
        <row r="642">
          <cell r="A642" t="str">
            <v>В-11396/КЛ.Транш - 2_В-21082023/Ц</v>
          </cell>
          <cell r="B642" t="str">
            <v>Губская Светлана Анатольевна</v>
          </cell>
          <cell r="C642">
            <v>639</v>
          </cell>
          <cell r="D642">
            <v>44849</v>
          </cell>
          <cell r="E642">
            <v>45229.58</v>
          </cell>
          <cell r="F642">
            <v>205009.4</v>
          </cell>
          <cell r="G642">
            <v>173008.97</v>
          </cell>
          <cell r="H642">
            <v>13229.15</v>
          </cell>
          <cell r="I642">
            <v>10522.74</v>
          </cell>
        </row>
        <row r="643">
          <cell r="A643" t="str">
            <v>В-25659/КЛ.Транш - 2_В-20211230/Ц</v>
          </cell>
          <cell r="B643" t="str">
            <v>Бондаренко Александр Александрович</v>
          </cell>
          <cell r="C643">
            <v>637</v>
          </cell>
          <cell r="D643">
            <v>44851</v>
          </cell>
          <cell r="E643">
            <v>118103.89</v>
          </cell>
          <cell r="F643">
            <v>291826.24</v>
          </cell>
          <cell r="G643">
            <v>130577.68</v>
          </cell>
          <cell r="H643">
            <v>11599.49</v>
          </cell>
          <cell r="I643">
            <v>77030.41</v>
          </cell>
        </row>
        <row r="644">
          <cell r="A644" t="str">
            <v>В-14546/КЛ.Транш - 1_В-20211230/Ц</v>
          </cell>
          <cell r="B644" t="str">
            <v>Козлов Иван Александрович</v>
          </cell>
          <cell r="C644">
            <v>628</v>
          </cell>
          <cell r="D644">
            <v>44860</v>
          </cell>
          <cell r="E644">
            <v>375008.43</v>
          </cell>
          <cell r="F644">
            <v>375008.43</v>
          </cell>
          <cell r="G644">
            <v>243347.98</v>
          </cell>
          <cell r="H644">
            <v>243347.98</v>
          </cell>
          <cell r="I644">
            <v>49136.29</v>
          </cell>
        </row>
        <row r="645">
          <cell r="A645" t="str">
            <v>В-26649/АЗ_В-20211230/Ц</v>
          </cell>
          <cell r="B645" t="str">
            <v>Краснокутская Ирина Анатольевна</v>
          </cell>
          <cell r="C645">
            <v>626</v>
          </cell>
          <cell r="D645">
            <v>44862</v>
          </cell>
          <cell r="E645">
            <v>1466318.26</v>
          </cell>
          <cell r="F645">
            <v>1466318.26</v>
          </cell>
          <cell r="G645">
            <v>937688.28</v>
          </cell>
          <cell r="H645">
            <v>937688.28</v>
          </cell>
          <cell r="I645">
            <v>190774.61</v>
          </cell>
        </row>
        <row r="646">
          <cell r="A646" t="str">
            <v>В-26651/АЗ_В-20211230/Ц</v>
          </cell>
          <cell r="B646" t="str">
            <v>Краснокутский Анатолий Владимирович</v>
          </cell>
          <cell r="C646">
            <v>626</v>
          </cell>
          <cell r="D646">
            <v>44862</v>
          </cell>
          <cell r="E646">
            <v>1161247.92</v>
          </cell>
          <cell r="F646">
            <v>1161247.92</v>
          </cell>
          <cell r="G646">
            <v>746957.49</v>
          </cell>
          <cell r="H646">
            <v>746957.49</v>
          </cell>
          <cell r="I646">
            <v>142351.67999999999</v>
          </cell>
        </row>
        <row r="647">
          <cell r="A647" t="str">
            <v>В-21731/КЛ.Транш - 2_В-21082023/Ц</v>
          </cell>
          <cell r="B647" t="str">
            <v>Виноградова Светлана Витальевна</v>
          </cell>
          <cell r="C647">
            <v>622</v>
          </cell>
          <cell r="D647">
            <v>44866</v>
          </cell>
          <cell r="E647">
            <v>157407.25</v>
          </cell>
          <cell r="F647">
            <v>157407.25</v>
          </cell>
          <cell r="G647">
            <v>123900.97</v>
          </cell>
          <cell r="H647">
            <v>123900.97</v>
          </cell>
          <cell r="I647">
            <v>15888.03</v>
          </cell>
        </row>
        <row r="648">
          <cell r="A648" t="str">
            <v>В-14232/КЛ.Транш - 1_В-20211230/Ц</v>
          </cell>
          <cell r="B648" t="str">
            <v>Эскеров Агаси Эскерович</v>
          </cell>
          <cell r="C648">
            <v>619</v>
          </cell>
          <cell r="D648">
            <v>44869</v>
          </cell>
          <cell r="E648">
            <v>70791.08</v>
          </cell>
          <cell r="F648">
            <v>70791.08</v>
          </cell>
          <cell r="G648">
            <v>41869.35</v>
          </cell>
          <cell r="H648">
            <v>41869.35</v>
          </cell>
          <cell r="I648">
            <v>6763.34</v>
          </cell>
        </row>
        <row r="649">
          <cell r="A649" t="str">
            <v>В-02583/КЛ.Транш - 9_В-21082023/Ц</v>
          </cell>
          <cell r="B649" t="str">
            <v>Филатова Юлия Петровна</v>
          </cell>
          <cell r="C649">
            <v>616</v>
          </cell>
          <cell r="D649">
            <v>44872</v>
          </cell>
          <cell r="E649">
            <v>56486.47</v>
          </cell>
          <cell r="F649">
            <v>56486.47</v>
          </cell>
          <cell r="G649">
            <v>43697.18</v>
          </cell>
          <cell r="H649">
            <v>43697.18</v>
          </cell>
          <cell r="I649">
            <v>8749.02</v>
          </cell>
        </row>
        <row r="650">
          <cell r="A650" t="str">
            <v>В-28159/КЛ.Транш - 1_В-20211230/Ц</v>
          </cell>
          <cell r="B650" t="str">
            <v>Карагезян Шушаник Вачагановна</v>
          </cell>
          <cell r="C650">
            <v>611</v>
          </cell>
          <cell r="D650">
            <v>44877</v>
          </cell>
          <cell r="E650">
            <v>448538.99</v>
          </cell>
          <cell r="F650">
            <v>448538.99</v>
          </cell>
          <cell r="G650">
            <v>285560.12</v>
          </cell>
          <cell r="H650">
            <v>285560.12</v>
          </cell>
        </row>
        <row r="651">
          <cell r="A651" t="str">
            <v>В-30007/КЭ.Транш - 1_В-20211230/Ц</v>
          </cell>
          <cell r="B651" t="str">
            <v>ИП Артемов Александр Викторович</v>
          </cell>
          <cell r="C651">
            <v>604</v>
          </cell>
          <cell r="D651">
            <v>44884</v>
          </cell>
          <cell r="E651">
            <v>2129960.14</v>
          </cell>
          <cell r="F651">
            <v>2129960.14</v>
          </cell>
          <cell r="G651">
            <v>244671.35999999999</v>
          </cell>
          <cell r="H651">
            <v>244671.35999999999</v>
          </cell>
        </row>
        <row r="652">
          <cell r="A652" t="str">
            <v>В-27410/КЛ.Транш - 1_В-21082023/Ц</v>
          </cell>
          <cell r="B652" t="str">
            <v>Бунаков Алексей Вячеславович</v>
          </cell>
          <cell r="C652">
            <v>601</v>
          </cell>
          <cell r="D652">
            <v>44887</v>
          </cell>
          <cell r="E652">
            <v>514525.83</v>
          </cell>
          <cell r="F652">
            <v>514525.83</v>
          </cell>
          <cell r="G652">
            <v>353990.13</v>
          </cell>
          <cell r="H652">
            <v>353990.13</v>
          </cell>
          <cell r="I652">
            <v>118940.68</v>
          </cell>
        </row>
        <row r="653">
          <cell r="A653" t="str">
            <v>В-28274/КЛ.Транш - 1_В-21082023/Ц</v>
          </cell>
          <cell r="B653" t="str">
            <v>Подтуркин Алексей Сергеевич</v>
          </cell>
          <cell r="C653">
            <v>600</v>
          </cell>
          <cell r="D653">
            <v>44888</v>
          </cell>
          <cell r="E653">
            <v>303361.96999999997</v>
          </cell>
          <cell r="F653">
            <v>303361.96999999997</v>
          </cell>
          <cell r="G653">
            <v>185069.57</v>
          </cell>
          <cell r="H653">
            <v>185069.57</v>
          </cell>
          <cell r="I653">
            <v>83626.080000000002</v>
          </cell>
        </row>
        <row r="654">
          <cell r="A654" t="str">
            <v>В-25052/КЛ.Транш - 1_В-21082023/Ц</v>
          </cell>
          <cell r="B654" t="str">
            <v>Журавлёв Денис Сергеевич</v>
          </cell>
          <cell r="C654">
            <v>598</v>
          </cell>
          <cell r="D654">
            <v>44890</v>
          </cell>
          <cell r="E654">
            <v>605122.38</v>
          </cell>
          <cell r="F654">
            <v>605122.38</v>
          </cell>
          <cell r="G654">
            <v>400799.7</v>
          </cell>
          <cell r="H654">
            <v>400799.7</v>
          </cell>
          <cell r="I654">
            <v>133811.82999999999</v>
          </cell>
        </row>
        <row r="655">
          <cell r="A655" t="str">
            <v>В-01203/АЗ_В-21082023/Ц</v>
          </cell>
          <cell r="B655" t="str">
            <v>Нахапетов Артур Валерьевич</v>
          </cell>
          <cell r="C655">
            <v>594</v>
          </cell>
          <cell r="D655">
            <v>44894</v>
          </cell>
          <cell r="E655">
            <v>692959.79</v>
          </cell>
          <cell r="F655">
            <v>692959.79</v>
          </cell>
          <cell r="G655">
            <v>417428.36</v>
          </cell>
          <cell r="H655">
            <v>417428.36</v>
          </cell>
          <cell r="I655">
            <v>212225.15</v>
          </cell>
        </row>
        <row r="656">
          <cell r="A656" t="str">
            <v>В-18631/КЛ.Транш - 1_В-21082023/Ц</v>
          </cell>
          <cell r="B656" t="str">
            <v>Самедов Эльдар Абилевич</v>
          </cell>
          <cell r="C656">
            <v>592</v>
          </cell>
          <cell r="D656">
            <v>44896</v>
          </cell>
          <cell r="E656">
            <v>304390.65000000002</v>
          </cell>
          <cell r="F656">
            <v>304390.65000000002</v>
          </cell>
          <cell r="G656">
            <v>109431.76</v>
          </cell>
          <cell r="H656">
            <v>109431.76</v>
          </cell>
          <cell r="I656">
            <v>160133.14000000001</v>
          </cell>
        </row>
        <row r="657">
          <cell r="A657" t="str">
            <v>В-19346/КЛ.Транш - 2_В-21082023/Ц</v>
          </cell>
          <cell r="B657" t="str">
            <v>Киселев Александр Максимович</v>
          </cell>
          <cell r="C657">
            <v>581</v>
          </cell>
          <cell r="D657">
            <v>44907</v>
          </cell>
          <cell r="E657">
            <v>150271.29</v>
          </cell>
          <cell r="F657">
            <v>150271.29</v>
          </cell>
          <cell r="G657">
            <v>101855.26</v>
          </cell>
          <cell r="H657">
            <v>101855.26</v>
          </cell>
          <cell r="I657">
            <v>34555.57</v>
          </cell>
        </row>
        <row r="658">
          <cell r="A658" t="str">
            <v>В-19346/КЛ.Транш - 3_В-21082023/Ц</v>
          </cell>
          <cell r="B658" t="str">
            <v>Киселев Александр Максимович</v>
          </cell>
          <cell r="C658">
            <v>574</v>
          </cell>
          <cell r="D658">
            <v>44914</v>
          </cell>
          <cell r="E658">
            <v>268103.32</v>
          </cell>
          <cell r="F658">
            <v>268103.32</v>
          </cell>
          <cell r="G658">
            <v>182301.85</v>
          </cell>
          <cell r="H658">
            <v>182301.85</v>
          </cell>
          <cell r="I658">
            <v>61682.94</v>
          </cell>
        </row>
        <row r="659">
          <cell r="A659" t="str">
            <v>В-00030/КЭ.Транш - 1_В-21082023/Ц</v>
          </cell>
          <cell r="B659" t="str">
            <v>Макси-Строй ООО</v>
          </cell>
          <cell r="C659">
            <v>573</v>
          </cell>
          <cell r="D659">
            <v>44915</v>
          </cell>
          <cell r="E659">
            <v>381096.83</v>
          </cell>
          <cell r="F659">
            <v>381096.83</v>
          </cell>
          <cell r="G659">
            <v>39349.879999999997</v>
          </cell>
          <cell r="H659">
            <v>39349.879999999997</v>
          </cell>
          <cell r="I659">
            <v>35552.629999999997</v>
          </cell>
        </row>
        <row r="660">
          <cell r="A660" t="str">
            <v>В-18141/КЛ.Транш - 1_В-21082023/Ц</v>
          </cell>
          <cell r="B660" t="str">
            <v>Королёв Сергей Николаевич</v>
          </cell>
          <cell r="C660">
            <v>573</v>
          </cell>
          <cell r="D660">
            <v>44915</v>
          </cell>
          <cell r="E660">
            <v>314791.89</v>
          </cell>
          <cell r="F660">
            <v>314791.89</v>
          </cell>
          <cell r="G660">
            <v>212357.23</v>
          </cell>
          <cell r="H660">
            <v>212357.23</v>
          </cell>
          <cell r="I660">
            <v>62288.98</v>
          </cell>
        </row>
        <row r="661">
          <cell r="A661" t="str">
            <v>В-19104/КЛ.Транш - 1_В-21082023/Ц</v>
          </cell>
          <cell r="B661" t="str">
            <v>Кожанов Александр Михайлович</v>
          </cell>
          <cell r="C661">
            <v>573</v>
          </cell>
          <cell r="D661">
            <v>44915</v>
          </cell>
          <cell r="E661">
            <v>456509.88</v>
          </cell>
          <cell r="F661">
            <v>456509.88</v>
          </cell>
          <cell r="G661">
            <v>304765.15000000002</v>
          </cell>
          <cell r="H661">
            <v>304765.15000000002</v>
          </cell>
          <cell r="I661">
            <v>107669.88</v>
          </cell>
        </row>
        <row r="662">
          <cell r="A662" t="str">
            <v>В-12943/КЛ.Транш - 1_В-21082023/Ц</v>
          </cell>
          <cell r="B662" t="str">
            <v>Дробот Роман Вячеславович</v>
          </cell>
          <cell r="C662">
            <v>570</v>
          </cell>
          <cell r="D662">
            <v>44918</v>
          </cell>
          <cell r="E662">
            <v>321997.18</v>
          </cell>
          <cell r="F662">
            <v>321997.18</v>
          </cell>
          <cell r="G662">
            <v>180436.57</v>
          </cell>
          <cell r="H662">
            <v>180436.57</v>
          </cell>
          <cell r="I662">
            <v>93700.32</v>
          </cell>
        </row>
        <row r="663">
          <cell r="A663" t="str">
            <v>В-03300/КЛ.Транш - 1_В-21082023/Ц</v>
          </cell>
          <cell r="B663" t="str">
            <v>Тихонова Ирина Анатольевна</v>
          </cell>
          <cell r="C663">
            <v>569</v>
          </cell>
          <cell r="D663">
            <v>44919</v>
          </cell>
          <cell r="E663">
            <v>77755.509999999995</v>
          </cell>
          <cell r="F663">
            <v>77755.509999999995</v>
          </cell>
          <cell r="G663">
            <v>50616.45</v>
          </cell>
          <cell r="H663">
            <v>50616.45</v>
          </cell>
        </row>
        <row r="664">
          <cell r="A664" t="str">
            <v>В-27753/КЛ.Транш - 1_В-21082023/Ц</v>
          </cell>
          <cell r="B664" t="str">
            <v>Турумбекова Темиркан Кадырбековна</v>
          </cell>
          <cell r="C664">
            <v>568</v>
          </cell>
          <cell r="D664">
            <v>44920</v>
          </cell>
          <cell r="E664">
            <v>311232.8</v>
          </cell>
          <cell r="F664">
            <v>311232.8</v>
          </cell>
          <cell r="G664">
            <v>201867.89</v>
          </cell>
          <cell r="H664">
            <v>201867.89</v>
          </cell>
          <cell r="I664">
            <v>93842.94</v>
          </cell>
        </row>
        <row r="665">
          <cell r="A665" t="str">
            <v>В-19684/КЛ.Транш - 1_В-21082023/Ц</v>
          </cell>
          <cell r="B665" t="str">
            <v>Белорыбкин Михаил Васильевич</v>
          </cell>
          <cell r="C665">
            <v>565</v>
          </cell>
          <cell r="D665">
            <v>44923</v>
          </cell>
          <cell r="E665">
            <v>351355.26</v>
          </cell>
          <cell r="F665">
            <v>351355.26</v>
          </cell>
          <cell r="G665">
            <v>237825.37</v>
          </cell>
          <cell r="H665">
            <v>237825.37</v>
          </cell>
          <cell r="I665">
            <v>70696.05</v>
          </cell>
        </row>
        <row r="666">
          <cell r="A666" t="str">
            <v>В-25306/КЛ.Транш - 1_В-21082023/Ц</v>
          </cell>
          <cell r="B666" t="str">
            <v>Сидоренко Надежда Алексеевна</v>
          </cell>
          <cell r="C666">
            <v>552</v>
          </cell>
          <cell r="D666">
            <v>44936</v>
          </cell>
          <cell r="E666">
            <v>1095214.57</v>
          </cell>
          <cell r="F666">
            <v>1795182.1</v>
          </cell>
          <cell r="G666">
            <v>908272.7</v>
          </cell>
          <cell r="H666">
            <v>208305.17</v>
          </cell>
          <cell r="I666">
            <v>712294.41</v>
          </cell>
        </row>
        <row r="667">
          <cell r="A667" t="str">
            <v>В-25865/КЛ.Транш - 1_В-21082023/Ц</v>
          </cell>
          <cell r="B667" t="str">
            <v>Набойченко Юлия Александровна</v>
          </cell>
          <cell r="C667">
            <v>551</v>
          </cell>
          <cell r="D667">
            <v>44937</v>
          </cell>
          <cell r="E667">
            <v>791579.9</v>
          </cell>
          <cell r="F667">
            <v>791579.9</v>
          </cell>
          <cell r="G667">
            <v>523728.74</v>
          </cell>
          <cell r="H667">
            <v>523728.74</v>
          </cell>
          <cell r="I667">
            <v>188254.63</v>
          </cell>
        </row>
        <row r="668">
          <cell r="A668" t="str">
            <v>В-26664/КЛ.Транш - 1_В-21082023/Ц</v>
          </cell>
          <cell r="B668" t="str">
            <v>Лемкин Николай Иванович</v>
          </cell>
          <cell r="C668">
            <v>534</v>
          </cell>
          <cell r="D668">
            <v>44954</v>
          </cell>
          <cell r="E668">
            <v>150923.49</v>
          </cell>
          <cell r="F668">
            <v>301305.65000000002</v>
          </cell>
          <cell r="G668">
            <v>207666.7</v>
          </cell>
          <cell r="H668">
            <v>57284.54</v>
          </cell>
          <cell r="I668">
            <v>44881.21</v>
          </cell>
        </row>
        <row r="669">
          <cell r="A669" t="str">
            <v>В-00970/АЗ_В-21082023/Ц</v>
          </cell>
          <cell r="B669" t="str">
            <v>Башкатов Егор Иванович</v>
          </cell>
          <cell r="C669">
            <v>533</v>
          </cell>
          <cell r="D669">
            <v>44955</v>
          </cell>
          <cell r="E669">
            <v>490918.07</v>
          </cell>
          <cell r="F669">
            <v>509512.65</v>
          </cell>
          <cell r="G669">
            <v>241206.49</v>
          </cell>
          <cell r="H669">
            <v>223010.72</v>
          </cell>
          <cell r="I669">
            <v>185958.01</v>
          </cell>
        </row>
        <row r="670">
          <cell r="A670" t="str">
            <v>В-23776/КЛ.Транш - 1_В-21082023/Ц</v>
          </cell>
          <cell r="B670" t="str">
            <v>Шалдыбин Данил Геннадьевич</v>
          </cell>
          <cell r="C670">
            <v>514</v>
          </cell>
          <cell r="D670">
            <v>44974</v>
          </cell>
          <cell r="E670">
            <v>149685.63</v>
          </cell>
          <cell r="F670">
            <v>149685.63</v>
          </cell>
          <cell r="G670">
            <v>129004.89</v>
          </cell>
          <cell r="H670">
            <v>129004.89</v>
          </cell>
        </row>
        <row r="671">
          <cell r="A671" t="str">
            <v>В-10022/КЭ.Транш - 1_В-21082023/Ц</v>
          </cell>
          <cell r="B671" t="str">
            <v>ТРАНСЛОГ ООО</v>
          </cell>
          <cell r="C671">
            <v>508</v>
          </cell>
          <cell r="D671">
            <v>44980</v>
          </cell>
          <cell r="E671">
            <v>20488.990000000002</v>
          </cell>
          <cell r="F671">
            <v>20488.990000000002</v>
          </cell>
        </row>
        <row r="672">
          <cell r="A672" t="str">
            <v>В-20952/КЛ.Транш - 3_В-21082023/Ц</v>
          </cell>
          <cell r="B672" t="str">
            <v>Ширманов Никита Александрович</v>
          </cell>
          <cell r="C672">
            <v>508</v>
          </cell>
          <cell r="D672">
            <v>44980</v>
          </cell>
          <cell r="E672">
            <v>116040.89</v>
          </cell>
          <cell r="F672">
            <v>178216.1</v>
          </cell>
          <cell r="G672">
            <v>85616.51</v>
          </cell>
          <cell r="H672">
            <v>26027.31</v>
          </cell>
          <cell r="I672">
            <v>70316.899999999994</v>
          </cell>
        </row>
        <row r="673">
          <cell r="A673" t="str">
            <v>В-22979/КЛ.Транш - 1_В-21082023/Ц</v>
          </cell>
          <cell r="B673" t="str">
            <v>Цирамуа Наталия Наполеоновна</v>
          </cell>
          <cell r="C673">
            <v>506</v>
          </cell>
          <cell r="D673">
            <v>44982</v>
          </cell>
          <cell r="E673">
            <v>69263.38</v>
          </cell>
          <cell r="F673">
            <v>285162.34999999998</v>
          </cell>
          <cell r="G673">
            <v>237796.4</v>
          </cell>
          <cell r="H673">
            <v>29212.16</v>
          </cell>
          <cell r="I673">
            <v>921.98</v>
          </cell>
        </row>
        <row r="674">
          <cell r="A674" t="str">
            <v>В-01113/АЗ_В-21082023/Ц</v>
          </cell>
          <cell r="B674" t="str">
            <v>Петров Денис Александрович</v>
          </cell>
          <cell r="C674">
            <v>496</v>
          </cell>
          <cell r="D674">
            <v>44992</v>
          </cell>
          <cell r="E674">
            <v>376376.05</v>
          </cell>
          <cell r="F674">
            <v>376376.05</v>
          </cell>
          <cell r="G674">
            <v>189695.68</v>
          </cell>
          <cell r="H674">
            <v>189695.68</v>
          </cell>
          <cell r="I674">
            <v>135872.28</v>
          </cell>
        </row>
        <row r="675">
          <cell r="A675" t="str">
            <v>В-21321/КЛ.Транш - 1_В-21082023/Ц</v>
          </cell>
          <cell r="B675" t="str">
            <v>Надеев Алексей Александрович</v>
          </cell>
          <cell r="C675">
            <v>492</v>
          </cell>
          <cell r="D675">
            <v>44996</v>
          </cell>
          <cell r="E675">
            <v>6484.24</v>
          </cell>
          <cell r="F675">
            <v>6484.24</v>
          </cell>
        </row>
        <row r="676">
          <cell r="A676" t="str">
            <v>В-14198/КЛ.Транш - 1_В-21082023/Ц</v>
          </cell>
          <cell r="B676" t="str">
            <v>Борисов Андрей Сергеевич</v>
          </cell>
          <cell r="C676">
            <v>487</v>
          </cell>
          <cell r="D676">
            <v>45001</v>
          </cell>
          <cell r="E676">
            <v>5604.35</v>
          </cell>
          <cell r="F676">
            <v>123230.8</v>
          </cell>
          <cell r="G676">
            <v>111094.69</v>
          </cell>
        </row>
        <row r="677">
          <cell r="A677" t="str">
            <v>В-20952/КЛ.Транш - 6_В-21082023/Ц</v>
          </cell>
          <cell r="B677" t="str">
            <v>Ширманов Никита Александрович</v>
          </cell>
          <cell r="C677">
            <v>472</v>
          </cell>
          <cell r="D677">
            <v>45016</v>
          </cell>
          <cell r="E677">
            <v>114084.46</v>
          </cell>
          <cell r="F677">
            <v>175519.77</v>
          </cell>
          <cell r="G677">
            <v>85748.58</v>
          </cell>
          <cell r="H677">
            <v>26126.44</v>
          </cell>
          <cell r="I677">
            <v>69811.570000000007</v>
          </cell>
        </row>
        <row r="678">
          <cell r="A678" t="str">
            <v>В-17318/КЛ.Транш - 1_В-21082023/Ц</v>
          </cell>
          <cell r="B678" t="str">
            <v>Анищенкова Оксана Михайловна</v>
          </cell>
          <cell r="C678">
            <v>468</v>
          </cell>
          <cell r="D678">
            <v>45020</v>
          </cell>
          <cell r="E678">
            <v>904257.53</v>
          </cell>
          <cell r="F678">
            <v>904257.53</v>
          </cell>
          <cell r="G678">
            <v>763161.64</v>
          </cell>
          <cell r="H678">
            <v>763161.64</v>
          </cell>
          <cell r="I678">
            <v>108951.52</v>
          </cell>
        </row>
        <row r="679">
          <cell r="A679" t="str">
            <v>В-25824/КЛ.Транш - 1_В-21082023/Ц</v>
          </cell>
          <cell r="B679" t="str">
            <v>Яковлев Борис Викторович</v>
          </cell>
          <cell r="C679">
            <v>459</v>
          </cell>
          <cell r="D679">
            <v>45029</v>
          </cell>
          <cell r="E679">
            <v>169521.03</v>
          </cell>
          <cell r="F679">
            <v>169521.03</v>
          </cell>
          <cell r="G679">
            <v>102744.52</v>
          </cell>
          <cell r="H679">
            <v>102744.52</v>
          </cell>
          <cell r="I679">
            <v>43743.83</v>
          </cell>
        </row>
        <row r="680">
          <cell r="A680" t="str">
            <v>В-26114/КЛ.Транш - 1_В-21082023/Ц</v>
          </cell>
          <cell r="B680" t="str">
            <v>Рахимов Фарход Каримович</v>
          </cell>
          <cell r="C680">
            <v>455</v>
          </cell>
          <cell r="D680">
            <v>45033</v>
          </cell>
          <cell r="E680">
            <v>371572.23</v>
          </cell>
          <cell r="F680">
            <v>463441.29</v>
          </cell>
          <cell r="G680">
            <v>214781.62</v>
          </cell>
          <cell r="H680">
            <v>127211.87</v>
          </cell>
          <cell r="I680">
            <v>178729.94</v>
          </cell>
        </row>
        <row r="681">
          <cell r="A681" t="str">
            <v>В-21872/КЛ.Транш - 1_В-21082023/Ц</v>
          </cell>
          <cell r="B681" t="str">
            <v>Савчук Елена Александровна</v>
          </cell>
          <cell r="C681">
            <v>448</v>
          </cell>
          <cell r="D681">
            <v>45040</v>
          </cell>
          <cell r="E681">
            <v>295338.03999999998</v>
          </cell>
          <cell r="F681">
            <v>295338.03999999998</v>
          </cell>
          <cell r="G681">
            <v>200305.09</v>
          </cell>
          <cell r="H681">
            <v>200305.09</v>
          </cell>
          <cell r="I681">
            <v>56615.13</v>
          </cell>
        </row>
        <row r="682">
          <cell r="A682" t="str">
            <v>В-28587/КЛ.Транш - 1_В-21082023/Ц</v>
          </cell>
          <cell r="B682" t="str">
            <v>Видяков Денис Сергеевич</v>
          </cell>
          <cell r="C682">
            <v>442</v>
          </cell>
          <cell r="D682">
            <v>45046</v>
          </cell>
          <cell r="E682">
            <v>297900.90000000002</v>
          </cell>
          <cell r="F682">
            <v>456614.08</v>
          </cell>
          <cell r="G682">
            <v>302836.65000000002</v>
          </cell>
          <cell r="H682">
            <v>144123.47</v>
          </cell>
          <cell r="I682">
            <v>131099.24</v>
          </cell>
        </row>
        <row r="683">
          <cell r="A683" t="str">
            <v>В-00052/КЭ.Транш - 1_В-21082023/Ц</v>
          </cell>
          <cell r="B683" t="str">
            <v>ИП Окунева Лилия Викторовна</v>
          </cell>
          <cell r="C683">
            <v>439</v>
          </cell>
          <cell r="D683">
            <v>45049</v>
          </cell>
          <cell r="E683">
            <v>723286.29</v>
          </cell>
          <cell r="F683">
            <v>723286.29</v>
          </cell>
          <cell r="G683">
            <v>96264.45</v>
          </cell>
          <cell r="H683">
            <v>96264.45</v>
          </cell>
          <cell r="I683">
            <v>80400.160000000003</v>
          </cell>
        </row>
        <row r="684">
          <cell r="A684" t="str">
            <v>В-27914/КЛ.Транш - 1_В-21082023/Ц</v>
          </cell>
          <cell r="B684" t="str">
            <v>Чепрасова Галина Александровна</v>
          </cell>
          <cell r="C684">
            <v>438</v>
          </cell>
          <cell r="D684">
            <v>45050</v>
          </cell>
          <cell r="E684">
            <v>122930.47</v>
          </cell>
          <cell r="F684">
            <v>237698.62</v>
          </cell>
          <cell r="G684">
            <v>153054.64000000001</v>
          </cell>
          <cell r="H684">
            <v>38286.49</v>
          </cell>
          <cell r="I684">
            <v>67946.14</v>
          </cell>
        </row>
        <row r="685">
          <cell r="A685" t="str">
            <v>В-01174/АЗ_В-21082023/Ц</v>
          </cell>
          <cell r="B685" t="str">
            <v>Барт Денис Михайлович</v>
          </cell>
          <cell r="C685">
            <v>420</v>
          </cell>
          <cell r="D685">
            <v>45068</v>
          </cell>
          <cell r="E685">
            <v>332396.79999999999</v>
          </cell>
          <cell r="F685">
            <v>535775.51</v>
          </cell>
          <cell r="G685">
            <v>323475.14</v>
          </cell>
          <cell r="H685">
            <v>120096.43</v>
          </cell>
          <cell r="I685">
            <v>161728.70000000001</v>
          </cell>
        </row>
        <row r="686">
          <cell r="A686" t="str">
            <v>В-28436/АЗ_В-21082023/Ц</v>
          </cell>
          <cell r="B686" t="str">
            <v>Левченков Георгий Михайлович</v>
          </cell>
          <cell r="C686">
            <v>410</v>
          </cell>
          <cell r="D686">
            <v>45078</v>
          </cell>
          <cell r="E686">
            <v>294684.94</v>
          </cell>
          <cell r="F686">
            <v>633970.35</v>
          </cell>
          <cell r="G686">
            <v>418557.53</v>
          </cell>
          <cell r="H686">
            <v>79272.12</v>
          </cell>
          <cell r="I686">
            <v>188958.66</v>
          </cell>
        </row>
        <row r="687">
          <cell r="A687" t="str">
            <v>В-26422/КЛ.Транш - 1_В-21082023/Ц</v>
          </cell>
          <cell r="B687" t="str">
            <v>Ахмедов Магомедрасул Камаладинович</v>
          </cell>
          <cell r="C687">
            <v>397</v>
          </cell>
          <cell r="D687">
            <v>45091</v>
          </cell>
          <cell r="E687">
            <v>371486.25</v>
          </cell>
          <cell r="F687">
            <v>800023.35</v>
          </cell>
          <cell r="G687">
            <v>540292.54</v>
          </cell>
          <cell r="H687">
            <v>111755.44</v>
          </cell>
          <cell r="I687">
            <v>196661.44</v>
          </cell>
        </row>
        <row r="688">
          <cell r="A688" t="str">
            <v>В-22677/КЛ.Транш - 1_В-21082023/Ц</v>
          </cell>
          <cell r="B688" t="str">
            <v>Белякова Марина Сергеевна</v>
          </cell>
          <cell r="C688">
            <v>394</v>
          </cell>
          <cell r="D688">
            <v>45094</v>
          </cell>
          <cell r="E688">
            <v>192395.71</v>
          </cell>
          <cell r="F688">
            <v>317855.76</v>
          </cell>
          <cell r="G688">
            <v>176315.99</v>
          </cell>
          <cell r="H688">
            <v>55490.35</v>
          </cell>
          <cell r="I688">
            <v>90527.9</v>
          </cell>
        </row>
        <row r="689">
          <cell r="A689" t="str">
            <v>В-04333/КЛ.Транш - 8_В-20211230/Ц</v>
          </cell>
          <cell r="B689" t="str">
            <v>Заика Денис Викторович</v>
          </cell>
          <cell r="C689">
            <v>389</v>
          </cell>
          <cell r="D689">
            <v>45099</v>
          </cell>
          <cell r="E689">
            <v>8024.32</v>
          </cell>
          <cell r="F689">
            <v>8024.32</v>
          </cell>
        </row>
        <row r="690">
          <cell r="A690" t="str">
            <v>В-28961/КЛ.Транш - 1_В-21082023/Ц</v>
          </cell>
          <cell r="B690" t="str">
            <v>Гагарин Юрий Александрович</v>
          </cell>
          <cell r="C690">
            <v>378</v>
          </cell>
          <cell r="D690">
            <v>45110</v>
          </cell>
          <cell r="E690">
            <v>151607.34</v>
          </cell>
          <cell r="F690">
            <v>334993.07</v>
          </cell>
          <cell r="G690">
            <v>214297.59</v>
          </cell>
          <cell r="H690">
            <v>30911.86</v>
          </cell>
          <cell r="I690">
            <v>103038.97</v>
          </cell>
        </row>
        <row r="691">
          <cell r="A691" t="str">
            <v>В-08348/КЛ.Транш - 7_В-21082023/Ц</v>
          </cell>
          <cell r="B691" t="str">
            <v>Голосенин Тимофей Васильевич</v>
          </cell>
          <cell r="C691">
            <v>360</v>
          </cell>
          <cell r="D691">
            <v>45128</v>
          </cell>
          <cell r="E691">
            <v>48156.73</v>
          </cell>
          <cell r="F691">
            <v>80315.73</v>
          </cell>
          <cell r="G691">
            <v>43756.97</v>
          </cell>
          <cell r="H691">
            <v>12818.55</v>
          </cell>
          <cell r="I691">
            <v>26831.83</v>
          </cell>
        </row>
        <row r="692">
          <cell r="A692" t="str">
            <v>В-12574/КЛ.Транш - 1_В-21082023/Ц</v>
          </cell>
          <cell r="B692" t="str">
            <v>Павлов Вячеслав Игоревич</v>
          </cell>
          <cell r="C692">
            <v>333</v>
          </cell>
          <cell r="D692">
            <v>45155</v>
          </cell>
          <cell r="E692">
            <v>84021.03</v>
          </cell>
          <cell r="F692">
            <v>110165.71</v>
          </cell>
          <cell r="G692">
            <v>58089.47</v>
          </cell>
          <cell r="H692">
            <v>32910.559999999998</v>
          </cell>
          <cell r="I692">
            <v>27999.38</v>
          </cell>
        </row>
        <row r="693">
          <cell r="A693" t="str">
            <v>В-12574/КЛ.Транш - 3_В-21082023/Ц</v>
          </cell>
          <cell r="B693" t="str">
            <v>Павлов Вячеслав Игоревич</v>
          </cell>
          <cell r="C693">
            <v>331</v>
          </cell>
          <cell r="D693">
            <v>45157</v>
          </cell>
          <cell r="E693">
            <v>87685.99</v>
          </cell>
          <cell r="F693">
            <v>135780.26999999999</v>
          </cell>
          <cell r="G693">
            <v>73664.179999999993</v>
          </cell>
          <cell r="H693">
            <v>27760.69</v>
          </cell>
          <cell r="I693">
            <v>46758.559999999998</v>
          </cell>
        </row>
        <row r="694">
          <cell r="A694" t="str">
            <v>В-22409/КЛ.Транш - 1_В-21082023/Ц</v>
          </cell>
          <cell r="B694" t="str">
            <v>Дзюба Евгений Григорьевич</v>
          </cell>
          <cell r="C694">
            <v>330</v>
          </cell>
          <cell r="D694">
            <v>45158</v>
          </cell>
          <cell r="E694">
            <v>274720.44</v>
          </cell>
          <cell r="F694">
            <v>325931.68</v>
          </cell>
          <cell r="G694">
            <v>173551.16</v>
          </cell>
          <cell r="H694">
            <v>124490.52</v>
          </cell>
          <cell r="I694">
            <v>107704.08</v>
          </cell>
        </row>
        <row r="695">
          <cell r="A695" t="str">
            <v>В-12256/КЛ.Транш - 1_В-21082023/Ц</v>
          </cell>
          <cell r="B695" t="str">
            <v>Диденко Роман Владимирович</v>
          </cell>
          <cell r="C695">
            <v>329</v>
          </cell>
          <cell r="D695">
            <v>45159</v>
          </cell>
          <cell r="E695">
            <v>196320.69</v>
          </cell>
          <cell r="F695">
            <v>263485.09000000003</v>
          </cell>
          <cell r="G695">
            <v>129429.49</v>
          </cell>
          <cell r="H695">
            <v>65899.360000000001</v>
          </cell>
          <cell r="I695">
            <v>107426.89</v>
          </cell>
        </row>
        <row r="696">
          <cell r="A696" t="str">
            <v>В-12574/КЛ.Транш - 2_В-21082023/Ц</v>
          </cell>
          <cell r="B696" t="str">
            <v>Павлов Вячеслав Игоревич</v>
          </cell>
          <cell r="C696">
            <v>324</v>
          </cell>
          <cell r="D696">
            <v>45164</v>
          </cell>
          <cell r="E696">
            <v>87378.240000000005</v>
          </cell>
          <cell r="F696">
            <v>124458.73</v>
          </cell>
          <cell r="G696">
            <v>68136.69</v>
          </cell>
          <cell r="H696">
            <v>32305.86</v>
          </cell>
          <cell r="I696">
            <v>43151.18</v>
          </cell>
        </row>
        <row r="697">
          <cell r="A697" t="str">
            <v>В-23923/КЛ.Транш - 1_В-21082023/Ц</v>
          </cell>
          <cell r="B697" t="str">
            <v>Самошин Дмитрий Сергеевич</v>
          </cell>
          <cell r="C697">
            <v>318</v>
          </cell>
          <cell r="D697">
            <v>45170</v>
          </cell>
          <cell r="E697">
            <v>285893.07</v>
          </cell>
          <cell r="F697">
            <v>484535.38</v>
          </cell>
          <cell r="G697">
            <v>251065.36</v>
          </cell>
          <cell r="H697">
            <v>57905.61</v>
          </cell>
          <cell r="I697">
            <v>172161.67</v>
          </cell>
        </row>
        <row r="698">
          <cell r="A698" t="str">
            <v>В-27315/КЛ.Транш - 1_В-21082023/Ц</v>
          </cell>
          <cell r="B698" t="str">
            <v>Годуйко Николай Николаевич</v>
          </cell>
          <cell r="C698">
            <v>317</v>
          </cell>
          <cell r="D698">
            <v>45171</v>
          </cell>
          <cell r="E698">
            <v>136865.69</v>
          </cell>
          <cell r="F698">
            <v>471758.02</v>
          </cell>
          <cell r="G698">
            <v>386511.69</v>
          </cell>
          <cell r="H698">
            <v>59082.94</v>
          </cell>
          <cell r="I698">
            <v>68974.740000000005</v>
          </cell>
        </row>
        <row r="699">
          <cell r="A699" t="str">
            <v>В-26928/КЛ.Транш - 1_В-21082023/Ц</v>
          </cell>
          <cell r="B699" t="str">
            <v>Труханкин Анатолий Васильевич</v>
          </cell>
          <cell r="C699">
            <v>308</v>
          </cell>
          <cell r="D699">
            <v>45180</v>
          </cell>
          <cell r="E699">
            <v>450685.6</v>
          </cell>
          <cell r="F699">
            <v>450685.6</v>
          </cell>
          <cell r="G699">
            <v>257945.25</v>
          </cell>
          <cell r="H699">
            <v>257945.25</v>
          </cell>
          <cell r="I699">
            <v>137127.94</v>
          </cell>
        </row>
        <row r="700">
          <cell r="A700" t="str">
            <v>В-27065/АЗ_В-21082023/Ц</v>
          </cell>
          <cell r="B700" t="str">
            <v>Мордвинцева Елена Александровна</v>
          </cell>
          <cell r="C700">
            <v>299</v>
          </cell>
          <cell r="D700">
            <v>45189</v>
          </cell>
          <cell r="E700">
            <v>559864.43000000005</v>
          </cell>
          <cell r="F700">
            <v>559864.43000000005</v>
          </cell>
          <cell r="G700">
            <v>280388.82</v>
          </cell>
          <cell r="H700">
            <v>280388.82</v>
          </cell>
          <cell r="I700">
            <v>212350.1</v>
          </cell>
        </row>
        <row r="701">
          <cell r="A701" t="str">
            <v>В-28968/АЗ_В-21082023/Ц</v>
          </cell>
          <cell r="B701" t="str">
            <v>Егупов Дмитрий Сергеевич</v>
          </cell>
          <cell r="C701">
            <v>249</v>
          </cell>
          <cell r="D701">
            <v>45239</v>
          </cell>
          <cell r="E701">
            <v>51996.24</v>
          </cell>
          <cell r="F701">
            <v>51996.24</v>
          </cell>
          <cell r="G701">
            <v>32487.77</v>
          </cell>
          <cell r="H701">
            <v>32487.77</v>
          </cell>
          <cell r="I701">
            <v>15182.4</v>
          </cell>
        </row>
        <row r="702">
          <cell r="A702" t="str">
            <v>В-28549/АЗ_В-21082023/Ц</v>
          </cell>
          <cell r="B702" t="str">
            <v>Егупов Дмитрий Сергеевич</v>
          </cell>
          <cell r="C702">
            <v>237</v>
          </cell>
          <cell r="D702">
            <v>45251</v>
          </cell>
          <cell r="E702">
            <v>88924.44</v>
          </cell>
          <cell r="F702">
            <v>240675.56</v>
          </cell>
          <cell r="G702">
            <v>177462.1</v>
          </cell>
          <cell r="H702">
            <v>31007.42</v>
          </cell>
          <cell r="I702">
            <v>52368.68</v>
          </cell>
        </row>
        <row r="703">
          <cell r="A703" t="str">
            <v>В-24580/КЛ.Транш - 1_В-21082023/Ц</v>
          </cell>
          <cell r="B703" t="str">
            <v>Смирнов Игорь Александрович</v>
          </cell>
          <cell r="C703">
            <v>204</v>
          </cell>
          <cell r="D703">
            <v>45284</v>
          </cell>
          <cell r="E703">
            <v>7154.49</v>
          </cell>
          <cell r="F703">
            <v>121137.42</v>
          </cell>
          <cell r="G703">
            <v>110795.66</v>
          </cell>
        </row>
        <row r="704">
          <cell r="A704" t="str">
            <v>В-19286/КЛ.Транш - 1_В-21082023/Ц</v>
          </cell>
          <cell r="B704" t="str">
            <v>Насырова Шахлохон Раимжановна</v>
          </cell>
          <cell r="C704">
            <v>192</v>
          </cell>
          <cell r="D704">
            <v>45296</v>
          </cell>
          <cell r="E704">
            <v>24153.27</v>
          </cell>
          <cell r="F704">
            <v>273958.48</v>
          </cell>
          <cell r="G704">
            <v>246429.46</v>
          </cell>
        </row>
        <row r="705">
          <cell r="A705" t="str">
            <v>В-01188/АЗ_В-21082023/Ц</v>
          </cell>
          <cell r="B705" t="str">
            <v>Сапунов Дмитрий Владимирович</v>
          </cell>
          <cell r="C705">
            <v>182</v>
          </cell>
          <cell r="D705">
            <v>45306</v>
          </cell>
          <cell r="E705">
            <v>66395.72</v>
          </cell>
          <cell r="F705">
            <v>66395.72</v>
          </cell>
          <cell r="G705">
            <v>42264.29</v>
          </cell>
          <cell r="H705">
            <v>42264.29</v>
          </cell>
          <cell r="I705">
            <v>19977.7</v>
          </cell>
        </row>
        <row r="706">
          <cell r="A706" t="str">
            <v>В-19355/КЛ.Транш - 1_В-21082023/Ц</v>
          </cell>
          <cell r="B706" t="str">
            <v>Сидоров Александр Владимирович</v>
          </cell>
          <cell r="C706">
            <v>179</v>
          </cell>
          <cell r="D706">
            <v>45309</v>
          </cell>
          <cell r="E706">
            <v>17610.740000000002</v>
          </cell>
          <cell r="F706">
            <v>103451.34</v>
          </cell>
          <cell r="G706">
            <v>82778.91</v>
          </cell>
          <cell r="I706">
            <v>10189.06</v>
          </cell>
        </row>
        <row r="707">
          <cell r="A707" t="str">
            <v>В-25764/КЛ.Транш - 1_В-21082023/Ц</v>
          </cell>
          <cell r="B707" t="str">
            <v>Соколова Екатерина Николаевна</v>
          </cell>
          <cell r="C707">
            <v>152</v>
          </cell>
          <cell r="D707">
            <v>45336</v>
          </cell>
          <cell r="E707">
            <v>11008.21</v>
          </cell>
          <cell r="F707">
            <v>230967.57</v>
          </cell>
          <cell r="G707">
            <v>219628.41</v>
          </cell>
          <cell r="I707">
            <v>9928.4</v>
          </cell>
        </row>
        <row r="708">
          <cell r="A708" t="str">
            <v>В-09100/КЛ.Транш - 1_В-21082023/Ц</v>
          </cell>
          <cell r="B708" t="str">
            <v>Фомин Иван Евгеньевич</v>
          </cell>
          <cell r="C708">
            <v>148</v>
          </cell>
          <cell r="D708">
            <v>45340</v>
          </cell>
          <cell r="E708">
            <v>27478.41</v>
          </cell>
          <cell r="F708">
            <v>41065.69</v>
          </cell>
          <cell r="G708">
            <v>32183.25</v>
          </cell>
          <cell r="H708">
            <v>19080.59</v>
          </cell>
          <cell r="I708">
            <v>5825.73</v>
          </cell>
        </row>
        <row r="709">
          <cell r="A709" t="str">
            <v>В-18921/КЛ.Транш - 1_В-21082023/Ц</v>
          </cell>
          <cell r="B709" t="str">
            <v>Колесников Евгений Михайлович</v>
          </cell>
          <cell r="C709">
            <v>129</v>
          </cell>
          <cell r="D709">
            <v>45359</v>
          </cell>
          <cell r="E709">
            <v>445019.23</v>
          </cell>
          <cell r="F709">
            <v>1054746.3700000001</v>
          </cell>
          <cell r="G709">
            <v>742627.39</v>
          </cell>
          <cell r="H709">
            <v>142227.01999999999</v>
          </cell>
          <cell r="I709">
            <v>251060.79</v>
          </cell>
        </row>
        <row r="710">
          <cell r="A710" t="str">
            <v>В-11277/КЛ.Транш - 1_В-21082023/Ц</v>
          </cell>
          <cell r="B710" t="str">
            <v>Литвинов Дмитрий Геннадьевич</v>
          </cell>
          <cell r="C710">
            <v>121</v>
          </cell>
          <cell r="D710">
            <v>45367</v>
          </cell>
          <cell r="E710">
            <v>60360.32</v>
          </cell>
          <cell r="F710">
            <v>157695.37</v>
          </cell>
          <cell r="G710">
            <v>143205.79999999999</v>
          </cell>
          <cell r="H710">
            <v>45870.75</v>
          </cell>
          <cell r="I710">
            <v>13174.94</v>
          </cell>
        </row>
        <row r="711">
          <cell r="A711" t="str">
            <v>В-26950/КЛ.Транш - 1_В-21082023/Ц</v>
          </cell>
          <cell r="B711" t="str">
            <v>Макаренко Екатерина Васильевна</v>
          </cell>
          <cell r="C711">
            <v>114</v>
          </cell>
          <cell r="D711">
            <v>45374</v>
          </cell>
          <cell r="E711">
            <v>51985.47</v>
          </cell>
          <cell r="F711">
            <v>168112.19</v>
          </cell>
          <cell r="G711">
            <v>122063.51</v>
          </cell>
          <cell r="H711">
            <v>11532.97</v>
          </cell>
          <cell r="I711">
            <v>38506.79</v>
          </cell>
        </row>
        <row r="712">
          <cell r="A712" t="str">
            <v>В-17469/КЛ.Транш - 1_В-21082023/Ц</v>
          </cell>
          <cell r="B712" t="str">
            <v>Копытман Александр Семенович</v>
          </cell>
          <cell r="C712">
            <v>64</v>
          </cell>
          <cell r="D712">
            <v>45424</v>
          </cell>
          <cell r="E712">
            <v>211200.03</v>
          </cell>
          <cell r="F712">
            <v>690882.27</v>
          </cell>
          <cell r="G712">
            <v>576927.80000000005</v>
          </cell>
          <cell r="H712">
            <v>99872.63</v>
          </cell>
          <cell r="I712">
            <v>91388.78</v>
          </cell>
        </row>
        <row r="713">
          <cell r="A713" t="str">
            <v>В-17469/КЛ.Транш - 2_В-21082023/Ц</v>
          </cell>
          <cell r="B713" t="str">
            <v>Копытман Александр Семенович</v>
          </cell>
          <cell r="C713">
            <v>51</v>
          </cell>
          <cell r="D713">
            <v>45437</v>
          </cell>
          <cell r="E713">
            <v>12910.9</v>
          </cell>
          <cell r="F713">
            <v>63928.97</v>
          </cell>
          <cell r="G713">
            <v>55078.39</v>
          </cell>
          <cell r="H713">
            <v>5684.24</v>
          </cell>
          <cell r="I713">
            <v>5709.8</v>
          </cell>
        </row>
        <row r="714">
          <cell r="A714" t="str">
            <v>В-27788/КЛ.Транш - 1_В-21082023/Ц</v>
          </cell>
          <cell r="B714" t="str">
            <v>Смолин Виктор Иванович</v>
          </cell>
          <cell r="C714">
            <v>42</v>
          </cell>
          <cell r="D714">
            <v>45446</v>
          </cell>
          <cell r="E714">
            <v>362.26</v>
          </cell>
          <cell r="F714">
            <v>375930.11</v>
          </cell>
          <cell r="G714">
            <v>350176.26</v>
          </cell>
        </row>
        <row r="715">
          <cell r="A715" t="str">
            <v>В-25807/АЗ_В-21082023/Ц</v>
          </cell>
          <cell r="B715" t="str">
            <v>Платонов Николай Владимирович</v>
          </cell>
          <cell r="C715">
            <v>35</v>
          </cell>
          <cell r="D715">
            <v>45453</v>
          </cell>
          <cell r="E715">
            <v>123349.27</v>
          </cell>
          <cell r="F715">
            <v>363392.22</v>
          </cell>
          <cell r="G715">
            <v>323793.43</v>
          </cell>
          <cell r="H715">
            <v>86159.37</v>
          </cell>
          <cell r="I715">
            <v>31070.2</v>
          </cell>
        </row>
        <row r="716">
          <cell r="A716" t="str">
            <v>В-25810/АЗ_В-21082023/Ц</v>
          </cell>
          <cell r="B716" t="str">
            <v>Попов Михаил Александрович</v>
          </cell>
          <cell r="C716">
            <v>35</v>
          </cell>
          <cell r="D716">
            <v>45453</v>
          </cell>
          <cell r="E716">
            <v>127260.73</v>
          </cell>
          <cell r="F716">
            <v>420919.41</v>
          </cell>
          <cell r="G716">
            <v>385341.82</v>
          </cell>
          <cell r="H716">
            <v>94630.080000000002</v>
          </cell>
          <cell r="I716">
            <v>25347.69</v>
          </cell>
        </row>
        <row r="717">
          <cell r="A717" t="str">
            <v>В-28358/КЛ.Транш - 1_В-21082023/Ц</v>
          </cell>
          <cell r="B717" t="str">
            <v>Егиазарян Геворг Рубикович</v>
          </cell>
          <cell r="C717">
            <v>28</v>
          </cell>
          <cell r="D717">
            <v>45460</v>
          </cell>
          <cell r="E717">
            <v>228.72</v>
          </cell>
          <cell r="F717">
            <v>718104.48</v>
          </cell>
          <cell r="G717">
            <v>687800.96</v>
          </cell>
        </row>
        <row r="718">
          <cell r="A718" t="str">
            <v>В-23555/КЛ.Транш - 2_В-21082023/Ц</v>
          </cell>
          <cell r="B718" t="str">
            <v>Зотов Дмитрий Анатольевич</v>
          </cell>
          <cell r="C718">
            <v>24</v>
          </cell>
          <cell r="D718">
            <v>45464</v>
          </cell>
          <cell r="E718">
            <v>9701.02</v>
          </cell>
          <cell r="F718">
            <v>117578.82</v>
          </cell>
          <cell r="G718">
            <v>107148.59</v>
          </cell>
          <cell r="H718">
            <v>3101.99</v>
          </cell>
          <cell r="I718">
            <v>5210.38</v>
          </cell>
        </row>
        <row r="719">
          <cell r="A719" t="str">
            <v>В-00955/АЗ_В-21082023/Ц</v>
          </cell>
          <cell r="B719" t="str">
            <v>Романов Евгений Юрьевич</v>
          </cell>
          <cell r="C719">
            <v>21</v>
          </cell>
          <cell r="D719">
            <v>45467</v>
          </cell>
          <cell r="E719">
            <v>60599.53</v>
          </cell>
          <cell r="F719">
            <v>60599.53</v>
          </cell>
          <cell r="G719">
            <v>55322.09</v>
          </cell>
          <cell r="H719">
            <v>55322.09</v>
          </cell>
          <cell r="I719">
            <v>4650.09</v>
          </cell>
        </row>
        <row r="720">
          <cell r="A720" t="str">
            <v>В-18414/КЛ.Транш - 1_В-21082023/Ц</v>
          </cell>
          <cell r="B720" t="str">
            <v>Селеверстов Михаил Васильевич</v>
          </cell>
          <cell r="C720">
            <v>18</v>
          </cell>
          <cell r="D720">
            <v>45470</v>
          </cell>
          <cell r="E720">
            <v>29211.4</v>
          </cell>
          <cell r="F720">
            <v>267834.05</v>
          </cell>
          <cell r="G720">
            <v>248771.93</v>
          </cell>
          <cell r="H720">
            <v>15891.54</v>
          </cell>
          <cell r="I720">
            <v>10901.8</v>
          </cell>
        </row>
        <row r="721">
          <cell r="A721" t="str">
            <v>В-12066/КЛ.Транш - 1_В-21082023/Ц</v>
          </cell>
          <cell r="B721" t="str">
            <v>Хачатрян Хачик Норайрович</v>
          </cell>
          <cell r="C721">
            <v>8</v>
          </cell>
          <cell r="D721">
            <v>45480</v>
          </cell>
          <cell r="E721">
            <v>4934.6499999999996</v>
          </cell>
          <cell r="F721">
            <v>34086.980000000003</v>
          </cell>
          <cell r="G721">
            <v>34086.980000000003</v>
          </cell>
          <cell r="H721">
            <v>4934.6499999999996</v>
          </cell>
        </row>
        <row r="722">
          <cell r="A722" t="str">
            <v>В-12067/КЛ.Транш - 1_В-21082023/Ц</v>
          </cell>
          <cell r="B722" t="str">
            <v>Тульнова Ольга Владимировна</v>
          </cell>
          <cell r="C722">
            <v>8</v>
          </cell>
          <cell r="D722">
            <v>45480</v>
          </cell>
          <cell r="E722">
            <v>6760.59</v>
          </cell>
          <cell r="F722">
            <v>34797.56</v>
          </cell>
          <cell r="G722">
            <v>32429.43</v>
          </cell>
          <cell r="H722">
            <v>4792.25</v>
          </cell>
          <cell r="I722">
            <v>1828.24</v>
          </cell>
        </row>
        <row r="723">
          <cell r="A723" t="str">
            <v>В-22205/КЛ.Транш - 2_В-21082023/Ц</v>
          </cell>
          <cell r="B723" t="str">
            <v>Тарасов Олег Васильевич</v>
          </cell>
          <cell r="C723">
            <v>5</v>
          </cell>
          <cell r="D723">
            <v>45483</v>
          </cell>
          <cell r="E723">
            <v>13121.99</v>
          </cell>
          <cell r="F723">
            <v>57266.16</v>
          </cell>
          <cell r="G723">
            <v>53672.94</v>
          </cell>
          <cell r="H723">
            <v>9930.24</v>
          </cell>
          <cell r="I723">
            <v>3046.83</v>
          </cell>
        </row>
        <row r="724">
          <cell r="A724" t="str">
            <v>В-16057/КЛ.Транш - 6_В-21082023/Ц</v>
          </cell>
          <cell r="B724" t="str">
            <v>Хлебников Владимир Витальевич</v>
          </cell>
          <cell r="C724">
            <v>4</v>
          </cell>
          <cell r="D724">
            <v>45484</v>
          </cell>
          <cell r="E724">
            <v>29033.49</v>
          </cell>
          <cell r="F724">
            <v>178490.1</v>
          </cell>
          <cell r="G724">
            <v>170195.56</v>
          </cell>
          <cell r="H724">
            <v>21553.43</v>
          </cell>
          <cell r="I724">
            <v>7112.44</v>
          </cell>
        </row>
        <row r="725">
          <cell r="A725" t="str">
            <v>В-23555/КЛ.Транш - 1_В-21082023/Ц</v>
          </cell>
          <cell r="B725" t="str">
            <v>Зотов Дмитрий Анатольевич</v>
          </cell>
          <cell r="C725">
            <v>2</v>
          </cell>
          <cell r="D725">
            <v>45486</v>
          </cell>
          <cell r="E725">
            <v>43954.45</v>
          </cell>
          <cell r="F725">
            <v>479321.79</v>
          </cell>
          <cell r="G725">
            <v>452267.28</v>
          </cell>
          <cell r="H725">
            <v>18492.43</v>
          </cell>
          <cell r="I725">
            <v>24973.57</v>
          </cell>
        </row>
        <row r="726">
          <cell r="A726" t="str">
            <v>В-25922/КЛ.Транш - 1_В-21082023/Ц</v>
          </cell>
          <cell r="B726" t="str">
            <v>Белоусов Валерий Владиславович</v>
          </cell>
          <cell r="C726">
            <v>2</v>
          </cell>
          <cell r="D726">
            <v>45486</v>
          </cell>
          <cell r="E726">
            <v>6986.5</v>
          </cell>
          <cell r="F726">
            <v>94527.62</v>
          </cell>
          <cell r="G726">
            <v>90843.98</v>
          </cell>
          <cell r="H726">
            <v>3542.04</v>
          </cell>
          <cell r="I726">
            <v>3346.35</v>
          </cell>
        </row>
        <row r="727">
          <cell r="A727" t="str">
            <v>В-28235/АЗ_В-21082023/Ц</v>
          </cell>
          <cell r="B727" t="str">
            <v>Юсупов Альберт Гиннатуллаевич</v>
          </cell>
          <cell r="C727">
            <v>2</v>
          </cell>
          <cell r="D727">
            <v>45486</v>
          </cell>
          <cell r="E727">
            <v>12786.37</v>
          </cell>
          <cell r="F727">
            <v>151943.34</v>
          </cell>
          <cell r="G727">
            <v>142321.85999999999</v>
          </cell>
          <cell r="H727">
            <v>3749.55</v>
          </cell>
          <cell r="I727">
            <v>9023.0400000000009</v>
          </cell>
        </row>
        <row r="728">
          <cell r="A728" t="str">
            <v>А-04028/АЗ</v>
          </cell>
          <cell r="B728" t="str">
            <v>Селютин Петр Петрович</v>
          </cell>
          <cell r="C728">
            <v>1</v>
          </cell>
          <cell r="D728">
            <v>45487</v>
          </cell>
          <cell r="E728">
            <v>5281.34</v>
          </cell>
          <cell r="F728">
            <v>5281.34</v>
          </cell>
        </row>
        <row r="729">
          <cell r="A729" t="str">
            <v>В-16067/КЛ.Транш - 1_В-21082023/Ц</v>
          </cell>
          <cell r="B729" t="str">
            <v>Дудин Василий Васильевич</v>
          </cell>
          <cell r="C729">
            <v>1</v>
          </cell>
          <cell r="D729">
            <v>45487</v>
          </cell>
          <cell r="E729">
            <v>2458.81</v>
          </cell>
          <cell r="F729">
            <v>61594.79</v>
          </cell>
          <cell r="G729">
            <v>59055.08</v>
          </cell>
          <cell r="I729">
            <v>2426.92</v>
          </cell>
        </row>
        <row r="730">
          <cell r="A730" t="str">
            <v>В-22309/АЗ_В-21082023/Ц</v>
          </cell>
          <cell r="B730" t="str">
            <v>Мисюк Георгий Анатольевич</v>
          </cell>
          <cell r="C730">
            <v>1</v>
          </cell>
          <cell r="D730">
            <v>45487</v>
          </cell>
          <cell r="E730">
            <v>15036.46</v>
          </cell>
          <cell r="F730">
            <v>42219.78</v>
          </cell>
          <cell r="G730">
            <v>39456.83</v>
          </cell>
          <cell r="H730">
            <v>12334.44</v>
          </cell>
          <cell r="I730">
            <v>2680.71</v>
          </cell>
        </row>
        <row r="731">
          <cell r="A731" t="str">
            <v>В-00033/КЭ.Транш - 2</v>
          </cell>
          <cell r="B731" t="str">
            <v>АВТОКОНТИНЕНТ ООО</v>
          </cell>
        </row>
        <row r="732">
          <cell r="A732" t="str">
            <v>В-00036/КЭ.Транш - 2</v>
          </cell>
          <cell r="B732" t="str">
            <v>Лого-Трейд ООО</v>
          </cell>
        </row>
        <row r="733">
          <cell r="A733" t="str">
            <v>В-00052/КЭ.Транш - 1</v>
          </cell>
          <cell r="B733" t="str">
            <v>ИП Окунева Лилия Викторовна</v>
          </cell>
        </row>
        <row r="734">
          <cell r="A734" t="str">
            <v>В-00065/КЭ.Транш - 1</v>
          </cell>
          <cell r="B734" t="str">
            <v>Эврика ООО</v>
          </cell>
        </row>
        <row r="735">
          <cell r="A735" t="str">
            <v>В-00079/КЭ.Транш - 1</v>
          </cell>
          <cell r="B735" t="str">
            <v>ИП Деньга Виктор Иванович</v>
          </cell>
        </row>
        <row r="736">
          <cell r="A736" t="str">
            <v>В-00431/КЛ.Транш - 2</v>
          </cell>
          <cell r="B736" t="str">
            <v>Дагиров Рустам Шамсутдинович</v>
          </cell>
        </row>
        <row r="737">
          <cell r="A737" t="str">
            <v>В-00953/АЗ</v>
          </cell>
          <cell r="B737" t="str">
            <v>Змиевский Владимир Владимирович</v>
          </cell>
        </row>
        <row r="738">
          <cell r="A738" t="str">
            <v>В-00955/АЗ</v>
          </cell>
          <cell r="B738" t="str">
            <v>Романов Евгений Юрьевич</v>
          </cell>
        </row>
        <row r="739">
          <cell r="A739" t="str">
            <v>В-00970/АЗ</v>
          </cell>
          <cell r="B739" t="str">
            <v>Башкатов Егор Иванович</v>
          </cell>
        </row>
        <row r="740">
          <cell r="A740" t="str">
            <v>В-01022/АЗ</v>
          </cell>
          <cell r="B740" t="str">
            <v>Осмаева Зулихан Авхадовна</v>
          </cell>
        </row>
        <row r="741">
          <cell r="A741" t="str">
            <v>В-01023/АЗ</v>
          </cell>
          <cell r="B741" t="str">
            <v>Осмаев Ибрагим Исламович</v>
          </cell>
        </row>
        <row r="742">
          <cell r="A742" t="str">
            <v>В-01024/АЗ</v>
          </cell>
          <cell r="B742" t="str">
            <v>Билалов Имам Исламович</v>
          </cell>
        </row>
        <row r="743">
          <cell r="A743" t="str">
            <v>В-01038/АЗ</v>
          </cell>
          <cell r="B743" t="str">
            <v>Егоян Вард Баласанович</v>
          </cell>
        </row>
        <row r="744">
          <cell r="A744" t="str">
            <v>В-01038/АЗ_В-21082023/Ц</v>
          </cell>
          <cell r="B744" t="str">
            <v>Егоян Вард Баласанович</v>
          </cell>
          <cell r="F744">
            <v>209810.76</v>
          </cell>
          <cell r="G744">
            <v>208559.4</v>
          </cell>
        </row>
        <row r="745">
          <cell r="A745" t="str">
            <v>В-01039/АЗ</v>
          </cell>
          <cell r="B745" t="str">
            <v>Члоян Геворк Мамбреович</v>
          </cell>
        </row>
        <row r="746">
          <cell r="A746" t="str">
            <v>В-01039/АЗ_В-21082023/Ц</v>
          </cell>
          <cell r="B746" t="str">
            <v>Члоян Геворк Мамбреович</v>
          </cell>
          <cell r="F746">
            <v>218878.45</v>
          </cell>
          <cell r="G746">
            <v>217448.65</v>
          </cell>
        </row>
        <row r="747">
          <cell r="A747" t="str">
            <v>В-01068/АЗ</v>
          </cell>
          <cell r="B747" t="str">
            <v>Тарасов Дмитрий Алексеевич</v>
          </cell>
        </row>
        <row r="748">
          <cell r="A748" t="str">
            <v>В-01109/АЗ</v>
          </cell>
          <cell r="B748" t="str">
            <v>Мазуренко Наталья Владимировна</v>
          </cell>
        </row>
        <row r="749">
          <cell r="A749" t="str">
            <v>В-01113/АЗ</v>
          </cell>
          <cell r="B749" t="str">
            <v>Петров Денис Александрович</v>
          </cell>
        </row>
        <row r="750">
          <cell r="A750" t="str">
            <v>В-01161/АЗ</v>
          </cell>
          <cell r="B750" t="str">
            <v>Ельшин Владимир Анатольевич</v>
          </cell>
        </row>
        <row r="751">
          <cell r="A751" t="str">
            <v>В-01174/АЗ</v>
          </cell>
          <cell r="B751" t="str">
            <v>Барт Денис Михайлович</v>
          </cell>
        </row>
        <row r="752">
          <cell r="A752" t="str">
            <v>В-01184/АЗ</v>
          </cell>
          <cell r="B752" t="str">
            <v>Конев Сергей Арсентьевич</v>
          </cell>
        </row>
        <row r="753">
          <cell r="A753" t="str">
            <v>В-01188/АЗ</v>
          </cell>
          <cell r="B753" t="str">
            <v>Сапунов Дмитрий Владимирович</v>
          </cell>
        </row>
        <row r="754">
          <cell r="A754" t="str">
            <v>В-01211/АЗ</v>
          </cell>
          <cell r="B754" t="str">
            <v>Азиева Милана Зайнуладаевна</v>
          </cell>
        </row>
        <row r="755">
          <cell r="A755" t="str">
            <v>В-02064/КЛ.Транш - 2</v>
          </cell>
          <cell r="B755" t="str">
            <v>Авагян Тигран Агванович</v>
          </cell>
        </row>
        <row r="756">
          <cell r="A756" t="str">
            <v>В-02064/КЛ.Транш - 3</v>
          </cell>
          <cell r="B756" t="str">
            <v>Авагян Тигран Агванович</v>
          </cell>
        </row>
        <row r="757">
          <cell r="A757" t="str">
            <v>В-02064/КЛ.Транш - 3_В-21082023/Ц</v>
          </cell>
          <cell r="B757" t="str">
            <v>Авагян Тигран Агванович</v>
          </cell>
          <cell r="F757">
            <v>54570.62</v>
          </cell>
          <cell r="G757">
            <v>53256</v>
          </cell>
        </row>
        <row r="758">
          <cell r="A758" t="str">
            <v>В-02064/КЛ.Транш - 4</v>
          </cell>
          <cell r="B758" t="str">
            <v>Авагян Тигран Агванович</v>
          </cell>
        </row>
        <row r="759">
          <cell r="A759" t="str">
            <v>В-02064/КЛ.Транш - 4_В-21082023/Ц</v>
          </cell>
          <cell r="B759" t="str">
            <v>Авагян Тигран Агванович</v>
          </cell>
          <cell r="F759">
            <v>44795.86</v>
          </cell>
          <cell r="G759">
            <v>44250.31</v>
          </cell>
        </row>
        <row r="760">
          <cell r="A760" t="str">
            <v>В-02849/КЛ.Транш - 1</v>
          </cell>
          <cell r="B760" t="str">
            <v>Тарасов Александр Владимирович</v>
          </cell>
        </row>
        <row r="761">
          <cell r="A761" t="str">
            <v>В-03974/КЛ.Транш - 3_В-21082023/Ц</v>
          </cell>
          <cell r="B761" t="str">
            <v>Петрова Елена Владимировна</v>
          </cell>
          <cell r="F761">
            <v>113856.96000000001</v>
          </cell>
          <cell r="G761">
            <v>48912.9</v>
          </cell>
        </row>
        <row r="762">
          <cell r="A762" t="str">
            <v>В-04967/КЛ.Транш - 4</v>
          </cell>
          <cell r="B762" t="str">
            <v>Горшков Никита Григорьевич</v>
          </cell>
        </row>
        <row r="763">
          <cell r="A763" t="str">
            <v>В-05253/КЛ.Транш - 4</v>
          </cell>
          <cell r="B763" t="str">
            <v>Мамедов Динар Рашид Оглы</v>
          </cell>
        </row>
        <row r="764">
          <cell r="A764" t="str">
            <v>В-06345/КЛ.Транш - 1</v>
          </cell>
          <cell r="B764" t="str">
            <v>Шаулов Шаул Рамбомович</v>
          </cell>
        </row>
        <row r="765">
          <cell r="A765" t="str">
            <v>В-06920/КЛ.Транш - 3</v>
          </cell>
          <cell r="B765" t="str">
            <v>Кузнецова Юлия Сергеевна</v>
          </cell>
        </row>
        <row r="766">
          <cell r="A766" t="str">
            <v>В-07559/КЛ.Транш - 3</v>
          </cell>
          <cell r="B766" t="str">
            <v>Мкртчян Григор Рубикович</v>
          </cell>
        </row>
        <row r="767">
          <cell r="A767" t="str">
            <v>В-07559/КЛ.Транш - 4</v>
          </cell>
          <cell r="B767" t="str">
            <v>Мкртчян Григор Рубикович</v>
          </cell>
        </row>
        <row r="768">
          <cell r="A768" t="str">
            <v>В-07877/КЛ.Транш - 12</v>
          </cell>
          <cell r="B768" t="str">
            <v>Кильдюшкин Андрей Николаевич</v>
          </cell>
        </row>
        <row r="769">
          <cell r="A769" t="str">
            <v>В-07877/КЛ.Транш - 14</v>
          </cell>
          <cell r="B769" t="str">
            <v>Кильдюшкин Андрей Николаевич</v>
          </cell>
        </row>
        <row r="770">
          <cell r="A770" t="str">
            <v>В-07877/КЛ.Транш - 15</v>
          </cell>
          <cell r="B770" t="str">
            <v>Кильдюшкин Андрей Николаевич</v>
          </cell>
        </row>
        <row r="771">
          <cell r="A771" t="str">
            <v>В-08270/КЛ.Транш - 1</v>
          </cell>
          <cell r="B771" t="str">
            <v>Куренкова Марина Анатольевна</v>
          </cell>
        </row>
        <row r="772">
          <cell r="A772" t="str">
            <v>В-08270/КЛ.Транш - 1_В-21082023/Ц</v>
          </cell>
          <cell r="B772" t="str">
            <v>Куренкова Марина Анатольевна</v>
          </cell>
          <cell r="F772">
            <v>18648.57</v>
          </cell>
          <cell r="G772">
            <v>18175.509999999998</v>
          </cell>
        </row>
        <row r="773">
          <cell r="A773" t="str">
            <v>В-08348/КЛ.Транш - 7</v>
          </cell>
          <cell r="B773" t="str">
            <v>Голосенин Тимофей Васильевич</v>
          </cell>
        </row>
        <row r="774">
          <cell r="A774" t="str">
            <v>В-08368/КЛ.Транш - 2</v>
          </cell>
          <cell r="B774" t="str">
            <v>Князев Алексей Иванович</v>
          </cell>
        </row>
        <row r="775">
          <cell r="A775" t="str">
            <v>В-08454/КЛ.Транш - 1</v>
          </cell>
          <cell r="B775" t="str">
            <v>Савельев Станислав Валентинович</v>
          </cell>
        </row>
        <row r="776">
          <cell r="A776" t="str">
            <v>В-08454/КЛ.Транш - 1_В-21082023/Ц</v>
          </cell>
          <cell r="B776" t="str">
            <v>Савельев Станислав Валентинович</v>
          </cell>
          <cell r="F776">
            <v>6179.5</v>
          </cell>
          <cell r="G776">
            <v>5995.21</v>
          </cell>
        </row>
        <row r="777">
          <cell r="A777" t="str">
            <v>В-08644/КЛ.Транш - 1</v>
          </cell>
          <cell r="B777" t="str">
            <v>Жирнов Игорь Владимирович</v>
          </cell>
        </row>
        <row r="778">
          <cell r="A778" t="str">
            <v>В-09086/КЛ.Транш - 1</v>
          </cell>
          <cell r="B778" t="str">
            <v>Баранова Светлана Александровна</v>
          </cell>
        </row>
        <row r="779">
          <cell r="A779" t="str">
            <v>В-09086/КЛ.Транш - 2</v>
          </cell>
          <cell r="B779" t="str">
            <v>Баранова Светлана Александровна</v>
          </cell>
        </row>
        <row r="780">
          <cell r="A780" t="str">
            <v>В-09086/КЛ.Транш - 3</v>
          </cell>
          <cell r="B780" t="str">
            <v>Баранова Светлана Александровна</v>
          </cell>
        </row>
        <row r="781">
          <cell r="A781" t="str">
            <v>В-09100/КЛ.Транш - 1</v>
          </cell>
          <cell r="B781" t="str">
            <v>Фомин Иван Евгеньевич</v>
          </cell>
        </row>
        <row r="782">
          <cell r="A782" t="str">
            <v>В-09172/КЛ.Транш - 1</v>
          </cell>
          <cell r="B782" t="str">
            <v>Атабоев Каримжон Валижонович</v>
          </cell>
        </row>
        <row r="783">
          <cell r="A783" t="str">
            <v>В-09172/КЛ.Транш - 1_В-21082023/Ц</v>
          </cell>
          <cell r="B783" t="str">
            <v>Атабоев Каримжон Валижонович</v>
          </cell>
          <cell r="F783">
            <v>24297.07</v>
          </cell>
          <cell r="G783">
            <v>23586.25</v>
          </cell>
        </row>
        <row r="784">
          <cell r="A784" t="str">
            <v>В-10022/КЭ.Транш - 1</v>
          </cell>
          <cell r="B784" t="str">
            <v>ТРАНСЛОГ ООО</v>
          </cell>
        </row>
        <row r="785">
          <cell r="A785" t="str">
            <v>В-10050/КЛ.Транш - 1</v>
          </cell>
          <cell r="B785" t="str">
            <v>Ларина Анна Ильинична</v>
          </cell>
        </row>
        <row r="786">
          <cell r="A786" t="str">
            <v>В-10204/КЛ.Транш - 1</v>
          </cell>
          <cell r="B786" t="str">
            <v>Афонин Сергей Юрьевич</v>
          </cell>
        </row>
        <row r="787">
          <cell r="A787" t="str">
            <v>В-10204/КЛ.Транш - 1_В-21082023/Ц</v>
          </cell>
          <cell r="B787" t="str">
            <v>Афонин Сергей Юрьевич</v>
          </cell>
          <cell r="F787">
            <v>21042.22</v>
          </cell>
          <cell r="G787">
            <v>21042.22</v>
          </cell>
        </row>
        <row r="788">
          <cell r="A788" t="str">
            <v>В-10474/КЛ.Транш - 3</v>
          </cell>
          <cell r="B788" t="str">
            <v>Хоминец Владимир Владимирович</v>
          </cell>
        </row>
        <row r="789">
          <cell r="A789" t="str">
            <v>В-10474/КЛ.Транш - 3_В-21082023/Ц</v>
          </cell>
          <cell r="B789" t="str">
            <v>Хоминец Владимир Владимирович</v>
          </cell>
          <cell r="F789">
            <v>65203.25</v>
          </cell>
          <cell r="G789">
            <v>62298.27</v>
          </cell>
        </row>
        <row r="790">
          <cell r="A790" t="str">
            <v>В-10474/КЛ.Транш - 4</v>
          </cell>
          <cell r="B790" t="str">
            <v>Хоминец Владимир Владимирович</v>
          </cell>
        </row>
        <row r="791">
          <cell r="A791" t="str">
            <v>В-10474/КЛ.Транш - 4_В-21082023/Ц</v>
          </cell>
          <cell r="B791" t="str">
            <v>Хоминец Владимир Владимирович</v>
          </cell>
          <cell r="F791">
            <v>111178.55</v>
          </cell>
          <cell r="G791">
            <v>110632.96000000001</v>
          </cell>
        </row>
        <row r="792">
          <cell r="A792" t="str">
            <v>В-10474/КЛ.Транш - 5</v>
          </cell>
          <cell r="B792" t="str">
            <v>Хоминец Владимир Владимирович</v>
          </cell>
        </row>
        <row r="793">
          <cell r="A793" t="str">
            <v>В-10474/КЛ.Транш - 5_В-21082023/Ц</v>
          </cell>
          <cell r="B793" t="str">
            <v>Хоминец Владимир Владимирович</v>
          </cell>
          <cell r="F793">
            <v>101636.23</v>
          </cell>
          <cell r="G793">
            <v>99509.72</v>
          </cell>
        </row>
        <row r="794">
          <cell r="A794" t="str">
            <v>В-10474/КЛ.Транш - 6</v>
          </cell>
          <cell r="B794" t="str">
            <v>Хоминец Владимир Владимирович</v>
          </cell>
        </row>
        <row r="795">
          <cell r="A795" t="str">
            <v>В-10474/КЛ.Транш - 6_В-21082023/Ц</v>
          </cell>
          <cell r="B795" t="str">
            <v>Хоминец Владимир Владимирович</v>
          </cell>
          <cell r="F795">
            <v>40393.22</v>
          </cell>
          <cell r="G795">
            <v>39804.33</v>
          </cell>
        </row>
        <row r="796">
          <cell r="A796" t="str">
            <v>В-10495/КЛ.Транш - 1</v>
          </cell>
          <cell r="B796" t="str">
            <v>Житаренко Юрий Иванович</v>
          </cell>
        </row>
        <row r="797">
          <cell r="A797" t="str">
            <v>В-10789/КЛ.Транш - 1</v>
          </cell>
          <cell r="B797" t="str">
            <v>Арутюнян Сережа Теватосович</v>
          </cell>
        </row>
        <row r="798">
          <cell r="A798" t="str">
            <v>В-10841/КЛ.Транш - 1</v>
          </cell>
          <cell r="B798" t="str">
            <v>Азиев Абдурахман Авхадович</v>
          </cell>
        </row>
        <row r="799">
          <cell r="A799" t="str">
            <v>В-10909/КЛ.Транш - 1</v>
          </cell>
          <cell r="B799" t="str">
            <v>Дементьев Василий Алексеевич</v>
          </cell>
        </row>
        <row r="800">
          <cell r="A800" t="str">
            <v>В-11277/КЛ.Транш - 1</v>
          </cell>
          <cell r="B800" t="str">
            <v>Литвинов Дмитрий Геннадьевич</v>
          </cell>
        </row>
        <row r="801">
          <cell r="A801" t="str">
            <v>В-11396/КЛ.Транш - 2</v>
          </cell>
          <cell r="B801" t="str">
            <v>Губская Светлана Анатольевна</v>
          </cell>
        </row>
        <row r="802">
          <cell r="A802" t="str">
            <v>В-11447/КЛ.Транш - 1</v>
          </cell>
          <cell r="B802" t="str">
            <v>Елистратов Сергей Викторович</v>
          </cell>
        </row>
        <row r="803">
          <cell r="A803" t="str">
            <v>В-11447/КЛ.Транш - 1_В-21082023/Ц</v>
          </cell>
          <cell r="B803" t="str">
            <v>Елистратов Сергей Викторович</v>
          </cell>
          <cell r="F803">
            <v>281879.46000000002</v>
          </cell>
          <cell r="G803">
            <v>149392.56</v>
          </cell>
        </row>
        <row r="804">
          <cell r="A804" t="str">
            <v>В-11605/КЛ.Транш - 1</v>
          </cell>
          <cell r="B804" t="str">
            <v>Мамлина Наталия Андреевна</v>
          </cell>
        </row>
        <row r="805">
          <cell r="A805" t="str">
            <v>В-11716/КЛ.Транш - 1</v>
          </cell>
          <cell r="B805" t="str">
            <v>Валеев Рамиль Равилович</v>
          </cell>
        </row>
        <row r="806">
          <cell r="A806" t="str">
            <v>В-11716/КЛ.Транш - 1_В-21082023/Ц</v>
          </cell>
          <cell r="B806" t="str">
            <v>Валеев Рамиль Равилович</v>
          </cell>
          <cell r="F806">
            <v>26648.77</v>
          </cell>
          <cell r="G806">
            <v>25772.5</v>
          </cell>
        </row>
        <row r="807">
          <cell r="A807" t="str">
            <v>В-11782/КЛ.Транш - 1</v>
          </cell>
          <cell r="B807" t="str">
            <v>Ангелов Алексей Славов</v>
          </cell>
        </row>
        <row r="808">
          <cell r="A808" t="str">
            <v>В-11948/КЛ.Транш - 1</v>
          </cell>
          <cell r="B808" t="str">
            <v>Романов Алексей Викторович</v>
          </cell>
        </row>
        <row r="809">
          <cell r="A809" t="str">
            <v>В-12066/КЛ.Транш - 1</v>
          </cell>
          <cell r="B809" t="str">
            <v>Хачатрян Хачик Норайрович</v>
          </cell>
        </row>
        <row r="810">
          <cell r="A810" t="str">
            <v>В-12067/КЛ.Транш - 1</v>
          </cell>
          <cell r="B810" t="str">
            <v>Тульнова Ольга Владимировна</v>
          </cell>
        </row>
        <row r="811">
          <cell r="A811" t="str">
            <v>В-12098/КЛ.Транш - 1</v>
          </cell>
          <cell r="B811" t="str">
            <v>Лекторова Екатерина Николаевна</v>
          </cell>
        </row>
        <row r="812">
          <cell r="A812" t="str">
            <v>В-12098/КЛ.Транш - 1_В-21082023/Ц</v>
          </cell>
          <cell r="B812" t="str">
            <v>Лекторова Екатерина Николаевна</v>
          </cell>
          <cell r="F812">
            <v>152110.42000000001</v>
          </cell>
          <cell r="G812">
            <v>150747.5</v>
          </cell>
        </row>
        <row r="813">
          <cell r="A813" t="str">
            <v>В-12098/КЛ.Транш - 2</v>
          </cell>
          <cell r="B813" t="str">
            <v>Лекторова Екатерина Николаевна</v>
          </cell>
        </row>
        <row r="814">
          <cell r="A814" t="str">
            <v>В-12098/КЛ.Транш - 2_В-21082023/Ц</v>
          </cell>
          <cell r="B814" t="str">
            <v>Лекторова Екатерина Николаевна</v>
          </cell>
          <cell r="F814">
            <v>67171.25</v>
          </cell>
          <cell r="G814">
            <v>66231.31</v>
          </cell>
        </row>
        <row r="815">
          <cell r="A815" t="str">
            <v>В-12231/КЛ.Транш - 1</v>
          </cell>
          <cell r="B815" t="str">
            <v>Кобзев Олег Викторович</v>
          </cell>
        </row>
        <row r="816">
          <cell r="A816" t="str">
            <v>В-12256/КЛ.Транш - 1</v>
          </cell>
          <cell r="B816" t="str">
            <v>Диденко Роман Владимирович</v>
          </cell>
        </row>
        <row r="817">
          <cell r="A817" t="str">
            <v>В-12269/КЛ.Транш - 1</v>
          </cell>
          <cell r="B817" t="str">
            <v>Степенко Александр Сергеевич</v>
          </cell>
        </row>
        <row r="818">
          <cell r="A818" t="str">
            <v>В-12269/КЛ.Транш - 1_В-21082023/Ц</v>
          </cell>
          <cell r="B818" t="str">
            <v>Степенко Александр Сергеевич</v>
          </cell>
          <cell r="F818">
            <v>12981.07</v>
          </cell>
          <cell r="G818">
            <v>12651.78</v>
          </cell>
        </row>
        <row r="819">
          <cell r="A819" t="str">
            <v>В-12523/КЛ.Транш - 2</v>
          </cell>
          <cell r="B819" t="str">
            <v>Павлов Алексей Георгиевич</v>
          </cell>
        </row>
        <row r="820">
          <cell r="A820" t="str">
            <v>В-12523/КЛ.Транш - 2_В-21082023/Ц</v>
          </cell>
          <cell r="B820" t="str">
            <v>Павлов Алексей Георгиевич</v>
          </cell>
          <cell r="F820">
            <v>199312.39</v>
          </cell>
          <cell r="G820">
            <v>193811.33</v>
          </cell>
        </row>
        <row r="821">
          <cell r="A821" t="str">
            <v>В-12553/КЛ.Транш - 1</v>
          </cell>
          <cell r="B821" t="str">
            <v>Кисель Наталья Александровна</v>
          </cell>
        </row>
        <row r="822">
          <cell r="A822" t="str">
            <v>В-12553/КЛ.Транш - 1_В-21082023/Ц</v>
          </cell>
          <cell r="B822" t="str">
            <v>Кисель Наталья Александровна</v>
          </cell>
          <cell r="F822">
            <v>82507.839999999997</v>
          </cell>
          <cell r="G822">
            <v>79487.320000000007</v>
          </cell>
        </row>
        <row r="823">
          <cell r="A823" t="str">
            <v>В-12574/КЛ.Транш - 1</v>
          </cell>
          <cell r="B823" t="str">
            <v>Павлов Вячеслав Игоревич</v>
          </cell>
        </row>
        <row r="824">
          <cell r="A824" t="str">
            <v>В-12574/КЛ.Транш - 2</v>
          </cell>
          <cell r="B824" t="str">
            <v>Павлов Вячеслав Игоревич</v>
          </cell>
        </row>
        <row r="825">
          <cell r="A825" t="str">
            <v>В-12574/КЛ.Транш - 3</v>
          </cell>
          <cell r="B825" t="str">
            <v>Павлов Вячеслав Игоревич</v>
          </cell>
        </row>
        <row r="826">
          <cell r="A826" t="str">
            <v>В-12662/КЛ.Транш - 1</v>
          </cell>
          <cell r="B826" t="str">
            <v>Сайдалиева Наталия Владимировна</v>
          </cell>
        </row>
        <row r="827">
          <cell r="A827" t="str">
            <v>В-12662/КЛ.Транш - 1_В-21082023/Ц</v>
          </cell>
          <cell r="B827" t="str">
            <v>Сайдалиева Наталия Владимировна</v>
          </cell>
          <cell r="F827">
            <v>22309.72</v>
          </cell>
          <cell r="G827">
            <v>21166.720000000001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</row>
        <row r="830">
          <cell r="A830" t="str">
            <v>В-12813/КЛ.Транш - 1</v>
          </cell>
          <cell r="B830" t="str">
            <v>Розанов Сергей Александрович</v>
          </cell>
        </row>
        <row r="831">
          <cell r="A831" t="str">
            <v>В-12912/КЛ.Транш - 1</v>
          </cell>
          <cell r="B831" t="str">
            <v>Захарова Ирина Константиновна</v>
          </cell>
        </row>
        <row r="832">
          <cell r="A832" t="str">
            <v>В-12912/КЛ.Транш - 1_В-21082023/Ц</v>
          </cell>
          <cell r="B832" t="str">
            <v>Захарова Ирина Константиновна</v>
          </cell>
          <cell r="F832">
            <v>153004.01</v>
          </cell>
          <cell r="G832">
            <v>147406.6</v>
          </cell>
        </row>
        <row r="833">
          <cell r="A833" t="str">
            <v>В-12943/КЛ.Транш - 1</v>
          </cell>
          <cell r="B833" t="str">
            <v>Дробот Роман Вячеславович</v>
          </cell>
        </row>
        <row r="834">
          <cell r="A834" t="str">
            <v>В-13005/КЛ.Транш - 3</v>
          </cell>
          <cell r="B834" t="str">
            <v>Воронова Татьяна Алексеевна</v>
          </cell>
        </row>
        <row r="835">
          <cell r="A835" t="str">
            <v>В-13235/КЛ.Транш - 1</v>
          </cell>
          <cell r="B835" t="str">
            <v>Харитонова Ирина Александровна</v>
          </cell>
        </row>
        <row r="836">
          <cell r="A836" t="str">
            <v>В-13235/КЛ.Транш - 1_В-21082023/Ц</v>
          </cell>
          <cell r="B836" t="str">
            <v>Харитонова Ирина Александровна</v>
          </cell>
          <cell r="F836">
            <v>33674.559999999998</v>
          </cell>
          <cell r="G836">
            <v>32533.65</v>
          </cell>
        </row>
        <row r="837">
          <cell r="A837" t="str">
            <v>В-13405/КЛ.Транш - 1</v>
          </cell>
          <cell r="B837" t="str">
            <v>Покатаев Андрей Борисович</v>
          </cell>
        </row>
        <row r="838">
          <cell r="A838" t="str">
            <v>В-13449/КЛ.Транш - 1</v>
          </cell>
          <cell r="B838" t="str">
            <v>Зайцев Иван Владимирович</v>
          </cell>
        </row>
        <row r="839">
          <cell r="A839" t="str">
            <v>В-13449/КЛ.Транш - 1_В-21082023/Ц</v>
          </cell>
          <cell r="B839" t="str">
            <v>Зайцев Иван Владимирович</v>
          </cell>
          <cell r="F839">
            <v>30413.59</v>
          </cell>
          <cell r="G839">
            <v>30048.07</v>
          </cell>
        </row>
        <row r="840">
          <cell r="A840" t="str">
            <v>В-13545/КЛ.Транш - 1</v>
          </cell>
          <cell r="B840" t="str">
            <v>Оскомова Инна Анатольевна</v>
          </cell>
        </row>
        <row r="841">
          <cell r="A841" t="str">
            <v>В-14074/КЛ.Транш - 1</v>
          </cell>
          <cell r="B841" t="str">
            <v>Наумик Екатерина Андреевна</v>
          </cell>
        </row>
        <row r="842">
          <cell r="A842" t="str">
            <v>В-14074/КЛ.Транш - 2</v>
          </cell>
          <cell r="B842" t="str">
            <v>Наумик Екатерина Андреевна</v>
          </cell>
        </row>
        <row r="843">
          <cell r="A843" t="str">
            <v>В-14168/КЛ.Транш - 4</v>
          </cell>
          <cell r="B843" t="str">
            <v>Расулов Ахмедхан Саидбекович</v>
          </cell>
        </row>
        <row r="844">
          <cell r="A844" t="str">
            <v>В-14198/КЛ.Транш - 1</v>
          </cell>
          <cell r="B844" t="str">
            <v>Борисов Андрей Сергеевич</v>
          </cell>
        </row>
        <row r="845">
          <cell r="A845" t="str">
            <v>В-14216/КЛ.Транш - 1</v>
          </cell>
          <cell r="B845" t="str">
            <v>Ципис Вадим Яковлевич</v>
          </cell>
        </row>
        <row r="846">
          <cell r="A846" t="str">
            <v>В-14216/КЛ.Транш - 2</v>
          </cell>
          <cell r="B846" t="str">
            <v>Ципис Вадим Яковлевич</v>
          </cell>
        </row>
        <row r="847">
          <cell r="A847" t="str">
            <v>В-14216/КЛ.Транш - 2_В-21082023/Ц</v>
          </cell>
          <cell r="B847" t="str">
            <v>Ципис Вадим Яковлевич</v>
          </cell>
          <cell r="F847">
            <v>44939.1</v>
          </cell>
          <cell r="G847">
            <v>42817.02</v>
          </cell>
        </row>
        <row r="848">
          <cell r="A848" t="str">
            <v>В-14216/КЛ.Транш - 3</v>
          </cell>
          <cell r="B848" t="str">
            <v>Ципис Вадим Яковлевич</v>
          </cell>
        </row>
        <row r="849">
          <cell r="A849" t="str">
            <v>В-14216/КЛ.Транш - 3_В-21082023/Ц</v>
          </cell>
          <cell r="B849" t="str">
            <v>Ципис Вадим Яковлевич</v>
          </cell>
          <cell r="F849">
            <v>50654.05</v>
          </cell>
          <cell r="G849">
            <v>48585.51</v>
          </cell>
        </row>
        <row r="850">
          <cell r="A850" t="str">
            <v>В-14216/КЛ.Транш - 4</v>
          </cell>
          <cell r="B850" t="str">
            <v>Ципис Вадим Яковлевич</v>
          </cell>
        </row>
        <row r="851">
          <cell r="A851" t="str">
            <v>В-14216/КЛ.Транш - 4_В-21082023/Ц</v>
          </cell>
          <cell r="B851" t="str">
            <v>Ципис Вадим Яковлевич</v>
          </cell>
          <cell r="F851">
            <v>61478.81</v>
          </cell>
          <cell r="G851">
            <v>58626.2</v>
          </cell>
        </row>
        <row r="852">
          <cell r="A852" t="str">
            <v>В-14291/КЛ.Транш - 7</v>
          </cell>
          <cell r="B852" t="str">
            <v>Янишевская Анна Сергеевна</v>
          </cell>
        </row>
        <row r="853">
          <cell r="A853" t="str">
            <v>В-14430/КЛ.Транш - 2</v>
          </cell>
          <cell r="B853" t="str">
            <v>Хечоян Владимир Левонович</v>
          </cell>
        </row>
        <row r="854">
          <cell r="A854" t="str">
            <v>В-14816/КЛ.Транш - 1</v>
          </cell>
          <cell r="B854" t="str">
            <v>Хадиев Фанис Рафисович</v>
          </cell>
        </row>
        <row r="855">
          <cell r="A855" t="str">
            <v>В-14816/КЛ.Транш - 1_В-21082023/Ц</v>
          </cell>
          <cell r="B855" t="str">
            <v>Хадиев Фанис Рафисович</v>
          </cell>
          <cell r="F855">
            <v>13669.91</v>
          </cell>
          <cell r="G855">
            <v>13035.63</v>
          </cell>
        </row>
        <row r="856">
          <cell r="A856" t="str">
            <v>В-14816/КЛ.Транш - 5</v>
          </cell>
          <cell r="B856" t="str">
            <v>Хадиев Фанис Рафисович</v>
          </cell>
        </row>
        <row r="857">
          <cell r="A857" t="str">
            <v>В-14816/КЛ.Транш - 6</v>
          </cell>
          <cell r="B857" t="str">
            <v>Хадиев Фанис Рафисович</v>
          </cell>
        </row>
        <row r="858">
          <cell r="A858" t="str">
            <v>В-14816/КЛ.Транш - 7</v>
          </cell>
          <cell r="B858" t="str">
            <v>Хадиев Фанис Рафисович</v>
          </cell>
        </row>
        <row r="859">
          <cell r="A859" t="str">
            <v>В-14913/КЛ.Транш - 1</v>
          </cell>
          <cell r="B859" t="str">
            <v>Семененко Трофим Игоревич</v>
          </cell>
        </row>
        <row r="860">
          <cell r="A860" t="str">
            <v>В-15138/КЛ.Транш - 1</v>
          </cell>
          <cell r="B860" t="str">
            <v>Малхасян Арарат Балабекович</v>
          </cell>
        </row>
        <row r="861">
          <cell r="A861" t="str">
            <v>В-15138/КЛ.Транш - 1_В-21082023/Ц</v>
          </cell>
          <cell r="B861" t="str">
            <v>Малхасян Арарат Балабекович</v>
          </cell>
          <cell r="F861">
            <v>62120.26</v>
          </cell>
          <cell r="G861">
            <v>60672.43</v>
          </cell>
        </row>
        <row r="862">
          <cell r="A862" t="str">
            <v>В-15831/КЛ.Транш - 1</v>
          </cell>
          <cell r="B862" t="str">
            <v>Зиновьева Елена Николаевна</v>
          </cell>
        </row>
        <row r="863">
          <cell r="A863" t="str">
            <v>В-15954/КЛ.Транш - 1</v>
          </cell>
          <cell r="B863" t="str">
            <v>Пушкарев Александр Борисович</v>
          </cell>
        </row>
        <row r="864">
          <cell r="A864" t="str">
            <v>В-15954/КЛ.Транш - 1_В-21082023/Ц</v>
          </cell>
          <cell r="B864" t="str">
            <v>Пушкарев Александр Борисович</v>
          </cell>
          <cell r="F864">
            <v>251268.03</v>
          </cell>
          <cell r="G864">
            <v>242498.23</v>
          </cell>
        </row>
        <row r="865">
          <cell r="A865" t="str">
            <v>В-16057/КЛ.Транш - 6</v>
          </cell>
          <cell r="B865" t="str">
            <v>Хлебников Владимир Витальевич</v>
          </cell>
        </row>
        <row r="866">
          <cell r="A866" t="str">
            <v>В-16067/КЛ.Транш - 1</v>
          </cell>
          <cell r="B866" t="str">
            <v>Дудин Василий Васильевич</v>
          </cell>
        </row>
        <row r="867">
          <cell r="A867" t="str">
            <v>В-16242/КЛ.Транш - 2</v>
          </cell>
          <cell r="B867" t="str">
            <v>Лякишев Павел Александрович</v>
          </cell>
        </row>
        <row r="868">
          <cell r="A868" t="str">
            <v>В-16242/КЛ.Транш - 2_В-21082023/Ц</v>
          </cell>
          <cell r="B868" t="str">
            <v>Лякишев Павел Александрович</v>
          </cell>
          <cell r="F868">
            <v>155708.59</v>
          </cell>
          <cell r="G868">
            <v>149401</v>
          </cell>
        </row>
        <row r="869">
          <cell r="A869" t="str">
            <v>В-16455/КЛ.Транш - 1</v>
          </cell>
          <cell r="B869" t="str">
            <v>Кондрашов Василий Игоревич</v>
          </cell>
        </row>
        <row r="870">
          <cell r="A870" t="str">
            <v>В-16455/КЛ.Транш - 1_В-21082023/Ц</v>
          </cell>
          <cell r="B870" t="str">
            <v>Кондрашов Василий Игоревич</v>
          </cell>
          <cell r="F870">
            <v>103961.54</v>
          </cell>
          <cell r="G870">
            <v>102556.65</v>
          </cell>
        </row>
        <row r="871">
          <cell r="A871" t="str">
            <v>В-16934/КЛ.Транш - 1</v>
          </cell>
          <cell r="B871" t="str">
            <v>Мотыка Андрей Павлович</v>
          </cell>
        </row>
        <row r="872">
          <cell r="A872" t="str">
            <v>В-16934/КЛ.Транш - 5</v>
          </cell>
          <cell r="B872" t="str">
            <v>Мотыка Андрей Павлович</v>
          </cell>
        </row>
        <row r="873">
          <cell r="A873" t="str">
            <v>В-17095/КЛ.Транш - 1</v>
          </cell>
          <cell r="B873" t="str">
            <v>Иванов Антон Олегович</v>
          </cell>
        </row>
        <row r="874">
          <cell r="A874" t="str">
            <v>В-17469/КЛ.Транш - 1</v>
          </cell>
          <cell r="B874" t="str">
            <v>Копытман Александр Семенович</v>
          </cell>
        </row>
        <row r="875">
          <cell r="A875" t="str">
            <v>В-17469/КЛ.Транш - 2</v>
          </cell>
          <cell r="B875" t="str">
            <v>Копытман Александр Семенович</v>
          </cell>
        </row>
        <row r="876">
          <cell r="A876" t="str">
            <v>В-17916/КЛ.Транш - 1</v>
          </cell>
          <cell r="B876" t="str">
            <v>Рамазанов Абакар Рамазанович</v>
          </cell>
        </row>
        <row r="877">
          <cell r="A877" t="str">
            <v>В-17916/КЛ.Транш - 1_В-21082023/Ц</v>
          </cell>
          <cell r="B877" t="str">
            <v>Рамазанов Абакар Рамазанович</v>
          </cell>
          <cell r="F877">
            <v>90302.85</v>
          </cell>
          <cell r="G877">
            <v>88129.79</v>
          </cell>
        </row>
        <row r="878">
          <cell r="A878" t="str">
            <v>В-18414/КЛ.Транш - 1</v>
          </cell>
          <cell r="B878" t="str">
            <v>Селеверстов Михаил Васильевич</v>
          </cell>
        </row>
        <row r="879">
          <cell r="A879" t="str">
            <v>В-18496/КЛ.Транш - 1</v>
          </cell>
          <cell r="B879" t="str">
            <v>Корнилова Наталия Владимировна</v>
          </cell>
        </row>
        <row r="880">
          <cell r="A880" t="str">
            <v>В-18536/КЛ.Транш - 1</v>
          </cell>
          <cell r="B880" t="str">
            <v>Богданова Ольга Геннадиевна</v>
          </cell>
        </row>
        <row r="881">
          <cell r="A881" t="str">
            <v>В-18536/КЛ.Транш - 1_В-21082023/Ц</v>
          </cell>
          <cell r="B881" t="str">
            <v>Богданова Ольга Геннадиевна</v>
          </cell>
          <cell r="F881">
            <v>109222.55</v>
          </cell>
          <cell r="G881">
            <v>106736.9</v>
          </cell>
        </row>
        <row r="882">
          <cell r="A882" t="str">
            <v>В-18600/КЛ.Транш - 1</v>
          </cell>
          <cell r="B882" t="str">
            <v>Ворошилин Владимир Игоревич</v>
          </cell>
        </row>
        <row r="883">
          <cell r="A883" t="str">
            <v>В-18894/КЛ.Транш - 1</v>
          </cell>
          <cell r="B883" t="str">
            <v>Григорьев Олег Вячеславович</v>
          </cell>
        </row>
        <row r="884">
          <cell r="A884" t="str">
            <v>В-18894/КЛ.Транш - 1_В-21082023/Ц</v>
          </cell>
          <cell r="B884" t="str">
            <v>Григорьев Олег Вячеславович</v>
          </cell>
          <cell r="F884">
            <v>132637.51</v>
          </cell>
          <cell r="G884">
            <v>128757.16</v>
          </cell>
        </row>
        <row r="885">
          <cell r="A885" t="str">
            <v>В-18921/КЛ.Транш - 1</v>
          </cell>
          <cell r="B885" t="str">
            <v>Колесников Евгений Михайлович</v>
          </cell>
        </row>
        <row r="886">
          <cell r="A886" t="str">
            <v>В-18958/КЛ.Транш - 1</v>
          </cell>
          <cell r="B886" t="str">
            <v>Голубь Елена Николаевна</v>
          </cell>
        </row>
        <row r="887">
          <cell r="A887" t="str">
            <v>В-19070/КЛ.Транш - 4</v>
          </cell>
          <cell r="B887" t="str">
            <v>Коростелкина Татьяна Владимировна</v>
          </cell>
        </row>
        <row r="888">
          <cell r="A888" t="str">
            <v>В-19286/КЛ.Транш - 1</v>
          </cell>
          <cell r="B888" t="str">
            <v>Насырова Шахлохон Раимжановна</v>
          </cell>
        </row>
        <row r="889">
          <cell r="A889" t="str">
            <v>В-19354/КЛ.Транш - 1</v>
          </cell>
          <cell r="B889" t="str">
            <v>Аксенчук Александр Вячеславович</v>
          </cell>
        </row>
        <row r="890">
          <cell r="A890" t="str">
            <v>В-19355/КЛ.Транш - 1</v>
          </cell>
          <cell r="B890" t="str">
            <v>Сидоров Александр Владимирович</v>
          </cell>
        </row>
        <row r="891">
          <cell r="A891" t="str">
            <v>В-19548/КЛ.Транш - 1</v>
          </cell>
          <cell r="B891" t="str">
            <v>Новоселов Сергей Владимирович</v>
          </cell>
        </row>
        <row r="892">
          <cell r="A892" t="str">
            <v>В-19548/КЛ.Транш - 1_В-21082023/Ц</v>
          </cell>
          <cell r="B892" t="str">
            <v>Новоселов Сергей Владимирович</v>
          </cell>
          <cell r="F892">
            <v>264570.33</v>
          </cell>
          <cell r="G892">
            <v>257515.12</v>
          </cell>
        </row>
        <row r="893">
          <cell r="A893" t="str">
            <v>В-19585/КЛ.Транш - 1</v>
          </cell>
          <cell r="B893" t="str">
            <v>Лотонин Александр Олегович</v>
          </cell>
        </row>
        <row r="894">
          <cell r="A894" t="str">
            <v>В-19593/КЛ.Транш - 1</v>
          </cell>
          <cell r="B894" t="str">
            <v>Клинов Сергей Евгеньевич</v>
          </cell>
        </row>
        <row r="895">
          <cell r="A895" t="str">
            <v>В-19736/КЛ.Транш - 1</v>
          </cell>
          <cell r="B895" t="str">
            <v>Бабенышева Наталия Григорьевна</v>
          </cell>
        </row>
        <row r="896">
          <cell r="A896" t="str">
            <v>В-19740/КЛ.Транш - 5</v>
          </cell>
          <cell r="B896" t="str">
            <v>Назаров Всеволод Владимирович</v>
          </cell>
        </row>
        <row r="897">
          <cell r="A897" t="str">
            <v>В-19740/КЛ.Транш - 5_В-21082023/Ц</v>
          </cell>
          <cell r="B897" t="str">
            <v>Назаров Всеволод Владимирович</v>
          </cell>
          <cell r="F897">
            <v>152492.15</v>
          </cell>
          <cell r="G897">
            <v>150635.01</v>
          </cell>
        </row>
        <row r="898">
          <cell r="A898" t="str">
            <v>В-19740/КЛ.Транш - 6</v>
          </cell>
          <cell r="B898" t="str">
            <v>Назаров Всеволод Владимирович</v>
          </cell>
        </row>
        <row r="899">
          <cell r="A899" t="str">
            <v>В-19740/КЛ.Транш - 6_В-21082023/Ц</v>
          </cell>
          <cell r="B899" t="str">
            <v>Назаров Всеволод Владимирович</v>
          </cell>
          <cell r="F899">
            <v>182247.63</v>
          </cell>
          <cell r="G899">
            <v>180761.92</v>
          </cell>
        </row>
        <row r="900">
          <cell r="A900" t="str">
            <v>В-19740/КЛ.Транш - 7</v>
          </cell>
          <cell r="B900" t="str">
            <v>Назаров Всеволод Владимирович</v>
          </cell>
        </row>
        <row r="901">
          <cell r="A901" t="str">
            <v>В-19740/КЛ.Транш - 7_В-21082023/Ц</v>
          </cell>
          <cell r="B901" t="str">
            <v>Назаров Всеволод Владимирович</v>
          </cell>
          <cell r="F901">
            <v>72304.97</v>
          </cell>
          <cell r="G901">
            <v>72304.97</v>
          </cell>
        </row>
        <row r="902">
          <cell r="A902" t="str">
            <v>В-19740/КЛ.Транш - 8</v>
          </cell>
          <cell r="B902" t="str">
            <v>Назаров Всеволод Владимирович</v>
          </cell>
        </row>
        <row r="903">
          <cell r="A903" t="str">
            <v>В-19740/КЛ.Транш - 8_В-21082023/Ц</v>
          </cell>
          <cell r="B903" t="str">
            <v>Назаров Всеволод Владимирович</v>
          </cell>
          <cell r="F903">
            <v>112524.65</v>
          </cell>
          <cell r="G903">
            <v>109523.99</v>
          </cell>
        </row>
        <row r="904">
          <cell r="A904" t="str">
            <v>В-19880/КЛ.Транш - 1</v>
          </cell>
          <cell r="B904" t="str">
            <v>Колпаков Антон Валерьевич</v>
          </cell>
        </row>
        <row r="905">
          <cell r="A905" t="str">
            <v>В-19991/КЛ.Транш - 1</v>
          </cell>
          <cell r="B905" t="str">
            <v>Коркина Елена Александровна</v>
          </cell>
        </row>
        <row r="906">
          <cell r="A906" t="str">
            <v>В-19991/КЛ.Транш - 1_В-21082023/Ц</v>
          </cell>
          <cell r="B906" t="str">
            <v>Коркина Елена Александровна</v>
          </cell>
          <cell r="F906">
            <v>26209.919999999998</v>
          </cell>
          <cell r="G906">
            <v>25797.86</v>
          </cell>
        </row>
        <row r="907">
          <cell r="A907" t="str">
            <v>В-19991/КЛ.Транш - 2</v>
          </cell>
          <cell r="B907" t="str">
            <v>Коркина Елена Александровна</v>
          </cell>
        </row>
        <row r="908">
          <cell r="A908" t="str">
            <v>В-19991/КЛ.Транш - 3</v>
          </cell>
          <cell r="B908" t="str">
            <v>Коркина Елена Александровна</v>
          </cell>
        </row>
        <row r="909">
          <cell r="A909" t="str">
            <v>В-20035/КЛ.Транш - 1</v>
          </cell>
          <cell r="B909" t="str">
            <v>Терехов Андрей Анатольевич</v>
          </cell>
        </row>
        <row r="910">
          <cell r="A910" t="str">
            <v>В-20035/КЛ.Транш - 1_В-21082023/Ц</v>
          </cell>
          <cell r="B910" t="str">
            <v>Терехов Андрей Анатольевич</v>
          </cell>
          <cell r="F910">
            <v>5165.8900000000003</v>
          </cell>
          <cell r="G910">
            <v>5053.74</v>
          </cell>
        </row>
        <row r="911">
          <cell r="A911" t="str">
            <v>В-20133/КЛ.Транш - 1</v>
          </cell>
          <cell r="B911" t="str">
            <v>Фролов Павел Андреевич</v>
          </cell>
        </row>
        <row r="912">
          <cell r="A912" t="str">
            <v>В-20133/КЛ.Транш - 1_В-21082023/Ц</v>
          </cell>
          <cell r="B912" t="str">
            <v>Фролов Павел Андреевич</v>
          </cell>
          <cell r="F912">
            <v>103418</v>
          </cell>
          <cell r="G912">
            <v>102854.41</v>
          </cell>
        </row>
        <row r="913">
          <cell r="A913" t="str">
            <v>В-20329/КЛ.Транш - 2</v>
          </cell>
          <cell r="B913" t="str">
            <v>Тимохин Иван Алексеевич</v>
          </cell>
        </row>
        <row r="914">
          <cell r="A914" t="str">
            <v>В-20384/КЛ.Транш - 1</v>
          </cell>
          <cell r="B914" t="str">
            <v>Куразян Гарий Рафаэлович</v>
          </cell>
        </row>
        <row r="915">
          <cell r="A915" t="str">
            <v>В-20544/КЛ.Транш - 1</v>
          </cell>
          <cell r="B915" t="str">
            <v>Соколова Елена Викторовна</v>
          </cell>
        </row>
        <row r="916">
          <cell r="A916" t="str">
            <v>В-20952/КЛ.Транш - 3</v>
          </cell>
          <cell r="B916" t="str">
            <v>Ширманов Никита Александрович</v>
          </cell>
        </row>
        <row r="917">
          <cell r="A917" t="str">
            <v>В-20952/КЛ.Транш - 4</v>
          </cell>
          <cell r="B917" t="str">
            <v>Ширманов Никита Александрович</v>
          </cell>
        </row>
        <row r="918">
          <cell r="A918" t="str">
            <v>В-20952/КЛ.Транш - 6</v>
          </cell>
          <cell r="B918" t="str">
            <v>Ширманов Никита Александрович</v>
          </cell>
        </row>
        <row r="919">
          <cell r="A919" t="str">
            <v>В-21245/КЛ.Транш - 2</v>
          </cell>
          <cell r="B919" t="str">
            <v>Рузавина Наталья Викторовна</v>
          </cell>
        </row>
        <row r="920">
          <cell r="A920" t="str">
            <v>В-21245/КЛ.Транш - 3</v>
          </cell>
          <cell r="B920" t="str">
            <v>Рузавина Наталья Викторовна</v>
          </cell>
        </row>
        <row r="921">
          <cell r="A921" t="str">
            <v>В-21253/КЛ.Транш - 1</v>
          </cell>
          <cell r="B921" t="str">
            <v>Ахметова Елена Леонидовна</v>
          </cell>
        </row>
        <row r="922">
          <cell r="A922" t="str">
            <v>В-21253/КЛ.Транш - 1_В-21082023/Ц</v>
          </cell>
          <cell r="B922" t="str">
            <v>Ахметова Елена Леонидовна</v>
          </cell>
          <cell r="F922">
            <v>55459.68</v>
          </cell>
          <cell r="G922">
            <v>54636.39</v>
          </cell>
        </row>
        <row r="923">
          <cell r="A923" t="str">
            <v>В-21306/КЛ.Транш - 1</v>
          </cell>
          <cell r="B923" t="str">
            <v>Попов Виктор Вячеславович</v>
          </cell>
        </row>
        <row r="924">
          <cell r="A924" t="str">
            <v>В-21306/КЛ.Транш - 1_В-21082023/Ц</v>
          </cell>
          <cell r="B924" t="str">
            <v>Попов Виктор Вячеславович</v>
          </cell>
          <cell r="D924">
            <v>45488</v>
          </cell>
          <cell r="E924">
            <v>9647.94</v>
          </cell>
          <cell r="F924">
            <v>104875.5</v>
          </cell>
          <cell r="G924">
            <v>100735.67999999999</v>
          </cell>
          <cell r="H924">
            <v>5508.12</v>
          </cell>
          <cell r="I924">
            <v>4139.82</v>
          </cell>
        </row>
        <row r="925">
          <cell r="A925" t="str">
            <v>В-21321/КЛ.Транш - 1</v>
          </cell>
          <cell r="B925" t="str">
            <v>Надеев Алексей Александрович</v>
          </cell>
        </row>
        <row r="926">
          <cell r="A926" t="str">
            <v>В-21568/КЛ.Транш - 1</v>
          </cell>
          <cell r="B926" t="str">
            <v>Говоруха Андрей Михайлович</v>
          </cell>
        </row>
        <row r="927">
          <cell r="A927" t="str">
            <v>В-21568/КЛ.Транш - 1_В-21082023/Ц</v>
          </cell>
          <cell r="B927" t="str">
            <v>Говоруха Андрей Михайлович</v>
          </cell>
          <cell r="F927">
            <v>41312.269999999997</v>
          </cell>
          <cell r="G927">
            <v>39140.76</v>
          </cell>
        </row>
        <row r="928">
          <cell r="A928" t="str">
            <v>В-21872/КЛ.Транш - 1</v>
          </cell>
          <cell r="B928" t="str">
            <v>Савчук Елена Александровна</v>
          </cell>
        </row>
        <row r="929">
          <cell r="A929" t="str">
            <v>В-21911/КЛ.Транш - 1</v>
          </cell>
          <cell r="B929" t="str">
            <v>Рябов Игорь Владимирович</v>
          </cell>
        </row>
        <row r="930">
          <cell r="A930" t="str">
            <v>В-21911/КЛ.Транш - 1_В-21082023/Ц</v>
          </cell>
          <cell r="B930" t="str">
            <v>Рябов Игорь Владимирович</v>
          </cell>
          <cell r="F930">
            <v>321466.62</v>
          </cell>
          <cell r="G930">
            <v>313730.78999999998</v>
          </cell>
        </row>
        <row r="931">
          <cell r="A931" t="str">
            <v>В-21960/КЛ.Транш - 1</v>
          </cell>
          <cell r="B931" t="str">
            <v>Кравченко Владимир Николаевич</v>
          </cell>
        </row>
        <row r="932">
          <cell r="A932" t="str">
            <v>В-21960/КЛ.Транш - 2</v>
          </cell>
          <cell r="B932" t="str">
            <v>Кравченко Владимир Николаевич</v>
          </cell>
        </row>
        <row r="933">
          <cell r="A933" t="str">
            <v>В-22052/КЛ.Транш - 1</v>
          </cell>
          <cell r="B933" t="str">
            <v>Мокрицкий Константин Александрович</v>
          </cell>
        </row>
        <row r="934">
          <cell r="A934" t="str">
            <v>В-22052/КЛ.Транш - 2</v>
          </cell>
          <cell r="B934" t="str">
            <v>Мокрицкий Константин Александрович</v>
          </cell>
        </row>
        <row r="935">
          <cell r="A935" t="str">
            <v>В-22205/КЛ.Транш - 1</v>
          </cell>
          <cell r="B935" t="str">
            <v>Тарасов Олег Васильевич</v>
          </cell>
        </row>
        <row r="936">
          <cell r="A936" t="str">
            <v>В-22205/КЛ.Транш - 1_В-21082023/Ц</v>
          </cell>
          <cell r="B936" t="str">
            <v>Тарасов Олег Васильевич</v>
          </cell>
          <cell r="F936">
            <v>205588.49</v>
          </cell>
          <cell r="G936">
            <v>201991.38</v>
          </cell>
        </row>
        <row r="937">
          <cell r="A937" t="str">
            <v>В-22205/КЛ.Транш - 2</v>
          </cell>
          <cell r="B937" t="str">
            <v>Тарасов Олег Васильевич</v>
          </cell>
        </row>
        <row r="938">
          <cell r="A938" t="str">
            <v>В-22246/КЛ.Транш - 3</v>
          </cell>
          <cell r="B938" t="str">
            <v>Сбоев Виктор Юрьевич</v>
          </cell>
        </row>
        <row r="939">
          <cell r="A939" t="str">
            <v>В-22309/АЗ</v>
          </cell>
          <cell r="B939" t="str">
            <v>Мисюк Георгий Анатольевич</v>
          </cell>
        </row>
        <row r="940">
          <cell r="A940" t="str">
            <v>В-22409/КЛ.Транш - 1</v>
          </cell>
          <cell r="B940" t="str">
            <v>Дзюба Евгений Григорьевич</v>
          </cell>
        </row>
        <row r="941">
          <cell r="A941" t="str">
            <v>В-22449/КЛ.Транш - 1</v>
          </cell>
          <cell r="B941" t="str">
            <v>Подчуфарова Лариса Николаевна</v>
          </cell>
        </row>
        <row r="942">
          <cell r="A942" t="str">
            <v>В-22449/КЛ.Транш - 1_В-21082023/Ц</v>
          </cell>
          <cell r="B942" t="str">
            <v>Подчуфарова Лариса Николаевна</v>
          </cell>
          <cell r="F942">
            <v>152492.97</v>
          </cell>
          <cell r="G942">
            <v>146670.35999999999</v>
          </cell>
        </row>
        <row r="943">
          <cell r="A943" t="str">
            <v>В-22677/КЛ.Транш - 1</v>
          </cell>
          <cell r="B943" t="str">
            <v>Белякова Марина Сергеевна</v>
          </cell>
        </row>
        <row r="944">
          <cell r="A944" t="str">
            <v>В-22683/КЛ.Транш - 1</v>
          </cell>
          <cell r="B944" t="str">
            <v>Кузнецова Александра Николаевна</v>
          </cell>
        </row>
        <row r="945">
          <cell r="A945" t="str">
            <v>В-22744/КЛ.Транш - 1</v>
          </cell>
          <cell r="B945" t="str">
            <v>Зайцева Светлана Юрьевна</v>
          </cell>
        </row>
        <row r="946">
          <cell r="A946" t="str">
            <v>В-22744/КЛ.Транш - 1_В-21082023/Ц</v>
          </cell>
          <cell r="B946" t="str">
            <v>Зайцева Светлана Юрьевна</v>
          </cell>
          <cell r="F946">
            <v>6131.39</v>
          </cell>
          <cell r="G946">
            <v>5864.05</v>
          </cell>
        </row>
        <row r="947">
          <cell r="A947" t="str">
            <v>В-22864/КЛ.Транш - 1</v>
          </cell>
          <cell r="B947" t="str">
            <v>Пушкарева Виолетта Алексеевна</v>
          </cell>
        </row>
        <row r="948">
          <cell r="A948" t="str">
            <v>В-22935/КЛ.Транш - 1</v>
          </cell>
          <cell r="B948" t="str">
            <v>Король Маргарита Игоревна</v>
          </cell>
        </row>
        <row r="949">
          <cell r="A949" t="str">
            <v>В-22935/КЛ.Транш - 1_В-21082023/Ц</v>
          </cell>
          <cell r="B949" t="str">
            <v>Король Маргарита Игоревна</v>
          </cell>
          <cell r="F949">
            <v>138381.51999999999</v>
          </cell>
          <cell r="G949">
            <v>133467.01</v>
          </cell>
        </row>
        <row r="950">
          <cell r="A950" t="str">
            <v>В-22935/КЛ.Транш - 2</v>
          </cell>
          <cell r="B950" t="str">
            <v>Король Маргарита Игоревна</v>
          </cell>
        </row>
        <row r="951">
          <cell r="A951" t="str">
            <v>В-22935/КЛ.Транш - 2_В-21082023/Ц</v>
          </cell>
          <cell r="B951" t="str">
            <v>Король Маргарита Игоревна</v>
          </cell>
          <cell r="F951">
            <v>58679.26</v>
          </cell>
          <cell r="G951">
            <v>58200.9</v>
          </cell>
        </row>
        <row r="952">
          <cell r="A952" t="str">
            <v>В-22979/КЛ.Транш - 1</v>
          </cell>
          <cell r="B952" t="str">
            <v>Цирамуа Наталия Наполеоновна</v>
          </cell>
        </row>
        <row r="953">
          <cell r="A953" t="str">
            <v>В-23229/АЗ</v>
          </cell>
          <cell r="B953" t="str">
            <v>Горбачев Иван Эдуардович</v>
          </cell>
        </row>
        <row r="954">
          <cell r="A954" t="str">
            <v>В-23229/АЗ_В-21082023/Ц</v>
          </cell>
          <cell r="B954" t="str">
            <v>Горбачев Иван Эдуардович</v>
          </cell>
          <cell r="F954">
            <v>133276.37</v>
          </cell>
          <cell r="G954">
            <v>130533.38</v>
          </cell>
        </row>
        <row r="955">
          <cell r="A955" t="str">
            <v>В-23362/КЛ.Транш - 1</v>
          </cell>
          <cell r="B955" t="str">
            <v>Виноградов Алексей Валерьевич</v>
          </cell>
        </row>
        <row r="956">
          <cell r="A956" t="str">
            <v>В-23362/КЛ.Транш - 2</v>
          </cell>
          <cell r="B956" t="str">
            <v>Виноградов Алексей Валерьевич</v>
          </cell>
        </row>
        <row r="957">
          <cell r="A957" t="str">
            <v>В-23370/КЛ.Транш - 1</v>
          </cell>
          <cell r="B957" t="str">
            <v>Алешкевич Алексей Викторович</v>
          </cell>
        </row>
        <row r="958">
          <cell r="A958" t="str">
            <v>В-23370/КЛ.Транш - 2</v>
          </cell>
          <cell r="B958" t="str">
            <v>Алешкевич Алексей Викторович</v>
          </cell>
        </row>
        <row r="959">
          <cell r="A959" t="str">
            <v>В-23370/КЛ.Транш - 2_В-21082023/Ц</v>
          </cell>
          <cell r="B959" t="str">
            <v>Алешкевич Алексей Викторович</v>
          </cell>
          <cell r="F959">
            <v>80107.210000000006</v>
          </cell>
          <cell r="G959">
            <v>77393.149999999994</v>
          </cell>
        </row>
        <row r="960">
          <cell r="A960" t="str">
            <v>В-23383/КЛ.Транш - 1</v>
          </cell>
          <cell r="B960" t="str">
            <v>Водолазкин Александр Юрьевич</v>
          </cell>
        </row>
        <row r="961">
          <cell r="A961" t="str">
            <v>В-23509/КЛ.Транш - 1</v>
          </cell>
          <cell r="B961" t="str">
            <v>Бекетов Алексей Алексеевич</v>
          </cell>
        </row>
        <row r="962">
          <cell r="A962" t="str">
            <v>В-23509/КЛ.Транш - 2</v>
          </cell>
          <cell r="B962" t="str">
            <v>Бекетов Алексей Алексеевич</v>
          </cell>
        </row>
        <row r="963">
          <cell r="A963" t="str">
            <v>В-23555/КЛ.Транш - 1</v>
          </cell>
          <cell r="B963" t="str">
            <v>Зотов Дмитрий Анатольевич</v>
          </cell>
        </row>
        <row r="964">
          <cell r="A964" t="str">
            <v>В-23555/КЛ.Транш - 2</v>
          </cell>
          <cell r="B964" t="str">
            <v>Зотов Дмитрий Анатольевич</v>
          </cell>
        </row>
        <row r="965">
          <cell r="A965" t="str">
            <v>В-23901/КЛ.Транш - 1</v>
          </cell>
          <cell r="B965" t="str">
            <v>Султанова Анна Валерьевна</v>
          </cell>
        </row>
        <row r="966">
          <cell r="A966" t="str">
            <v>В-23901/КЛ.Транш - 1_В-21082023/Ц</v>
          </cell>
          <cell r="B966" t="str">
            <v>Султанова Анна Валерьевна</v>
          </cell>
          <cell r="F966">
            <v>291998.71000000002</v>
          </cell>
          <cell r="G966">
            <v>280206.99</v>
          </cell>
        </row>
        <row r="967">
          <cell r="A967" t="str">
            <v>В-23919/КЛ.Транш - 1</v>
          </cell>
          <cell r="B967" t="str">
            <v>Локшина Ольга Владимировна</v>
          </cell>
        </row>
        <row r="968">
          <cell r="A968" t="str">
            <v>В-23923/КЛ.Транш - 1</v>
          </cell>
          <cell r="B968" t="str">
            <v>Самошин Дмитрий Сергеевич</v>
          </cell>
        </row>
        <row r="969">
          <cell r="A969" t="str">
            <v>В-23979/КЛ.Транш - 1</v>
          </cell>
          <cell r="B969" t="str">
            <v>Сывороткин Сергей Валентинович</v>
          </cell>
        </row>
        <row r="970">
          <cell r="A970" t="str">
            <v>В-24071/КЛ.Транш - 1</v>
          </cell>
          <cell r="B970" t="str">
            <v>Воробьев Андрей Владимирович</v>
          </cell>
        </row>
        <row r="971">
          <cell r="A971" t="str">
            <v>В-24151/КЛ.Транш - 1</v>
          </cell>
          <cell r="B971" t="str">
            <v>Юн Вадим Вячеславович</v>
          </cell>
        </row>
        <row r="972">
          <cell r="A972" t="str">
            <v>В-24350/КЛ_В-20211230/Ц</v>
          </cell>
          <cell r="B972" t="str">
            <v>Мусаев Заурбек Хадживелиевич</v>
          </cell>
          <cell r="F972">
            <v>-726750</v>
          </cell>
          <cell r="G972">
            <v>-726750</v>
          </cell>
        </row>
        <row r="973">
          <cell r="A973" t="str">
            <v>В-24374/КЛ.Транш - 1</v>
          </cell>
          <cell r="B973" t="str">
            <v>Амбросиенко Павел Сергеевич</v>
          </cell>
        </row>
        <row r="974">
          <cell r="A974" t="str">
            <v>В-24554/КЛ.Транш - 1</v>
          </cell>
          <cell r="B974" t="str">
            <v>Росляков Олег Николаевич</v>
          </cell>
        </row>
        <row r="975">
          <cell r="A975" t="str">
            <v>В-24580/КЛ.Транш - 1</v>
          </cell>
          <cell r="B975" t="str">
            <v>Смирнов Игорь Александрович</v>
          </cell>
        </row>
        <row r="976">
          <cell r="A976" t="str">
            <v>В-24610/КЛ.Транш - 1</v>
          </cell>
          <cell r="B976" t="str">
            <v>Ибрагимов Асхаб Ибрагимович</v>
          </cell>
        </row>
        <row r="977">
          <cell r="A977" t="str">
            <v>В-24618/АЗ</v>
          </cell>
          <cell r="B977" t="str">
            <v>Кандаков Хайдарали Махмадрузиевич</v>
          </cell>
        </row>
        <row r="978">
          <cell r="A978" t="str">
            <v>В-24687/КЛ.Транш - 1</v>
          </cell>
          <cell r="B978" t="str">
            <v>Паронян Егор Каренович</v>
          </cell>
        </row>
        <row r="979">
          <cell r="A979" t="str">
            <v>В-24956/КЛ.Транш - 1</v>
          </cell>
          <cell r="B979" t="str">
            <v>Васильева Ирина Александровна</v>
          </cell>
        </row>
        <row r="980">
          <cell r="A980" t="str">
            <v>В-25093/КЛ.Транш - 1</v>
          </cell>
          <cell r="B980" t="str">
            <v>Никульченков Сергей Анатольевич</v>
          </cell>
        </row>
        <row r="981">
          <cell r="A981" t="str">
            <v>В-25093/КЛ.Транш - 1_В-21082023/Ц</v>
          </cell>
          <cell r="B981" t="str">
            <v>Никульченков Сергей Анатольевич</v>
          </cell>
          <cell r="F981">
            <v>236180.88</v>
          </cell>
          <cell r="G981">
            <v>117198.48</v>
          </cell>
        </row>
        <row r="982">
          <cell r="A982" t="str">
            <v>В-25131/КЛ_В-20211230/Ц</v>
          </cell>
          <cell r="B982" t="str">
            <v>Айрапетян Нарек Гайкович</v>
          </cell>
          <cell r="F982">
            <v>-355725</v>
          </cell>
          <cell r="G982">
            <v>-159260.13</v>
          </cell>
        </row>
        <row r="983">
          <cell r="A983" t="str">
            <v>В-25132/КЛ.Транш - 1</v>
          </cell>
          <cell r="B983" t="str">
            <v>Абдурашитов Озодбек Мавланжанович</v>
          </cell>
        </row>
        <row r="984">
          <cell r="A984" t="str">
            <v>В-25132/КЛ.Транш - 2</v>
          </cell>
          <cell r="B984" t="str">
            <v>Абдурашитов Озодбек Мавланжанович</v>
          </cell>
        </row>
        <row r="985">
          <cell r="A985" t="str">
            <v>В-25306/КЛ.Транш - 1</v>
          </cell>
          <cell r="B985" t="str">
            <v>Сидоренко Надежда Алексеевна</v>
          </cell>
        </row>
        <row r="986">
          <cell r="A986" t="str">
            <v>В-25407/КЛ.Транш - 1</v>
          </cell>
          <cell r="B986" t="str">
            <v>Загребельный Юрий Николаевич</v>
          </cell>
        </row>
        <row r="987">
          <cell r="A987" t="str">
            <v>В-25425/КЛ.Транш - 1</v>
          </cell>
          <cell r="B987" t="str">
            <v>Саркисов Никита Витальевич</v>
          </cell>
        </row>
        <row r="988">
          <cell r="A988" t="str">
            <v>В-25494/АЗ</v>
          </cell>
          <cell r="B988" t="str">
            <v>Кандаков Хайдарали Махмадрузиевич</v>
          </cell>
        </row>
        <row r="989">
          <cell r="A989" t="str">
            <v>В-25509/КЛ.Транш - 1</v>
          </cell>
          <cell r="B989" t="str">
            <v>Елисеев Вячеслав Викторович</v>
          </cell>
        </row>
        <row r="990">
          <cell r="A990" t="str">
            <v>В-25530/КЛ.Транш - 1</v>
          </cell>
          <cell r="B990" t="str">
            <v>Гридяева Лариса Павловна</v>
          </cell>
        </row>
        <row r="991">
          <cell r="A991" t="str">
            <v>В-25548/КЛ.Транш - 1</v>
          </cell>
          <cell r="B991" t="str">
            <v>Блинов Сергей Владимирович</v>
          </cell>
        </row>
        <row r="992">
          <cell r="A992" t="str">
            <v>В-25548/КЛ.Транш - 1_В-21082023/Ц</v>
          </cell>
          <cell r="B992" t="str">
            <v>Блинов Сергей Владимирович</v>
          </cell>
          <cell r="F992">
            <v>155685.97</v>
          </cell>
          <cell r="G992">
            <v>153003.17000000001</v>
          </cell>
        </row>
        <row r="993">
          <cell r="A993" t="str">
            <v>В-25573/КЛ.Транш - 1</v>
          </cell>
          <cell r="B993" t="str">
            <v>Кудряшов Савва Романович</v>
          </cell>
        </row>
        <row r="994">
          <cell r="A994" t="str">
            <v>В-25573/КЛ.Транш - 2</v>
          </cell>
          <cell r="B994" t="str">
            <v>Кудряшов Савва Романович</v>
          </cell>
        </row>
        <row r="995">
          <cell r="A995" t="str">
            <v>В-25627/КЛ.Транш - 1</v>
          </cell>
          <cell r="B995" t="str">
            <v>Мусаев Натиг Байрам Оглы</v>
          </cell>
        </row>
        <row r="996">
          <cell r="A996" t="str">
            <v>В-25627/КЛ.Транш - 1_В-21082023/Ц</v>
          </cell>
          <cell r="B996" t="str">
            <v>Мусаев Натиг Байрам Оглы</v>
          </cell>
          <cell r="F996">
            <v>583071.87</v>
          </cell>
          <cell r="G996">
            <v>575970.86</v>
          </cell>
        </row>
        <row r="997">
          <cell r="A997" t="str">
            <v>В-25671/АЗ</v>
          </cell>
          <cell r="B997" t="str">
            <v>Нагаева Елена Александровна</v>
          </cell>
        </row>
        <row r="998">
          <cell r="A998" t="str">
            <v>В-25764/КЛ.Транш - 1</v>
          </cell>
          <cell r="B998" t="str">
            <v>Соколова Екатерина Николаевна</v>
          </cell>
        </row>
        <row r="999">
          <cell r="A999" t="str">
            <v>В-25807/АЗ</v>
          </cell>
          <cell r="B999" t="str">
            <v>Платонов Николай Владимирович</v>
          </cell>
        </row>
        <row r="1000">
          <cell r="A1000" t="str">
            <v>В-25810/АЗ</v>
          </cell>
          <cell r="B1000" t="str">
            <v>Попов Михаил Александрович</v>
          </cell>
        </row>
        <row r="1001">
          <cell r="A1001" t="str">
            <v>В-25824/КЛ.Транш - 1</v>
          </cell>
          <cell r="B1001" t="str">
            <v>Яковлев Борис Викторович</v>
          </cell>
        </row>
        <row r="1002">
          <cell r="A1002" t="str">
            <v>В-25852/КЛ.Транш - 1</v>
          </cell>
          <cell r="B1002" t="str">
            <v>Пешков Владимир Сергеевич</v>
          </cell>
        </row>
        <row r="1003">
          <cell r="A1003" t="str">
            <v>В-25922/КЛ.Транш - 1</v>
          </cell>
          <cell r="B1003" t="str">
            <v>Белоусов Валерий Владиславович</v>
          </cell>
        </row>
        <row r="1004">
          <cell r="A1004" t="str">
            <v>В-25922/КЛ.Транш - 2</v>
          </cell>
          <cell r="B1004" t="str">
            <v>Белоусов Валерий Владиславович</v>
          </cell>
        </row>
        <row r="1005">
          <cell r="A1005" t="str">
            <v>В-25922/КЛ.Транш - 2_В-21082023/Ц</v>
          </cell>
          <cell r="B1005" t="str">
            <v>Белоусов Валерий Владиславович</v>
          </cell>
          <cell r="F1005">
            <v>127655.76</v>
          </cell>
          <cell r="G1005">
            <v>125672.54</v>
          </cell>
        </row>
        <row r="1006">
          <cell r="A1006" t="str">
            <v>В-25981/АЗ</v>
          </cell>
          <cell r="B1006" t="str">
            <v>Горбачев Денис Леонидович</v>
          </cell>
        </row>
        <row r="1007">
          <cell r="A1007" t="str">
            <v>В-26069/АЗ</v>
          </cell>
          <cell r="B1007" t="str">
            <v>Веселовская Галина Васильевна</v>
          </cell>
        </row>
        <row r="1008">
          <cell r="A1008" t="str">
            <v>В-26114/КЛ.Транш - 1</v>
          </cell>
          <cell r="B1008" t="str">
            <v>Рахимов Фарход Каримович</v>
          </cell>
        </row>
        <row r="1009">
          <cell r="A1009" t="str">
            <v>В-26125/АЗ</v>
          </cell>
          <cell r="B1009" t="str">
            <v>Осмаев Абдул-Латиф Исламович</v>
          </cell>
        </row>
        <row r="1010">
          <cell r="A1010" t="str">
            <v>В-26172/АЗ</v>
          </cell>
          <cell r="B1010" t="str">
            <v>Осмаев Джабраил Исламович</v>
          </cell>
        </row>
        <row r="1011">
          <cell r="A1011" t="str">
            <v>В-26197/КЛ.Транш - 1</v>
          </cell>
          <cell r="B1011" t="str">
            <v>Бакиров Теймур Бахрам оглы</v>
          </cell>
        </row>
        <row r="1012">
          <cell r="A1012" t="str">
            <v>В-26197/КЛ.Транш - 2</v>
          </cell>
          <cell r="B1012" t="str">
            <v>Бакиров Теймур Бахрам оглы</v>
          </cell>
        </row>
        <row r="1013">
          <cell r="A1013" t="str">
            <v>В-26409/КЛ.Транш - 1</v>
          </cell>
          <cell r="B1013" t="str">
            <v>Кожухова Наталья Евгеньевна</v>
          </cell>
        </row>
        <row r="1014">
          <cell r="A1014" t="str">
            <v>В-26422/КЛ.Транш - 1</v>
          </cell>
          <cell r="B1014" t="str">
            <v>Ахмедов Магомедрасул Камаладинович</v>
          </cell>
        </row>
        <row r="1015">
          <cell r="A1015" t="str">
            <v>В-26432/АЗ</v>
          </cell>
          <cell r="B1015" t="str">
            <v>Тарасов Дмитрий Алексеевич</v>
          </cell>
        </row>
        <row r="1016">
          <cell r="A1016" t="str">
            <v>В-26432/АЗ_В-21082023/Ц</v>
          </cell>
          <cell r="B1016" t="str">
            <v>Тарасов Дмитрий Алексеевич</v>
          </cell>
          <cell r="F1016">
            <v>37331.519999999997</v>
          </cell>
          <cell r="G1016">
            <v>36433.17</v>
          </cell>
        </row>
        <row r="1017">
          <cell r="A1017" t="str">
            <v>В-26517/КЛ.Транш - 1</v>
          </cell>
          <cell r="B1017" t="str">
            <v>Загорулько Алексей Сергеевич</v>
          </cell>
        </row>
        <row r="1018">
          <cell r="A1018" t="str">
            <v>В-26664/КЛ.Транш - 1</v>
          </cell>
          <cell r="B1018" t="str">
            <v>Лемкин Николай Иванович</v>
          </cell>
        </row>
        <row r="1019">
          <cell r="A1019" t="str">
            <v>В-26733/КЛ.Транш - 1</v>
          </cell>
          <cell r="B1019" t="str">
            <v>Бурма Мария Георгиевна</v>
          </cell>
        </row>
        <row r="1020">
          <cell r="A1020" t="str">
            <v>В-26733/КЛ.Транш - 1_В-21082023/Ц</v>
          </cell>
          <cell r="B1020" t="str">
            <v>Бурма Мария Георгиевна</v>
          </cell>
          <cell r="F1020">
            <v>185575.79</v>
          </cell>
          <cell r="G1020">
            <v>181595.61</v>
          </cell>
        </row>
        <row r="1021">
          <cell r="A1021" t="str">
            <v>В-26743/КЛ.Транш - 1</v>
          </cell>
          <cell r="B1021" t="str">
            <v>Ерофеева Марина Игоревна</v>
          </cell>
        </row>
        <row r="1022">
          <cell r="A1022" t="str">
            <v>В-26827/КЛ.Транш - 1</v>
          </cell>
          <cell r="B1022" t="str">
            <v>Сапожников Станислав Михайлович</v>
          </cell>
        </row>
        <row r="1023">
          <cell r="A1023" t="str">
            <v>В-26928/КЛ.Транш - 1</v>
          </cell>
          <cell r="B1023" t="str">
            <v>Труханкин Анатолий Васильевич</v>
          </cell>
        </row>
        <row r="1024">
          <cell r="A1024" t="str">
            <v>В-26950/КЛ.Транш - 1</v>
          </cell>
          <cell r="B1024" t="str">
            <v>Макаренко Екатерина Васильевна</v>
          </cell>
        </row>
        <row r="1025">
          <cell r="A1025" t="str">
            <v>В-27038/АЗ</v>
          </cell>
          <cell r="B1025" t="str">
            <v>Кандаков Хайдарали Махмадрузиевич</v>
          </cell>
        </row>
        <row r="1026">
          <cell r="A1026" t="str">
            <v>В-27065/АЗ</v>
          </cell>
          <cell r="B1026" t="str">
            <v>Мордвинцева Елена Александровна</v>
          </cell>
        </row>
        <row r="1027">
          <cell r="A1027" t="str">
            <v>В-27250/КЛ.Транш - 1</v>
          </cell>
          <cell r="B1027" t="str">
            <v>Сайфуллин Рауль Чулпанович</v>
          </cell>
        </row>
        <row r="1028">
          <cell r="A1028" t="str">
            <v>В-27250/КЛ.Транш - 2</v>
          </cell>
          <cell r="B1028" t="str">
            <v>Сайфуллин Рауль Чулпанович</v>
          </cell>
        </row>
        <row r="1029">
          <cell r="A1029" t="str">
            <v>В-27260/АЗ</v>
          </cell>
          <cell r="B1029" t="str">
            <v>Белик Галина Александровна</v>
          </cell>
        </row>
        <row r="1030">
          <cell r="A1030" t="str">
            <v>В-27315/КЛ.Транш - 1</v>
          </cell>
          <cell r="B1030" t="str">
            <v>Годуйко Николай Николаевич</v>
          </cell>
        </row>
        <row r="1031">
          <cell r="A1031" t="str">
            <v>В-27646/КЛ.Транш - 1</v>
          </cell>
          <cell r="B1031" t="str">
            <v>Конуркин Сергей Сергеевич</v>
          </cell>
        </row>
        <row r="1032">
          <cell r="A1032" t="str">
            <v>В-27646/КЛ.Транш - 1_В-21082023/Ц</v>
          </cell>
          <cell r="B1032" t="str">
            <v>Конуркин Сергей Сергеевич</v>
          </cell>
          <cell r="F1032">
            <v>305596.44</v>
          </cell>
          <cell r="G1032">
            <v>295539.98</v>
          </cell>
        </row>
        <row r="1033">
          <cell r="A1033" t="str">
            <v>В-27661/КЛ.Транш - 2</v>
          </cell>
          <cell r="B1033" t="str">
            <v>Романова Анна Григорьевна</v>
          </cell>
        </row>
        <row r="1034">
          <cell r="A1034" t="str">
            <v>В-27788/КЛ.Транш - 1</v>
          </cell>
          <cell r="B1034" t="str">
            <v>Смолин Виктор Иванович</v>
          </cell>
        </row>
        <row r="1035">
          <cell r="A1035" t="str">
            <v>В-27914/КЛ.Транш - 1</v>
          </cell>
          <cell r="B1035" t="str">
            <v>Чепрасова Галина Александровна</v>
          </cell>
        </row>
        <row r="1036">
          <cell r="A1036" t="str">
            <v>В-27929/КЛ.Транш - 1</v>
          </cell>
          <cell r="B1036" t="str">
            <v>Шаламова Татьяна Андреевна</v>
          </cell>
        </row>
        <row r="1037">
          <cell r="A1037" t="str">
            <v>В-27929/КЛ.Транш - 1_В-21082023/Ц</v>
          </cell>
          <cell r="B1037" t="str">
            <v>Шаламова Татьяна Андреевна</v>
          </cell>
          <cell r="F1037">
            <v>116981.75999999999</v>
          </cell>
          <cell r="G1037">
            <v>114768.15</v>
          </cell>
        </row>
        <row r="1038">
          <cell r="A1038" t="str">
            <v>В-28062/КЛ.Транш - 1</v>
          </cell>
          <cell r="B1038" t="str">
            <v>Бондаренко Светлана Евгеньевна</v>
          </cell>
        </row>
        <row r="1039">
          <cell r="A1039" t="str">
            <v>В-28235/АЗ</v>
          </cell>
          <cell r="B1039" t="str">
            <v>Юсупов Альберт Гиннатуллаевич</v>
          </cell>
        </row>
        <row r="1040">
          <cell r="A1040" t="str">
            <v>В-28358/КЛ.Транш - 1</v>
          </cell>
          <cell r="B1040" t="str">
            <v>Егиазарян Геворг Рубикович</v>
          </cell>
        </row>
        <row r="1041">
          <cell r="A1041" t="str">
            <v>В-28376/КЛ.Транш - 1</v>
          </cell>
          <cell r="B1041" t="str">
            <v>Симонова Дарья Павловна</v>
          </cell>
        </row>
        <row r="1042">
          <cell r="A1042" t="str">
            <v>В-28436/АЗ</v>
          </cell>
          <cell r="B1042" t="str">
            <v>Левченков Георгий Михайлович</v>
          </cell>
        </row>
        <row r="1043">
          <cell r="A1043" t="str">
            <v>В-28538/КЛ.Транш - 1</v>
          </cell>
          <cell r="B1043" t="str">
            <v>Ирицян Армен Дживанович</v>
          </cell>
        </row>
        <row r="1044">
          <cell r="A1044" t="str">
            <v>В-28539/КЛ.Транш - 1</v>
          </cell>
          <cell r="B1044" t="str">
            <v>Ульбашева Елена Владимировна</v>
          </cell>
        </row>
        <row r="1045">
          <cell r="A1045" t="str">
            <v>В-28539/КЛ.Транш - 1_В-21082023/Ц</v>
          </cell>
          <cell r="B1045" t="str">
            <v>Ульбашева Елена Владимировна</v>
          </cell>
          <cell r="F1045">
            <v>174011.94</v>
          </cell>
          <cell r="G1045">
            <v>168205.4</v>
          </cell>
        </row>
        <row r="1046">
          <cell r="A1046" t="str">
            <v>В-28549/АЗ</v>
          </cell>
          <cell r="B1046" t="str">
            <v>Егупов Дмитрий Сергеевич</v>
          </cell>
        </row>
        <row r="1047">
          <cell r="A1047" t="str">
            <v>В-28587/КЛ.Транш - 1</v>
          </cell>
          <cell r="B1047" t="str">
            <v>Видяков Денис Сергеевич</v>
          </cell>
        </row>
        <row r="1048">
          <cell r="A1048" t="str">
            <v>В-28598/КЛ.Транш - 1</v>
          </cell>
          <cell r="B1048" t="str">
            <v>Кожинов Дмитрий Сергеевич</v>
          </cell>
        </row>
        <row r="1049">
          <cell r="A1049" t="str">
            <v>В-28598/КЛ.Транш - 1_В-21082023/Ц</v>
          </cell>
          <cell r="B1049" t="str">
            <v>Кожинов Дмитрий Сергеевич</v>
          </cell>
          <cell r="F1049">
            <v>631534.35</v>
          </cell>
          <cell r="G1049">
            <v>601100.55000000005</v>
          </cell>
        </row>
        <row r="1050">
          <cell r="A1050" t="str">
            <v>В-28906/КЛ.Транш - 1</v>
          </cell>
          <cell r="B1050" t="str">
            <v>Соколов Константин Иванович</v>
          </cell>
        </row>
        <row r="1051">
          <cell r="A1051" t="str">
            <v>В-28906/КЛ.Транш - 1_В-21082023/Ц</v>
          </cell>
          <cell r="B1051" t="str">
            <v>Соколов Константин Иванович</v>
          </cell>
          <cell r="F1051">
            <v>94631.52</v>
          </cell>
          <cell r="G1051">
            <v>91692.34</v>
          </cell>
        </row>
        <row r="1052">
          <cell r="A1052" t="str">
            <v>В-28961/КЛ.Транш - 1</v>
          </cell>
          <cell r="B1052" t="str">
            <v>Гагарин Юрий Александрович</v>
          </cell>
        </row>
        <row r="1053">
          <cell r="A1053" t="str">
            <v>В-28968/АЗ</v>
          </cell>
          <cell r="B1053" t="str">
            <v>Егупов Дмитрий Сергеевич</v>
          </cell>
        </row>
        <row r="1054">
          <cell r="A1054" t="str">
            <v>Итого</v>
          </cell>
          <cell r="C1054" t="str">
            <v>815 010</v>
          </cell>
          <cell r="E1054">
            <v>409108078.56999999</v>
          </cell>
          <cell r="F1054">
            <v>428346980.13</v>
          </cell>
          <cell r="G1054">
            <v>157601033.19999999</v>
          </cell>
          <cell r="H1054">
            <v>139011120.28999999</v>
          </cell>
          <cell r="I1054">
            <v>93366993.939999998</v>
          </cell>
        </row>
      </sheetData>
      <sheetData sheetId="3"/>
      <sheetData sheetId="4">
        <row r="1">
          <cell r="H1" t="str">
            <v>ОжСуПл</v>
          </cell>
          <cell r="I1">
            <v>0</v>
          </cell>
        </row>
        <row r="2">
          <cell r="H2" t="str">
            <v>ПоПрОД</v>
          </cell>
          <cell r="I2">
            <v>0</v>
          </cell>
        </row>
        <row r="4">
          <cell r="B4" t="str">
            <v>Период: 10.06.2024 - 09.07.2024</v>
          </cell>
        </row>
        <row r="5">
          <cell r="B5" t="str">
            <v>Контрагент Не в списке "ВЗАИМНО ООО; АЭК ООО КА; АТЛАС ООО; ИРБИС ООО" И</v>
          </cell>
        </row>
        <row r="6">
          <cell r="B6" t="str">
            <v>Источник данных Равно "Займы предоставленные" И</v>
          </cell>
        </row>
        <row r="7">
          <cell r="B7" t="str">
            <v>Состояние Равно "Действует"</v>
          </cell>
        </row>
        <row r="9">
          <cell r="B9" t="str">
            <v>Займ.Договор №</v>
          </cell>
          <cell r="C9" t="str">
            <v>Дата платежа</v>
          </cell>
          <cell r="D9" t="str">
            <v>Итого</v>
          </cell>
        </row>
        <row r="10">
          <cell r="D10" t="str">
            <v>Сумма планового платежа</v>
          </cell>
          <cell r="E10" t="str">
            <v>Остаток ОД</v>
          </cell>
          <cell r="F10" t="str">
            <v>Статус</v>
          </cell>
        </row>
        <row r="11">
          <cell r="B11" t="str">
            <v>В-12098/КЛ.Транш - 1_В-21082023/Ц</v>
          </cell>
          <cell r="C11">
            <v>45453</v>
          </cell>
          <cell r="D11">
            <v>35735.129999999997</v>
          </cell>
          <cell r="E11">
            <v>150747.5</v>
          </cell>
          <cell r="F11" t="str">
            <v>оплачен</v>
          </cell>
        </row>
        <row r="12">
          <cell r="B12" t="str">
            <v>В-25807/АЗ_В-21082023/Ц</v>
          </cell>
          <cell r="C12">
            <v>45453</v>
          </cell>
          <cell r="D12">
            <v>56771.17</v>
          </cell>
          <cell r="E12">
            <v>323793.43</v>
          </cell>
          <cell r="F12" t="str">
            <v>просрочен</v>
          </cell>
        </row>
        <row r="13">
          <cell r="B13" t="str">
            <v>В-25810/АЗ_В-21082023/Ц</v>
          </cell>
          <cell r="C13">
            <v>45453</v>
          </cell>
          <cell r="D13">
            <v>69757.990000000005</v>
          </cell>
          <cell r="E13">
            <v>385341.82</v>
          </cell>
          <cell r="F13" t="str">
            <v>просрочен</v>
          </cell>
        </row>
        <row r="14">
          <cell r="B14" t="str">
            <v>В-25306/КЛ.Транш - 1_В-21082023/Ц</v>
          </cell>
          <cell r="C14">
            <v>45453</v>
          </cell>
          <cell r="D14">
            <v>75532.92</v>
          </cell>
          <cell r="E14">
            <v>908272.7</v>
          </cell>
          <cell r="F14" t="str">
            <v>КО</v>
          </cell>
        </row>
        <row r="15">
          <cell r="B15" t="str">
            <v>В-22205/КЛ.Транш - 2_В-21082023/Ц</v>
          </cell>
          <cell r="C15">
            <v>45453</v>
          </cell>
          <cell r="D15">
            <v>12885.93</v>
          </cell>
          <cell r="E15">
            <v>53672.94</v>
          </cell>
          <cell r="F15" t="str">
            <v>просрочен</v>
          </cell>
        </row>
        <row r="16">
          <cell r="B16" t="str">
            <v>В-10039/КЛ.Транш - 1_В-20211230/Ц</v>
          </cell>
          <cell r="C16">
            <v>45453</v>
          </cell>
          <cell r="D16">
            <v>41891.230000000003</v>
          </cell>
          <cell r="E16">
            <v>510538.93</v>
          </cell>
          <cell r="F16" t="str">
            <v>КО</v>
          </cell>
        </row>
        <row r="17">
          <cell r="B17" t="str">
            <v>В-20133/КЛ.Транш - 1_В-21082023/Ц</v>
          </cell>
          <cell r="C17">
            <v>45454</v>
          </cell>
          <cell r="D17">
            <v>11045.52</v>
          </cell>
          <cell r="E17">
            <v>102854.41</v>
          </cell>
          <cell r="F17" t="str">
            <v>оплачен</v>
          </cell>
        </row>
        <row r="18">
          <cell r="B18" t="str">
            <v>В-16057/КЛ.Транш - 6_В-21082023/Ц</v>
          </cell>
          <cell r="C18">
            <v>45454</v>
          </cell>
          <cell r="D18">
            <v>28547.77</v>
          </cell>
          <cell r="E18">
            <v>170195.56</v>
          </cell>
          <cell r="F18" t="str">
            <v>просрочен</v>
          </cell>
        </row>
        <row r="19">
          <cell r="B19" t="str">
            <v>В-01038/АЗ_В-21082023/Ц</v>
          </cell>
          <cell r="C19">
            <v>45455</v>
          </cell>
          <cell r="D19">
            <v>64629.7</v>
          </cell>
          <cell r="E19">
            <v>208559.4</v>
          </cell>
          <cell r="F19" t="str">
            <v>оплачен</v>
          </cell>
        </row>
        <row r="20">
          <cell r="B20" t="str">
            <v>В-28159/КЛ.Транш - 1_В-20211230/Ц</v>
          </cell>
          <cell r="C20">
            <v>45455</v>
          </cell>
          <cell r="D20">
            <v>43698.42</v>
          </cell>
          <cell r="E20">
            <v>285560.12</v>
          </cell>
          <cell r="F20" t="str">
            <v>КО</v>
          </cell>
        </row>
        <row r="21">
          <cell r="B21" t="str">
            <v>В-17469/КЛ.Транш - 1_В-21082023/Ц</v>
          </cell>
          <cell r="C21">
            <v>45455</v>
          </cell>
          <cell r="D21">
            <v>63626.82</v>
          </cell>
          <cell r="E21">
            <v>576927.80000000005</v>
          </cell>
          <cell r="F21" t="str">
            <v>просрочен</v>
          </cell>
        </row>
        <row r="22">
          <cell r="B22" t="str">
            <v>В-27105/КЛ.Транш - 1_В-20211230/Ц</v>
          </cell>
          <cell r="C22">
            <v>45455</v>
          </cell>
          <cell r="D22">
            <v>26424.41</v>
          </cell>
          <cell r="E22">
            <v>443666.24</v>
          </cell>
          <cell r="F22" t="str">
            <v>КО</v>
          </cell>
        </row>
        <row r="23">
          <cell r="B23" t="str">
            <v>В-10474/КЛ.Транш - 4_В-21082023/Ц</v>
          </cell>
          <cell r="C23">
            <v>45455</v>
          </cell>
          <cell r="D23">
            <v>16595.53</v>
          </cell>
          <cell r="E23">
            <v>110632.96000000001</v>
          </cell>
          <cell r="F23" t="str">
            <v>оплачен</v>
          </cell>
        </row>
        <row r="24">
          <cell r="B24" t="str">
            <v>В-01039/АЗ_В-21082023/Ц</v>
          </cell>
          <cell r="C24">
            <v>45455</v>
          </cell>
          <cell r="D24">
            <v>69818.720000000001</v>
          </cell>
          <cell r="E24">
            <v>217448.65</v>
          </cell>
          <cell r="F24" t="str">
            <v>оплачен</v>
          </cell>
        </row>
        <row r="25">
          <cell r="B25" t="str">
            <v>В-25922/КЛ.Транш - 1_В-21082023/Ц</v>
          </cell>
          <cell r="C25">
            <v>45456</v>
          </cell>
          <cell r="D25">
            <v>7275.35</v>
          </cell>
          <cell r="E25">
            <v>90843.98</v>
          </cell>
          <cell r="F25" t="str">
            <v>оплачен</v>
          </cell>
        </row>
        <row r="26">
          <cell r="B26" t="str">
            <v>В-23555/КЛ.Транш - 1_В-21082023/Ц</v>
          </cell>
          <cell r="C26">
            <v>45456</v>
          </cell>
          <cell r="D26">
            <v>43398.11</v>
          </cell>
          <cell r="E26">
            <v>452267.28</v>
          </cell>
          <cell r="F26" t="str">
            <v>просрочен</v>
          </cell>
        </row>
        <row r="27">
          <cell r="B27" t="str">
            <v>В-28235/АЗ_В-21082023/Ц</v>
          </cell>
          <cell r="C27">
            <v>45456</v>
          </cell>
          <cell r="D27">
            <v>12756.77</v>
          </cell>
          <cell r="E27">
            <v>142321.85999999999</v>
          </cell>
          <cell r="F27" t="str">
            <v>оплачен</v>
          </cell>
        </row>
        <row r="28">
          <cell r="B28" t="str">
            <v>В-02064/КЛ.Транш - 2_В-21082023/Ц</v>
          </cell>
          <cell r="C28">
            <v>45457</v>
          </cell>
          <cell r="D28">
            <v>31792.01</v>
          </cell>
          <cell r="E28" t="str">
            <v/>
          </cell>
          <cell r="F28" t="str">
            <v>погашен</v>
          </cell>
        </row>
        <row r="29">
          <cell r="B29" t="str">
            <v>В-26422/КЛ.Транш - 1_В-21082023/Ц</v>
          </cell>
          <cell r="C29">
            <v>45457</v>
          </cell>
          <cell r="D29">
            <v>41342.53</v>
          </cell>
          <cell r="E29">
            <v>540292.54</v>
          </cell>
          <cell r="F29" t="str">
            <v>КО</v>
          </cell>
        </row>
        <row r="30">
          <cell r="B30" t="str">
            <v>В-16067/КЛ.Транш - 1_В-21082023/Ц</v>
          </cell>
          <cell r="C30">
            <v>45457</v>
          </cell>
          <cell r="D30">
            <v>7333.14</v>
          </cell>
          <cell r="E30">
            <v>59055.08</v>
          </cell>
          <cell r="F30" t="str">
            <v>просрочен</v>
          </cell>
        </row>
        <row r="31">
          <cell r="B31" t="str">
            <v>В-22309/АЗ_В-21082023/Ц</v>
          </cell>
          <cell r="C31">
            <v>45457</v>
          </cell>
          <cell r="D31">
            <v>14993.72</v>
          </cell>
          <cell r="E31">
            <v>39456.83</v>
          </cell>
          <cell r="F31" t="str">
            <v>оплачен</v>
          </cell>
        </row>
        <row r="32">
          <cell r="B32" t="str">
            <v>В-25950/КЛ.Транш - 1_В-20211230/Ц</v>
          </cell>
          <cell r="C32">
            <v>45457</v>
          </cell>
          <cell r="D32">
            <v>14533.41</v>
          </cell>
          <cell r="E32">
            <v>0</v>
          </cell>
          <cell r="F32" t="str">
            <v>КО</v>
          </cell>
        </row>
        <row r="33">
          <cell r="B33" t="str">
            <v>В-25764/КЛ.Транш - 1_В-21082023/Ц</v>
          </cell>
          <cell r="C33">
            <v>45457</v>
          </cell>
          <cell r="D33">
            <v>18185.09</v>
          </cell>
          <cell r="E33">
            <v>219628.41</v>
          </cell>
          <cell r="F33" t="str">
            <v>просрочен</v>
          </cell>
        </row>
        <row r="34">
          <cell r="B34" t="str">
            <v>В-10204/КЛ.Транш - 1_В-21082023/Ц</v>
          </cell>
          <cell r="C34">
            <v>45458</v>
          </cell>
          <cell r="D34">
            <v>7549.99</v>
          </cell>
          <cell r="E34">
            <v>21042.22</v>
          </cell>
          <cell r="F34" t="str">
            <v>оплачен</v>
          </cell>
        </row>
        <row r="35">
          <cell r="B35" t="str">
            <v>В-11396/КЛ.Транш - 2_В-21082023/Ц</v>
          </cell>
          <cell r="C35">
            <v>45458</v>
          </cell>
          <cell r="D35">
            <v>23751.89</v>
          </cell>
          <cell r="E35">
            <v>173008.97</v>
          </cell>
          <cell r="F35" t="str">
            <v>просрочен</v>
          </cell>
        </row>
        <row r="36">
          <cell r="B36" t="str">
            <v>В-19740/КЛ.Транш - 7_В-21082023/Ц</v>
          </cell>
          <cell r="C36">
            <v>45458</v>
          </cell>
          <cell r="D36">
            <v>5820.28</v>
          </cell>
          <cell r="E36">
            <v>72304.97</v>
          </cell>
          <cell r="F36" t="str">
            <v>оплачен</v>
          </cell>
        </row>
        <row r="37">
          <cell r="B37" t="str">
            <v>В-21306/КЛ.Транш - 1_В-21082023/Ц</v>
          </cell>
          <cell r="C37">
            <v>45458</v>
          </cell>
          <cell r="D37">
            <v>9647.94</v>
          </cell>
          <cell r="E37">
            <v>100735.67999999999</v>
          </cell>
          <cell r="F37" t="str">
            <v>просрочен</v>
          </cell>
        </row>
        <row r="38">
          <cell r="B38" t="str">
            <v>В-01188/АЗ_В-21082023/Ц</v>
          </cell>
          <cell r="C38">
            <v>45458</v>
          </cell>
          <cell r="D38">
            <v>8874.7999999999993</v>
          </cell>
          <cell r="E38">
            <v>42264.29</v>
          </cell>
          <cell r="F38" t="str">
            <v>КО</v>
          </cell>
        </row>
        <row r="39">
          <cell r="B39" t="str">
            <v>В-06345/КЛ.Транш - 1_В-21082023/Ц</v>
          </cell>
          <cell r="C39">
            <v>45458</v>
          </cell>
          <cell r="D39">
            <v>5977.33</v>
          </cell>
          <cell r="E39" t="str">
            <v/>
          </cell>
          <cell r="F39" t="str">
            <v>погашен</v>
          </cell>
        </row>
        <row r="40">
          <cell r="B40" t="str">
            <v>В-14198/КЛ.Транш - 1_В-21082023/Ц</v>
          </cell>
          <cell r="C40">
            <v>45459</v>
          </cell>
          <cell r="D40">
            <v>17977.990000000002</v>
          </cell>
          <cell r="E40">
            <v>111094.69</v>
          </cell>
          <cell r="F40" t="str">
            <v>оплачен</v>
          </cell>
        </row>
        <row r="41">
          <cell r="B41" t="str">
            <v>В-11277/КЛ.Транш - 1_В-21082023/Ц</v>
          </cell>
          <cell r="C41">
            <v>45459</v>
          </cell>
          <cell r="D41">
            <v>23173.17</v>
          </cell>
          <cell r="E41">
            <v>143205.79999999999</v>
          </cell>
          <cell r="F41" t="str">
            <v>КО</v>
          </cell>
        </row>
        <row r="42">
          <cell r="B42" t="str">
            <v>В-22677/КЛ.Транш - 1_В-21082023/Ц</v>
          </cell>
          <cell r="C42">
            <v>45460</v>
          </cell>
          <cell r="D42">
            <v>11023.26</v>
          </cell>
          <cell r="E42">
            <v>176315.99</v>
          </cell>
          <cell r="F42" t="str">
            <v>КО</v>
          </cell>
        </row>
        <row r="43">
          <cell r="B43" t="str">
            <v>В-25659/КЛ.Транш - 2_В-20211230/Ц</v>
          </cell>
          <cell r="C43">
            <v>45460</v>
          </cell>
          <cell r="D43">
            <v>7927.33</v>
          </cell>
          <cell r="E43">
            <v>130577.68</v>
          </cell>
          <cell r="F43" t="str">
            <v>оплачен</v>
          </cell>
        </row>
        <row r="44">
          <cell r="B44" t="str">
            <v>В-28358/КЛ.Транш - 1_В-21082023/Ц</v>
          </cell>
          <cell r="C44">
            <v>45460</v>
          </cell>
          <cell r="D44">
            <v>53546.3</v>
          </cell>
          <cell r="E44">
            <v>687800.96</v>
          </cell>
          <cell r="F44" t="str">
            <v>оплачен</v>
          </cell>
        </row>
        <row r="45">
          <cell r="B45" t="str">
            <v>В-12574/КЛ.Транш - 1_В-21082023/Ц</v>
          </cell>
          <cell r="C45">
            <v>45460</v>
          </cell>
          <cell r="D45">
            <v>4850.24</v>
          </cell>
          <cell r="E45">
            <v>58089.47</v>
          </cell>
          <cell r="F45" t="str">
            <v>КО</v>
          </cell>
        </row>
        <row r="46">
          <cell r="B46" t="str">
            <v>В-26114/КЛ.Транш - 1_В-21082023/Ц</v>
          </cell>
          <cell r="C46">
            <v>45460</v>
          </cell>
          <cell r="D46">
            <v>17247.080000000002</v>
          </cell>
          <cell r="E46">
            <v>214781.62</v>
          </cell>
          <cell r="F46" t="str">
            <v>КО</v>
          </cell>
        </row>
        <row r="47">
          <cell r="B47" t="str">
            <v>В-20251/КЛ.Транш - 2_В-20211230/Ц</v>
          </cell>
          <cell r="C47">
            <v>45460</v>
          </cell>
          <cell r="D47">
            <v>9700.4699999999993</v>
          </cell>
          <cell r="E47">
            <v>188883.75</v>
          </cell>
          <cell r="F47" t="str">
            <v>КО</v>
          </cell>
        </row>
        <row r="48">
          <cell r="B48" t="str">
            <v>В-20952/КЛ.Транш - 4_В-21082023/Ц</v>
          </cell>
          <cell r="C48">
            <v>45460</v>
          </cell>
          <cell r="D48">
            <v>6716.69</v>
          </cell>
          <cell r="E48">
            <v>84770.39</v>
          </cell>
          <cell r="F48" t="str">
            <v>КО</v>
          </cell>
        </row>
        <row r="49">
          <cell r="B49" t="str">
            <v>В-07877/КЛ.Транш - 15_В-21082023/Ц</v>
          </cell>
          <cell r="C49">
            <v>45461</v>
          </cell>
          <cell r="D49">
            <v>6043.45</v>
          </cell>
          <cell r="E49">
            <v>86951.96</v>
          </cell>
          <cell r="F49" t="str">
            <v>КО</v>
          </cell>
        </row>
        <row r="50">
          <cell r="B50" t="str">
            <v>В-18496/КЛ.Транш - 1_В-21082023/Ц</v>
          </cell>
          <cell r="C50">
            <v>45461</v>
          </cell>
          <cell r="D50">
            <v>12050.66</v>
          </cell>
          <cell r="E50" t="str">
            <v/>
          </cell>
          <cell r="F50" t="str">
            <v>погашен</v>
          </cell>
        </row>
        <row r="51">
          <cell r="B51" t="str">
            <v>В-12662/КЛ.Транш - 1_В-21082023/Ц</v>
          </cell>
          <cell r="C51">
            <v>45461</v>
          </cell>
          <cell r="D51">
            <v>4196.76</v>
          </cell>
          <cell r="E51">
            <v>21166.720000000001</v>
          </cell>
          <cell r="F51" t="str">
            <v>оплачен</v>
          </cell>
        </row>
        <row r="52">
          <cell r="B52" t="str">
            <v>В-19355/КЛ.Транш - 1_В-21082023/Ц</v>
          </cell>
          <cell r="C52">
            <v>45461</v>
          </cell>
          <cell r="D52">
            <v>3515.27</v>
          </cell>
          <cell r="E52">
            <v>82778.91</v>
          </cell>
          <cell r="F52" t="str">
            <v>просрочен</v>
          </cell>
        </row>
        <row r="53">
          <cell r="B53" t="str">
            <v>В-09100/КЛ.Транш - 1_В-21082023/Ц</v>
          </cell>
          <cell r="C53">
            <v>45461</v>
          </cell>
          <cell r="D53">
            <v>4850.24</v>
          </cell>
          <cell r="E53">
            <v>32183.25</v>
          </cell>
          <cell r="F53" t="str">
            <v>КО</v>
          </cell>
        </row>
        <row r="54">
          <cell r="B54" t="str">
            <v>В-14216/КЛ.Транш - 2_В-21082023/Ц</v>
          </cell>
          <cell r="C54">
            <v>45461</v>
          </cell>
          <cell r="D54">
            <v>6113.61</v>
          </cell>
          <cell r="E54">
            <v>42817.02</v>
          </cell>
          <cell r="F54" t="str">
            <v>оплачен</v>
          </cell>
        </row>
        <row r="55">
          <cell r="B55" t="str">
            <v>В-22744/КЛ.Транш - 1_В-21082023/Ц</v>
          </cell>
          <cell r="C55">
            <v>45462</v>
          </cell>
          <cell r="D55">
            <v>5125.3500000000004</v>
          </cell>
          <cell r="E55">
            <v>5864.05</v>
          </cell>
          <cell r="F55" t="str">
            <v>оплачен</v>
          </cell>
        </row>
        <row r="56">
          <cell r="B56" t="str">
            <v>В-01109/АЗ_В-21082023/Ц</v>
          </cell>
          <cell r="C56">
            <v>45462</v>
          </cell>
          <cell r="D56">
            <v>5531.84</v>
          </cell>
          <cell r="E56">
            <v>99070.9</v>
          </cell>
          <cell r="F56" t="str">
            <v>КО</v>
          </cell>
        </row>
        <row r="57">
          <cell r="B57" t="str">
            <v>В-24983/КЛ.Транш - 1_В-20211230/Ц</v>
          </cell>
          <cell r="C57">
            <v>45462</v>
          </cell>
          <cell r="D57">
            <v>65364.160000000003</v>
          </cell>
          <cell r="E57">
            <v>1000000</v>
          </cell>
          <cell r="F57" t="str">
            <v>КО</v>
          </cell>
        </row>
        <row r="58">
          <cell r="B58" t="str">
            <v>В-12574/КЛ.Транш - 3_В-21082023/Ц</v>
          </cell>
          <cell r="C58">
            <v>45462</v>
          </cell>
          <cell r="D58">
            <v>6027.51</v>
          </cell>
          <cell r="E58">
            <v>73664.179999999993</v>
          </cell>
          <cell r="F58" t="str">
            <v>КО</v>
          </cell>
        </row>
        <row r="59">
          <cell r="B59" t="str">
            <v>В-21568/КЛ.Транш - 1_В-21082023/Ц</v>
          </cell>
          <cell r="C59">
            <v>45463</v>
          </cell>
          <cell r="D59">
            <v>14839.24</v>
          </cell>
          <cell r="E59">
            <v>39140.76</v>
          </cell>
          <cell r="F59" t="str">
            <v>оплачен</v>
          </cell>
        </row>
        <row r="60">
          <cell r="B60" t="str">
            <v>В-22409/КЛ.Транш - 1_В-21082023/Ц</v>
          </cell>
          <cell r="C60">
            <v>45463</v>
          </cell>
          <cell r="D60">
            <v>17908.47</v>
          </cell>
          <cell r="E60">
            <v>173551.16</v>
          </cell>
          <cell r="F60" t="str">
            <v>КО</v>
          </cell>
        </row>
        <row r="61">
          <cell r="B61" t="str">
            <v>В-19991/КЛ.Транш - 2_В-21082023/Ц</v>
          </cell>
          <cell r="C61">
            <v>45463</v>
          </cell>
          <cell r="D61">
            <v>1982.83</v>
          </cell>
          <cell r="E61" t="str">
            <v/>
          </cell>
          <cell r="F61" t="str">
            <v>погашен</v>
          </cell>
        </row>
        <row r="62">
          <cell r="B62" t="str">
            <v>В-14818/КЛ.Транш - 1_В-20211230/Ц</v>
          </cell>
          <cell r="C62">
            <v>45463</v>
          </cell>
          <cell r="D62">
            <v>19609.25</v>
          </cell>
          <cell r="E62">
            <v>265431.03000000003</v>
          </cell>
          <cell r="F62" t="str">
            <v>КО</v>
          </cell>
        </row>
        <row r="63">
          <cell r="B63" t="str">
            <v>В-08348/КЛ.Транш - 7_В-21082023/Ц</v>
          </cell>
          <cell r="C63">
            <v>45464</v>
          </cell>
          <cell r="D63">
            <v>2998.92</v>
          </cell>
          <cell r="E63">
            <v>43756.97</v>
          </cell>
          <cell r="F63" t="str">
            <v>КО</v>
          </cell>
        </row>
        <row r="64">
          <cell r="B64" t="str">
            <v>В-01217/АЗ_В-20211230/Ц</v>
          </cell>
          <cell r="C64">
            <v>45464</v>
          </cell>
          <cell r="D64">
            <v>24173.78</v>
          </cell>
          <cell r="E64">
            <v>340495.15</v>
          </cell>
          <cell r="F64" t="str">
            <v>КО</v>
          </cell>
        </row>
        <row r="65">
          <cell r="B65" t="str">
            <v>В-12256/КЛ.Транш - 1_В-21082023/Ц</v>
          </cell>
          <cell r="C65">
            <v>45464</v>
          </cell>
          <cell r="D65">
            <v>13549.48</v>
          </cell>
          <cell r="E65">
            <v>129429.49</v>
          </cell>
          <cell r="F65" t="str">
            <v>КО</v>
          </cell>
        </row>
        <row r="66">
          <cell r="B66" t="str">
            <v>В-28549/АЗ_В-21082023/Ц</v>
          </cell>
          <cell r="C66">
            <v>45464</v>
          </cell>
          <cell r="D66">
            <v>11452.74</v>
          </cell>
          <cell r="E66">
            <v>177462.1</v>
          </cell>
          <cell r="F66" t="str">
            <v>КО</v>
          </cell>
        </row>
        <row r="67">
          <cell r="B67" t="str">
            <v>В-23555/КЛ.Транш - 2_В-21082023/Ц</v>
          </cell>
          <cell r="C67">
            <v>45464</v>
          </cell>
          <cell r="D67">
            <v>8198.15</v>
          </cell>
          <cell r="E67">
            <v>107148.59</v>
          </cell>
          <cell r="F67" t="str">
            <v>просрочен</v>
          </cell>
        </row>
        <row r="68">
          <cell r="B68" t="str">
            <v>В-23901/КЛ.Транш - 1_В-21082023/Ц</v>
          </cell>
          <cell r="C68">
            <v>45464</v>
          </cell>
          <cell r="D68">
            <v>26424.38</v>
          </cell>
          <cell r="E68">
            <v>280206.99</v>
          </cell>
          <cell r="F68" t="str">
            <v>оплачен</v>
          </cell>
        </row>
        <row r="69">
          <cell r="B69" t="str">
            <v>В-14816/КЛ.Транш - 1_В-21082023/Ц</v>
          </cell>
          <cell r="C69">
            <v>45464</v>
          </cell>
          <cell r="D69">
            <v>2107.13</v>
          </cell>
          <cell r="E69">
            <v>13035.63</v>
          </cell>
          <cell r="F69" t="str">
            <v>оплачен</v>
          </cell>
        </row>
        <row r="70">
          <cell r="B70" t="str">
            <v>В-14216/КЛ.Транш - 4_В-21082023/Ц</v>
          </cell>
          <cell r="C70">
            <v>45464</v>
          </cell>
          <cell r="D70">
            <v>6536.42</v>
          </cell>
          <cell r="E70">
            <v>58626.2</v>
          </cell>
          <cell r="F70" t="str">
            <v>оплачен</v>
          </cell>
        </row>
        <row r="71">
          <cell r="B71" t="str">
            <v>В-01174/АЗ_В-21082023/Ц</v>
          </cell>
          <cell r="C71">
            <v>45465</v>
          </cell>
          <cell r="D71">
            <v>26356.77</v>
          </cell>
          <cell r="E71">
            <v>323475.14</v>
          </cell>
          <cell r="F71" t="str">
            <v>КО</v>
          </cell>
        </row>
        <row r="72">
          <cell r="B72" t="str">
            <v>В-16242/КЛ.Транш - 2_В-21082023/Ц</v>
          </cell>
          <cell r="C72">
            <v>45465</v>
          </cell>
          <cell r="D72">
            <v>18082.54</v>
          </cell>
          <cell r="E72">
            <v>149401</v>
          </cell>
          <cell r="F72" t="str">
            <v>оплачен</v>
          </cell>
        </row>
        <row r="73">
          <cell r="B73" t="str">
            <v>В-10474/КЛ.Транш - 3_В-21082023/Ц</v>
          </cell>
          <cell r="C73">
            <v>45465</v>
          </cell>
          <cell r="D73">
            <v>10646.94</v>
          </cell>
          <cell r="E73">
            <v>62298.27</v>
          </cell>
          <cell r="F73" t="str">
            <v>оплачен</v>
          </cell>
        </row>
        <row r="74">
          <cell r="B74" t="str">
            <v>В-09172/КЛ.Транш - 1_В-21082023/Ц</v>
          </cell>
          <cell r="C74">
            <v>45466</v>
          </cell>
          <cell r="D74">
            <v>8730.42</v>
          </cell>
          <cell r="E74">
            <v>23586.25</v>
          </cell>
          <cell r="F74" t="str">
            <v>оплачен</v>
          </cell>
        </row>
        <row r="75">
          <cell r="B75" t="str">
            <v>В-18894/КЛ.Транш - 1_В-21082023/Ц</v>
          </cell>
          <cell r="C75">
            <v>45466</v>
          </cell>
          <cell r="D75">
            <v>13779.08</v>
          </cell>
          <cell r="E75">
            <v>128757.16</v>
          </cell>
          <cell r="F75" t="str">
            <v>оплачен</v>
          </cell>
        </row>
        <row r="76">
          <cell r="B76" t="str">
            <v>В-10495/КЛ.Транш - 1_В-21082023/Ц</v>
          </cell>
          <cell r="C76">
            <v>45466</v>
          </cell>
          <cell r="D76">
            <v>10476.51</v>
          </cell>
          <cell r="E76">
            <v>37952.1</v>
          </cell>
          <cell r="F76" t="str">
            <v>оплачен</v>
          </cell>
        </row>
        <row r="77">
          <cell r="B77" t="str">
            <v>В-28598/КЛ.Транш - 1_В-21082023/Ц</v>
          </cell>
          <cell r="C77">
            <v>45466</v>
          </cell>
          <cell r="D77">
            <v>58264.56</v>
          </cell>
          <cell r="E77">
            <v>601100.55000000005</v>
          </cell>
          <cell r="F77" t="str">
            <v>оплачен</v>
          </cell>
        </row>
        <row r="78">
          <cell r="B78" t="str">
            <v>В-26950/КЛ.Транш - 1_В-21082023/Ц</v>
          </cell>
          <cell r="C78">
            <v>45466</v>
          </cell>
          <cell r="D78">
            <v>10692.98</v>
          </cell>
          <cell r="E78">
            <v>122063.51</v>
          </cell>
          <cell r="F78" t="str">
            <v>КО</v>
          </cell>
        </row>
        <row r="79">
          <cell r="B79" t="str">
            <v>В-15954/КЛ.Транш - 1_В-21082023/Ц</v>
          </cell>
          <cell r="C79">
            <v>45466</v>
          </cell>
          <cell r="D79">
            <v>33191.06</v>
          </cell>
          <cell r="E79">
            <v>242498.23</v>
          </cell>
          <cell r="F79" t="str">
            <v>оплачен</v>
          </cell>
        </row>
        <row r="80">
          <cell r="B80" t="str">
            <v>В-20952/КЛ.Транш - 3_В-21082023/Ц</v>
          </cell>
          <cell r="C80">
            <v>45466</v>
          </cell>
          <cell r="D80">
            <v>6388.31</v>
          </cell>
          <cell r="E80">
            <v>85616.51</v>
          </cell>
          <cell r="F80" t="str">
            <v>КО</v>
          </cell>
        </row>
        <row r="81">
          <cell r="B81" t="str">
            <v>В-12912/КЛ.Транш - 1_В-21082023/Ц</v>
          </cell>
          <cell r="C81">
            <v>45467</v>
          </cell>
          <cell r="D81">
            <v>29779.27</v>
          </cell>
          <cell r="E81">
            <v>147406.6</v>
          </cell>
          <cell r="F81" t="str">
            <v>оплачен</v>
          </cell>
        </row>
        <row r="82">
          <cell r="B82" t="str">
            <v>В-12231/КЛ.Транш - 1_В-21082023/Ц</v>
          </cell>
          <cell r="C82">
            <v>45467</v>
          </cell>
          <cell r="D82">
            <v>8514.2999999999993</v>
          </cell>
          <cell r="E82" t="str">
            <v/>
          </cell>
          <cell r="F82" t="str">
            <v>погашен</v>
          </cell>
        </row>
        <row r="83">
          <cell r="B83" t="str">
            <v>В-22935/КЛ.Транш - 1_В-21082023/Ц</v>
          </cell>
          <cell r="C83">
            <v>45467</v>
          </cell>
          <cell r="D83">
            <v>13212.19</v>
          </cell>
          <cell r="E83">
            <v>133467.01</v>
          </cell>
          <cell r="F83" t="str">
            <v>оплачен</v>
          </cell>
        </row>
        <row r="84">
          <cell r="B84" t="str">
            <v>В-26450/АЗ_В-20211230/Ц</v>
          </cell>
          <cell r="C84">
            <v>45467</v>
          </cell>
          <cell r="D84">
            <v>29736.99</v>
          </cell>
          <cell r="E84">
            <v>575064.78</v>
          </cell>
          <cell r="F84" t="str">
            <v>КО</v>
          </cell>
        </row>
        <row r="85">
          <cell r="B85" t="str">
            <v>В-22449/КЛ.Транш - 1_В-21082023/Ц</v>
          </cell>
          <cell r="C85">
            <v>45467</v>
          </cell>
          <cell r="D85">
            <v>14846.75</v>
          </cell>
          <cell r="E85">
            <v>146670.35999999999</v>
          </cell>
          <cell r="F85" t="str">
            <v>оплачен</v>
          </cell>
        </row>
        <row r="86">
          <cell r="B86" t="str">
            <v>В-00955/АЗ_В-21082023/Ц</v>
          </cell>
          <cell r="C86">
            <v>45467</v>
          </cell>
          <cell r="D86">
            <v>29417.98</v>
          </cell>
          <cell r="E86">
            <v>55322.09</v>
          </cell>
          <cell r="F86" t="str">
            <v>просрочен</v>
          </cell>
        </row>
        <row r="87">
          <cell r="B87" t="str">
            <v>В-26449/АЗ_В-20211230/Ц</v>
          </cell>
          <cell r="C87">
            <v>45467</v>
          </cell>
          <cell r="D87">
            <v>49561.65</v>
          </cell>
          <cell r="E87">
            <v>966941.07</v>
          </cell>
          <cell r="F87" t="str">
            <v>КО</v>
          </cell>
        </row>
        <row r="88">
          <cell r="B88" t="str">
            <v>В-24580/КЛ.Транш - 1_В-21082023/Ц</v>
          </cell>
          <cell r="C88">
            <v>45467</v>
          </cell>
          <cell r="D88">
            <v>4705.0200000000004</v>
          </cell>
          <cell r="E88">
            <v>110795.66</v>
          </cell>
          <cell r="F88" t="str">
            <v>оплачен</v>
          </cell>
        </row>
        <row r="89">
          <cell r="B89" t="str">
            <v>В-14216/КЛ.Транш - 3_В-21082023/Ц</v>
          </cell>
          <cell r="C89">
            <v>45467</v>
          </cell>
          <cell r="D89">
            <v>6536.42</v>
          </cell>
          <cell r="E89">
            <v>48585.51</v>
          </cell>
          <cell r="F89" t="str">
            <v>оплачен</v>
          </cell>
        </row>
        <row r="90">
          <cell r="B90" t="str">
            <v>В-23370/КЛ.Транш - 2_В-21082023/Ц</v>
          </cell>
          <cell r="C90">
            <v>45468</v>
          </cell>
          <cell r="D90">
            <v>6584.59</v>
          </cell>
          <cell r="E90">
            <v>77393.149999999994</v>
          </cell>
          <cell r="F90" t="str">
            <v>оплачен</v>
          </cell>
        </row>
        <row r="91">
          <cell r="B91" t="str">
            <v>В-19593/КЛ.Транш - 1_В-21082023/Ц</v>
          </cell>
          <cell r="C91">
            <v>45468</v>
          </cell>
          <cell r="D91">
            <v>28461.16</v>
          </cell>
          <cell r="E91" t="str">
            <v/>
          </cell>
          <cell r="F91" t="str">
            <v>погашен</v>
          </cell>
        </row>
        <row r="92">
          <cell r="B92" t="str">
            <v>В-17469/КЛ.Транш - 2_В-21082023/Ц</v>
          </cell>
          <cell r="C92">
            <v>45468</v>
          </cell>
          <cell r="D92">
            <v>5531.84</v>
          </cell>
          <cell r="E92">
            <v>55078.39</v>
          </cell>
          <cell r="F92" t="str">
            <v>просрочен</v>
          </cell>
        </row>
        <row r="93">
          <cell r="B93" t="str">
            <v>В-19740/КЛ.Транш - 8_В-21082023/Ц</v>
          </cell>
          <cell r="C93">
            <v>45468</v>
          </cell>
          <cell r="D93">
            <v>8245.4</v>
          </cell>
          <cell r="E93">
            <v>109523.99</v>
          </cell>
          <cell r="F93" t="str">
            <v>оплачен</v>
          </cell>
        </row>
        <row r="94">
          <cell r="B94" t="str">
            <v>В-19548/КЛ.Транш - 1_В-21082023/Ц</v>
          </cell>
          <cell r="C94">
            <v>45468</v>
          </cell>
          <cell r="D94">
            <v>27558.16</v>
          </cell>
          <cell r="E94">
            <v>257515.12</v>
          </cell>
          <cell r="F94" t="str">
            <v>оплачен</v>
          </cell>
        </row>
        <row r="95">
          <cell r="B95" t="str">
            <v>В-28539/КЛ.Транш - 1_В-21082023/Ц</v>
          </cell>
          <cell r="C95">
            <v>45468</v>
          </cell>
          <cell r="D95">
            <v>13790.66</v>
          </cell>
          <cell r="E95">
            <v>168205.4</v>
          </cell>
          <cell r="F95" t="str">
            <v>оплачен</v>
          </cell>
        </row>
        <row r="96">
          <cell r="B96" t="str">
            <v>В-22979/КЛ.Транш - 1_В-21082023/Ц</v>
          </cell>
          <cell r="C96">
            <v>45468</v>
          </cell>
          <cell r="D96">
            <v>20560.46</v>
          </cell>
          <cell r="E96">
            <v>237796.4</v>
          </cell>
          <cell r="F96" t="str">
            <v>просрочен</v>
          </cell>
        </row>
        <row r="97">
          <cell r="B97" t="str">
            <v>Т-01931/АЗ_Т-20211028/Ц</v>
          </cell>
          <cell r="C97">
            <v>45469</v>
          </cell>
          <cell r="D97">
            <v>7735.66</v>
          </cell>
          <cell r="E97">
            <v>127435.59</v>
          </cell>
          <cell r="F97" t="str">
            <v>оплачен</v>
          </cell>
        </row>
        <row r="98">
          <cell r="B98" t="str">
            <v>В-12553/КЛ.Транш - 1_В-21082023/Ц</v>
          </cell>
          <cell r="C98">
            <v>45469</v>
          </cell>
          <cell r="D98">
            <v>16149.73</v>
          </cell>
          <cell r="E98">
            <v>79487.320000000007</v>
          </cell>
          <cell r="F98" t="str">
            <v>оплачен</v>
          </cell>
        </row>
        <row r="99">
          <cell r="B99" t="str">
            <v>В-08270/КЛ.Транш - 1_В-21082023/Ц</v>
          </cell>
          <cell r="C99">
            <v>45469</v>
          </cell>
          <cell r="D99">
            <v>9628.57</v>
          </cell>
          <cell r="E99">
            <v>18175.509999999998</v>
          </cell>
          <cell r="F99" t="str">
            <v>оплачен</v>
          </cell>
        </row>
        <row r="100">
          <cell r="B100" t="str">
            <v>В-12574/КЛ.Транш - 2_В-21082023/Ц</v>
          </cell>
          <cell r="C100">
            <v>45469</v>
          </cell>
          <cell r="D100">
            <v>6027.51</v>
          </cell>
          <cell r="E100">
            <v>68136.69</v>
          </cell>
          <cell r="F100" t="str">
            <v>КО</v>
          </cell>
        </row>
        <row r="101">
          <cell r="B101" t="str">
            <v>В-12269/КЛ.Транш - 1_В-21082023/Ц</v>
          </cell>
          <cell r="C101">
            <v>45469</v>
          </cell>
          <cell r="D101">
            <v>2425.66</v>
          </cell>
          <cell r="E101">
            <v>12651.78</v>
          </cell>
          <cell r="F101" t="str">
            <v>оплачен</v>
          </cell>
        </row>
        <row r="102">
          <cell r="B102" t="str">
            <v>В-08393/КЛ.Транш - 1_В-20211230/Ц</v>
          </cell>
          <cell r="C102">
            <v>45470</v>
          </cell>
          <cell r="D102">
            <v>8789.64</v>
          </cell>
          <cell r="E102" t="str">
            <v/>
          </cell>
          <cell r="F102" t="str">
            <v>КО</v>
          </cell>
        </row>
        <row r="103">
          <cell r="B103" t="str">
            <v>В-27646/КЛ.Транш - 1_В-21082023/Ц</v>
          </cell>
          <cell r="C103">
            <v>45470</v>
          </cell>
          <cell r="D103">
            <v>25986.97</v>
          </cell>
          <cell r="E103">
            <v>295539.98</v>
          </cell>
          <cell r="F103" t="str">
            <v>оплачен</v>
          </cell>
        </row>
        <row r="104">
          <cell r="B104" t="str">
            <v>В-17916/КЛ.Транш - 1_В-21082023/Ц</v>
          </cell>
          <cell r="C104">
            <v>45470</v>
          </cell>
          <cell r="D104">
            <v>10140.92</v>
          </cell>
          <cell r="E104">
            <v>88129.79</v>
          </cell>
          <cell r="F104" t="str">
            <v>оплачен</v>
          </cell>
        </row>
        <row r="105">
          <cell r="B105" t="str">
            <v>В-21911/КЛ.Транш - 1_В-21082023/Ц</v>
          </cell>
          <cell r="C105">
            <v>45470</v>
          </cell>
          <cell r="D105">
            <v>30003.07</v>
          </cell>
          <cell r="E105">
            <v>313730.78999999998</v>
          </cell>
          <cell r="F105" t="str">
            <v>оплачен</v>
          </cell>
        </row>
        <row r="106">
          <cell r="B106" t="str">
            <v>В-18414/КЛ.Транш - 1_В-21082023/Ц</v>
          </cell>
          <cell r="C106">
            <v>45470</v>
          </cell>
          <cell r="D106">
            <v>26455.83</v>
          </cell>
          <cell r="E106">
            <v>248771.93</v>
          </cell>
          <cell r="F106" t="str">
            <v>просрочен</v>
          </cell>
        </row>
        <row r="107">
          <cell r="B107" t="str">
            <v>В-26432/АЗ_В-21082023/Ц</v>
          </cell>
          <cell r="C107">
            <v>45470</v>
          </cell>
          <cell r="D107">
            <v>6940.62</v>
          </cell>
          <cell r="E107">
            <v>36433.17</v>
          </cell>
          <cell r="F107" t="str">
            <v>оплачен</v>
          </cell>
        </row>
        <row r="108">
          <cell r="B108" t="str">
            <v>В-28360/КЛ.Транш - 1_В-20211230/Ц</v>
          </cell>
          <cell r="C108">
            <v>45471</v>
          </cell>
          <cell r="D108">
            <v>13078.35</v>
          </cell>
          <cell r="E108">
            <v>137796.93</v>
          </cell>
          <cell r="F108" t="str">
            <v>КО</v>
          </cell>
        </row>
        <row r="109">
          <cell r="B109" t="str">
            <v>В-02064/КЛ.Транш - 3_В-21082023/Ц</v>
          </cell>
          <cell r="C109">
            <v>45471</v>
          </cell>
          <cell r="D109">
            <v>19592.36</v>
          </cell>
          <cell r="E109">
            <v>53256</v>
          </cell>
          <cell r="F109" t="str">
            <v>оплачен</v>
          </cell>
        </row>
        <row r="110">
          <cell r="B110" t="str">
            <v>В-19736/КЛ.Транш - 1_В-21082023/Ц</v>
          </cell>
          <cell r="C110">
            <v>45471</v>
          </cell>
          <cell r="D110">
            <v>41778.36</v>
          </cell>
          <cell r="E110" t="str">
            <v/>
          </cell>
          <cell r="F110" t="str">
            <v>погашен</v>
          </cell>
        </row>
        <row r="111">
          <cell r="B111" t="str">
            <v>В-18536/КЛ.Транш - 1_В-21082023/Ц</v>
          </cell>
          <cell r="C111">
            <v>45471</v>
          </cell>
          <cell r="D111">
            <v>12125.59</v>
          </cell>
          <cell r="E111">
            <v>106736.9</v>
          </cell>
          <cell r="F111" t="str">
            <v>оплачен</v>
          </cell>
        </row>
        <row r="112">
          <cell r="B112" t="str">
            <v>В-11716/КЛ.Транш - 1_В-21082023/Ц</v>
          </cell>
          <cell r="C112">
            <v>45471</v>
          </cell>
          <cell r="D112">
            <v>6462.97</v>
          </cell>
          <cell r="E112">
            <v>25772.5</v>
          </cell>
          <cell r="F112" t="str">
            <v>оплачен</v>
          </cell>
        </row>
        <row r="113">
          <cell r="B113" t="str">
            <v>В-26649/АЗ_В-20211230/Ц</v>
          </cell>
          <cell r="C113">
            <v>45471</v>
          </cell>
          <cell r="D113">
            <v>71605.53</v>
          </cell>
          <cell r="E113">
            <v>937688.28</v>
          </cell>
          <cell r="F113" t="str">
            <v>КО</v>
          </cell>
        </row>
        <row r="114">
          <cell r="B114" t="str">
            <v>В-26651/АЗ_В-20211230/Ц</v>
          </cell>
          <cell r="C114">
            <v>45471</v>
          </cell>
          <cell r="D114">
            <v>57284.42</v>
          </cell>
          <cell r="E114">
            <v>746957.49</v>
          </cell>
          <cell r="F114" t="str">
            <v>КО</v>
          </cell>
        </row>
        <row r="115">
          <cell r="B115" t="str">
            <v>В-26664/КЛ.Транш - 1_В-21082023/Ц</v>
          </cell>
          <cell r="C115">
            <v>45471</v>
          </cell>
          <cell r="D115">
            <v>13212.2</v>
          </cell>
          <cell r="E115">
            <v>207666.7</v>
          </cell>
          <cell r="F115" t="str">
            <v>КО</v>
          </cell>
        </row>
        <row r="116">
          <cell r="B116" t="str">
            <v>В-13136/КЛ.Транш - 1_В-20211230/Ц</v>
          </cell>
          <cell r="C116">
            <v>45471</v>
          </cell>
          <cell r="D116">
            <v>6043.76</v>
          </cell>
          <cell r="E116">
            <v>65898.179999999993</v>
          </cell>
          <cell r="F116" t="str">
            <v>КО</v>
          </cell>
        </row>
        <row r="117">
          <cell r="B117" t="str">
            <v>В-08454/КЛ.Транш - 1_В-21082023/Ц</v>
          </cell>
          <cell r="C117">
            <v>45471</v>
          </cell>
          <cell r="D117">
            <v>3333.55</v>
          </cell>
          <cell r="E117">
            <v>5995.21</v>
          </cell>
          <cell r="F117" t="str">
            <v>оплачен</v>
          </cell>
        </row>
        <row r="118">
          <cell r="B118" t="str">
            <v>В-00970/АЗ_В-21082023/Ц</v>
          </cell>
          <cell r="C118">
            <v>45472</v>
          </cell>
          <cell r="D118">
            <v>18611.240000000002</v>
          </cell>
          <cell r="E118">
            <v>241206.49</v>
          </cell>
          <cell r="F118" t="str">
            <v>оплачен</v>
          </cell>
        </row>
        <row r="119">
          <cell r="B119" t="str">
            <v>В-26733/КЛ.Транш - 1_В-21082023/Ц</v>
          </cell>
          <cell r="C119">
            <v>45472</v>
          </cell>
          <cell r="D119">
            <v>14550.71</v>
          </cell>
          <cell r="E119">
            <v>181595.61</v>
          </cell>
          <cell r="F119" t="str">
            <v>оплачен</v>
          </cell>
        </row>
        <row r="120">
          <cell r="B120" t="str">
            <v>В-13235/КЛ.Транш - 1_В-21082023/Ц</v>
          </cell>
          <cell r="C120">
            <v>45472</v>
          </cell>
          <cell r="D120">
            <v>6760.02</v>
          </cell>
          <cell r="E120">
            <v>32533.65</v>
          </cell>
          <cell r="F120" t="str">
            <v>оплачен</v>
          </cell>
        </row>
        <row r="121">
          <cell r="B121" t="str">
            <v>В-18548/КЛ.Транш - 1_В-20211230/Ц</v>
          </cell>
          <cell r="C121">
            <v>45472</v>
          </cell>
          <cell r="D121">
            <v>27558.15</v>
          </cell>
          <cell r="E121">
            <v>494147.5</v>
          </cell>
          <cell r="F121" t="str">
            <v>КО</v>
          </cell>
        </row>
        <row r="122">
          <cell r="B122" t="str">
            <v>В-28587/КЛ.Транш - 1_В-21082023/Ц</v>
          </cell>
          <cell r="C122">
            <v>45473</v>
          </cell>
          <cell r="D122">
            <v>25203.85</v>
          </cell>
          <cell r="E122">
            <v>302836.65000000002</v>
          </cell>
          <cell r="F122" t="str">
            <v>КО</v>
          </cell>
        </row>
        <row r="123">
          <cell r="B123" t="str">
            <v>В-26816/КЛ.Транш - 1_В-20211230/Ц</v>
          </cell>
          <cell r="C123">
            <v>45473</v>
          </cell>
          <cell r="D123">
            <v>27745.61</v>
          </cell>
          <cell r="E123">
            <v>161018.21</v>
          </cell>
          <cell r="F123" t="str">
            <v>КО</v>
          </cell>
        </row>
        <row r="124">
          <cell r="B124" t="str">
            <v>В-20952/КЛ.Транш - 6_В-21082023/Ц</v>
          </cell>
          <cell r="C124">
            <v>45473</v>
          </cell>
          <cell r="D124">
            <v>6536.42</v>
          </cell>
          <cell r="E124">
            <v>85748.58</v>
          </cell>
          <cell r="F124" t="str">
            <v>КО</v>
          </cell>
        </row>
        <row r="125">
          <cell r="B125" t="str">
            <v>В-28436/АЗ_В-21082023/Ц</v>
          </cell>
          <cell r="C125">
            <v>45474</v>
          </cell>
          <cell r="D125">
            <v>30622.799999999999</v>
          </cell>
          <cell r="E125">
            <v>418557.53</v>
          </cell>
          <cell r="F125" t="str">
            <v>КО</v>
          </cell>
        </row>
        <row r="126">
          <cell r="B126" t="str">
            <v>В-12523/КЛ.Транш - 2_В-21082023/Ц</v>
          </cell>
          <cell r="C126">
            <v>45474</v>
          </cell>
          <cell r="D126">
            <v>18575.490000000002</v>
          </cell>
          <cell r="E126">
            <v>193811.33</v>
          </cell>
          <cell r="F126" t="str">
            <v>оплачен</v>
          </cell>
        </row>
        <row r="127">
          <cell r="B127" t="str">
            <v>В-23923/КЛ.Транш - 1_В-21082023/Ц</v>
          </cell>
          <cell r="C127">
            <v>45474</v>
          </cell>
          <cell r="D127">
            <v>19347.96</v>
          </cell>
          <cell r="E127">
            <v>251065.36</v>
          </cell>
          <cell r="F127" t="str">
            <v>КО</v>
          </cell>
        </row>
        <row r="128">
          <cell r="B128" t="str">
            <v>В-04724/КЛ.Транш - 3_В-20211230/Ц</v>
          </cell>
          <cell r="C128">
            <v>45475</v>
          </cell>
          <cell r="D128">
            <v>22391.27</v>
          </cell>
          <cell r="E128">
            <v>344945.56</v>
          </cell>
          <cell r="F128" t="str">
            <v>КО</v>
          </cell>
        </row>
        <row r="129">
          <cell r="B129" t="str">
            <v>В-27315/КЛ.Транш - 1_В-21082023/Ц</v>
          </cell>
          <cell r="C129">
            <v>45475</v>
          </cell>
          <cell r="D129">
            <v>27818.85</v>
          </cell>
          <cell r="E129">
            <v>386511.69</v>
          </cell>
          <cell r="F129" t="str">
            <v>КО</v>
          </cell>
        </row>
        <row r="130">
          <cell r="B130" t="str">
            <v>В-23229/АЗ_В-21082023/Ц</v>
          </cell>
          <cell r="C130">
            <v>45475</v>
          </cell>
          <cell r="D130">
            <v>12492.02</v>
          </cell>
          <cell r="E130">
            <v>130533.38</v>
          </cell>
          <cell r="F130" t="str">
            <v>оплачен</v>
          </cell>
        </row>
        <row r="131">
          <cell r="B131" t="str">
            <v>В-08644/КЛ.Транш - 1_В-21082023/Ц</v>
          </cell>
          <cell r="C131">
            <v>45475</v>
          </cell>
          <cell r="D131">
            <v>6462.97</v>
          </cell>
          <cell r="E131">
            <v>68963.759999999995</v>
          </cell>
          <cell r="F131" t="str">
            <v>КО</v>
          </cell>
        </row>
        <row r="132">
          <cell r="B132" t="str">
            <v>В-15138/КЛ.Транш - 1_В-21082023/Ц</v>
          </cell>
          <cell r="C132">
            <v>45475</v>
          </cell>
          <cell r="D132">
            <v>9774.56</v>
          </cell>
          <cell r="E132">
            <v>60672.43</v>
          </cell>
          <cell r="F132" t="str">
            <v>оплачен</v>
          </cell>
        </row>
        <row r="133">
          <cell r="B133" t="str">
            <v>В-28906/КЛ.Транш - 1_В-21082023/Ц</v>
          </cell>
          <cell r="C133">
            <v>45475</v>
          </cell>
          <cell r="D133">
            <v>8796.0300000000007</v>
          </cell>
          <cell r="E133">
            <v>91692.34</v>
          </cell>
          <cell r="F133" t="str">
            <v>оплачен</v>
          </cell>
        </row>
        <row r="134">
          <cell r="B134" t="str">
            <v>В-22205/КЛ.Транш - 1_В-21082023/Ц</v>
          </cell>
          <cell r="C134">
            <v>45475</v>
          </cell>
          <cell r="D134">
            <v>19400.939999999999</v>
          </cell>
          <cell r="E134">
            <v>201991.38</v>
          </cell>
          <cell r="F134" t="str">
            <v>оплачен</v>
          </cell>
        </row>
        <row r="135">
          <cell r="B135" t="str">
            <v>В-10474/КЛ.Транш - 5_В-21082023/Ц</v>
          </cell>
          <cell r="C135">
            <v>45475</v>
          </cell>
          <cell r="D135">
            <v>13829.61</v>
          </cell>
          <cell r="E135">
            <v>99509.72</v>
          </cell>
          <cell r="F135" t="str">
            <v>оплачен</v>
          </cell>
        </row>
        <row r="136">
          <cell r="B136" t="str">
            <v>В-19354/КЛ.Транш - 1_В-21082023/Ц</v>
          </cell>
          <cell r="C136">
            <v>45476</v>
          </cell>
          <cell r="D136">
            <v>9562.57</v>
          </cell>
          <cell r="E136" t="str">
            <v/>
          </cell>
          <cell r="F136" t="str">
            <v>погашен</v>
          </cell>
        </row>
        <row r="137">
          <cell r="B137" t="str">
            <v>В-28961/КЛ.Транш - 1_В-21082023/Ц</v>
          </cell>
          <cell r="C137">
            <v>45476</v>
          </cell>
          <cell r="D137">
            <v>17592.11</v>
          </cell>
          <cell r="E137">
            <v>214297.59</v>
          </cell>
          <cell r="F137" t="str">
            <v>КО</v>
          </cell>
        </row>
        <row r="138">
          <cell r="B138" t="str">
            <v>В-00953/АЗ_В-21082023/Ц</v>
          </cell>
          <cell r="C138">
            <v>45476</v>
          </cell>
          <cell r="D138">
            <v>28972.23</v>
          </cell>
          <cell r="E138" t="str">
            <v/>
          </cell>
          <cell r="F138" t="str">
            <v>погашен</v>
          </cell>
        </row>
        <row r="139">
          <cell r="B139" t="str">
            <v>В-24350/КЛ.Транш - 1_В-20211230/Ц</v>
          </cell>
          <cell r="C139">
            <v>45476</v>
          </cell>
          <cell r="D139">
            <v>65364.160000000003</v>
          </cell>
          <cell r="E139">
            <v>234354.87</v>
          </cell>
          <cell r="F139" t="str">
            <v>КО</v>
          </cell>
        </row>
        <row r="140">
          <cell r="B140" t="str">
            <v>В-27788/КЛ.Транш - 1_В-21082023/Ц</v>
          </cell>
          <cell r="C140">
            <v>45476</v>
          </cell>
          <cell r="D140">
            <v>28538.32</v>
          </cell>
          <cell r="E140">
            <v>350176.26</v>
          </cell>
          <cell r="F140" t="str">
            <v>оплачен</v>
          </cell>
        </row>
        <row r="141">
          <cell r="B141" t="str">
            <v>В-21253/КЛ.Транш - 1_В-21082023/Ц</v>
          </cell>
          <cell r="C141">
            <v>45477</v>
          </cell>
          <cell r="D141">
            <v>5511.63</v>
          </cell>
          <cell r="E141">
            <v>54636.39</v>
          </cell>
          <cell r="F141" t="str">
            <v>оплачен</v>
          </cell>
        </row>
        <row r="142">
          <cell r="B142" t="str">
            <v>В-19991/КЛ.Транш - 1_В-21082023/Ц</v>
          </cell>
          <cell r="C142">
            <v>45477</v>
          </cell>
          <cell r="D142">
            <v>2818.68</v>
          </cell>
          <cell r="E142">
            <v>25797.86</v>
          </cell>
          <cell r="F142" t="str">
            <v>оплачен</v>
          </cell>
        </row>
        <row r="143">
          <cell r="B143" t="str">
            <v>В-06818/КЛ.Транш - 1_В-20211230/Ц</v>
          </cell>
          <cell r="C143">
            <v>45477</v>
          </cell>
          <cell r="D143">
            <v>19009.71</v>
          </cell>
          <cell r="E143">
            <v>147031.49</v>
          </cell>
          <cell r="F143" t="str">
            <v>КО</v>
          </cell>
        </row>
        <row r="144">
          <cell r="B144" t="str">
            <v>В-27914/КЛ.Транш - 1_В-21082023/Ц</v>
          </cell>
          <cell r="C144">
            <v>45477</v>
          </cell>
          <cell r="D144">
            <v>9909.17</v>
          </cell>
          <cell r="E144">
            <v>153054.64000000001</v>
          </cell>
          <cell r="F144" t="str">
            <v>КО</v>
          </cell>
        </row>
        <row r="145">
          <cell r="B145" t="str">
            <v>В-27929/КЛ.Транш - 1_В-21082023/Ц</v>
          </cell>
          <cell r="C145">
            <v>45477</v>
          </cell>
          <cell r="D145">
            <v>9909.17</v>
          </cell>
          <cell r="E145">
            <v>114768.15</v>
          </cell>
          <cell r="F145" t="str">
            <v>оплачен</v>
          </cell>
        </row>
        <row r="146">
          <cell r="B146" t="str">
            <v>В-25548/КЛ.Транш - 1_В-21082023/Ц</v>
          </cell>
          <cell r="C146">
            <v>45478</v>
          </cell>
          <cell r="D146">
            <v>35820.83</v>
          </cell>
          <cell r="E146">
            <v>153003.17000000001</v>
          </cell>
          <cell r="F146" t="str">
            <v>оплачен</v>
          </cell>
        </row>
        <row r="147">
          <cell r="B147" t="str">
            <v>В-16455/КЛ.Транш - 1_В-21082023/Ц</v>
          </cell>
          <cell r="C147">
            <v>45478</v>
          </cell>
          <cell r="D147">
            <v>13779.08</v>
          </cell>
          <cell r="E147">
            <v>102556.65</v>
          </cell>
          <cell r="F147" t="str">
            <v>оплачен</v>
          </cell>
        </row>
        <row r="148">
          <cell r="B148" t="str">
            <v>В-19286/КЛ.Транш - 1_В-21082023/Ц</v>
          </cell>
          <cell r="C148">
            <v>45478</v>
          </cell>
          <cell r="D148">
            <v>26502.47</v>
          </cell>
          <cell r="E148">
            <v>246429.46</v>
          </cell>
          <cell r="F148" t="str">
            <v>оплачен</v>
          </cell>
        </row>
        <row r="149">
          <cell r="B149" t="str">
            <v>В-03974/КЛ.Транш - 3_В-21082023/Ц</v>
          </cell>
          <cell r="C149">
            <v>45478</v>
          </cell>
          <cell r="D149">
            <v>18976.150000000001</v>
          </cell>
          <cell r="E149">
            <v>48912.9</v>
          </cell>
          <cell r="F149" t="str">
            <v>КО</v>
          </cell>
        </row>
        <row r="150">
          <cell r="B150" t="str">
            <v>В-20035/КЛ.Транш - 1_В-21082023/Ц</v>
          </cell>
          <cell r="C150">
            <v>45478</v>
          </cell>
          <cell r="D150">
            <v>640.47</v>
          </cell>
          <cell r="E150">
            <v>5053.74</v>
          </cell>
          <cell r="F150" t="str">
            <v>оплачен</v>
          </cell>
        </row>
        <row r="151">
          <cell r="B151" t="str">
            <v>В-14291/КЛ.Транш - 7_В-21082023/Ц</v>
          </cell>
          <cell r="C151">
            <v>45478</v>
          </cell>
          <cell r="D151">
            <v>3543.79</v>
          </cell>
          <cell r="E151" t="str">
            <v/>
          </cell>
          <cell r="F151" t="str">
            <v>погашен</v>
          </cell>
        </row>
        <row r="152">
          <cell r="B152" t="str">
            <v>В-02064/КЛ.Транш - 4_В-21082023/Ц</v>
          </cell>
          <cell r="C152">
            <v>45479</v>
          </cell>
          <cell r="D152">
            <v>10011.07</v>
          </cell>
          <cell r="E152">
            <v>44250.31</v>
          </cell>
          <cell r="F152" t="str">
            <v>оплачен</v>
          </cell>
        </row>
        <row r="153">
          <cell r="B153" t="str">
            <v>В-25922/КЛ.Транш - 2_В-21082023/Ц</v>
          </cell>
          <cell r="C153">
            <v>45479</v>
          </cell>
          <cell r="D153">
            <v>11131.95</v>
          </cell>
          <cell r="E153">
            <v>125672.54</v>
          </cell>
          <cell r="F153" t="str">
            <v>оплачен</v>
          </cell>
        </row>
        <row r="154">
          <cell r="B154" t="str">
            <v>В-25627/КЛ.Транш - 1_В-21082023/Ц</v>
          </cell>
          <cell r="C154">
            <v>45479</v>
          </cell>
          <cell r="D154">
            <v>48224.05</v>
          </cell>
          <cell r="E154">
            <v>575970.86</v>
          </cell>
          <cell r="F154" t="str">
            <v>оплачен</v>
          </cell>
        </row>
        <row r="155">
          <cell r="B155" t="str">
            <v>В-19740/КЛ.Транш - 5_В-21082023/Ц</v>
          </cell>
          <cell r="C155">
            <v>45479</v>
          </cell>
          <cell r="D155">
            <v>12125.59</v>
          </cell>
          <cell r="E155">
            <v>150635.01</v>
          </cell>
          <cell r="F155" t="str">
            <v>оплачен</v>
          </cell>
        </row>
        <row r="156">
          <cell r="B156" t="str">
            <v>В-10474/КЛ.Транш - 6_В-21082023/Ц</v>
          </cell>
          <cell r="C156">
            <v>45479</v>
          </cell>
          <cell r="D156">
            <v>5531.84</v>
          </cell>
          <cell r="E156">
            <v>39804.33</v>
          </cell>
          <cell r="F156" t="str">
            <v>оплачен</v>
          </cell>
        </row>
        <row r="157">
          <cell r="B157" t="str">
            <v>В-25659/КЛ.Транш - 1_В-20211230/Ц</v>
          </cell>
          <cell r="C157">
            <v>45480</v>
          </cell>
          <cell r="D157">
            <v>6606.07</v>
          </cell>
          <cell r="E157">
            <v>107547.4</v>
          </cell>
          <cell r="F157" t="str">
            <v>оплачен</v>
          </cell>
        </row>
        <row r="158">
          <cell r="B158" t="str">
            <v>В-23919/КЛ.Транш - 1_В-21082023/Ц</v>
          </cell>
          <cell r="C158">
            <v>45480</v>
          </cell>
          <cell r="D158">
            <v>34154.120000000003</v>
          </cell>
          <cell r="E158">
            <v>475359.11</v>
          </cell>
          <cell r="F158" t="str">
            <v>КО</v>
          </cell>
        </row>
        <row r="159">
          <cell r="B159" t="str">
            <v>В-19585/КЛ.Транш - 1_В-21082023/Ц</v>
          </cell>
          <cell r="C159">
            <v>45480</v>
          </cell>
          <cell r="D159">
            <v>9353.31</v>
          </cell>
          <cell r="E159" t="str">
            <v/>
          </cell>
          <cell r="F159" t="str">
            <v>погашен</v>
          </cell>
        </row>
        <row r="160">
          <cell r="B160" t="str">
            <v>В-12067/КЛ.Транш - 1_В-21082023/Ц</v>
          </cell>
          <cell r="C160">
            <v>45480</v>
          </cell>
          <cell r="D160">
            <v>6551.44</v>
          </cell>
          <cell r="E160">
            <v>32429.43</v>
          </cell>
          <cell r="F160" t="str">
            <v>просрочен</v>
          </cell>
        </row>
        <row r="161">
          <cell r="B161" t="str">
            <v>В-12066/КЛ.Транш - 1_В-21082023/Ц</v>
          </cell>
          <cell r="C161">
            <v>45480</v>
          </cell>
          <cell r="D161">
            <v>5599.06</v>
          </cell>
          <cell r="E161">
            <v>34086.980000000003</v>
          </cell>
          <cell r="F161" t="str">
            <v>оплачен</v>
          </cell>
        </row>
        <row r="162">
          <cell r="B162" t="str">
            <v>В-18921/КЛ.Транш - 1_В-21082023/Ц</v>
          </cell>
          <cell r="C162">
            <v>45481</v>
          </cell>
          <cell r="D162">
            <v>74580.59</v>
          </cell>
          <cell r="E162">
            <v>742627.39</v>
          </cell>
          <cell r="F162" t="str">
            <v>КО</v>
          </cell>
        </row>
        <row r="163">
          <cell r="B163" t="str">
            <v>В-12113/КЛ.Транш - 1_В-20211230/Ц</v>
          </cell>
          <cell r="C163">
            <v>45481</v>
          </cell>
          <cell r="D163">
            <v>7275.35</v>
          </cell>
          <cell r="E163">
            <v>118573.92</v>
          </cell>
          <cell r="F163" t="str">
            <v>КО</v>
          </cell>
        </row>
        <row r="164">
          <cell r="B164" t="str">
            <v>В-12098/КЛ.Транш - 2_В-21082023/Ц</v>
          </cell>
          <cell r="C164">
            <v>45481</v>
          </cell>
          <cell r="D164">
            <v>7778.33</v>
          </cell>
          <cell r="E164">
            <v>66231.31</v>
          </cell>
          <cell r="F164" t="str">
            <v>оплачен</v>
          </cell>
        </row>
        <row r="165">
          <cell r="B165" t="str">
            <v>В-13449/КЛ.Транш - 1_В-21082023/Ц</v>
          </cell>
          <cell r="C165">
            <v>45482</v>
          </cell>
          <cell r="D165">
            <v>6536.42</v>
          </cell>
          <cell r="E165">
            <v>30048.07</v>
          </cell>
          <cell r="F165" t="str">
            <v>оплачен</v>
          </cell>
        </row>
        <row r="166">
          <cell r="B166" t="str">
            <v>В-28090/АЗ_В-20211230/Ц</v>
          </cell>
          <cell r="C166">
            <v>45482</v>
          </cell>
          <cell r="D166">
            <v>54732.2</v>
          </cell>
          <cell r="E166">
            <v>915534.29</v>
          </cell>
          <cell r="F166" t="str">
            <v>КО</v>
          </cell>
        </row>
        <row r="167">
          <cell r="B167" t="str">
            <v>В-22935/КЛ.Транш - 2_В-21082023/Ц</v>
          </cell>
          <cell r="C167">
            <v>45482</v>
          </cell>
          <cell r="D167">
            <v>4850.24</v>
          </cell>
          <cell r="E167">
            <v>58200.9</v>
          </cell>
          <cell r="F167" t="str">
            <v>оплачен</v>
          </cell>
        </row>
        <row r="168">
          <cell r="B168" t="str">
            <v>В-19740/КЛ.Транш - 6_В-21082023/Ц</v>
          </cell>
          <cell r="C168">
            <v>45482</v>
          </cell>
          <cell r="D168">
            <v>14550.71</v>
          </cell>
          <cell r="E168">
            <v>180761.92</v>
          </cell>
          <cell r="F168" t="str">
            <v>оплачен</v>
          </cell>
        </row>
        <row r="169">
          <cell r="B169" t="str">
            <v>В-23410/КЛ.Транш - 1_В-20211230/Ц</v>
          </cell>
          <cell r="C169">
            <v>45482</v>
          </cell>
          <cell r="D169">
            <v>23121.33</v>
          </cell>
          <cell r="E169">
            <v>281706.62</v>
          </cell>
          <cell r="F169" t="str">
            <v>КО</v>
          </cell>
        </row>
        <row r="170">
          <cell r="B170" t="str">
            <v>В-18548/КЛ.Транш - 2_В-20211230/Ц</v>
          </cell>
          <cell r="C170">
            <v>45482</v>
          </cell>
          <cell r="D170">
            <v>31755.91</v>
          </cell>
          <cell r="E170">
            <v>422614.63</v>
          </cell>
          <cell r="F170" t="str">
            <v>КО</v>
          </cell>
        </row>
        <row r="171">
          <cell r="C171"/>
          <cell r="D171">
            <v>3166807.69</v>
          </cell>
          <cell r="E171" t="str">
            <v/>
          </cell>
          <cell r="F171" t="str">
            <v/>
          </cell>
        </row>
        <row r="172">
          <cell r="C172"/>
          <cell r="E172" t="str">
            <v/>
          </cell>
          <cell r="F172" t="str">
            <v/>
          </cell>
        </row>
        <row r="173">
          <cell r="C173"/>
          <cell r="E173" t="str">
            <v/>
          </cell>
          <cell r="F173" t="str">
            <v/>
          </cell>
        </row>
        <row r="174">
          <cell r="C174"/>
          <cell r="E174" t="str">
            <v/>
          </cell>
          <cell r="F174" t="str">
            <v/>
          </cell>
        </row>
        <row r="175">
          <cell r="C175"/>
          <cell r="E175" t="str">
            <v/>
          </cell>
          <cell r="F175" t="str">
            <v/>
          </cell>
        </row>
        <row r="176">
          <cell r="C176"/>
          <cell r="E176" t="str">
            <v/>
          </cell>
          <cell r="F176" t="str">
            <v/>
          </cell>
        </row>
        <row r="177">
          <cell r="C177"/>
          <cell r="E177" t="str">
            <v/>
          </cell>
          <cell r="F177" t="str">
            <v/>
          </cell>
        </row>
        <row r="178">
          <cell r="C178"/>
          <cell r="E178" t="str">
            <v/>
          </cell>
          <cell r="F178" t="str">
            <v/>
          </cell>
        </row>
        <row r="179">
          <cell r="C179"/>
          <cell r="E179" t="str">
            <v/>
          </cell>
          <cell r="F179" t="str">
            <v/>
          </cell>
        </row>
        <row r="180">
          <cell r="C180"/>
          <cell r="E180" t="str">
            <v/>
          </cell>
          <cell r="F180" t="str">
            <v/>
          </cell>
        </row>
        <row r="181">
          <cell r="C181"/>
          <cell r="E181" t="str">
            <v/>
          </cell>
          <cell r="F181" t="str">
            <v/>
          </cell>
        </row>
        <row r="182">
          <cell r="C182"/>
          <cell r="E182" t="str">
            <v/>
          </cell>
          <cell r="F182" t="str">
            <v/>
          </cell>
        </row>
        <row r="183">
          <cell r="C183"/>
          <cell r="E183" t="str">
            <v/>
          </cell>
          <cell r="F183" t="str">
            <v/>
          </cell>
        </row>
        <row r="184">
          <cell r="C184"/>
          <cell r="E184" t="str">
            <v/>
          </cell>
          <cell r="F184" t="str">
            <v/>
          </cell>
        </row>
        <row r="185">
          <cell r="C185"/>
          <cell r="E185" t="str">
            <v/>
          </cell>
          <cell r="F185" t="str">
            <v/>
          </cell>
        </row>
        <row r="186">
          <cell r="C186"/>
          <cell r="E186" t="str">
            <v/>
          </cell>
          <cell r="F186" t="str">
            <v/>
          </cell>
        </row>
        <row r="187">
          <cell r="C187"/>
          <cell r="E187" t="str">
            <v/>
          </cell>
          <cell r="F187" t="str">
            <v/>
          </cell>
        </row>
        <row r="188">
          <cell r="C188"/>
          <cell r="E188" t="str">
            <v/>
          </cell>
          <cell r="F188" t="str">
            <v/>
          </cell>
        </row>
        <row r="189">
          <cell r="C189"/>
          <cell r="E189" t="str">
            <v/>
          </cell>
          <cell r="F189" t="str">
            <v/>
          </cell>
        </row>
        <row r="190">
          <cell r="C190"/>
          <cell r="E190" t="str">
            <v/>
          </cell>
          <cell r="F190" t="str">
            <v/>
          </cell>
        </row>
        <row r="191">
          <cell r="C191"/>
          <cell r="E191" t="str">
            <v/>
          </cell>
          <cell r="F191" t="str">
            <v/>
          </cell>
        </row>
        <row r="192">
          <cell r="C192"/>
          <cell r="E192" t="str">
            <v/>
          </cell>
          <cell r="F192" t="str">
            <v/>
          </cell>
        </row>
        <row r="193">
          <cell r="C193"/>
          <cell r="E193" t="str">
            <v/>
          </cell>
          <cell r="F193" t="str">
            <v/>
          </cell>
        </row>
        <row r="194">
          <cell r="C194"/>
          <cell r="E194" t="str">
            <v/>
          </cell>
          <cell r="F194" t="str">
            <v/>
          </cell>
        </row>
        <row r="195">
          <cell r="C195"/>
          <cell r="E195" t="str">
            <v/>
          </cell>
          <cell r="F195" t="str">
            <v/>
          </cell>
        </row>
        <row r="196">
          <cell r="C196"/>
          <cell r="E196" t="str">
            <v/>
          </cell>
          <cell r="F196" t="str">
            <v/>
          </cell>
        </row>
        <row r="197">
          <cell r="C197"/>
          <cell r="E197" t="str">
            <v/>
          </cell>
          <cell r="F197" t="str">
            <v/>
          </cell>
        </row>
        <row r="198">
          <cell r="C198"/>
          <cell r="E198" t="str">
            <v/>
          </cell>
          <cell r="F198" t="str">
            <v/>
          </cell>
        </row>
        <row r="199">
          <cell r="C199"/>
          <cell r="E199" t="str">
            <v/>
          </cell>
          <cell r="F199" t="str">
            <v/>
          </cell>
        </row>
        <row r="200">
          <cell r="C200"/>
          <cell r="E200" t="str">
            <v/>
          </cell>
          <cell r="F200" t="str">
            <v/>
          </cell>
        </row>
        <row r="201">
          <cell r="C201"/>
          <cell r="E201" t="str">
            <v/>
          </cell>
          <cell r="F201" t="str">
            <v/>
          </cell>
        </row>
        <row r="202">
          <cell r="C202"/>
          <cell r="E202" t="str">
            <v/>
          </cell>
          <cell r="F202" t="str">
            <v/>
          </cell>
        </row>
        <row r="203">
          <cell r="C203"/>
          <cell r="E203" t="str">
            <v/>
          </cell>
          <cell r="F203" t="str">
            <v/>
          </cell>
        </row>
        <row r="204">
          <cell r="C204"/>
          <cell r="E204" t="str">
            <v/>
          </cell>
          <cell r="F204" t="str">
            <v/>
          </cell>
        </row>
        <row r="205">
          <cell r="C205"/>
          <cell r="E205" t="str">
            <v/>
          </cell>
          <cell r="F205" t="str">
            <v/>
          </cell>
        </row>
        <row r="206">
          <cell r="C206"/>
          <cell r="E206" t="str">
            <v/>
          </cell>
          <cell r="F206" t="str">
            <v/>
          </cell>
        </row>
        <row r="207">
          <cell r="C207"/>
          <cell r="E207" t="str">
            <v/>
          </cell>
          <cell r="F207" t="str">
            <v/>
          </cell>
        </row>
        <row r="208">
          <cell r="C208"/>
          <cell r="E208" t="str">
            <v/>
          </cell>
          <cell r="F208" t="str">
            <v/>
          </cell>
        </row>
        <row r="209">
          <cell r="C209"/>
          <cell r="E209" t="str">
            <v/>
          </cell>
          <cell r="F209" t="str">
            <v/>
          </cell>
        </row>
        <row r="210">
          <cell r="C210"/>
          <cell r="E210" t="str">
            <v/>
          </cell>
          <cell r="F210" t="str">
            <v/>
          </cell>
        </row>
        <row r="211">
          <cell r="C211"/>
          <cell r="E211" t="str">
            <v/>
          </cell>
          <cell r="F211" t="str">
            <v/>
          </cell>
        </row>
        <row r="212">
          <cell r="C212"/>
          <cell r="E212" t="str">
            <v/>
          </cell>
          <cell r="F212" t="str">
            <v/>
          </cell>
        </row>
        <row r="213">
          <cell r="C213"/>
          <cell r="E213" t="str">
            <v/>
          </cell>
          <cell r="F213" t="str">
            <v/>
          </cell>
        </row>
        <row r="214">
          <cell r="C214"/>
          <cell r="E214" t="str">
            <v/>
          </cell>
          <cell r="F214" t="str">
            <v/>
          </cell>
        </row>
        <row r="215">
          <cell r="C215"/>
          <cell r="E215" t="str">
            <v/>
          </cell>
          <cell r="F215" t="str">
            <v/>
          </cell>
        </row>
        <row r="216">
          <cell r="C216"/>
          <cell r="E216" t="str">
            <v/>
          </cell>
          <cell r="F216" t="str">
            <v/>
          </cell>
        </row>
        <row r="217">
          <cell r="C217"/>
          <cell r="E217" t="str">
            <v/>
          </cell>
          <cell r="F217" t="str">
            <v/>
          </cell>
        </row>
        <row r="218">
          <cell r="C218"/>
          <cell r="E218" t="str">
            <v/>
          </cell>
          <cell r="F218" t="str">
            <v/>
          </cell>
        </row>
        <row r="219">
          <cell r="C219"/>
          <cell r="E219" t="str">
            <v/>
          </cell>
          <cell r="F219" t="str">
            <v/>
          </cell>
        </row>
        <row r="220">
          <cell r="C220"/>
          <cell r="E220" t="str">
            <v/>
          </cell>
          <cell r="F220" t="str">
            <v/>
          </cell>
        </row>
        <row r="221">
          <cell r="C221"/>
          <cell r="E221" t="str">
            <v/>
          </cell>
          <cell r="F221" t="str">
            <v/>
          </cell>
        </row>
        <row r="222">
          <cell r="C222"/>
          <cell r="E222" t="str">
            <v/>
          </cell>
          <cell r="F222" t="str">
            <v/>
          </cell>
        </row>
        <row r="223">
          <cell r="C223"/>
          <cell r="E223" t="str">
            <v/>
          </cell>
          <cell r="F223" t="str">
            <v/>
          </cell>
        </row>
        <row r="224">
          <cell r="C224"/>
          <cell r="E224" t="str">
            <v/>
          </cell>
          <cell r="F224" t="str">
            <v/>
          </cell>
        </row>
        <row r="225">
          <cell r="C225"/>
          <cell r="E225" t="str">
            <v/>
          </cell>
          <cell r="F225" t="str">
            <v/>
          </cell>
        </row>
        <row r="226">
          <cell r="C226"/>
          <cell r="E226" t="str">
            <v/>
          </cell>
          <cell r="F226" t="str">
            <v/>
          </cell>
        </row>
        <row r="227">
          <cell r="C227"/>
          <cell r="E227" t="str">
            <v/>
          </cell>
          <cell r="F227" t="str">
            <v/>
          </cell>
        </row>
        <row r="228">
          <cell r="C228"/>
          <cell r="E228" t="str">
            <v/>
          </cell>
          <cell r="F228" t="str">
            <v/>
          </cell>
        </row>
        <row r="229">
          <cell r="C229"/>
          <cell r="E229" t="str">
            <v/>
          </cell>
          <cell r="F229" t="str">
            <v/>
          </cell>
        </row>
        <row r="230">
          <cell r="C230"/>
          <cell r="E230" t="str">
            <v/>
          </cell>
          <cell r="F230" t="str">
            <v/>
          </cell>
        </row>
        <row r="231">
          <cell r="C231"/>
          <cell r="E231" t="str">
            <v/>
          </cell>
          <cell r="F231" t="str">
            <v/>
          </cell>
        </row>
        <row r="232">
          <cell r="C232"/>
          <cell r="E232" t="str">
            <v/>
          </cell>
          <cell r="F232" t="str">
            <v/>
          </cell>
        </row>
        <row r="233">
          <cell r="C233"/>
          <cell r="E233" t="str">
            <v/>
          </cell>
          <cell r="F233" t="str">
            <v/>
          </cell>
        </row>
        <row r="234">
          <cell r="C234"/>
          <cell r="E234" t="str">
            <v/>
          </cell>
          <cell r="F234" t="str">
            <v/>
          </cell>
        </row>
        <row r="235">
          <cell r="C235"/>
          <cell r="E235" t="str">
            <v/>
          </cell>
          <cell r="F235" t="str">
            <v/>
          </cell>
        </row>
        <row r="236">
          <cell r="C236"/>
          <cell r="E236" t="str">
            <v/>
          </cell>
          <cell r="F236" t="str">
            <v/>
          </cell>
        </row>
        <row r="237">
          <cell r="C237"/>
          <cell r="E237" t="str">
            <v/>
          </cell>
          <cell r="F237" t="str">
            <v/>
          </cell>
        </row>
        <row r="238">
          <cell r="C238"/>
          <cell r="E238" t="str">
            <v/>
          </cell>
          <cell r="F238" t="str">
            <v/>
          </cell>
        </row>
        <row r="239">
          <cell r="C239"/>
          <cell r="E239" t="str">
            <v/>
          </cell>
          <cell r="F239" t="str">
            <v/>
          </cell>
        </row>
        <row r="240">
          <cell r="C240"/>
          <cell r="E240" t="str">
            <v/>
          </cell>
          <cell r="F240" t="str">
            <v/>
          </cell>
        </row>
        <row r="241">
          <cell r="C241"/>
          <cell r="E241" t="str">
            <v/>
          </cell>
          <cell r="F241" t="str">
            <v/>
          </cell>
        </row>
        <row r="242">
          <cell r="C242"/>
          <cell r="E242" t="str">
            <v/>
          </cell>
          <cell r="F242" t="str">
            <v/>
          </cell>
        </row>
        <row r="243">
          <cell r="C243"/>
          <cell r="E243" t="str">
            <v/>
          </cell>
          <cell r="F243" t="str">
            <v/>
          </cell>
        </row>
        <row r="244">
          <cell r="C244"/>
          <cell r="E244" t="str">
            <v/>
          </cell>
          <cell r="F244" t="str">
            <v/>
          </cell>
        </row>
        <row r="245">
          <cell r="C245"/>
          <cell r="E245" t="str">
            <v/>
          </cell>
          <cell r="F245" t="str">
            <v/>
          </cell>
        </row>
        <row r="246">
          <cell r="C246"/>
          <cell r="E246" t="str">
            <v/>
          </cell>
          <cell r="F246" t="str">
            <v/>
          </cell>
        </row>
        <row r="247">
          <cell r="C247"/>
          <cell r="E247" t="str">
            <v/>
          </cell>
          <cell r="F247" t="str">
            <v/>
          </cell>
        </row>
        <row r="248">
          <cell r="C248"/>
          <cell r="E248" t="str">
            <v/>
          </cell>
          <cell r="F248" t="str">
            <v/>
          </cell>
        </row>
        <row r="249">
          <cell r="C249"/>
          <cell r="E249" t="str">
            <v/>
          </cell>
          <cell r="F249" t="str">
            <v/>
          </cell>
        </row>
        <row r="250">
          <cell r="C250"/>
          <cell r="E250" t="str">
            <v/>
          </cell>
          <cell r="F250" t="str">
            <v/>
          </cell>
        </row>
        <row r="251">
          <cell r="C251"/>
          <cell r="E251" t="str">
            <v/>
          </cell>
          <cell r="F251" t="str">
            <v/>
          </cell>
        </row>
        <row r="252">
          <cell r="C252"/>
          <cell r="E252" t="str">
            <v/>
          </cell>
          <cell r="F252" t="str">
            <v/>
          </cell>
        </row>
        <row r="253">
          <cell r="C253"/>
          <cell r="E253" t="str">
            <v/>
          </cell>
          <cell r="F253" t="str">
            <v/>
          </cell>
        </row>
        <row r="254">
          <cell r="C254"/>
          <cell r="E254" t="str">
            <v/>
          </cell>
          <cell r="F254" t="str">
            <v/>
          </cell>
        </row>
        <row r="255">
          <cell r="C255"/>
          <cell r="E255" t="str">
            <v/>
          </cell>
          <cell r="F255" t="str">
            <v/>
          </cell>
        </row>
        <row r="256">
          <cell r="C256"/>
          <cell r="E256" t="str">
            <v/>
          </cell>
          <cell r="F256" t="str">
            <v/>
          </cell>
        </row>
        <row r="257">
          <cell r="C257"/>
          <cell r="E257" t="str">
            <v/>
          </cell>
          <cell r="F257" t="str">
            <v/>
          </cell>
        </row>
        <row r="258">
          <cell r="C258"/>
          <cell r="E258" t="str">
            <v/>
          </cell>
          <cell r="F258" t="str">
            <v/>
          </cell>
        </row>
        <row r="259">
          <cell r="C259"/>
          <cell r="E259" t="str">
            <v/>
          </cell>
          <cell r="F259" t="str">
            <v/>
          </cell>
        </row>
        <row r="260">
          <cell r="C260"/>
          <cell r="E260" t="str">
            <v/>
          </cell>
          <cell r="F260" t="str">
            <v/>
          </cell>
        </row>
        <row r="261">
          <cell r="C261"/>
          <cell r="E261" t="str">
            <v/>
          </cell>
          <cell r="F261" t="str">
            <v/>
          </cell>
        </row>
        <row r="262">
          <cell r="C262"/>
          <cell r="E262" t="str">
            <v/>
          </cell>
          <cell r="F262" t="str">
            <v/>
          </cell>
        </row>
        <row r="263">
          <cell r="C263"/>
          <cell r="E263" t="str">
            <v/>
          </cell>
          <cell r="F263" t="str">
            <v/>
          </cell>
        </row>
        <row r="264">
          <cell r="C264"/>
          <cell r="E264" t="str">
            <v/>
          </cell>
          <cell r="F264" t="str">
            <v/>
          </cell>
        </row>
        <row r="265">
          <cell r="C265"/>
          <cell r="E265" t="str">
            <v/>
          </cell>
          <cell r="F265" t="str">
            <v/>
          </cell>
        </row>
        <row r="266">
          <cell r="C266"/>
          <cell r="E266" t="str">
            <v/>
          </cell>
          <cell r="F266" t="str">
            <v/>
          </cell>
        </row>
        <row r="267">
          <cell r="C267"/>
          <cell r="E267" t="str">
            <v/>
          </cell>
          <cell r="F267" t="str">
            <v/>
          </cell>
        </row>
        <row r="268">
          <cell r="C268"/>
          <cell r="E268" t="str">
            <v/>
          </cell>
          <cell r="F268" t="str">
            <v/>
          </cell>
        </row>
        <row r="269">
          <cell r="C269"/>
          <cell r="E269" t="str">
            <v/>
          </cell>
          <cell r="F269" t="str">
            <v/>
          </cell>
        </row>
        <row r="270">
          <cell r="C270"/>
          <cell r="E270" t="str">
            <v/>
          </cell>
          <cell r="F270" t="str">
            <v/>
          </cell>
        </row>
        <row r="271">
          <cell r="C271"/>
          <cell r="E271" t="str">
            <v/>
          </cell>
          <cell r="F271" t="str">
            <v/>
          </cell>
        </row>
        <row r="272">
          <cell r="C272"/>
          <cell r="E272" t="str">
            <v/>
          </cell>
          <cell r="F272" t="str">
            <v/>
          </cell>
        </row>
        <row r="273">
          <cell r="C273"/>
          <cell r="E273" t="str">
            <v/>
          </cell>
          <cell r="F273" t="str">
            <v/>
          </cell>
        </row>
        <row r="274">
          <cell r="C274"/>
          <cell r="E274" t="str">
            <v/>
          </cell>
          <cell r="F274" t="str">
            <v/>
          </cell>
        </row>
        <row r="275">
          <cell r="C275"/>
          <cell r="E275" t="str">
            <v/>
          </cell>
          <cell r="F275" t="str">
            <v/>
          </cell>
        </row>
        <row r="276">
          <cell r="C276"/>
          <cell r="E276" t="str">
            <v/>
          </cell>
          <cell r="F276" t="str">
            <v/>
          </cell>
        </row>
        <row r="277">
          <cell r="C277"/>
          <cell r="E277" t="str">
            <v/>
          </cell>
          <cell r="F277" t="str">
            <v/>
          </cell>
        </row>
        <row r="278">
          <cell r="C278"/>
          <cell r="E278" t="str">
            <v/>
          </cell>
          <cell r="F278" t="str">
            <v/>
          </cell>
        </row>
        <row r="279">
          <cell r="C279"/>
          <cell r="E279" t="str">
            <v/>
          </cell>
          <cell r="F279" t="str">
            <v/>
          </cell>
        </row>
        <row r="280">
          <cell r="C280"/>
          <cell r="E280" t="str">
            <v/>
          </cell>
          <cell r="F280" t="str">
            <v/>
          </cell>
        </row>
        <row r="281">
          <cell r="C281"/>
          <cell r="E281" t="str">
            <v/>
          </cell>
          <cell r="F281" t="str">
            <v/>
          </cell>
        </row>
        <row r="282">
          <cell r="C282"/>
          <cell r="E282" t="str">
            <v/>
          </cell>
          <cell r="F282" t="str">
            <v/>
          </cell>
        </row>
        <row r="283">
          <cell r="C283"/>
          <cell r="E283" t="str">
            <v/>
          </cell>
          <cell r="F283" t="str">
            <v/>
          </cell>
        </row>
        <row r="284">
          <cell r="C284"/>
          <cell r="E284" t="str">
            <v/>
          </cell>
          <cell r="F284" t="str">
            <v/>
          </cell>
        </row>
        <row r="285">
          <cell r="C285"/>
          <cell r="E285" t="str">
            <v/>
          </cell>
          <cell r="F285" t="str">
            <v/>
          </cell>
        </row>
        <row r="286">
          <cell r="C286"/>
          <cell r="E286" t="str">
            <v/>
          </cell>
          <cell r="F286" t="str">
            <v/>
          </cell>
        </row>
        <row r="287">
          <cell r="C287"/>
          <cell r="E287" t="str">
            <v/>
          </cell>
          <cell r="F287" t="str">
            <v/>
          </cell>
        </row>
        <row r="288">
          <cell r="C288"/>
          <cell r="E288" t="str">
            <v/>
          </cell>
          <cell r="F288" t="str">
            <v/>
          </cell>
        </row>
        <row r="289">
          <cell r="C289"/>
          <cell r="E289" t="str">
            <v/>
          </cell>
          <cell r="F289" t="str">
            <v/>
          </cell>
        </row>
        <row r="290">
          <cell r="C290"/>
          <cell r="E290" t="str">
            <v/>
          </cell>
          <cell r="F290" t="str">
            <v/>
          </cell>
        </row>
        <row r="291">
          <cell r="C291"/>
          <cell r="E291" t="str">
            <v/>
          </cell>
          <cell r="F291" t="str">
            <v/>
          </cell>
        </row>
        <row r="292">
          <cell r="C292"/>
          <cell r="E292" t="str">
            <v/>
          </cell>
          <cell r="F292" t="str">
            <v/>
          </cell>
        </row>
        <row r="293">
          <cell r="C293"/>
          <cell r="E293" t="str">
            <v/>
          </cell>
          <cell r="F293" t="str">
            <v/>
          </cell>
        </row>
        <row r="294">
          <cell r="C294"/>
          <cell r="E294" t="str">
            <v/>
          </cell>
          <cell r="F294" t="str">
            <v/>
          </cell>
        </row>
        <row r="295">
          <cell r="C295"/>
          <cell r="E295" t="str">
            <v/>
          </cell>
          <cell r="F295" t="str">
            <v/>
          </cell>
        </row>
        <row r="296">
          <cell r="C296"/>
          <cell r="E296" t="str">
            <v/>
          </cell>
          <cell r="F296" t="str">
            <v/>
          </cell>
        </row>
        <row r="297">
          <cell r="C297"/>
          <cell r="E297" t="str">
            <v/>
          </cell>
          <cell r="F297" t="str">
            <v/>
          </cell>
        </row>
        <row r="298">
          <cell r="C298"/>
          <cell r="E298" t="str">
            <v/>
          </cell>
          <cell r="F298" t="str">
            <v/>
          </cell>
        </row>
        <row r="299">
          <cell r="C299"/>
          <cell r="E299" t="str">
            <v/>
          </cell>
          <cell r="F299" t="str">
            <v/>
          </cell>
        </row>
        <row r="300">
          <cell r="C300"/>
          <cell r="E300" t="str">
            <v/>
          </cell>
          <cell r="F300" t="str">
            <v/>
          </cell>
        </row>
        <row r="301">
          <cell r="C301"/>
          <cell r="E301" t="str">
            <v/>
          </cell>
          <cell r="F301" t="str">
            <v/>
          </cell>
        </row>
        <row r="302">
          <cell r="C302"/>
          <cell r="E302" t="str">
            <v/>
          </cell>
          <cell r="F302" t="str">
            <v/>
          </cell>
        </row>
        <row r="303">
          <cell r="C303"/>
          <cell r="E303" t="str">
            <v/>
          </cell>
          <cell r="F303" t="str">
            <v/>
          </cell>
        </row>
        <row r="304">
          <cell r="C304"/>
          <cell r="E304" t="str">
            <v/>
          </cell>
          <cell r="F304" t="str">
            <v/>
          </cell>
        </row>
        <row r="305">
          <cell r="C305"/>
          <cell r="E305" t="str">
            <v/>
          </cell>
          <cell r="F305" t="str">
            <v/>
          </cell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01.2023"/>
      <sheetName val="03.2023"/>
      <sheetName val="xform"/>
      <sheetName val="01.2022"/>
      <sheetName val="03.2022"/>
      <sheetName val="04.2022"/>
      <sheetName val="05.2022"/>
      <sheetName val="06.2022"/>
      <sheetName val="07.2022"/>
      <sheetName val="08.2022"/>
      <sheetName val="09.2022"/>
      <sheetName val="10.2022"/>
      <sheetName val="11.2022"/>
    </sheetNames>
    <sheetDataSet>
      <sheetData sheetId="0">
        <row r="1">
          <cell r="B1" t="str">
            <v>№ дог-ра</v>
          </cell>
          <cell r="C1" t="str">
            <v>Что прощаем</v>
          </cell>
          <cell r="D1" t="str">
            <v>Прощение</v>
          </cell>
          <cell r="E1" t="str">
            <v>К оплате</v>
          </cell>
        </row>
        <row r="2">
          <cell r="B2" t="str">
            <v>В-19585/КЛ.Транш-1_В-21082023/Ц</v>
          </cell>
          <cell r="C2" t="str">
            <v>пени</v>
          </cell>
          <cell r="D2">
            <v>8490</v>
          </cell>
          <cell r="E2">
            <v>9591</v>
          </cell>
          <cell r="G2">
            <v>45291</v>
          </cell>
        </row>
        <row r="3">
          <cell r="B3" t="str">
            <v>В-27315/КЛ.Транш-1_В-21082023/Ц</v>
          </cell>
          <cell r="C3" t="str">
            <v>пени</v>
          </cell>
          <cell r="D3">
            <v>1947</v>
          </cell>
          <cell r="E3">
            <v>19774</v>
          </cell>
        </row>
        <row r="4">
          <cell r="B4" t="str">
            <v>В-18921/КЛ.Транш-1_В-21082023/Ц</v>
          </cell>
          <cell r="C4" t="str">
            <v>пени</v>
          </cell>
          <cell r="D4">
            <v>100625</v>
          </cell>
          <cell r="E4">
            <v>154500</v>
          </cell>
        </row>
        <row r="5">
          <cell r="B5" t="str">
            <v>В-19355/КЛ.Транш-1_В-21082023/Ц</v>
          </cell>
          <cell r="C5" t="str">
            <v>пени</v>
          </cell>
          <cell r="D5">
            <v>3660</v>
          </cell>
          <cell r="E5">
            <v>20354</v>
          </cell>
        </row>
        <row r="6">
          <cell r="B6" t="str">
            <v>В-01188/АЗ_В-21082023/Ц</v>
          </cell>
          <cell r="C6" t="str">
            <v>пени</v>
          </cell>
          <cell r="D6">
            <v>7615.46</v>
          </cell>
          <cell r="E6">
            <v>19951.310000000001</v>
          </cell>
        </row>
        <row r="7">
          <cell r="B7" t="str">
            <v>В-26125/АЗ_В-21082023/Ц</v>
          </cell>
          <cell r="C7" t="str">
            <v>пени</v>
          </cell>
          <cell r="D7">
            <v>26443.759999999998</v>
          </cell>
          <cell r="E7">
            <v>48627.73</v>
          </cell>
        </row>
        <row r="8">
          <cell r="B8" t="str">
            <v>В-23555/КЛ.Транш-1_В-21082023/Ц</v>
          </cell>
          <cell r="C8" t="str">
            <v>пени</v>
          </cell>
          <cell r="D8">
            <v>5395.4</v>
          </cell>
          <cell r="E8">
            <v>43822.05</v>
          </cell>
        </row>
        <row r="9">
          <cell r="B9" t="str">
            <v>В-22979/КЛ.Транш-1_В-21082023/Ц</v>
          </cell>
          <cell r="C9" t="str">
            <v>пени</v>
          </cell>
          <cell r="D9">
            <v>19620.919999999998</v>
          </cell>
          <cell r="E9">
            <v>19887.07</v>
          </cell>
        </row>
        <row r="10">
          <cell r="B10" t="str">
            <v>В-23370/КЛ.Транш-1_В-21082023/Ц</v>
          </cell>
          <cell r="C10" t="str">
            <v>пени</v>
          </cell>
          <cell r="D10">
            <v>9035.6299999999992</v>
          </cell>
          <cell r="E10">
            <v>7816.73</v>
          </cell>
        </row>
        <row r="11">
          <cell r="B11" t="str">
            <v>В-23370/КЛ.Транш-2_В-21082023/Ц</v>
          </cell>
          <cell r="C11" t="str">
            <v>пени</v>
          </cell>
          <cell r="D11">
            <v>9473.92</v>
          </cell>
          <cell r="E11">
            <v>6603.26</v>
          </cell>
        </row>
        <row r="12">
          <cell r="B12" t="str">
            <v>В-28968/АЗ_В-21082023/Ц</v>
          </cell>
          <cell r="C12" t="str">
            <v>пени</v>
          </cell>
          <cell r="D12">
            <v>433</v>
          </cell>
          <cell r="E12">
            <v>22384</v>
          </cell>
        </row>
        <row r="13">
          <cell r="B13" t="str">
            <v>В-28549/АЗ_В-21082023/Ц</v>
          </cell>
          <cell r="C13" t="str">
            <v>пени</v>
          </cell>
          <cell r="D13">
            <v>311</v>
          </cell>
          <cell r="E13">
            <v>23150</v>
          </cell>
        </row>
        <row r="14">
          <cell r="B14"/>
          <cell r="C14"/>
          <cell r="D14"/>
          <cell r="E14"/>
        </row>
        <row r="15">
          <cell r="B15"/>
          <cell r="C15"/>
          <cell r="D15"/>
          <cell r="E15"/>
        </row>
        <row r="16">
          <cell r="B16"/>
          <cell r="C16"/>
          <cell r="D16"/>
          <cell r="E16"/>
        </row>
        <row r="17">
          <cell r="B17"/>
          <cell r="C17"/>
          <cell r="D17"/>
          <cell r="E17"/>
        </row>
        <row r="18">
          <cell r="B18"/>
          <cell r="C18"/>
          <cell r="D18"/>
          <cell r="E18"/>
        </row>
        <row r="19">
          <cell r="B19"/>
          <cell r="C19"/>
          <cell r="D19"/>
          <cell r="E19"/>
        </row>
        <row r="20">
          <cell r="B20"/>
          <cell r="C20"/>
          <cell r="D20"/>
          <cell r="E20"/>
        </row>
        <row r="21">
          <cell r="B21"/>
          <cell r="C21"/>
          <cell r="D21"/>
          <cell r="E21"/>
        </row>
        <row r="22">
          <cell r="B22"/>
          <cell r="C22"/>
          <cell r="D22"/>
          <cell r="E22"/>
        </row>
        <row r="23">
          <cell r="B23"/>
          <cell r="C23"/>
          <cell r="D23"/>
          <cell r="E23"/>
        </row>
        <row r="24">
          <cell r="B24"/>
          <cell r="C24"/>
          <cell r="D24"/>
          <cell r="E24"/>
        </row>
        <row r="25">
          <cell r="B25"/>
          <cell r="C25"/>
          <cell r="D25"/>
          <cell r="E25"/>
        </row>
        <row r="26">
          <cell r="B26"/>
          <cell r="C26"/>
          <cell r="D26"/>
          <cell r="E26"/>
        </row>
        <row r="27">
          <cell r="B27"/>
          <cell r="C27"/>
          <cell r="D27"/>
          <cell r="E27"/>
        </row>
        <row r="28">
          <cell r="B28"/>
          <cell r="C28"/>
          <cell r="D28"/>
          <cell r="E28"/>
        </row>
        <row r="29">
          <cell r="B29"/>
          <cell r="C29"/>
          <cell r="D29"/>
          <cell r="E29"/>
        </row>
        <row r="30">
          <cell r="B30"/>
          <cell r="C30"/>
          <cell r="D30"/>
          <cell r="E30"/>
        </row>
        <row r="31">
          <cell r="B31"/>
          <cell r="C31"/>
          <cell r="D31"/>
          <cell r="E31"/>
        </row>
        <row r="32">
          <cell r="B32"/>
          <cell r="C32"/>
          <cell r="D32"/>
          <cell r="E32"/>
        </row>
        <row r="33">
          <cell r="B33"/>
          <cell r="C33"/>
          <cell r="D33"/>
          <cell r="E33"/>
        </row>
        <row r="34">
          <cell r="B34"/>
          <cell r="C34"/>
          <cell r="D34"/>
          <cell r="E34"/>
        </row>
        <row r="35">
          <cell r="B35"/>
          <cell r="C35"/>
          <cell r="D35"/>
          <cell r="E35"/>
        </row>
        <row r="36">
          <cell r="B36"/>
          <cell r="C36"/>
          <cell r="D36"/>
          <cell r="E36"/>
        </row>
        <row r="37">
          <cell r="B37"/>
          <cell r="C37"/>
          <cell r="D37"/>
          <cell r="E37"/>
        </row>
        <row r="38">
          <cell r="B38"/>
          <cell r="C38"/>
          <cell r="D38"/>
          <cell r="E38"/>
        </row>
        <row r="39">
          <cell r="B39"/>
          <cell r="C39"/>
          <cell r="D39"/>
          <cell r="E39"/>
        </row>
        <row r="40">
          <cell r="B40"/>
          <cell r="C40"/>
          <cell r="D40"/>
          <cell r="E40"/>
        </row>
        <row r="41">
          <cell r="B41"/>
          <cell r="C41"/>
          <cell r="D41"/>
          <cell r="E41"/>
        </row>
        <row r="42">
          <cell r="B42"/>
          <cell r="C42"/>
          <cell r="D42"/>
          <cell r="E42"/>
        </row>
        <row r="43">
          <cell r="B43"/>
          <cell r="C43"/>
          <cell r="D43"/>
          <cell r="E43"/>
        </row>
        <row r="44">
          <cell r="B44"/>
          <cell r="C44"/>
          <cell r="D44"/>
          <cell r="E44"/>
        </row>
        <row r="45">
          <cell r="B45"/>
          <cell r="C45"/>
          <cell r="D45"/>
          <cell r="E45"/>
        </row>
        <row r="46">
          <cell r="B46"/>
          <cell r="C46"/>
          <cell r="D46"/>
          <cell r="E46"/>
        </row>
        <row r="47">
          <cell r="B47"/>
          <cell r="C47"/>
          <cell r="D47"/>
          <cell r="E47"/>
        </row>
        <row r="48">
          <cell r="B48"/>
          <cell r="C48"/>
          <cell r="D48"/>
          <cell r="E48"/>
        </row>
        <row r="49">
          <cell r="B49"/>
          <cell r="C49"/>
          <cell r="D49"/>
          <cell r="E49"/>
        </row>
        <row r="50">
          <cell r="B50"/>
          <cell r="C50"/>
          <cell r="D50"/>
          <cell r="E50"/>
        </row>
        <row r="51">
          <cell r="B51"/>
          <cell r="C51"/>
          <cell r="D51"/>
          <cell r="E51"/>
        </row>
        <row r="52">
          <cell r="B52"/>
          <cell r="C52"/>
          <cell r="D52"/>
          <cell r="E52"/>
        </row>
        <row r="53">
          <cell r="B53"/>
          <cell r="C53"/>
          <cell r="D53"/>
          <cell r="E53"/>
        </row>
        <row r="54">
          <cell r="B54"/>
          <cell r="C54"/>
          <cell r="D54"/>
          <cell r="E54"/>
        </row>
        <row r="55">
          <cell r="B55"/>
          <cell r="C55"/>
          <cell r="D55"/>
          <cell r="E55"/>
        </row>
        <row r="56">
          <cell r="B56"/>
          <cell r="C56"/>
          <cell r="D56"/>
          <cell r="E56"/>
        </row>
        <row r="57">
          <cell r="B57"/>
          <cell r="C57"/>
          <cell r="D57"/>
          <cell r="E57"/>
        </row>
        <row r="58">
          <cell r="B58"/>
          <cell r="C58"/>
          <cell r="D58"/>
          <cell r="E58"/>
        </row>
        <row r="59">
          <cell r="B59"/>
          <cell r="C59"/>
          <cell r="D59"/>
          <cell r="E59"/>
        </row>
        <row r="60">
          <cell r="B60"/>
          <cell r="C60"/>
          <cell r="D60"/>
          <cell r="E60"/>
        </row>
        <row r="61">
          <cell r="B61"/>
          <cell r="C61"/>
          <cell r="D61"/>
          <cell r="E61"/>
        </row>
        <row r="62">
          <cell r="B62"/>
          <cell r="C62"/>
          <cell r="D62"/>
          <cell r="E62"/>
        </row>
        <row r="63">
          <cell r="B63"/>
          <cell r="C63"/>
          <cell r="D63"/>
          <cell r="E63"/>
        </row>
        <row r="64">
          <cell r="B64"/>
          <cell r="C64"/>
          <cell r="D64"/>
          <cell r="E64"/>
        </row>
        <row r="65">
          <cell r="B65"/>
          <cell r="C65"/>
          <cell r="D65"/>
          <cell r="E65"/>
        </row>
        <row r="66">
          <cell r="B66"/>
          <cell r="C66"/>
          <cell r="D66"/>
          <cell r="E66"/>
        </row>
        <row r="67">
          <cell r="B67"/>
          <cell r="C67"/>
          <cell r="D67"/>
          <cell r="E67"/>
        </row>
        <row r="68">
          <cell r="B68"/>
          <cell r="C68"/>
          <cell r="D68"/>
          <cell r="E68"/>
        </row>
        <row r="69">
          <cell r="B69"/>
          <cell r="C69"/>
          <cell r="D69"/>
          <cell r="E69"/>
        </row>
        <row r="70">
          <cell r="B70"/>
          <cell r="C70"/>
          <cell r="D70"/>
          <cell r="E70"/>
        </row>
        <row r="71">
          <cell r="B71"/>
          <cell r="C71"/>
          <cell r="D71"/>
          <cell r="E71"/>
        </row>
      </sheetData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A1" t="str">
            <v>В-26950/КЛ</v>
          </cell>
        </row>
        <row r="2">
          <cell r="A2" t="str">
            <v>В-18921/КЛ</v>
          </cell>
        </row>
        <row r="3">
          <cell r="A3" t="str">
            <v>В-09100/КЛ</v>
          </cell>
        </row>
        <row r="4">
          <cell r="A4" t="str">
            <v>В-01188/АЗ</v>
          </cell>
        </row>
        <row r="5">
          <cell r="A5" t="str">
            <v>В-27315/КЛ</v>
          </cell>
        </row>
        <row r="6">
          <cell r="A6" t="str">
            <v>В-11277/КЛ</v>
          </cell>
        </row>
        <row r="7">
          <cell r="A7" t="str">
            <v>В-28968/АЗ</v>
          </cell>
        </row>
        <row r="8">
          <cell r="A8" t="str">
            <v>В-28549/АЗ</v>
          </cell>
        </row>
        <row r="9">
          <cell r="A9" t="str">
            <v>В-28360/КЛ</v>
          </cell>
        </row>
        <row r="10">
          <cell r="A10" t="str">
            <v>В-12256/КЛ</v>
          </cell>
        </row>
        <row r="11">
          <cell r="A11" t="str">
            <v>В-23923/КЛ</v>
          </cell>
        </row>
        <row r="12">
          <cell r="A12" t="str">
            <v>В-27065/АЗ</v>
          </cell>
        </row>
        <row r="13">
          <cell r="A13" t="str">
            <v>В-26928/КЛ</v>
          </cell>
        </row>
        <row r="14">
          <cell r="A14" t="str">
            <v>В-22409/КЛ</v>
          </cell>
        </row>
        <row r="15">
          <cell r="A15" t="str">
            <v>В-12256/КЛ</v>
          </cell>
        </row>
        <row r="16">
          <cell r="A16" t="str">
            <v>В-23923/КЛ</v>
          </cell>
        </row>
        <row r="17">
          <cell r="A17" t="str">
            <v>В-12574/КЛ</v>
          </cell>
        </row>
        <row r="18">
          <cell r="A18" t="str">
            <v>В-08348/КЛ</v>
          </cell>
        </row>
        <row r="19">
          <cell r="A19" t="str">
            <v>В-22677/КЛ</v>
          </cell>
        </row>
        <row r="20">
          <cell r="A20" t="str">
            <v>В-26422/КЛ</v>
          </cell>
        </row>
        <row r="21">
          <cell r="A21" t="str">
            <v>В-28961/КЛ</v>
          </cell>
        </row>
        <row r="22">
          <cell r="A22" t="str">
            <v>В-10050/КЛ</v>
          </cell>
        </row>
        <row r="23">
          <cell r="A23" t="str">
            <v>В-28436/АЗ</v>
          </cell>
        </row>
        <row r="24">
          <cell r="A24" t="str">
            <v>В-01174/АЗ</v>
          </cell>
        </row>
        <row r="25">
          <cell r="A25" t="str">
            <v>В-20952/КЛ</v>
          </cell>
        </row>
        <row r="26">
          <cell r="A26" t="str">
            <v>В-27914/КЛ</v>
          </cell>
        </row>
        <row r="27">
          <cell r="A27" t="str">
            <v>В-28587/КЛ</v>
          </cell>
        </row>
        <row r="28">
          <cell r="A28" t="str">
            <v>В-21872/КЛ</v>
          </cell>
        </row>
        <row r="29">
          <cell r="A29" t="str">
            <v>В-08644/КЛ</v>
          </cell>
        </row>
        <row r="30">
          <cell r="A30" t="str">
            <v>В-12943/КЛ</v>
          </cell>
        </row>
        <row r="31">
          <cell r="A31" t="str">
            <v>В-25824/КЛ</v>
          </cell>
        </row>
        <row r="32">
          <cell r="A32" t="str">
            <v>В-00052/КЭ</v>
          </cell>
        </row>
        <row r="33">
          <cell r="A33" t="str">
            <v>В-26114/КЛ</v>
          </cell>
        </row>
        <row r="34">
          <cell r="A34" t="str">
            <v>В-26664/КЛ</v>
          </cell>
        </row>
        <row r="35">
          <cell r="A35" t="str">
            <v>В-10014/КЭ</v>
          </cell>
        </row>
        <row r="36">
          <cell r="A36" t="str">
            <v>В-02583/КЛ</v>
          </cell>
        </row>
        <row r="37">
          <cell r="A37" t="str">
            <v>В-27049/АЗ</v>
          </cell>
        </row>
        <row r="38">
          <cell r="A38" t="str">
            <v>В-17318/КЛ</v>
          </cell>
        </row>
        <row r="39">
          <cell r="A39" t="str">
            <v>В-25052/КЛ</v>
          </cell>
        </row>
        <row r="40">
          <cell r="A40" t="str">
            <v>В-21137/КЛ</v>
          </cell>
        </row>
        <row r="41">
          <cell r="A41" t="str">
            <v>В-25865/КЛ</v>
          </cell>
        </row>
        <row r="42">
          <cell r="A42" t="str">
            <v>В-25306/КЛ</v>
          </cell>
        </row>
        <row r="43">
          <cell r="A43" t="str">
            <v>В-03300/КЛ</v>
          </cell>
        </row>
        <row r="44">
          <cell r="A44" t="str">
            <v>В-27410/КЛ</v>
          </cell>
        </row>
        <row r="45">
          <cell r="A45" t="str">
            <v>В-00030/КЭ</v>
          </cell>
        </row>
        <row r="46">
          <cell r="A46" t="str">
            <v>В-19346/КЛ</v>
          </cell>
        </row>
        <row r="47">
          <cell r="A47" t="str">
            <v>В-19684/КЛ</v>
          </cell>
        </row>
        <row r="48">
          <cell r="A48" t="str">
            <v>В-20731/КЛ</v>
          </cell>
        </row>
        <row r="49">
          <cell r="A49" t="str">
            <v>В-18141/КЛ</v>
          </cell>
        </row>
        <row r="50">
          <cell r="A50" t="str">
            <v>В-30007/КЭ</v>
          </cell>
        </row>
        <row r="51">
          <cell r="A51" t="str">
            <v>В-03450/КЛ</v>
          </cell>
        </row>
        <row r="52">
          <cell r="A52" t="str">
            <v>В-16728/КЛ</v>
          </cell>
        </row>
        <row r="53">
          <cell r="A53" t="str">
            <v>В-01203/АЗ</v>
          </cell>
        </row>
        <row r="54">
          <cell r="A54" t="str">
            <v>В-28252/КЛ</v>
          </cell>
        </row>
        <row r="55">
          <cell r="A55" t="str">
            <v>В-19104/КЛ</v>
          </cell>
        </row>
        <row r="56">
          <cell r="A56" t="str">
            <v>В-27753/КЛ</v>
          </cell>
        </row>
        <row r="57">
          <cell r="A57" t="str">
            <v>В-27843/КЛ</v>
          </cell>
        </row>
        <row r="58">
          <cell r="A58" t="str">
            <v>В-18631/КЛ</v>
          </cell>
        </row>
        <row r="59">
          <cell r="A59" t="str">
            <v>В-10039/КЛ</v>
          </cell>
        </row>
        <row r="60">
          <cell r="A60" t="str">
            <v>В-00634/АЗ</v>
          </cell>
        </row>
        <row r="61">
          <cell r="A61" t="str">
            <v>В-28274/КЛ</v>
          </cell>
        </row>
        <row r="62">
          <cell r="A62" t="str">
            <v>В-20140/КЛ</v>
          </cell>
        </row>
        <row r="63">
          <cell r="A63" t="str">
            <v>В-04333/КЛ</v>
          </cell>
        </row>
        <row r="64">
          <cell r="A64" t="str">
            <v>В-26170/КЛ</v>
          </cell>
        </row>
        <row r="65">
          <cell r="A65" t="str">
            <v>В-06818/КЛ</v>
          </cell>
        </row>
        <row r="66">
          <cell r="A66" t="str">
            <v>В-25950/КЛ</v>
          </cell>
        </row>
        <row r="67">
          <cell r="A67" t="str">
            <v>В-25530/КЛ</v>
          </cell>
        </row>
        <row r="68">
          <cell r="A68" t="str">
            <v>В-01013/КЛ</v>
          </cell>
        </row>
        <row r="69">
          <cell r="A69" t="str">
            <v>В-28090/АЗ</v>
          </cell>
        </row>
        <row r="70">
          <cell r="A70" t="str">
            <v>В-27334/КЛ</v>
          </cell>
        </row>
        <row r="71">
          <cell r="A71" t="str">
            <v>В-16261/КЛ</v>
          </cell>
        </row>
        <row r="72">
          <cell r="A72" t="str">
            <v>В-28159/КЛ</v>
          </cell>
        </row>
        <row r="73">
          <cell r="A73" t="str">
            <v>В-27835/КЛ</v>
          </cell>
        </row>
        <row r="74">
          <cell r="A74" t="str">
            <v>В-19597/КЛ</v>
          </cell>
        </row>
        <row r="75">
          <cell r="A75" t="str">
            <v>В-26816/КЛ</v>
          </cell>
        </row>
        <row r="76">
          <cell r="A76" t="str">
            <v>В-14818/КЛ</v>
          </cell>
        </row>
        <row r="77">
          <cell r="A77" t="str">
            <v>В-24493/КЛ</v>
          </cell>
        </row>
        <row r="78">
          <cell r="A78" t="str">
            <v>В-21731/КЛ</v>
          </cell>
        </row>
        <row r="79">
          <cell r="A79" t="str">
            <v>В-28393/КЛ</v>
          </cell>
        </row>
        <row r="80">
          <cell r="A80" t="str">
            <v>В-20251/КЛ</v>
          </cell>
        </row>
        <row r="81">
          <cell r="A81" t="str">
            <v>В-23410/КЛ</v>
          </cell>
        </row>
        <row r="82">
          <cell r="A82" t="str">
            <v>В-18909/КЛ</v>
          </cell>
        </row>
        <row r="83">
          <cell r="A83" t="str">
            <v>В-10020/КЭ</v>
          </cell>
        </row>
        <row r="84">
          <cell r="A84" t="str">
            <v>В-05402/КЛ</v>
          </cell>
        </row>
        <row r="85">
          <cell r="A85" t="str">
            <v>В-17417/КЛ</v>
          </cell>
        </row>
        <row r="86">
          <cell r="A86" t="str">
            <v>В-12113/КЛ</v>
          </cell>
        </row>
        <row r="87">
          <cell r="A87" t="str">
            <v>В-26949/КЛ</v>
          </cell>
        </row>
        <row r="88">
          <cell r="A88" t="str">
            <v>В-24385/КЛ</v>
          </cell>
        </row>
        <row r="89">
          <cell r="A89" t="str">
            <v>В-30005/КЭ</v>
          </cell>
        </row>
        <row r="90">
          <cell r="A90" t="str">
            <v>В-01180/АЗ</v>
          </cell>
        </row>
        <row r="91">
          <cell r="A91" t="str">
            <v>Т-01885/АЗ</v>
          </cell>
        </row>
        <row r="92">
          <cell r="A92" t="str">
            <v>В-00063/КЭ</v>
          </cell>
        </row>
        <row r="93">
          <cell r="A93" t="str">
            <v>В-28224/КЛ</v>
          </cell>
        </row>
        <row r="94">
          <cell r="A94" t="str">
            <v>В-14546/КЛ</v>
          </cell>
        </row>
        <row r="95">
          <cell r="A95" t="str">
            <v>В-19897/КЛ</v>
          </cell>
        </row>
        <row r="96">
          <cell r="A96" t="str">
            <v>В-18548/КЛ</v>
          </cell>
        </row>
        <row r="97">
          <cell r="A97" t="str">
            <v>В-20180/КЛ</v>
          </cell>
        </row>
        <row r="98">
          <cell r="A98" t="str">
            <v>В-23776/КЛ</v>
          </cell>
        </row>
        <row r="99">
          <cell r="A99" t="str">
            <v>В-26649/АЗ</v>
          </cell>
        </row>
        <row r="100">
          <cell r="A100" t="str">
            <v>В-26651/АЗ</v>
          </cell>
        </row>
        <row r="101">
          <cell r="A101" t="str">
            <v>В-23074/КЛ</v>
          </cell>
        </row>
        <row r="102">
          <cell r="A102" t="str">
            <v>В-28872/КЛ</v>
          </cell>
        </row>
        <row r="103">
          <cell r="A103" t="str">
            <v>В-21972/КЛ</v>
          </cell>
        </row>
        <row r="104">
          <cell r="A104" t="str">
            <v>В-25792/КЛ</v>
          </cell>
        </row>
        <row r="105">
          <cell r="A105" t="str">
            <v>В-20118/КЛ</v>
          </cell>
        </row>
        <row r="106">
          <cell r="A106" t="str">
            <v>В-26450/АЗ</v>
          </cell>
        </row>
        <row r="107">
          <cell r="A107" t="str">
            <v>В-10025/КЭ</v>
          </cell>
        </row>
        <row r="108">
          <cell r="A108" t="str">
            <v>В-10008/КЭ</v>
          </cell>
        </row>
        <row r="109">
          <cell r="A109" t="str">
            <v>В-10024/КЭ</v>
          </cell>
        </row>
        <row r="110">
          <cell r="A110" t="str">
            <v>В-26449/АЗ</v>
          </cell>
        </row>
        <row r="111">
          <cell r="A111" t="str">
            <v>В-24308/КЛ</v>
          </cell>
        </row>
        <row r="112">
          <cell r="A112" t="str">
            <v>В-27855/КЛ</v>
          </cell>
        </row>
        <row r="113">
          <cell r="A113" t="str">
            <v>В-08393/КЛ</v>
          </cell>
        </row>
        <row r="114">
          <cell r="A114" t="str">
            <v>В-19425/КЛ</v>
          </cell>
        </row>
        <row r="115">
          <cell r="A115" t="str">
            <v>В-18569/КЛ</v>
          </cell>
        </row>
        <row r="116">
          <cell r="A116" t="str">
            <v>В-01217/АЗ</v>
          </cell>
        </row>
        <row r="117">
          <cell r="A117" t="str">
            <v>В-04724/КЛ</v>
          </cell>
        </row>
        <row r="118">
          <cell r="A118" t="str">
            <v>В-30001/КЭ</v>
          </cell>
        </row>
        <row r="119">
          <cell r="A119" t="str">
            <v>В-19093/КЛ</v>
          </cell>
        </row>
        <row r="120">
          <cell r="A120" t="str">
            <v>В-11630/КЛ</v>
          </cell>
        </row>
        <row r="121">
          <cell r="A121" t="str">
            <v>В-21630/КЛ</v>
          </cell>
        </row>
        <row r="122">
          <cell r="A122" t="str">
            <v>В-11050/КЛ</v>
          </cell>
        </row>
        <row r="123">
          <cell r="A123" t="str">
            <v>В-09174/КЛ</v>
          </cell>
        </row>
        <row r="124">
          <cell r="A124" t="str">
            <v>В-10141/КЛ</v>
          </cell>
        </row>
        <row r="125">
          <cell r="A125" t="str">
            <v>В-07877/КЛ</v>
          </cell>
        </row>
        <row r="126">
          <cell r="A126" t="str">
            <v>В-01113/АЗ</v>
          </cell>
        </row>
        <row r="127">
          <cell r="A127" t="str">
            <v>В-12818/КЛ</v>
          </cell>
        </row>
        <row r="128">
          <cell r="A128" t="str">
            <v>В-28694/КЛ</v>
          </cell>
        </row>
        <row r="129">
          <cell r="A129" t="str">
            <v>В-27251/КЛ</v>
          </cell>
        </row>
        <row r="130">
          <cell r="A130" t="str">
            <v>В-13740/КЛ</v>
          </cell>
        </row>
        <row r="131">
          <cell r="A131" t="str">
            <v>В-15451/КЛ</v>
          </cell>
        </row>
        <row r="132">
          <cell r="A132" t="str">
            <v>В-18164/КЛ</v>
          </cell>
        </row>
        <row r="133">
          <cell r="A133" t="str">
            <v>В-00075/КЭ</v>
          </cell>
        </row>
        <row r="134">
          <cell r="A134" t="str">
            <v>В-26005/АЗ</v>
          </cell>
        </row>
        <row r="135">
          <cell r="A135" t="str">
            <v>В-20921/КЛ</v>
          </cell>
        </row>
        <row r="136">
          <cell r="A136" t="str">
            <v>В-13336/КЛ</v>
          </cell>
        </row>
        <row r="137">
          <cell r="A137" t="str">
            <v>В-15778/КЛ</v>
          </cell>
        </row>
        <row r="138">
          <cell r="A138" t="str">
            <v>В-17853/КЛ</v>
          </cell>
        </row>
        <row r="139">
          <cell r="A139" t="str">
            <v>В-19862/КЛ</v>
          </cell>
        </row>
        <row r="140">
          <cell r="A140" t="str">
            <v>В-07072/КЛ</v>
          </cell>
        </row>
        <row r="141">
          <cell r="A141" t="str">
            <v>В-05105/КЛ</v>
          </cell>
        </row>
        <row r="142">
          <cell r="A142" t="str">
            <v>В-23919/КЛ</v>
          </cell>
        </row>
        <row r="143">
          <cell r="A143" t="str">
            <v>В-19227/КЛ</v>
          </cell>
        </row>
        <row r="144">
          <cell r="A144" t="str">
            <v>В-18586/КЛ</v>
          </cell>
        </row>
        <row r="145">
          <cell r="A145" t="str">
            <v>В-12670/КЛ</v>
          </cell>
        </row>
        <row r="146">
          <cell r="A146" t="str">
            <v>В-18334/КЛ</v>
          </cell>
        </row>
        <row r="147">
          <cell r="A147" t="str">
            <v>В-27438/АЗ</v>
          </cell>
        </row>
        <row r="148">
          <cell r="A148" t="str">
            <v>В-28471/КЛ</v>
          </cell>
        </row>
        <row r="149">
          <cell r="A149" t="str">
            <v>В-01051/АЗ</v>
          </cell>
        </row>
        <row r="150">
          <cell r="A150" t="str">
            <v>В-28684/КЛ</v>
          </cell>
        </row>
        <row r="151">
          <cell r="A151" t="str">
            <v>В-28655/КЛ</v>
          </cell>
        </row>
        <row r="152">
          <cell r="A152" t="str">
            <v>В-25466/АЗ</v>
          </cell>
        </row>
        <row r="153">
          <cell r="A153" t="str">
            <v>В-20210/КЛ</v>
          </cell>
        </row>
        <row r="154">
          <cell r="A154" t="str">
            <v>В-23897/КЛ</v>
          </cell>
        </row>
        <row r="155">
          <cell r="A155" t="str">
            <v>В-22996/КЛ</v>
          </cell>
        </row>
        <row r="156">
          <cell r="A156" t="str">
            <v>В-15881/КЛ</v>
          </cell>
        </row>
        <row r="157">
          <cell r="A157" t="str">
            <v>В-18851/КЛ</v>
          </cell>
        </row>
        <row r="158">
          <cell r="A158" t="str">
            <v>В-28383/КЛ</v>
          </cell>
        </row>
        <row r="159">
          <cell r="A159" t="str">
            <v>В-27256/КЛ</v>
          </cell>
        </row>
        <row r="160">
          <cell r="A160" t="str">
            <v>В-21666/КЛ</v>
          </cell>
        </row>
        <row r="161">
          <cell r="A161" t="str">
            <v>В-01207/АЗ</v>
          </cell>
        </row>
        <row r="162">
          <cell r="A162" t="str">
            <v>В-20458/КЛ</v>
          </cell>
        </row>
        <row r="163">
          <cell r="A163" t="str">
            <v>В-20172/КЛ</v>
          </cell>
        </row>
        <row r="164">
          <cell r="A164" t="str">
            <v>В-05256/КЛ</v>
          </cell>
        </row>
        <row r="165">
          <cell r="A165" t="str">
            <v>В-18890/КЛ</v>
          </cell>
        </row>
        <row r="166">
          <cell r="A166" t="str">
            <v>В-25687/АЗ</v>
          </cell>
        </row>
        <row r="167">
          <cell r="A167" t="str">
            <v>В-19179/КЛ</v>
          </cell>
        </row>
        <row r="168">
          <cell r="A168" t="str">
            <v>В-07729/КЛ</v>
          </cell>
        </row>
        <row r="169">
          <cell r="A169" t="str">
            <v>В-29072/КЛ</v>
          </cell>
        </row>
        <row r="170">
          <cell r="A170" t="str">
            <v>В-16541/КЛ</v>
          </cell>
        </row>
        <row r="171">
          <cell r="A171" t="str">
            <v>В-24336/КЛ</v>
          </cell>
        </row>
        <row r="172">
          <cell r="A172" t="str">
            <v>В-25529/КЛ</v>
          </cell>
        </row>
        <row r="173">
          <cell r="A173" t="str">
            <v>В-26093/КЛ</v>
          </cell>
        </row>
        <row r="174">
          <cell r="A174" t="str">
            <v>В-21175/КЛ</v>
          </cell>
        </row>
        <row r="175">
          <cell r="A175" t="str">
            <v>В-16432/КЛ</v>
          </cell>
        </row>
        <row r="176">
          <cell r="A176" t="str">
            <v>В-27878/АЗ</v>
          </cell>
        </row>
        <row r="177">
          <cell r="A177" t="str">
            <v>В-27848/АЗ</v>
          </cell>
        </row>
        <row r="178">
          <cell r="A178" t="str">
            <v>В-14633/КЛ</v>
          </cell>
        </row>
        <row r="179">
          <cell r="A179" t="str">
            <v>В-17506/КЛ</v>
          </cell>
        </row>
        <row r="180">
          <cell r="A180" t="str">
            <v>В-03359/КЛ</v>
          </cell>
        </row>
        <row r="181">
          <cell r="A181" t="str">
            <v>В-00239/КЛ</v>
          </cell>
        </row>
        <row r="182">
          <cell r="A182" t="str">
            <v>В-18438/КЛ</v>
          </cell>
        </row>
        <row r="183">
          <cell r="A183" t="str">
            <v>В-26474/КЛ</v>
          </cell>
        </row>
        <row r="184">
          <cell r="A184" t="str">
            <v>В-20787/КЛ</v>
          </cell>
        </row>
        <row r="185">
          <cell r="A185" t="str">
            <v>В-17199/КЛ</v>
          </cell>
        </row>
        <row r="186">
          <cell r="A186" t="str">
            <v>В-27105/КЛ</v>
          </cell>
        </row>
        <row r="187">
          <cell r="A187" t="str">
            <v>В-28544/КЛ</v>
          </cell>
        </row>
        <row r="188">
          <cell r="A188" t="str">
            <v>В-14860/КЛ</v>
          </cell>
        </row>
        <row r="189">
          <cell r="A189" t="str">
            <v>В-27416/АЗ</v>
          </cell>
        </row>
        <row r="190">
          <cell r="A190" t="str">
            <v>В-15393/КЛ</v>
          </cell>
        </row>
        <row r="191">
          <cell r="A191" t="str">
            <v>В-01148/АЗ</v>
          </cell>
        </row>
        <row r="192">
          <cell r="A192" t="str">
            <v>В-01147/АЗ</v>
          </cell>
        </row>
        <row r="193">
          <cell r="A193" t="str">
            <v>В-27050/АЗ</v>
          </cell>
        </row>
        <row r="194">
          <cell r="A194" t="str">
            <v>В-17824/КЛ</v>
          </cell>
        </row>
        <row r="195">
          <cell r="A195" t="str">
            <v>В-17752/КЛ</v>
          </cell>
        </row>
        <row r="196">
          <cell r="A196" t="str">
            <v>В-25806/КЛ</v>
          </cell>
        </row>
        <row r="197">
          <cell r="A197" t="str">
            <v>В-20218/КЛ</v>
          </cell>
        </row>
        <row r="198">
          <cell r="A198" t="str">
            <v>В-20032/КЛ</v>
          </cell>
        </row>
        <row r="199">
          <cell r="A199" t="str">
            <v>В-19451/КЛ</v>
          </cell>
        </row>
        <row r="200">
          <cell r="A200" t="str">
            <v>В-15163/КЛ</v>
          </cell>
        </row>
        <row r="201">
          <cell r="A201" t="str">
            <v>В-25367/АЗ</v>
          </cell>
        </row>
        <row r="202">
          <cell r="A202" t="str">
            <v>В-25370/АЗ</v>
          </cell>
        </row>
        <row r="203">
          <cell r="A203" t="str">
            <v>В-25304/АЗ</v>
          </cell>
        </row>
        <row r="204">
          <cell r="A204" t="str">
            <v>В-23242/КЛ</v>
          </cell>
        </row>
        <row r="205">
          <cell r="A205" t="str">
            <v>В-25513/КЛ</v>
          </cell>
        </row>
        <row r="206">
          <cell r="A206" t="str">
            <v>В-26776/КЛ</v>
          </cell>
        </row>
        <row r="207">
          <cell r="A207" t="str">
            <v>В-27747/КЛ</v>
          </cell>
        </row>
        <row r="208">
          <cell r="A208" t="str">
            <v>В-24261/КЛ</v>
          </cell>
        </row>
        <row r="209">
          <cell r="A209" t="str">
            <v>В-21075/КЛ</v>
          </cell>
        </row>
        <row r="210">
          <cell r="A210" t="str">
            <v>В-01098/АЗ</v>
          </cell>
        </row>
        <row r="211">
          <cell r="A211" t="str">
            <v>В-00017/КЛ</v>
          </cell>
        </row>
        <row r="212">
          <cell r="A212" t="str">
            <v>В-22057/КЛ</v>
          </cell>
        </row>
        <row r="213">
          <cell r="A213" t="str">
            <v>В-14544/КЛ</v>
          </cell>
        </row>
        <row r="214">
          <cell r="A214" t="str">
            <v>В-27521/КЛ</v>
          </cell>
        </row>
        <row r="215">
          <cell r="A215" t="str">
            <v>В-14907/КЛ</v>
          </cell>
        </row>
        <row r="216">
          <cell r="A216" t="str">
            <v>В-19526/КЛ</v>
          </cell>
        </row>
        <row r="217">
          <cell r="A217" t="str">
            <v>В-24927/КЛ</v>
          </cell>
        </row>
        <row r="218">
          <cell r="A218" t="str">
            <v>В-23712/КЛ</v>
          </cell>
        </row>
        <row r="219">
          <cell r="A219" t="str">
            <v>В-00473/КЛ</v>
          </cell>
        </row>
        <row r="220">
          <cell r="A220" t="str">
            <v>В-17106/КЛ</v>
          </cell>
        </row>
        <row r="221">
          <cell r="A221" t="str">
            <v>В-11534/КЛ</v>
          </cell>
        </row>
        <row r="222">
          <cell r="A222" t="str">
            <v>В-24878/КЛ</v>
          </cell>
        </row>
        <row r="223">
          <cell r="A223" t="str">
            <v>В-08745/КЛ</v>
          </cell>
        </row>
        <row r="224">
          <cell r="A224" t="str">
            <v>В-24823/КЛ</v>
          </cell>
        </row>
        <row r="225">
          <cell r="A225" t="str">
            <v>В-22627/КЛ</v>
          </cell>
        </row>
        <row r="226">
          <cell r="A226" t="str">
            <v>В-06035/КЛ</v>
          </cell>
        </row>
        <row r="227">
          <cell r="A227" t="str">
            <v>В-21574/КЛ</v>
          </cell>
        </row>
        <row r="228">
          <cell r="A228" t="str">
            <v>В-20200/КЛ</v>
          </cell>
        </row>
        <row r="229">
          <cell r="A229" t="str">
            <v>В-20490/КЛ</v>
          </cell>
        </row>
        <row r="230">
          <cell r="A230" t="str">
            <v>В-00077/КЭ</v>
          </cell>
        </row>
        <row r="231">
          <cell r="A231" t="str">
            <v>В-11162/КЛ</v>
          </cell>
        </row>
        <row r="232">
          <cell r="A232" t="str">
            <v>В-14196/КЛ</v>
          </cell>
        </row>
        <row r="233">
          <cell r="A233" t="str">
            <v>В-18757/КЛ</v>
          </cell>
        </row>
        <row r="234">
          <cell r="A234" t="str">
            <v>В-14178/КЛ</v>
          </cell>
        </row>
        <row r="235">
          <cell r="A235" t="str">
            <v>В-17934/КЛ</v>
          </cell>
        </row>
        <row r="236">
          <cell r="A236" t="str">
            <v>В-27980/КЛ</v>
          </cell>
        </row>
        <row r="237">
          <cell r="A237" t="str">
            <v>В-15532/КЛ</v>
          </cell>
        </row>
        <row r="238">
          <cell r="A238" t="str">
            <v>В-12279/КЛ</v>
          </cell>
        </row>
        <row r="239">
          <cell r="A239" t="str">
            <v>В-09795/КЛ</v>
          </cell>
        </row>
        <row r="240">
          <cell r="A240" t="str">
            <v>В-17788/КЛ</v>
          </cell>
        </row>
        <row r="241">
          <cell r="A241" t="str">
            <v>В-20060/КЛ</v>
          </cell>
        </row>
        <row r="242">
          <cell r="A242" t="str">
            <v>В-28329/КЛ</v>
          </cell>
        </row>
        <row r="243">
          <cell r="A243" t="str">
            <v>В-25457/КЛ</v>
          </cell>
        </row>
        <row r="244">
          <cell r="A244" t="str">
            <v>В-21048/КЛ</v>
          </cell>
        </row>
        <row r="245">
          <cell r="A245" t="str">
            <v>В-16959/КЛ</v>
          </cell>
        </row>
        <row r="246">
          <cell r="A246" t="str">
            <v>В-22538/КЛ</v>
          </cell>
        </row>
        <row r="247">
          <cell r="A247" t="str">
            <v>В-15560/КЛ</v>
          </cell>
        </row>
        <row r="248">
          <cell r="A248" t="str">
            <v>В-00068/КЭ</v>
          </cell>
        </row>
        <row r="249">
          <cell r="A249" t="str">
            <v>В-00070/КЭ</v>
          </cell>
        </row>
        <row r="250">
          <cell r="A250" t="str">
            <v>В-25302/КЛ</v>
          </cell>
        </row>
        <row r="251">
          <cell r="A251" t="str">
            <v>В-27434/КЛ</v>
          </cell>
        </row>
        <row r="252">
          <cell r="A252" t="str">
            <v>В-05654/КЛ</v>
          </cell>
        </row>
        <row r="253">
          <cell r="A253" t="str">
            <v>В-20855/КЛ</v>
          </cell>
        </row>
        <row r="254">
          <cell r="A254" t="str">
            <v>В-24021/КЛ</v>
          </cell>
        </row>
        <row r="255">
          <cell r="A255" t="str">
            <v>В-18370/КЛ</v>
          </cell>
        </row>
        <row r="256">
          <cell r="A256" t="str">
            <v>В-01061/АЗ</v>
          </cell>
        </row>
        <row r="257">
          <cell r="A257" t="str">
            <v>В-04210/КЛ</v>
          </cell>
        </row>
        <row r="258">
          <cell r="A258" t="str">
            <v>В-22728/КЛ</v>
          </cell>
        </row>
        <row r="259">
          <cell r="A259" t="str">
            <v>В-16023/КЛ</v>
          </cell>
        </row>
        <row r="260">
          <cell r="A260" t="str">
            <v>В-21079/КЛ</v>
          </cell>
        </row>
        <row r="261">
          <cell r="A261" t="str">
            <v>В-17051/КЛ</v>
          </cell>
        </row>
        <row r="262">
          <cell r="A262" t="str">
            <v>В-21847/КЛ</v>
          </cell>
        </row>
        <row r="263">
          <cell r="A263" t="str">
            <v>В-11407/КЛ</v>
          </cell>
        </row>
        <row r="264">
          <cell r="A264" t="str">
            <v>В-26247/КЛ</v>
          </cell>
        </row>
        <row r="265">
          <cell r="A265" t="str">
            <v>В-26242/КЛ</v>
          </cell>
        </row>
        <row r="266">
          <cell r="A266" t="str">
            <v>В-27006/КЛ</v>
          </cell>
        </row>
        <row r="267">
          <cell r="A267" t="str">
            <v>В-12368/КЛ</v>
          </cell>
        </row>
        <row r="268">
          <cell r="A268" t="str">
            <v>В-01202/АЗ</v>
          </cell>
        </row>
        <row r="269">
          <cell r="A269" t="str">
            <v>В-08918/КЛ</v>
          </cell>
        </row>
        <row r="270">
          <cell r="A270" t="str">
            <v>В-02154/КЛ</v>
          </cell>
        </row>
        <row r="271">
          <cell r="A271" t="str">
            <v>В-10934/КЛ</v>
          </cell>
        </row>
        <row r="272">
          <cell r="A272" t="str">
            <v>В-25747/КЛ</v>
          </cell>
        </row>
        <row r="273">
          <cell r="A273" t="str">
            <v>В-22352/АЗ</v>
          </cell>
        </row>
        <row r="274">
          <cell r="A274" t="str">
            <v>В-12391/КЛ</v>
          </cell>
        </row>
        <row r="275">
          <cell r="A275" t="str">
            <v>В-21208/КЛ</v>
          </cell>
        </row>
        <row r="276">
          <cell r="A276" t="str">
            <v>В-17687/КЛ</v>
          </cell>
        </row>
        <row r="277">
          <cell r="A277" t="str">
            <v>В-12427/КЛ</v>
          </cell>
        </row>
        <row r="278">
          <cell r="A278" t="str">
            <v>В-22897/КЛ</v>
          </cell>
        </row>
        <row r="279">
          <cell r="A279" t="str">
            <v>В-13254/КЛ</v>
          </cell>
        </row>
        <row r="280">
          <cell r="A280" t="str">
            <v>В-01692/КЛ</v>
          </cell>
        </row>
        <row r="281">
          <cell r="A281" t="str">
            <v>В-03974/КЛ</v>
          </cell>
        </row>
        <row r="282">
          <cell r="A282" t="str">
            <v>В-11825/КЛ</v>
          </cell>
        </row>
        <row r="283">
          <cell r="A283" t="str">
            <v>В-21040/КЛ</v>
          </cell>
        </row>
        <row r="284">
          <cell r="A284" t="str">
            <v>В-10012/КЭ</v>
          </cell>
        </row>
        <row r="285">
          <cell r="A285" t="str">
            <v>В-13104/КЛ</v>
          </cell>
        </row>
        <row r="286">
          <cell r="A286" t="str">
            <v>В-19655/КЛ</v>
          </cell>
        </row>
        <row r="287">
          <cell r="A287" t="str">
            <v>В-21858/КЛ</v>
          </cell>
        </row>
        <row r="288">
          <cell r="A288" t="str">
            <v>В-12401/КЛ</v>
          </cell>
        </row>
        <row r="289">
          <cell r="A289" t="str">
            <v>В-17153/КЛ</v>
          </cell>
        </row>
        <row r="290">
          <cell r="A290" t="str">
            <v>В-09890/КЛ</v>
          </cell>
        </row>
        <row r="291">
          <cell r="A291" t="str">
            <v>Т-10006/КЭ_Т-20211028/Ц</v>
          </cell>
        </row>
        <row r="292">
          <cell r="A292" t="str">
            <v>В-23840/КЛ</v>
          </cell>
        </row>
        <row r="293">
          <cell r="A293" t="str">
            <v>В-12483/КЛ</v>
          </cell>
        </row>
        <row r="294">
          <cell r="A294" t="str">
            <v>В-11334/КЛ</v>
          </cell>
        </row>
        <row r="295">
          <cell r="A295" t="str">
            <v>В-01107/АЗ</v>
          </cell>
        </row>
        <row r="296">
          <cell r="A296" t="str">
            <v>В-09213/КЛ</v>
          </cell>
        </row>
        <row r="297">
          <cell r="A297" t="str">
            <v>В-12246/КЛ</v>
          </cell>
        </row>
        <row r="298">
          <cell r="A298" t="str">
            <v>В-20437/КЛ</v>
          </cell>
        </row>
        <row r="299">
          <cell r="A299" t="str">
            <v>В-17062/КЛ</v>
          </cell>
        </row>
        <row r="300">
          <cell r="A300" t="str">
            <v>В-25131/КЛ</v>
          </cell>
        </row>
        <row r="301">
          <cell r="A301" t="str">
            <v>В-00439/КЛ</v>
          </cell>
        </row>
        <row r="302">
          <cell r="A302" t="str">
            <v>В-00145/КЛ</v>
          </cell>
        </row>
        <row r="303">
          <cell r="A303" t="str">
            <v>В-23633/КЛ</v>
          </cell>
        </row>
        <row r="304">
          <cell r="A304" t="str">
            <v>В-20497/КЛ</v>
          </cell>
        </row>
        <row r="305">
          <cell r="A305" t="str">
            <v>В-17805/КЛ</v>
          </cell>
        </row>
        <row r="306">
          <cell r="A306" t="str">
            <v>В-21454/КЛ</v>
          </cell>
        </row>
        <row r="307">
          <cell r="A307" t="str">
            <v>В-01898/КЛ</v>
          </cell>
        </row>
        <row r="308">
          <cell r="A308" t="str">
            <v>В-15750/КЛ</v>
          </cell>
        </row>
        <row r="309">
          <cell r="A309" t="str">
            <v>В-01200/АЗ</v>
          </cell>
        </row>
        <row r="310">
          <cell r="A310" t="str">
            <v>В-22026/КЛ</v>
          </cell>
        </row>
        <row r="311">
          <cell r="A311" t="str">
            <v>В-22026/КЛ</v>
          </cell>
        </row>
        <row r="312">
          <cell r="A312" t="str">
            <v>В-24267/КЛ</v>
          </cell>
        </row>
        <row r="313">
          <cell r="A313" t="str">
            <v>В-01175/АЗ</v>
          </cell>
        </row>
        <row r="314">
          <cell r="A314" t="str">
            <v>В-00039/КЭ</v>
          </cell>
        </row>
        <row r="315">
          <cell r="A315" t="str">
            <v>В-18654/КЛ</v>
          </cell>
        </row>
        <row r="316">
          <cell r="A316" t="str">
            <v>В-30009/КЭ</v>
          </cell>
        </row>
        <row r="317">
          <cell r="A317" t="str">
            <v>В-18366/КЛ</v>
          </cell>
        </row>
        <row r="318">
          <cell r="A318" t="str">
            <v>В-22426/КЛ</v>
          </cell>
        </row>
        <row r="319">
          <cell r="A319" t="str">
            <v>В-02707/КЛ</v>
          </cell>
        </row>
        <row r="320">
          <cell r="A320" t="str">
            <v>В-20046/КЛ</v>
          </cell>
        </row>
        <row r="321">
          <cell r="A321" t="str">
            <v>В-20546/КЛ</v>
          </cell>
        </row>
        <row r="322">
          <cell r="A322" t="str">
            <v>В-22833/КЛ</v>
          </cell>
        </row>
        <row r="323">
          <cell r="A323" t="str">
            <v>В-24989/АЗ</v>
          </cell>
        </row>
        <row r="324">
          <cell r="A324" t="str">
            <v>В-24642/АЗ</v>
          </cell>
        </row>
        <row r="325">
          <cell r="A325" t="str">
            <v>В-17073/КЛ</v>
          </cell>
        </row>
        <row r="326">
          <cell r="A326" t="str">
            <v>Т-01914/АЗ_Т-20211028/Ц</v>
          </cell>
        </row>
        <row r="327">
          <cell r="A327" t="str">
            <v>В-15200/КЛ</v>
          </cell>
        </row>
        <row r="328">
          <cell r="A328" t="str">
            <v>В-17708/КЛ</v>
          </cell>
        </row>
        <row r="329">
          <cell r="A329" t="str">
            <v>В-13219/КЛ</v>
          </cell>
        </row>
        <row r="330">
          <cell r="A330" t="str">
            <v>В-24072/АЗ</v>
          </cell>
        </row>
        <row r="331">
          <cell r="A331" t="str">
            <v>В-23045/КЛ</v>
          </cell>
        </row>
        <row r="332">
          <cell r="A332" t="str">
            <v>Т-01931/АЗ_Т-20211028/Ц</v>
          </cell>
        </row>
        <row r="333">
          <cell r="A333" t="str">
            <v>В-00951/АЗ</v>
          </cell>
        </row>
        <row r="334">
          <cell r="A334" t="str">
            <v>В-15165/КЛ</v>
          </cell>
        </row>
        <row r="335">
          <cell r="A335" t="str">
            <v>В-21146/КЛ</v>
          </cell>
        </row>
        <row r="336">
          <cell r="A336" t="str">
            <v>В-23325/АЗ</v>
          </cell>
        </row>
        <row r="337">
          <cell r="A337" t="str">
            <v>В-23339/АЗ</v>
          </cell>
        </row>
        <row r="338">
          <cell r="A338" t="str">
            <v>В-00021/КЭ</v>
          </cell>
        </row>
        <row r="339">
          <cell r="A339" t="str">
            <v>В-17362/КЛ</v>
          </cell>
        </row>
        <row r="340">
          <cell r="A340" t="str">
            <v>В-21269/КЛ</v>
          </cell>
        </row>
        <row r="341">
          <cell r="A341" t="str">
            <v>В-22642/КЛ</v>
          </cell>
        </row>
        <row r="342">
          <cell r="A342" t="str">
            <v>В-01159/АЗ</v>
          </cell>
        </row>
        <row r="343">
          <cell r="A343" t="str">
            <v>В-11595/КЛ</v>
          </cell>
        </row>
        <row r="344">
          <cell r="A344" t="str">
            <v>В-08148/КЛ</v>
          </cell>
        </row>
        <row r="345">
          <cell r="A345" t="str">
            <v>В-09725/КЛ</v>
          </cell>
        </row>
        <row r="346">
          <cell r="A346" t="str">
            <v>В-15822/КЛ</v>
          </cell>
        </row>
        <row r="347">
          <cell r="A347" t="str">
            <v>В-15908/КЛ</v>
          </cell>
        </row>
        <row r="348">
          <cell r="A348" t="str">
            <v>В-20766/КЛ</v>
          </cell>
        </row>
        <row r="349">
          <cell r="A349" t="str">
            <v>В-13136/КЛ</v>
          </cell>
        </row>
        <row r="350">
          <cell r="A350" t="str">
            <v>В-14529/КЛ</v>
          </cell>
        </row>
        <row r="351">
          <cell r="A351" t="str">
            <v>В-01179/АЗ</v>
          </cell>
        </row>
        <row r="352">
          <cell r="A352" t="str">
            <v>В-17030/КЛ</v>
          </cell>
        </row>
        <row r="353">
          <cell r="A353" t="str">
            <v>В-07147/КЛ</v>
          </cell>
        </row>
        <row r="354">
          <cell r="A354" t="str">
            <v>В-12410/КЛ</v>
          </cell>
        </row>
        <row r="355">
          <cell r="A355" t="str">
            <v>В-00137/АЗ</v>
          </cell>
        </row>
        <row r="356">
          <cell r="A356" t="str">
            <v>В-00034/КЭ</v>
          </cell>
        </row>
        <row r="357">
          <cell r="A357" t="str">
            <v>В-14335/КЛ</v>
          </cell>
        </row>
        <row r="358">
          <cell r="A358" t="str">
            <v>В-00553/КЛ</v>
          </cell>
        </row>
        <row r="359">
          <cell r="A359" t="str">
            <v>В-18163/КЛ</v>
          </cell>
        </row>
        <row r="360">
          <cell r="A360" t="str">
            <v>В-22436/АЗ</v>
          </cell>
        </row>
        <row r="361">
          <cell r="A361" t="str">
            <v>В-22434/АЗ</v>
          </cell>
        </row>
        <row r="362">
          <cell r="A362" t="str">
            <v>В-22201/КЛ</v>
          </cell>
        </row>
        <row r="363">
          <cell r="A363" t="str">
            <v>В-22173/КЛ</v>
          </cell>
        </row>
        <row r="364">
          <cell r="A364" t="str">
            <v>Т-01893/АЗ_Т-20211028/Ц</v>
          </cell>
        </row>
        <row r="365">
          <cell r="A365" t="str">
            <v>В-02961/КЛ</v>
          </cell>
        </row>
        <row r="366">
          <cell r="A366" t="str">
            <v>В-24983/КЛ</v>
          </cell>
        </row>
        <row r="367">
          <cell r="A367" t="str">
            <v>В-13051/КЛ</v>
          </cell>
        </row>
        <row r="368">
          <cell r="A368" t="str">
            <v>В-16757/КЛ</v>
          </cell>
        </row>
        <row r="369">
          <cell r="A369" t="str">
            <v>В-16757/КЛ</v>
          </cell>
        </row>
        <row r="370">
          <cell r="A370" t="str">
            <v>В-15085/КЛ</v>
          </cell>
        </row>
        <row r="371">
          <cell r="A371" t="str">
            <v>В-12551/КЛ</v>
          </cell>
        </row>
        <row r="372">
          <cell r="A372" t="str">
            <v>В-11946/КЛ</v>
          </cell>
        </row>
        <row r="373">
          <cell r="A373" t="str">
            <v>В-19349/КЛ</v>
          </cell>
        </row>
        <row r="374">
          <cell r="A374" t="str">
            <v>В-20442/КЛ</v>
          </cell>
        </row>
        <row r="375">
          <cell r="A375" t="str">
            <v>В-00772/АЗ</v>
          </cell>
        </row>
        <row r="376">
          <cell r="A376" t="str">
            <v>В-18008/КЛ</v>
          </cell>
        </row>
        <row r="377">
          <cell r="A377" t="str">
            <v>В-01216/КЛ</v>
          </cell>
        </row>
        <row r="378">
          <cell r="A378" t="str">
            <v>В-04229/КЛ</v>
          </cell>
        </row>
        <row r="379">
          <cell r="A379" t="str">
            <v>В-14005/КЛ</v>
          </cell>
        </row>
        <row r="380">
          <cell r="A380" t="str">
            <v>В-00708/АЗ</v>
          </cell>
        </row>
        <row r="381">
          <cell r="A381" t="str">
            <v>В-01252/КЛ</v>
          </cell>
        </row>
        <row r="382">
          <cell r="A382" t="str">
            <v>В-22238/КЛ</v>
          </cell>
        </row>
        <row r="383">
          <cell r="A383" t="str">
            <v>В-14310/КЛ</v>
          </cell>
        </row>
        <row r="384">
          <cell r="A384" t="str">
            <v>В-21019/КЛ</v>
          </cell>
        </row>
        <row r="385">
          <cell r="A385" t="str">
            <v>В-00806/АЗ</v>
          </cell>
        </row>
        <row r="386">
          <cell r="A386" t="str">
            <v>В-00733/АЗ</v>
          </cell>
        </row>
        <row r="387">
          <cell r="A387" t="str">
            <v>В-00496/АЗ</v>
          </cell>
        </row>
        <row r="388">
          <cell r="A388" t="str">
            <v>В-19791/КЛ</v>
          </cell>
        </row>
        <row r="389">
          <cell r="A389" t="str">
            <v>В-13264/КЛ</v>
          </cell>
        </row>
        <row r="390">
          <cell r="A390" t="str">
            <v>В-08064/КЛ</v>
          </cell>
        </row>
        <row r="391">
          <cell r="A391" t="str">
            <v>В-17315/КЛ</v>
          </cell>
        </row>
        <row r="392">
          <cell r="A392" t="str">
            <v>В-20300/КЛ</v>
          </cell>
        </row>
        <row r="393">
          <cell r="A393" t="str">
            <v>В-11934/КЛ</v>
          </cell>
        </row>
        <row r="394">
          <cell r="A394" t="str">
            <v>В-14453/КЛ</v>
          </cell>
        </row>
        <row r="395">
          <cell r="A395" t="str">
            <v>В-10123/КЛ</v>
          </cell>
        </row>
        <row r="396">
          <cell r="A396" t="str">
            <v>В-17167/КЛ</v>
          </cell>
        </row>
        <row r="397">
          <cell r="A397" t="str">
            <v>В-12548/КЛ</v>
          </cell>
        </row>
        <row r="398">
          <cell r="A398" t="str">
            <v>В-20703/КЛ</v>
          </cell>
        </row>
        <row r="399">
          <cell r="A399" t="str">
            <v>В-01271/КЛ</v>
          </cell>
        </row>
        <row r="400">
          <cell r="A400" t="str">
            <v>В-12484/КЛ</v>
          </cell>
        </row>
        <row r="401">
          <cell r="A401" t="str">
            <v>В-09292/КЛ</v>
          </cell>
        </row>
        <row r="402">
          <cell r="A402" t="str">
            <v>В-07717/КЛ</v>
          </cell>
        </row>
        <row r="403">
          <cell r="A403" t="str">
            <v>В-08065/КЛ</v>
          </cell>
        </row>
        <row r="404">
          <cell r="A404" t="str">
            <v>В-20635/КЛ</v>
          </cell>
        </row>
        <row r="405">
          <cell r="A405" t="str">
            <v xml:space="preserve">В-00918/АЗ </v>
          </cell>
        </row>
        <row r="406">
          <cell r="A406" t="str">
            <v>В-03938/КЛ</v>
          </cell>
        </row>
        <row r="407">
          <cell r="A407" t="str">
            <v>В-08603/КЛ</v>
          </cell>
        </row>
        <row r="408">
          <cell r="A408" t="str">
            <v>В-17852/КЛ</v>
          </cell>
        </row>
        <row r="409">
          <cell r="A409" t="str">
            <v>В-00612/АЗ</v>
          </cell>
        </row>
        <row r="410">
          <cell r="A410" t="str">
            <v>В-13507/КЛ</v>
          </cell>
        </row>
        <row r="411">
          <cell r="A411" t="str">
            <v>В-15412/КЛ</v>
          </cell>
        </row>
        <row r="412">
          <cell r="A412" t="str">
            <v>В-00178/КЛ</v>
          </cell>
        </row>
        <row r="413">
          <cell r="A413" t="str">
            <v>В-19846/КЛ</v>
          </cell>
        </row>
        <row r="414">
          <cell r="A414" t="str">
            <v>В-15330/КЛ</v>
          </cell>
        </row>
        <row r="415">
          <cell r="A415" t="str">
            <v>В-19766/КЛ</v>
          </cell>
        </row>
        <row r="416">
          <cell r="A416" t="str">
            <v>А-05082/АЗ</v>
          </cell>
        </row>
        <row r="417">
          <cell r="A417" t="str">
            <v>В-17201/КЛ</v>
          </cell>
        </row>
        <row r="418">
          <cell r="A418" t="str">
            <v>В-07411/КЛ</v>
          </cell>
        </row>
        <row r="419">
          <cell r="A419" t="str">
            <v>В-18538/КЛ</v>
          </cell>
        </row>
        <row r="420">
          <cell r="A420" t="str">
            <v>В-16861/КЛ</v>
          </cell>
        </row>
        <row r="421">
          <cell r="A421" t="str">
            <v>В-08391/КЛ</v>
          </cell>
        </row>
        <row r="422">
          <cell r="A422" t="str">
            <v>В-08361/КЛ</v>
          </cell>
        </row>
        <row r="423">
          <cell r="A423" t="str">
            <v>В-12675/КЛ</v>
          </cell>
        </row>
        <row r="424">
          <cell r="A424" t="str">
            <v>В-00023/КЭ</v>
          </cell>
        </row>
        <row r="425">
          <cell r="A425" t="str">
            <v>В-18167/КЛ</v>
          </cell>
        </row>
        <row r="426">
          <cell r="A426" t="str">
            <v>В-00012/КЭ</v>
          </cell>
        </row>
        <row r="427">
          <cell r="A427" t="str">
            <v>В-11932/КЛ</v>
          </cell>
        </row>
        <row r="428">
          <cell r="A428" t="str">
            <v>В-19329/КЛ</v>
          </cell>
        </row>
        <row r="429">
          <cell r="A429" t="str">
            <v>В-00339/АЗ</v>
          </cell>
        </row>
        <row r="430">
          <cell r="A430" t="str">
            <v>В-15222/КЛ</v>
          </cell>
        </row>
        <row r="431">
          <cell r="A431" t="str">
            <v>Т-00008/КЭ</v>
          </cell>
        </row>
        <row r="432">
          <cell r="A432" t="str">
            <v>В-13629/КЛ</v>
          </cell>
        </row>
        <row r="433">
          <cell r="A433" t="str">
            <v>В-01172/АЗ</v>
          </cell>
        </row>
        <row r="434">
          <cell r="A434" t="str">
            <v>В-01171/АЗ</v>
          </cell>
        </row>
        <row r="435">
          <cell r="A435" t="str">
            <v>В-15448/КЛ</v>
          </cell>
        </row>
        <row r="436">
          <cell r="A436" t="str">
            <v>В-04293/КЛ</v>
          </cell>
        </row>
        <row r="437">
          <cell r="A437" t="str">
            <v>В-11521/КЛ</v>
          </cell>
        </row>
        <row r="438">
          <cell r="A438" t="str">
            <v>В-18791/КЛ</v>
          </cell>
        </row>
        <row r="439">
          <cell r="A439" t="str">
            <v>В-19097/КЛ</v>
          </cell>
        </row>
        <row r="440">
          <cell r="A440" t="str">
            <v>В-19025/КЛ</v>
          </cell>
        </row>
        <row r="441">
          <cell r="A441" t="str">
            <v>В-18983/КЛ</v>
          </cell>
        </row>
        <row r="442">
          <cell r="A442" t="str">
            <v>В-18237/КЛ</v>
          </cell>
        </row>
        <row r="443">
          <cell r="A443" t="str">
            <v>В-05425/КЛ</v>
          </cell>
        </row>
        <row r="444">
          <cell r="A444" t="str">
            <v>В-11186/КЛ</v>
          </cell>
        </row>
        <row r="445">
          <cell r="A445" t="str">
            <v>В-19132/КЛ</v>
          </cell>
        </row>
        <row r="446">
          <cell r="A446" t="str">
            <v>В-04096/КЛ</v>
          </cell>
        </row>
        <row r="447">
          <cell r="A447" t="str">
            <v>Т-00038/БЭ</v>
          </cell>
        </row>
        <row r="448">
          <cell r="A448" t="str">
            <v>А-00063/БЭ</v>
          </cell>
        </row>
        <row r="449">
          <cell r="A449" t="str">
            <v>В-17625/КЛ</v>
          </cell>
        </row>
        <row r="450">
          <cell r="A450" t="str">
            <v>В-13070/КЛ</v>
          </cell>
        </row>
        <row r="451">
          <cell r="A451" t="str">
            <v>В-07384/КЛ</v>
          </cell>
        </row>
        <row r="452">
          <cell r="A452" t="str">
            <v>В-16915/КЛ</v>
          </cell>
        </row>
        <row r="453">
          <cell r="A453" t="str">
            <v>В-15583/КЛ</v>
          </cell>
        </row>
        <row r="454">
          <cell r="A454" t="str">
            <v>В-13042/КЛ</v>
          </cell>
        </row>
        <row r="455">
          <cell r="A455" t="str">
            <v>В-08288/КЛ</v>
          </cell>
        </row>
        <row r="456">
          <cell r="A456" t="str">
            <v>В-17043/КЛ</v>
          </cell>
        </row>
        <row r="457">
          <cell r="A457" t="str">
            <v>В-21219/КЛ</v>
          </cell>
        </row>
        <row r="458">
          <cell r="A458" t="str">
            <v>В-18055/КЛ</v>
          </cell>
        </row>
        <row r="459">
          <cell r="A459" t="str">
            <v>В-18216/КЛ</v>
          </cell>
        </row>
        <row r="460">
          <cell r="A460" t="str">
            <v>В-17075/КЛ</v>
          </cell>
        </row>
        <row r="461">
          <cell r="A461" t="str">
            <v>Т-01878/АЗ</v>
          </cell>
        </row>
        <row r="462">
          <cell r="A462" t="str">
            <v>В-18171/КЛ</v>
          </cell>
        </row>
        <row r="463">
          <cell r="A463" t="str">
            <v>В-10278/КЛ</v>
          </cell>
        </row>
        <row r="464">
          <cell r="A464" t="str">
            <v>В-01104/АЗ</v>
          </cell>
        </row>
        <row r="465">
          <cell r="A465" t="str">
            <v>В-17242/КЛ</v>
          </cell>
        </row>
        <row r="466">
          <cell r="A466" t="str">
            <v>А-10122/КЭ</v>
          </cell>
        </row>
        <row r="467">
          <cell r="A467" t="str">
            <v>В-00508/АЗ</v>
          </cell>
        </row>
        <row r="468">
          <cell r="A468" t="str">
            <v>В-17724/КЛ</v>
          </cell>
        </row>
        <row r="469">
          <cell r="A469" t="str">
            <v>В-00963/АЗ</v>
          </cell>
        </row>
        <row r="470">
          <cell r="A470" t="str">
            <v>А-05463/АЗ</v>
          </cell>
        </row>
        <row r="471">
          <cell r="A471" t="str">
            <v>Т-01935/АЗ</v>
          </cell>
        </row>
        <row r="472">
          <cell r="A472" t="str">
            <v>А-04639/АЗ</v>
          </cell>
        </row>
        <row r="473">
          <cell r="A473" t="str">
            <v>В-10433/КЛ</v>
          </cell>
        </row>
        <row r="474">
          <cell r="A474" t="str">
            <v>В-13669/КЛ</v>
          </cell>
        </row>
        <row r="475">
          <cell r="A475" t="str">
            <v>В-12380/КЛ</v>
          </cell>
        </row>
        <row r="476">
          <cell r="A476" t="str">
            <v>В-10638/КЛ</v>
          </cell>
        </row>
        <row r="477">
          <cell r="A477" t="str">
            <v>В-17533/КЛ</v>
          </cell>
        </row>
        <row r="478">
          <cell r="A478" t="str">
            <v>В-11733/КЛ</v>
          </cell>
        </row>
        <row r="479">
          <cell r="A479" t="str">
            <v>В-01176/АЗ</v>
          </cell>
        </row>
        <row r="480">
          <cell r="A480" t="str">
            <v>В-17940/КЛ</v>
          </cell>
        </row>
        <row r="481">
          <cell r="A481" t="str">
            <v>В-01092/КЛ</v>
          </cell>
        </row>
        <row r="482">
          <cell r="A482" t="str">
            <v>В-00319/КЛ</v>
          </cell>
        </row>
        <row r="483">
          <cell r="A483" t="str">
            <v>В-16186/КЛ</v>
          </cell>
        </row>
        <row r="484">
          <cell r="A484" t="str">
            <v>В-09916/КЛ</v>
          </cell>
        </row>
        <row r="485">
          <cell r="A485" t="str">
            <v>В-16877/КЛ</v>
          </cell>
        </row>
        <row r="486">
          <cell r="A486" t="str">
            <v>В-16777/КЛ</v>
          </cell>
        </row>
        <row r="487">
          <cell r="A487" t="str">
            <v>В-09302/КЛ</v>
          </cell>
        </row>
        <row r="488">
          <cell r="A488" t="str">
            <v>В-03324/КЛ</v>
          </cell>
        </row>
        <row r="489">
          <cell r="A489" t="str">
            <v>В-16457/КЛ</v>
          </cell>
        </row>
        <row r="490">
          <cell r="A490" t="str">
            <v>В-00011/КЭ</v>
          </cell>
        </row>
        <row r="491">
          <cell r="A491" t="str">
            <v>В-01131/АЗ</v>
          </cell>
        </row>
        <row r="492">
          <cell r="A492" t="str">
            <v>В-14484/КЛ</v>
          </cell>
        </row>
        <row r="493">
          <cell r="A493" t="str">
            <v>В-14621/КЛ</v>
          </cell>
        </row>
        <row r="494">
          <cell r="A494" t="str">
            <v>В-10013/КЭ</v>
          </cell>
        </row>
        <row r="495">
          <cell r="A495" t="str">
            <v>В-11861/КЛ</v>
          </cell>
        </row>
        <row r="496">
          <cell r="A496" t="str">
            <v>В-15156/КЛ</v>
          </cell>
        </row>
        <row r="497">
          <cell r="A497" t="str">
            <v>В-11824/КЛ</v>
          </cell>
        </row>
        <row r="498">
          <cell r="A498" t="str">
            <v>В-01084/АЗ</v>
          </cell>
        </row>
        <row r="499">
          <cell r="A499" t="str">
            <v>В-01085/АЗ</v>
          </cell>
        </row>
        <row r="500">
          <cell r="A500" t="str">
            <v>В-02690/КЛ</v>
          </cell>
        </row>
        <row r="501">
          <cell r="A501" t="str">
            <v>В-16441/КЛ</v>
          </cell>
        </row>
        <row r="502">
          <cell r="A502" t="str">
            <v>Т-10005/КЭ</v>
          </cell>
        </row>
        <row r="503">
          <cell r="A503" t="str">
            <v>В-01110/АЗ</v>
          </cell>
        </row>
        <row r="504">
          <cell r="A504" t="str">
            <v>В-00022/КЭ</v>
          </cell>
        </row>
        <row r="505">
          <cell r="A505" t="str">
            <v>А-00458/КЭ</v>
          </cell>
        </row>
        <row r="506">
          <cell r="A506" t="str">
            <v>В-00370/АЗ</v>
          </cell>
        </row>
        <row r="507">
          <cell r="A507" t="str">
            <v>В-18929/КЛ</v>
          </cell>
        </row>
        <row r="508">
          <cell r="A508" t="str">
            <v>В-12894/КЛ</v>
          </cell>
        </row>
        <row r="509">
          <cell r="A509" t="str">
            <v>В-00881/АЗ</v>
          </cell>
        </row>
        <row r="510">
          <cell r="A510" t="str">
            <v>В-09247/КЛ</v>
          </cell>
        </row>
        <row r="511">
          <cell r="A511" t="str">
            <v>В-12042/КЛ</v>
          </cell>
        </row>
        <row r="512">
          <cell r="A512" t="str">
            <v>В-00359/КЛ</v>
          </cell>
        </row>
        <row r="513">
          <cell r="A513" t="str">
            <v>А-00009/ИЗ</v>
          </cell>
        </row>
        <row r="514">
          <cell r="A514" t="str">
            <v>В-02777/КЛ</v>
          </cell>
        </row>
        <row r="515">
          <cell r="A515" t="str">
            <v>В-14727/КЛ</v>
          </cell>
        </row>
        <row r="516">
          <cell r="A516" t="str">
            <v>В-11333/КЛ</v>
          </cell>
        </row>
        <row r="517">
          <cell r="A517" t="str">
            <v>В-16873/КЛ</v>
          </cell>
        </row>
        <row r="518">
          <cell r="A518" t="str">
            <v>В-17494/КЛ</v>
          </cell>
        </row>
        <row r="519">
          <cell r="A519" t="str">
            <v>В-14569/КЛ</v>
          </cell>
        </row>
        <row r="520">
          <cell r="A520" t="str">
            <v>В-13600/КЛ</v>
          </cell>
        </row>
        <row r="521">
          <cell r="A521" t="str">
            <v>В-03392/КЛ</v>
          </cell>
        </row>
        <row r="522">
          <cell r="A522" t="str">
            <v>В-12294/КЛ</v>
          </cell>
        </row>
        <row r="523">
          <cell r="A523" t="str">
            <v>В-07544/КЛ</v>
          </cell>
        </row>
        <row r="524">
          <cell r="A524" t="str">
            <v>В-11307/КЛ</v>
          </cell>
        </row>
        <row r="525">
          <cell r="A525" t="str">
            <v>В-05009/КЛ</v>
          </cell>
        </row>
        <row r="526">
          <cell r="A526" t="str">
            <v>А-00404/КЭ</v>
          </cell>
        </row>
        <row r="527">
          <cell r="A527" t="str">
            <v>В-03040/КЛ</v>
          </cell>
        </row>
        <row r="528">
          <cell r="A528" t="str">
            <v>В-00884/АЗ</v>
          </cell>
        </row>
        <row r="529">
          <cell r="A529" t="str">
            <v>В-01109/АЗ</v>
          </cell>
        </row>
        <row r="530">
          <cell r="A530" t="str">
            <v>В-01099/АЗ</v>
          </cell>
        </row>
        <row r="531">
          <cell r="A531" t="str">
            <v>В-11523/КЛ</v>
          </cell>
        </row>
        <row r="532">
          <cell r="A532" t="str">
            <v>В-13177/КЛ</v>
          </cell>
        </row>
        <row r="533">
          <cell r="A533" t="str">
            <v>В-00992/АЗ</v>
          </cell>
        </row>
        <row r="534">
          <cell r="A534" t="str">
            <v>В-07008/КЛ</v>
          </cell>
        </row>
        <row r="535">
          <cell r="A535" t="str">
            <v>В-13625/КЛ</v>
          </cell>
        </row>
        <row r="536">
          <cell r="A536" t="str">
            <v>В-09290/КЛ</v>
          </cell>
        </row>
        <row r="537">
          <cell r="A537" t="str">
            <v>В-12741/КЛ</v>
          </cell>
        </row>
        <row r="538">
          <cell r="A538" t="str">
            <v>В-09513/КЛ</v>
          </cell>
        </row>
        <row r="539">
          <cell r="A539" t="str">
            <v>В-00988/АЗ</v>
          </cell>
        </row>
        <row r="540">
          <cell r="A540" t="str">
            <v>В-00687/АЗ</v>
          </cell>
        </row>
        <row r="541">
          <cell r="A541" t="str">
            <v>В-11190/КЛ</v>
          </cell>
        </row>
        <row r="542">
          <cell r="A542" t="str">
            <v>В-15171/КЛ</v>
          </cell>
        </row>
        <row r="543">
          <cell r="A543" t="str">
            <v>В-01046/АЗ</v>
          </cell>
        </row>
        <row r="544">
          <cell r="A544" t="str">
            <v>В-13544/КЛ</v>
          </cell>
        </row>
        <row r="545">
          <cell r="A545" t="str">
            <v>В-12016/КЛ</v>
          </cell>
        </row>
        <row r="546">
          <cell r="A546" t="str">
            <v>В-01647/КЛ</v>
          </cell>
        </row>
        <row r="547">
          <cell r="A547" t="str">
            <v>Т-00002/КЭ</v>
          </cell>
        </row>
        <row r="548">
          <cell r="A548" t="str">
            <v>В-00808/АЗ</v>
          </cell>
        </row>
        <row r="549">
          <cell r="A549" t="str">
            <v>В-00737/АЗ</v>
          </cell>
        </row>
        <row r="550">
          <cell r="A550" t="str">
            <v>В-05401/КЛ</v>
          </cell>
        </row>
        <row r="551">
          <cell r="A551" t="str">
            <v>В-01102/АЗ</v>
          </cell>
        </row>
        <row r="552">
          <cell r="A552" t="str">
            <v>В-14944/КЛ</v>
          </cell>
        </row>
        <row r="553">
          <cell r="A553" t="str">
            <v>В-08626/КЛ</v>
          </cell>
        </row>
        <row r="554">
          <cell r="A554" t="str">
            <v>В-07971/КЛ</v>
          </cell>
        </row>
        <row r="555">
          <cell r="A555" t="str">
            <v>В-14029/КЛ</v>
          </cell>
        </row>
        <row r="556">
          <cell r="A556" t="str">
            <v>В-03197/КЛ</v>
          </cell>
        </row>
        <row r="557">
          <cell r="A557" t="str">
            <v>В-11533/КЛ</v>
          </cell>
        </row>
        <row r="558">
          <cell r="A558" t="str">
            <v>Т-01922/АЗ</v>
          </cell>
        </row>
        <row r="559">
          <cell r="A559" t="str">
            <v>В-08822/КЛ</v>
          </cell>
        </row>
        <row r="560">
          <cell r="A560" t="str">
            <v>В-13886/КЛ</v>
          </cell>
        </row>
        <row r="561">
          <cell r="A561" t="str">
            <v>В-13297/КЛ</v>
          </cell>
        </row>
        <row r="562">
          <cell r="A562" t="str">
            <v>В-12631/КЛ</v>
          </cell>
        </row>
        <row r="563">
          <cell r="A563" t="str">
            <v>В-09948/КЛ</v>
          </cell>
        </row>
        <row r="564">
          <cell r="A564" t="str">
            <v>В-08584/КЛ</v>
          </cell>
        </row>
        <row r="565">
          <cell r="A565" t="str">
            <v>В-13719/КЛ</v>
          </cell>
        </row>
        <row r="566">
          <cell r="A566" t="str">
            <v>Т-01867/АЗ</v>
          </cell>
        </row>
        <row r="567">
          <cell r="A567" t="str">
            <v>В-02090/КЛ</v>
          </cell>
        </row>
        <row r="568">
          <cell r="A568" t="str">
            <v>В-00854/АЗ</v>
          </cell>
        </row>
        <row r="569">
          <cell r="A569" t="str">
            <v>В-00980/АЗ</v>
          </cell>
        </row>
        <row r="570">
          <cell r="A570" t="str">
            <v>В-11085/КЛ</v>
          </cell>
        </row>
        <row r="571">
          <cell r="A571" t="str">
            <v>В-00967/АЗ</v>
          </cell>
        </row>
        <row r="572">
          <cell r="A572" t="str">
            <v>В-12372/КЛ</v>
          </cell>
        </row>
        <row r="573">
          <cell r="A573" t="str">
            <v>В-06092/КЛ</v>
          </cell>
        </row>
        <row r="574">
          <cell r="A574" t="str">
            <v>В-10890/КЛ</v>
          </cell>
        </row>
        <row r="575">
          <cell r="A575" t="str">
            <v>В-30003/КЭ</v>
          </cell>
        </row>
        <row r="576">
          <cell r="A576" t="str">
            <v>Т-01675/АЗ</v>
          </cell>
        </row>
        <row r="577">
          <cell r="A577" t="str">
            <v>А-04839/АЗ</v>
          </cell>
        </row>
        <row r="578">
          <cell r="A578" t="str">
            <v>В-01119/АЗ</v>
          </cell>
        </row>
        <row r="579">
          <cell r="A579" t="str">
            <v>В-01120/АЗ</v>
          </cell>
        </row>
        <row r="580">
          <cell r="A580" t="str">
            <v>В-12163/КЛ</v>
          </cell>
        </row>
        <row r="581">
          <cell r="A581" t="str">
            <v>В-11967/КЛ</v>
          </cell>
        </row>
        <row r="582">
          <cell r="A582" t="str">
            <v>В-09649/КЛ</v>
          </cell>
        </row>
        <row r="583">
          <cell r="A583" t="str">
            <v>В-11892/КЛ</v>
          </cell>
        </row>
        <row r="584">
          <cell r="A584" t="str">
            <v>В-13055/КЛ</v>
          </cell>
        </row>
        <row r="585">
          <cell r="A585" t="str">
            <v>В-11280/КЛ</v>
          </cell>
        </row>
        <row r="586">
          <cell r="A586" t="str">
            <v>А-00467/КЭ</v>
          </cell>
        </row>
        <row r="587">
          <cell r="A587" t="str">
            <v>А-10100/КЭ</v>
          </cell>
        </row>
        <row r="588">
          <cell r="A588" t="str">
            <v>А-05455/АЗ</v>
          </cell>
        </row>
        <row r="589">
          <cell r="A589" t="str">
            <v>В-06186/КЛ</v>
          </cell>
        </row>
        <row r="590">
          <cell r="A590" t="str">
            <v>В-03585/КЛ</v>
          </cell>
        </row>
        <row r="591">
          <cell r="A591" t="str">
            <v>В-10492/КЛ</v>
          </cell>
        </row>
        <row r="592">
          <cell r="A592" t="str">
            <v>В-08189/КЛ</v>
          </cell>
        </row>
        <row r="593">
          <cell r="A593" t="str">
            <v>Т-01835/АЗ</v>
          </cell>
        </row>
        <row r="594">
          <cell r="A594" t="str">
            <v>В-06379/КЛ</v>
          </cell>
        </row>
        <row r="595">
          <cell r="A595" t="str">
            <v>Т-00004/КЭ</v>
          </cell>
        </row>
        <row r="596">
          <cell r="A596" t="str">
            <v>В-03629/КЛ</v>
          </cell>
        </row>
        <row r="597">
          <cell r="A597" t="str">
            <v>В-08942/КЛ</v>
          </cell>
        </row>
        <row r="598">
          <cell r="A598" t="str">
            <v>Т-01899/АЗ</v>
          </cell>
        </row>
        <row r="599">
          <cell r="A599" t="str">
            <v>В-11653/КЛ</v>
          </cell>
        </row>
        <row r="600">
          <cell r="A600" t="str">
            <v>В-12167/КЛ</v>
          </cell>
        </row>
        <row r="601">
          <cell r="A601" t="str">
            <v>В-09961/КЛ</v>
          </cell>
        </row>
        <row r="602">
          <cell r="A602" t="str">
            <v>В-12000/КЛ</v>
          </cell>
        </row>
        <row r="603">
          <cell r="A603" t="str">
            <v>А-00446/КЭ</v>
          </cell>
        </row>
        <row r="604">
          <cell r="A604" t="str">
            <v xml:space="preserve">А-05271/АЗ </v>
          </cell>
        </row>
        <row r="605">
          <cell r="A605" t="str">
            <v>В-02902/КЛ</v>
          </cell>
        </row>
        <row r="606">
          <cell r="A606" t="str">
            <v>В-00714/КЛ</v>
          </cell>
        </row>
        <row r="607">
          <cell r="A607" t="str">
            <v>В-07275/КЛ</v>
          </cell>
        </row>
        <row r="608">
          <cell r="A608" t="str">
            <v>А-10096/КЭ</v>
          </cell>
        </row>
        <row r="609">
          <cell r="A609" t="str">
            <v>В-11882/КЛ</v>
          </cell>
        </row>
        <row r="610">
          <cell r="A610" t="str">
            <v>В-09695/КЛ</v>
          </cell>
        </row>
        <row r="611">
          <cell r="A611" t="str">
            <v>В-12216/КЛ</v>
          </cell>
        </row>
        <row r="612">
          <cell r="A612" t="str">
            <v>В-13025/КЛ</v>
          </cell>
        </row>
        <row r="613">
          <cell r="A613" t="str">
            <v>В-02376/КЛ</v>
          </cell>
        </row>
        <row r="614">
          <cell r="A614" t="str">
            <v>В-10703/КЛ</v>
          </cell>
        </row>
        <row r="615">
          <cell r="A615" t="str">
            <v>В-03074/КЛ</v>
          </cell>
        </row>
        <row r="616">
          <cell r="A616" t="str">
            <v xml:space="preserve">Т-01869/АЗ </v>
          </cell>
        </row>
        <row r="617">
          <cell r="A617" t="str">
            <v>В-12614/КЛ</v>
          </cell>
        </row>
        <row r="618">
          <cell r="A618" t="str">
            <v>В-11713/КЛ</v>
          </cell>
        </row>
        <row r="619">
          <cell r="A619" t="str">
            <v>В-03811/КЛ</v>
          </cell>
        </row>
        <row r="620">
          <cell r="A620" t="str">
            <v>В-11603/КЛ</v>
          </cell>
        </row>
        <row r="621">
          <cell r="A621" t="str">
            <v>А-04848/АЗ</v>
          </cell>
        </row>
        <row r="622">
          <cell r="A622" t="str">
            <v>В-11162/КЛ</v>
          </cell>
        </row>
        <row r="623">
          <cell r="A623" t="str">
            <v>Т-01681/АЗ</v>
          </cell>
        </row>
        <row r="624">
          <cell r="A624" t="str">
            <v>А-03533/АЗ</v>
          </cell>
        </row>
        <row r="625">
          <cell r="A625" t="str">
            <v>В-12535/КЛ</v>
          </cell>
        </row>
        <row r="626">
          <cell r="A626" t="str">
            <v>В-08251/КЛ</v>
          </cell>
        </row>
        <row r="627">
          <cell r="A627" t="str">
            <v>В-09288/КЛ</v>
          </cell>
        </row>
        <row r="628">
          <cell r="A628" t="str">
            <v>В-09241/КЛ</v>
          </cell>
        </row>
        <row r="629">
          <cell r="A629" t="str">
            <v>В-03541/КЛ</v>
          </cell>
        </row>
        <row r="630">
          <cell r="A630" t="str">
            <v>Т-01875/АЗ</v>
          </cell>
        </row>
        <row r="631">
          <cell r="A631" t="str">
            <v>В-10010/КЭ</v>
          </cell>
        </row>
        <row r="632">
          <cell r="A632" t="str">
            <v>В-02641/КЛ</v>
          </cell>
        </row>
        <row r="633">
          <cell r="A633" t="str">
            <v>А-04955/АЗ</v>
          </cell>
        </row>
        <row r="634">
          <cell r="A634" t="str">
            <v>В-05135/КЛ</v>
          </cell>
        </row>
        <row r="635">
          <cell r="A635" t="str">
            <v>В-01875/КЛ</v>
          </cell>
        </row>
        <row r="636">
          <cell r="A636" t="str">
            <v>В-08629/КЛ</v>
          </cell>
        </row>
        <row r="637">
          <cell r="A637" t="str">
            <v>В-06852/КЛ</v>
          </cell>
        </row>
        <row r="638">
          <cell r="A638" t="str">
            <v>В-00839/КЛ</v>
          </cell>
        </row>
        <row r="639">
          <cell r="A639" t="str">
            <v>В-00317/АЗ</v>
          </cell>
        </row>
        <row r="640">
          <cell r="A640" t="str">
            <v>В-08416/КЛ</v>
          </cell>
        </row>
        <row r="641">
          <cell r="A641" t="str">
            <v>В-05187/КЛ</v>
          </cell>
        </row>
        <row r="642">
          <cell r="A642" t="str">
            <v>В-03869/КЛ</v>
          </cell>
        </row>
        <row r="643">
          <cell r="A643" t="str">
            <v>В-04620/КЛ</v>
          </cell>
        </row>
        <row r="644">
          <cell r="A644" t="str">
            <v>В-00568/АЗ</v>
          </cell>
        </row>
        <row r="645">
          <cell r="A645" t="str">
            <v>Т-01876/АЗ</v>
          </cell>
        </row>
        <row r="646">
          <cell r="A646" t="str">
            <v>В-06682/КЛ</v>
          </cell>
        </row>
        <row r="647">
          <cell r="A647" t="str">
            <v>В-00447/АЗ</v>
          </cell>
        </row>
        <row r="648">
          <cell r="A648" t="str">
            <v>В-09037/КЛ</v>
          </cell>
        </row>
        <row r="649">
          <cell r="A649" t="str">
            <v>Т-10003/КЭ</v>
          </cell>
        </row>
        <row r="650">
          <cell r="A650" t="str">
            <v>В-06955/КЛ</v>
          </cell>
        </row>
        <row r="651">
          <cell r="A651" t="str">
            <v>В-01388/КЛ</v>
          </cell>
        </row>
        <row r="652">
          <cell r="A652" t="str">
            <v>В-00540/КЛ</v>
          </cell>
        </row>
        <row r="653">
          <cell r="A653" t="str">
            <v>В-09805/КЛ</v>
          </cell>
        </row>
        <row r="654">
          <cell r="A654" t="str">
            <v>В-03473/КЛ</v>
          </cell>
        </row>
        <row r="655">
          <cell r="A655" t="str">
            <v>В-09625/КЛ</v>
          </cell>
        </row>
        <row r="656">
          <cell r="A656" t="str">
            <v>А-04827/АЗ</v>
          </cell>
        </row>
        <row r="657">
          <cell r="A657" t="str">
            <v>В-00790/АЗ</v>
          </cell>
        </row>
        <row r="658">
          <cell r="A658" t="str">
            <v>В-00923/АЗ</v>
          </cell>
        </row>
        <row r="659">
          <cell r="A659" t="str">
            <v>В-00858/АЗ</v>
          </cell>
        </row>
        <row r="660">
          <cell r="A660" t="str">
            <v>В-03039/КЛ</v>
          </cell>
        </row>
        <row r="661">
          <cell r="A661" t="str">
            <v>А-05370/АЗ</v>
          </cell>
        </row>
        <row r="662">
          <cell r="A662" t="str">
            <v>В-00730/АЗ</v>
          </cell>
        </row>
        <row r="663">
          <cell r="A663" t="str">
            <v>В-07444/КЛ</v>
          </cell>
        </row>
        <row r="664">
          <cell r="A664" t="str">
            <v>В-00817/АЗ</v>
          </cell>
        </row>
        <row r="665">
          <cell r="A665" t="str">
            <v>А-05439/АЗ</v>
          </cell>
        </row>
        <row r="666">
          <cell r="A666" t="str">
            <v>Т-01850/АЗ</v>
          </cell>
        </row>
        <row r="667">
          <cell r="A667" t="str">
            <v>Т-01497/АЗ</v>
          </cell>
        </row>
        <row r="668">
          <cell r="A668" t="str">
            <v>А-03947/АЗ</v>
          </cell>
        </row>
        <row r="669">
          <cell r="A669" t="str">
            <v>В-01552/КЛ</v>
          </cell>
        </row>
        <row r="670">
          <cell r="A670" t="str">
            <v>А-05105/АЗ</v>
          </cell>
        </row>
        <row r="671">
          <cell r="A671" t="str">
            <v>Т-01866/АЗ</v>
          </cell>
        </row>
        <row r="672">
          <cell r="A672" t="str">
            <v>В-09250/КЛ</v>
          </cell>
        </row>
        <row r="673">
          <cell r="A673" t="str">
            <v>В-01020/АЗ</v>
          </cell>
        </row>
        <row r="674">
          <cell r="A674" t="str">
            <v>В-04162/КЛ</v>
          </cell>
        </row>
        <row r="675">
          <cell r="A675" t="str">
            <v>А-00466/КЭ</v>
          </cell>
        </row>
        <row r="676">
          <cell r="A676" t="str">
            <v>А-00418/КЭ</v>
          </cell>
        </row>
        <row r="677">
          <cell r="A677" t="str">
            <v>В-07632/КЛ</v>
          </cell>
        </row>
        <row r="678">
          <cell r="A678" t="str">
            <v>В-03631/КЛ</v>
          </cell>
        </row>
        <row r="679">
          <cell r="A679" t="str">
            <v>В-07328/КЛ</v>
          </cell>
        </row>
        <row r="680">
          <cell r="A680" t="str">
            <v>А-05447/АЗ</v>
          </cell>
        </row>
        <row r="681">
          <cell r="A681" t="str">
            <v>В-00885/АЗ</v>
          </cell>
        </row>
        <row r="682">
          <cell r="A682" t="str">
            <v>В-00321/АЗ</v>
          </cell>
        </row>
        <row r="683">
          <cell r="A683" t="str">
            <v>В-05772/КЛ</v>
          </cell>
        </row>
        <row r="684">
          <cell r="A684" t="str">
            <v xml:space="preserve">В-00982/АЗ </v>
          </cell>
        </row>
        <row r="685">
          <cell r="A685" t="str">
            <v>В-01482/КЛ</v>
          </cell>
        </row>
        <row r="686">
          <cell r="A686" t="str">
            <v>В-03383/КЛ</v>
          </cell>
        </row>
        <row r="687">
          <cell r="A687" t="str">
            <v>В-02402/КЛ</v>
          </cell>
        </row>
        <row r="688">
          <cell r="A688" t="str">
            <v>В-07706/КЛ</v>
          </cell>
        </row>
        <row r="689">
          <cell r="A689" t="str">
            <v>Т-01747/АЗ</v>
          </cell>
        </row>
        <row r="690">
          <cell r="A690" t="str">
            <v>А-05164/АЗ</v>
          </cell>
        </row>
        <row r="691">
          <cell r="A691" t="str">
            <v>В-03071/КЛ</v>
          </cell>
        </row>
        <row r="692">
          <cell r="A692" t="str">
            <v>А-00395/КЭ</v>
          </cell>
        </row>
        <row r="693">
          <cell r="A693" t="str">
            <v>В-00051/КЛ</v>
          </cell>
        </row>
        <row r="694">
          <cell r="A694" t="str">
            <v>В-00365/АЗ</v>
          </cell>
        </row>
        <row r="695">
          <cell r="A695" t="str">
            <v>В-00079/КЛ</v>
          </cell>
        </row>
        <row r="696">
          <cell r="A696" t="str">
            <v>В-00324/АЗ</v>
          </cell>
        </row>
        <row r="697">
          <cell r="A697" t="str">
            <v>В-01086/КЛ</v>
          </cell>
        </row>
        <row r="698">
          <cell r="A698" t="str">
            <v>В-00088/АЗ</v>
          </cell>
        </row>
        <row r="699">
          <cell r="A699" t="str">
            <v>В-01417/КЛ</v>
          </cell>
        </row>
        <row r="700">
          <cell r="A700" t="str">
            <v>А-04614/АЗ</v>
          </cell>
        </row>
        <row r="701">
          <cell r="A701" t="str">
            <v>В-04809/КЛ</v>
          </cell>
        </row>
        <row r="702">
          <cell r="A702" t="str">
            <v>В-00003/КЭ</v>
          </cell>
        </row>
        <row r="703">
          <cell r="A703" t="str">
            <v>Т-01752/АЗ</v>
          </cell>
        </row>
        <row r="704">
          <cell r="A704" t="str">
            <v>А-05182/АЗ</v>
          </cell>
        </row>
        <row r="705">
          <cell r="A705" t="str">
            <v>Т-00001/КЭ</v>
          </cell>
        </row>
        <row r="706">
          <cell r="A706" t="str">
            <v>В-08204/КЛ</v>
          </cell>
        </row>
        <row r="707">
          <cell r="A707" t="str">
            <v>В-01174/КЛ</v>
          </cell>
        </row>
        <row r="708">
          <cell r="A708" t="str">
            <v>В-00872/АЗ</v>
          </cell>
        </row>
        <row r="709">
          <cell r="A709" t="str">
            <v>В-00866/АЗ</v>
          </cell>
        </row>
        <row r="710">
          <cell r="A710" t="str">
            <v>В-00449/КЛ</v>
          </cell>
        </row>
        <row r="711">
          <cell r="A711" t="str">
            <v>В-00438/КЛ</v>
          </cell>
        </row>
        <row r="712">
          <cell r="A712" t="str">
            <v>В-03907/КЛ</v>
          </cell>
        </row>
        <row r="713">
          <cell r="A713" t="str">
            <v>В-00425/КЛ</v>
          </cell>
        </row>
        <row r="714">
          <cell r="A714" t="str">
            <v>Т-01865/АЗ</v>
          </cell>
        </row>
        <row r="715">
          <cell r="A715" t="str">
            <v>В-02644/КЛ</v>
          </cell>
        </row>
        <row r="716">
          <cell r="A716" t="str">
            <v>Т-01862/АЗ</v>
          </cell>
        </row>
        <row r="717">
          <cell r="A717" t="str">
            <v>В-00899/АЗ</v>
          </cell>
        </row>
        <row r="718">
          <cell r="A718" t="str">
            <v>В-00824/АЗ</v>
          </cell>
        </row>
        <row r="719">
          <cell r="A719" t="str">
            <v>А-00053/БЭ</v>
          </cell>
        </row>
        <row r="720">
          <cell r="A720" t="str">
            <v>А-04119/АЗ</v>
          </cell>
        </row>
        <row r="721">
          <cell r="A721" t="str">
            <v>А-04328/АЗ</v>
          </cell>
        </row>
        <row r="722">
          <cell r="A722" t="str">
            <v>Т-00030/БЭ</v>
          </cell>
        </row>
        <row r="723">
          <cell r="A723" t="str">
            <v>А-00051/БЭ</v>
          </cell>
        </row>
        <row r="724">
          <cell r="A724" t="str">
            <v>В-00788/АЗ</v>
          </cell>
        </row>
        <row r="725">
          <cell r="A725" t="str">
            <v>А-03565/АЗ</v>
          </cell>
        </row>
        <row r="726">
          <cell r="A726" t="str">
            <v>Т-01404/АЗ</v>
          </cell>
        </row>
        <row r="727">
          <cell r="A727" t="str">
            <v>В-00883/АЗ</v>
          </cell>
        </row>
        <row r="728">
          <cell r="A728" t="str">
            <v>В-02944/КЛ</v>
          </cell>
        </row>
        <row r="729">
          <cell r="A729" t="str">
            <v>В-01072/КЛ</v>
          </cell>
        </row>
        <row r="730">
          <cell r="A730" t="str">
            <v>В-03615/КЛ</v>
          </cell>
        </row>
        <row r="731">
          <cell r="A731" t="str">
            <v xml:space="preserve">А-00386/КЭ </v>
          </cell>
        </row>
        <row r="732">
          <cell r="A732" t="str">
            <v>В-01526/КЛ</v>
          </cell>
        </row>
        <row r="733">
          <cell r="A733" t="str">
            <v>В-00932/АЗ</v>
          </cell>
        </row>
        <row r="734">
          <cell r="A734" t="str">
            <v xml:space="preserve">В-00608/АЗ </v>
          </cell>
        </row>
        <row r="735">
          <cell r="A735" t="str">
            <v xml:space="preserve">Т-01722/АЗ </v>
          </cell>
        </row>
        <row r="736">
          <cell r="A736" t="str">
            <v>В-02026/КЛ</v>
          </cell>
        </row>
        <row r="737">
          <cell r="A737" t="str">
            <v>В-03672/КЛ</v>
          </cell>
        </row>
        <row r="738">
          <cell r="A738" t="str">
            <v>Т-01797/АЗ</v>
          </cell>
        </row>
        <row r="739">
          <cell r="A739" t="str">
            <v>А-05332/АЗ</v>
          </cell>
        </row>
        <row r="740">
          <cell r="A740" t="str">
            <v>В-01422/КЛ</v>
          </cell>
        </row>
        <row r="741">
          <cell r="A741" t="str">
            <v>В-00478/КЛ</v>
          </cell>
        </row>
        <row r="742">
          <cell r="A742" t="str">
            <v>В-00256/КЛ</v>
          </cell>
        </row>
        <row r="743">
          <cell r="A743" t="str">
            <v>В-00603/КЛ</v>
          </cell>
        </row>
        <row r="744">
          <cell r="A744" t="str">
            <v>Т-01798/АЗ</v>
          </cell>
        </row>
        <row r="745">
          <cell r="A745" t="str">
            <v>А-05334/АЗ</v>
          </cell>
        </row>
        <row r="746">
          <cell r="A746" t="str">
            <v>В-08042/КЛ</v>
          </cell>
        </row>
        <row r="747">
          <cell r="A747" t="str">
            <v>В-07240/КЛ</v>
          </cell>
        </row>
        <row r="748">
          <cell r="A748" t="str">
            <v>В-05290/КЛ</v>
          </cell>
        </row>
        <row r="749">
          <cell r="A749" t="str">
            <v>В-00662/АЗ</v>
          </cell>
        </row>
        <row r="750">
          <cell r="A750" t="str">
            <v>В-03277/КЛ</v>
          </cell>
        </row>
        <row r="751">
          <cell r="A751" t="str">
            <v>В-00774/АЗ</v>
          </cell>
        </row>
        <row r="752">
          <cell r="A752" t="str">
            <v>В-00673/АЗ</v>
          </cell>
        </row>
        <row r="753">
          <cell r="A753" t="str">
            <v>Т-01809/АЗ</v>
          </cell>
        </row>
        <row r="754">
          <cell r="A754" t="str">
            <v>В-03114/КЛ</v>
          </cell>
        </row>
        <row r="755">
          <cell r="A755" t="str">
            <v>В-00593/АЗ</v>
          </cell>
        </row>
        <row r="756">
          <cell r="A756" t="str">
            <v>А-05009/АЗ</v>
          </cell>
        </row>
        <row r="757">
          <cell r="A757" t="str">
            <v>А-00328/КЭ</v>
          </cell>
        </row>
        <row r="758">
          <cell r="A758" t="str">
            <v>В-00183/КЛ</v>
          </cell>
        </row>
        <row r="759">
          <cell r="A759" t="str">
            <v>В-03846/КЛ</v>
          </cell>
        </row>
        <row r="760">
          <cell r="A760" t="str">
            <v>А-05166/АЗ</v>
          </cell>
        </row>
        <row r="761">
          <cell r="A761" t="str">
            <v>В-00573/АЗ</v>
          </cell>
        </row>
        <row r="762">
          <cell r="A762" t="str">
            <v>А-10099/КЭ</v>
          </cell>
        </row>
        <row r="763">
          <cell r="A763" t="str">
            <v>А-10098/КЭ</v>
          </cell>
        </row>
        <row r="764">
          <cell r="A764" t="str">
            <v>В-01642/КЛ</v>
          </cell>
        </row>
        <row r="765">
          <cell r="A765" t="str">
            <v>В-01035/КЛ</v>
          </cell>
        </row>
        <row r="766">
          <cell r="A766" t="str">
            <v>А-04171/АЗ</v>
          </cell>
        </row>
        <row r="767">
          <cell r="A767" t="str">
            <v>Т-01841/АЗ_Т-20200626/Ц</v>
          </cell>
        </row>
        <row r="768">
          <cell r="A768" t="str">
            <v>В-00884/КЛ</v>
          </cell>
        </row>
        <row r="769">
          <cell r="A769" t="str">
            <v>В-00762/АЗ</v>
          </cell>
        </row>
        <row r="770">
          <cell r="A770" t="str">
            <v>В-00581/АЗ</v>
          </cell>
        </row>
        <row r="771">
          <cell r="A771" t="str">
            <v>В-03129/КЛ</v>
          </cell>
        </row>
        <row r="772">
          <cell r="A772" t="str">
            <v>В-01987/КЛ</v>
          </cell>
        </row>
        <row r="773">
          <cell r="A773" t="str">
            <v>В-00565/АЗ</v>
          </cell>
        </row>
        <row r="774">
          <cell r="A774" t="str">
            <v>В-00547/АЗ</v>
          </cell>
        </row>
        <row r="775">
          <cell r="A775" t="str">
            <v>В-02186/КЛ</v>
          </cell>
        </row>
        <row r="776">
          <cell r="A776" t="str">
            <v>Т-01612/АЗ</v>
          </cell>
        </row>
        <row r="777">
          <cell r="A777" t="str">
            <v>А-04501/АЗ</v>
          </cell>
        </row>
        <row r="778">
          <cell r="A778" t="str">
            <v>В-00648/АЗ</v>
          </cell>
        </row>
        <row r="779">
          <cell r="A779" t="str">
            <v>В-01227/КЛ</v>
          </cell>
        </row>
        <row r="780">
          <cell r="A780" t="str">
            <v>В-00927/АЗ</v>
          </cell>
        </row>
        <row r="781">
          <cell r="A781" t="str">
            <v>В-00614/АЗ</v>
          </cell>
        </row>
        <row r="782">
          <cell r="A782" t="str">
            <v>В-00911/АЗ</v>
          </cell>
        </row>
        <row r="783">
          <cell r="A783" t="str">
            <v>А-00403/КЭ</v>
          </cell>
        </row>
        <row r="784">
          <cell r="A784" t="str">
            <v>А-00343/КЭ</v>
          </cell>
        </row>
        <row r="785">
          <cell r="A785" t="str">
            <v>В-00557/АЗ</v>
          </cell>
        </row>
        <row r="786">
          <cell r="A786" t="str">
            <v>Т-01631/АЗ</v>
          </cell>
        </row>
        <row r="787">
          <cell r="A787" t="str">
            <v>А-04628/АЗ</v>
          </cell>
        </row>
        <row r="788">
          <cell r="A788" t="str">
            <v>В-03463/КЛ</v>
          </cell>
        </row>
        <row r="789">
          <cell r="A789" t="str">
            <v>В-03741/КЛ</v>
          </cell>
        </row>
        <row r="790">
          <cell r="A790" t="str">
            <v>В-00819/АЗ</v>
          </cell>
        </row>
        <row r="791">
          <cell r="A791" t="str">
            <v>А-04793/АЗ</v>
          </cell>
        </row>
        <row r="792">
          <cell r="A792" t="str">
            <v>В-00840/АЗ</v>
          </cell>
        </row>
        <row r="793">
          <cell r="A793" t="str">
            <v>А-10092/КЭ</v>
          </cell>
        </row>
        <row r="794">
          <cell r="A794" t="str">
            <v>В-00710/АЗ</v>
          </cell>
        </row>
        <row r="795">
          <cell r="A795" t="str">
            <v>В-01319/КЛ</v>
          </cell>
        </row>
        <row r="796">
          <cell r="A796" t="str">
            <v>В-00635/АЗ</v>
          </cell>
        </row>
        <row r="797">
          <cell r="A797" t="str">
            <v>А-00429/КЭ</v>
          </cell>
        </row>
        <row r="798">
          <cell r="A798" t="str">
            <v>В-03749/КЛ</v>
          </cell>
        </row>
        <row r="799">
          <cell r="A799" t="str">
            <v>В-03155/КЛ</v>
          </cell>
        </row>
        <row r="800">
          <cell r="A800" t="str">
            <v>В-01428/КЛ</v>
          </cell>
        </row>
        <row r="801">
          <cell r="A801" t="str">
            <v>В-00553/АЗ</v>
          </cell>
        </row>
        <row r="802">
          <cell r="A802" t="str">
            <v>В-00847/АЗ</v>
          </cell>
        </row>
        <row r="803">
          <cell r="A803" t="str">
            <v>В-00610/АЗ</v>
          </cell>
        </row>
        <row r="804">
          <cell r="A804" t="str">
            <v>В-03738/КЛ</v>
          </cell>
        </row>
        <row r="805">
          <cell r="A805" t="str">
            <v>В-00046/АЗ</v>
          </cell>
        </row>
        <row r="806">
          <cell r="A806" t="str">
            <v>В-02105/КЛ</v>
          </cell>
        </row>
        <row r="807">
          <cell r="A807" t="str">
            <v>В-03543/КЛ</v>
          </cell>
        </row>
        <row r="808">
          <cell r="A808" t="str">
            <v>В-00254/АЗ</v>
          </cell>
        </row>
        <row r="809">
          <cell r="A809" t="str">
            <v>В-04357/КЛ</v>
          </cell>
        </row>
        <row r="810">
          <cell r="A810" t="str">
            <v>В-02500/КЛ</v>
          </cell>
        </row>
        <row r="811">
          <cell r="A811" t="str">
            <v>В-00219/АЗ</v>
          </cell>
        </row>
        <row r="812">
          <cell r="A812" t="str">
            <v>В-00291/АЗ</v>
          </cell>
        </row>
        <row r="813">
          <cell r="A813" t="str">
            <v>В-00726/АЗ</v>
          </cell>
        </row>
        <row r="814">
          <cell r="A814" t="str">
            <v>В-04159/КЛ</v>
          </cell>
        </row>
        <row r="815">
          <cell r="A815" t="str">
            <v>А-00366/КЭ</v>
          </cell>
        </row>
        <row r="816">
          <cell r="A816" t="str">
            <v>А-00327/КЭ</v>
          </cell>
        </row>
        <row r="817">
          <cell r="A817" t="str">
            <v>А-04751/АЗ</v>
          </cell>
        </row>
        <row r="818">
          <cell r="A818" t="str">
            <v>В-03414/КЛ</v>
          </cell>
        </row>
        <row r="819">
          <cell r="A819" t="str">
            <v>В-00272/АЗ</v>
          </cell>
        </row>
        <row r="820">
          <cell r="A820" t="str">
            <v>В-00507/АЗ</v>
          </cell>
        </row>
        <row r="821">
          <cell r="A821" t="str">
            <v>В-03858/КЛ</v>
          </cell>
        </row>
        <row r="822">
          <cell r="A822" t="str">
            <v>В-03960/КЛ</v>
          </cell>
        </row>
        <row r="823">
          <cell r="A823" t="str">
            <v>В-00237/АЗ</v>
          </cell>
        </row>
        <row r="824">
          <cell r="A824" t="str">
            <v>В-03465/КЛ</v>
          </cell>
        </row>
        <row r="825">
          <cell r="A825" t="str">
            <v>В-00566/АЗ</v>
          </cell>
        </row>
        <row r="826">
          <cell r="A826" t="str">
            <v>В-00683/КЛ</v>
          </cell>
        </row>
        <row r="827">
          <cell r="A827" t="str">
            <v>А-10026/БЭ</v>
          </cell>
        </row>
        <row r="828">
          <cell r="A828" t="str">
            <v>В-03758/КЛ</v>
          </cell>
        </row>
        <row r="829">
          <cell r="A829" t="str">
            <v>В-03899/КЛ</v>
          </cell>
        </row>
        <row r="830">
          <cell r="A830" t="str">
            <v>В-00887/АЗ</v>
          </cell>
        </row>
        <row r="831">
          <cell r="A831" t="str">
            <v>В-00835/АЗ</v>
          </cell>
        </row>
        <row r="832">
          <cell r="A832" t="str">
            <v>В-00833/АЗ</v>
          </cell>
        </row>
        <row r="833">
          <cell r="A833" t="str">
            <v>В-00832/АЗ</v>
          </cell>
        </row>
        <row r="834">
          <cell r="A834" t="str">
            <v>В-03686/КЛ</v>
          </cell>
        </row>
        <row r="835">
          <cell r="A835" t="str">
            <v>В-00836/АЗ</v>
          </cell>
        </row>
        <row r="836">
          <cell r="A836" t="str">
            <v>В-00338/АЗ</v>
          </cell>
        </row>
        <row r="837">
          <cell r="A837" t="str">
            <v>В-03413/КЛ</v>
          </cell>
        </row>
        <row r="838">
          <cell r="A838" t="str">
            <v>В-01345/КЛ</v>
          </cell>
        </row>
        <row r="839">
          <cell r="A839" t="str">
            <v>В-00766/АЗ</v>
          </cell>
        </row>
        <row r="840">
          <cell r="A840" t="str">
            <v>А-05291/АЗ</v>
          </cell>
        </row>
        <row r="841">
          <cell r="A841" t="str">
            <v>Т-01847/АЗ</v>
          </cell>
        </row>
        <row r="842">
          <cell r="A842" t="str">
            <v>В-01220/КЛ</v>
          </cell>
        </row>
        <row r="843">
          <cell r="A843" t="str">
            <v>В-00789/АЗ</v>
          </cell>
        </row>
        <row r="844">
          <cell r="A844" t="str">
            <v>А-05431/АЗ</v>
          </cell>
        </row>
        <row r="845">
          <cell r="A845" t="str">
            <v>В-01911/КЛ</v>
          </cell>
        </row>
        <row r="846">
          <cell r="A846" t="str">
            <v>В-00407/АЗ</v>
          </cell>
        </row>
        <row r="847">
          <cell r="A847" t="str">
            <v>В-00690/АЗ</v>
          </cell>
        </row>
        <row r="848">
          <cell r="A848" t="str">
            <v>В-00693/АЗ</v>
          </cell>
        </row>
        <row r="849">
          <cell r="A849" t="str">
            <v>В-00302/КЛ</v>
          </cell>
        </row>
        <row r="850">
          <cell r="A850" t="str">
            <v>А-10066/КЭ</v>
          </cell>
        </row>
        <row r="851">
          <cell r="A851" t="str">
            <v>В-00538/АЗ</v>
          </cell>
        </row>
        <row r="852">
          <cell r="A852" t="str">
            <v>А-04413/АЗ</v>
          </cell>
        </row>
        <row r="853">
          <cell r="A853" t="str">
            <v>Т-01677/АЗ</v>
          </cell>
        </row>
        <row r="854">
          <cell r="A854" t="str">
            <v>Т-01843/АЗ</v>
          </cell>
        </row>
        <row r="855">
          <cell r="A855" t="str">
            <v>А-04356/АЗ</v>
          </cell>
        </row>
        <row r="856">
          <cell r="A856" t="str">
            <v>А-05421/АЗ</v>
          </cell>
        </row>
        <row r="857">
          <cell r="A857" t="str">
            <v>В-00702/АЗ</v>
          </cell>
        </row>
        <row r="858">
          <cell r="A858" t="str">
            <v>А-05088/АЗ</v>
          </cell>
        </row>
        <row r="859">
          <cell r="A859" t="str">
            <v>В-00118/КЛ</v>
          </cell>
        </row>
        <row r="860">
          <cell r="A860" t="str">
            <v>А-30005/КЭ</v>
          </cell>
        </row>
        <row r="861">
          <cell r="A861" t="str">
            <v>В-00865/АЗ</v>
          </cell>
        </row>
        <row r="862">
          <cell r="A862" t="str">
            <v>В-00575/АЗ</v>
          </cell>
        </row>
        <row r="863">
          <cell r="A863" t="str">
            <v>В-03206/КЛ</v>
          </cell>
        </row>
        <row r="864">
          <cell r="A864" t="str">
            <v>В-00818/АЗ</v>
          </cell>
        </row>
        <row r="865">
          <cell r="A865" t="str">
            <v>А-10045/КЭ</v>
          </cell>
        </row>
        <row r="866">
          <cell r="A866" t="str">
            <v>В-01509/КЛ</v>
          </cell>
        </row>
        <row r="867">
          <cell r="A867" t="str">
            <v>В-00706/АЗ</v>
          </cell>
        </row>
        <row r="868">
          <cell r="A868" t="str">
            <v>В-00609/АЗ</v>
          </cell>
        </row>
        <row r="869">
          <cell r="A869" t="str">
            <v>А-05411/АЗ</v>
          </cell>
        </row>
        <row r="870">
          <cell r="A870" t="str">
            <v>А-04223/АЗ</v>
          </cell>
        </row>
        <row r="871">
          <cell r="A871" t="str">
            <v>В-02255/КЛ</v>
          </cell>
        </row>
        <row r="872">
          <cell r="A872" t="str">
            <v>В-01713/КЛ</v>
          </cell>
        </row>
        <row r="873">
          <cell r="A873" t="str">
            <v>В-01562/КЛ</v>
          </cell>
        </row>
        <row r="874">
          <cell r="A874" t="str">
            <v>В-00249/АЗ</v>
          </cell>
        </row>
        <row r="875">
          <cell r="A875" t="str">
            <v>В-01768/КЛ</v>
          </cell>
        </row>
        <row r="876">
          <cell r="A876" t="str">
            <v>В-01925/КЛ</v>
          </cell>
        </row>
        <row r="877">
          <cell r="A877" t="str">
            <v>В-01528/КЛ</v>
          </cell>
        </row>
        <row r="878">
          <cell r="A878" t="str">
            <v>А-10102/КЭ</v>
          </cell>
        </row>
        <row r="879">
          <cell r="A879" t="str">
            <v>А-05193/АЗ</v>
          </cell>
        </row>
        <row r="880">
          <cell r="A880" t="str">
            <v>В-00598/АЗ</v>
          </cell>
        </row>
        <row r="881">
          <cell r="A881" t="str">
            <v>В-01710/КЛ</v>
          </cell>
        </row>
        <row r="882">
          <cell r="A882" t="str">
            <v>В-00660/АЗ</v>
          </cell>
        </row>
        <row r="883">
          <cell r="A883" t="str">
            <v>А-00058/БЭ</v>
          </cell>
        </row>
        <row r="884">
          <cell r="A884" t="str">
            <v>В-00399/АЗ</v>
          </cell>
        </row>
        <row r="885">
          <cell r="A885" t="str">
            <v>В-00489/КЛ</v>
          </cell>
        </row>
        <row r="886">
          <cell r="A886" t="str">
            <v>А-00049/БЭ</v>
          </cell>
        </row>
        <row r="887">
          <cell r="A887" t="str">
            <v>В-01175/КЛ</v>
          </cell>
        </row>
        <row r="888">
          <cell r="A888" t="str">
            <v>А-00435/КЭ</v>
          </cell>
        </row>
        <row r="889">
          <cell r="A889" t="str">
            <v>А-04670/АЗ</v>
          </cell>
        </row>
        <row r="890">
          <cell r="A890" t="str">
            <v>В-00678/КЛ</v>
          </cell>
        </row>
        <row r="891">
          <cell r="A891" t="str">
            <v>А-05132/АЗ</v>
          </cell>
        </row>
        <row r="892">
          <cell r="A892" t="str">
            <v>В-00820/АЗ</v>
          </cell>
        </row>
        <row r="893">
          <cell r="A893" t="str">
            <v>В-00823/АЗ</v>
          </cell>
        </row>
        <row r="894">
          <cell r="A894" t="str">
            <v>В-00559/АЗ</v>
          </cell>
        </row>
        <row r="895">
          <cell r="A895" t="str">
            <v>А-05372/АЗ</v>
          </cell>
        </row>
        <row r="896">
          <cell r="A896" t="str">
            <v>А-05305/АЗ</v>
          </cell>
        </row>
        <row r="897">
          <cell r="A897" t="str">
            <v>В-02110/КЛ</v>
          </cell>
        </row>
        <row r="898">
          <cell r="A898" t="str">
            <v>А-00255/КЭ</v>
          </cell>
        </row>
        <row r="899">
          <cell r="A899" t="str">
            <v>В-00233/КЛ</v>
          </cell>
        </row>
        <row r="900">
          <cell r="A900" t="str">
            <v>В-00085/АЗ</v>
          </cell>
        </row>
        <row r="901">
          <cell r="A901" t="str">
            <v>А-00433/КЭ</v>
          </cell>
        </row>
        <row r="902">
          <cell r="A902" t="str">
            <v>В-00727/АЗ</v>
          </cell>
        </row>
        <row r="903">
          <cell r="A903" t="str">
            <v>В-00562/АЗ</v>
          </cell>
        </row>
        <row r="904">
          <cell r="A904" t="str">
            <v>А-05435/АЗ</v>
          </cell>
        </row>
        <row r="905">
          <cell r="A905" t="str">
            <v>Т-01790/АЗ</v>
          </cell>
        </row>
        <row r="906">
          <cell r="A906" t="str">
            <v>Каверин Владимир Геннадьевич</v>
          </cell>
        </row>
        <row r="907">
          <cell r="A907" t="str">
            <v>А-05231/АЗ</v>
          </cell>
        </row>
        <row r="908">
          <cell r="A908" t="str">
            <v>В-00948/КЛ</v>
          </cell>
        </row>
        <row r="909">
          <cell r="A909" t="str">
            <v>В-00233/АЗ</v>
          </cell>
        </row>
        <row r="910">
          <cell r="A910" t="str">
            <v>В-01375/КЛ</v>
          </cell>
        </row>
        <row r="911">
          <cell r="A911" t="str">
            <v>В-00586/АЗ</v>
          </cell>
        </row>
        <row r="912">
          <cell r="A912" t="str">
            <v>В-01448/КЛ</v>
          </cell>
        </row>
        <row r="913">
          <cell r="A913" t="str">
            <v>А-00347/КЭ</v>
          </cell>
        </row>
        <row r="914">
          <cell r="A914" t="str">
            <v>А-05157/АЗ</v>
          </cell>
        </row>
        <row r="915">
          <cell r="A915" t="str">
            <v>В-00838/АЗ</v>
          </cell>
        </row>
        <row r="916">
          <cell r="A916" t="str">
            <v>В-00837/АЗ</v>
          </cell>
        </row>
        <row r="917">
          <cell r="A917" t="str">
            <v>В-00522/АЗ</v>
          </cell>
        </row>
        <row r="918">
          <cell r="A918" t="str">
            <v>В-01371/КЛ</v>
          </cell>
        </row>
        <row r="919">
          <cell r="A919" t="str">
            <v>Т-01670/АЗ</v>
          </cell>
        </row>
        <row r="920">
          <cell r="A920" t="str">
            <v>А-04787/АЗ</v>
          </cell>
        </row>
        <row r="921">
          <cell r="A921" t="str">
            <v>В-00038/АЗ</v>
          </cell>
        </row>
        <row r="922">
          <cell r="A922" t="str">
            <v>А-05101/АЗ</v>
          </cell>
        </row>
        <row r="923">
          <cell r="A923" t="str">
            <v>В-00497/АЗ</v>
          </cell>
        </row>
        <row r="924">
          <cell r="A924" t="str">
            <v>А-10090/КЭ</v>
          </cell>
        </row>
        <row r="925">
          <cell r="A925" t="str">
            <v>А-05170/АЗ</v>
          </cell>
        </row>
        <row r="926">
          <cell r="A926" t="str">
            <v>В-00286/АЗ</v>
          </cell>
        </row>
        <row r="927">
          <cell r="A927" t="str">
            <v>А-05337/АЗ</v>
          </cell>
        </row>
        <row r="928">
          <cell r="A928" t="str">
            <v>В-00264/АЗ</v>
          </cell>
        </row>
        <row r="929">
          <cell r="A929" t="str">
            <v>В-00643/АЗ</v>
          </cell>
        </row>
        <row r="930">
          <cell r="A930" t="str">
            <v>В-00650/АЗ</v>
          </cell>
        </row>
        <row r="931">
          <cell r="A931" t="str">
            <v>В-01023/КЛ</v>
          </cell>
        </row>
        <row r="932">
          <cell r="A932" t="str">
            <v>В-00094/КЛ</v>
          </cell>
        </row>
        <row r="933">
          <cell r="A933" t="str">
            <v>В-01055/КЛ</v>
          </cell>
        </row>
        <row r="934">
          <cell r="A934" t="str">
            <v>В-00339/КЛ</v>
          </cell>
        </row>
        <row r="935">
          <cell r="A935" t="str">
            <v>В-00489/АЗ</v>
          </cell>
        </row>
        <row r="936">
          <cell r="A936" t="str">
            <v>В-00223/КЛ</v>
          </cell>
        </row>
        <row r="937">
          <cell r="A937" t="str">
            <v>В-00986/КЛ</v>
          </cell>
        </row>
        <row r="938">
          <cell r="A938" t="str">
            <v>В-00182/КЛ</v>
          </cell>
        </row>
        <row r="939">
          <cell r="A939" t="str">
            <v>А-05225/АЗ</v>
          </cell>
        </row>
        <row r="940">
          <cell r="A940" t="str">
            <v>В-00617/АЗ</v>
          </cell>
        </row>
        <row r="941">
          <cell r="A941" t="str">
            <v>А-03641/АЗ</v>
          </cell>
        </row>
        <row r="942">
          <cell r="A942" t="str">
            <v>В-00391/АЗ</v>
          </cell>
        </row>
        <row r="943">
          <cell r="A943" t="str">
            <v>А-00389/КЭ</v>
          </cell>
        </row>
        <row r="944">
          <cell r="A944" t="str">
            <v>А-00309/КЭ</v>
          </cell>
        </row>
        <row r="945">
          <cell r="A945" t="str">
            <v>А-00281/КЭ</v>
          </cell>
        </row>
        <row r="946">
          <cell r="A946" t="str">
            <v>А-05282/АЗ</v>
          </cell>
        </row>
        <row r="947">
          <cell r="A947" t="str">
            <v>В-00103/КЛ</v>
          </cell>
        </row>
        <row r="948">
          <cell r="A948" t="str">
            <v>А-04397/АЗ</v>
          </cell>
        </row>
        <row r="949">
          <cell r="A949" t="str">
            <v>В-00463/КЛ</v>
          </cell>
        </row>
        <row r="950">
          <cell r="A950" t="str">
            <v>В-00536/АЗ</v>
          </cell>
        </row>
        <row r="951">
          <cell r="A951" t="str">
            <v>В-00514/АЗ</v>
          </cell>
        </row>
        <row r="952">
          <cell r="A952" t="str">
            <v>А-05139/АЗ</v>
          </cell>
        </row>
        <row r="953">
          <cell r="A953" t="str">
            <v>А-00410/КЭ</v>
          </cell>
        </row>
        <row r="954">
          <cell r="A954" t="str">
            <v>В-00428/АЗ</v>
          </cell>
        </row>
        <row r="955">
          <cell r="A955" t="str">
            <v>В-00395/АЗ</v>
          </cell>
        </row>
        <row r="956">
          <cell r="A956" t="str">
            <v>А-04742/АЗ</v>
          </cell>
        </row>
        <row r="957">
          <cell r="A957" t="str">
            <v>А-05338/АЗ</v>
          </cell>
        </row>
        <row r="958">
          <cell r="A958" t="str">
            <v>В-00450/АЗ</v>
          </cell>
        </row>
        <row r="959">
          <cell r="A959" t="str">
            <v>В-00175/АЗ</v>
          </cell>
        </row>
        <row r="960">
          <cell r="A960" t="str">
            <v>В-00263/АЗ</v>
          </cell>
        </row>
        <row r="961">
          <cell r="A961" t="str">
            <v>В-00638/АЗ</v>
          </cell>
        </row>
        <row r="962">
          <cell r="A962" t="str">
            <v>В-00622/АЗ</v>
          </cell>
        </row>
        <row r="963">
          <cell r="A963" t="str">
            <v>А-10024/БЭ</v>
          </cell>
        </row>
        <row r="964">
          <cell r="A964" t="str">
            <v>В-00947/КЛ</v>
          </cell>
        </row>
        <row r="965">
          <cell r="A965" t="str">
            <v>А-05349/АЗ</v>
          </cell>
        </row>
        <row r="966">
          <cell r="A966" t="str">
            <v>В-00079/АЗ</v>
          </cell>
        </row>
        <row r="967">
          <cell r="A967" t="str">
            <v>В-00404/АЗ</v>
          </cell>
        </row>
        <row r="968">
          <cell r="A968" t="str">
            <v>А-05308/АЗ</v>
          </cell>
        </row>
        <row r="969">
          <cell r="A969" t="str">
            <v>В-00411/АЗ</v>
          </cell>
        </row>
        <row r="970">
          <cell r="A970" t="str">
            <v>В-00592/АЗ</v>
          </cell>
        </row>
        <row r="971">
          <cell r="A971" t="str">
            <v>В-00204/АЗ</v>
          </cell>
        </row>
        <row r="972">
          <cell r="A972" t="str">
            <v>В-00271/АЗ</v>
          </cell>
        </row>
        <row r="973">
          <cell r="A973" t="str">
            <v>В-00360/АЗ</v>
          </cell>
        </row>
        <row r="974">
          <cell r="A974" t="str">
            <v>А-04984/АЗ</v>
          </cell>
        </row>
        <row r="975">
          <cell r="A975" t="str">
            <v>Т-01705/АЗ</v>
          </cell>
        </row>
        <row r="976">
          <cell r="A976" t="str">
            <v>Т-01499/АЗ</v>
          </cell>
        </row>
        <row r="977">
          <cell r="A977" t="str">
            <v>А-03951/АЗ</v>
          </cell>
        </row>
        <row r="978">
          <cell r="A978" t="str">
            <v>В-00020/АЗ</v>
          </cell>
        </row>
        <row r="979">
          <cell r="A979" t="str">
            <v>А-04220/АЗ</v>
          </cell>
        </row>
        <row r="980">
          <cell r="A980" t="str">
            <v>В-00320/КЛ</v>
          </cell>
        </row>
        <row r="981">
          <cell r="A981" t="str">
            <v>А-05165/АЗ</v>
          </cell>
        </row>
        <row r="982">
          <cell r="A982" t="str">
            <v>И-00141/АЗ</v>
          </cell>
        </row>
        <row r="983">
          <cell r="A983" t="str">
            <v>А-30002/КЭ</v>
          </cell>
        </row>
        <row r="984">
          <cell r="A984" t="str">
            <v>А-10036/КЭ</v>
          </cell>
        </row>
        <row r="985">
          <cell r="A985" t="str">
            <v>А-05380/АЗ</v>
          </cell>
        </row>
        <row r="986">
          <cell r="A986" t="str">
            <v>Т-01820/АЗ</v>
          </cell>
        </row>
        <row r="987">
          <cell r="A987" t="str">
            <v>В-00457/АЗ</v>
          </cell>
        </row>
        <row r="988">
          <cell r="A988" t="str">
            <v>Т-01799/АЗ</v>
          </cell>
        </row>
        <row r="989">
          <cell r="A989" t="str">
            <v>В-00147/АЗ</v>
          </cell>
        </row>
        <row r="990">
          <cell r="A990" t="str">
            <v>А-05110/АЗ</v>
          </cell>
        </row>
        <row r="991">
          <cell r="A991" t="str">
            <v>А-04950/АЗ</v>
          </cell>
        </row>
        <row r="992">
          <cell r="A992" t="str">
            <v>А-05076/АЗ</v>
          </cell>
        </row>
        <row r="993">
          <cell r="A993" t="str">
            <v>В-00617/КЛ</v>
          </cell>
        </row>
        <row r="994">
          <cell r="A994" t="str">
            <v>В-00141/АЗ</v>
          </cell>
        </row>
        <row r="995">
          <cell r="A995" t="str">
            <v>В-00469/АЗ</v>
          </cell>
        </row>
        <row r="996">
          <cell r="A996" t="str">
            <v>В-00467/АЗ</v>
          </cell>
        </row>
        <row r="997">
          <cell r="A997" t="str">
            <v>В-00267/КЛ</v>
          </cell>
        </row>
        <row r="998">
          <cell r="A998" t="str">
            <v>В-00357/АЗ</v>
          </cell>
        </row>
        <row r="999">
          <cell r="A999" t="str">
            <v>Т-01774/АЗ</v>
          </cell>
        </row>
        <row r="1000">
          <cell r="A1000" t="str">
            <v>В-00398/АЗ</v>
          </cell>
        </row>
        <row r="1001">
          <cell r="A1001" t="str">
            <v>Т-01725/АЗ</v>
          </cell>
        </row>
        <row r="1002">
          <cell r="A1002" t="str">
            <v>А-05377/АЗ</v>
          </cell>
        </row>
        <row r="1003">
          <cell r="A1003" t="str">
            <v>В-00434/АЗ</v>
          </cell>
        </row>
        <row r="1004">
          <cell r="A1004" t="str">
            <v>А-04901/АЗ</v>
          </cell>
        </row>
        <row r="1005">
          <cell r="A1005" t="str">
            <v>А-05245/АЗ</v>
          </cell>
        </row>
        <row r="1006">
          <cell r="A1006" t="str">
            <v>В-00043/КЛ</v>
          </cell>
        </row>
        <row r="1007">
          <cell r="A1007" t="str">
            <v>В-00201/АЗ</v>
          </cell>
        </row>
        <row r="1008">
          <cell r="A1008" t="str">
            <v>А-04910/АЗ</v>
          </cell>
        </row>
        <row r="1009">
          <cell r="A1009" t="str">
            <v>А-10039/КЭ</v>
          </cell>
        </row>
        <row r="1010">
          <cell r="A1010" t="str">
            <v>А-00363/КЭ</v>
          </cell>
        </row>
        <row r="1011">
          <cell r="A1011" t="str">
            <v>А-05178/АЗ</v>
          </cell>
        </row>
        <row r="1012">
          <cell r="A1012" t="str">
            <v>Т-01750/АЗ</v>
          </cell>
        </row>
        <row r="1013">
          <cell r="A1013" t="str">
            <v>А-00375/КЭ</v>
          </cell>
        </row>
        <row r="1014">
          <cell r="A1014" t="str">
            <v>В-00763/КЛ</v>
          </cell>
        </row>
        <row r="1015">
          <cell r="A1015" t="str">
            <v>А-00257/КЭ</v>
          </cell>
        </row>
        <row r="1016">
          <cell r="A1016" t="str">
            <v>В-00275/АЗ</v>
          </cell>
        </row>
        <row r="1017">
          <cell r="A1017" t="str">
            <v>В-00326/АЗ</v>
          </cell>
        </row>
        <row r="1018">
          <cell r="A1018" t="str">
            <v>В-00169/АЗ</v>
          </cell>
        </row>
        <row r="1019">
          <cell r="A1019" t="str">
            <v>А-04018/АЗ</v>
          </cell>
        </row>
        <row r="1020">
          <cell r="A1020" t="str">
            <v>А-04641/АЗ</v>
          </cell>
        </row>
        <row r="1021">
          <cell r="A1021" t="str">
            <v>В-00135/АЗ</v>
          </cell>
        </row>
        <row r="1022">
          <cell r="A1022" t="str">
            <v>А-04404/АЗ</v>
          </cell>
        </row>
        <row r="1023">
          <cell r="A1023" t="str">
            <v>А-03870/АЗ</v>
          </cell>
        </row>
        <row r="1024">
          <cell r="A1024" t="str">
            <v>В-00039/АЗ</v>
          </cell>
        </row>
        <row r="1025">
          <cell r="A1025" t="str">
            <v>А-10032/КЭ</v>
          </cell>
        </row>
        <row r="1026">
          <cell r="A1026" t="str">
            <v>Т-01540/АЗ</v>
          </cell>
        </row>
        <row r="1027">
          <cell r="A1027" t="str">
            <v>А-04160/АЗ</v>
          </cell>
        </row>
        <row r="1028">
          <cell r="A1028" t="str">
            <v>В-00100/АЗ</v>
          </cell>
        </row>
        <row r="1029">
          <cell r="A1029" t="str">
            <v>В-00308/АЗ</v>
          </cell>
        </row>
        <row r="1030">
          <cell r="A1030" t="str">
            <v>А-04953/АЗ</v>
          </cell>
        </row>
        <row r="1031">
          <cell r="A1031" t="str">
            <v>А-00357/КЭ</v>
          </cell>
        </row>
        <row r="1032">
          <cell r="A1032" t="str">
            <v>В-00040/АЗ</v>
          </cell>
        </row>
        <row r="1033">
          <cell r="A1033" t="str">
            <v>Т-01646/АЗ</v>
          </cell>
        </row>
        <row r="1034">
          <cell r="A1034" t="str">
            <v>А-04684/АЗ</v>
          </cell>
        </row>
        <row r="1035">
          <cell r="A1035" t="str">
            <v>А-04958/АЗ</v>
          </cell>
        </row>
        <row r="1036">
          <cell r="A1036" t="str">
            <v>А-04914/АЗ</v>
          </cell>
        </row>
        <row r="1037">
          <cell r="A1037" t="str">
            <v>Т-01718/АЗ</v>
          </cell>
        </row>
        <row r="1038">
          <cell r="A1038" t="str">
            <v>А-04943/АЗ</v>
          </cell>
        </row>
        <row r="1039">
          <cell r="A1039" t="str">
            <v>Т-01706/АЗ</v>
          </cell>
        </row>
        <row r="1040">
          <cell r="A1040" t="str">
            <v>А-04674/АЗ</v>
          </cell>
        </row>
        <row r="1041">
          <cell r="A1041" t="str">
            <v>В-00041/АЗ</v>
          </cell>
        </row>
        <row r="1042">
          <cell r="A1042" t="str">
            <v>Т-01610/АЗ</v>
          </cell>
        </row>
        <row r="1043">
          <cell r="A1043" t="str">
            <v>А-04490/АЗ</v>
          </cell>
        </row>
        <row r="1044">
          <cell r="A1044" t="str">
            <v>В-00151/АЗ</v>
          </cell>
        </row>
        <row r="1045">
          <cell r="A1045" t="str">
            <v>В-00161/АЗ</v>
          </cell>
        </row>
        <row r="1046">
          <cell r="A1046" t="str">
            <v>А-05138/АЗ</v>
          </cell>
        </row>
        <row r="1047">
          <cell r="A1047" t="str">
            <v>А-05130/АЗ</v>
          </cell>
        </row>
        <row r="1048">
          <cell r="A1048" t="str">
            <v>В-00018/АЗ</v>
          </cell>
        </row>
        <row r="1049">
          <cell r="A1049" t="str">
            <v>А-10020/КЭ</v>
          </cell>
        </row>
        <row r="1050">
          <cell r="A1050" t="str">
            <v>В-00065/АЗ</v>
          </cell>
        </row>
        <row r="1051">
          <cell r="A1051" t="str">
            <v>И-00154/АЗ</v>
          </cell>
        </row>
        <row r="1052">
          <cell r="A1052" t="str">
            <v>В-00073/АЗ</v>
          </cell>
        </row>
        <row r="1053">
          <cell r="A1053" t="str">
            <v>А-10087/КЭ</v>
          </cell>
        </row>
        <row r="1054">
          <cell r="A1054" t="str">
            <v>А-05335/АЗ</v>
          </cell>
        </row>
        <row r="1055">
          <cell r="A1055" t="str">
            <v>В-00243/АЗ</v>
          </cell>
        </row>
        <row r="1056">
          <cell r="A1056" t="str">
            <v>А-05100/АЗ</v>
          </cell>
        </row>
        <row r="1057">
          <cell r="A1057" t="str">
            <v>А-05159/АЗ</v>
          </cell>
        </row>
        <row r="1058">
          <cell r="A1058" t="str">
            <v>А-05031/АЗ</v>
          </cell>
        </row>
        <row r="1059">
          <cell r="A1059" t="str">
            <v>А-04601/АЗ</v>
          </cell>
        </row>
        <row r="1060">
          <cell r="A1060" t="str">
            <v>В-00052/АЗ</v>
          </cell>
        </row>
        <row r="1061">
          <cell r="A1061" t="str">
            <v>А-03933/АЗ</v>
          </cell>
        </row>
        <row r="1062">
          <cell r="A1062" t="str">
            <v>А-04868/АЗ</v>
          </cell>
        </row>
        <row r="1063">
          <cell r="A1063" t="str">
            <v>А-04352/АЗ</v>
          </cell>
        </row>
        <row r="1064">
          <cell r="A1064" t="str">
            <v>А-05137/АЗ</v>
          </cell>
        </row>
        <row r="1065">
          <cell r="A1065" t="str">
            <v>А-04802/АЗ</v>
          </cell>
        </row>
        <row r="1066">
          <cell r="A1066" t="str">
            <v>Т-01805/АЗ</v>
          </cell>
        </row>
        <row r="1067">
          <cell r="A1067" t="str">
            <v>А-05346/АЗ</v>
          </cell>
        </row>
        <row r="1068">
          <cell r="A1068" t="str">
            <v>А-00268/КЭ</v>
          </cell>
        </row>
        <row r="1069">
          <cell r="A1069" t="str">
            <v>А-10063/КЭ</v>
          </cell>
        </row>
        <row r="1070">
          <cell r="A1070" t="str">
            <v>А-05123/АЗ</v>
          </cell>
        </row>
        <row r="1071">
          <cell r="A1071" t="str">
            <v>А-05230/АЗ</v>
          </cell>
        </row>
        <row r="1072">
          <cell r="A1072" t="str">
            <v>И-00163/АЗ</v>
          </cell>
        </row>
        <row r="1073">
          <cell r="A1073" t="str">
            <v>Т-01642/АЗ</v>
          </cell>
        </row>
        <row r="1074">
          <cell r="A1074" t="str">
            <v>А-04668/АЗ</v>
          </cell>
        </row>
        <row r="1075">
          <cell r="A1075" t="str">
            <v>А-05208/АЗ</v>
          </cell>
        </row>
        <row r="1076">
          <cell r="A1076" t="str">
            <v>Т-01758/АЗ</v>
          </cell>
        </row>
        <row r="1077">
          <cell r="A1077" t="str">
            <v>А-04925/АЗ</v>
          </cell>
        </row>
        <row r="1078">
          <cell r="A1078" t="str">
            <v>А-05074/АЗ</v>
          </cell>
        </row>
        <row r="1079">
          <cell r="A1079" t="str">
            <v>Т-01720/АЗ</v>
          </cell>
        </row>
        <row r="1080">
          <cell r="A1080" t="str">
            <v>Т-01524/АЗ</v>
          </cell>
        </row>
        <row r="1081">
          <cell r="A1081" t="str">
            <v>А-04089/АЗ</v>
          </cell>
        </row>
        <row r="1082">
          <cell r="A1082" t="str">
            <v>А-04323/АЗ</v>
          </cell>
        </row>
        <row r="1083">
          <cell r="A1083" t="str">
            <v>А-05195/АЗ</v>
          </cell>
        </row>
        <row r="1084">
          <cell r="A1084" t="str">
            <v>Т-01754/АЗ</v>
          </cell>
        </row>
        <row r="1085">
          <cell r="A1085" t="str">
            <v>А-04735/АЗ</v>
          </cell>
        </row>
        <row r="1086">
          <cell r="A1086" t="str">
            <v>И-00170/АЗ</v>
          </cell>
        </row>
        <row r="1087">
          <cell r="A1087" t="str">
            <v>А-05073/АЗ</v>
          </cell>
        </row>
        <row r="1088">
          <cell r="A1088" t="str">
            <v>А-04962/АЗ</v>
          </cell>
        </row>
        <row r="1089">
          <cell r="A1089" t="str">
            <v>А-04842/АЗ</v>
          </cell>
        </row>
        <row r="1090">
          <cell r="A1090" t="str">
            <v>А-05198/АЗ</v>
          </cell>
        </row>
        <row r="1091">
          <cell r="A1091" t="str">
            <v>А-04593/АЗ</v>
          </cell>
        </row>
        <row r="1092">
          <cell r="A1092" t="str">
            <v>А-10019/БЭ</v>
          </cell>
        </row>
        <row r="1093">
          <cell r="A1093" t="str">
            <v>А-00019/ИЗ</v>
          </cell>
        </row>
        <row r="1094">
          <cell r="A1094" t="str">
            <v>А-04818/АЗ</v>
          </cell>
        </row>
        <row r="1095">
          <cell r="A1095" t="str">
            <v>А-04193/АЗ</v>
          </cell>
        </row>
        <row r="1096">
          <cell r="A1096" t="str">
            <v>А-04805/АЗ</v>
          </cell>
        </row>
        <row r="1097">
          <cell r="A1097" t="str">
            <v>А-05087/АЗ</v>
          </cell>
        </row>
        <row r="1098">
          <cell r="A1098" t="str">
            <v>Т-01724/АЗ</v>
          </cell>
        </row>
        <row r="1099">
          <cell r="A1099" t="str">
            <v>А-04676/АЗ</v>
          </cell>
        </row>
        <row r="1100">
          <cell r="A1100" t="str">
            <v>Т-10005/БЭ</v>
          </cell>
        </row>
        <row r="1101">
          <cell r="A1101" t="str">
            <v>И-00097/АЗ</v>
          </cell>
        </row>
        <row r="1102">
          <cell r="A1102" t="str">
            <v>А-05048/АЗ</v>
          </cell>
        </row>
        <row r="1103">
          <cell r="A1103" t="str">
            <v>Т-01716/АЗ</v>
          </cell>
        </row>
        <row r="1104">
          <cell r="A1104" t="str">
            <v>А-05114/АЗ</v>
          </cell>
        </row>
        <row r="1105">
          <cell r="A1105" t="str">
            <v>А-04070/АЗ</v>
          </cell>
        </row>
        <row r="1106">
          <cell r="A1106" t="str">
            <v>А-04535/АЗ</v>
          </cell>
        </row>
        <row r="1107">
          <cell r="A1107" t="str">
            <v>Т-01707/АЗ</v>
          </cell>
        </row>
        <row r="1108">
          <cell r="A1108" t="str">
            <v>А-30001/КЭ</v>
          </cell>
        </row>
        <row r="1109">
          <cell r="A1109" t="str">
            <v>А-04237/АЗ</v>
          </cell>
        </row>
        <row r="1110">
          <cell r="A1110" t="str">
            <v>А-04329/АЗ</v>
          </cell>
        </row>
        <row r="1111">
          <cell r="A1111" t="str">
            <v>Т-01775/АЗ</v>
          </cell>
        </row>
        <row r="1112">
          <cell r="A1112" t="str">
            <v>А-05285/АЗ</v>
          </cell>
        </row>
        <row r="1113">
          <cell r="A1113" t="str">
            <v>А-00217/КЭ</v>
          </cell>
        </row>
        <row r="1114">
          <cell r="A1114" t="str">
            <v>Т-01672/АЗ</v>
          </cell>
        </row>
        <row r="1115">
          <cell r="A1115" t="str">
            <v>А-04027/АЗ</v>
          </cell>
        </row>
        <row r="1116">
          <cell r="A1116" t="str">
            <v>А-04829/АЗ</v>
          </cell>
        </row>
        <row r="1117">
          <cell r="A1117" t="str">
            <v>А-00346/КЭ</v>
          </cell>
        </row>
        <row r="1118">
          <cell r="A1118" t="str">
            <v>А-10050/КЭ</v>
          </cell>
        </row>
        <row r="1119">
          <cell r="A1119" t="str">
            <v>А-00229/КЭ</v>
          </cell>
        </row>
        <row r="1120">
          <cell r="A1120" t="str">
            <v>Т-01572/АЗ</v>
          </cell>
        </row>
        <row r="1121">
          <cell r="A1121" t="str">
            <v>Т-01571/АЗ</v>
          </cell>
        </row>
        <row r="1122">
          <cell r="A1122" t="str">
            <v>А-04281/АЗ</v>
          </cell>
        </row>
        <row r="1123">
          <cell r="A1123" t="str">
            <v>А-04282/АЗ</v>
          </cell>
        </row>
        <row r="1124">
          <cell r="A1124" t="str">
            <v>А-05006/АЗ</v>
          </cell>
        </row>
        <row r="1125">
          <cell r="A1125" t="str">
            <v>А-05160/АЗ</v>
          </cell>
        </row>
        <row r="1126">
          <cell r="A1126" t="str">
            <v>А-04815/АЗ</v>
          </cell>
        </row>
        <row r="1127">
          <cell r="A1127" t="str">
            <v>А-05030/АЗ</v>
          </cell>
        </row>
        <row r="1128">
          <cell r="A1128" t="str">
            <v>А-04701/АЗ</v>
          </cell>
        </row>
        <row r="1129">
          <cell r="A1129" t="str">
            <v>А-04499/АЗ</v>
          </cell>
        </row>
        <row r="1130">
          <cell r="A1130" t="str">
            <v>Т-01611/АЗ</v>
          </cell>
        </row>
        <row r="1131">
          <cell r="A1131" t="str">
            <v>А-04801/АЗ</v>
          </cell>
        </row>
        <row r="1132">
          <cell r="A1132" t="str">
            <v>А-10001/КЭ</v>
          </cell>
        </row>
        <row r="1133">
          <cell r="A1133" t="str">
            <v>А-00274/КЭ</v>
          </cell>
        </row>
        <row r="1134">
          <cell r="A1134" t="str">
            <v>А-04942/АЗ</v>
          </cell>
        </row>
        <row r="1135">
          <cell r="A1135" t="str">
            <v>А-04594/АЗ</v>
          </cell>
        </row>
        <row r="1136">
          <cell r="A1136" t="str">
            <v>А-04167/АЗ</v>
          </cell>
        </row>
        <row r="1137">
          <cell r="A1137" t="str">
            <v>А-04789/АЗ</v>
          </cell>
        </row>
        <row r="1138">
          <cell r="A1138" t="str">
            <v>А-03837/АЗ</v>
          </cell>
        </row>
        <row r="1139">
          <cell r="A1139" t="str">
            <v>А-04236/АЗ</v>
          </cell>
        </row>
        <row r="1140">
          <cell r="A1140" t="str">
            <v>А-04538/АЗ</v>
          </cell>
        </row>
        <row r="1141">
          <cell r="A1141" t="str">
            <v>Т-10002/БЭ</v>
          </cell>
        </row>
        <row r="1142">
          <cell r="A1142" t="str">
            <v>Т-01607/АЗ</v>
          </cell>
        </row>
        <row r="1143">
          <cell r="A1143" t="str">
            <v>А-04355/АЗ</v>
          </cell>
        </row>
        <row r="1144">
          <cell r="A1144" t="str">
            <v>А-04470/АЗ</v>
          </cell>
        </row>
        <row r="1145">
          <cell r="A1145" t="str">
            <v>А-00352/КЭ</v>
          </cell>
        </row>
        <row r="1146">
          <cell r="A1146" t="str">
            <v>А-04681/АЗ</v>
          </cell>
        </row>
        <row r="1147">
          <cell r="A1147" t="str">
            <v>А-04680/АЗ</v>
          </cell>
        </row>
        <row r="1148">
          <cell r="A1148" t="str">
            <v>А-04132/АЗ</v>
          </cell>
        </row>
        <row r="1149">
          <cell r="A1149" t="str">
            <v>А-04888/АЗ</v>
          </cell>
        </row>
        <row r="1150">
          <cell r="A1150" t="str">
            <v>А-03926/АЗ</v>
          </cell>
        </row>
        <row r="1151">
          <cell r="A1151" t="str">
            <v>А-10037/КЭ</v>
          </cell>
        </row>
        <row r="1152">
          <cell r="A1152" t="str">
            <v>А-00305/КЭ</v>
          </cell>
        </row>
        <row r="1153">
          <cell r="A1153" t="str">
            <v>А-04658/АЗ</v>
          </cell>
        </row>
        <row r="1154">
          <cell r="A1154" t="str">
            <v>А-04541/АЗ</v>
          </cell>
        </row>
        <row r="1155">
          <cell r="A1155" t="str">
            <v>Т-01457/АЗ</v>
          </cell>
        </row>
        <row r="1156">
          <cell r="A1156" t="str">
            <v>А-03753/АЗ</v>
          </cell>
        </row>
        <row r="1157">
          <cell r="A1157" t="str">
            <v>А-04117/АЗ</v>
          </cell>
        </row>
        <row r="1158">
          <cell r="A1158" t="str">
            <v>А-04003/АЗ</v>
          </cell>
        </row>
        <row r="1159">
          <cell r="A1159" t="str">
            <v>А-04695/АЗ</v>
          </cell>
        </row>
        <row r="1160">
          <cell r="A1160" t="str">
            <v>И-00125/АЗ</v>
          </cell>
        </row>
        <row r="1161">
          <cell r="A1161" t="str">
            <v>А-04669/АЗ</v>
          </cell>
        </row>
        <row r="1162">
          <cell r="A1162" t="str">
            <v>Т-01643/АЗ</v>
          </cell>
        </row>
        <row r="1163">
          <cell r="A1163" t="str">
            <v>Т-01539/АЗ</v>
          </cell>
        </row>
        <row r="1164">
          <cell r="A1164" t="str">
            <v>А-04156/АЗ</v>
          </cell>
        </row>
        <row r="1165">
          <cell r="A1165" t="str">
            <v>А-04015/АЗ</v>
          </cell>
        </row>
        <row r="1166">
          <cell r="A1166" t="str">
            <v>Т-01510/АЗ</v>
          </cell>
        </row>
        <row r="1167">
          <cell r="A1167" t="str">
            <v>А-00294/КЭ</v>
          </cell>
        </row>
        <row r="1168">
          <cell r="A1168" t="str">
            <v>А-10034/КЭ</v>
          </cell>
        </row>
        <row r="1169">
          <cell r="A1169" t="str">
            <v>А-03749/АЗ</v>
          </cell>
        </row>
        <row r="1170">
          <cell r="A1170" t="str">
            <v>А-03788/АЗ</v>
          </cell>
        </row>
        <row r="1171">
          <cell r="A1171" t="str">
            <v>А-04617/АЗ</v>
          </cell>
        </row>
        <row r="1172">
          <cell r="A1172" t="str">
            <v>А-04771/АЗ</v>
          </cell>
        </row>
        <row r="1173">
          <cell r="A1173" t="str">
            <v>А-03750/АЗ</v>
          </cell>
        </row>
        <row r="1174">
          <cell r="A1174" t="str">
            <v>А-04158/АЗ</v>
          </cell>
        </row>
        <row r="1175">
          <cell r="A1175" t="str">
            <v>А-10016/БЭ</v>
          </cell>
        </row>
        <row r="1176">
          <cell r="A1176" t="str">
            <v>А-03591/АЗ</v>
          </cell>
        </row>
        <row r="1177">
          <cell r="A1177" t="str">
            <v>А-00035/БЭ</v>
          </cell>
        </row>
        <row r="1178">
          <cell r="A1178" t="str">
            <v>А-04548/АЗ</v>
          </cell>
        </row>
        <row r="1179">
          <cell r="A1179" t="str">
            <v>А-00259/КЭ</v>
          </cell>
        </row>
        <row r="1180">
          <cell r="A1180" t="str">
            <v>А-10061/КЭ</v>
          </cell>
        </row>
        <row r="1181">
          <cell r="A1181" t="str">
            <v>А-03768/АЗ</v>
          </cell>
        </row>
        <row r="1182">
          <cell r="A1182" t="str">
            <v>А-10041/КЭ</v>
          </cell>
        </row>
        <row r="1183">
          <cell r="A1183" t="str">
            <v>А-03934/АЗ</v>
          </cell>
        </row>
        <row r="1184">
          <cell r="A1184" t="str">
            <v>А-04173/АЗ</v>
          </cell>
        </row>
        <row r="1185">
          <cell r="A1185" t="str">
            <v>А-03942/АЗ</v>
          </cell>
        </row>
        <row r="1186">
          <cell r="A1186" t="str">
            <v>А-03756/АЗ</v>
          </cell>
        </row>
        <row r="1187">
          <cell r="A1187" t="str">
            <v>А-10047/КЭ</v>
          </cell>
        </row>
        <row r="1188">
          <cell r="A1188" t="str">
            <v>А-04384/АЗ</v>
          </cell>
        </row>
        <row r="1189">
          <cell r="A1189" t="str">
            <v>А-04382/АЗ</v>
          </cell>
        </row>
        <row r="1190">
          <cell r="A1190" t="str">
            <v>А-04275/АЗ</v>
          </cell>
        </row>
        <row r="1191">
          <cell r="A1191" t="str">
            <v>А-04341/АЗ</v>
          </cell>
        </row>
        <row r="1192">
          <cell r="A1192" t="str">
            <v>Т-01585/АЗ</v>
          </cell>
        </row>
        <row r="1193">
          <cell r="A1193" t="str">
            <v>А-04464/АЗ</v>
          </cell>
        </row>
        <row r="1194">
          <cell r="A1194" t="str">
            <v>А-03853/АЗ</v>
          </cell>
        </row>
        <row r="1195">
          <cell r="A1195" t="str">
            <v>А-04151/АЗ</v>
          </cell>
        </row>
        <row r="1196">
          <cell r="A1196" t="str">
            <v>А-03918/АЗ</v>
          </cell>
        </row>
        <row r="1197">
          <cell r="A1197" t="str">
            <v>А-10017/КЭ</v>
          </cell>
        </row>
        <row r="1198">
          <cell r="A1198" t="str">
            <v>А-03511/АЗ</v>
          </cell>
        </row>
        <row r="1199">
          <cell r="A1199" t="str">
            <v>А-00242/КЭ</v>
          </cell>
        </row>
        <row r="1200">
          <cell r="A1200" t="str">
            <v>А-10048/КЭ</v>
          </cell>
        </row>
        <row r="1201">
          <cell r="A1201" t="str">
            <v>А-04206/АЗ</v>
          </cell>
        </row>
        <row r="1202">
          <cell r="A1202" t="str">
            <v>А-00314/КЭ</v>
          </cell>
        </row>
        <row r="1203">
          <cell r="A1203" t="str">
            <v>А-00211/КЭ</v>
          </cell>
        </row>
        <row r="1204">
          <cell r="A1204" t="str">
            <v>А-00165/КЭ</v>
          </cell>
        </row>
        <row r="1205">
          <cell r="A1205" t="str">
            <v>А-04028/АЗ</v>
          </cell>
        </row>
        <row r="1206">
          <cell r="A1206" t="str">
            <v>И-00119/АЗ</v>
          </cell>
        </row>
        <row r="1207">
          <cell r="A1207" t="str">
            <v>А-03544/АЗ</v>
          </cell>
        </row>
        <row r="1208">
          <cell r="A1208" t="str">
            <v>Т-01396/АЗ</v>
          </cell>
        </row>
        <row r="1209">
          <cell r="A1209" t="str">
            <v>А-00006/ИЗ</v>
          </cell>
        </row>
        <row r="1210">
          <cell r="A1210" t="str">
            <v>А-04092/АЗ</v>
          </cell>
        </row>
        <row r="1211">
          <cell r="A1211" t="str">
            <v>А-00230/КЭ</v>
          </cell>
        </row>
        <row r="1212">
          <cell r="A1212" t="str">
            <v>А-10010/БЭ</v>
          </cell>
        </row>
        <row r="1213">
          <cell r="A1213" t="str">
            <v>А-04022/АЗ</v>
          </cell>
        </row>
        <row r="1214">
          <cell r="A1214" t="str">
            <v>А-03980/АЗ</v>
          </cell>
        </row>
        <row r="1215">
          <cell r="A1215" t="str">
            <v>А-04096/АЗ</v>
          </cell>
        </row>
        <row r="1216">
          <cell r="A1216" t="str">
            <v>А-04088/АЗ</v>
          </cell>
        </row>
        <row r="1217">
          <cell r="A1217" t="str">
            <v>А-00169/КЭ</v>
          </cell>
        </row>
        <row r="1218">
          <cell r="A1218" t="str">
            <v>А-00247/КЭ</v>
          </cell>
        </row>
        <row r="1219">
          <cell r="A1219" t="str">
            <v>А-00084/КЭ</v>
          </cell>
        </row>
        <row r="1220">
          <cell r="A1220" t="str">
            <v>А-00254/КЭ</v>
          </cell>
        </row>
        <row r="1221">
          <cell r="A1221" t="str">
            <v>А-00001/БЭ</v>
          </cell>
        </row>
        <row r="1222">
          <cell r="A1222" t="str">
            <v>А-04412/АЗ</v>
          </cell>
        </row>
        <row r="1223">
          <cell r="A1223" t="str">
            <v>Т-01596/АЗ</v>
          </cell>
        </row>
        <row r="1224">
          <cell r="A1224" t="str">
            <v>А-03766/АЗ</v>
          </cell>
        </row>
        <row r="1225">
          <cell r="A1225" t="str">
            <v>А-00029/БЭ</v>
          </cell>
        </row>
        <row r="1226">
          <cell r="A1226" t="str">
            <v>А-04056/АЗ</v>
          </cell>
        </row>
        <row r="1227">
          <cell r="A1227" t="str">
            <v>А-00262/КЭ</v>
          </cell>
        </row>
        <row r="1228">
          <cell r="A1228" t="str">
            <v>Т-10003/БЭ</v>
          </cell>
        </row>
        <row r="1229">
          <cell r="A1229" t="str">
            <v>А-03925/АЗ</v>
          </cell>
        </row>
        <row r="1230">
          <cell r="A1230" t="str">
            <v>А-03444/АЗ</v>
          </cell>
        </row>
        <row r="1231">
          <cell r="A1231" t="str">
            <v>А-00293/КЭ</v>
          </cell>
        </row>
        <row r="1232">
          <cell r="A1232" t="str">
            <v>А-02682/АЗ</v>
          </cell>
        </row>
        <row r="1233">
          <cell r="A1233" t="str">
            <v>А-03792/АЗ</v>
          </cell>
        </row>
        <row r="1234">
          <cell r="A1234" t="str">
            <v>А-03814/АЗ</v>
          </cell>
        </row>
        <row r="1235">
          <cell r="A1235" t="str">
            <v>А-00034/БЭ</v>
          </cell>
        </row>
        <row r="1236">
          <cell r="A1236" t="str">
            <v>А-03822/АЗ</v>
          </cell>
        </row>
        <row r="1237">
          <cell r="A1237" t="str">
            <v>А-03507/АЗ</v>
          </cell>
        </row>
        <row r="1238">
          <cell r="A1238" t="str">
            <v>А-00236/КЭ</v>
          </cell>
        </row>
        <row r="1239">
          <cell r="A1239" t="str">
            <v>А-10004/КЭ</v>
          </cell>
        </row>
        <row r="1240">
          <cell r="A1240" t="str">
            <v>А-10035/КЭ</v>
          </cell>
        </row>
        <row r="1241">
          <cell r="A1241" t="str">
            <v>А-00130/КЭ</v>
          </cell>
        </row>
        <row r="1242">
          <cell r="A1242" t="str">
            <v>А-03437/АЗ</v>
          </cell>
        </row>
        <row r="1243">
          <cell r="A1243" t="str">
            <v>А-00263/КЭ</v>
          </cell>
        </row>
        <row r="1244">
          <cell r="A1244" t="str">
            <v>А-03599/АЗ</v>
          </cell>
        </row>
        <row r="1245">
          <cell r="A1245" t="str">
            <v>А-00289/КЭ</v>
          </cell>
        </row>
        <row r="1246">
          <cell r="A1246" t="str">
            <v>А-03137/АЗ</v>
          </cell>
        </row>
        <row r="1247">
          <cell r="A1247" t="str">
            <v>А-00273/КЭ</v>
          </cell>
        </row>
        <row r="1248">
          <cell r="A1248" t="str">
            <v>А-02821/АЗ</v>
          </cell>
        </row>
        <row r="1249">
          <cell r="A1249" t="str">
            <v>А-00238/КЭ</v>
          </cell>
        </row>
        <row r="1250">
          <cell r="A1250" t="str">
            <v>Т-01236/АЗ</v>
          </cell>
        </row>
        <row r="1251">
          <cell r="A1251" t="str">
            <v>А-02936/АЗ</v>
          </cell>
        </row>
        <row r="1252">
          <cell r="A1252" t="str">
            <v>И-00042/АЗ</v>
          </cell>
        </row>
        <row r="1253">
          <cell r="A1253" t="str">
            <v>А-00160/КЭ</v>
          </cell>
        </row>
        <row r="1254">
          <cell r="A1254" t="str">
            <v>А-00221/КЭ</v>
          </cell>
        </row>
        <row r="1255">
          <cell r="A1255" t="str">
            <v>А-03237/АЗ</v>
          </cell>
        </row>
        <row r="1256">
          <cell r="A1256" t="str">
            <v>А-10007/КЭ</v>
          </cell>
        </row>
        <row r="1257">
          <cell r="A1257" t="str">
            <v>А-20003/КЭ</v>
          </cell>
        </row>
        <row r="1258">
          <cell r="A1258" t="str">
            <v>А-00210/КЭ</v>
          </cell>
        </row>
        <row r="1259">
          <cell r="A1259" t="str">
            <v>А-03342/АЗ</v>
          </cell>
        </row>
        <row r="1260">
          <cell r="A1260" t="str">
            <v>А-00195/КЭ</v>
          </cell>
        </row>
        <row r="1261">
          <cell r="A1261" t="str">
            <v>Т-01078/АЗ</v>
          </cell>
        </row>
        <row r="1262">
          <cell r="A1262" t="str">
            <v>А-00245/КЭ</v>
          </cell>
        </row>
        <row r="1263">
          <cell r="A1263" t="str">
            <v>А-00192/КЭ</v>
          </cell>
        </row>
        <row r="1264">
          <cell r="A1264" t="str">
            <v>А-02655/АЗ</v>
          </cell>
        </row>
        <row r="1265">
          <cell r="A1265" t="str">
            <v>А-02957/АЗ</v>
          </cell>
        </row>
        <row r="1266">
          <cell r="A1266" t="str">
            <v>А-10005/КЭ</v>
          </cell>
        </row>
        <row r="1267">
          <cell r="A1267" t="str">
            <v>А-03153/АЗ</v>
          </cell>
        </row>
        <row r="1268">
          <cell r="A1268" t="str">
            <v>А-00107/КЭ</v>
          </cell>
        </row>
        <row r="1269">
          <cell r="A1269" t="str">
            <v>А-00149/КЭ</v>
          </cell>
        </row>
        <row r="1270">
          <cell r="A1270" t="str">
            <v>А-03093/АЗ</v>
          </cell>
        </row>
        <row r="1271">
          <cell r="A1271" t="str">
            <v>Т-01284/АЗ</v>
          </cell>
        </row>
        <row r="1272">
          <cell r="A1272" t="str">
            <v>А-00183/КЭ</v>
          </cell>
        </row>
        <row r="1273">
          <cell r="A1273" t="str">
            <v>А-00224/КЭ</v>
          </cell>
        </row>
        <row r="1274">
          <cell r="A1274" t="str">
            <v>А-02772/АЗ</v>
          </cell>
        </row>
        <row r="1275">
          <cell r="A1275" t="str">
            <v>А-02656/АЗ</v>
          </cell>
        </row>
        <row r="1276">
          <cell r="A1276" t="str">
            <v>А-00094/КЭ</v>
          </cell>
        </row>
        <row r="1277">
          <cell r="A1277" t="str">
            <v>А-10003/КЭ</v>
          </cell>
        </row>
        <row r="1278">
          <cell r="A1278" t="str">
            <v>А-00147/КЭ</v>
          </cell>
        </row>
        <row r="1279">
          <cell r="A1279" t="str">
            <v>А-02524/АЗ</v>
          </cell>
        </row>
        <row r="1280">
          <cell r="A1280" t="str">
            <v>А-02939/АЗ</v>
          </cell>
        </row>
        <row r="1281">
          <cell r="A1281" t="str">
            <v>Т-01238/АЗ</v>
          </cell>
        </row>
        <row r="1282">
          <cell r="A1282" t="str">
            <v>А-02937/АЗ</v>
          </cell>
        </row>
        <row r="1283">
          <cell r="A1283" t="str">
            <v>А-00109/КЭ</v>
          </cell>
        </row>
        <row r="1284">
          <cell r="A1284" t="str">
            <v>А-00095/КЭ</v>
          </cell>
        </row>
        <row r="1285">
          <cell r="A1285" t="str">
            <v>А-02635/АЗ</v>
          </cell>
        </row>
        <row r="1286">
          <cell r="A1286" t="str">
            <v>А-02488/АЗ</v>
          </cell>
        </row>
        <row r="1287">
          <cell r="A1287" t="str">
            <v>А-00161/КЭ</v>
          </cell>
        </row>
        <row r="1288">
          <cell r="A1288" t="str">
            <v>Т-01186/АЗ</v>
          </cell>
        </row>
        <row r="1289">
          <cell r="A1289" t="str">
            <v>А-02792/АЗ</v>
          </cell>
        </row>
        <row r="1290">
          <cell r="A1290" t="str">
            <v>А-00074/КЭ</v>
          </cell>
        </row>
        <row r="1291">
          <cell r="A1291" t="str">
            <v>А-02646/АЗ</v>
          </cell>
        </row>
        <row r="1292">
          <cell r="A1292" t="str">
            <v>А-00002/ИЗ</v>
          </cell>
        </row>
        <row r="1293">
          <cell r="A1293" t="str">
            <v>А-00116/КЭ</v>
          </cell>
        </row>
        <row r="1294">
          <cell r="A1294" t="str">
            <v>А-00102/КЭ</v>
          </cell>
        </row>
        <row r="1295">
          <cell r="A1295" t="str">
            <v>А-02257/АЗ</v>
          </cell>
        </row>
        <row r="1296">
          <cell r="A1296" t="str">
            <v>А-02120/АЗ</v>
          </cell>
        </row>
        <row r="1297">
          <cell r="A1297" t="str">
            <v>А-00100/КЭ</v>
          </cell>
        </row>
        <row r="1298">
          <cell r="A1298" t="str">
            <v>А-00088/КЭ</v>
          </cell>
        </row>
        <row r="1299">
          <cell r="A1299" t="str">
            <v>А-00115/КЭ</v>
          </cell>
        </row>
        <row r="1300">
          <cell r="A1300" t="str">
            <v>А-00046/КЭ</v>
          </cell>
        </row>
        <row r="1301">
          <cell r="A1301" t="str">
            <v>А-01738/АЗ</v>
          </cell>
        </row>
        <row r="1302">
          <cell r="A1302" t="str">
            <v>А-00064/КЭ</v>
          </cell>
        </row>
        <row r="1303">
          <cell r="A1303" t="str">
            <v>А-00108/КЭ</v>
          </cell>
        </row>
        <row r="1304">
          <cell r="A1304" t="str">
            <v>Т-00769/АЗ</v>
          </cell>
        </row>
        <row r="1305">
          <cell r="A1305" t="str">
            <v>А-00058/КЭ</v>
          </cell>
        </row>
        <row r="1306">
          <cell r="A1306" t="str">
            <v>Т-00883/АЗ</v>
          </cell>
        </row>
        <row r="1307">
          <cell r="A1307" t="str">
            <v>А-00078/КЭ</v>
          </cell>
        </row>
        <row r="1308">
          <cell r="A1308" t="str">
            <v>А-00087/КЭ</v>
          </cell>
        </row>
        <row r="1309">
          <cell r="A1309" t="str">
            <v>А-00101/КЭ</v>
          </cell>
        </row>
        <row r="1310">
          <cell r="A1310" t="str">
            <v>А-00089/КЭ</v>
          </cell>
        </row>
        <row r="1311">
          <cell r="A1311" t="str">
            <v>А-00082/КЭ</v>
          </cell>
        </row>
        <row r="1312">
          <cell r="A1312" t="str">
            <v>А-00103/КЭ</v>
          </cell>
        </row>
        <row r="1313">
          <cell r="A1313" t="str">
            <v>А-02114/АЗ</v>
          </cell>
        </row>
        <row r="1314">
          <cell r="A1314" t="str">
            <v>Т-00820/АЗ</v>
          </cell>
        </row>
        <row r="1315">
          <cell r="A1315" t="str">
            <v>А-00059/КЭ</v>
          </cell>
        </row>
        <row r="1316">
          <cell r="A1316" t="str">
            <v>А-01665/АЗ</v>
          </cell>
        </row>
        <row r="1317">
          <cell r="A1317" t="str">
            <v>А-01984/АЗ</v>
          </cell>
        </row>
        <row r="1318">
          <cell r="A1318" t="str">
            <v>А-00096/КЭ</v>
          </cell>
        </row>
        <row r="1319">
          <cell r="A1319" t="str">
            <v>А-00030/КЭ</v>
          </cell>
        </row>
        <row r="1320">
          <cell r="A1320" t="str">
            <v>А-00062/КЭ</v>
          </cell>
        </row>
        <row r="1321">
          <cell r="A1321" t="str">
            <v>А-00018/КЭ</v>
          </cell>
        </row>
        <row r="1322">
          <cell r="A1322" t="str">
            <v>А-00086/КЭ</v>
          </cell>
        </row>
        <row r="1323">
          <cell r="A1323" t="str">
            <v>Т-00837/АЗ</v>
          </cell>
        </row>
        <row r="1324">
          <cell r="A1324" t="str">
            <v>А-01872/АЗ</v>
          </cell>
        </row>
        <row r="1325">
          <cell r="A1325" t="str">
            <v>А-00065/КЭ</v>
          </cell>
        </row>
        <row r="1326">
          <cell r="A1326" t="str">
            <v>А-01607/АЗ</v>
          </cell>
        </row>
        <row r="1327">
          <cell r="A1327" t="str">
            <v>А-00016/КЭ</v>
          </cell>
        </row>
        <row r="1328">
          <cell r="A1328" t="str">
            <v>А-00004/КЭ</v>
          </cell>
        </row>
        <row r="1329">
          <cell r="A1329" t="str">
            <v>А-00028/КЭ</v>
          </cell>
        </row>
        <row r="1330">
          <cell r="A1330" t="str">
            <v>А-00010/КЭ</v>
          </cell>
        </row>
        <row r="1331">
          <cell r="A1331" t="str">
            <v>Т-00462/АЗ</v>
          </cell>
        </row>
        <row r="1332">
          <cell r="A1332" t="str">
            <v>А-01775/АЗ</v>
          </cell>
        </row>
        <row r="1333">
          <cell r="A1333" t="str">
            <v>А-00014/КЭ</v>
          </cell>
        </row>
        <row r="1334">
          <cell r="A1334" t="str">
            <v>А-00015/КЭ</v>
          </cell>
        </row>
        <row r="1335">
          <cell r="A1335" t="str">
            <v>А-01652/АЗ</v>
          </cell>
        </row>
        <row r="1336">
          <cell r="A1336" t="str">
            <v>Т-00638/АЗ</v>
          </cell>
        </row>
        <row r="1337">
          <cell r="A1337" t="str">
            <v>А-00007/КЭ</v>
          </cell>
        </row>
        <row r="1338">
          <cell r="A1338" t="str">
            <v>А-01193/АЗ</v>
          </cell>
        </row>
        <row r="1339">
          <cell r="A1339" t="str">
            <v>А-00008/КЭ</v>
          </cell>
        </row>
        <row r="1340">
          <cell r="A1340" t="str">
            <v>А-00009/КЭ</v>
          </cell>
        </row>
        <row r="1341">
          <cell r="A1341" t="str">
            <v>А-00029/КЭ</v>
          </cell>
        </row>
        <row r="1342">
          <cell r="A1342" t="str">
            <v>А-00001/КЭ</v>
          </cell>
        </row>
        <row r="1343">
          <cell r="A1343" t="str">
            <v>А-00026/КЭ</v>
          </cell>
        </row>
        <row r="1344">
          <cell r="A1344" t="str">
            <v>А-01830/АЗ</v>
          </cell>
        </row>
        <row r="1345">
          <cell r="A1345" t="str">
            <v>А-01489/АЗ</v>
          </cell>
        </row>
        <row r="1346">
          <cell r="A1346" t="str">
            <v>А-01600/АЗ</v>
          </cell>
        </row>
        <row r="1347">
          <cell r="A1347" t="str">
            <v>Т-00360/АЗ</v>
          </cell>
        </row>
        <row r="1348">
          <cell r="A1348" t="str">
            <v>А-01251/АЗ</v>
          </cell>
        </row>
        <row r="1349">
          <cell r="A1349" t="str">
            <v>А-01405/АЗ</v>
          </cell>
        </row>
        <row r="1350">
          <cell r="A1350" t="str">
            <v>А-01147/АЗ</v>
          </cell>
        </row>
        <row r="1351">
          <cell r="A1351" t="str">
            <v>Т-00511/АЗ</v>
          </cell>
        </row>
        <row r="1352">
          <cell r="A1352" t="str">
            <v>А-01265/АЗ</v>
          </cell>
        </row>
        <row r="1353">
          <cell r="A1353" t="str">
            <v>Т-00353/АЗ</v>
          </cell>
        </row>
        <row r="1354">
          <cell r="A1354" t="str">
            <v>А-01097/АЗ</v>
          </cell>
        </row>
        <row r="1355">
          <cell r="A1355" t="str">
            <v>А-00874/АЗ</v>
          </cell>
        </row>
        <row r="1356">
          <cell r="A1356" t="str">
            <v>А-01379/АЗ</v>
          </cell>
        </row>
        <row r="1357">
          <cell r="A1357" t="str">
            <v>Т-00310/АЗ</v>
          </cell>
        </row>
        <row r="1358">
          <cell r="A1358" t="str">
            <v>А-01087/АЗ</v>
          </cell>
        </row>
        <row r="1359">
          <cell r="A1359" t="str">
            <v>А-01206/АЗ</v>
          </cell>
        </row>
        <row r="1360">
          <cell r="A1360" t="str">
            <v>А-01000/АЗ</v>
          </cell>
        </row>
        <row r="1361">
          <cell r="A1361" t="str">
            <v>А-00781/АЗ</v>
          </cell>
        </row>
        <row r="1362">
          <cell r="A1362" t="str">
            <v>А-01262/АЗ</v>
          </cell>
        </row>
        <row r="1363">
          <cell r="A1363" t="str">
            <v>А-01007/АЗ</v>
          </cell>
        </row>
        <row r="1364">
          <cell r="A1364" t="str">
            <v>А-01126/АЗ</v>
          </cell>
        </row>
        <row r="1365">
          <cell r="A1365" t="str">
            <v>Т-00193/АЗ</v>
          </cell>
        </row>
        <row r="1366">
          <cell r="A1366" t="str">
            <v>Т-00362/АЗ</v>
          </cell>
        </row>
        <row r="1367">
          <cell r="A1367" t="str">
            <v>А-00999/АЗ</v>
          </cell>
        </row>
        <row r="1368">
          <cell r="A1368" t="str">
            <v>А-01043/АЗ</v>
          </cell>
        </row>
        <row r="1369">
          <cell r="A1369" t="str">
            <v>Т-00395/АЗ</v>
          </cell>
        </row>
        <row r="1370">
          <cell r="A1370" t="str">
            <v>А-00714/АЗ</v>
          </cell>
        </row>
        <row r="1371">
          <cell r="A1371" t="str">
            <v>А-01001/АЗ</v>
          </cell>
        </row>
        <row r="1372">
          <cell r="A1372" t="str">
            <v>А-00934/АЗ</v>
          </cell>
        </row>
        <row r="1373">
          <cell r="A1373" t="str">
            <v>А-00953/АЗ</v>
          </cell>
        </row>
        <row r="1374">
          <cell r="A1374" t="str">
            <v>Т-00486/АЗ</v>
          </cell>
        </row>
        <row r="1375">
          <cell r="A1375" t="str">
            <v>А-00969/АЗ</v>
          </cell>
        </row>
        <row r="1376">
          <cell r="A1376" t="str">
            <v>Т-00060/АЗ</v>
          </cell>
        </row>
        <row r="1377">
          <cell r="A1377" t="str">
            <v>Т-00377/АЗ</v>
          </cell>
        </row>
        <row r="1378">
          <cell r="A1378" t="str">
            <v>Т-00286/АЗ</v>
          </cell>
        </row>
        <row r="1379">
          <cell r="A1379" t="str">
            <v>Т-00435/АЗ</v>
          </cell>
        </row>
        <row r="1380">
          <cell r="A1380" t="str">
            <v>А-00750/АЗ</v>
          </cell>
        </row>
        <row r="1381">
          <cell r="A1381" t="str">
            <v>А-00717/АЗ</v>
          </cell>
        </row>
        <row r="1382">
          <cell r="A1382" t="str">
            <v>А-00587/АЗ</v>
          </cell>
        </row>
        <row r="1383">
          <cell r="A1383" t="str">
            <v>Т-00282/АЗ</v>
          </cell>
        </row>
        <row r="1384">
          <cell r="A1384" t="str">
            <v>Т-00428/АЗ</v>
          </cell>
        </row>
        <row r="1385">
          <cell r="A1385" t="str">
            <v>Т-00344/АЗ</v>
          </cell>
        </row>
        <row r="1386">
          <cell r="A1386" t="str">
            <v>Т-00283/АЗ</v>
          </cell>
        </row>
        <row r="1387">
          <cell r="A1387" t="str">
            <v>А-00616/АЗ</v>
          </cell>
        </row>
        <row r="1388">
          <cell r="A1388" t="str">
            <v>Т-00375/АЗ</v>
          </cell>
        </row>
        <row r="1389">
          <cell r="A1389" t="str">
            <v>А-00492/АЗ</v>
          </cell>
        </row>
        <row r="1390">
          <cell r="A1390" t="str">
            <v>Т-00069/АЗ</v>
          </cell>
        </row>
        <row r="1391">
          <cell r="A1391" t="str">
            <v>Т-00108/АЗ</v>
          </cell>
        </row>
        <row r="1392">
          <cell r="A1392" t="str">
            <v>А-00597/АЗ</v>
          </cell>
        </row>
        <row r="1393">
          <cell r="A1393" t="str">
            <v>А-00559/АЗ</v>
          </cell>
        </row>
        <row r="1394">
          <cell r="A1394" t="str">
            <v>А-00285/АЗ</v>
          </cell>
        </row>
        <row r="1395">
          <cell r="A1395" t="str">
            <v>А-00103/АЗ</v>
          </cell>
        </row>
        <row r="1396">
          <cell r="A1396" t="str">
            <v>А-00241/АЗ</v>
          </cell>
        </row>
        <row r="1397">
          <cell r="A1397" t="str">
            <v>А-00036/АЗ</v>
          </cell>
        </row>
        <row r="1398">
          <cell r="A1398" t="str">
            <v>00049/АЗ</v>
          </cell>
        </row>
        <row r="1399">
          <cell r="A1399" t="str">
            <v>00141/АЗ</v>
          </cell>
        </row>
        <row r="1400">
          <cell r="A1400" t="str">
            <v>00071/АЗ</v>
          </cell>
        </row>
        <row r="1401">
          <cell r="A1401" t="str">
            <v>А-00091/АЗ</v>
          </cell>
        </row>
        <row r="1402">
          <cell r="A1402" t="str">
            <v>00096/АЗ</v>
          </cell>
        </row>
        <row r="1403">
          <cell r="A1403" t="str">
            <v>00157/АЗ</v>
          </cell>
        </row>
        <row r="1404">
          <cell r="A1404" t="str">
            <v>00055/АЗ</v>
          </cell>
        </row>
        <row r="1405">
          <cell r="A1405" t="str">
            <v>00232/АЗ</v>
          </cell>
        </row>
        <row r="1406">
          <cell r="A1406" t="str">
            <v>А-00022/АЗ</v>
          </cell>
        </row>
        <row r="1407">
          <cell r="A1407" t="str">
            <v>А-00090/АЗ</v>
          </cell>
        </row>
        <row r="1408">
          <cell r="A1408" t="str">
            <v>00151/АЗ</v>
          </cell>
        </row>
        <row r="1409">
          <cell r="A1409" t="str">
            <v>00202/АЗ</v>
          </cell>
        </row>
        <row r="1410">
          <cell r="A1410" t="str">
            <v>00324/АЗ</v>
          </cell>
        </row>
        <row r="1411">
          <cell r="A1411" t="str">
            <v>00168/АЗ</v>
          </cell>
        </row>
        <row r="1412">
          <cell r="A1412" t="str">
            <v>00116/АЗ</v>
          </cell>
        </row>
        <row r="1413">
          <cell r="A1413" t="str">
            <v>А-00052/АЗ</v>
          </cell>
        </row>
        <row r="1414">
          <cell r="A1414" t="str">
            <v>А-00029/АЗ</v>
          </cell>
        </row>
        <row r="1415">
          <cell r="A1415" t="str">
            <v>00292/АЗ</v>
          </cell>
        </row>
        <row r="1416">
          <cell r="A1416" t="str">
            <v>00252/АЗ</v>
          </cell>
        </row>
        <row r="1417">
          <cell r="A1417" t="str">
            <v>00184/АЗ</v>
          </cell>
        </row>
        <row r="1418">
          <cell r="A1418" t="str">
            <v>А-00110/АЗ</v>
          </cell>
        </row>
        <row r="1419">
          <cell r="A1419" t="str">
            <v>00020/АЗ</v>
          </cell>
        </row>
        <row r="1420">
          <cell r="A1420" t="str">
            <v>00346/АЗ</v>
          </cell>
        </row>
        <row r="1421">
          <cell r="A1421" t="str">
            <v>00414/АЗ</v>
          </cell>
        </row>
        <row r="1422">
          <cell r="A1422" t="str">
            <v>00222/АЗ</v>
          </cell>
        </row>
        <row r="1423">
          <cell r="A1423" t="str">
            <v>00301/АЗ</v>
          </cell>
        </row>
        <row r="1424">
          <cell r="A1424" t="str">
            <v>00284/АЗ</v>
          </cell>
        </row>
        <row r="1425">
          <cell r="A1425" t="str">
            <v>А-00067/АЗ</v>
          </cell>
        </row>
        <row r="1426">
          <cell r="A1426" t="str">
            <v>00331/АЗ</v>
          </cell>
        </row>
        <row r="1427">
          <cell r="A1427" t="str">
            <v>А-00020/АЗ</v>
          </cell>
        </row>
        <row r="1428">
          <cell r="A1428" t="str">
            <v>А-00100/АЗ</v>
          </cell>
        </row>
        <row r="1429">
          <cell r="A1429" t="str">
            <v>В-20109/КЛ</v>
          </cell>
        </row>
        <row r="1430">
          <cell r="A1430" t="str">
            <v>В-22100/КЛ</v>
          </cell>
        </row>
        <row r="1431">
          <cell r="A1431" t="str">
            <v>В-18022/КЛ</v>
          </cell>
        </row>
        <row r="1432">
          <cell r="A1432" t="str">
            <v>Т-01893/АЗ</v>
          </cell>
        </row>
        <row r="1433">
          <cell r="A1433" t="str">
            <v>В-17458/КЛ</v>
          </cell>
        </row>
        <row r="1434">
          <cell r="A1434" t="str">
            <v>В-19901/КЛ</v>
          </cell>
        </row>
        <row r="1435">
          <cell r="A1435" t="str">
            <v>В-02691/КЛ</v>
          </cell>
        </row>
        <row r="1436">
          <cell r="A1436" t="str">
            <v>В-15465/КЛ</v>
          </cell>
        </row>
        <row r="1437">
          <cell r="A1437" t="str">
            <v>Т-01869/АЗ</v>
          </cell>
        </row>
        <row r="1438">
          <cell r="A1438" t="str">
            <v>В-09421/КЛ</v>
          </cell>
        </row>
        <row r="1439">
          <cell r="A1439" t="str">
            <v>Т-01722/АЗ</v>
          </cell>
        </row>
        <row r="1440">
          <cell r="A1440" t="str">
            <v>В-00232/КЛ</v>
          </cell>
        </row>
        <row r="1441">
          <cell r="A1441" t="str">
            <v>В-00313/АЗ</v>
          </cell>
        </row>
        <row r="1442">
          <cell r="A1442" t="str">
            <v>А-05271/АЗ</v>
          </cell>
        </row>
        <row r="1443">
          <cell r="A1443" t="str">
            <v>А-02706/АЗ</v>
          </cell>
        </row>
        <row r="1444">
          <cell r="A1444" t="str">
            <v>В-24012/КЛ</v>
          </cell>
        </row>
        <row r="1445">
          <cell r="A1445" t="str">
            <v>Т-10006/КЭ</v>
          </cell>
        </row>
        <row r="1446">
          <cell r="A1446" t="str">
            <v>Т-01914/АЗ</v>
          </cell>
        </row>
        <row r="1447">
          <cell r="A1447" t="str">
            <v>В-04682/КЛ</v>
          </cell>
        </row>
        <row r="1448">
          <cell r="A1448" t="str">
            <v>А-00386/КЭ</v>
          </cell>
        </row>
        <row r="1449">
          <cell r="A1449" t="str">
            <v>В-24350/КЛ</v>
          </cell>
        </row>
        <row r="1450">
          <cell r="A1450" t="str">
            <v>В-00918/АЗ</v>
          </cell>
        </row>
        <row r="1451">
          <cell r="A1451" t="str">
            <v>В-13638/КЛ</v>
          </cell>
        </row>
        <row r="1452">
          <cell r="A1452" t="str">
            <v>В-12435/КЛ</v>
          </cell>
        </row>
        <row r="1453">
          <cell r="A1453" t="str">
            <v>В-00982/АЗ</v>
          </cell>
        </row>
        <row r="1454">
          <cell r="A1454" t="str">
            <v>В-00608/АЗ</v>
          </cell>
        </row>
        <row r="1455">
          <cell r="A1455" t="str">
            <v>В-00477/АЗ</v>
          </cell>
        </row>
        <row r="1456">
          <cell r="A1456" t="str">
            <v>А-00332/КЭ</v>
          </cell>
        </row>
        <row r="1457">
          <cell r="A1457" t="str">
            <v>В-00022/КЭ</v>
          </cell>
        </row>
        <row r="1458">
          <cell r="A1458" t="str">
            <v>А-00458/КЭ</v>
          </cell>
        </row>
        <row r="1459">
          <cell r="A1459" t="str">
            <v>В-14232/КЛ</v>
          </cell>
        </row>
        <row r="1460">
          <cell r="A1460" t="str">
            <v>А-04984/АЗ</v>
          </cell>
        </row>
        <row r="1461">
          <cell r="A1461" t="str">
            <v>В-00702/АЗ</v>
          </cell>
        </row>
        <row r="1462">
          <cell r="A1462" t="str">
            <v>Т-01775/АЗ</v>
          </cell>
        </row>
        <row r="1463">
          <cell r="A1463" t="str">
            <v>В-28684/КЛ</v>
          </cell>
        </row>
        <row r="1464">
          <cell r="A1464" t="str">
            <v>В-28684/КЛ</v>
          </cell>
        </row>
        <row r="1465">
          <cell r="A1465" t="str">
            <v>В-12427/КЛ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</sheetNames>
    <sheetDataSet>
      <sheetData sheetId="0"/>
      <sheetData sheetId="1">
        <row r="4">
          <cell r="A4" t="str">
            <v>Параметры:</v>
          </cell>
          <cell r="B4" t="str">
            <v>На конец дня: 25.07.2024</v>
          </cell>
        </row>
        <row r="5">
          <cell r="B5" t="str">
            <v>Включать в задолженность (Пени штрафы и прочие доходы): Нет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Просроченный займ Равно "Да" И</v>
          </cell>
        </row>
        <row r="9">
          <cell r="B9" t="str">
            <v>( Организация Равно "КА АЭК ООО" ) И</v>
          </cell>
        </row>
        <row r="10">
          <cell r="B10" t="str">
            <v>Заемщик Не в списке "АЭК ООО КА; АТЛАС ООО; ВЗАИМНО ООО; ИРБИС ООО" И</v>
          </cell>
        </row>
        <row r="11">
          <cell r="B11" t="str">
            <v>Дней на просрочке Меньше или равно "95" И</v>
          </cell>
        </row>
        <row r="12">
          <cell r="B12" t="str">
            <v>Актуальный займ.Договор.Дата передачи в КО (Договоры) Не заполнено</v>
          </cell>
        </row>
        <row r="14">
          <cell r="A14" t="str">
            <v>Заемщик</v>
          </cell>
          <cell r="B14" t="str">
            <v>Займ предоставленный.Номер договора</v>
          </cell>
          <cell r="C14" t="str">
            <v>Дней</v>
          </cell>
        </row>
        <row r="15">
          <cell r="A15" t="str">
            <v>Король Маргарита Игоревна</v>
          </cell>
          <cell r="B15" t="str">
            <v>В-22935/КЛ.Транш - 1_В-21082023/Ц</v>
          </cell>
          <cell r="C15">
            <v>1</v>
          </cell>
        </row>
        <row r="16">
          <cell r="A16" t="str">
            <v>Смирнов Игорь Александрович</v>
          </cell>
          <cell r="B16" t="str">
            <v>В-24580/КЛ.Транш - 1_В-21082023/Ц</v>
          </cell>
          <cell r="C16">
            <v>1</v>
          </cell>
        </row>
        <row r="17">
          <cell r="A17" t="str">
            <v>Ципис Вадим Яковлевич</v>
          </cell>
          <cell r="B17" t="str">
            <v>В-14216/КЛ.Транш - 3_В-21082023/Ц</v>
          </cell>
          <cell r="C17">
            <v>1</v>
          </cell>
        </row>
        <row r="18">
          <cell r="A18" t="str">
            <v>Кожинов Дмитрий Сергеевич</v>
          </cell>
          <cell r="B18" t="str">
            <v>В-28598/КЛ.Транш - 1_В-21082023/Ц</v>
          </cell>
          <cell r="C18">
            <v>2</v>
          </cell>
        </row>
        <row r="19">
          <cell r="A19" t="str">
            <v>Лякишев Павел Александрович</v>
          </cell>
          <cell r="B19" t="str">
            <v>В-16242/КЛ.Транш - 2_В-21082023/Ц</v>
          </cell>
          <cell r="C19">
            <v>3</v>
          </cell>
        </row>
        <row r="20">
          <cell r="A20" t="str">
            <v>Говоруха Андрей Михайлович</v>
          </cell>
          <cell r="B20" t="str">
            <v>В-21568/КЛ.Транш - 1_В-21082023/Ц</v>
          </cell>
          <cell r="C20">
            <v>5</v>
          </cell>
        </row>
        <row r="21">
          <cell r="A21" t="str">
            <v>Сидоров Александр Владимирович</v>
          </cell>
          <cell r="B21" t="str">
            <v>В-19355/КЛ.Транш - 1_В-21082023/Ц</v>
          </cell>
          <cell r="C21">
            <v>7</v>
          </cell>
        </row>
        <row r="22">
          <cell r="A22" t="str">
            <v>Егиазарян Геворг Рубикович</v>
          </cell>
          <cell r="B22" t="str">
            <v>В-28358/КЛ.Транш - 1_В-21082023/Ц</v>
          </cell>
          <cell r="C22">
            <v>8</v>
          </cell>
        </row>
        <row r="23">
          <cell r="A23" t="str">
            <v>Смолин Виктор Иванович</v>
          </cell>
          <cell r="B23" t="str">
            <v>В-27788/КЛ.Транш - 1_В-21082023/Ц</v>
          </cell>
          <cell r="C23">
            <v>8</v>
          </cell>
        </row>
        <row r="24">
          <cell r="A24" t="str">
            <v>Соколова Екатерина Николаевна</v>
          </cell>
          <cell r="B24" t="str">
            <v>В-25764/КЛ.Транш - 1_В-21082023/Ц</v>
          </cell>
          <cell r="C24">
            <v>11</v>
          </cell>
        </row>
        <row r="25">
          <cell r="A25" t="str">
            <v>Дудин Василий Васильевич</v>
          </cell>
          <cell r="B25" t="str">
            <v>В-16067/КЛ.Транш - 1_В-21082023/Ц</v>
          </cell>
          <cell r="C25">
            <v>11</v>
          </cell>
        </row>
        <row r="26">
          <cell r="A26" t="str">
            <v>Зотов Дмитрий Анатольевич</v>
          </cell>
          <cell r="B26" t="str">
            <v>В-23555/КЛ.Транш - 1_В-21082023/Ц</v>
          </cell>
          <cell r="C26">
            <v>12</v>
          </cell>
        </row>
        <row r="27">
          <cell r="A27" t="str">
            <v>Селеверстов Михаил Васильевич</v>
          </cell>
          <cell r="B27" t="str">
            <v>В-18414/КЛ.Транш - 1_В-21082023/Ц</v>
          </cell>
          <cell r="C27">
            <v>28</v>
          </cell>
        </row>
        <row r="28">
          <cell r="A28" t="str">
            <v>Романов Евгений Юрьевич</v>
          </cell>
          <cell r="B28" t="str">
            <v>В-00955/АЗ_В-21082023/Ц</v>
          </cell>
          <cell r="C28">
            <v>31</v>
          </cell>
        </row>
        <row r="29">
          <cell r="A29" t="str">
            <v>Зотов Дмитрий Анатольевич</v>
          </cell>
          <cell r="B29" t="str">
            <v>В-23555/КЛ.Транш - 2_В-21082023/Ц</v>
          </cell>
          <cell r="C29">
            <v>34</v>
          </cell>
        </row>
        <row r="30">
          <cell r="A30" t="str">
            <v>Попов Михаил Александрович</v>
          </cell>
          <cell r="B30" t="str">
            <v>В-25810/АЗ_В-21082023/Ц</v>
          </cell>
          <cell r="C30">
            <v>45</v>
          </cell>
        </row>
        <row r="31">
          <cell r="A31" t="str">
            <v>Копытман Александр Семенович</v>
          </cell>
          <cell r="B31" t="str">
            <v>В-17469/КЛ.Транш - 2_В-21082023/Ц</v>
          </cell>
          <cell r="C31">
            <v>61</v>
          </cell>
        </row>
        <row r="32">
          <cell r="A32" t="str">
            <v>Копытман Александр Семенович</v>
          </cell>
          <cell r="B32" t="str">
            <v>В-17469/КЛ.Транш - 1_В-21082023/Ц</v>
          </cell>
          <cell r="C32">
            <v>74</v>
          </cell>
        </row>
        <row r="33">
          <cell r="A33" t="str">
            <v>Цирамуа Наталия Наполеоновна</v>
          </cell>
          <cell r="B33" t="str">
            <v>В-22979/КЛ.Транш - 1_В-21082023/Ц</v>
          </cell>
          <cell r="C33">
            <v>91</v>
          </cell>
        </row>
      </sheetData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15.07.2024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  <cell r="G14" t="str">
            <v>ОД</v>
          </cell>
        </row>
        <row r="15">
          <cell r="E15" t="str">
            <v>Просрочено</v>
          </cell>
          <cell r="F15" t="str">
            <v>Всего</v>
          </cell>
          <cell r="G15" t="str">
            <v>Всего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3 642</v>
          </cell>
          <cell r="D16">
            <v>41846</v>
          </cell>
          <cell r="E16">
            <v>50321.72</v>
          </cell>
          <cell r="F16">
            <v>50321.72</v>
          </cell>
          <cell r="G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3 555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3 500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3 392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3 253</v>
          </cell>
          <cell r="D20">
            <v>42235</v>
          </cell>
          <cell r="E20">
            <v>920090.91</v>
          </cell>
          <cell r="F20">
            <v>920090.91</v>
          </cell>
          <cell r="G20">
            <v>790065.38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3 253</v>
          </cell>
          <cell r="D21">
            <v>42235</v>
          </cell>
          <cell r="E21">
            <v>400695.38</v>
          </cell>
          <cell r="F21">
            <v>400695.38</v>
          </cell>
          <cell r="G21">
            <v>338209.27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3 163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3 106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3 093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2 986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2 842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2 772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2 710</v>
          </cell>
          <cell r="D28">
            <v>42778</v>
          </cell>
          <cell r="E28">
            <v>277410.13</v>
          </cell>
          <cell r="F28">
            <v>277410.13</v>
          </cell>
          <cell r="G28">
            <v>177377.81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2 364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2 362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2 264</v>
          </cell>
          <cell r="D31">
            <v>43224</v>
          </cell>
          <cell r="E31">
            <v>86765.440000000002</v>
          </cell>
          <cell r="F31">
            <v>86765.440000000002</v>
          </cell>
          <cell r="G31">
            <v>74064.639999999999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2 249</v>
          </cell>
          <cell r="D32">
            <v>43239</v>
          </cell>
          <cell r="E32">
            <v>989.47</v>
          </cell>
          <cell r="F32">
            <v>989.47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2 172</v>
          </cell>
          <cell r="D33">
            <v>43316</v>
          </cell>
          <cell r="E33">
            <v>265093.13</v>
          </cell>
          <cell r="F33">
            <v>265093.13</v>
          </cell>
          <cell r="G33">
            <v>237811.57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2 153</v>
          </cell>
          <cell r="D34">
            <v>43335</v>
          </cell>
          <cell r="E34">
            <v>579940.81000000006</v>
          </cell>
          <cell r="F34">
            <v>579940.81000000006</v>
          </cell>
          <cell r="G34">
            <v>390307.52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2 139</v>
          </cell>
          <cell r="D35">
            <v>43349</v>
          </cell>
          <cell r="E35">
            <v>87140.45</v>
          </cell>
          <cell r="F35">
            <v>87140.45</v>
          </cell>
          <cell r="G35">
            <v>23079.02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2 131</v>
          </cell>
          <cell r="D36">
            <v>43357</v>
          </cell>
          <cell r="E36">
            <v>215017.79</v>
          </cell>
          <cell r="F36">
            <v>215017.79</v>
          </cell>
          <cell r="G36">
            <v>11487.64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2 123</v>
          </cell>
          <cell r="D37">
            <v>43365</v>
          </cell>
          <cell r="E37">
            <v>9758.5499999999993</v>
          </cell>
          <cell r="F37">
            <v>9758.5499999999993</v>
          </cell>
          <cell r="G37">
            <v>6644.39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2 123</v>
          </cell>
          <cell r="D38">
            <v>43365</v>
          </cell>
          <cell r="E38">
            <v>210281.48</v>
          </cell>
          <cell r="F38">
            <v>210281.48</v>
          </cell>
          <cell r="G38">
            <v>38603.040000000001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2 123</v>
          </cell>
          <cell r="D39">
            <v>43365</v>
          </cell>
          <cell r="E39">
            <v>4828264.55</v>
          </cell>
          <cell r="F39">
            <v>4828264.55</v>
          </cell>
          <cell r="G39">
            <v>103129.7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2 116</v>
          </cell>
          <cell r="D40">
            <v>43372</v>
          </cell>
          <cell r="E40">
            <v>1094969.98</v>
          </cell>
          <cell r="F40">
            <v>1094969.98</v>
          </cell>
          <cell r="G40">
            <v>127003.01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2 113</v>
          </cell>
          <cell r="D41">
            <v>43375</v>
          </cell>
          <cell r="E41">
            <v>192042.25</v>
          </cell>
          <cell r="F41">
            <v>192042.25</v>
          </cell>
          <cell r="G41">
            <v>40782.67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2 100</v>
          </cell>
          <cell r="D42">
            <v>43388</v>
          </cell>
          <cell r="E42">
            <v>481708.97</v>
          </cell>
          <cell r="F42">
            <v>481708.97</v>
          </cell>
          <cell r="G42">
            <v>123912.42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2 098</v>
          </cell>
          <cell r="D43">
            <v>43390</v>
          </cell>
          <cell r="E43">
            <v>1597121.3</v>
          </cell>
          <cell r="F43">
            <v>1597121.3</v>
          </cell>
          <cell r="G43">
            <v>250866.28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2 087</v>
          </cell>
          <cell r="D44">
            <v>43401</v>
          </cell>
          <cell r="E44">
            <v>154281.26</v>
          </cell>
          <cell r="F44">
            <v>154281.26</v>
          </cell>
          <cell r="G44">
            <v>4761.99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2 086</v>
          </cell>
          <cell r="D45">
            <v>43402</v>
          </cell>
          <cell r="E45">
            <v>590789.67000000004</v>
          </cell>
          <cell r="F45">
            <v>590789.67000000004</v>
          </cell>
          <cell r="G45">
            <v>150000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2 061</v>
          </cell>
          <cell r="D46">
            <v>43427</v>
          </cell>
          <cell r="E46">
            <v>192894.35</v>
          </cell>
          <cell r="F46">
            <v>192894.35</v>
          </cell>
          <cell r="G46">
            <v>10165.23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2 041</v>
          </cell>
          <cell r="D47">
            <v>43447</v>
          </cell>
          <cell r="E47">
            <v>173949.09</v>
          </cell>
          <cell r="F47">
            <v>173949.09</v>
          </cell>
          <cell r="G47">
            <v>62387.98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2 014</v>
          </cell>
          <cell r="D48">
            <v>43474</v>
          </cell>
          <cell r="E48">
            <v>744592.76</v>
          </cell>
          <cell r="F48">
            <v>744592.76</v>
          </cell>
          <cell r="G48">
            <v>108860.81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1 969</v>
          </cell>
          <cell r="D49">
            <v>43519</v>
          </cell>
          <cell r="E49">
            <v>1671033.78</v>
          </cell>
          <cell r="F49">
            <v>1671033.78</v>
          </cell>
          <cell r="G49">
            <v>487000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1 966</v>
          </cell>
          <cell r="D50">
            <v>43522</v>
          </cell>
          <cell r="E50">
            <v>132.62</v>
          </cell>
          <cell r="F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1 964</v>
          </cell>
          <cell r="D51">
            <v>43524</v>
          </cell>
          <cell r="E51">
            <v>189035.9</v>
          </cell>
          <cell r="F51">
            <v>189035.9</v>
          </cell>
          <cell r="G51">
            <v>119588.77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1 922</v>
          </cell>
          <cell r="D52">
            <v>43566</v>
          </cell>
          <cell r="E52">
            <v>18681.93</v>
          </cell>
          <cell r="F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1 913</v>
          </cell>
          <cell r="D53">
            <v>43575</v>
          </cell>
          <cell r="E53">
            <v>533220.43999999994</v>
          </cell>
          <cell r="F53">
            <v>533220.43999999994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1 911</v>
          </cell>
          <cell r="D54">
            <v>43577</v>
          </cell>
          <cell r="E54">
            <v>1643984.38</v>
          </cell>
          <cell r="F54">
            <v>1643984.38</v>
          </cell>
          <cell r="G54">
            <v>500000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1 897</v>
          </cell>
          <cell r="D55">
            <v>43591</v>
          </cell>
          <cell r="E55">
            <v>1621994.16</v>
          </cell>
          <cell r="F55">
            <v>1621994.16</v>
          </cell>
          <cell r="G55">
            <v>400000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1 883</v>
          </cell>
          <cell r="D56">
            <v>43605</v>
          </cell>
          <cell r="E56">
            <v>916411.1</v>
          </cell>
          <cell r="F56">
            <v>916411.1</v>
          </cell>
          <cell r="G56">
            <v>306273.46999999997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1 866</v>
          </cell>
          <cell r="D57">
            <v>43622</v>
          </cell>
          <cell r="E57">
            <v>1585897.61</v>
          </cell>
          <cell r="F57">
            <v>1585897.61</v>
          </cell>
          <cell r="G57">
            <v>400000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1 865</v>
          </cell>
          <cell r="D58">
            <v>43623</v>
          </cell>
          <cell r="E58">
            <v>297126.71999999997</v>
          </cell>
          <cell r="F58">
            <v>297126.71999999997</v>
          </cell>
          <cell r="G58">
            <v>98658.21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1 861</v>
          </cell>
          <cell r="D59">
            <v>43627</v>
          </cell>
          <cell r="E59">
            <v>746388.19</v>
          </cell>
          <cell r="F59">
            <v>746388.19</v>
          </cell>
          <cell r="G59">
            <v>252000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1 852</v>
          </cell>
          <cell r="D60">
            <v>43636</v>
          </cell>
          <cell r="E60">
            <v>523164.26</v>
          </cell>
          <cell r="F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1 850</v>
          </cell>
          <cell r="D61">
            <v>43638</v>
          </cell>
          <cell r="E61">
            <v>5708.52</v>
          </cell>
          <cell r="F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1 850</v>
          </cell>
          <cell r="D62">
            <v>43638</v>
          </cell>
          <cell r="E62">
            <v>488937.04</v>
          </cell>
          <cell r="F62">
            <v>488937.04</v>
          </cell>
          <cell r="G62">
            <v>98185.21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1 850</v>
          </cell>
          <cell r="D63">
            <v>43638</v>
          </cell>
          <cell r="E63">
            <v>1910618.45</v>
          </cell>
          <cell r="F63">
            <v>1910618.45</v>
          </cell>
          <cell r="G63">
            <v>520000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1 848</v>
          </cell>
          <cell r="D64">
            <v>43640</v>
          </cell>
          <cell r="E64">
            <v>398862.34</v>
          </cell>
          <cell r="F64">
            <v>398862.34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1 846</v>
          </cell>
          <cell r="D65">
            <v>43642</v>
          </cell>
          <cell r="E65">
            <v>20737.650000000001</v>
          </cell>
          <cell r="F65">
            <v>20737.650000000001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1 833</v>
          </cell>
          <cell r="D66">
            <v>43655</v>
          </cell>
          <cell r="E66">
            <v>609875.44999999995</v>
          </cell>
          <cell r="F66">
            <v>609875.44999999995</v>
          </cell>
          <cell r="G66">
            <v>97360.81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1 826</v>
          </cell>
          <cell r="D67">
            <v>43662</v>
          </cell>
          <cell r="E67">
            <v>2657159.41</v>
          </cell>
          <cell r="F67">
            <v>2657159.41</v>
          </cell>
          <cell r="G67">
            <v>577119.03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1 825</v>
          </cell>
          <cell r="D68">
            <v>43663</v>
          </cell>
          <cell r="E68">
            <v>98496.61</v>
          </cell>
          <cell r="F68">
            <v>98496.61</v>
          </cell>
          <cell r="G68">
            <v>29873.82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1 825</v>
          </cell>
          <cell r="D69">
            <v>43663</v>
          </cell>
          <cell r="E69">
            <v>910000</v>
          </cell>
          <cell r="F69">
            <v>910000</v>
          </cell>
          <cell r="G69">
            <v>260000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1 825</v>
          </cell>
          <cell r="D70">
            <v>43663</v>
          </cell>
          <cell r="E70">
            <v>3500000</v>
          </cell>
          <cell r="F70">
            <v>3500000</v>
          </cell>
          <cell r="G70">
            <v>1000000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1 824</v>
          </cell>
          <cell r="D71">
            <v>43664</v>
          </cell>
          <cell r="E71">
            <v>121403.21</v>
          </cell>
          <cell r="F71">
            <v>121403.21</v>
          </cell>
          <cell r="G71">
            <v>31830.47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1 820</v>
          </cell>
          <cell r="D72">
            <v>43668</v>
          </cell>
          <cell r="E72">
            <v>1826668.22</v>
          </cell>
          <cell r="F72">
            <v>1826668.22</v>
          </cell>
          <cell r="G72">
            <v>490125.95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1 808</v>
          </cell>
          <cell r="D73">
            <v>43680</v>
          </cell>
          <cell r="E73">
            <v>659884.5</v>
          </cell>
          <cell r="F73">
            <v>659884.5</v>
          </cell>
          <cell r="G73">
            <v>478000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1 808</v>
          </cell>
          <cell r="D74">
            <v>43680</v>
          </cell>
          <cell r="E74">
            <v>217881.18</v>
          </cell>
          <cell r="F74">
            <v>217881.18</v>
          </cell>
          <cell r="G74">
            <v>142000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1 808</v>
          </cell>
          <cell r="D75">
            <v>43680</v>
          </cell>
          <cell r="E75">
            <v>138051.17000000001</v>
          </cell>
          <cell r="F75">
            <v>138051.17000000001</v>
          </cell>
          <cell r="G75">
            <v>100000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1 807</v>
          </cell>
          <cell r="D76">
            <v>43681</v>
          </cell>
          <cell r="E76">
            <v>215898.04</v>
          </cell>
          <cell r="F76">
            <v>215898.04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1 787</v>
          </cell>
          <cell r="D77">
            <v>43701</v>
          </cell>
          <cell r="E77">
            <v>673.74</v>
          </cell>
          <cell r="F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1 785</v>
          </cell>
          <cell r="D78">
            <v>43703</v>
          </cell>
          <cell r="E78">
            <v>669785.31999999995</v>
          </cell>
          <cell r="F78">
            <v>669785.31999999995</v>
          </cell>
          <cell r="G78">
            <v>232871.46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1 772</v>
          </cell>
          <cell r="D79">
            <v>43716</v>
          </cell>
          <cell r="E79">
            <v>139624.44</v>
          </cell>
          <cell r="F79">
            <v>139624.44</v>
          </cell>
          <cell r="G79">
            <v>66449.03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1 757</v>
          </cell>
          <cell r="D80">
            <v>43731</v>
          </cell>
          <cell r="E80">
            <v>2325725.92</v>
          </cell>
          <cell r="F80">
            <v>2325725.92</v>
          </cell>
          <cell r="G80">
            <v>700000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1 755</v>
          </cell>
          <cell r="D81">
            <v>43733</v>
          </cell>
          <cell r="E81">
            <v>261064.5</v>
          </cell>
          <cell r="F81">
            <v>261064.5</v>
          </cell>
          <cell r="G81">
            <v>84425.78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1 753</v>
          </cell>
          <cell r="D82">
            <v>43735</v>
          </cell>
          <cell r="E82">
            <v>138326.04</v>
          </cell>
          <cell r="F82">
            <v>138326.04</v>
          </cell>
          <cell r="G82">
            <v>72954.47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1 751</v>
          </cell>
          <cell r="D83">
            <v>43737</v>
          </cell>
          <cell r="E83">
            <v>1479300.26</v>
          </cell>
          <cell r="F83">
            <v>1479300.26</v>
          </cell>
          <cell r="G83">
            <v>400000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1 750</v>
          </cell>
          <cell r="D84">
            <v>43738</v>
          </cell>
          <cell r="E84">
            <v>14692.95</v>
          </cell>
          <cell r="F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1 747</v>
          </cell>
          <cell r="D85">
            <v>43741</v>
          </cell>
          <cell r="E85">
            <v>953.73</v>
          </cell>
          <cell r="F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1 744</v>
          </cell>
          <cell r="D86">
            <v>43744</v>
          </cell>
          <cell r="E86">
            <v>124538.53</v>
          </cell>
          <cell r="F86">
            <v>124538.53</v>
          </cell>
          <cell r="G86">
            <v>57325.65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1 740</v>
          </cell>
          <cell r="D87">
            <v>43748</v>
          </cell>
          <cell r="E87">
            <v>1379898.95</v>
          </cell>
          <cell r="F87">
            <v>1379898.95</v>
          </cell>
          <cell r="G87">
            <v>360000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1 739</v>
          </cell>
          <cell r="D88">
            <v>43749</v>
          </cell>
          <cell r="E88">
            <v>960371.24</v>
          </cell>
          <cell r="F88">
            <v>960371.24</v>
          </cell>
          <cell r="G88">
            <v>230936.52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1 736</v>
          </cell>
          <cell r="D89">
            <v>43752</v>
          </cell>
          <cell r="E89">
            <v>83611.320000000007</v>
          </cell>
          <cell r="F89">
            <v>83611.320000000007</v>
          </cell>
          <cell r="G89">
            <v>39486.800000000003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1 731</v>
          </cell>
          <cell r="D90">
            <v>43757</v>
          </cell>
          <cell r="E90">
            <v>1610829.54</v>
          </cell>
          <cell r="F90">
            <v>1610829.54</v>
          </cell>
          <cell r="G90">
            <v>439671.01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1 730</v>
          </cell>
          <cell r="D91">
            <v>43758</v>
          </cell>
          <cell r="E91">
            <v>1444425.91</v>
          </cell>
          <cell r="F91">
            <v>1444425.91</v>
          </cell>
          <cell r="G91">
            <v>444998.76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1 729</v>
          </cell>
          <cell r="D92">
            <v>43759</v>
          </cell>
          <cell r="E92">
            <v>617292.99</v>
          </cell>
          <cell r="F92">
            <v>617292.99</v>
          </cell>
          <cell r="G92">
            <v>173191.3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1 726</v>
          </cell>
          <cell r="D93">
            <v>43762</v>
          </cell>
          <cell r="E93">
            <v>883014.18</v>
          </cell>
          <cell r="F93">
            <v>883014.18</v>
          </cell>
          <cell r="G93">
            <v>283014.18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1 726</v>
          </cell>
          <cell r="D94">
            <v>43762</v>
          </cell>
          <cell r="E94">
            <v>443693.61</v>
          </cell>
          <cell r="F94">
            <v>443693.61</v>
          </cell>
          <cell r="G94">
            <v>160000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1 721</v>
          </cell>
          <cell r="D95">
            <v>43767</v>
          </cell>
          <cell r="E95">
            <v>997356.7</v>
          </cell>
          <cell r="F95">
            <v>997356.7</v>
          </cell>
          <cell r="G95">
            <v>272000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1 715</v>
          </cell>
          <cell r="D96">
            <v>43773</v>
          </cell>
          <cell r="E96">
            <v>2206416.35</v>
          </cell>
          <cell r="F96">
            <v>2206416.35</v>
          </cell>
          <cell r="G96">
            <v>80174.179999999993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1 714</v>
          </cell>
          <cell r="D97">
            <v>43774</v>
          </cell>
          <cell r="E97">
            <v>1768245.49</v>
          </cell>
          <cell r="F97">
            <v>1768245.49</v>
          </cell>
          <cell r="G97">
            <v>488679.8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1 712</v>
          </cell>
          <cell r="D98">
            <v>43776</v>
          </cell>
          <cell r="E98">
            <v>1827577.47</v>
          </cell>
          <cell r="F98">
            <v>1827577.47</v>
          </cell>
          <cell r="G98">
            <v>493291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1 710</v>
          </cell>
          <cell r="D99">
            <v>43778</v>
          </cell>
          <cell r="E99">
            <v>201077.58</v>
          </cell>
          <cell r="F99">
            <v>201077.58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1 710</v>
          </cell>
          <cell r="D100">
            <v>43778</v>
          </cell>
          <cell r="E100">
            <v>757316.77</v>
          </cell>
          <cell r="F100">
            <v>757316.77</v>
          </cell>
          <cell r="G100">
            <v>210000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1 706</v>
          </cell>
          <cell r="D101">
            <v>43782</v>
          </cell>
          <cell r="E101">
            <v>468673.96</v>
          </cell>
          <cell r="F101">
            <v>468673.96</v>
          </cell>
          <cell r="G101">
            <v>248066.47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1 696</v>
          </cell>
          <cell r="D102">
            <v>43792</v>
          </cell>
          <cell r="E102">
            <v>710039.48</v>
          </cell>
          <cell r="F102">
            <v>710039.48</v>
          </cell>
          <cell r="G102">
            <v>146321.1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1 696</v>
          </cell>
          <cell r="D103">
            <v>43792</v>
          </cell>
          <cell r="E103">
            <v>352041.46</v>
          </cell>
          <cell r="F103">
            <v>352041.46</v>
          </cell>
          <cell r="G103">
            <v>100000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1 690</v>
          </cell>
          <cell r="D104">
            <v>43798</v>
          </cell>
          <cell r="E104">
            <v>1980844.79</v>
          </cell>
          <cell r="F104">
            <v>1980844.79</v>
          </cell>
          <cell r="G104">
            <v>539654.49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1 690</v>
          </cell>
          <cell r="D105">
            <v>43798</v>
          </cell>
          <cell r="E105">
            <v>674038.24</v>
          </cell>
          <cell r="F105">
            <v>674038.24</v>
          </cell>
          <cell r="G105">
            <v>203000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1 683</v>
          </cell>
          <cell r="D106">
            <v>43805</v>
          </cell>
          <cell r="E106">
            <v>3215491.56</v>
          </cell>
          <cell r="F106">
            <v>3215491.56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1 677</v>
          </cell>
          <cell r="D107">
            <v>43811</v>
          </cell>
          <cell r="E107">
            <v>281699.93</v>
          </cell>
          <cell r="F107">
            <v>281699.93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1 674</v>
          </cell>
          <cell r="D108">
            <v>43814</v>
          </cell>
          <cell r="E108">
            <v>351596.88</v>
          </cell>
          <cell r="F108">
            <v>351596.88</v>
          </cell>
          <cell r="G108">
            <v>210366.49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1 673</v>
          </cell>
          <cell r="D109">
            <v>43815</v>
          </cell>
          <cell r="E109">
            <v>202923.56</v>
          </cell>
          <cell r="F109">
            <v>202923.56</v>
          </cell>
          <cell r="G109">
            <v>85124.79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1 671</v>
          </cell>
          <cell r="D110">
            <v>43817</v>
          </cell>
          <cell r="E110">
            <v>338761.07</v>
          </cell>
          <cell r="F110">
            <v>338761.07</v>
          </cell>
          <cell r="G110">
            <v>145652.06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1 670</v>
          </cell>
          <cell r="D111">
            <v>43818</v>
          </cell>
          <cell r="E111">
            <v>257911.5</v>
          </cell>
          <cell r="F111">
            <v>257911.5</v>
          </cell>
          <cell r="G111">
            <v>91858.06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1 668</v>
          </cell>
          <cell r="D112">
            <v>43820</v>
          </cell>
          <cell r="E112">
            <v>1475097.7</v>
          </cell>
          <cell r="F112">
            <v>1475097.7</v>
          </cell>
          <cell r="G112">
            <v>741347.48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1 662</v>
          </cell>
          <cell r="D113">
            <v>43826</v>
          </cell>
          <cell r="E113">
            <v>82798.570000000007</v>
          </cell>
          <cell r="F113">
            <v>82798.570000000007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1 662</v>
          </cell>
          <cell r="D114">
            <v>43826</v>
          </cell>
          <cell r="E114">
            <v>332492.37</v>
          </cell>
          <cell r="F114">
            <v>332492.37</v>
          </cell>
          <cell r="G114">
            <v>85410.54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1 662</v>
          </cell>
          <cell r="D115">
            <v>43826</v>
          </cell>
          <cell r="E115">
            <v>1072818.08</v>
          </cell>
          <cell r="F115">
            <v>1072818.08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1 661</v>
          </cell>
          <cell r="D116">
            <v>43827</v>
          </cell>
          <cell r="E116">
            <v>239318.89</v>
          </cell>
          <cell r="F116">
            <v>239318.89</v>
          </cell>
          <cell r="G116">
            <v>114053.82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1 661</v>
          </cell>
          <cell r="D117">
            <v>43827</v>
          </cell>
          <cell r="E117">
            <v>433663.74</v>
          </cell>
          <cell r="F117">
            <v>433663.74</v>
          </cell>
          <cell r="G117">
            <v>379699.27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1 661</v>
          </cell>
          <cell r="D118">
            <v>43827</v>
          </cell>
          <cell r="E118">
            <v>1339945.97</v>
          </cell>
          <cell r="F118">
            <v>1339945.97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1 660</v>
          </cell>
          <cell r="D119">
            <v>43828</v>
          </cell>
          <cell r="E119">
            <v>627765.97</v>
          </cell>
          <cell r="F119">
            <v>627765.97</v>
          </cell>
          <cell r="G119">
            <v>210743.64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1 657</v>
          </cell>
          <cell r="D120">
            <v>43831</v>
          </cell>
          <cell r="E120">
            <v>2318262.81</v>
          </cell>
          <cell r="F120">
            <v>2318262.81</v>
          </cell>
          <cell r="G120">
            <v>690483.81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1 652</v>
          </cell>
          <cell r="D121">
            <v>43836</v>
          </cell>
          <cell r="E121">
            <v>2513147.4300000002</v>
          </cell>
          <cell r="F121">
            <v>2513147.4300000002</v>
          </cell>
          <cell r="G121">
            <v>728728.05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1 641</v>
          </cell>
          <cell r="D122">
            <v>43847</v>
          </cell>
          <cell r="E122">
            <v>474203.59</v>
          </cell>
          <cell r="F122">
            <v>474203.59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1 639</v>
          </cell>
          <cell r="D123">
            <v>43849</v>
          </cell>
          <cell r="E123">
            <v>277142.24</v>
          </cell>
          <cell r="F123">
            <v>277142.24</v>
          </cell>
          <cell r="G123">
            <v>78920.72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1 639</v>
          </cell>
          <cell r="D124">
            <v>43849</v>
          </cell>
          <cell r="E124">
            <v>461334.02</v>
          </cell>
          <cell r="F124">
            <v>461334.02</v>
          </cell>
          <cell r="G124">
            <v>150000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1 636</v>
          </cell>
          <cell r="D125">
            <v>43852</v>
          </cell>
          <cell r="E125">
            <v>632756.14</v>
          </cell>
          <cell r="F125">
            <v>632756.14</v>
          </cell>
          <cell r="G125">
            <v>224017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1 632</v>
          </cell>
          <cell r="D126">
            <v>43856</v>
          </cell>
          <cell r="E126">
            <v>374608.85</v>
          </cell>
          <cell r="F126">
            <v>374608.85</v>
          </cell>
          <cell r="G126">
            <v>93799.11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1 625</v>
          </cell>
          <cell r="D127">
            <v>43863</v>
          </cell>
          <cell r="E127">
            <v>297142.8</v>
          </cell>
          <cell r="F127">
            <v>297142.8</v>
          </cell>
          <cell r="G127">
            <v>86908.13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1 623</v>
          </cell>
          <cell r="D128">
            <v>43865</v>
          </cell>
          <cell r="E128">
            <v>9609.5300000000007</v>
          </cell>
          <cell r="F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1 611</v>
          </cell>
          <cell r="D129">
            <v>43877</v>
          </cell>
          <cell r="E129">
            <v>954056.82</v>
          </cell>
          <cell r="F129">
            <v>954056.82</v>
          </cell>
          <cell r="G129">
            <v>300000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1 609</v>
          </cell>
          <cell r="D130">
            <v>43879</v>
          </cell>
          <cell r="E130">
            <v>407566.77</v>
          </cell>
          <cell r="F130">
            <v>407566.77</v>
          </cell>
          <cell r="G130">
            <v>307111.43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1 607</v>
          </cell>
          <cell r="D131">
            <v>43881</v>
          </cell>
          <cell r="E131">
            <v>1524530.49</v>
          </cell>
          <cell r="F131">
            <v>1524530.49</v>
          </cell>
          <cell r="G131">
            <v>525000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1 607</v>
          </cell>
          <cell r="D132">
            <v>43881</v>
          </cell>
          <cell r="E132">
            <v>885148.6</v>
          </cell>
          <cell r="F132">
            <v>885148.6</v>
          </cell>
          <cell r="G132">
            <v>282000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1 606</v>
          </cell>
          <cell r="D133">
            <v>43882</v>
          </cell>
          <cell r="E133">
            <v>723220.69</v>
          </cell>
          <cell r="F133">
            <v>723220.69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1 606</v>
          </cell>
          <cell r="D134">
            <v>43882</v>
          </cell>
          <cell r="E134">
            <v>611051.31999999995</v>
          </cell>
          <cell r="F134">
            <v>611051.31999999995</v>
          </cell>
          <cell r="G134">
            <v>174750.36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1 606</v>
          </cell>
          <cell r="D135">
            <v>43882</v>
          </cell>
          <cell r="E135">
            <v>1039409.01</v>
          </cell>
          <cell r="F135">
            <v>1039409.01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1 606</v>
          </cell>
          <cell r="D136">
            <v>43882</v>
          </cell>
          <cell r="E136">
            <v>723220.85</v>
          </cell>
          <cell r="F136">
            <v>723220.85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1 605</v>
          </cell>
          <cell r="D137">
            <v>43883</v>
          </cell>
          <cell r="E137">
            <v>10170906.5</v>
          </cell>
          <cell r="F137">
            <v>10170906.5</v>
          </cell>
          <cell r="G137">
            <v>300000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1 604</v>
          </cell>
          <cell r="D138">
            <v>43884</v>
          </cell>
          <cell r="E138">
            <v>304433.81</v>
          </cell>
          <cell r="F138">
            <v>304433.81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1 603</v>
          </cell>
          <cell r="D139">
            <v>43885</v>
          </cell>
          <cell r="E139">
            <v>214282.23999999999</v>
          </cell>
          <cell r="F139">
            <v>214282.23999999999</v>
          </cell>
          <cell r="G139">
            <v>100000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1 598</v>
          </cell>
          <cell r="D140">
            <v>43890</v>
          </cell>
          <cell r="E140">
            <v>274829.12</v>
          </cell>
          <cell r="F140">
            <v>274829.12</v>
          </cell>
          <cell r="G140">
            <v>140108.21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1 591</v>
          </cell>
          <cell r="D141">
            <v>43897</v>
          </cell>
          <cell r="E141">
            <v>267088.77</v>
          </cell>
          <cell r="F141">
            <v>267088.77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1 584</v>
          </cell>
          <cell r="D142">
            <v>43904</v>
          </cell>
          <cell r="E142">
            <v>4402.75</v>
          </cell>
          <cell r="F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1 583</v>
          </cell>
          <cell r="D143">
            <v>43905</v>
          </cell>
          <cell r="E143">
            <v>1913239.9</v>
          </cell>
          <cell r="F143">
            <v>1913239.9</v>
          </cell>
          <cell r="G143">
            <v>586228.01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1 582</v>
          </cell>
          <cell r="D144">
            <v>43906</v>
          </cell>
          <cell r="E144">
            <v>733133.25</v>
          </cell>
          <cell r="F144">
            <v>733133.25</v>
          </cell>
          <cell r="G144">
            <v>237942.86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1 582</v>
          </cell>
          <cell r="D145">
            <v>43906</v>
          </cell>
          <cell r="E145">
            <v>311765.32</v>
          </cell>
          <cell r="F145">
            <v>311765.32</v>
          </cell>
          <cell r="G145">
            <v>29278.63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1 579</v>
          </cell>
          <cell r="D146">
            <v>43909</v>
          </cell>
          <cell r="E146">
            <v>676311.9</v>
          </cell>
          <cell r="F146">
            <v>676311.9</v>
          </cell>
          <cell r="G146">
            <v>232136.69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1 578</v>
          </cell>
          <cell r="D147">
            <v>43910</v>
          </cell>
          <cell r="E147">
            <v>566317.68000000005</v>
          </cell>
          <cell r="F147">
            <v>566317.68000000005</v>
          </cell>
          <cell r="G147">
            <v>224000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1 578</v>
          </cell>
          <cell r="D148">
            <v>43910</v>
          </cell>
          <cell r="E148">
            <v>646805.14</v>
          </cell>
          <cell r="F148">
            <v>646805.14</v>
          </cell>
          <cell r="G148">
            <v>256000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1 578</v>
          </cell>
          <cell r="D149">
            <v>43910</v>
          </cell>
          <cell r="E149">
            <v>434774.74</v>
          </cell>
          <cell r="F149">
            <v>434774.74</v>
          </cell>
          <cell r="G149">
            <v>126447.41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1 577</v>
          </cell>
          <cell r="D150">
            <v>43911</v>
          </cell>
          <cell r="E150">
            <v>1612647.4</v>
          </cell>
          <cell r="F150">
            <v>1612647.4</v>
          </cell>
          <cell r="G150">
            <v>540000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1 577</v>
          </cell>
          <cell r="D151">
            <v>43911</v>
          </cell>
          <cell r="E151">
            <v>888855.9</v>
          </cell>
          <cell r="F151">
            <v>888855.9</v>
          </cell>
          <cell r="G151">
            <v>349399.79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1 574</v>
          </cell>
          <cell r="D152">
            <v>43914</v>
          </cell>
          <cell r="E152">
            <v>154476.09</v>
          </cell>
          <cell r="F152">
            <v>154476.09</v>
          </cell>
          <cell r="G152">
            <v>73950.33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1 572</v>
          </cell>
          <cell r="D153">
            <v>43916</v>
          </cell>
          <cell r="E153">
            <v>332141.59000000003</v>
          </cell>
          <cell r="F153">
            <v>332141.59000000003</v>
          </cell>
          <cell r="G153">
            <v>87127.76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1 571</v>
          </cell>
          <cell r="D154">
            <v>43917</v>
          </cell>
          <cell r="E154">
            <v>75978.009999999995</v>
          </cell>
          <cell r="F154">
            <v>75978.009999999995</v>
          </cell>
          <cell r="G154">
            <v>39922.54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1 561</v>
          </cell>
          <cell r="D155">
            <v>43927</v>
          </cell>
          <cell r="E155">
            <v>810500</v>
          </cell>
          <cell r="F155">
            <v>810500</v>
          </cell>
          <cell r="G155">
            <v>271721.53999999998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1 561</v>
          </cell>
          <cell r="D156">
            <v>43927</v>
          </cell>
          <cell r="E156">
            <v>719219.24</v>
          </cell>
          <cell r="F156">
            <v>719219.24</v>
          </cell>
          <cell r="G156">
            <v>240000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1 558</v>
          </cell>
          <cell r="D157">
            <v>43930</v>
          </cell>
          <cell r="E157">
            <v>578471.02</v>
          </cell>
          <cell r="F157">
            <v>578471.02</v>
          </cell>
          <cell r="G157">
            <v>218322.43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1 557</v>
          </cell>
          <cell r="D158">
            <v>43931</v>
          </cell>
          <cell r="E158">
            <v>772464.44</v>
          </cell>
          <cell r="F158">
            <v>772464.44</v>
          </cell>
          <cell r="G158">
            <v>315000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1 556</v>
          </cell>
          <cell r="D159">
            <v>43932</v>
          </cell>
          <cell r="E159">
            <v>391894.08</v>
          </cell>
          <cell r="F159">
            <v>391894.08</v>
          </cell>
          <cell r="G159">
            <v>163104.26999999999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1 554</v>
          </cell>
          <cell r="D160">
            <v>43934</v>
          </cell>
          <cell r="E160">
            <v>318553.51</v>
          </cell>
          <cell r="F160">
            <v>318553.51</v>
          </cell>
          <cell r="G160">
            <v>121329.29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1 552</v>
          </cell>
          <cell r="D161">
            <v>43936</v>
          </cell>
          <cell r="E161">
            <v>138714.65</v>
          </cell>
          <cell r="F161">
            <v>138714.65</v>
          </cell>
          <cell r="G161">
            <v>42950.01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1 552</v>
          </cell>
          <cell r="D162">
            <v>43936</v>
          </cell>
          <cell r="E162">
            <v>253129.46</v>
          </cell>
          <cell r="F162">
            <v>253129.46</v>
          </cell>
          <cell r="G162">
            <v>81639.67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1 551</v>
          </cell>
          <cell r="D163">
            <v>43937</v>
          </cell>
          <cell r="E163">
            <v>245524.58</v>
          </cell>
          <cell r="F163">
            <v>245524.58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1 550</v>
          </cell>
          <cell r="D164">
            <v>43938</v>
          </cell>
          <cell r="E164">
            <v>265892.27</v>
          </cell>
          <cell r="F164">
            <v>265892.27</v>
          </cell>
          <cell r="G164">
            <v>146409.89000000001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1 548</v>
          </cell>
          <cell r="D165">
            <v>43940</v>
          </cell>
          <cell r="E165">
            <v>257556.52</v>
          </cell>
          <cell r="F165">
            <v>257556.52</v>
          </cell>
          <cell r="G165">
            <v>96993.36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1 547</v>
          </cell>
          <cell r="D166">
            <v>43941</v>
          </cell>
          <cell r="E166">
            <v>488806.3</v>
          </cell>
          <cell r="F166">
            <v>488806.3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1 542</v>
          </cell>
          <cell r="D167">
            <v>43946</v>
          </cell>
          <cell r="E167">
            <v>604879.22</v>
          </cell>
          <cell r="F167">
            <v>604879.22</v>
          </cell>
          <cell r="G167">
            <v>197376.26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1 540</v>
          </cell>
          <cell r="D168">
            <v>43948</v>
          </cell>
          <cell r="E168">
            <v>897147.73</v>
          </cell>
          <cell r="F168">
            <v>897147.73</v>
          </cell>
          <cell r="G168">
            <v>16348.71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1 540</v>
          </cell>
          <cell r="D169">
            <v>43948</v>
          </cell>
          <cell r="E169">
            <v>213846.49</v>
          </cell>
          <cell r="F169">
            <v>213846.49</v>
          </cell>
          <cell r="G169">
            <v>22577.07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1 539</v>
          </cell>
          <cell r="D170">
            <v>43949</v>
          </cell>
          <cell r="E170">
            <v>416.33</v>
          </cell>
          <cell r="F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1 538</v>
          </cell>
          <cell r="D171">
            <v>43950</v>
          </cell>
          <cell r="E171">
            <v>39428.5</v>
          </cell>
          <cell r="F171">
            <v>39428.5</v>
          </cell>
          <cell r="G171">
            <v>24415.11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1 532</v>
          </cell>
          <cell r="D172">
            <v>43956</v>
          </cell>
          <cell r="E172">
            <v>2056802.22</v>
          </cell>
          <cell r="F172">
            <v>2056802.22</v>
          </cell>
          <cell r="G172">
            <v>84314.02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1 531</v>
          </cell>
          <cell r="D173">
            <v>43957</v>
          </cell>
          <cell r="E173">
            <v>7967605.9000000004</v>
          </cell>
          <cell r="F173">
            <v>7967605.9000000004</v>
          </cell>
          <cell r="G173">
            <v>352385.37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1 531</v>
          </cell>
          <cell r="D174">
            <v>43957</v>
          </cell>
          <cell r="E174">
            <v>395272.52</v>
          </cell>
          <cell r="F174">
            <v>395272.52</v>
          </cell>
          <cell r="G174">
            <v>117805.84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1 530</v>
          </cell>
          <cell r="D175">
            <v>43958</v>
          </cell>
          <cell r="E175">
            <v>200241.71</v>
          </cell>
          <cell r="F175">
            <v>200241.71</v>
          </cell>
          <cell r="G175">
            <v>87235.27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1 521</v>
          </cell>
          <cell r="D176">
            <v>43967</v>
          </cell>
          <cell r="E176">
            <v>216429.22</v>
          </cell>
          <cell r="F176">
            <v>216429.22</v>
          </cell>
          <cell r="G176">
            <v>68737.990000000005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1 517</v>
          </cell>
          <cell r="D177">
            <v>43971</v>
          </cell>
          <cell r="E177">
            <v>435633.69</v>
          </cell>
          <cell r="F177">
            <v>435633.69</v>
          </cell>
          <cell r="G177">
            <v>129718.58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1 516</v>
          </cell>
          <cell r="D178">
            <v>43972</v>
          </cell>
          <cell r="E178">
            <v>164110.19</v>
          </cell>
          <cell r="F178">
            <v>164110.19</v>
          </cell>
          <cell r="G178">
            <v>78391.5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1 516</v>
          </cell>
          <cell r="D179">
            <v>43972</v>
          </cell>
          <cell r="E179">
            <v>151237.82</v>
          </cell>
          <cell r="F179">
            <v>151237.82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1 516</v>
          </cell>
          <cell r="D180">
            <v>43972</v>
          </cell>
          <cell r="E180">
            <v>348103.88</v>
          </cell>
          <cell r="F180">
            <v>348103.88</v>
          </cell>
          <cell r="G180">
            <v>215861.99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1 515</v>
          </cell>
          <cell r="D181">
            <v>43973</v>
          </cell>
          <cell r="E181">
            <v>962935.54</v>
          </cell>
          <cell r="F181">
            <v>962935.54</v>
          </cell>
          <cell r="G181">
            <v>341241.24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1 507</v>
          </cell>
          <cell r="D182">
            <v>43981</v>
          </cell>
          <cell r="E182">
            <v>692675.99</v>
          </cell>
          <cell r="F182">
            <v>692675.99</v>
          </cell>
          <cell r="G182">
            <v>240890.38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1 501</v>
          </cell>
          <cell r="D183">
            <v>43987</v>
          </cell>
          <cell r="E183">
            <v>361624.98</v>
          </cell>
          <cell r="F183">
            <v>361624.98</v>
          </cell>
          <cell r="G183">
            <v>120000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1 482</v>
          </cell>
          <cell r="D184">
            <v>44006</v>
          </cell>
          <cell r="E184">
            <v>1589017.38</v>
          </cell>
          <cell r="F184">
            <v>1589017.38</v>
          </cell>
          <cell r="G184">
            <v>285524.37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1 479</v>
          </cell>
          <cell r="D185">
            <v>44009</v>
          </cell>
          <cell r="E185">
            <v>312404.90000000002</v>
          </cell>
          <cell r="F185">
            <v>312404.90000000002</v>
          </cell>
          <cell r="G185">
            <v>112952.52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1 475</v>
          </cell>
          <cell r="D186">
            <v>44013</v>
          </cell>
          <cell r="E186">
            <v>912211.8</v>
          </cell>
          <cell r="F186">
            <v>912211.8</v>
          </cell>
          <cell r="G186">
            <v>428339.42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1 473</v>
          </cell>
          <cell r="D187">
            <v>44015</v>
          </cell>
          <cell r="E187">
            <v>1022553.13</v>
          </cell>
          <cell r="F187">
            <v>1022553.13</v>
          </cell>
          <cell r="G187">
            <v>456454.36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1 470</v>
          </cell>
          <cell r="D188">
            <v>44018</v>
          </cell>
          <cell r="E188">
            <v>1744675.02</v>
          </cell>
          <cell r="F188">
            <v>1744675.02</v>
          </cell>
          <cell r="G188">
            <v>981181.77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1 467</v>
          </cell>
          <cell r="D189">
            <v>44021</v>
          </cell>
          <cell r="E189">
            <v>101820.7</v>
          </cell>
          <cell r="F189">
            <v>101820.7</v>
          </cell>
          <cell r="G189">
            <v>65820.7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1 464</v>
          </cell>
          <cell r="D190">
            <v>44024</v>
          </cell>
          <cell r="E190">
            <v>635866.04</v>
          </cell>
          <cell r="F190">
            <v>635866.04</v>
          </cell>
          <cell r="G190">
            <v>221949.58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1 461</v>
          </cell>
          <cell r="D191">
            <v>44027</v>
          </cell>
          <cell r="E191">
            <v>156620.44</v>
          </cell>
          <cell r="F191">
            <v>156620.44</v>
          </cell>
          <cell r="G191">
            <v>68837.509999999995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1 459</v>
          </cell>
          <cell r="D192">
            <v>44029</v>
          </cell>
          <cell r="E192">
            <v>343966.59</v>
          </cell>
          <cell r="F192">
            <v>343966.59</v>
          </cell>
          <cell r="G192">
            <v>119184.95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1 458</v>
          </cell>
          <cell r="D193">
            <v>44030</v>
          </cell>
          <cell r="E193">
            <v>985563.41</v>
          </cell>
          <cell r="F193">
            <v>985563.41</v>
          </cell>
          <cell r="G193">
            <v>357064.12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1 456</v>
          </cell>
          <cell r="D194">
            <v>44032</v>
          </cell>
          <cell r="E194">
            <v>129862.36</v>
          </cell>
          <cell r="F194">
            <v>129862.36</v>
          </cell>
          <cell r="G194">
            <v>67010.84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1 455</v>
          </cell>
          <cell r="D195">
            <v>44033</v>
          </cell>
          <cell r="E195">
            <v>238944.61</v>
          </cell>
          <cell r="F195">
            <v>238944.61</v>
          </cell>
          <cell r="G195">
            <v>82579.23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1 454</v>
          </cell>
          <cell r="D196">
            <v>44034</v>
          </cell>
          <cell r="E196">
            <v>626686.27</v>
          </cell>
          <cell r="F196">
            <v>626686.27</v>
          </cell>
          <cell r="G196">
            <v>216486.61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1 450</v>
          </cell>
          <cell r="D197">
            <v>44038</v>
          </cell>
          <cell r="E197">
            <v>548064.86</v>
          </cell>
          <cell r="F197">
            <v>548064.86</v>
          </cell>
          <cell r="G197">
            <v>190899.14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1 447</v>
          </cell>
          <cell r="D198">
            <v>44041</v>
          </cell>
          <cell r="E198">
            <v>281700.32</v>
          </cell>
          <cell r="F198">
            <v>281700.32</v>
          </cell>
          <cell r="G198">
            <v>152841.37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1 446</v>
          </cell>
          <cell r="D199">
            <v>44042</v>
          </cell>
          <cell r="E199">
            <v>3970471.47</v>
          </cell>
          <cell r="F199">
            <v>3970471.47</v>
          </cell>
          <cell r="G199">
            <v>150000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1 438</v>
          </cell>
          <cell r="D200">
            <v>44050</v>
          </cell>
          <cell r="E200">
            <v>187064.37</v>
          </cell>
          <cell r="F200">
            <v>187064.37</v>
          </cell>
          <cell r="G200">
            <v>110000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1 436</v>
          </cell>
          <cell r="D201">
            <v>44052</v>
          </cell>
          <cell r="E201">
            <v>6994955.5800000001</v>
          </cell>
          <cell r="F201">
            <v>6994955.5800000001</v>
          </cell>
          <cell r="G201">
            <v>289226.32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1 435</v>
          </cell>
          <cell r="D202">
            <v>44053</v>
          </cell>
          <cell r="E202">
            <v>946482.04</v>
          </cell>
          <cell r="F202">
            <v>946482.04</v>
          </cell>
          <cell r="G202">
            <v>539180.56999999995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1 434</v>
          </cell>
          <cell r="D203">
            <v>44054</v>
          </cell>
          <cell r="E203">
            <v>1468728.48</v>
          </cell>
          <cell r="F203">
            <v>1468728.48</v>
          </cell>
          <cell r="G203">
            <v>597267.06999999995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1 433</v>
          </cell>
          <cell r="D204">
            <v>44055</v>
          </cell>
          <cell r="E204">
            <v>1250000</v>
          </cell>
          <cell r="F204">
            <v>1250000</v>
          </cell>
          <cell r="G204">
            <v>500000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1 432</v>
          </cell>
          <cell r="D205">
            <v>44056</v>
          </cell>
          <cell r="E205">
            <v>3399185.61</v>
          </cell>
          <cell r="F205">
            <v>3399185.61</v>
          </cell>
          <cell r="G205">
            <v>150000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1 431</v>
          </cell>
          <cell r="D206">
            <v>44057</v>
          </cell>
          <cell r="E206">
            <v>725592.74</v>
          </cell>
          <cell r="F206">
            <v>725592.74</v>
          </cell>
          <cell r="G206">
            <v>420910.34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1 429</v>
          </cell>
          <cell r="D207">
            <v>44059</v>
          </cell>
          <cell r="E207">
            <v>255670.01</v>
          </cell>
          <cell r="F207">
            <v>255670.01</v>
          </cell>
          <cell r="G207">
            <v>131027.51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1 429</v>
          </cell>
          <cell r="D208">
            <v>44059</v>
          </cell>
          <cell r="E208">
            <v>67041.100000000006</v>
          </cell>
          <cell r="F208">
            <v>67041.100000000006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1 427</v>
          </cell>
          <cell r="D209">
            <v>44061</v>
          </cell>
          <cell r="E209">
            <v>3739889.47</v>
          </cell>
          <cell r="F209">
            <v>3739889.47</v>
          </cell>
          <cell r="G209">
            <v>170071.42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1 425</v>
          </cell>
          <cell r="D210">
            <v>44063</v>
          </cell>
          <cell r="E210">
            <v>541617.34</v>
          </cell>
          <cell r="F210">
            <v>541617.34</v>
          </cell>
          <cell r="G210">
            <v>200000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1 416</v>
          </cell>
          <cell r="D211">
            <v>44072</v>
          </cell>
          <cell r="E211">
            <v>53619.1</v>
          </cell>
          <cell r="F211">
            <v>53619.1</v>
          </cell>
          <cell r="G211">
            <v>20033.48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1 416</v>
          </cell>
          <cell r="D212">
            <v>44072</v>
          </cell>
          <cell r="E212">
            <v>482434.59</v>
          </cell>
          <cell r="F212">
            <v>482434.59</v>
          </cell>
          <cell r="G212">
            <v>167386.20000000001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1 414</v>
          </cell>
          <cell r="D213">
            <v>44074</v>
          </cell>
          <cell r="E213">
            <v>443.58</v>
          </cell>
          <cell r="F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1 412</v>
          </cell>
          <cell r="D214">
            <v>44076</v>
          </cell>
          <cell r="E214">
            <v>425397.33</v>
          </cell>
          <cell r="F214">
            <v>425397.33</v>
          </cell>
          <cell r="G214">
            <v>149849.26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1 407</v>
          </cell>
          <cell r="D215">
            <v>44081</v>
          </cell>
          <cell r="E215">
            <v>452289.59</v>
          </cell>
          <cell r="F215">
            <v>452289.59</v>
          </cell>
          <cell r="G215">
            <v>175558.02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1 400</v>
          </cell>
          <cell r="D216">
            <v>44088</v>
          </cell>
          <cell r="E216">
            <v>1378655.79</v>
          </cell>
          <cell r="F216">
            <v>1378655.79</v>
          </cell>
          <cell r="G216">
            <v>556489.29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1 400</v>
          </cell>
          <cell r="D217">
            <v>44088</v>
          </cell>
          <cell r="E217">
            <v>101723.4</v>
          </cell>
          <cell r="F217">
            <v>101723.4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1 399</v>
          </cell>
          <cell r="D218">
            <v>44089</v>
          </cell>
          <cell r="E218">
            <v>102275.65</v>
          </cell>
          <cell r="F218">
            <v>102275.65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1 393</v>
          </cell>
          <cell r="D219">
            <v>44095</v>
          </cell>
          <cell r="E219">
            <v>1103568.75</v>
          </cell>
          <cell r="F219">
            <v>1103568.75</v>
          </cell>
          <cell r="G219">
            <v>450000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1 389</v>
          </cell>
          <cell r="D220">
            <v>44099</v>
          </cell>
          <cell r="E220">
            <v>442441.3</v>
          </cell>
          <cell r="F220">
            <v>442441.3</v>
          </cell>
          <cell r="G220">
            <v>187562.77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1 382</v>
          </cell>
          <cell r="D221">
            <v>44106</v>
          </cell>
          <cell r="E221">
            <v>496240.02</v>
          </cell>
          <cell r="F221">
            <v>496240.02</v>
          </cell>
          <cell r="G221">
            <v>193846.7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1 379</v>
          </cell>
          <cell r="D222">
            <v>44109</v>
          </cell>
          <cell r="E222">
            <v>1403865.85</v>
          </cell>
          <cell r="F222">
            <v>1403865.85</v>
          </cell>
          <cell r="G222">
            <v>511436.55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1 379</v>
          </cell>
          <cell r="D223">
            <v>44109</v>
          </cell>
          <cell r="E223">
            <v>116921.18</v>
          </cell>
          <cell r="F223">
            <v>116921.18</v>
          </cell>
          <cell r="G223">
            <v>82976.45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1 376</v>
          </cell>
          <cell r="D224">
            <v>44112</v>
          </cell>
          <cell r="E224">
            <v>203546.29</v>
          </cell>
          <cell r="F224">
            <v>203546.29</v>
          </cell>
          <cell r="G224">
            <v>100000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1 370</v>
          </cell>
          <cell r="D225">
            <v>44118</v>
          </cell>
          <cell r="E225">
            <v>158680.45000000001</v>
          </cell>
          <cell r="F225">
            <v>158680.45000000001</v>
          </cell>
          <cell r="G225">
            <v>8494.57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1 370</v>
          </cell>
          <cell r="D226">
            <v>44118</v>
          </cell>
          <cell r="E226">
            <v>313290.65000000002</v>
          </cell>
          <cell r="F226">
            <v>313290.65000000002</v>
          </cell>
          <cell r="G226">
            <v>132678.44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1 368</v>
          </cell>
          <cell r="D227">
            <v>44120</v>
          </cell>
          <cell r="E227">
            <v>241667.66</v>
          </cell>
          <cell r="F227">
            <v>241667.66</v>
          </cell>
          <cell r="G227">
            <v>100000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1 367</v>
          </cell>
          <cell r="D228">
            <v>44121</v>
          </cell>
          <cell r="E228">
            <v>1932036.91</v>
          </cell>
          <cell r="F228">
            <v>1932036.91</v>
          </cell>
          <cell r="G228">
            <v>300000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1 365</v>
          </cell>
          <cell r="D229">
            <v>44123</v>
          </cell>
          <cell r="E229">
            <v>4641062.6500000004</v>
          </cell>
          <cell r="F229">
            <v>4641062.6500000004</v>
          </cell>
          <cell r="G229">
            <v>201747.18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1 365</v>
          </cell>
          <cell r="D230">
            <v>44123</v>
          </cell>
          <cell r="E230">
            <v>66657.11</v>
          </cell>
          <cell r="F230">
            <v>66657.11</v>
          </cell>
          <cell r="G230">
            <v>34377.370000000003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1 365</v>
          </cell>
          <cell r="D231">
            <v>44123</v>
          </cell>
          <cell r="E231">
            <v>665666.41</v>
          </cell>
          <cell r="F231">
            <v>665666.41</v>
          </cell>
          <cell r="G231">
            <v>250000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1 358</v>
          </cell>
          <cell r="D232">
            <v>44130</v>
          </cell>
          <cell r="E232">
            <v>2124.21</v>
          </cell>
          <cell r="F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1 356</v>
          </cell>
          <cell r="D233">
            <v>44132</v>
          </cell>
          <cell r="E233">
            <v>297433.15000000002</v>
          </cell>
          <cell r="F233">
            <v>297433.15000000002</v>
          </cell>
          <cell r="G233">
            <v>17353.419999999998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1 351</v>
          </cell>
          <cell r="D234">
            <v>44137</v>
          </cell>
          <cell r="E234">
            <v>49456.52</v>
          </cell>
          <cell r="F234">
            <v>49456.52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1 350</v>
          </cell>
          <cell r="D235">
            <v>44138</v>
          </cell>
          <cell r="E235">
            <v>3837675.23</v>
          </cell>
          <cell r="F235">
            <v>3837675.23</v>
          </cell>
          <cell r="G235">
            <v>166198.04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1 346</v>
          </cell>
          <cell r="D236">
            <v>44142</v>
          </cell>
          <cell r="E236">
            <v>630799.71</v>
          </cell>
          <cell r="F236">
            <v>630799.71</v>
          </cell>
          <cell r="G236">
            <v>250564.83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1 343</v>
          </cell>
          <cell r="D237">
            <v>44145</v>
          </cell>
          <cell r="E237">
            <v>4290962.95</v>
          </cell>
          <cell r="F237">
            <v>4290962.95</v>
          </cell>
          <cell r="G237">
            <v>196372.36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1 340</v>
          </cell>
          <cell r="D238">
            <v>44148</v>
          </cell>
          <cell r="E238">
            <v>446770.76</v>
          </cell>
          <cell r="F238">
            <v>446770.76</v>
          </cell>
          <cell r="G238">
            <v>198184.95999999999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1 336</v>
          </cell>
          <cell r="D239">
            <v>44152</v>
          </cell>
          <cell r="E239">
            <v>500676.34</v>
          </cell>
          <cell r="F239">
            <v>500676.34</v>
          </cell>
          <cell r="G239">
            <v>78202.25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1 336</v>
          </cell>
          <cell r="D240">
            <v>44152</v>
          </cell>
          <cell r="E240">
            <v>740713.62</v>
          </cell>
          <cell r="F240">
            <v>740713.62</v>
          </cell>
          <cell r="G240">
            <v>287003.11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1 328</v>
          </cell>
          <cell r="D241">
            <v>44160</v>
          </cell>
          <cell r="E241">
            <v>22809.17</v>
          </cell>
          <cell r="F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1 326</v>
          </cell>
          <cell r="D242">
            <v>44162</v>
          </cell>
          <cell r="E242">
            <v>1.83</v>
          </cell>
          <cell r="F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1 326</v>
          </cell>
          <cell r="D243">
            <v>44162</v>
          </cell>
          <cell r="E243">
            <v>273940.15999999997</v>
          </cell>
          <cell r="F243">
            <v>273940.15999999997</v>
          </cell>
          <cell r="G243">
            <v>112418.39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1 325</v>
          </cell>
          <cell r="D244">
            <v>44163</v>
          </cell>
          <cell r="E244">
            <v>920520.63</v>
          </cell>
          <cell r="F244">
            <v>920520.63</v>
          </cell>
          <cell r="G244">
            <v>380000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1 324</v>
          </cell>
          <cell r="D245">
            <v>44164</v>
          </cell>
          <cell r="E245">
            <v>3181.83</v>
          </cell>
          <cell r="F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1 323</v>
          </cell>
          <cell r="D246">
            <v>44165</v>
          </cell>
          <cell r="E246">
            <v>191747.97</v>
          </cell>
          <cell r="F246">
            <v>191747.97</v>
          </cell>
          <cell r="G246">
            <v>21676.78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1 321</v>
          </cell>
          <cell r="D247">
            <v>44167</v>
          </cell>
          <cell r="E247">
            <v>529085.30000000005</v>
          </cell>
          <cell r="F247">
            <v>529085.30000000005</v>
          </cell>
          <cell r="G247">
            <v>299175.76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1 319</v>
          </cell>
          <cell r="D248">
            <v>44169</v>
          </cell>
          <cell r="E248">
            <v>98520</v>
          </cell>
          <cell r="F248">
            <v>98520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1 319</v>
          </cell>
          <cell r="D249">
            <v>44169</v>
          </cell>
          <cell r="E249">
            <v>182087.85</v>
          </cell>
          <cell r="F249">
            <v>182087.85</v>
          </cell>
          <cell r="G249">
            <v>75124.52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1 314</v>
          </cell>
          <cell r="D250">
            <v>44174</v>
          </cell>
          <cell r="E250">
            <v>237560.99</v>
          </cell>
          <cell r="F250">
            <v>237560.99</v>
          </cell>
          <cell r="G250">
            <v>99404.02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1 302</v>
          </cell>
          <cell r="D251">
            <v>44186</v>
          </cell>
          <cell r="E251">
            <v>1140755.8500000001</v>
          </cell>
          <cell r="F251">
            <v>1140755.8500000001</v>
          </cell>
          <cell r="G251">
            <v>494746.63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1 299</v>
          </cell>
          <cell r="D252">
            <v>44189</v>
          </cell>
          <cell r="E252">
            <v>1658770.7</v>
          </cell>
          <cell r="F252">
            <v>1658770.7</v>
          </cell>
          <cell r="G252">
            <v>937868.61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1 299</v>
          </cell>
          <cell r="D253">
            <v>44189</v>
          </cell>
          <cell r="E253">
            <v>4248770.47</v>
          </cell>
          <cell r="F253">
            <v>4248770.47</v>
          </cell>
          <cell r="G253">
            <v>386153.29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1 298</v>
          </cell>
          <cell r="D254">
            <v>44190</v>
          </cell>
          <cell r="E254">
            <v>226578.32</v>
          </cell>
          <cell r="F254">
            <v>226578.32</v>
          </cell>
          <cell r="G254">
            <v>94409.06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1 296</v>
          </cell>
          <cell r="D255">
            <v>44192</v>
          </cell>
          <cell r="E255">
            <v>116693.56</v>
          </cell>
          <cell r="F255">
            <v>116693.56</v>
          </cell>
          <cell r="G255">
            <v>80979.48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1 293</v>
          </cell>
          <cell r="D256">
            <v>44195</v>
          </cell>
          <cell r="E256">
            <v>203092.79</v>
          </cell>
          <cell r="F256">
            <v>203092.79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1 290</v>
          </cell>
          <cell r="D257">
            <v>44198</v>
          </cell>
          <cell r="E257">
            <v>1317905</v>
          </cell>
          <cell r="F257">
            <v>1317905</v>
          </cell>
          <cell r="G257">
            <v>582013.02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1 287</v>
          </cell>
          <cell r="D258">
            <v>44201</v>
          </cell>
          <cell r="E258">
            <v>7235.9</v>
          </cell>
          <cell r="F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1 286</v>
          </cell>
          <cell r="D259">
            <v>44202</v>
          </cell>
          <cell r="E259">
            <v>863538.59</v>
          </cell>
          <cell r="F259">
            <v>863538.59</v>
          </cell>
          <cell r="G259">
            <v>355797.7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1 286</v>
          </cell>
          <cell r="D260">
            <v>44202</v>
          </cell>
          <cell r="E260">
            <v>407245.79</v>
          </cell>
          <cell r="F260">
            <v>407245.79</v>
          </cell>
          <cell r="G260">
            <v>245941.85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1 283</v>
          </cell>
          <cell r="D261">
            <v>44205</v>
          </cell>
          <cell r="E261">
            <v>1544759.73</v>
          </cell>
          <cell r="F261">
            <v>1544759.73</v>
          </cell>
          <cell r="G261">
            <v>1000000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1 281</v>
          </cell>
          <cell r="D262">
            <v>44207</v>
          </cell>
          <cell r="E262">
            <v>225416.98</v>
          </cell>
          <cell r="F262">
            <v>225416.98</v>
          </cell>
          <cell r="G262">
            <v>94178.15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1 281</v>
          </cell>
          <cell r="D263">
            <v>44207</v>
          </cell>
          <cell r="E263">
            <v>463030.37</v>
          </cell>
          <cell r="F263">
            <v>463030.37</v>
          </cell>
          <cell r="G263">
            <v>98780.09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1 281</v>
          </cell>
          <cell r="D264">
            <v>44207</v>
          </cell>
          <cell r="E264">
            <v>462994.09</v>
          </cell>
          <cell r="F264">
            <v>462994.09</v>
          </cell>
          <cell r="G264">
            <v>200000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1 279</v>
          </cell>
          <cell r="D265">
            <v>44209</v>
          </cell>
          <cell r="E265">
            <v>461901.37</v>
          </cell>
          <cell r="F265">
            <v>461901.37</v>
          </cell>
          <cell r="G265">
            <v>200000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1 270</v>
          </cell>
          <cell r="D266">
            <v>44218</v>
          </cell>
          <cell r="E266">
            <v>179091.93</v>
          </cell>
          <cell r="F266">
            <v>179091.93</v>
          </cell>
          <cell r="G266">
            <v>86377.65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1 269</v>
          </cell>
          <cell r="D267">
            <v>44219</v>
          </cell>
          <cell r="E267">
            <v>111132.07</v>
          </cell>
          <cell r="F267">
            <v>111132.07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1 269</v>
          </cell>
          <cell r="D268">
            <v>44219</v>
          </cell>
          <cell r="E268">
            <v>450454.71</v>
          </cell>
          <cell r="F268">
            <v>450454.71</v>
          </cell>
          <cell r="G268">
            <v>188784.43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1 259</v>
          </cell>
          <cell r="D269">
            <v>44229</v>
          </cell>
          <cell r="E269">
            <v>502638.64</v>
          </cell>
          <cell r="F269">
            <v>502638.64</v>
          </cell>
          <cell r="G269">
            <v>298017.05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1 254</v>
          </cell>
          <cell r="D270">
            <v>44234</v>
          </cell>
          <cell r="E270">
            <v>179145.82</v>
          </cell>
          <cell r="F270">
            <v>179145.82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1 253</v>
          </cell>
          <cell r="D271">
            <v>44235</v>
          </cell>
          <cell r="E271">
            <v>533268.54</v>
          </cell>
          <cell r="F271">
            <v>533268.54</v>
          </cell>
          <cell r="G271">
            <v>130238.97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1 252</v>
          </cell>
          <cell r="D272">
            <v>44236</v>
          </cell>
          <cell r="E272">
            <v>512574.71999999997</v>
          </cell>
          <cell r="F272">
            <v>512574.71999999997</v>
          </cell>
          <cell r="G272">
            <v>235006.39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1 251</v>
          </cell>
          <cell r="D273">
            <v>44237</v>
          </cell>
          <cell r="E273">
            <v>400419.53</v>
          </cell>
          <cell r="F273">
            <v>400419.53</v>
          </cell>
          <cell r="G273">
            <v>197796.4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1 251</v>
          </cell>
          <cell r="D274">
            <v>44237</v>
          </cell>
          <cell r="E274">
            <v>369916.58</v>
          </cell>
          <cell r="F274">
            <v>369916.58</v>
          </cell>
          <cell r="G274">
            <v>158541.84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1 248</v>
          </cell>
          <cell r="D275">
            <v>44240</v>
          </cell>
          <cell r="E275">
            <v>138742.20000000001</v>
          </cell>
          <cell r="F275">
            <v>138742.20000000001</v>
          </cell>
          <cell r="G275">
            <v>59337.89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1 243</v>
          </cell>
          <cell r="D276">
            <v>44245</v>
          </cell>
          <cell r="E276">
            <v>56010.3</v>
          </cell>
          <cell r="F276">
            <v>56010.3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1 240</v>
          </cell>
          <cell r="D277">
            <v>44248</v>
          </cell>
          <cell r="E277">
            <v>1599428.42</v>
          </cell>
          <cell r="F277">
            <v>1599428.42</v>
          </cell>
          <cell r="G277">
            <v>709729.29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1 240</v>
          </cell>
          <cell r="D278">
            <v>44248</v>
          </cell>
          <cell r="E278">
            <v>316389.78000000003</v>
          </cell>
          <cell r="F278">
            <v>316389.78000000003</v>
          </cell>
          <cell r="G278">
            <v>126823.45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1 239</v>
          </cell>
          <cell r="D279">
            <v>44249</v>
          </cell>
          <cell r="E279">
            <v>323675.59000000003</v>
          </cell>
          <cell r="F279">
            <v>323675.59000000003</v>
          </cell>
          <cell r="G279">
            <v>161059.79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1 238</v>
          </cell>
          <cell r="D280">
            <v>44250</v>
          </cell>
          <cell r="E280">
            <v>10483.959999999999</v>
          </cell>
          <cell r="F280">
            <v>49579.82</v>
          </cell>
          <cell r="G280">
            <v>37952.1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1 238</v>
          </cell>
          <cell r="D281">
            <v>44250</v>
          </cell>
          <cell r="E281">
            <v>389589.87</v>
          </cell>
          <cell r="F281">
            <v>389589.87</v>
          </cell>
          <cell r="G281">
            <v>127352.03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1 237</v>
          </cell>
          <cell r="D282">
            <v>44251</v>
          </cell>
          <cell r="E282">
            <v>1003422.87</v>
          </cell>
          <cell r="F282">
            <v>1003422.87</v>
          </cell>
          <cell r="G282">
            <v>283795.51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1 237</v>
          </cell>
          <cell r="D283">
            <v>44251</v>
          </cell>
          <cell r="E283">
            <v>1448111.24</v>
          </cell>
          <cell r="F283">
            <v>1448111.24</v>
          </cell>
          <cell r="G283">
            <v>993963.4</v>
          </cell>
        </row>
        <row r="284">
          <cell r="A284" t="str">
            <v>В-00508/АЗ_В-21082023/Ц</v>
          </cell>
          <cell r="B284" t="str">
            <v>Мошкин Андрей Викторович</v>
          </cell>
          <cell r="C284" t="str">
            <v>1 225</v>
          </cell>
          <cell r="D284">
            <v>44263</v>
          </cell>
          <cell r="E284">
            <v>352617.53</v>
          </cell>
          <cell r="F284">
            <v>352617.53</v>
          </cell>
          <cell r="G284">
            <v>216649.33</v>
          </cell>
        </row>
        <row r="285">
          <cell r="A285" t="str">
            <v>В-06186/КЛ.Транш - 1_А-20210929/Ц</v>
          </cell>
          <cell r="B285" t="str">
            <v>Станкеев Сергей Николаевич</v>
          </cell>
          <cell r="C285" t="str">
            <v>1 224</v>
          </cell>
          <cell r="D285">
            <v>44264</v>
          </cell>
          <cell r="E285">
            <v>71804.039999999994</v>
          </cell>
          <cell r="F285">
            <v>71804.039999999994</v>
          </cell>
        </row>
        <row r="286">
          <cell r="A286" t="str">
            <v>В-12016/КЛ.Транш - 2_В-20211230/Ц</v>
          </cell>
          <cell r="B286" t="str">
            <v>Исаков Магомед Владимирович</v>
          </cell>
          <cell r="C286" t="str">
            <v>1 223</v>
          </cell>
          <cell r="D286">
            <v>44265</v>
          </cell>
          <cell r="E286">
            <v>52493.59</v>
          </cell>
          <cell r="F286">
            <v>52493.59</v>
          </cell>
        </row>
        <row r="287">
          <cell r="A287" t="str">
            <v>В-00687/АЗ_В-21082023/Ц</v>
          </cell>
          <cell r="B287" t="str">
            <v>Калантарян Артур Вазгени</v>
          </cell>
          <cell r="C287" t="str">
            <v>1 219</v>
          </cell>
          <cell r="D287">
            <v>44269</v>
          </cell>
          <cell r="E287">
            <v>157336.73000000001</v>
          </cell>
          <cell r="F287">
            <v>157336.73000000001</v>
          </cell>
          <cell r="G287">
            <v>65666.039999999994</v>
          </cell>
        </row>
        <row r="288">
          <cell r="A288" t="str">
            <v>В-12016/КЛ.Транш - 3_В-20211230/Ц</v>
          </cell>
          <cell r="B288" t="str">
            <v>Исаков Магомед Владимирович</v>
          </cell>
          <cell r="C288" t="str">
            <v>1 218</v>
          </cell>
          <cell r="D288">
            <v>44270</v>
          </cell>
          <cell r="E288">
            <v>54613.56</v>
          </cell>
          <cell r="F288">
            <v>54613.56</v>
          </cell>
        </row>
        <row r="289">
          <cell r="A289" t="str">
            <v>В-00547/АЗ_В-21082023/Ц</v>
          </cell>
          <cell r="B289" t="str">
            <v>Струнгарь Григорий Васильевич</v>
          </cell>
          <cell r="C289" t="str">
            <v>1 215</v>
          </cell>
          <cell r="D289">
            <v>44273</v>
          </cell>
          <cell r="E289">
            <v>18195.78</v>
          </cell>
          <cell r="F289">
            <v>18195.78</v>
          </cell>
          <cell r="G289">
            <v>2319.38</v>
          </cell>
        </row>
        <row r="290">
          <cell r="A290" t="str">
            <v>А-30003/КЭ.Транш - 1</v>
          </cell>
          <cell r="B290" t="str">
            <v>ТЕХНИКА ЮГА ООО</v>
          </cell>
          <cell r="C290" t="str">
            <v>1 214</v>
          </cell>
          <cell r="D290">
            <v>44274</v>
          </cell>
          <cell r="E290">
            <v>25407.8</v>
          </cell>
          <cell r="F290">
            <v>25407.8</v>
          </cell>
        </row>
        <row r="291">
          <cell r="A291" t="str">
            <v>В-12741/КЛ.Транш - 1_В-21082023/Ц</v>
          </cell>
          <cell r="B291" t="str">
            <v>Фролов Сергей Владимирович</v>
          </cell>
          <cell r="C291" t="str">
            <v>1 214</v>
          </cell>
          <cell r="D291">
            <v>44274</v>
          </cell>
          <cell r="E291">
            <v>473072.27</v>
          </cell>
          <cell r="F291">
            <v>473072.27</v>
          </cell>
          <cell r="G291">
            <v>246917.61</v>
          </cell>
        </row>
        <row r="292">
          <cell r="A292" t="str">
            <v>В-09290/КЛ.Транш - 1_В-21082023/Ц</v>
          </cell>
          <cell r="B292" t="str">
            <v>Корносенков Евгений Алексеевич</v>
          </cell>
          <cell r="C292" t="str">
            <v>1 213</v>
          </cell>
          <cell r="D292">
            <v>44275</v>
          </cell>
          <cell r="E292">
            <v>371205.56</v>
          </cell>
          <cell r="F292">
            <v>371205.56</v>
          </cell>
          <cell r="G292">
            <v>176667.54</v>
          </cell>
        </row>
        <row r="293">
          <cell r="A293" t="str">
            <v>В-13625/КЛ.Транш - 1_В-21082023/Ц</v>
          </cell>
          <cell r="B293" t="str">
            <v>Саакян Рафик Самвелович</v>
          </cell>
          <cell r="C293" t="str">
            <v>1 213</v>
          </cell>
          <cell r="D293">
            <v>44275</v>
          </cell>
          <cell r="E293">
            <v>340332.25</v>
          </cell>
          <cell r="F293">
            <v>340332.25</v>
          </cell>
          <cell r="G293">
            <v>184919.38</v>
          </cell>
        </row>
        <row r="294">
          <cell r="A294" t="str">
            <v>Т-00002/КЭ_Т-20211028/Ц</v>
          </cell>
          <cell r="B294" t="str">
            <v>ИП Клякин Станислав Анатольевич</v>
          </cell>
          <cell r="C294" t="str">
            <v>1 209</v>
          </cell>
          <cell r="D294">
            <v>44279</v>
          </cell>
          <cell r="E294">
            <v>3526632.71</v>
          </cell>
          <cell r="F294">
            <v>3526632.71</v>
          </cell>
          <cell r="G294">
            <v>375337.6</v>
          </cell>
        </row>
        <row r="295">
          <cell r="A295" t="str">
            <v>В-01099/АЗ_В-21082023/Ц</v>
          </cell>
          <cell r="B295" t="str">
            <v>Мазуренко Наталья Владимировна</v>
          </cell>
          <cell r="C295" t="str">
            <v>1 205</v>
          </cell>
          <cell r="D295">
            <v>44283</v>
          </cell>
          <cell r="E295">
            <v>479752.35</v>
          </cell>
          <cell r="F295">
            <v>479752.35</v>
          </cell>
          <cell r="G295">
            <v>256763.61</v>
          </cell>
        </row>
        <row r="296">
          <cell r="A296" t="str">
            <v>В-13177/КЛ.Транш - 1_А-20210929/Ц</v>
          </cell>
          <cell r="B296" t="str">
            <v>Гараев Ровшан Гасымович</v>
          </cell>
          <cell r="C296" t="str">
            <v>1 205</v>
          </cell>
          <cell r="D296">
            <v>44283</v>
          </cell>
          <cell r="E296">
            <v>1310858.8899999999</v>
          </cell>
          <cell r="F296">
            <v>1310858.8899999999</v>
          </cell>
          <cell r="G296">
            <v>1000000</v>
          </cell>
        </row>
        <row r="297">
          <cell r="A297" t="str">
            <v>В-11307/КЛ.Транш - 1_В-21082023/Ц</v>
          </cell>
          <cell r="B297" t="str">
            <v>Никифоров Александр Андреевич</v>
          </cell>
          <cell r="C297" t="str">
            <v>1 201</v>
          </cell>
          <cell r="D297">
            <v>44287</v>
          </cell>
          <cell r="E297">
            <v>217930.86</v>
          </cell>
          <cell r="F297">
            <v>217930.86</v>
          </cell>
          <cell r="G297">
            <v>113049.44</v>
          </cell>
        </row>
        <row r="298">
          <cell r="A298" t="str">
            <v>В-30003/КЭ.Транш - 1_В-21082023/Ц</v>
          </cell>
          <cell r="B298" t="str">
            <v>ИП Вертейко Алексей Михайлович</v>
          </cell>
          <cell r="C298" t="str">
            <v>1 200</v>
          </cell>
          <cell r="D298">
            <v>44288</v>
          </cell>
          <cell r="E298">
            <v>448683.54</v>
          </cell>
          <cell r="F298">
            <v>448683.54</v>
          </cell>
          <cell r="G298">
            <v>146164.03</v>
          </cell>
        </row>
        <row r="299">
          <cell r="A299" t="str">
            <v>В-00359/КЛ.Транш - 2_В-20211230/Ц</v>
          </cell>
          <cell r="B299" t="str">
            <v>Голота Илья Викторович</v>
          </cell>
          <cell r="C299" t="str">
            <v>1 199</v>
          </cell>
          <cell r="D299">
            <v>44289</v>
          </cell>
          <cell r="E299">
            <v>157505.21</v>
          </cell>
          <cell r="F299">
            <v>157505.21</v>
          </cell>
          <cell r="G299">
            <v>76378.320000000007</v>
          </cell>
        </row>
        <row r="300">
          <cell r="A300" t="str">
            <v>В-07544/КЛ.Транш - 1_В-21082023/Ц</v>
          </cell>
          <cell r="B300" t="str">
            <v>Долгополов Сергей Юрьевич</v>
          </cell>
          <cell r="C300" t="str">
            <v>1 192</v>
          </cell>
          <cell r="D300">
            <v>44296</v>
          </cell>
          <cell r="E300">
            <v>404568.26</v>
          </cell>
          <cell r="F300">
            <v>404568.26</v>
          </cell>
          <cell r="G300">
            <v>197192.25</v>
          </cell>
        </row>
        <row r="301">
          <cell r="A301" t="str">
            <v>В-12294/КЛ.Транш - 1_В-20211230/Ц</v>
          </cell>
          <cell r="B301" t="str">
            <v>Макаров Алексей Александрович</v>
          </cell>
          <cell r="C301" t="str">
            <v>1 190</v>
          </cell>
          <cell r="D301">
            <v>44298</v>
          </cell>
          <cell r="E301">
            <v>178306.43</v>
          </cell>
          <cell r="F301">
            <v>178306.43</v>
          </cell>
          <cell r="G301">
            <v>100000</v>
          </cell>
        </row>
        <row r="302">
          <cell r="A302" t="str">
            <v>В-03392/КЛ.Транш - 1</v>
          </cell>
          <cell r="B302" t="str">
            <v>Громов Сергей Дмитриевич</v>
          </cell>
          <cell r="C302" t="str">
            <v>1 189</v>
          </cell>
          <cell r="D302">
            <v>44299</v>
          </cell>
          <cell r="E302">
            <v>753928.89</v>
          </cell>
          <cell r="F302">
            <v>753928.89</v>
          </cell>
          <cell r="G302">
            <v>350969.69</v>
          </cell>
        </row>
        <row r="303">
          <cell r="A303" t="str">
            <v>В-13600/КЛ.Транш - 1_В-20211230/Ц</v>
          </cell>
          <cell r="B303" t="str">
            <v>Карманов Александр Иванович</v>
          </cell>
          <cell r="C303" t="str">
            <v>1 189</v>
          </cell>
          <cell r="D303">
            <v>44299</v>
          </cell>
          <cell r="E303">
            <v>322609.34000000003</v>
          </cell>
          <cell r="F303">
            <v>322609.34000000003</v>
          </cell>
          <cell r="G303">
            <v>163668.96</v>
          </cell>
        </row>
        <row r="304">
          <cell r="A304" t="str">
            <v>В-14569/КЛ.Транш - 1_А-20210929/Ц</v>
          </cell>
          <cell r="B304" t="str">
            <v>Ануфриенко Сергей Владимирович</v>
          </cell>
          <cell r="C304" t="str">
            <v>1 188</v>
          </cell>
          <cell r="D304">
            <v>44300</v>
          </cell>
          <cell r="E304">
            <v>1227804.1599999999</v>
          </cell>
          <cell r="F304">
            <v>1227804.1599999999</v>
          </cell>
          <cell r="G304">
            <v>900000</v>
          </cell>
        </row>
        <row r="305">
          <cell r="A305" t="str">
            <v>В-11333/КЛ.Транш - 1_В-20211230/Ц</v>
          </cell>
          <cell r="B305" t="str">
            <v>Нургушиев Нуридин Эдильбийевич</v>
          </cell>
          <cell r="C305" t="str">
            <v>1 185</v>
          </cell>
          <cell r="D305">
            <v>44303</v>
          </cell>
          <cell r="E305">
            <v>157823.91</v>
          </cell>
          <cell r="F305">
            <v>157823.91</v>
          </cell>
          <cell r="G305">
            <v>74526.33</v>
          </cell>
        </row>
        <row r="306">
          <cell r="A306" t="str">
            <v>В-09247/КЛ.Транш - 1_А-20210929/Ц</v>
          </cell>
          <cell r="B306" t="str">
            <v>Резников Сергей Владимирович</v>
          </cell>
          <cell r="C306" t="str">
            <v>1 184</v>
          </cell>
          <cell r="D306">
            <v>44304</v>
          </cell>
          <cell r="E306">
            <v>212754.31</v>
          </cell>
          <cell r="F306">
            <v>212754.31</v>
          </cell>
          <cell r="G306">
            <v>103180</v>
          </cell>
        </row>
        <row r="307">
          <cell r="A307" t="str">
            <v>В-01109/АЗ_В-21082023/Ц</v>
          </cell>
          <cell r="B307" t="str">
            <v>Мазуренко Наталья Владимировна</v>
          </cell>
          <cell r="C307" t="str">
            <v>1 183</v>
          </cell>
          <cell r="D307">
            <v>44305</v>
          </cell>
          <cell r="E307">
            <v>308962.93</v>
          </cell>
          <cell r="F307">
            <v>343133.31</v>
          </cell>
          <cell r="G307">
            <v>99070.9</v>
          </cell>
        </row>
        <row r="308">
          <cell r="A308" t="str">
            <v>А-00458/КЭ.Транш - 1</v>
          </cell>
          <cell r="B308" t="str">
            <v>ИП Харин Евгений Александрович</v>
          </cell>
          <cell r="C308" t="str">
            <v>1 179</v>
          </cell>
          <cell r="D308">
            <v>44309</v>
          </cell>
          <cell r="E308">
            <v>611257.09</v>
          </cell>
          <cell r="F308">
            <v>611257.09</v>
          </cell>
          <cell r="G308">
            <v>395657.83</v>
          </cell>
        </row>
        <row r="309">
          <cell r="A309" t="str">
            <v>В-12894/КЛ.Транш - 1_В-20211230/Ц</v>
          </cell>
          <cell r="B309" t="str">
            <v>Щеглов Роман Сергеевич</v>
          </cell>
          <cell r="C309" t="str">
            <v>1 179</v>
          </cell>
          <cell r="D309">
            <v>44309</v>
          </cell>
          <cell r="E309">
            <v>188233</v>
          </cell>
          <cell r="F309">
            <v>188233</v>
          </cell>
          <cell r="G309">
            <v>97845.22</v>
          </cell>
        </row>
        <row r="310">
          <cell r="A310" t="str">
            <v>В-13136/КЛ.Транш - 1_В-20211230/Ц</v>
          </cell>
          <cell r="B310" t="str">
            <v>Пахомов Михаил Юрьевич</v>
          </cell>
          <cell r="C310" t="str">
            <v>1 174</v>
          </cell>
          <cell r="D310">
            <v>44314</v>
          </cell>
          <cell r="E310">
            <v>379746.08</v>
          </cell>
          <cell r="F310">
            <v>445644.26</v>
          </cell>
          <cell r="G310">
            <v>65898.179999999993</v>
          </cell>
        </row>
        <row r="311">
          <cell r="A311" t="str">
            <v>В-02690/КЛ.Транш - 1_В-20211230/Ц</v>
          </cell>
          <cell r="B311" t="str">
            <v>Никонов Андрей Георгиевич</v>
          </cell>
          <cell r="C311" t="str">
            <v>1 172</v>
          </cell>
          <cell r="D311">
            <v>44316</v>
          </cell>
          <cell r="E311">
            <v>177254.25</v>
          </cell>
          <cell r="F311">
            <v>177254.25</v>
          </cell>
          <cell r="G311">
            <v>93309.37</v>
          </cell>
        </row>
        <row r="312">
          <cell r="A312" t="str">
            <v>Т-10005/КЭ_Т-20211028/Ц</v>
          </cell>
          <cell r="B312" t="str">
            <v>ИП Богданова Лариса Анатольевна</v>
          </cell>
          <cell r="C312" t="str">
            <v>1 172</v>
          </cell>
          <cell r="D312">
            <v>44316</v>
          </cell>
          <cell r="E312">
            <v>183930.89</v>
          </cell>
          <cell r="F312">
            <v>183930.89</v>
          </cell>
          <cell r="G312">
            <v>170687.58</v>
          </cell>
        </row>
        <row r="313">
          <cell r="A313" t="str">
            <v>В-16441/КЛ.Транш - 1_В-20211230/Ц</v>
          </cell>
          <cell r="B313" t="str">
            <v>Тюрин Алексей Викторович</v>
          </cell>
          <cell r="C313" t="str">
            <v>1 169</v>
          </cell>
          <cell r="D313">
            <v>44319</v>
          </cell>
          <cell r="E313">
            <v>529090.86</v>
          </cell>
          <cell r="F313">
            <v>529090.86</v>
          </cell>
          <cell r="G313">
            <v>284090.90000000002</v>
          </cell>
        </row>
        <row r="314">
          <cell r="A314" t="str">
            <v>А-04357/АЗ</v>
          </cell>
          <cell r="B314" t="str">
            <v>Головко Владимир Павлович</v>
          </cell>
          <cell r="C314" t="str">
            <v>1 167</v>
          </cell>
          <cell r="D314">
            <v>44321</v>
          </cell>
          <cell r="E314">
            <v>579.04</v>
          </cell>
          <cell r="F314">
            <v>579.04</v>
          </cell>
        </row>
        <row r="315">
          <cell r="A315" t="str">
            <v>В-16457/КЛ.Транш - 1_В-20211230/Ц</v>
          </cell>
          <cell r="B315" t="str">
            <v>Мирошниченко Евгений Константинович</v>
          </cell>
          <cell r="C315" t="str">
            <v>1 165</v>
          </cell>
          <cell r="D315">
            <v>44323</v>
          </cell>
          <cell r="E315">
            <v>617485.84</v>
          </cell>
          <cell r="F315">
            <v>617485.84</v>
          </cell>
          <cell r="G315">
            <v>340909.1</v>
          </cell>
        </row>
        <row r="316">
          <cell r="A316" t="str">
            <v>В-09302/КЛ.Транш - 3_В-20211230/Ц</v>
          </cell>
          <cell r="B316" t="str">
            <v>Шквыр Виктор Викторович</v>
          </cell>
          <cell r="C316" t="str">
            <v>1 161</v>
          </cell>
          <cell r="D316">
            <v>44327</v>
          </cell>
          <cell r="E316">
            <v>49853.5</v>
          </cell>
          <cell r="F316">
            <v>49853.5</v>
          </cell>
        </row>
        <row r="317">
          <cell r="A317" t="str">
            <v>В-16777/КЛ.Транш - 1_В-20211230/Ц</v>
          </cell>
          <cell r="B317" t="str">
            <v>Фролов Василий Михайлович</v>
          </cell>
          <cell r="C317" t="str">
            <v>1 159</v>
          </cell>
          <cell r="D317">
            <v>44329</v>
          </cell>
          <cell r="E317">
            <v>214513.65</v>
          </cell>
          <cell r="F317">
            <v>214513.65</v>
          </cell>
          <cell r="G317">
            <v>113636.4</v>
          </cell>
        </row>
        <row r="318">
          <cell r="A318" t="str">
            <v>В-16873/КЛ.Транш - 1</v>
          </cell>
          <cell r="B318" t="str">
            <v>Казанин Игорь Викторович</v>
          </cell>
          <cell r="C318" t="str">
            <v>1 157</v>
          </cell>
          <cell r="D318">
            <v>44331</v>
          </cell>
          <cell r="E318">
            <v>612277.14</v>
          </cell>
          <cell r="F318">
            <v>612277.14</v>
          </cell>
          <cell r="G318">
            <v>340909.1</v>
          </cell>
        </row>
        <row r="319">
          <cell r="A319" t="str">
            <v>В-09302/КЛ.Транш - 4_В-20211230/Ц</v>
          </cell>
          <cell r="B319" t="str">
            <v>Шквыр Виктор Викторович</v>
          </cell>
          <cell r="C319" t="str">
            <v>1 156</v>
          </cell>
          <cell r="D319">
            <v>44332</v>
          </cell>
          <cell r="E319">
            <v>117690.19</v>
          </cell>
          <cell r="F319">
            <v>117690.19</v>
          </cell>
          <cell r="G319">
            <v>57218.29</v>
          </cell>
        </row>
        <row r="320">
          <cell r="A320" t="str">
            <v>В-09302/КЛ.Транш - 2_В-20211230/Ц</v>
          </cell>
          <cell r="B320" t="str">
            <v>Шквыр Виктор Викторович</v>
          </cell>
          <cell r="C320" t="str">
            <v>1 149</v>
          </cell>
          <cell r="D320">
            <v>44339</v>
          </cell>
          <cell r="E320">
            <v>35194.410000000003</v>
          </cell>
          <cell r="F320">
            <v>35194.410000000003</v>
          </cell>
        </row>
        <row r="321">
          <cell r="A321" t="str">
            <v>В-16186/КЛ.Транш - 1_В-21082023/Ц</v>
          </cell>
          <cell r="B321" t="str">
            <v>Атцаев Ахмед Шахитович</v>
          </cell>
          <cell r="C321" t="str">
            <v>1 144</v>
          </cell>
          <cell r="D321">
            <v>44344</v>
          </cell>
          <cell r="E321">
            <v>236104.18</v>
          </cell>
          <cell r="F321">
            <v>236104.18</v>
          </cell>
          <cell r="G321">
            <v>141050.5</v>
          </cell>
        </row>
        <row r="322">
          <cell r="A322" t="str">
            <v>В-17494/КЛ.Транш - 1_В-21082023/Ц</v>
          </cell>
          <cell r="B322" t="str">
            <v>Герейханов Фаик Гуснеддинович</v>
          </cell>
          <cell r="C322" t="str">
            <v>1 143</v>
          </cell>
          <cell r="D322">
            <v>44345</v>
          </cell>
          <cell r="E322">
            <v>712935.01</v>
          </cell>
          <cell r="F322">
            <v>712935.01</v>
          </cell>
          <cell r="G322">
            <v>400000</v>
          </cell>
        </row>
        <row r="323">
          <cell r="A323" t="str">
            <v>В-13669/КЛ.Транш - 2_В-20211230/Ц</v>
          </cell>
          <cell r="B323" t="str">
            <v>Почапский Антон Вячеславович</v>
          </cell>
          <cell r="C323" t="str">
            <v>1 142</v>
          </cell>
          <cell r="D323">
            <v>44346</v>
          </cell>
          <cell r="E323">
            <v>191795.08</v>
          </cell>
          <cell r="F323">
            <v>191795.08</v>
          </cell>
          <cell r="G323">
            <v>98193.9</v>
          </cell>
        </row>
        <row r="324">
          <cell r="A324" t="str">
            <v>В-17533/КЛ.Транш - 1_В-20211230/Ц</v>
          </cell>
          <cell r="B324" t="str">
            <v>Даниялов Марат Алавутдинович</v>
          </cell>
          <cell r="C324" t="str">
            <v>1 142</v>
          </cell>
          <cell r="D324">
            <v>44346</v>
          </cell>
          <cell r="E324">
            <v>1896296.44</v>
          </cell>
          <cell r="F324">
            <v>1896296.44</v>
          </cell>
          <cell r="G324">
            <v>1000000</v>
          </cell>
        </row>
        <row r="325">
          <cell r="A325" t="str">
            <v>В-10433/КЛ.Транш - 2_В-21082023/Ц</v>
          </cell>
          <cell r="B325" t="str">
            <v>Сорокин Константин Витальевич</v>
          </cell>
          <cell r="C325" t="str">
            <v>1 139</v>
          </cell>
          <cell r="D325">
            <v>44349</v>
          </cell>
          <cell r="E325">
            <v>859611.56</v>
          </cell>
          <cell r="F325">
            <v>859611.56</v>
          </cell>
          <cell r="G325">
            <v>491867.54</v>
          </cell>
        </row>
        <row r="326">
          <cell r="A326" t="str">
            <v>В-00319/КЛ.Транш - 2_В-20211230/Ц</v>
          </cell>
          <cell r="B326" t="str">
            <v>Бардин Андрей Юрьевич</v>
          </cell>
          <cell r="C326" t="str">
            <v>1 138</v>
          </cell>
          <cell r="D326">
            <v>44350</v>
          </cell>
          <cell r="E326">
            <v>110004.83</v>
          </cell>
          <cell r="F326">
            <v>110004.83</v>
          </cell>
          <cell r="G326">
            <v>56007.23</v>
          </cell>
        </row>
        <row r="327">
          <cell r="A327" t="str">
            <v>В-12016/КЛ.Транш - 1_В-20211230/Ц</v>
          </cell>
          <cell r="B327" t="str">
            <v>Исаков Магомед Владимирович</v>
          </cell>
          <cell r="C327" t="str">
            <v>1 136</v>
          </cell>
          <cell r="D327">
            <v>44352</v>
          </cell>
          <cell r="E327">
            <v>43625.5</v>
          </cell>
          <cell r="F327">
            <v>43625.5</v>
          </cell>
        </row>
        <row r="328">
          <cell r="A328" t="str">
            <v>В-07717/КЛ.Транш - 1_В-20211230/Ц</v>
          </cell>
          <cell r="B328" t="str">
            <v>Перевалов Артём Владимирович</v>
          </cell>
          <cell r="C328" t="str">
            <v>1 134</v>
          </cell>
          <cell r="D328">
            <v>44354</v>
          </cell>
          <cell r="E328">
            <v>155139.42000000001</v>
          </cell>
          <cell r="F328">
            <v>155139.42000000001</v>
          </cell>
          <cell r="G328">
            <v>78274.16</v>
          </cell>
        </row>
        <row r="329">
          <cell r="A329" t="str">
            <v>В-13669/КЛ.Транш - 3_В-20211230/Ц</v>
          </cell>
          <cell r="B329" t="str">
            <v>Почапский Антон Вячеславович</v>
          </cell>
          <cell r="C329" t="str">
            <v>1 132</v>
          </cell>
          <cell r="D329">
            <v>44356</v>
          </cell>
          <cell r="E329">
            <v>185850.19</v>
          </cell>
          <cell r="F329">
            <v>185850.19</v>
          </cell>
          <cell r="G329">
            <v>97843.09</v>
          </cell>
        </row>
        <row r="330">
          <cell r="A330" t="str">
            <v>В-09302/КЛ.Транш - 5_В-20211230/Ц</v>
          </cell>
          <cell r="B330" t="str">
            <v>Шквыр Виктор Викторович</v>
          </cell>
          <cell r="C330" t="str">
            <v>1 131</v>
          </cell>
          <cell r="D330">
            <v>44357</v>
          </cell>
          <cell r="E330">
            <v>175624.61</v>
          </cell>
          <cell r="F330">
            <v>175624.61</v>
          </cell>
          <cell r="G330">
            <v>97032.62</v>
          </cell>
        </row>
        <row r="331">
          <cell r="A331" t="str">
            <v>В-13669/КЛ.Транш - 6_В-20211230/Ц</v>
          </cell>
          <cell r="B331" t="str">
            <v>Почапский Антон Вячеславович</v>
          </cell>
          <cell r="C331" t="str">
            <v>1 131</v>
          </cell>
          <cell r="D331">
            <v>44357</v>
          </cell>
          <cell r="E331">
            <v>189709.61</v>
          </cell>
          <cell r="F331">
            <v>189709.61</v>
          </cell>
          <cell r="G331">
            <v>100000</v>
          </cell>
        </row>
        <row r="332">
          <cell r="A332" t="str">
            <v>В-14484/КЛ.Транш - 1_В-21082023/Ц</v>
          </cell>
          <cell r="B332" t="str">
            <v>Титов Максим Сергеевич</v>
          </cell>
          <cell r="C332" t="str">
            <v>1 129</v>
          </cell>
          <cell r="D332">
            <v>44359</v>
          </cell>
          <cell r="E332">
            <v>95479.38</v>
          </cell>
          <cell r="F332">
            <v>95479.38</v>
          </cell>
          <cell r="G332">
            <v>34474.03</v>
          </cell>
        </row>
        <row r="333">
          <cell r="A333" t="str">
            <v>В-16915/КЛ.Транш - 1_В-20211230/Ц</v>
          </cell>
          <cell r="B333" t="str">
            <v>Ильинский Владимир Юрьевич</v>
          </cell>
          <cell r="C333" t="str">
            <v>1 124</v>
          </cell>
          <cell r="D333">
            <v>44364</v>
          </cell>
          <cell r="E333">
            <v>1693923.71</v>
          </cell>
          <cell r="F333">
            <v>1693923.71</v>
          </cell>
          <cell r="G333">
            <v>940452.63</v>
          </cell>
        </row>
        <row r="334">
          <cell r="A334" t="str">
            <v>В-00022/КЭ.Транш - 1_А-20210929/Ц</v>
          </cell>
          <cell r="B334" t="str">
            <v>ИП Харин Евгений Александрович</v>
          </cell>
          <cell r="C334" t="str">
            <v>1 123</v>
          </cell>
          <cell r="D334">
            <v>44365</v>
          </cell>
          <cell r="E334">
            <v>328009.43</v>
          </cell>
          <cell r="F334">
            <v>328009.43</v>
          </cell>
          <cell r="G334">
            <v>200489.60000000001</v>
          </cell>
        </row>
        <row r="335">
          <cell r="A335" t="str">
            <v>В-00011/КЭ.Транш - 1_А-20210929/Ц</v>
          </cell>
          <cell r="B335" t="str">
            <v>ЛИДЕР ГРУПП ООО</v>
          </cell>
          <cell r="C335" t="str">
            <v>1 122</v>
          </cell>
          <cell r="D335">
            <v>44366</v>
          </cell>
          <cell r="E335">
            <v>264514.83</v>
          </cell>
          <cell r="F335">
            <v>264514.83</v>
          </cell>
          <cell r="G335">
            <v>148111.51</v>
          </cell>
        </row>
        <row r="336">
          <cell r="A336" t="str">
            <v>В-10278/КЛ.Транш - 1_В-21082023/Ц</v>
          </cell>
          <cell r="B336" t="str">
            <v>Инджелер Фатих</v>
          </cell>
          <cell r="C336" t="str">
            <v>1 122</v>
          </cell>
          <cell r="D336">
            <v>44366</v>
          </cell>
          <cell r="E336">
            <v>1202644.78</v>
          </cell>
          <cell r="F336">
            <v>1202644.78</v>
          </cell>
          <cell r="G336">
            <v>612100.54</v>
          </cell>
        </row>
        <row r="337">
          <cell r="A337" t="str">
            <v>В-18171/КЛ.Транш - 1_В-20211230/Ц</v>
          </cell>
          <cell r="B337" t="str">
            <v>Гачегов Дмитрий Сергеевич</v>
          </cell>
          <cell r="C337" t="str">
            <v>1 121</v>
          </cell>
          <cell r="D337">
            <v>44367</v>
          </cell>
          <cell r="E337">
            <v>335950.31</v>
          </cell>
          <cell r="F337">
            <v>335950.31</v>
          </cell>
          <cell r="G337">
            <v>181818.2</v>
          </cell>
        </row>
        <row r="338">
          <cell r="A338" t="str">
            <v>В-17075/КЛ.Транш - 1_В-20211230/Ц</v>
          </cell>
          <cell r="B338" t="str">
            <v>Хашимов Далерджон Темурович</v>
          </cell>
          <cell r="C338" t="str">
            <v>1 120</v>
          </cell>
          <cell r="D338">
            <v>44368</v>
          </cell>
          <cell r="E338">
            <v>915248.18</v>
          </cell>
          <cell r="F338">
            <v>915248.18</v>
          </cell>
          <cell r="G338">
            <v>504706.65</v>
          </cell>
        </row>
        <row r="339">
          <cell r="A339" t="str">
            <v>В-18216/КЛ.Транш - 1_В-20211230/Ц</v>
          </cell>
          <cell r="B339" t="str">
            <v>Иванов Илья Андреевич</v>
          </cell>
          <cell r="C339" t="str">
            <v>1 120</v>
          </cell>
          <cell r="D339">
            <v>44368</v>
          </cell>
          <cell r="E339">
            <v>158109.43</v>
          </cell>
          <cell r="F339">
            <v>158109.43</v>
          </cell>
          <cell r="G339">
            <v>91093.14</v>
          </cell>
        </row>
        <row r="340">
          <cell r="A340" t="str">
            <v>А-05387/АЗ</v>
          </cell>
          <cell r="B340" t="str">
            <v>Кульчак Екатерина Александровна</v>
          </cell>
          <cell r="C340" t="str">
            <v>1 119</v>
          </cell>
          <cell r="D340">
            <v>44369</v>
          </cell>
          <cell r="E340">
            <v>54.22</v>
          </cell>
          <cell r="F340">
            <v>54.22</v>
          </cell>
        </row>
        <row r="341">
          <cell r="A341" t="str">
            <v>В-10433/КЛ.Транш - 1_В-21082023/Ц</v>
          </cell>
          <cell r="B341" t="str">
            <v>Сорокин Константин Витальевич</v>
          </cell>
          <cell r="C341" t="str">
            <v>1 119</v>
          </cell>
          <cell r="D341">
            <v>44369</v>
          </cell>
          <cell r="E341">
            <v>722172.23</v>
          </cell>
          <cell r="F341">
            <v>722172.23</v>
          </cell>
          <cell r="G341">
            <v>450073.9</v>
          </cell>
        </row>
        <row r="342">
          <cell r="A342" t="str">
            <v>В-13669/КЛ.Транш - 4_В-20211230/Ц</v>
          </cell>
          <cell r="B342" t="str">
            <v>Почапский Антон Вячеславович</v>
          </cell>
          <cell r="C342" t="str">
            <v>1 119</v>
          </cell>
          <cell r="D342">
            <v>44369</v>
          </cell>
          <cell r="E342">
            <v>182828.5</v>
          </cell>
          <cell r="F342">
            <v>182828.5</v>
          </cell>
          <cell r="G342">
            <v>97843.09</v>
          </cell>
        </row>
        <row r="343">
          <cell r="A343" t="str">
            <v>В-17043/КЛ.Транш - 1_В-20211230/Ц</v>
          </cell>
          <cell r="B343" t="str">
            <v>Петров Сергей Анатольевич</v>
          </cell>
          <cell r="C343" t="str">
            <v>1 119</v>
          </cell>
          <cell r="D343">
            <v>44369</v>
          </cell>
          <cell r="E343">
            <v>549352.32999999996</v>
          </cell>
          <cell r="F343">
            <v>549352.32999999996</v>
          </cell>
          <cell r="G343">
            <v>282703.67</v>
          </cell>
        </row>
        <row r="344">
          <cell r="A344" t="str">
            <v>В-08288/КЛ.Транш - 2_В-21082023/Ц</v>
          </cell>
          <cell r="B344" t="str">
            <v>Атаманов Максим Владимирович</v>
          </cell>
          <cell r="C344" t="str">
            <v>1 118</v>
          </cell>
          <cell r="D344">
            <v>44370</v>
          </cell>
          <cell r="E344">
            <v>198026.13</v>
          </cell>
          <cell r="F344">
            <v>198026.13</v>
          </cell>
          <cell r="G344">
            <v>44089.13</v>
          </cell>
        </row>
        <row r="345">
          <cell r="A345" t="str">
            <v>В-13042/КЛ.Транш - 1_В-20211230/Ц</v>
          </cell>
          <cell r="B345" t="str">
            <v>Шумилов Валерий Игоревич</v>
          </cell>
          <cell r="C345" t="str">
            <v>1 116</v>
          </cell>
          <cell r="D345">
            <v>44372</v>
          </cell>
          <cell r="E345">
            <v>191171.85</v>
          </cell>
          <cell r="F345">
            <v>191171.85</v>
          </cell>
          <cell r="G345">
            <v>97642.22</v>
          </cell>
        </row>
        <row r="346">
          <cell r="A346" t="str">
            <v>А-10118/КЭ.Транш - 1</v>
          </cell>
          <cell r="B346" t="str">
            <v>ТРАНСЛОГ ООО</v>
          </cell>
          <cell r="C346" t="str">
            <v>1 114</v>
          </cell>
          <cell r="D346">
            <v>44374</v>
          </cell>
          <cell r="E346">
            <v>101241.39</v>
          </cell>
          <cell r="F346">
            <v>101241.39</v>
          </cell>
        </row>
        <row r="347">
          <cell r="A347" t="str">
            <v>В-00239/КЛ.Транш - 1_В-20211230/Ц</v>
          </cell>
          <cell r="B347" t="str">
            <v>Морозкина Наталья Сергеевна</v>
          </cell>
          <cell r="C347" t="str">
            <v>1 114</v>
          </cell>
          <cell r="D347">
            <v>44374</v>
          </cell>
          <cell r="E347">
            <v>65919.72</v>
          </cell>
          <cell r="F347">
            <v>65919.72</v>
          </cell>
          <cell r="G347">
            <v>49167.83</v>
          </cell>
        </row>
        <row r="348">
          <cell r="A348" t="str">
            <v>В-15583/КЛ.Транш - 1_В-21082023/Ц</v>
          </cell>
          <cell r="B348" t="str">
            <v>Кокина Татьяна Викторовна</v>
          </cell>
          <cell r="C348" t="str">
            <v>1 114</v>
          </cell>
          <cell r="D348">
            <v>44374</v>
          </cell>
          <cell r="E348">
            <v>509600.19</v>
          </cell>
          <cell r="F348">
            <v>509600.19</v>
          </cell>
          <cell r="G348">
            <v>297351.01</v>
          </cell>
        </row>
        <row r="349">
          <cell r="A349" t="str">
            <v>В-13070/КЛ.Транш - 3_В-21082023/Ц</v>
          </cell>
          <cell r="B349" t="str">
            <v>Деревяга Илья Викторович</v>
          </cell>
          <cell r="C349" t="str">
            <v>1 111</v>
          </cell>
          <cell r="D349">
            <v>44377</v>
          </cell>
          <cell r="E349">
            <v>179091.71</v>
          </cell>
          <cell r="F349">
            <v>179091.71</v>
          </cell>
          <cell r="G349">
            <v>97417.05</v>
          </cell>
        </row>
        <row r="350">
          <cell r="A350" t="str">
            <v>А-00063/БЭ</v>
          </cell>
          <cell r="B350" t="str">
            <v>Иванов Евгений Владимирович</v>
          </cell>
          <cell r="C350" t="str">
            <v>1 108</v>
          </cell>
          <cell r="D350">
            <v>44380</v>
          </cell>
          <cell r="E350">
            <v>397880.3</v>
          </cell>
          <cell r="F350">
            <v>397880.3</v>
          </cell>
          <cell r="G350">
            <v>154334.04999999999</v>
          </cell>
        </row>
        <row r="351">
          <cell r="A351" t="str">
            <v>В-13669/КЛ.Транш - 5_В-20211230/Ц</v>
          </cell>
          <cell r="B351" t="str">
            <v>Почапский Антон Вячеславович</v>
          </cell>
          <cell r="C351" t="str">
            <v>1 108</v>
          </cell>
          <cell r="D351">
            <v>44380</v>
          </cell>
          <cell r="E351">
            <v>180429.95</v>
          </cell>
          <cell r="F351">
            <v>180429.95</v>
          </cell>
          <cell r="G351">
            <v>98026.65</v>
          </cell>
        </row>
        <row r="352">
          <cell r="A352" t="str">
            <v>Т-00038/БЭ_Т-20211028/Ц</v>
          </cell>
          <cell r="B352" t="str">
            <v>Иванов Евгений Владимирович</v>
          </cell>
          <cell r="C352" t="str">
            <v>1 108</v>
          </cell>
          <cell r="D352">
            <v>44380</v>
          </cell>
          <cell r="E352">
            <v>397880.3</v>
          </cell>
          <cell r="F352">
            <v>397880.3</v>
          </cell>
          <cell r="G352">
            <v>154334.04999999999</v>
          </cell>
        </row>
        <row r="353">
          <cell r="A353" t="str">
            <v>В-17625/КЛ.Транш - 1_В-20211230/Ц</v>
          </cell>
          <cell r="B353" t="str">
            <v>Иванов Борис Александрович</v>
          </cell>
          <cell r="C353" t="str">
            <v>1 107</v>
          </cell>
          <cell r="D353">
            <v>44381</v>
          </cell>
          <cell r="E353">
            <v>1872821.22</v>
          </cell>
          <cell r="F353">
            <v>1872821.22</v>
          </cell>
          <cell r="G353">
            <v>994190.24</v>
          </cell>
        </row>
        <row r="354">
          <cell r="A354" t="str">
            <v>В-18791/КЛ.Транш - 1_В-21082023/Ц</v>
          </cell>
          <cell r="B354" t="str">
            <v>Агаджанян Самвел Амаякович</v>
          </cell>
          <cell r="C354" t="str">
            <v>1 107</v>
          </cell>
          <cell r="D354">
            <v>44381</v>
          </cell>
          <cell r="E354">
            <v>355191.52</v>
          </cell>
          <cell r="F354">
            <v>355191.52</v>
          </cell>
          <cell r="G354">
            <v>180000</v>
          </cell>
        </row>
        <row r="355">
          <cell r="A355" t="str">
            <v>В-11521/КЛ.Транш - 1_В-21082023/Ц</v>
          </cell>
          <cell r="B355" t="str">
            <v>Абдульманова Ангелина Рамилевна</v>
          </cell>
          <cell r="C355" t="str">
            <v>1 102</v>
          </cell>
          <cell r="D355">
            <v>44386</v>
          </cell>
          <cell r="E355">
            <v>244333.6</v>
          </cell>
          <cell r="F355">
            <v>244333.6</v>
          </cell>
          <cell r="G355">
            <v>140364.92000000001</v>
          </cell>
        </row>
        <row r="356">
          <cell r="A356" t="str">
            <v>В-15465/КЛ.Транш - 1_В-20211230/Ц</v>
          </cell>
          <cell r="B356" t="str">
            <v>Бабичев Андрей Юрьевич</v>
          </cell>
          <cell r="C356" t="str">
            <v>1 101</v>
          </cell>
          <cell r="D356">
            <v>44387</v>
          </cell>
          <cell r="E356">
            <v>685128.02</v>
          </cell>
          <cell r="F356">
            <v>685128.02</v>
          </cell>
          <cell r="G356">
            <v>365325.76</v>
          </cell>
        </row>
        <row r="357">
          <cell r="A357" t="str">
            <v>В-19025/КЛ.Транш - 1_В-20211230/Ц</v>
          </cell>
          <cell r="B357" t="str">
            <v>Лялин Анатолий Геннадьевич</v>
          </cell>
          <cell r="C357" t="str">
            <v>1 101</v>
          </cell>
          <cell r="D357">
            <v>44387</v>
          </cell>
          <cell r="E357">
            <v>197051.11</v>
          </cell>
          <cell r="F357">
            <v>197051.11</v>
          </cell>
          <cell r="G357">
            <v>100000</v>
          </cell>
        </row>
        <row r="358">
          <cell r="A358" t="str">
            <v>В-19097/КЛ.Транш - 1_В-20211230/Ц</v>
          </cell>
          <cell r="B358" t="str">
            <v>Павликивский Владимир Васильевич</v>
          </cell>
          <cell r="C358" t="str">
            <v>1 100</v>
          </cell>
          <cell r="D358">
            <v>44388</v>
          </cell>
          <cell r="E358">
            <v>61753.7</v>
          </cell>
          <cell r="F358">
            <v>61753.7</v>
          </cell>
        </row>
        <row r="359">
          <cell r="A359" t="str">
            <v>В-04293/КЛ.Транш - 1_В-20211230/Ц</v>
          </cell>
          <cell r="B359" t="str">
            <v>Манин Сергей Викторович</v>
          </cell>
          <cell r="C359" t="str">
            <v>1 099</v>
          </cell>
          <cell r="D359">
            <v>44389</v>
          </cell>
          <cell r="E359">
            <v>174942.16</v>
          </cell>
          <cell r="F359">
            <v>174942.16</v>
          </cell>
          <cell r="G359">
            <v>95203.01</v>
          </cell>
        </row>
        <row r="360">
          <cell r="A360" t="str">
            <v>В-01176/АЗ_В-20211230/Ц</v>
          </cell>
          <cell r="B360" t="str">
            <v>Маренич Иван Евгеньевич</v>
          </cell>
          <cell r="C360" t="str">
            <v>1 094</v>
          </cell>
          <cell r="D360">
            <v>44394</v>
          </cell>
          <cell r="E360">
            <v>1780703.63</v>
          </cell>
          <cell r="F360">
            <v>1780703.63</v>
          </cell>
          <cell r="G360">
            <v>997815.8</v>
          </cell>
        </row>
        <row r="361">
          <cell r="A361" t="str">
            <v>В-13070/КЛ.Транш - 2_В-21082023/Ц</v>
          </cell>
          <cell r="B361" t="str">
            <v>Деревяга Илья Викторович</v>
          </cell>
          <cell r="C361" t="str">
            <v>1 094</v>
          </cell>
          <cell r="D361">
            <v>44394</v>
          </cell>
          <cell r="E361">
            <v>133179.59</v>
          </cell>
          <cell r="F361">
            <v>133179.59</v>
          </cell>
          <cell r="G361">
            <v>72492.850000000006</v>
          </cell>
        </row>
        <row r="362">
          <cell r="A362" t="str">
            <v>В-19329/КЛ.Транш - 1_В-20211230/Ц</v>
          </cell>
          <cell r="B362" t="str">
            <v>Сахимова Анна Владимировна</v>
          </cell>
          <cell r="C362" t="str">
            <v>1 094</v>
          </cell>
          <cell r="D362">
            <v>44394</v>
          </cell>
          <cell r="E362">
            <v>845663.91</v>
          </cell>
          <cell r="F362">
            <v>845663.91</v>
          </cell>
          <cell r="G362">
            <v>450000</v>
          </cell>
        </row>
        <row r="363">
          <cell r="A363" t="str">
            <v>А-10122/КЭ.Транш - 1</v>
          </cell>
          <cell r="B363" t="str">
            <v>ГАЛАКТИКА ООО</v>
          </cell>
          <cell r="C363" t="str">
            <v>1 093</v>
          </cell>
          <cell r="D363">
            <v>44395</v>
          </cell>
          <cell r="E363">
            <v>597538.85</v>
          </cell>
          <cell r="F363">
            <v>597538.85</v>
          </cell>
          <cell r="G363">
            <v>218227.75</v>
          </cell>
        </row>
        <row r="364">
          <cell r="A364" t="str">
            <v>В-09890/КЛ.Транш - 1_В-21082023/Ц</v>
          </cell>
          <cell r="B364" t="str">
            <v>Климахина Татьяна Сергеевна</v>
          </cell>
          <cell r="C364" t="str">
            <v>1 091</v>
          </cell>
          <cell r="D364">
            <v>44397</v>
          </cell>
          <cell r="E364">
            <v>74574.850000000006</v>
          </cell>
          <cell r="F364">
            <v>74574.850000000006</v>
          </cell>
          <cell r="G364">
            <v>17715.04</v>
          </cell>
        </row>
        <row r="365">
          <cell r="A365" t="str">
            <v>В-08361/КЛ.Транш - 1_В-20211230/Ц</v>
          </cell>
          <cell r="B365" t="str">
            <v>Афонин Николай Юрьевич</v>
          </cell>
          <cell r="C365" t="str">
            <v>1 086</v>
          </cell>
          <cell r="D365">
            <v>44402</v>
          </cell>
          <cell r="E365">
            <v>68071.03</v>
          </cell>
          <cell r="F365">
            <v>68071.03</v>
          </cell>
        </row>
        <row r="366">
          <cell r="A366" t="str">
            <v>В-18538/КЛ.Транш - 1_В-20211230/Ц</v>
          </cell>
          <cell r="B366" t="str">
            <v>Росляков Артем Владимирович</v>
          </cell>
          <cell r="C366" t="str">
            <v>1 083</v>
          </cell>
          <cell r="D366">
            <v>44405</v>
          </cell>
          <cell r="E366">
            <v>455720</v>
          </cell>
          <cell r="F366">
            <v>455720</v>
          </cell>
          <cell r="G366">
            <v>236141.18</v>
          </cell>
        </row>
        <row r="367">
          <cell r="A367" t="str">
            <v>В-19901/КЛ.Транш - 1_В-20211230/Ц</v>
          </cell>
          <cell r="B367" t="str">
            <v>Ермилин Виталий Владимирович</v>
          </cell>
          <cell r="C367" t="str">
            <v>1 078</v>
          </cell>
          <cell r="D367">
            <v>44410</v>
          </cell>
          <cell r="E367">
            <v>629083.09</v>
          </cell>
          <cell r="F367">
            <v>629083.09</v>
          </cell>
          <cell r="G367">
            <v>350000</v>
          </cell>
        </row>
        <row r="368">
          <cell r="A368" t="str">
            <v>В-19766/КЛ.Транш - 1_В-20211230/Ц</v>
          </cell>
          <cell r="B368" t="str">
            <v>Камышов Игорь Николаевич</v>
          </cell>
          <cell r="C368" t="str">
            <v>1 077</v>
          </cell>
          <cell r="D368">
            <v>44411</v>
          </cell>
          <cell r="E368">
            <v>205400.7</v>
          </cell>
          <cell r="F368">
            <v>205400.7</v>
          </cell>
          <cell r="G368">
            <v>113636.4</v>
          </cell>
        </row>
        <row r="369">
          <cell r="A369" t="str">
            <v>В-00317/АЗ_В-20211230/Ц</v>
          </cell>
          <cell r="B369" t="str">
            <v>Озёрская Дарья Семеновна</v>
          </cell>
          <cell r="C369" t="str">
            <v>1 076</v>
          </cell>
          <cell r="D369">
            <v>44412</v>
          </cell>
          <cell r="E369">
            <v>249842.82</v>
          </cell>
          <cell r="F369">
            <v>249842.82</v>
          </cell>
          <cell r="G369">
            <v>124632.3</v>
          </cell>
        </row>
        <row r="370">
          <cell r="A370" t="str">
            <v>В-15330/КЛ.Транш - 1_В-20211230/Ц</v>
          </cell>
          <cell r="B370" t="str">
            <v>Заргарян Марианна Марленовна</v>
          </cell>
          <cell r="C370" t="str">
            <v>1 074</v>
          </cell>
          <cell r="D370">
            <v>44414</v>
          </cell>
          <cell r="E370">
            <v>1252028.52</v>
          </cell>
          <cell r="F370">
            <v>1252028.52</v>
          </cell>
          <cell r="G370">
            <v>687025.26</v>
          </cell>
        </row>
        <row r="371">
          <cell r="A371" t="str">
            <v>В-19846/КЛ.Транш - 1_В-20211230/Ц</v>
          </cell>
          <cell r="B371" t="str">
            <v>Камбулина Ирина Юрьевна</v>
          </cell>
          <cell r="C371" t="str">
            <v>1 073</v>
          </cell>
          <cell r="D371">
            <v>44415</v>
          </cell>
          <cell r="E371">
            <v>97908.24</v>
          </cell>
          <cell r="F371">
            <v>97908.24</v>
          </cell>
        </row>
        <row r="372">
          <cell r="A372" t="str">
            <v>В-00178/КЛ.Транш - 1_В-21082023/Ц</v>
          </cell>
          <cell r="B372" t="str">
            <v>Скопинов Иван Алексеевич</v>
          </cell>
          <cell r="C372" t="str">
            <v>1 070</v>
          </cell>
          <cell r="D372">
            <v>44418</v>
          </cell>
          <cell r="E372">
            <v>129078.12</v>
          </cell>
          <cell r="F372">
            <v>129078.12</v>
          </cell>
          <cell r="G372">
            <v>79498.23</v>
          </cell>
        </row>
        <row r="373">
          <cell r="A373" t="str">
            <v>В-15448/КЛ.Транш - 1_В-20211230/Ц</v>
          </cell>
          <cell r="B373" t="str">
            <v>Ведешин Максим Сергеевич</v>
          </cell>
          <cell r="C373" t="str">
            <v>1 070</v>
          </cell>
          <cell r="D373">
            <v>44418</v>
          </cell>
          <cell r="E373">
            <v>475146.02</v>
          </cell>
          <cell r="F373">
            <v>475146.02</v>
          </cell>
          <cell r="G373">
            <v>230589.93</v>
          </cell>
        </row>
        <row r="374">
          <cell r="A374" t="str">
            <v>В-13507/КЛ.Транш - 1_В-21082023/Ц</v>
          </cell>
          <cell r="B374" t="str">
            <v>Векилянц Екатерина Николаевна</v>
          </cell>
          <cell r="C374" t="str">
            <v>1 068</v>
          </cell>
          <cell r="D374">
            <v>44420</v>
          </cell>
          <cell r="E374">
            <v>716723.01</v>
          </cell>
          <cell r="F374">
            <v>716723.01</v>
          </cell>
          <cell r="G374">
            <v>472339.68</v>
          </cell>
        </row>
        <row r="375">
          <cell r="A375" t="str">
            <v>В-00612/АЗ_В-21082023/Ц</v>
          </cell>
          <cell r="B375" t="str">
            <v>Поддубный Николай Станиславович</v>
          </cell>
          <cell r="C375" t="str">
            <v>1 067</v>
          </cell>
          <cell r="D375">
            <v>44421</v>
          </cell>
          <cell r="E375">
            <v>862448.82</v>
          </cell>
          <cell r="F375">
            <v>862448.82</v>
          </cell>
          <cell r="G375">
            <v>513677.81</v>
          </cell>
        </row>
        <row r="376">
          <cell r="A376" t="str">
            <v>В-08603/КЛ.Транш - 1_В-21082023/Ц</v>
          </cell>
          <cell r="B376" t="str">
            <v>Стародубов Виталий Юрьевич</v>
          </cell>
          <cell r="C376" t="str">
            <v>1 066</v>
          </cell>
          <cell r="D376">
            <v>44422</v>
          </cell>
          <cell r="E376">
            <v>505082.8</v>
          </cell>
          <cell r="F376">
            <v>505082.8</v>
          </cell>
          <cell r="G376">
            <v>286339.36</v>
          </cell>
        </row>
        <row r="377">
          <cell r="A377" t="str">
            <v>В-12380/КЛ.Транш - 1_В-20211230/Ц</v>
          </cell>
          <cell r="B377" t="str">
            <v>Денисенко Руслана Анатольевна</v>
          </cell>
          <cell r="C377" t="str">
            <v>1 066</v>
          </cell>
          <cell r="D377">
            <v>44422</v>
          </cell>
          <cell r="E377">
            <v>155725.01</v>
          </cell>
          <cell r="F377">
            <v>155725.01</v>
          </cell>
          <cell r="G377">
            <v>90892.45</v>
          </cell>
        </row>
        <row r="378">
          <cell r="A378" t="str">
            <v>В-07717/КЛ.Транш - 5_В-20211230/Ц</v>
          </cell>
          <cell r="B378" t="str">
            <v>Перевалов Артём Владимирович</v>
          </cell>
          <cell r="C378" t="str">
            <v>1 064</v>
          </cell>
          <cell r="D378">
            <v>44424</v>
          </cell>
          <cell r="E378">
            <v>164357.21</v>
          </cell>
          <cell r="F378">
            <v>164357.21</v>
          </cell>
          <cell r="G378">
            <v>85285.8</v>
          </cell>
        </row>
        <row r="379">
          <cell r="A379" t="str">
            <v>В-00012/КЭ.Транш - 1_В-20211230/Ц</v>
          </cell>
          <cell r="B379" t="str">
            <v>ИП Тен Елена Манкильевна</v>
          </cell>
          <cell r="C379" t="str">
            <v>1 061</v>
          </cell>
          <cell r="D379">
            <v>44427</v>
          </cell>
          <cell r="E379">
            <v>1813842.29</v>
          </cell>
          <cell r="F379">
            <v>1813842.29</v>
          </cell>
          <cell r="G379">
            <v>124655.15</v>
          </cell>
        </row>
        <row r="380">
          <cell r="A380" t="str">
            <v>В-00918/АЗ_В-21082023/Ц</v>
          </cell>
          <cell r="B380" t="str">
            <v>Чикунов Дмитрий Александрович</v>
          </cell>
          <cell r="C380" t="str">
            <v>1 061</v>
          </cell>
          <cell r="D380">
            <v>44427</v>
          </cell>
          <cell r="E380">
            <v>426773.91</v>
          </cell>
          <cell r="F380">
            <v>426773.91</v>
          </cell>
          <cell r="G380">
            <v>248141.8</v>
          </cell>
        </row>
        <row r="381">
          <cell r="A381" t="str">
            <v>В-20635/КЛ.Транш - 1_В-20211230/Ц</v>
          </cell>
          <cell r="B381" t="str">
            <v>Чурсинов Ярослав Александрович</v>
          </cell>
          <cell r="C381" t="str">
            <v>1 061</v>
          </cell>
          <cell r="D381">
            <v>44427</v>
          </cell>
          <cell r="E381">
            <v>192107.07</v>
          </cell>
          <cell r="F381">
            <v>192107.07</v>
          </cell>
          <cell r="G381">
            <v>100000</v>
          </cell>
        </row>
        <row r="382">
          <cell r="A382" t="str">
            <v>В-12484/КЛ.Транш - 1_В-21082023/Ц</v>
          </cell>
          <cell r="B382" t="str">
            <v>Гриднева Татьяна Николаевна</v>
          </cell>
          <cell r="C382" t="str">
            <v>1 060</v>
          </cell>
          <cell r="D382">
            <v>44428</v>
          </cell>
          <cell r="E382">
            <v>234814.09</v>
          </cell>
          <cell r="F382">
            <v>234814.09</v>
          </cell>
          <cell r="G382">
            <v>156148.01</v>
          </cell>
        </row>
        <row r="383">
          <cell r="A383" t="str">
            <v>В-17051/КЛ.Транш - 1_В-20211230/Ц</v>
          </cell>
          <cell r="B383" t="str">
            <v>Гринь Юлия Владимировна</v>
          </cell>
          <cell r="C383" t="str">
            <v>1 060</v>
          </cell>
          <cell r="D383">
            <v>44428</v>
          </cell>
          <cell r="E383">
            <v>227988.49</v>
          </cell>
          <cell r="F383">
            <v>227988.49</v>
          </cell>
          <cell r="G383">
            <v>144017.03</v>
          </cell>
        </row>
        <row r="384">
          <cell r="A384" t="str">
            <v>В-07717/КЛ.Транш - 2_В-20211230/Ц</v>
          </cell>
          <cell r="B384" t="str">
            <v>Перевалов Артём Владимирович</v>
          </cell>
          <cell r="C384" t="str">
            <v>1 059</v>
          </cell>
          <cell r="D384">
            <v>44429</v>
          </cell>
          <cell r="E384">
            <v>141528.37</v>
          </cell>
          <cell r="F384">
            <v>141528.37</v>
          </cell>
          <cell r="G384">
            <v>73405.399999999994</v>
          </cell>
        </row>
        <row r="385">
          <cell r="A385" t="str">
            <v>В-20703/КЛ.Транш - 1_В-20211230/Ц</v>
          </cell>
          <cell r="B385" t="str">
            <v>Кириллов Николай Валерьевич</v>
          </cell>
          <cell r="C385" t="str">
            <v>1 059</v>
          </cell>
          <cell r="D385">
            <v>44429</v>
          </cell>
          <cell r="E385">
            <v>140614.01</v>
          </cell>
          <cell r="F385">
            <v>140614.01</v>
          </cell>
          <cell r="G385">
            <v>85725.07</v>
          </cell>
        </row>
        <row r="386">
          <cell r="A386" t="str">
            <v>В-17167/КЛ.Транш - 1_В-20211230/Ц</v>
          </cell>
          <cell r="B386" t="str">
            <v>Зинкевич Константин Владимирович</v>
          </cell>
          <cell r="C386" t="str">
            <v>1 057</v>
          </cell>
          <cell r="D386">
            <v>44431</v>
          </cell>
          <cell r="E386">
            <v>296877.69</v>
          </cell>
          <cell r="F386">
            <v>296877.69</v>
          </cell>
          <cell r="G386">
            <v>166750.64000000001</v>
          </cell>
        </row>
        <row r="387">
          <cell r="A387" t="str">
            <v>В-11595/КЛ.Транш - 1_В-20211230/Ц</v>
          </cell>
          <cell r="B387" t="str">
            <v>Рожкова Наталья Петровна</v>
          </cell>
          <cell r="C387" t="str">
            <v>1 055</v>
          </cell>
          <cell r="D387">
            <v>44433</v>
          </cell>
          <cell r="E387">
            <v>521887.46</v>
          </cell>
          <cell r="F387">
            <v>521887.46</v>
          </cell>
          <cell r="G387">
            <v>283787.75</v>
          </cell>
        </row>
        <row r="388">
          <cell r="A388" t="str">
            <v>В-14453/КЛ.Транш - 1_В-21082023/Ц</v>
          </cell>
          <cell r="B388" t="str">
            <v>Архипов Данил Алексеевич</v>
          </cell>
          <cell r="C388" t="str">
            <v>1 054</v>
          </cell>
          <cell r="D388">
            <v>44434</v>
          </cell>
          <cell r="E388">
            <v>589421.25</v>
          </cell>
          <cell r="F388">
            <v>589421.25</v>
          </cell>
          <cell r="G388">
            <v>411284.2</v>
          </cell>
        </row>
        <row r="389">
          <cell r="A389" t="str">
            <v>В-20300/КЛ.Транш - 1_В-20211230/Ц</v>
          </cell>
          <cell r="B389" t="str">
            <v>Дзейтов Муслим Алиевич</v>
          </cell>
          <cell r="C389" t="str">
            <v>1 053</v>
          </cell>
          <cell r="D389">
            <v>44435</v>
          </cell>
          <cell r="E389">
            <v>1021473.47</v>
          </cell>
          <cell r="F389">
            <v>1021473.47</v>
          </cell>
          <cell r="G389">
            <v>568181.80000000005</v>
          </cell>
        </row>
        <row r="390">
          <cell r="A390" t="str">
            <v>В-17315/КЛ.Транш - 1_В-20211230/Ц</v>
          </cell>
          <cell r="B390" t="str">
            <v>Рагимов Рафик Балайевич</v>
          </cell>
          <cell r="C390" t="str">
            <v>1 052</v>
          </cell>
          <cell r="D390">
            <v>44436</v>
          </cell>
          <cell r="E390">
            <v>303280.21999999997</v>
          </cell>
          <cell r="F390">
            <v>303280.21999999997</v>
          </cell>
          <cell r="G390">
            <v>166750.64000000001</v>
          </cell>
        </row>
        <row r="391">
          <cell r="A391" t="str">
            <v>В-00806/АЗ_В-20211230/Ц</v>
          </cell>
          <cell r="B391" t="str">
            <v>Белинский Сергей Игоревич</v>
          </cell>
          <cell r="C391" t="str">
            <v>1 049</v>
          </cell>
          <cell r="D391">
            <v>44439</v>
          </cell>
          <cell r="E391">
            <v>179591.77</v>
          </cell>
          <cell r="F391">
            <v>179591.77</v>
          </cell>
        </row>
        <row r="392">
          <cell r="A392" t="str">
            <v>В-13264/КЛ.Транш - 2_В-21082023/Ц</v>
          </cell>
          <cell r="B392" t="str">
            <v>Леднев Алексей Иванович</v>
          </cell>
          <cell r="C392" t="str">
            <v>1 048</v>
          </cell>
          <cell r="D392">
            <v>44440</v>
          </cell>
          <cell r="E392">
            <v>29357.919999999998</v>
          </cell>
          <cell r="F392">
            <v>29357.919999999998</v>
          </cell>
        </row>
        <row r="393">
          <cell r="A393" t="str">
            <v>В-21219/КЛ.Транш - 1_В-20211230/Ц</v>
          </cell>
          <cell r="B393" t="str">
            <v>Майоров Олег Владимирович</v>
          </cell>
          <cell r="C393" t="str">
            <v>1 046</v>
          </cell>
          <cell r="D393">
            <v>44442</v>
          </cell>
          <cell r="E393">
            <v>1341739.0900000001</v>
          </cell>
          <cell r="F393">
            <v>1341739.0900000001</v>
          </cell>
          <cell r="G393">
            <v>795454.5</v>
          </cell>
        </row>
        <row r="394">
          <cell r="A394" t="str">
            <v>В-07717/КЛ.Транш - 4_В-20211230/Ц</v>
          </cell>
          <cell r="B394" t="str">
            <v>Перевалов Артём Владимирович</v>
          </cell>
          <cell r="C394" t="str">
            <v>1 045</v>
          </cell>
          <cell r="D394">
            <v>44443</v>
          </cell>
          <cell r="E394">
            <v>168399.42</v>
          </cell>
          <cell r="F394">
            <v>168399.42</v>
          </cell>
          <cell r="G394">
            <v>90159.83</v>
          </cell>
        </row>
        <row r="395">
          <cell r="A395" t="str">
            <v>В-07717/КЛ.Транш - 3_В-20211230/Ц</v>
          </cell>
          <cell r="B395" t="str">
            <v>Перевалов Артём Владимирович</v>
          </cell>
          <cell r="C395" t="str">
            <v>1 043</v>
          </cell>
          <cell r="D395">
            <v>44445</v>
          </cell>
          <cell r="E395">
            <v>164268.1</v>
          </cell>
          <cell r="F395">
            <v>164268.1</v>
          </cell>
          <cell r="G395">
            <v>87667.83</v>
          </cell>
        </row>
        <row r="396">
          <cell r="A396" t="str">
            <v>В-00708/АЗ_В-21082023/Ц</v>
          </cell>
          <cell r="B396" t="str">
            <v>Богданова Марина Алексеевна</v>
          </cell>
          <cell r="C396" t="str">
            <v>1 040</v>
          </cell>
          <cell r="D396">
            <v>44448</v>
          </cell>
          <cell r="E396">
            <v>287721.87</v>
          </cell>
          <cell r="F396">
            <v>287721.87</v>
          </cell>
          <cell r="G396">
            <v>159795.87</v>
          </cell>
        </row>
        <row r="397">
          <cell r="A397" t="str">
            <v>В-14005/КЛ.Транш - 3_В-20211230/Ц</v>
          </cell>
          <cell r="B397" t="str">
            <v>Биятов Малик Серекович</v>
          </cell>
          <cell r="C397" t="str">
            <v>1 039</v>
          </cell>
          <cell r="D397">
            <v>44449</v>
          </cell>
          <cell r="E397">
            <v>206150.92</v>
          </cell>
          <cell r="F397">
            <v>206150.92</v>
          </cell>
          <cell r="G397">
            <v>157126.31</v>
          </cell>
        </row>
        <row r="398">
          <cell r="A398" t="str">
            <v>В-04229/КЛ.Транш - 1_В-20211230/Ц</v>
          </cell>
          <cell r="B398" t="str">
            <v>Матросов Дмитрий Сергеевич</v>
          </cell>
          <cell r="C398" t="str">
            <v>1 038</v>
          </cell>
          <cell r="D398">
            <v>44450</v>
          </cell>
          <cell r="E398">
            <v>126209.85</v>
          </cell>
          <cell r="F398">
            <v>126209.85</v>
          </cell>
          <cell r="G398">
            <v>78817.759999999995</v>
          </cell>
        </row>
        <row r="399">
          <cell r="A399" t="str">
            <v>В-11186/КЛ.Транш - 1_В-21082023/Ц</v>
          </cell>
          <cell r="B399" t="str">
            <v>Гадян Артак Андраникович</v>
          </cell>
          <cell r="C399" t="str">
            <v>1 036</v>
          </cell>
          <cell r="D399">
            <v>44452</v>
          </cell>
          <cell r="E399">
            <v>394753.46</v>
          </cell>
          <cell r="F399">
            <v>394753.46</v>
          </cell>
          <cell r="G399">
            <v>149631.57</v>
          </cell>
        </row>
        <row r="400">
          <cell r="A400" t="str">
            <v>В-00439/КЛ.Транш - 1_В-21082023/Ц</v>
          </cell>
          <cell r="B400" t="str">
            <v>Сельцова Наталья Юрьевна</v>
          </cell>
          <cell r="C400" t="str">
            <v>1 034</v>
          </cell>
          <cell r="D400">
            <v>44454</v>
          </cell>
          <cell r="E400">
            <v>26053.42</v>
          </cell>
          <cell r="F400">
            <v>26053.42</v>
          </cell>
          <cell r="G400">
            <v>15724.51</v>
          </cell>
        </row>
        <row r="401">
          <cell r="A401" t="str">
            <v>В-18008/КЛ.Транш - 1_В-21082023/Ц</v>
          </cell>
          <cell r="B401" t="str">
            <v>Цикишев Сергей Николаевич</v>
          </cell>
          <cell r="C401" t="str">
            <v>1 033</v>
          </cell>
          <cell r="D401">
            <v>44455</v>
          </cell>
          <cell r="E401">
            <v>109088.57</v>
          </cell>
          <cell r="F401">
            <v>109088.57</v>
          </cell>
          <cell r="G401">
            <v>52139.58</v>
          </cell>
        </row>
        <row r="402">
          <cell r="A402" t="str">
            <v>В-20442/КЛ.Транш - 1_В-20211230/Ц</v>
          </cell>
          <cell r="B402" t="str">
            <v>Салимов Шерзод Тохирович</v>
          </cell>
          <cell r="C402" t="str">
            <v>1 033</v>
          </cell>
          <cell r="D402">
            <v>44455</v>
          </cell>
          <cell r="E402">
            <v>364988.42</v>
          </cell>
          <cell r="F402">
            <v>364988.42</v>
          </cell>
          <cell r="G402">
            <v>188912.94</v>
          </cell>
        </row>
        <row r="403">
          <cell r="A403" t="str">
            <v>В-19349/КЛ.Транш - 1_В-20211230/Ц</v>
          </cell>
          <cell r="B403" t="str">
            <v>Еременко Сергей Артурович</v>
          </cell>
          <cell r="C403" t="str">
            <v>1 031</v>
          </cell>
          <cell r="D403">
            <v>44457</v>
          </cell>
          <cell r="E403">
            <v>170173.56</v>
          </cell>
          <cell r="F403">
            <v>170173.56</v>
          </cell>
          <cell r="G403">
            <v>88294.39</v>
          </cell>
        </row>
        <row r="404">
          <cell r="A404" t="str">
            <v>В-15908/КЛ.Транш - 1_В-20211230/Ц</v>
          </cell>
          <cell r="B404" t="str">
            <v>Базарова Нафиса Ибрагимжановна</v>
          </cell>
          <cell r="C404" t="str">
            <v>1 028</v>
          </cell>
          <cell r="D404">
            <v>44460</v>
          </cell>
          <cell r="E404">
            <v>242524.23</v>
          </cell>
          <cell r="F404">
            <v>242524.23</v>
          </cell>
          <cell r="G404">
            <v>174287.07</v>
          </cell>
        </row>
        <row r="405">
          <cell r="A405" t="str">
            <v>В-14529/КЛ.Транш - 1_В-20211230/Ц</v>
          </cell>
          <cell r="B405" t="str">
            <v>Емельяненко Александр Николаевич</v>
          </cell>
          <cell r="C405" t="str">
            <v>1 027</v>
          </cell>
          <cell r="D405">
            <v>44461</v>
          </cell>
          <cell r="E405">
            <v>1321003.3700000001</v>
          </cell>
          <cell r="F405">
            <v>1321003.3700000001</v>
          </cell>
          <cell r="G405">
            <v>849321.77</v>
          </cell>
        </row>
        <row r="406">
          <cell r="A406" t="str">
            <v>В-12551/КЛ.Транш - 1_В-20211230/Ц</v>
          </cell>
          <cell r="B406" t="str">
            <v>Иванченко Сергей Александрович</v>
          </cell>
          <cell r="C406" t="str">
            <v>1 026</v>
          </cell>
          <cell r="D406">
            <v>44462</v>
          </cell>
          <cell r="E406">
            <v>294951.23</v>
          </cell>
          <cell r="F406">
            <v>294951.23</v>
          </cell>
          <cell r="G406">
            <v>168483.97</v>
          </cell>
        </row>
        <row r="407">
          <cell r="A407" t="str">
            <v>В-14005/КЛ.Транш - 1_В-20211230/Ц</v>
          </cell>
          <cell r="B407" t="str">
            <v>Биятов Малик Серекович</v>
          </cell>
          <cell r="C407" t="str">
            <v>1 022</v>
          </cell>
          <cell r="D407">
            <v>44466</v>
          </cell>
          <cell r="E407">
            <v>20176.63</v>
          </cell>
          <cell r="F407">
            <v>20176.63</v>
          </cell>
          <cell r="G407">
            <v>16376.92</v>
          </cell>
        </row>
        <row r="408">
          <cell r="A408" t="str">
            <v>В-02961/КЛ.Транш - 1_В-21082023/Ц</v>
          </cell>
          <cell r="B408" t="str">
            <v>Любушкин Сергей Васильевич</v>
          </cell>
          <cell r="C408" t="str">
            <v>1 021</v>
          </cell>
          <cell r="D408">
            <v>44467</v>
          </cell>
          <cell r="E408">
            <v>73738.259999999995</v>
          </cell>
          <cell r="F408">
            <v>73738.259999999995</v>
          </cell>
        </row>
        <row r="409">
          <cell r="A409" t="str">
            <v>В-17458/КЛ.Транш - 1_В-20211230/Ц</v>
          </cell>
          <cell r="B409" t="str">
            <v>Белолипцев Дмитрий Олегович</v>
          </cell>
          <cell r="C409" t="str">
            <v>1 021</v>
          </cell>
          <cell r="D409">
            <v>44467</v>
          </cell>
          <cell r="E409">
            <v>440009.85</v>
          </cell>
          <cell r="F409">
            <v>440009.85</v>
          </cell>
          <cell r="G409">
            <v>217155.4</v>
          </cell>
        </row>
        <row r="410">
          <cell r="A410" t="str">
            <v>В-22173/КЛ.Транш - 1_В-20211230/Ц</v>
          </cell>
          <cell r="B410" t="str">
            <v>Байтемиров Ахметхан Магарамович</v>
          </cell>
          <cell r="C410" t="str">
            <v>1 019</v>
          </cell>
          <cell r="D410">
            <v>44469</v>
          </cell>
          <cell r="E410">
            <v>501124.61</v>
          </cell>
          <cell r="F410">
            <v>501124.61</v>
          </cell>
          <cell r="G410">
            <v>284090.90000000002</v>
          </cell>
        </row>
        <row r="411">
          <cell r="A411" t="str">
            <v>В-18163/КЛ.Транш - 1_В-21082023/Ц</v>
          </cell>
          <cell r="B411" t="str">
            <v>Магомедов Ахмед Багаутдинович</v>
          </cell>
          <cell r="C411" t="str">
            <v>1 015</v>
          </cell>
          <cell r="D411">
            <v>44473</v>
          </cell>
          <cell r="E411">
            <v>148655.57999999999</v>
          </cell>
          <cell r="F411">
            <v>148655.57999999999</v>
          </cell>
          <cell r="G411">
            <v>81433.66</v>
          </cell>
        </row>
        <row r="412">
          <cell r="A412" t="str">
            <v>В-22434/АЗ_В-20211230/Ц</v>
          </cell>
          <cell r="B412" t="str">
            <v>Касутин Евгений Дмитриевич</v>
          </cell>
          <cell r="C412" t="str">
            <v>1 009</v>
          </cell>
          <cell r="D412">
            <v>44479</v>
          </cell>
          <cell r="E412">
            <v>817157.24</v>
          </cell>
          <cell r="F412">
            <v>1794723.01</v>
          </cell>
          <cell r="G412">
            <v>1000000</v>
          </cell>
        </row>
        <row r="413">
          <cell r="A413" t="str">
            <v>В-22436/АЗ_В-20211230/Ц</v>
          </cell>
          <cell r="B413" t="str">
            <v>Касутина Виктория Алексеевна</v>
          </cell>
          <cell r="C413" t="str">
            <v>1 009</v>
          </cell>
          <cell r="D413">
            <v>44479</v>
          </cell>
          <cell r="E413">
            <v>185978.91</v>
          </cell>
          <cell r="F413">
            <v>185978.91</v>
          </cell>
          <cell r="G413">
            <v>100000</v>
          </cell>
        </row>
        <row r="414">
          <cell r="A414" t="str">
            <v>В-03541/КЛ.Транш - 1_В-21082023/Ц</v>
          </cell>
          <cell r="B414" t="str">
            <v>Баранов Сергей Алексеевич</v>
          </cell>
          <cell r="C414" t="str">
            <v>1 007</v>
          </cell>
          <cell r="D414">
            <v>44481</v>
          </cell>
          <cell r="E414">
            <v>128832.27</v>
          </cell>
          <cell r="F414">
            <v>128832.27</v>
          </cell>
          <cell r="G414">
            <v>99738.09</v>
          </cell>
        </row>
        <row r="415">
          <cell r="A415" t="str">
            <v>В-18022/КЛ.Транш - 1_В-20211230/Ц</v>
          </cell>
          <cell r="B415" t="str">
            <v>Сосков Иван Сергеевич</v>
          </cell>
          <cell r="C415" t="str">
            <v>1 003</v>
          </cell>
          <cell r="D415">
            <v>44485</v>
          </cell>
          <cell r="E415">
            <v>347776.85</v>
          </cell>
          <cell r="F415">
            <v>347776.85</v>
          </cell>
          <cell r="G415">
            <v>187978.77</v>
          </cell>
        </row>
        <row r="416">
          <cell r="A416" t="str">
            <v>В-05425/КЛ.Транш - 2_В-20211230/Ц</v>
          </cell>
          <cell r="B416" t="str">
            <v>Мелкумян Масис Владимирович</v>
          </cell>
          <cell r="C416" t="str">
            <v>1 002</v>
          </cell>
          <cell r="D416">
            <v>44486</v>
          </cell>
          <cell r="E416">
            <v>42067.71</v>
          </cell>
          <cell r="F416">
            <v>42067.71</v>
          </cell>
          <cell r="G416">
            <v>17119.16</v>
          </cell>
        </row>
        <row r="417">
          <cell r="A417" t="str">
            <v>В-21208/КЛ.Транш - 2_В-20211230/Ц</v>
          </cell>
          <cell r="B417" t="str">
            <v>Журавлева Наталья Юрьевна</v>
          </cell>
          <cell r="C417" t="str">
            <v>1 002</v>
          </cell>
          <cell r="D417">
            <v>44486</v>
          </cell>
          <cell r="E417">
            <v>151955.04999999999</v>
          </cell>
          <cell r="F417">
            <v>151955.04999999999</v>
          </cell>
          <cell r="G417">
            <v>80315.05</v>
          </cell>
        </row>
        <row r="418">
          <cell r="A418" t="str">
            <v>В-00034/КЭ.Транш - 1_В20211230/Ц</v>
          </cell>
          <cell r="B418" t="str">
            <v>ТК МЕЖРЕГИОНСЕРВИС-77 ООО</v>
          </cell>
          <cell r="C418" t="str">
            <v>1 000</v>
          </cell>
          <cell r="D418">
            <v>44488</v>
          </cell>
          <cell r="E418">
            <v>13544186.52</v>
          </cell>
          <cell r="F418">
            <v>13544186.52</v>
          </cell>
          <cell r="G418">
            <v>1547256.3</v>
          </cell>
        </row>
        <row r="419">
          <cell r="A419" t="str">
            <v>В-01179/АЗ_В-20211230/Ц</v>
          </cell>
          <cell r="B419" t="str">
            <v>Забиров Ринат Шавкатович</v>
          </cell>
          <cell r="C419" t="str">
            <v>1 000</v>
          </cell>
          <cell r="D419">
            <v>44488</v>
          </cell>
          <cell r="E419">
            <v>285292.15000000002</v>
          </cell>
          <cell r="F419">
            <v>623946.59</v>
          </cell>
          <cell r="G419">
            <v>346911.57</v>
          </cell>
        </row>
        <row r="420">
          <cell r="A420" t="str">
            <v>В-04682/КЛ.Транш - 3_В-20211230/Ц</v>
          </cell>
          <cell r="B420" t="str">
            <v>Усиков Андрей Васильевич</v>
          </cell>
          <cell r="C420" t="str">
            <v>1 000</v>
          </cell>
          <cell r="D420">
            <v>44488</v>
          </cell>
          <cell r="E420">
            <v>19227.830000000002</v>
          </cell>
          <cell r="F420">
            <v>19227.830000000002</v>
          </cell>
          <cell r="G420">
            <v>8054.83</v>
          </cell>
        </row>
        <row r="421">
          <cell r="A421" t="str">
            <v>В-17030/КЛ.Транш - 1_В-21082023/Ц</v>
          </cell>
          <cell r="B421" t="str">
            <v>Цуриков Яков Владимирович</v>
          </cell>
          <cell r="C421" t="str">
            <v>1 000</v>
          </cell>
          <cell r="D421">
            <v>44488</v>
          </cell>
          <cell r="E421">
            <v>171937.37</v>
          </cell>
          <cell r="F421">
            <v>171937.37</v>
          </cell>
          <cell r="G421">
            <v>92553.21</v>
          </cell>
        </row>
        <row r="422">
          <cell r="A422" t="str">
            <v>В-13264/КЛ.Транш - 3_В-21082023/Ц</v>
          </cell>
          <cell r="B422" t="str">
            <v>Леднев Алексей Иванович</v>
          </cell>
          <cell r="C422">
            <v>999</v>
          </cell>
          <cell r="D422">
            <v>44489</v>
          </cell>
          <cell r="E422">
            <v>36741.15</v>
          </cell>
          <cell r="F422">
            <v>36741.15</v>
          </cell>
        </row>
        <row r="423">
          <cell r="A423" t="str">
            <v>В-13264/КЛ.Транш - 1_В-21082023/Ц</v>
          </cell>
          <cell r="B423" t="str">
            <v>Леднев Алексей Иванович</v>
          </cell>
          <cell r="C423">
            <v>990</v>
          </cell>
          <cell r="D423">
            <v>44498</v>
          </cell>
          <cell r="E423">
            <v>27323.59</v>
          </cell>
          <cell r="F423">
            <v>27323.59</v>
          </cell>
        </row>
        <row r="424">
          <cell r="A424" t="str">
            <v>В-22100/КЛ.Транш - 1_В-20211230/Ц</v>
          </cell>
          <cell r="B424" t="str">
            <v>Кострыгина Юлия Викторовна</v>
          </cell>
          <cell r="C424">
            <v>989</v>
          </cell>
          <cell r="D424">
            <v>44499</v>
          </cell>
          <cell r="E424">
            <v>329208.40999999997</v>
          </cell>
          <cell r="F424">
            <v>329208.40999999997</v>
          </cell>
          <cell r="G424">
            <v>201803.89</v>
          </cell>
        </row>
        <row r="425">
          <cell r="A425" t="str">
            <v>В-21146/КЛ.Транш - 1_В-20211230/Ц</v>
          </cell>
          <cell r="B425" t="str">
            <v>Тришина Екатерина Викторовна</v>
          </cell>
          <cell r="C425">
            <v>988</v>
          </cell>
          <cell r="D425">
            <v>44500</v>
          </cell>
          <cell r="E425">
            <v>991428.92</v>
          </cell>
          <cell r="F425">
            <v>991428.92</v>
          </cell>
          <cell r="G425">
            <v>560402.75</v>
          </cell>
        </row>
        <row r="426">
          <cell r="A426" t="str">
            <v>В-23325/АЗ_В-20211230/Ц</v>
          </cell>
          <cell r="B426" t="str">
            <v>Ермакова Кристина Алексеевна</v>
          </cell>
          <cell r="C426">
            <v>982</v>
          </cell>
          <cell r="D426">
            <v>44506</v>
          </cell>
          <cell r="E426">
            <v>1643227.86</v>
          </cell>
          <cell r="F426">
            <v>1643227.86</v>
          </cell>
          <cell r="G426">
            <v>970000</v>
          </cell>
        </row>
        <row r="427">
          <cell r="A427" t="str">
            <v>В-23339/АЗ_В-20211230/Ц</v>
          </cell>
          <cell r="B427" t="str">
            <v>Ермаков Владислав Олегович</v>
          </cell>
          <cell r="C427">
            <v>982</v>
          </cell>
          <cell r="D427">
            <v>44506</v>
          </cell>
          <cell r="E427">
            <v>431551.46</v>
          </cell>
          <cell r="F427">
            <v>431551.46</v>
          </cell>
          <cell r="G427">
            <v>265226.84999999998</v>
          </cell>
        </row>
        <row r="428">
          <cell r="A428" t="str">
            <v>В-04682/КЛ.Транш - 4_В-20211230/Ц</v>
          </cell>
          <cell r="B428" t="str">
            <v>Усиков Андрей Васильевич</v>
          </cell>
          <cell r="C428">
            <v>980</v>
          </cell>
          <cell r="D428">
            <v>44508</v>
          </cell>
          <cell r="E428">
            <v>22771.99</v>
          </cell>
          <cell r="F428">
            <v>22771.99</v>
          </cell>
          <cell r="G428">
            <v>11701.75</v>
          </cell>
        </row>
        <row r="429">
          <cell r="A429" t="str">
            <v>В-04682/КЛ.Транш - 5_В-20211230/Ц</v>
          </cell>
          <cell r="B429" t="str">
            <v>Усиков Андрей Васильевич</v>
          </cell>
          <cell r="C429">
            <v>979</v>
          </cell>
          <cell r="D429">
            <v>44509</v>
          </cell>
          <cell r="E429">
            <v>39918.559999999998</v>
          </cell>
          <cell r="F429">
            <v>39918.559999999998</v>
          </cell>
          <cell r="G429">
            <v>22517.63</v>
          </cell>
        </row>
        <row r="430">
          <cell r="A430" t="str">
            <v>В-04682/КЛ.Транш - 8_В-20211230/Ц</v>
          </cell>
          <cell r="B430" t="str">
            <v>Усиков Андрей Васильевич</v>
          </cell>
          <cell r="C430">
            <v>978</v>
          </cell>
          <cell r="D430">
            <v>44510</v>
          </cell>
          <cell r="E430">
            <v>100037.63</v>
          </cell>
          <cell r="F430">
            <v>100037.63</v>
          </cell>
          <cell r="G430">
            <v>57780.17</v>
          </cell>
        </row>
        <row r="431">
          <cell r="A431" t="str">
            <v>В-14005/КЛ.Транш - 2_В-20211230/Ц</v>
          </cell>
          <cell r="B431" t="str">
            <v>Биятов Малик Серекович</v>
          </cell>
          <cell r="C431">
            <v>977</v>
          </cell>
          <cell r="D431">
            <v>44511</v>
          </cell>
          <cell r="E431">
            <v>21148.25</v>
          </cell>
          <cell r="F431">
            <v>21148.25</v>
          </cell>
          <cell r="G431">
            <v>17598.169999999998</v>
          </cell>
        </row>
        <row r="432">
          <cell r="A432" t="str">
            <v>В-01175/АЗ_В-20211230/Ц</v>
          </cell>
          <cell r="B432" t="str">
            <v>Евстигнеев Дмитрий Станиславович</v>
          </cell>
          <cell r="C432">
            <v>976</v>
          </cell>
          <cell r="D432">
            <v>44512</v>
          </cell>
          <cell r="E432">
            <v>891126.33</v>
          </cell>
          <cell r="F432">
            <v>891126.33</v>
          </cell>
          <cell r="G432">
            <v>645232.57999999996</v>
          </cell>
        </row>
        <row r="433">
          <cell r="A433" t="str">
            <v>В-00021/КЭ.Транш - 1_В-20211230/Ц</v>
          </cell>
          <cell r="B433" t="str">
            <v>ИП Арутюнян Ваге Андреасович</v>
          </cell>
          <cell r="C433">
            <v>973</v>
          </cell>
          <cell r="D433">
            <v>44515</v>
          </cell>
          <cell r="E433">
            <v>409245.91</v>
          </cell>
          <cell r="F433">
            <v>409245.91</v>
          </cell>
        </row>
        <row r="434">
          <cell r="A434" t="str">
            <v>В-01107/АЗ_В-20211230/Ц</v>
          </cell>
          <cell r="B434" t="str">
            <v>Лещинский Михаил Дмитриевич</v>
          </cell>
          <cell r="C434">
            <v>971</v>
          </cell>
          <cell r="D434">
            <v>44517</v>
          </cell>
          <cell r="E434">
            <v>77922.080000000002</v>
          </cell>
          <cell r="F434">
            <v>77922.080000000002</v>
          </cell>
          <cell r="G434">
            <v>46812.73</v>
          </cell>
        </row>
        <row r="435">
          <cell r="A435" t="str">
            <v>В-04682/КЛ.Транш - 7_В-20211230/Ц</v>
          </cell>
          <cell r="B435" t="str">
            <v>Усиков Андрей Васильевич</v>
          </cell>
          <cell r="C435">
            <v>969</v>
          </cell>
          <cell r="D435">
            <v>44519</v>
          </cell>
          <cell r="E435">
            <v>67446.820000000007</v>
          </cell>
          <cell r="F435">
            <v>67446.820000000007</v>
          </cell>
          <cell r="G435">
            <v>39270.370000000003</v>
          </cell>
        </row>
        <row r="436">
          <cell r="A436" t="str">
            <v>В-11186/КЛ.Транш - 2_В-21082023/Ц</v>
          </cell>
          <cell r="B436" t="str">
            <v>Гадян Артак Андраникович</v>
          </cell>
          <cell r="C436">
            <v>969</v>
          </cell>
          <cell r="D436">
            <v>44519</v>
          </cell>
          <cell r="E436">
            <v>159275.35999999999</v>
          </cell>
          <cell r="F436">
            <v>159275.35999999999</v>
          </cell>
          <cell r="G436">
            <v>62098.65</v>
          </cell>
        </row>
        <row r="437">
          <cell r="A437" t="str">
            <v>В-04682/КЛ.Транш - 6_В-20211230/Ц</v>
          </cell>
          <cell r="B437" t="str">
            <v>Усиков Андрей Васильевич</v>
          </cell>
          <cell r="C437">
            <v>963</v>
          </cell>
          <cell r="D437">
            <v>44525</v>
          </cell>
          <cell r="E437">
            <v>53970.87</v>
          </cell>
          <cell r="F437">
            <v>53970.87</v>
          </cell>
          <cell r="G437">
            <v>30875.34</v>
          </cell>
        </row>
        <row r="438">
          <cell r="A438" t="str">
            <v>В-00951/АЗ_В-20211230/Ц</v>
          </cell>
          <cell r="B438" t="str">
            <v>Громов Вячеслав Александрович</v>
          </cell>
          <cell r="C438">
            <v>962</v>
          </cell>
          <cell r="D438">
            <v>44526</v>
          </cell>
          <cell r="E438">
            <v>1471293.29</v>
          </cell>
          <cell r="F438">
            <v>1471293.29</v>
          </cell>
          <cell r="G438">
            <v>849570.3</v>
          </cell>
        </row>
        <row r="439">
          <cell r="A439" t="str">
            <v>Т-01931/АЗ_Т-20211028/Ц</v>
          </cell>
          <cell r="B439" t="str">
            <v>Громов Вячеслав Александрович</v>
          </cell>
          <cell r="C439">
            <v>962</v>
          </cell>
          <cell r="D439">
            <v>44526</v>
          </cell>
          <cell r="E439">
            <v>366983.13</v>
          </cell>
          <cell r="F439">
            <v>366983.13</v>
          </cell>
          <cell r="G439">
            <v>127435.59</v>
          </cell>
        </row>
        <row r="440">
          <cell r="A440" t="str">
            <v>В-24072/АЗ_В-20211230/Ц</v>
          </cell>
          <cell r="B440" t="str">
            <v>Султанов Салим Исламович</v>
          </cell>
          <cell r="C440">
            <v>961</v>
          </cell>
          <cell r="D440">
            <v>44527</v>
          </cell>
          <cell r="E440">
            <v>308515.84000000003</v>
          </cell>
          <cell r="F440">
            <v>308515.84000000003</v>
          </cell>
          <cell r="G440">
            <v>170000</v>
          </cell>
        </row>
        <row r="441">
          <cell r="A441" t="str">
            <v>Т-01914/АЗ_Т-20211028/Ц</v>
          </cell>
          <cell r="B441" t="str">
            <v>Битюцких Александр Александрович</v>
          </cell>
          <cell r="C441">
            <v>960</v>
          </cell>
          <cell r="D441">
            <v>44528</v>
          </cell>
          <cell r="E441">
            <v>173286.46</v>
          </cell>
          <cell r="F441">
            <v>346916.83</v>
          </cell>
          <cell r="G441">
            <v>204166.39</v>
          </cell>
        </row>
        <row r="442">
          <cell r="A442" t="str">
            <v>В-02707/КЛ.Транш - 1_В-21082023/Ц</v>
          </cell>
          <cell r="B442" t="str">
            <v>Гавриленко Денис Владимирович</v>
          </cell>
          <cell r="C442">
            <v>959</v>
          </cell>
          <cell r="D442">
            <v>44529</v>
          </cell>
          <cell r="E442">
            <v>97458.4</v>
          </cell>
          <cell r="F442">
            <v>97458.4</v>
          </cell>
          <cell r="G442">
            <v>39475.85</v>
          </cell>
        </row>
        <row r="443">
          <cell r="A443" t="str">
            <v>В-20046/КЛ.Транш - 1_В-21082023/Ц</v>
          </cell>
          <cell r="B443" t="str">
            <v>Лебедовский Максим Юрьевич</v>
          </cell>
          <cell r="C443">
            <v>959</v>
          </cell>
          <cell r="D443">
            <v>44529</v>
          </cell>
          <cell r="E443">
            <v>231504.82</v>
          </cell>
          <cell r="F443">
            <v>231504.82</v>
          </cell>
          <cell r="G443">
            <v>142516.70000000001</v>
          </cell>
        </row>
        <row r="444">
          <cell r="A444" t="str">
            <v>В-17687/КЛ.Транш - 2_В-20211230/Ц</v>
          </cell>
          <cell r="B444" t="str">
            <v>Мусаев Саид Рамазанович</v>
          </cell>
          <cell r="C444">
            <v>957</v>
          </cell>
          <cell r="D444">
            <v>44531</v>
          </cell>
          <cell r="E444">
            <v>393808.47</v>
          </cell>
          <cell r="F444">
            <v>393808.47</v>
          </cell>
          <cell r="G444">
            <v>258693.73</v>
          </cell>
        </row>
        <row r="445">
          <cell r="A445" t="str">
            <v>В-22026/КЛ.Транш - 1_В-20211230/Ц</v>
          </cell>
          <cell r="B445" t="str">
            <v>Гречкин Сергей Петрович</v>
          </cell>
          <cell r="C445">
            <v>952</v>
          </cell>
          <cell r="D445">
            <v>44536</v>
          </cell>
          <cell r="E445">
            <v>397567.81</v>
          </cell>
          <cell r="F445">
            <v>397567.81</v>
          </cell>
          <cell r="G445">
            <v>225088.84</v>
          </cell>
        </row>
        <row r="446">
          <cell r="A446" t="str">
            <v>В-20109/КЛ.Транш - 1_В-21082023/Ц</v>
          </cell>
          <cell r="B446" t="str">
            <v>Спицын Антон Вадимович</v>
          </cell>
          <cell r="C446">
            <v>951</v>
          </cell>
          <cell r="D446">
            <v>44537</v>
          </cell>
          <cell r="E446">
            <v>443084.52</v>
          </cell>
          <cell r="F446">
            <v>443084.52</v>
          </cell>
          <cell r="G446">
            <v>257341.17</v>
          </cell>
        </row>
        <row r="447">
          <cell r="A447" t="str">
            <v>В-01898/КЛ.Транш - 1_В-20211230/Ц</v>
          </cell>
          <cell r="B447" t="str">
            <v>Захаркин Алексей Викторович</v>
          </cell>
          <cell r="C447">
            <v>947</v>
          </cell>
          <cell r="D447">
            <v>44541</v>
          </cell>
          <cell r="E447">
            <v>182950.05</v>
          </cell>
          <cell r="F447">
            <v>182950.05</v>
          </cell>
          <cell r="G447">
            <v>108586.85</v>
          </cell>
        </row>
        <row r="448">
          <cell r="A448" t="str">
            <v>В-17805/КЛ.Транш - 2_В-20211230/Ц</v>
          </cell>
          <cell r="B448" t="str">
            <v>Апухтина Виолетта Байрамовна</v>
          </cell>
          <cell r="C448">
            <v>946</v>
          </cell>
          <cell r="D448">
            <v>44542</v>
          </cell>
          <cell r="E448">
            <v>354795</v>
          </cell>
          <cell r="F448">
            <v>354795</v>
          </cell>
          <cell r="G448">
            <v>215672.81</v>
          </cell>
        </row>
        <row r="449">
          <cell r="A449" t="str">
            <v>В-00039/КЭ.Транш - 1_В-20211230/Ц</v>
          </cell>
          <cell r="B449" t="str">
            <v>ЭЛ-КОМПЛЕКТ ООО</v>
          </cell>
          <cell r="C449">
            <v>945</v>
          </cell>
          <cell r="D449">
            <v>44543</v>
          </cell>
          <cell r="E449">
            <v>1474441.3</v>
          </cell>
          <cell r="F449">
            <v>1474441.3</v>
          </cell>
          <cell r="G449">
            <v>19789.57</v>
          </cell>
        </row>
        <row r="450">
          <cell r="A450" t="str">
            <v>В-01084/АЗ</v>
          </cell>
          <cell r="B450" t="str">
            <v>Печеникова Оксана Александровна</v>
          </cell>
          <cell r="C450">
            <v>944</v>
          </cell>
          <cell r="D450">
            <v>44544</v>
          </cell>
          <cell r="E450">
            <v>114550.33</v>
          </cell>
          <cell r="F450">
            <v>114550.33</v>
          </cell>
        </row>
        <row r="451">
          <cell r="A451" t="str">
            <v>В-23633/КЛ.Транш - 1_В-20211230/Ц</v>
          </cell>
          <cell r="B451" t="str">
            <v>Кошелева Светлана Сергеевна</v>
          </cell>
          <cell r="C451">
            <v>944</v>
          </cell>
          <cell r="D451">
            <v>44544</v>
          </cell>
          <cell r="E451">
            <v>102455.16</v>
          </cell>
          <cell r="F451">
            <v>102455.16</v>
          </cell>
        </row>
        <row r="452">
          <cell r="A452" t="str">
            <v>В-00439/КЛ.Транш - 2_В-21082023/Ц</v>
          </cell>
          <cell r="B452" t="str">
            <v>Сельцова Наталья Юрьевна</v>
          </cell>
          <cell r="C452">
            <v>942</v>
          </cell>
          <cell r="D452">
            <v>44546</v>
          </cell>
          <cell r="E452">
            <v>91326.38</v>
          </cell>
          <cell r="F452">
            <v>91326.38</v>
          </cell>
          <cell r="G452">
            <v>77448.45</v>
          </cell>
        </row>
        <row r="453">
          <cell r="A453" t="str">
            <v>В-11334/КЛ.Транш - 1_В-20211230/Ц</v>
          </cell>
          <cell r="B453" t="str">
            <v>Кольчицкий Захар Викторович</v>
          </cell>
          <cell r="C453">
            <v>939</v>
          </cell>
          <cell r="D453">
            <v>44549</v>
          </cell>
          <cell r="E453">
            <v>550225.6</v>
          </cell>
          <cell r="F453">
            <v>550225.6</v>
          </cell>
          <cell r="G453">
            <v>311027.09000000003</v>
          </cell>
        </row>
        <row r="454">
          <cell r="A454" t="str">
            <v>В-24983/КЛ.Транш - 1_В-20211230/Ц</v>
          </cell>
          <cell r="B454" t="str">
            <v>Новрузов Марат Абильфас Оглы</v>
          </cell>
          <cell r="C454">
            <v>939</v>
          </cell>
          <cell r="D454">
            <v>44549</v>
          </cell>
          <cell r="E454">
            <v>2765661.95</v>
          </cell>
          <cell r="F454">
            <v>3471607.94</v>
          </cell>
          <cell r="G454">
            <v>1000000</v>
          </cell>
        </row>
        <row r="455">
          <cell r="A455" t="str">
            <v>В-23840/КЛ.Транш - 1_В-20211230/Ц</v>
          </cell>
          <cell r="B455" t="str">
            <v>Золотов Олег Владимирович</v>
          </cell>
          <cell r="C455">
            <v>937</v>
          </cell>
          <cell r="D455">
            <v>44551</v>
          </cell>
          <cell r="E455">
            <v>375697.33</v>
          </cell>
          <cell r="F455">
            <v>375697.33</v>
          </cell>
        </row>
        <row r="456">
          <cell r="A456" t="str">
            <v>В-17153/КЛ.Транш - 2_В-20211230/Ц</v>
          </cell>
          <cell r="B456" t="str">
            <v>Хасанов Жасур Абдурашидович</v>
          </cell>
          <cell r="C456">
            <v>936</v>
          </cell>
          <cell r="D456">
            <v>44552</v>
          </cell>
          <cell r="E456">
            <v>135911.01999999999</v>
          </cell>
          <cell r="F456">
            <v>135911.01999999999</v>
          </cell>
          <cell r="G456">
            <v>74464.7</v>
          </cell>
        </row>
        <row r="457">
          <cell r="A457" t="str">
            <v>В-20766/КЛ.Транш - 1_В-20211230/Ц</v>
          </cell>
          <cell r="B457" t="str">
            <v>Васильев Сергей Владимирович</v>
          </cell>
          <cell r="C457">
            <v>936</v>
          </cell>
          <cell r="D457">
            <v>44552</v>
          </cell>
          <cell r="E457">
            <v>168737.46</v>
          </cell>
          <cell r="F457">
            <v>168737.46</v>
          </cell>
          <cell r="G457">
            <v>81956.56</v>
          </cell>
        </row>
        <row r="458">
          <cell r="A458" t="str">
            <v>В-16023/КЛ.Транш - 1_В-20211230/Ц</v>
          </cell>
          <cell r="B458" t="str">
            <v>Волохов Юрий Викторович</v>
          </cell>
          <cell r="C458">
            <v>934</v>
          </cell>
          <cell r="D458">
            <v>44554</v>
          </cell>
          <cell r="E458">
            <v>1197535.55</v>
          </cell>
          <cell r="F458">
            <v>1197535.55</v>
          </cell>
          <cell r="G458">
            <v>710064.12</v>
          </cell>
        </row>
        <row r="459">
          <cell r="A459" t="str">
            <v>В-17153/КЛ.Транш - 1_В-20211230/Ц</v>
          </cell>
          <cell r="B459" t="str">
            <v>Хасанов Жасур Абдурашидович</v>
          </cell>
          <cell r="C459">
            <v>934</v>
          </cell>
          <cell r="D459">
            <v>44554</v>
          </cell>
          <cell r="E459">
            <v>273592.36</v>
          </cell>
          <cell r="F459">
            <v>273592.36</v>
          </cell>
          <cell r="G459">
            <v>150000</v>
          </cell>
        </row>
        <row r="460">
          <cell r="A460" t="str">
            <v>В-19655/КЛ.Транш - 1_В-20211230/Ц</v>
          </cell>
          <cell r="B460" t="str">
            <v>Башленко Илья Васильевич</v>
          </cell>
          <cell r="C460">
            <v>931</v>
          </cell>
          <cell r="D460">
            <v>44557</v>
          </cell>
          <cell r="E460">
            <v>53079.83</v>
          </cell>
          <cell r="F460">
            <v>53079.83</v>
          </cell>
          <cell r="G460">
            <v>46351.839999999997</v>
          </cell>
        </row>
        <row r="461">
          <cell r="A461" t="str">
            <v>В-12427/КЛ.Транш - 1_В-21082023/Ц</v>
          </cell>
          <cell r="B461" t="str">
            <v>Хуртов Сергей Георгиевич</v>
          </cell>
          <cell r="C461">
            <v>929</v>
          </cell>
          <cell r="D461">
            <v>44559</v>
          </cell>
          <cell r="E461">
            <v>6843.48</v>
          </cell>
          <cell r="F461">
            <v>6843.48</v>
          </cell>
        </row>
        <row r="462">
          <cell r="A462" t="str">
            <v>В-21040/КЛ.Транш - 1_В-20211230/Ц</v>
          </cell>
          <cell r="B462" t="str">
            <v>Рассказов Максим Владимирович</v>
          </cell>
          <cell r="C462">
            <v>929</v>
          </cell>
          <cell r="D462">
            <v>44559</v>
          </cell>
          <cell r="E462">
            <v>328179.21999999997</v>
          </cell>
          <cell r="F462">
            <v>328179.21999999997</v>
          </cell>
          <cell r="G462">
            <v>203416.39</v>
          </cell>
        </row>
        <row r="463">
          <cell r="A463" t="str">
            <v>В-16959/КЛ.Транш - 1_В-20211230/Ц</v>
          </cell>
          <cell r="B463" t="str">
            <v>Рева Анастасия Владимировна</v>
          </cell>
          <cell r="C463">
            <v>928</v>
          </cell>
          <cell r="D463">
            <v>44560</v>
          </cell>
          <cell r="E463">
            <v>162634.79</v>
          </cell>
          <cell r="F463">
            <v>162634.79</v>
          </cell>
          <cell r="G463">
            <v>106660.18</v>
          </cell>
        </row>
        <row r="464">
          <cell r="A464" t="str">
            <v>В-21208/КЛ.Транш - 1_В-20211230/Ц</v>
          </cell>
          <cell r="B464" t="str">
            <v>Журавлева Наталья Юрьевна</v>
          </cell>
          <cell r="C464">
            <v>925</v>
          </cell>
          <cell r="D464">
            <v>44563</v>
          </cell>
          <cell r="E464">
            <v>2647.59</v>
          </cell>
          <cell r="F464">
            <v>2647.59</v>
          </cell>
        </row>
        <row r="465">
          <cell r="A465" t="str">
            <v>В-25457/КЛ.Транш - 1_В-20211230/Ц</v>
          </cell>
          <cell r="B465" t="str">
            <v>Крючковский Сергей Владиславович</v>
          </cell>
          <cell r="C465">
            <v>925</v>
          </cell>
          <cell r="D465">
            <v>44563</v>
          </cell>
          <cell r="E465">
            <v>180679.84</v>
          </cell>
          <cell r="F465">
            <v>180679.84</v>
          </cell>
          <cell r="G465">
            <v>119920.36</v>
          </cell>
        </row>
        <row r="466">
          <cell r="A466" t="str">
            <v>В-21269/КЛ.Транш - 1_В-20211230/Ц</v>
          </cell>
          <cell r="B466" t="str">
            <v>Елизарова Виктория Андреевна</v>
          </cell>
          <cell r="C466">
            <v>922</v>
          </cell>
          <cell r="D466">
            <v>44566</v>
          </cell>
          <cell r="E466">
            <v>1400255.08</v>
          </cell>
          <cell r="F466">
            <v>1400255.08</v>
          </cell>
          <cell r="G466">
            <v>883318.18</v>
          </cell>
        </row>
        <row r="467">
          <cell r="A467" t="str">
            <v>В-10934/КЛ.Транш - 1_В-20211230/Ц</v>
          </cell>
          <cell r="B467" t="str">
            <v>Бендас Евгений Васильевич</v>
          </cell>
          <cell r="C467">
            <v>921</v>
          </cell>
          <cell r="D467">
            <v>44567</v>
          </cell>
          <cell r="E467">
            <v>148449.85</v>
          </cell>
          <cell r="F467">
            <v>148449.85</v>
          </cell>
          <cell r="G467">
            <v>87729.919999999998</v>
          </cell>
        </row>
        <row r="468">
          <cell r="A468" t="str">
            <v>В-12391/КЛ.Транш - 2_В-20211230/Ц</v>
          </cell>
          <cell r="B468" t="str">
            <v>Саутин Александр Юрьевич</v>
          </cell>
          <cell r="C468">
            <v>921</v>
          </cell>
          <cell r="D468">
            <v>44567</v>
          </cell>
          <cell r="E468">
            <v>457015.34</v>
          </cell>
          <cell r="F468">
            <v>457015.34</v>
          </cell>
          <cell r="G468">
            <v>245424.3</v>
          </cell>
        </row>
        <row r="469">
          <cell r="A469" t="str">
            <v>В-30009/КЭ.Транш - 1_В-20211230/Ц</v>
          </cell>
          <cell r="B469" t="str">
            <v>ИП Федотов Тихон Андреевич</v>
          </cell>
          <cell r="C469">
            <v>921</v>
          </cell>
          <cell r="D469">
            <v>44567</v>
          </cell>
          <cell r="E469">
            <v>1595536.34</v>
          </cell>
          <cell r="F469">
            <v>1595536.34</v>
          </cell>
          <cell r="G469">
            <v>139831.44</v>
          </cell>
        </row>
        <row r="470">
          <cell r="A470" t="str">
            <v>В-17687/КЛ.Транш - 1_В-20211230/Ц</v>
          </cell>
          <cell r="B470" t="str">
            <v>Мусаев Саид Рамазанович</v>
          </cell>
          <cell r="C470">
            <v>919</v>
          </cell>
          <cell r="D470">
            <v>44569</v>
          </cell>
          <cell r="E470">
            <v>38601.43</v>
          </cell>
          <cell r="F470">
            <v>38601.43</v>
          </cell>
        </row>
        <row r="471">
          <cell r="A471" t="str">
            <v>В-25747/КЛ.Транш - 1_В-20211230/Ц</v>
          </cell>
          <cell r="B471" t="str">
            <v>Инютин Никита Александрович</v>
          </cell>
          <cell r="C471">
            <v>919</v>
          </cell>
          <cell r="D471">
            <v>44569</v>
          </cell>
          <cell r="E471">
            <v>1174405.1100000001</v>
          </cell>
          <cell r="F471">
            <v>1174405.1100000001</v>
          </cell>
          <cell r="G471">
            <v>665000</v>
          </cell>
        </row>
        <row r="472">
          <cell r="A472" t="str">
            <v>В-12427/КЛ.Транш - 2_В-21082023/Ц</v>
          </cell>
          <cell r="B472" t="str">
            <v>Хуртов Сергей Георгиевич</v>
          </cell>
          <cell r="C472">
            <v>917</v>
          </cell>
          <cell r="D472">
            <v>44571</v>
          </cell>
          <cell r="E472">
            <v>56337.599999999999</v>
          </cell>
          <cell r="F472">
            <v>56337.599999999999</v>
          </cell>
        </row>
        <row r="473">
          <cell r="A473" t="str">
            <v>В-08918/КЛ.Транш - 1_В-20211230/Ц</v>
          </cell>
          <cell r="B473" t="str">
            <v>Фофанов Михаил Михайлович</v>
          </cell>
          <cell r="C473">
            <v>916</v>
          </cell>
          <cell r="D473">
            <v>44572</v>
          </cell>
          <cell r="E473">
            <v>53429.46</v>
          </cell>
          <cell r="F473">
            <v>53429.46</v>
          </cell>
        </row>
        <row r="474">
          <cell r="A474" t="str">
            <v>В-17805/КЛ.Транш - 1_В-20211230/Ц</v>
          </cell>
          <cell r="B474" t="str">
            <v>Апухтина Виолетта Байрамовна</v>
          </cell>
          <cell r="C474">
            <v>916</v>
          </cell>
          <cell r="D474">
            <v>44572</v>
          </cell>
          <cell r="E474">
            <v>246529.63</v>
          </cell>
          <cell r="F474">
            <v>246529.63</v>
          </cell>
          <cell r="G474">
            <v>153915.17000000001</v>
          </cell>
        </row>
        <row r="475">
          <cell r="A475" t="str">
            <v>В-10934/КЛ.Транш - 2_В-20211230/Ц</v>
          </cell>
          <cell r="B475" t="str">
            <v>Бендас Евгений Васильевич</v>
          </cell>
          <cell r="C475">
            <v>915</v>
          </cell>
          <cell r="D475">
            <v>44573</v>
          </cell>
          <cell r="E475">
            <v>146659.43</v>
          </cell>
          <cell r="F475">
            <v>146659.43</v>
          </cell>
          <cell r="G475">
            <v>85760.74</v>
          </cell>
        </row>
        <row r="476">
          <cell r="A476" t="str">
            <v>В-16959/КЛ.Транш - 2_В-20211230/Ц</v>
          </cell>
          <cell r="B476" t="str">
            <v>Рева Анастасия Владимировна</v>
          </cell>
          <cell r="C476">
            <v>915</v>
          </cell>
          <cell r="D476">
            <v>44573</v>
          </cell>
          <cell r="E476">
            <v>178962.04</v>
          </cell>
          <cell r="F476">
            <v>178962.04</v>
          </cell>
          <cell r="G476">
            <v>108644.45</v>
          </cell>
        </row>
        <row r="477">
          <cell r="A477" t="str">
            <v>В-12368/КЛ.Транш - 1_В-20211230/Ц</v>
          </cell>
          <cell r="B477" t="str">
            <v>Масальский Руслан Иванович</v>
          </cell>
          <cell r="C477">
            <v>913</v>
          </cell>
          <cell r="D477">
            <v>44575</v>
          </cell>
          <cell r="E477">
            <v>123633.17</v>
          </cell>
          <cell r="F477">
            <v>123633.17</v>
          </cell>
          <cell r="G477">
            <v>34686.21</v>
          </cell>
        </row>
        <row r="478">
          <cell r="A478" t="str">
            <v>В-17788/КЛ.Транш - 2_В-20211230/Ц</v>
          </cell>
          <cell r="B478" t="str">
            <v>Ташланова Юлия Юрьевна</v>
          </cell>
          <cell r="C478">
            <v>910</v>
          </cell>
          <cell r="D478">
            <v>44578</v>
          </cell>
          <cell r="E478">
            <v>46930.6</v>
          </cell>
          <cell r="F478">
            <v>46930.6</v>
          </cell>
        </row>
        <row r="479">
          <cell r="A479" t="str">
            <v>В-09795/КЛ.Транш - 1_В-20211230/Ц</v>
          </cell>
          <cell r="B479" t="str">
            <v>Матвеев Андрей Александрович</v>
          </cell>
          <cell r="C479">
            <v>909</v>
          </cell>
          <cell r="D479">
            <v>44579</v>
          </cell>
          <cell r="E479">
            <v>234219.94</v>
          </cell>
          <cell r="F479">
            <v>234219.94</v>
          </cell>
          <cell r="G479">
            <v>187087.25</v>
          </cell>
        </row>
        <row r="480">
          <cell r="A480" t="str">
            <v>В-14818/КЛ.Транш - 1_В-20211230/Ц</v>
          </cell>
          <cell r="B480" t="str">
            <v>Навасардян Алёна Евгеньевна</v>
          </cell>
          <cell r="C480">
            <v>907</v>
          </cell>
          <cell r="D480">
            <v>44581</v>
          </cell>
          <cell r="E480">
            <v>483962.28</v>
          </cell>
          <cell r="F480">
            <v>483962.28</v>
          </cell>
          <cell r="G480">
            <v>265431.03000000003</v>
          </cell>
        </row>
        <row r="481">
          <cell r="A481" t="str">
            <v>В-17788/КЛ.Транш - 3_В-20211230/Ц</v>
          </cell>
          <cell r="B481" t="str">
            <v>Ташланова Юлия Юрьевна</v>
          </cell>
          <cell r="C481">
            <v>907</v>
          </cell>
          <cell r="D481">
            <v>44581</v>
          </cell>
          <cell r="E481">
            <v>208590.54</v>
          </cell>
          <cell r="F481">
            <v>208590.54</v>
          </cell>
          <cell r="G481">
            <v>134481.29999999999</v>
          </cell>
        </row>
        <row r="482">
          <cell r="A482" t="str">
            <v>В-26247/КЛ.Транш - 1_В-20211230/Ц</v>
          </cell>
          <cell r="B482" t="str">
            <v>Марков Владислав Владимирович</v>
          </cell>
          <cell r="C482">
            <v>906</v>
          </cell>
          <cell r="D482">
            <v>44582</v>
          </cell>
          <cell r="E482">
            <v>1381350.97</v>
          </cell>
          <cell r="F482">
            <v>1381350.97</v>
          </cell>
          <cell r="G482">
            <v>750000</v>
          </cell>
        </row>
        <row r="483">
          <cell r="A483" t="str">
            <v>В-21847/КЛ.Транш - 1_В-20211230/Ц</v>
          </cell>
          <cell r="B483" t="str">
            <v>Пантелеев Даниил Александрович</v>
          </cell>
          <cell r="C483">
            <v>905</v>
          </cell>
          <cell r="D483">
            <v>44583</v>
          </cell>
          <cell r="E483">
            <v>17478.41</v>
          </cell>
          <cell r="F483">
            <v>17478.41</v>
          </cell>
        </row>
        <row r="484">
          <cell r="A484" t="str">
            <v>В-04210/КЛ.Транш - 1_В-20211230/Ц</v>
          </cell>
          <cell r="B484" t="str">
            <v>Фейзуллаев Альберт Нефтуллаевич</v>
          </cell>
          <cell r="C484">
            <v>902</v>
          </cell>
          <cell r="D484">
            <v>44586</v>
          </cell>
          <cell r="E484">
            <v>231560.53</v>
          </cell>
          <cell r="F484">
            <v>231560.53</v>
          </cell>
          <cell r="G484">
            <v>152936.34</v>
          </cell>
        </row>
        <row r="485">
          <cell r="A485" t="str">
            <v>В-12391/КЛ.Транш - 1_В-20211230/Ц</v>
          </cell>
          <cell r="B485" t="str">
            <v>Саутин Александр Юрьевич</v>
          </cell>
          <cell r="C485">
            <v>902</v>
          </cell>
          <cell r="D485">
            <v>44586</v>
          </cell>
          <cell r="E485">
            <v>42253.18</v>
          </cell>
          <cell r="F485">
            <v>42253.18</v>
          </cell>
        </row>
        <row r="486">
          <cell r="A486" t="str">
            <v>В-18370/КЛ.Транш - 1_В-20211230/Ц</v>
          </cell>
          <cell r="B486" t="str">
            <v>Богданов Борис Владимирович</v>
          </cell>
          <cell r="C486">
            <v>902</v>
          </cell>
          <cell r="D486">
            <v>44586</v>
          </cell>
          <cell r="E486">
            <v>19795.330000000002</v>
          </cell>
          <cell r="F486">
            <v>19795.330000000002</v>
          </cell>
        </row>
        <row r="487">
          <cell r="A487" t="str">
            <v>В-20855/КЛ.Транш - 1_В-20211230/Ц</v>
          </cell>
          <cell r="B487" t="str">
            <v>Лебедева Евгения Александровна</v>
          </cell>
          <cell r="C487">
            <v>902</v>
          </cell>
          <cell r="D487">
            <v>44586</v>
          </cell>
          <cell r="E487">
            <v>120069.83</v>
          </cell>
          <cell r="F487">
            <v>120069.83</v>
          </cell>
        </row>
        <row r="488">
          <cell r="A488" t="str">
            <v>В-24021/КЛ.Транш - 1_В-20211230/Ц</v>
          </cell>
          <cell r="B488" t="str">
            <v>Кострюков Сергей Вячеславович</v>
          </cell>
          <cell r="C488">
            <v>902</v>
          </cell>
          <cell r="D488">
            <v>44586</v>
          </cell>
          <cell r="E488">
            <v>138182.68</v>
          </cell>
          <cell r="F488">
            <v>138182.68</v>
          </cell>
          <cell r="G488">
            <v>35976.559999999998</v>
          </cell>
        </row>
        <row r="489">
          <cell r="A489" t="str">
            <v>В-12401/КЛ.Транш - 1_В-21082023/Ц</v>
          </cell>
          <cell r="B489" t="str">
            <v>Джабраилов Саид-Хусейн Хасанович</v>
          </cell>
          <cell r="C489">
            <v>901</v>
          </cell>
          <cell r="D489">
            <v>44587</v>
          </cell>
          <cell r="E489">
            <v>148956.49</v>
          </cell>
          <cell r="F489">
            <v>148956.49</v>
          </cell>
          <cell r="G489">
            <v>125658</v>
          </cell>
        </row>
        <row r="490">
          <cell r="A490" t="str">
            <v>В-12401/КЛ.Транш - 2_В-21082023/Ц</v>
          </cell>
          <cell r="B490" t="str">
            <v>Джабраилов Саид-Хусейн Хасанович</v>
          </cell>
          <cell r="C490">
            <v>899</v>
          </cell>
          <cell r="D490">
            <v>44589</v>
          </cell>
          <cell r="E490">
            <v>191121.34</v>
          </cell>
          <cell r="F490">
            <v>191121.34</v>
          </cell>
          <cell r="G490">
            <v>165572.75</v>
          </cell>
        </row>
        <row r="491">
          <cell r="A491" t="str">
            <v>В-10012/КЭ.Транш - 1_В-20211230/Ц</v>
          </cell>
          <cell r="B491" t="str">
            <v>АРТЭС ООО</v>
          </cell>
          <cell r="C491">
            <v>898</v>
          </cell>
          <cell r="D491">
            <v>44590</v>
          </cell>
          <cell r="E491">
            <v>2121495.81</v>
          </cell>
          <cell r="F491">
            <v>2121495.81</v>
          </cell>
          <cell r="G491">
            <v>195756.47</v>
          </cell>
        </row>
        <row r="492">
          <cell r="A492" t="str">
            <v>В-25302/КЛ.Транш - 1_В-20211230/Ц</v>
          </cell>
          <cell r="B492" t="str">
            <v>Пеньков Алексей Александрович</v>
          </cell>
          <cell r="C492">
            <v>898</v>
          </cell>
          <cell r="D492">
            <v>44590</v>
          </cell>
          <cell r="E492">
            <v>1811744.43</v>
          </cell>
          <cell r="F492">
            <v>1811744.43</v>
          </cell>
          <cell r="G492">
            <v>996455.47</v>
          </cell>
        </row>
        <row r="493">
          <cell r="A493" t="str">
            <v>В-12427/КЛ.Транш - 3_В-21082023/Ц</v>
          </cell>
          <cell r="B493" t="str">
            <v>Хуртов Сергей Георгиевич</v>
          </cell>
          <cell r="C493">
            <v>897</v>
          </cell>
          <cell r="D493">
            <v>44591</v>
          </cell>
          <cell r="E493">
            <v>33672</v>
          </cell>
          <cell r="F493">
            <v>33672</v>
          </cell>
        </row>
        <row r="494">
          <cell r="A494" t="str">
            <v>В-21048/КЛ.Транш - 1_В-20211230/Ц</v>
          </cell>
          <cell r="B494" t="str">
            <v>Матузов Алексей Викторович</v>
          </cell>
          <cell r="C494">
            <v>894</v>
          </cell>
          <cell r="D494">
            <v>44594</v>
          </cell>
          <cell r="E494">
            <v>32937.47</v>
          </cell>
          <cell r="F494">
            <v>32937.47</v>
          </cell>
        </row>
        <row r="495">
          <cell r="A495" t="str">
            <v>В-17788/КЛ.Транш - 1_В-20211230/Ц</v>
          </cell>
          <cell r="B495" t="str">
            <v>Ташланова Юлия Юрьевна</v>
          </cell>
          <cell r="C495">
            <v>886</v>
          </cell>
          <cell r="D495">
            <v>44602</v>
          </cell>
          <cell r="E495">
            <v>67788.05</v>
          </cell>
          <cell r="F495">
            <v>67788.05</v>
          </cell>
        </row>
        <row r="496">
          <cell r="A496" t="str">
            <v>В-25806/КЛ.Транш - 1_В-20211230/Ц</v>
          </cell>
          <cell r="B496" t="str">
            <v>Армяновский Сергей Владимирович</v>
          </cell>
          <cell r="C496">
            <v>886</v>
          </cell>
          <cell r="D496">
            <v>44602</v>
          </cell>
          <cell r="E496">
            <v>295450.19</v>
          </cell>
          <cell r="F496">
            <v>295450.19</v>
          </cell>
          <cell r="G496">
            <v>225509.31</v>
          </cell>
        </row>
        <row r="497">
          <cell r="A497" t="str">
            <v>В-17824/КЛ.Транш - 1_В-20211230/Ц</v>
          </cell>
          <cell r="B497" t="str">
            <v>Трунтов Андрей Федорович</v>
          </cell>
          <cell r="C497">
            <v>885</v>
          </cell>
          <cell r="D497">
            <v>44603</v>
          </cell>
          <cell r="E497">
            <v>307981.92</v>
          </cell>
          <cell r="F497">
            <v>307981.92</v>
          </cell>
          <cell r="G497">
            <v>277060.77</v>
          </cell>
        </row>
        <row r="498">
          <cell r="A498" t="str">
            <v>В-17805/КЛ.Транш - 3_В-20211230/Ц</v>
          </cell>
          <cell r="B498" t="str">
            <v>Апухтина Виолетта Байрамовна</v>
          </cell>
          <cell r="C498">
            <v>884</v>
          </cell>
          <cell r="D498">
            <v>44604</v>
          </cell>
          <cell r="E498">
            <v>176959.86</v>
          </cell>
          <cell r="F498">
            <v>176959.86</v>
          </cell>
          <cell r="G498">
            <v>111799</v>
          </cell>
        </row>
        <row r="499">
          <cell r="A499" t="str">
            <v>В-14178/КЛ.Транш - 1_В-20211230/Ц</v>
          </cell>
          <cell r="B499" t="str">
            <v>Киселев Андрей Владимирович</v>
          </cell>
          <cell r="C499">
            <v>881</v>
          </cell>
          <cell r="D499">
            <v>44607</v>
          </cell>
          <cell r="E499">
            <v>94447.35</v>
          </cell>
          <cell r="F499">
            <v>94447.35</v>
          </cell>
          <cell r="G499">
            <v>70754.86</v>
          </cell>
        </row>
        <row r="500">
          <cell r="A500" t="str">
            <v>В-18757/КЛ.Транш - 1_В-20211230/Ц</v>
          </cell>
          <cell r="B500" t="str">
            <v>Машковцев Алексей Валерьевич</v>
          </cell>
          <cell r="C500">
            <v>881</v>
          </cell>
          <cell r="D500">
            <v>44607</v>
          </cell>
          <cell r="E500">
            <v>167500</v>
          </cell>
          <cell r="F500">
            <v>167500</v>
          </cell>
          <cell r="G500">
            <v>151175.47</v>
          </cell>
        </row>
        <row r="501">
          <cell r="A501" t="str">
            <v>В-17062/КЛ.Транш - 2_В-20211230/Ц</v>
          </cell>
          <cell r="B501" t="str">
            <v>Мацола Артём Иванович</v>
          </cell>
          <cell r="C501">
            <v>880</v>
          </cell>
          <cell r="D501">
            <v>44608</v>
          </cell>
          <cell r="E501">
            <v>137065.20000000001</v>
          </cell>
          <cell r="F501">
            <v>137065.20000000001</v>
          </cell>
          <cell r="G501">
            <v>116694.96</v>
          </cell>
        </row>
        <row r="502">
          <cell r="A502" t="str">
            <v>В-17062/КЛ.Транш - 3_В-20211230/Ц</v>
          </cell>
          <cell r="B502" t="str">
            <v>Мацола Артём Иванович</v>
          </cell>
          <cell r="C502">
            <v>880</v>
          </cell>
          <cell r="D502">
            <v>44608</v>
          </cell>
          <cell r="E502">
            <v>197891.23</v>
          </cell>
          <cell r="F502">
            <v>197891.23</v>
          </cell>
          <cell r="G502">
            <v>163263.93</v>
          </cell>
        </row>
        <row r="503">
          <cell r="A503" t="str">
            <v>В-20490/КЛ.Транш - 1_В-21082023/Ц</v>
          </cell>
          <cell r="B503" t="str">
            <v>Муравьев Сергей Сергеевич</v>
          </cell>
          <cell r="C503">
            <v>880</v>
          </cell>
          <cell r="D503">
            <v>44608</v>
          </cell>
          <cell r="E503">
            <v>345922.99</v>
          </cell>
          <cell r="F503">
            <v>345922.99</v>
          </cell>
          <cell r="G503">
            <v>221017.86</v>
          </cell>
        </row>
        <row r="504">
          <cell r="A504" t="str">
            <v>В-21574/КЛ.Транш - 1_В-20211230/Ц</v>
          </cell>
          <cell r="B504" t="str">
            <v>Тряпко Владимир Александрович</v>
          </cell>
          <cell r="C504">
            <v>880</v>
          </cell>
          <cell r="D504">
            <v>44608</v>
          </cell>
          <cell r="E504">
            <v>345124.76</v>
          </cell>
          <cell r="F504">
            <v>345124.76</v>
          </cell>
          <cell r="G504">
            <v>283080.28000000003</v>
          </cell>
        </row>
        <row r="505">
          <cell r="A505" t="str">
            <v>В-20952/КЛ.Транш - 4_В-21082023/Ц</v>
          </cell>
          <cell r="B505" t="str">
            <v>Ширманов Никита Александрович</v>
          </cell>
          <cell r="C505">
            <v>879</v>
          </cell>
          <cell r="D505">
            <v>44609</v>
          </cell>
          <cell r="E505">
            <v>120947.73</v>
          </cell>
          <cell r="F505">
            <v>184800.81</v>
          </cell>
          <cell r="G505">
            <v>84770.39</v>
          </cell>
        </row>
        <row r="506">
          <cell r="A506" t="str">
            <v>В-08745/КЛ.Транш - 1_В-21082023/Ц</v>
          </cell>
          <cell r="B506" t="str">
            <v>Правдивцева Наталья Владимировна</v>
          </cell>
          <cell r="C506">
            <v>878</v>
          </cell>
          <cell r="D506">
            <v>44610</v>
          </cell>
          <cell r="E506">
            <v>234195.41</v>
          </cell>
          <cell r="F506">
            <v>234195.41</v>
          </cell>
          <cell r="G506">
            <v>148567.23000000001</v>
          </cell>
        </row>
        <row r="507">
          <cell r="A507" t="str">
            <v>В-24878/КЛ.Транш - 1_В-20211230/Ц</v>
          </cell>
          <cell r="B507" t="str">
            <v>Мовсесян Гарик Вагифович</v>
          </cell>
          <cell r="C507">
            <v>877</v>
          </cell>
          <cell r="D507">
            <v>44611</v>
          </cell>
          <cell r="E507">
            <v>578361.67000000004</v>
          </cell>
          <cell r="F507">
            <v>578361.67000000004</v>
          </cell>
          <cell r="G507">
            <v>449305.93</v>
          </cell>
        </row>
        <row r="508">
          <cell r="A508" t="str">
            <v>В-11534/КЛ.Транш - 2_В-20211230/Ц</v>
          </cell>
          <cell r="B508" t="str">
            <v>Иванов Владимир Леонидович</v>
          </cell>
          <cell r="C508">
            <v>876</v>
          </cell>
          <cell r="D508">
            <v>44612</v>
          </cell>
          <cell r="E508">
            <v>253711.37</v>
          </cell>
          <cell r="F508">
            <v>253711.37</v>
          </cell>
          <cell r="G508">
            <v>188012.23</v>
          </cell>
        </row>
        <row r="509">
          <cell r="A509" t="str">
            <v>В-13336/КЛ.Транш - 2_В-21082023/Ц</v>
          </cell>
          <cell r="B509" t="str">
            <v>Алыбаев Долеткельди Ягудович</v>
          </cell>
          <cell r="C509">
            <v>874</v>
          </cell>
          <cell r="D509">
            <v>44614</v>
          </cell>
          <cell r="E509">
            <v>269323.46999999997</v>
          </cell>
          <cell r="F509">
            <v>269323.46999999997</v>
          </cell>
          <cell r="G509">
            <v>195543.37</v>
          </cell>
        </row>
        <row r="510">
          <cell r="A510" t="str">
            <v>В-17106/КЛ.Транш - 1_В-20211230/Ц</v>
          </cell>
          <cell r="B510" t="str">
            <v>Кебурия Илья Нугзариевич</v>
          </cell>
          <cell r="C510">
            <v>874</v>
          </cell>
          <cell r="D510">
            <v>44614</v>
          </cell>
          <cell r="E510">
            <v>84643.06</v>
          </cell>
          <cell r="F510">
            <v>84643.06</v>
          </cell>
          <cell r="G510">
            <v>67895.75</v>
          </cell>
        </row>
        <row r="511">
          <cell r="A511" t="str">
            <v>В-24927/КЛ.Транш - 1_В-20211230/Ц</v>
          </cell>
          <cell r="B511" t="str">
            <v>Златин Денис Петрович</v>
          </cell>
          <cell r="C511">
            <v>874</v>
          </cell>
          <cell r="D511">
            <v>44614</v>
          </cell>
          <cell r="E511">
            <v>220947.03</v>
          </cell>
          <cell r="F511">
            <v>220947.03</v>
          </cell>
          <cell r="G511">
            <v>168816.6</v>
          </cell>
        </row>
        <row r="512">
          <cell r="A512" t="str">
            <v>В-21858/КЛ.Транш - 1_В-20211230/Ц</v>
          </cell>
          <cell r="B512" t="str">
            <v>Тонконогов Артем Андреевич</v>
          </cell>
          <cell r="C512">
            <v>873</v>
          </cell>
          <cell r="D512">
            <v>44615</v>
          </cell>
          <cell r="E512">
            <v>478682.42</v>
          </cell>
          <cell r="F512">
            <v>478682.42</v>
          </cell>
          <cell r="G512">
            <v>260536.4</v>
          </cell>
        </row>
        <row r="513">
          <cell r="A513" t="str">
            <v>В-14907/КЛ.Транш - 1_В-20211230/Ц</v>
          </cell>
          <cell r="B513" t="str">
            <v>Аперян Любовь Артуровна</v>
          </cell>
          <cell r="C513">
            <v>872</v>
          </cell>
          <cell r="D513">
            <v>44616</v>
          </cell>
          <cell r="E513">
            <v>18357.53</v>
          </cell>
          <cell r="F513">
            <v>18357.53</v>
          </cell>
          <cell r="G513">
            <v>13559.44</v>
          </cell>
        </row>
        <row r="514">
          <cell r="A514" t="str">
            <v>В-25131/КЛ.Транш - 1_В-20211230/Ц</v>
          </cell>
          <cell r="B514" t="str">
            <v>Айрапетян Нарек Гайкович</v>
          </cell>
          <cell r="C514">
            <v>872</v>
          </cell>
          <cell r="D514">
            <v>44616</v>
          </cell>
          <cell r="E514">
            <v>508874.19</v>
          </cell>
          <cell r="F514">
            <v>508874.19</v>
          </cell>
          <cell r="G514">
            <v>290917.65000000002</v>
          </cell>
        </row>
        <row r="515">
          <cell r="A515" t="str">
            <v>В-11534/КЛ.Транш - 1_В-20211230/Ц</v>
          </cell>
          <cell r="B515" t="str">
            <v>Иванов Владимир Леонидович</v>
          </cell>
          <cell r="C515">
            <v>871</v>
          </cell>
          <cell r="D515">
            <v>44617</v>
          </cell>
          <cell r="E515">
            <v>287904.3</v>
          </cell>
          <cell r="F515">
            <v>287904.3</v>
          </cell>
          <cell r="G515">
            <v>230479.84</v>
          </cell>
        </row>
        <row r="516">
          <cell r="A516" t="str">
            <v>В-14544/КЛ.Транш - 1_В-20211230/Ц</v>
          </cell>
          <cell r="B516" t="str">
            <v>Солдатенков Алексей Геннадиевич</v>
          </cell>
          <cell r="C516">
            <v>871</v>
          </cell>
          <cell r="D516">
            <v>44617</v>
          </cell>
          <cell r="E516">
            <v>221601.18</v>
          </cell>
          <cell r="F516">
            <v>221601.18</v>
          </cell>
          <cell r="G516">
            <v>169768.2</v>
          </cell>
        </row>
        <row r="517">
          <cell r="A517" t="str">
            <v>В-14544/КЛ.Транш - 2_В-20211230/Ц</v>
          </cell>
          <cell r="B517" t="str">
            <v>Солдатенков Алексей Геннадиевич</v>
          </cell>
          <cell r="C517">
            <v>871</v>
          </cell>
          <cell r="D517">
            <v>44617</v>
          </cell>
          <cell r="E517">
            <v>173544.82</v>
          </cell>
          <cell r="F517">
            <v>173544.82</v>
          </cell>
          <cell r="G517">
            <v>130000</v>
          </cell>
        </row>
        <row r="518">
          <cell r="A518" t="str">
            <v>В-22057/КЛ.Транш - 2_В-20211230/Ц</v>
          </cell>
          <cell r="B518" t="str">
            <v>Лихачева Мария Николаевна</v>
          </cell>
          <cell r="C518">
            <v>871</v>
          </cell>
          <cell r="D518">
            <v>44617</v>
          </cell>
          <cell r="E518">
            <v>210348.02</v>
          </cell>
          <cell r="F518">
            <v>210348.02</v>
          </cell>
          <cell r="G518">
            <v>157374.98000000001</v>
          </cell>
        </row>
        <row r="519">
          <cell r="A519" t="str">
            <v>В-27521/КЛ.Транш - 1_В-20211230/Ц</v>
          </cell>
          <cell r="B519" t="str">
            <v>Невкипелый Дмитрий Валерьевич</v>
          </cell>
          <cell r="C519">
            <v>871</v>
          </cell>
          <cell r="D519">
            <v>44617</v>
          </cell>
          <cell r="E519">
            <v>280487.65999999997</v>
          </cell>
          <cell r="F519">
            <v>280487.65999999997</v>
          </cell>
          <cell r="G519">
            <v>269513.53000000003</v>
          </cell>
        </row>
        <row r="520">
          <cell r="A520" t="str">
            <v>В-01051/АЗ_В-20211230/Ц</v>
          </cell>
          <cell r="B520" t="str">
            <v>Демченко Андрей Сергеевич</v>
          </cell>
          <cell r="C520">
            <v>870</v>
          </cell>
          <cell r="D520">
            <v>44618</v>
          </cell>
          <cell r="E520">
            <v>904019.63</v>
          </cell>
          <cell r="F520">
            <v>904019.63</v>
          </cell>
          <cell r="G520">
            <v>485590.5</v>
          </cell>
        </row>
        <row r="521">
          <cell r="A521" t="str">
            <v>В-00068/КЭ.Транш - 1_В-20211230/Ц</v>
          </cell>
          <cell r="B521" t="str">
            <v>Бизнес Бухгалтер ООО</v>
          </cell>
          <cell r="C521">
            <v>868</v>
          </cell>
          <cell r="D521">
            <v>44620</v>
          </cell>
          <cell r="E521">
            <v>2805724.82</v>
          </cell>
          <cell r="F521">
            <v>2805724.82</v>
          </cell>
          <cell r="G521">
            <v>255257.44</v>
          </cell>
        </row>
        <row r="522">
          <cell r="A522" t="str">
            <v>В-17062/КЛ.Транш - 1_В-20211230/Ц</v>
          </cell>
          <cell r="B522" t="str">
            <v>Мацола Артём Иванович</v>
          </cell>
          <cell r="C522">
            <v>868</v>
          </cell>
          <cell r="D522">
            <v>44620</v>
          </cell>
          <cell r="E522">
            <v>134489.06</v>
          </cell>
          <cell r="F522">
            <v>134489.06</v>
          </cell>
          <cell r="G522">
            <v>117058.82</v>
          </cell>
        </row>
        <row r="523">
          <cell r="A523" t="str">
            <v>В-22057/КЛ.Транш - 1_В-20211230/Ц</v>
          </cell>
          <cell r="B523" t="str">
            <v>Лихачева Мария Николаевна</v>
          </cell>
          <cell r="C523">
            <v>868</v>
          </cell>
          <cell r="D523">
            <v>44620</v>
          </cell>
          <cell r="E523">
            <v>724410.15</v>
          </cell>
          <cell r="F523">
            <v>724410.15</v>
          </cell>
          <cell r="G523">
            <v>583556.47</v>
          </cell>
        </row>
        <row r="524">
          <cell r="A524" t="str">
            <v>В-25304/АЗ_В-20211230/Ц</v>
          </cell>
          <cell r="B524" t="str">
            <v>Гаврин Валентин Николаевич</v>
          </cell>
          <cell r="C524">
            <v>868</v>
          </cell>
          <cell r="D524">
            <v>44620</v>
          </cell>
          <cell r="E524">
            <v>1291563.54</v>
          </cell>
          <cell r="F524">
            <v>1291563.54</v>
          </cell>
          <cell r="G524">
            <v>992657.44</v>
          </cell>
        </row>
        <row r="525">
          <cell r="A525" t="str">
            <v>В-26776/КЛ.Транш - 1_В-20211230/Ц</v>
          </cell>
          <cell r="B525" t="str">
            <v>Комаров Андрей Сергеевич</v>
          </cell>
          <cell r="C525">
            <v>868</v>
          </cell>
          <cell r="D525">
            <v>44620</v>
          </cell>
          <cell r="E525">
            <v>1085577.21</v>
          </cell>
          <cell r="F525">
            <v>1085577.21</v>
          </cell>
          <cell r="G525">
            <v>894567.06</v>
          </cell>
        </row>
        <row r="526">
          <cell r="A526" t="str">
            <v>В-27747/КЛ.Транш - 1_В-20211230/Ц</v>
          </cell>
          <cell r="B526" t="str">
            <v>Гусейнов Магомед Динисламович</v>
          </cell>
          <cell r="C526">
            <v>868</v>
          </cell>
          <cell r="D526">
            <v>44620</v>
          </cell>
          <cell r="E526">
            <v>145625.62</v>
          </cell>
          <cell r="F526">
            <v>145625.62</v>
          </cell>
          <cell r="G526">
            <v>110000</v>
          </cell>
        </row>
        <row r="527">
          <cell r="A527" t="str">
            <v>В-00070/КЭ.Транш - 1_В-20211230/Ц</v>
          </cell>
          <cell r="B527" t="str">
            <v>ТехТара ООО</v>
          </cell>
          <cell r="C527">
            <v>866</v>
          </cell>
          <cell r="D527">
            <v>44622</v>
          </cell>
          <cell r="E527">
            <v>2100610.35</v>
          </cell>
          <cell r="F527">
            <v>2100610.35</v>
          </cell>
          <cell r="G527">
            <v>189983.15</v>
          </cell>
        </row>
        <row r="528">
          <cell r="A528" t="str">
            <v>В-19451/КЛ.Транш - 2_В-20211230/Ц</v>
          </cell>
          <cell r="B528" t="str">
            <v>Устинов Максим Викторович</v>
          </cell>
          <cell r="C528">
            <v>866</v>
          </cell>
          <cell r="D528">
            <v>44622</v>
          </cell>
          <cell r="E528">
            <v>109698.3</v>
          </cell>
          <cell r="F528">
            <v>109698.3</v>
          </cell>
          <cell r="G528">
            <v>86699.6</v>
          </cell>
        </row>
        <row r="529">
          <cell r="A529" t="str">
            <v>В-07877/КЛ.Транш - 12_В-21082023/Ц</v>
          </cell>
          <cell r="B529" t="str">
            <v>Кильдюшкин Андрей Николаевич</v>
          </cell>
          <cell r="C529">
            <v>862</v>
          </cell>
          <cell r="D529">
            <v>44626</v>
          </cell>
          <cell r="E529">
            <v>226770.46</v>
          </cell>
          <cell r="F529">
            <v>226770.46</v>
          </cell>
          <cell r="G529">
            <v>81525.179999999993</v>
          </cell>
        </row>
        <row r="530">
          <cell r="A530" t="str">
            <v>В-27006/КЛ.Транш - 1_В-20211230/Ц</v>
          </cell>
          <cell r="B530" t="str">
            <v>Валиков Алексей Анатольевич</v>
          </cell>
          <cell r="C530">
            <v>858</v>
          </cell>
          <cell r="D530">
            <v>44630</v>
          </cell>
          <cell r="E530">
            <v>107222.81</v>
          </cell>
          <cell r="F530">
            <v>107222.81</v>
          </cell>
        </row>
        <row r="531">
          <cell r="A531" t="str">
            <v>В-14907/КЛ.Транш - 2_В-20211230/Ц</v>
          </cell>
          <cell r="B531" t="str">
            <v>Аперян Любовь Артуровна</v>
          </cell>
          <cell r="C531">
            <v>856</v>
          </cell>
          <cell r="D531">
            <v>44632</v>
          </cell>
          <cell r="E531">
            <v>782720.84</v>
          </cell>
          <cell r="F531">
            <v>782720.84</v>
          </cell>
          <cell r="G531">
            <v>585600</v>
          </cell>
        </row>
        <row r="532">
          <cell r="A532" t="str">
            <v>В-17752/КЛ.Транш - 1_В-20211230/Ц</v>
          </cell>
          <cell r="B532" t="str">
            <v>Симонов Станислав Валерьевич</v>
          </cell>
          <cell r="C532">
            <v>856</v>
          </cell>
          <cell r="D532">
            <v>44632</v>
          </cell>
          <cell r="E532">
            <v>369867.04</v>
          </cell>
          <cell r="F532">
            <v>369867.04</v>
          </cell>
          <cell r="G532">
            <v>296850.77</v>
          </cell>
        </row>
        <row r="533">
          <cell r="A533" t="str">
            <v>В-27050/АЗ_В-20211230/Ц</v>
          </cell>
          <cell r="B533" t="str">
            <v>Бутурлакин Марк Николаевич</v>
          </cell>
          <cell r="C533">
            <v>856</v>
          </cell>
          <cell r="D533">
            <v>44632</v>
          </cell>
          <cell r="E533">
            <v>536324.46</v>
          </cell>
          <cell r="F533">
            <v>536324.46</v>
          </cell>
          <cell r="G533">
            <v>413095.75</v>
          </cell>
        </row>
        <row r="534">
          <cell r="A534" t="str">
            <v>В-17752/КЛ.Транш - 2_В-20211230/Ц</v>
          </cell>
          <cell r="B534" t="str">
            <v>Симонов Станислав Валерьевич</v>
          </cell>
          <cell r="C534">
            <v>852</v>
          </cell>
          <cell r="D534">
            <v>44636</v>
          </cell>
          <cell r="E534">
            <v>135442.16</v>
          </cell>
          <cell r="F534">
            <v>135442.16</v>
          </cell>
          <cell r="G534">
            <v>109325.25</v>
          </cell>
        </row>
        <row r="535">
          <cell r="A535" t="str">
            <v>В-15393/КЛ.Транш - 1_В-20211230/Ц</v>
          </cell>
          <cell r="B535" t="str">
            <v>Темникова Оксана Дмитриевна</v>
          </cell>
          <cell r="C535">
            <v>851</v>
          </cell>
          <cell r="D535">
            <v>44637</v>
          </cell>
          <cell r="E535">
            <v>117663.15</v>
          </cell>
          <cell r="F535">
            <v>117663.15</v>
          </cell>
          <cell r="G535">
            <v>92548.6</v>
          </cell>
        </row>
        <row r="536">
          <cell r="A536" t="str">
            <v>В-07877/КЛ.Транш - 15_В-21082023/Ц</v>
          </cell>
          <cell r="B536" t="str">
            <v>Кильдюшкин Андрей Николаевич</v>
          </cell>
          <cell r="C536">
            <v>850</v>
          </cell>
          <cell r="D536">
            <v>44638</v>
          </cell>
          <cell r="E536">
            <v>232192.72</v>
          </cell>
          <cell r="F536">
            <v>238941.01</v>
          </cell>
          <cell r="G536">
            <v>86951.96</v>
          </cell>
        </row>
        <row r="537">
          <cell r="A537" t="str">
            <v>В-26093/КЛ.Транш - 1_В-20211230/Ц</v>
          </cell>
          <cell r="B537" t="str">
            <v>Храмцова Дарья Юрьевна</v>
          </cell>
          <cell r="C537">
            <v>848</v>
          </cell>
          <cell r="D537">
            <v>44640</v>
          </cell>
          <cell r="E537">
            <v>318985.53000000003</v>
          </cell>
          <cell r="F537">
            <v>318985.53000000003</v>
          </cell>
          <cell r="G537">
            <v>153752.76</v>
          </cell>
        </row>
        <row r="538">
          <cell r="A538" t="str">
            <v>В-07877/КЛ.Транш - 14_В-21082023/Ц</v>
          </cell>
          <cell r="B538" t="str">
            <v>Кильдюшкин Андрей Николаевич</v>
          </cell>
          <cell r="C538">
            <v>847</v>
          </cell>
          <cell r="D538">
            <v>44641</v>
          </cell>
          <cell r="E538">
            <v>168674.08</v>
          </cell>
          <cell r="F538">
            <v>168674.08</v>
          </cell>
          <cell r="G538">
            <v>61346.76</v>
          </cell>
        </row>
        <row r="539">
          <cell r="A539" t="str">
            <v>В-27416/АЗ_В-20211230/Ц</v>
          </cell>
          <cell r="B539" t="str">
            <v>Жолобов Алексей Юрьевич</v>
          </cell>
          <cell r="C539">
            <v>847</v>
          </cell>
          <cell r="D539">
            <v>44641</v>
          </cell>
          <cell r="E539">
            <v>290545.06</v>
          </cell>
          <cell r="F539">
            <v>290545.06</v>
          </cell>
          <cell r="G539">
            <v>42862.02</v>
          </cell>
        </row>
        <row r="540">
          <cell r="A540" t="str">
            <v>В-00077/КЭ.Транш - 1_В-20211230/Ц</v>
          </cell>
          <cell r="B540" t="str">
            <v>ДОРРЕМСТРОЙ ООО</v>
          </cell>
          <cell r="C540">
            <v>845</v>
          </cell>
          <cell r="D540">
            <v>44643</v>
          </cell>
          <cell r="E540">
            <v>2838617.95</v>
          </cell>
          <cell r="F540">
            <v>2838617.95</v>
          </cell>
          <cell r="G540">
            <v>1382886.78</v>
          </cell>
        </row>
        <row r="541">
          <cell r="A541" t="str">
            <v>В-19451/КЛ.Транш - 3_В-20211230/Ц</v>
          </cell>
          <cell r="B541" t="str">
            <v>Устинов Максим Викторович</v>
          </cell>
          <cell r="C541">
            <v>845</v>
          </cell>
          <cell r="D541">
            <v>44643</v>
          </cell>
          <cell r="E541">
            <v>106252.33</v>
          </cell>
          <cell r="F541">
            <v>106252.33</v>
          </cell>
          <cell r="G541">
            <v>86699.6</v>
          </cell>
        </row>
        <row r="542">
          <cell r="A542" t="str">
            <v>В-20787/КЛ.Транш - 1_В-20211230/Ц</v>
          </cell>
          <cell r="B542" t="str">
            <v>Исаков Иван Владимирович</v>
          </cell>
          <cell r="C542">
            <v>845</v>
          </cell>
          <cell r="D542">
            <v>44643</v>
          </cell>
          <cell r="E542">
            <v>118180.95</v>
          </cell>
          <cell r="F542">
            <v>118180.95</v>
          </cell>
          <cell r="G542">
            <v>105093.83</v>
          </cell>
        </row>
        <row r="543">
          <cell r="A543" t="str">
            <v>В-17199/КЛ.Транш - 3_В-20211230/Ц</v>
          </cell>
          <cell r="B543" t="str">
            <v>Мустафин Ринад Исмаилович</v>
          </cell>
          <cell r="C543">
            <v>843</v>
          </cell>
          <cell r="D543">
            <v>44645</v>
          </cell>
          <cell r="E543">
            <v>15676.99</v>
          </cell>
          <cell r="F543">
            <v>15676.99</v>
          </cell>
        </row>
        <row r="544">
          <cell r="A544" t="str">
            <v>В-11630/КЛ.Транш - 1_В-20211230/Ц</v>
          </cell>
          <cell r="B544" t="str">
            <v>Комарова Марина Владимировна</v>
          </cell>
          <cell r="C544">
            <v>842</v>
          </cell>
          <cell r="D544">
            <v>44646</v>
          </cell>
          <cell r="E544">
            <v>1404822.72</v>
          </cell>
          <cell r="F544">
            <v>1404822.72</v>
          </cell>
          <cell r="G544">
            <v>868613.88</v>
          </cell>
        </row>
        <row r="545">
          <cell r="A545" t="str">
            <v>В-17506/КЛ.Транш - 1_В-21082023/Ц</v>
          </cell>
          <cell r="B545" t="str">
            <v>Богачук Сергей Прокопьевич</v>
          </cell>
          <cell r="C545">
            <v>839</v>
          </cell>
          <cell r="D545">
            <v>44649</v>
          </cell>
          <cell r="E545">
            <v>985790.77</v>
          </cell>
          <cell r="F545">
            <v>985790.77</v>
          </cell>
          <cell r="G545">
            <v>729903.21</v>
          </cell>
        </row>
        <row r="546">
          <cell r="A546" t="str">
            <v>В-23074/КЛ.Транш - 1_В-20211230/Ц</v>
          </cell>
          <cell r="B546" t="str">
            <v>Дорожинская Екатерина Андреевна</v>
          </cell>
          <cell r="C546">
            <v>838</v>
          </cell>
          <cell r="D546">
            <v>44650</v>
          </cell>
          <cell r="E546">
            <v>296317.98</v>
          </cell>
          <cell r="F546">
            <v>296317.98</v>
          </cell>
          <cell r="G546">
            <v>186575.46</v>
          </cell>
        </row>
        <row r="547">
          <cell r="A547" t="str">
            <v>В-24261/КЛ.Транш - 1_В-20211230/Ц</v>
          </cell>
          <cell r="B547" t="str">
            <v>Мустафьева Айтан Таджединовна</v>
          </cell>
          <cell r="C547">
            <v>835</v>
          </cell>
          <cell r="D547">
            <v>44653</v>
          </cell>
          <cell r="E547">
            <v>287707.90999999997</v>
          </cell>
          <cell r="F547">
            <v>287707.90999999997</v>
          </cell>
          <cell r="G547">
            <v>245619.82</v>
          </cell>
        </row>
        <row r="548">
          <cell r="A548" t="str">
            <v>В-24336/КЛ.Транш - 1_В-21082023/Ц</v>
          </cell>
          <cell r="B548" t="str">
            <v>Алексанян Роберт Робертович</v>
          </cell>
          <cell r="C548">
            <v>835</v>
          </cell>
          <cell r="D548">
            <v>44653</v>
          </cell>
          <cell r="E548">
            <v>53312.89</v>
          </cell>
          <cell r="F548">
            <v>53312.89</v>
          </cell>
        </row>
        <row r="549">
          <cell r="A549" t="str">
            <v>В-16432/КЛ.Транш - 1_В-21082023/Ц</v>
          </cell>
          <cell r="B549" t="str">
            <v>Малинина Оксана Александровна</v>
          </cell>
          <cell r="C549">
            <v>834</v>
          </cell>
          <cell r="D549">
            <v>44654</v>
          </cell>
          <cell r="E549">
            <v>669486.55000000005</v>
          </cell>
          <cell r="F549">
            <v>669486.55000000005</v>
          </cell>
          <cell r="G549">
            <v>463654.9</v>
          </cell>
        </row>
        <row r="550">
          <cell r="A550" t="str">
            <v>В-21175/КЛ.Транш - 1_В-21082023/Ц</v>
          </cell>
          <cell r="B550" t="str">
            <v>Пилюгин Олег Васильевич</v>
          </cell>
          <cell r="C550">
            <v>834</v>
          </cell>
          <cell r="D550">
            <v>44654</v>
          </cell>
          <cell r="E550">
            <v>262606.06</v>
          </cell>
          <cell r="F550">
            <v>262606.06</v>
          </cell>
          <cell r="G550">
            <v>180657.57</v>
          </cell>
        </row>
        <row r="551">
          <cell r="A551" t="str">
            <v>В-17199/КЛ.Транш - 2_В-20211230/Ц</v>
          </cell>
          <cell r="B551" t="str">
            <v>Мустафин Ринад Исмаилович</v>
          </cell>
          <cell r="C551">
            <v>833</v>
          </cell>
          <cell r="D551">
            <v>44655</v>
          </cell>
          <cell r="E551">
            <v>8454.2999999999993</v>
          </cell>
          <cell r="F551">
            <v>8454.2999999999993</v>
          </cell>
        </row>
        <row r="552">
          <cell r="A552" t="str">
            <v>В-24336/КЛ.Транш - 2_В-21082023/Ц</v>
          </cell>
          <cell r="B552" t="str">
            <v>Алексанян Роберт Робертович</v>
          </cell>
          <cell r="C552">
            <v>832</v>
          </cell>
          <cell r="D552">
            <v>44656</v>
          </cell>
          <cell r="E552">
            <v>156180.94</v>
          </cell>
          <cell r="F552">
            <v>156180.94</v>
          </cell>
          <cell r="G552">
            <v>101424</v>
          </cell>
        </row>
        <row r="553">
          <cell r="A553" t="str">
            <v>В-19179/КЛ.Транш - 2_В-20211230/Ц</v>
          </cell>
          <cell r="B553" t="str">
            <v>Буренкова Екатерина Сергеевна</v>
          </cell>
          <cell r="C553">
            <v>831</v>
          </cell>
          <cell r="D553">
            <v>44657</v>
          </cell>
          <cell r="E553">
            <v>235546.78</v>
          </cell>
          <cell r="F553">
            <v>235546.78</v>
          </cell>
          <cell r="G553">
            <v>143102.51</v>
          </cell>
        </row>
        <row r="554">
          <cell r="A554" t="str">
            <v>В-29072/КЛ.Транш - 1_В-20211230/Ц</v>
          </cell>
          <cell r="B554" t="str">
            <v>Папикян Андраник Климентович</v>
          </cell>
          <cell r="C554">
            <v>830</v>
          </cell>
          <cell r="D554">
            <v>44658</v>
          </cell>
          <cell r="E554">
            <v>62013.61</v>
          </cell>
          <cell r="F554">
            <v>62013.61</v>
          </cell>
          <cell r="G554">
            <v>28964.38</v>
          </cell>
        </row>
        <row r="555">
          <cell r="A555" t="str">
            <v>В-16261/КЛ.Транш - 1_В-20211230/Ц</v>
          </cell>
          <cell r="B555" t="str">
            <v>Прусаков Максим Владимирович</v>
          </cell>
          <cell r="C555">
            <v>829</v>
          </cell>
          <cell r="D555">
            <v>44659</v>
          </cell>
          <cell r="E555">
            <v>135109.14000000001</v>
          </cell>
          <cell r="F555">
            <v>135109.14000000001</v>
          </cell>
          <cell r="G555">
            <v>78719.33</v>
          </cell>
        </row>
        <row r="556">
          <cell r="A556" t="str">
            <v>В-19179/КЛ.Транш - 1_В-20211230/Ц</v>
          </cell>
          <cell r="B556" t="str">
            <v>Буренкова Екатерина Сергеевна</v>
          </cell>
          <cell r="C556">
            <v>824</v>
          </cell>
          <cell r="D556">
            <v>44664</v>
          </cell>
          <cell r="E556">
            <v>87363.64</v>
          </cell>
          <cell r="F556">
            <v>87363.64</v>
          </cell>
          <cell r="G556">
            <v>11794.47</v>
          </cell>
        </row>
        <row r="557">
          <cell r="A557" t="str">
            <v>В-20458/КЛ.Транш - 1_В-20211230/Ц</v>
          </cell>
          <cell r="B557" t="str">
            <v>Музыка Евгений Александрович</v>
          </cell>
          <cell r="C557">
            <v>822</v>
          </cell>
          <cell r="D557">
            <v>44666</v>
          </cell>
          <cell r="E557">
            <v>345801.22</v>
          </cell>
          <cell r="F557">
            <v>345801.22</v>
          </cell>
          <cell r="G557">
            <v>228477.28</v>
          </cell>
        </row>
        <row r="558">
          <cell r="A558" t="str">
            <v>В-24336/КЛ.Транш - 3_В-21082023/Ц</v>
          </cell>
          <cell r="B558" t="str">
            <v>Алексанян Роберт Робертович</v>
          </cell>
          <cell r="C558">
            <v>822</v>
          </cell>
          <cell r="D558">
            <v>44666</v>
          </cell>
          <cell r="E558">
            <v>353587.87</v>
          </cell>
          <cell r="F558">
            <v>353587.87</v>
          </cell>
          <cell r="G558">
            <v>226198.69</v>
          </cell>
        </row>
        <row r="559">
          <cell r="A559" t="str">
            <v>В-21666/КЛ.Транш - 1_В-20211230/Ц</v>
          </cell>
          <cell r="B559" t="str">
            <v>Кочнева Наталья Николаевна</v>
          </cell>
          <cell r="C559">
            <v>820</v>
          </cell>
          <cell r="D559">
            <v>44668</v>
          </cell>
          <cell r="E559">
            <v>704357.26</v>
          </cell>
          <cell r="F559">
            <v>704357.26</v>
          </cell>
          <cell r="G559">
            <v>429470.36</v>
          </cell>
        </row>
        <row r="560">
          <cell r="A560" t="str">
            <v>В-28383/КЛ.Транш - 1_В-20211230/Ц</v>
          </cell>
          <cell r="B560" t="str">
            <v>Абдуллин Азат Мазитович</v>
          </cell>
          <cell r="C560">
            <v>820</v>
          </cell>
          <cell r="D560">
            <v>44668</v>
          </cell>
          <cell r="E560">
            <v>556224.99</v>
          </cell>
          <cell r="F560">
            <v>556224.99</v>
          </cell>
          <cell r="G560">
            <v>363376.74</v>
          </cell>
        </row>
        <row r="561">
          <cell r="A561" t="str">
            <v>В-24336/КЛ.Транш - 4_В-21082023/Ц</v>
          </cell>
          <cell r="B561" t="str">
            <v>Алексанян Роберт Робертович</v>
          </cell>
          <cell r="C561">
            <v>819</v>
          </cell>
          <cell r="D561">
            <v>44669</v>
          </cell>
          <cell r="E561">
            <v>282767.19</v>
          </cell>
          <cell r="F561">
            <v>282767.19</v>
          </cell>
          <cell r="G561">
            <v>183838.7</v>
          </cell>
        </row>
        <row r="562">
          <cell r="A562" t="str">
            <v>В-18851/КЛ.Транш - 1_В-21082023/Ц</v>
          </cell>
          <cell r="B562" t="str">
            <v>Царьков Павел Игоревич</v>
          </cell>
          <cell r="C562">
            <v>818</v>
          </cell>
          <cell r="D562">
            <v>44670</v>
          </cell>
          <cell r="E562">
            <v>51458.83</v>
          </cell>
          <cell r="F562">
            <v>51458.83</v>
          </cell>
          <cell r="G562">
            <v>30048.27</v>
          </cell>
        </row>
        <row r="563">
          <cell r="A563" t="str">
            <v>В-23897/КЛ.Транш - 1_В-20211230/Ц</v>
          </cell>
          <cell r="B563" t="str">
            <v>Курнакова Надежда Александровна</v>
          </cell>
          <cell r="C563">
            <v>816</v>
          </cell>
          <cell r="D563">
            <v>44672</v>
          </cell>
          <cell r="E563">
            <v>88017.88</v>
          </cell>
          <cell r="F563">
            <v>88017.88</v>
          </cell>
          <cell r="G563">
            <v>54264.51</v>
          </cell>
        </row>
        <row r="564">
          <cell r="A564" t="str">
            <v>В-28684/КЛ.Транш - 1_В-21082023/Ц</v>
          </cell>
          <cell r="B564" t="str">
            <v>Крайнева Марина Александровна</v>
          </cell>
          <cell r="C564">
            <v>813</v>
          </cell>
          <cell r="D564">
            <v>44675</v>
          </cell>
          <cell r="E564">
            <v>312103.37</v>
          </cell>
          <cell r="F564">
            <v>312103.37</v>
          </cell>
          <cell r="G564">
            <v>77834.94</v>
          </cell>
        </row>
        <row r="565">
          <cell r="A565" t="str">
            <v>В-18334/КЛ.Транш - 1_В-20211230/Ц</v>
          </cell>
          <cell r="B565" t="str">
            <v>Акиньшин Олег Алексеевич</v>
          </cell>
          <cell r="C565">
            <v>812</v>
          </cell>
          <cell r="D565">
            <v>44676</v>
          </cell>
          <cell r="E565">
            <v>40560.58</v>
          </cell>
          <cell r="F565">
            <v>40560.58</v>
          </cell>
          <cell r="G565">
            <v>22869.38</v>
          </cell>
        </row>
        <row r="566">
          <cell r="A566" t="str">
            <v>В-01050/АЗ_В-20211230/Ц</v>
          </cell>
          <cell r="B566" t="str">
            <v>Демченко Андрей Сергеевич</v>
          </cell>
          <cell r="C566">
            <v>811</v>
          </cell>
          <cell r="D566">
            <v>44677</v>
          </cell>
          <cell r="E566">
            <v>657464.21</v>
          </cell>
          <cell r="F566">
            <v>657464.21</v>
          </cell>
          <cell r="G566">
            <v>386298.82</v>
          </cell>
        </row>
        <row r="567">
          <cell r="A567" t="str">
            <v>В-20921/КЛ.Транш - 1_В-20211230/Ц</v>
          </cell>
          <cell r="B567" t="str">
            <v>Оганесян Наири Миранович</v>
          </cell>
          <cell r="C567">
            <v>810</v>
          </cell>
          <cell r="D567">
            <v>44678</v>
          </cell>
          <cell r="E567">
            <v>1276091.76</v>
          </cell>
          <cell r="F567">
            <v>1276091.76</v>
          </cell>
          <cell r="G567">
            <v>849727.94</v>
          </cell>
        </row>
        <row r="568">
          <cell r="A568" t="str">
            <v>В-25367/АЗ_В-20211230/Ц</v>
          </cell>
          <cell r="B568" t="str">
            <v>Диакону Сергей Борисович</v>
          </cell>
          <cell r="C568">
            <v>808</v>
          </cell>
          <cell r="D568">
            <v>44680</v>
          </cell>
          <cell r="E568">
            <v>548916.32999999996</v>
          </cell>
          <cell r="F568">
            <v>548916.32999999996</v>
          </cell>
          <cell r="G568">
            <v>227921.22</v>
          </cell>
        </row>
        <row r="569">
          <cell r="A569" t="str">
            <v>В-25370/АЗ_В-20211230/Ц</v>
          </cell>
          <cell r="B569" t="str">
            <v>Науменко Андрей Николаевич</v>
          </cell>
          <cell r="C569">
            <v>808</v>
          </cell>
          <cell r="D569">
            <v>44680</v>
          </cell>
          <cell r="E569">
            <v>863628.9</v>
          </cell>
          <cell r="F569">
            <v>863628.9</v>
          </cell>
          <cell r="G569">
            <v>520512.45</v>
          </cell>
        </row>
        <row r="570">
          <cell r="A570" t="str">
            <v>В-19227/КЛ.Транш - 1_В-20211230/Ц</v>
          </cell>
          <cell r="B570" t="str">
            <v>Мощинская Елена Николаевна</v>
          </cell>
          <cell r="C570">
            <v>806</v>
          </cell>
          <cell r="D570">
            <v>44682</v>
          </cell>
          <cell r="E570">
            <v>472907.66</v>
          </cell>
          <cell r="F570">
            <v>472907.66</v>
          </cell>
          <cell r="G570">
            <v>317000.24</v>
          </cell>
        </row>
        <row r="571">
          <cell r="A571" t="str">
            <v>В-23919/КЛ.Транш - 1_В-21082023/Ц</v>
          </cell>
          <cell r="B571" t="str">
            <v>Локшина Ольга Владимировна</v>
          </cell>
          <cell r="C571">
            <v>800</v>
          </cell>
          <cell r="D571">
            <v>44688</v>
          </cell>
          <cell r="E571">
            <v>1267544.6299999999</v>
          </cell>
          <cell r="F571">
            <v>1387989.94</v>
          </cell>
          <cell r="G571">
            <v>475359.11</v>
          </cell>
        </row>
        <row r="572">
          <cell r="A572" t="str">
            <v>В-05402/КЛ.Транш - 4_В-21082023/Ц</v>
          </cell>
          <cell r="B572" t="str">
            <v>Мылов Сергей Геннадьевич</v>
          </cell>
          <cell r="C572">
            <v>796</v>
          </cell>
          <cell r="D572">
            <v>44692</v>
          </cell>
          <cell r="E572">
            <v>501324.77</v>
          </cell>
          <cell r="F572">
            <v>501324.77</v>
          </cell>
          <cell r="G572">
            <v>301632.03000000003</v>
          </cell>
        </row>
        <row r="573">
          <cell r="A573" t="str">
            <v>В-19093/КЛ.Транш - 1_В-20211230/Ц</v>
          </cell>
          <cell r="B573" t="str">
            <v>Баранов Аркадий Александрович</v>
          </cell>
          <cell r="C573">
            <v>796</v>
          </cell>
          <cell r="D573">
            <v>44692</v>
          </cell>
          <cell r="E573">
            <v>792966.62</v>
          </cell>
          <cell r="F573">
            <v>792966.62</v>
          </cell>
          <cell r="G573">
            <v>464844.35</v>
          </cell>
        </row>
        <row r="574">
          <cell r="A574" t="str">
            <v>В-07072/КЛ.Транш - 1_В-20211230/Ц</v>
          </cell>
          <cell r="B574" t="str">
            <v>Мазурин Николай Анатольевич</v>
          </cell>
          <cell r="C574">
            <v>793</v>
          </cell>
          <cell r="D574">
            <v>44695</v>
          </cell>
          <cell r="E574">
            <v>523837.46</v>
          </cell>
          <cell r="F574">
            <v>523837.46</v>
          </cell>
          <cell r="G574">
            <v>291242.32</v>
          </cell>
        </row>
        <row r="575">
          <cell r="A575" t="str">
            <v>В-17853/КЛ.Транш - 6_В-20211230/Ц</v>
          </cell>
          <cell r="B575" t="str">
            <v>Савельев Александр Владимирович</v>
          </cell>
          <cell r="C575">
            <v>792</v>
          </cell>
          <cell r="D575">
            <v>44696</v>
          </cell>
          <cell r="E575">
            <v>168984.2</v>
          </cell>
          <cell r="F575">
            <v>168984.2</v>
          </cell>
          <cell r="G575">
            <v>102269.77</v>
          </cell>
        </row>
        <row r="576">
          <cell r="A576" t="str">
            <v>В-23410/КЛ.Транш - 1_В-20211230/Ц</v>
          </cell>
          <cell r="B576" t="str">
            <v>Шиховцов Игорь Николаевич</v>
          </cell>
          <cell r="C576">
            <v>791</v>
          </cell>
          <cell r="D576">
            <v>44697</v>
          </cell>
          <cell r="E576">
            <v>403404.78</v>
          </cell>
          <cell r="F576">
            <v>403404.78</v>
          </cell>
          <cell r="G576">
            <v>281706.62</v>
          </cell>
        </row>
        <row r="577">
          <cell r="A577" t="str">
            <v>В-13336/КЛ.Транш - 1_В-21082023/Ц</v>
          </cell>
          <cell r="B577" t="str">
            <v>Алыбаев Долеткельди Ягудович</v>
          </cell>
          <cell r="C577">
            <v>789</v>
          </cell>
          <cell r="D577">
            <v>44699</v>
          </cell>
          <cell r="E577">
            <v>276865.57</v>
          </cell>
          <cell r="F577">
            <v>276865.57</v>
          </cell>
          <cell r="G577">
            <v>182060.65</v>
          </cell>
        </row>
        <row r="578">
          <cell r="A578" t="str">
            <v>В-15451/КЛ.Транш - 1_В-21082023/Ц</v>
          </cell>
          <cell r="B578" t="str">
            <v>Кутанов Егор Сергеевич</v>
          </cell>
          <cell r="C578">
            <v>782</v>
          </cell>
          <cell r="D578">
            <v>44706</v>
          </cell>
          <cell r="E578">
            <v>232727.95</v>
          </cell>
          <cell r="F578">
            <v>232727.95</v>
          </cell>
        </row>
        <row r="579">
          <cell r="A579" t="str">
            <v>В-17853/КЛ.Транш - 4_В-20211230/Ц</v>
          </cell>
          <cell r="B579" t="str">
            <v>Савельев Александр Владимирович</v>
          </cell>
          <cell r="C579">
            <v>782</v>
          </cell>
          <cell r="D579">
            <v>44706</v>
          </cell>
          <cell r="E579">
            <v>161162.13</v>
          </cell>
          <cell r="F579">
            <v>161162.13</v>
          </cell>
          <cell r="G579">
            <v>98676.39</v>
          </cell>
        </row>
        <row r="580">
          <cell r="A580" t="str">
            <v>В-28694/КЛ.Транш - 1_В-21082023/Ц</v>
          </cell>
          <cell r="B580" t="str">
            <v>Аракелян Лусине Вардановна</v>
          </cell>
          <cell r="C580">
            <v>782</v>
          </cell>
          <cell r="D580">
            <v>44706</v>
          </cell>
          <cell r="E580">
            <v>598824.53</v>
          </cell>
          <cell r="F580">
            <v>598824.53</v>
          </cell>
          <cell r="G580">
            <v>328244.65000000002</v>
          </cell>
        </row>
        <row r="581">
          <cell r="A581" t="str">
            <v>В-07072/КЛ.Транш - 3_В-20211230/Ц</v>
          </cell>
          <cell r="B581" t="str">
            <v>Мазурин Николай Анатольевич</v>
          </cell>
          <cell r="C581">
            <v>781</v>
          </cell>
          <cell r="D581">
            <v>44707</v>
          </cell>
          <cell r="E581">
            <v>272074.64</v>
          </cell>
          <cell r="F581">
            <v>272074.64</v>
          </cell>
          <cell r="G581">
            <v>153701.38</v>
          </cell>
        </row>
        <row r="582">
          <cell r="A582" t="str">
            <v>В-18164/КЛ.Транш - 1_В-21082023/Ц</v>
          </cell>
          <cell r="B582" t="str">
            <v>Гилаев Флюс Фаусович</v>
          </cell>
          <cell r="C582">
            <v>781</v>
          </cell>
          <cell r="D582">
            <v>44707</v>
          </cell>
          <cell r="E582">
            <v>617266.99</v>
          </cell>
          <cell r="F582">
            <v>617266.99</v>
          </cell>
          <cell r="G582">
            <v>227762.38</v>
          </cell>
        </row>
        <row r="583">
          <cell r="A583" t="str">
            <v>В-17853/КЛ.Транш - 3_В-20211230/Ц</v>
          </cell>
          <cell r="B583" t="str">
            <v>Савельев Александр Владимирович</v>
          </cell>
          <cell r="C583">
            <v>780</v>
          </cell>
          <cell r="D583">
            <v>44708</v>
          </cell>
          <cell r="E583">
            <v>157303.46</v>
          </cell>
          <cell r="F583">
            <v>157303.46</v>
          </cell>
          <cell r="G583">
            <v>96539.59</v>
          </cell>
        </row>
        <row r="584">
          <cell r="A584" t="str">
            <v>В-17853/КЛ.Транш - 5_В-20211230/Ц</v>
          </cell>
          <cell r="B584" t="str">
            <v>Савельев Александр Владимирович</v>
          </cell>
          <cell r="C584">
            <v>779</v>
          </cell>
          <cell r="D584">
            <v>44709</v>
          </cell>
          <cell r="E584">
            <v>163581.65</v>
          </cell>
          <cell r="F584">
            <v>163581.65</v>
          </cell>
          <cell r="G584">
            <v>100510.42</v>
          </cell>
        </row>
        <row r="585">
          <cell r="A585" t="str">
            <v>В-13740/КЛ.Транш - 1_В-21082023/Ц</v>
          </cell>
          <cell r="B585" t="str">
            <v>Семенов Андрей Сергеевич</v>
          </cell>
          <cell r="C585">
            <v>777</v>
          </cell>
          <cell r="D585">
            <v>44711</v>
          </cell>
          <cell r="E585">
            <v>1096197.1000000001</v>
          </cell>
          <cell r="F585">
            <v>1096197.1000000001</v>
          </cell>
          <cell r="G585">
            <v>750359.09</v>
          </cell>
        </row>
        <row r="586">
          <cell r="A586" t="str">
            <v>В-27251/КЛ.Транш - 1_В-21082023/Ц</v>
          </cell>
          <cell r="B586" t="str">
            <v>Алешкин Алексей Владиславович</v>
          </cell>
          <cell r="C586">
            <v>775</v>
          </cell>
          <cell r="D586">
            <v>44713</v>
          </cell>
          <cell r="E586">
            <v>77593.789999999994</v>
          </cell>
          <cell r="F586">
            <v>77593.789999999994</v>
          </cell>
          <cell r="G586">
            <v>25248.14</v>
          </cell>
        </row>
        <row r="587">
          <cell r="A587" t="str">
            <v>В-10141/КЛ.Транш - 2_В-20211230/Ц</v>
          </cell>
          <cell r="B587" t="str">
            <v>Галеев Александр Ринатович</v>
          </cell>
          <cell r="C587">
            <v>773</v>
          </cell>
          <cell r="D587">
            <v>44715</v>
          </cell>
          <cell r="E587">
            <v>115422.36</v>
          </cell>
          <cell r="F587">
            <v>115422.36</v>
          </cell>
          <cell r="G587">
            <v>77027.12</v>
          </cell>
        </row>
        <row r="588">
          <cell r="A588" t="str">
            <v>В-17853/КЛ.Транш - 7_В-20211230/Ц</v>
          </cell>
          <cell r="B588" t="str">
            <v>Савельев Александр Владимирович</v>
          </cell>
          <cell r="C588">
            <v>771</v>
          </cell>
          <cell r="D588">
            <v>44717</v>
          </cell>
          <cell r="E588">
            <v>165054.46</v>
          </cell>
          <cell r="F588">
            <v>165054.46</v>
          </cell>
          <cell r="G588">
            <v>102289.56</v>
          </cell>
        </row>
        <row r="589">
          <cell r="A589" t="str">
            <v>В-09174/КЛ.Транш - 9_В-20211230/Ц</v>
          </cell>
          <cell r="B589" t="str">
            <v>Скрипичников Егор Сергеевич</v>
          </cell>
          <cell r="C589">
            <v>768</v>
          </cell>
          <cell r="D589">
            <v>44720</v>
          </cell>
          <cell r="E589">
            <v>157932.4</v>
          </cell>
          <cell r="F589">
            <v>157932.4</v>
          </cell>
          <cell r="G589">
            <v>95538.49</v>
          </cell>
        </row>
        <row r="590">
          <cell r="A590" t="str">
            <v>В-09174/КЛ.Транш - 7_В-20211230/Ц</v>
          </cell>
          <cell r="B590" t="str">
            <v>Скрипичников Егор Сергеевич</v>
          </cell>
          <cell r="C590">
            <v>765</v>
          </cell>
          <cell r="D590">
            <v>44723</v>
          </cell>
          <cell r="E590">
            <v>155819.85999999999</v>
          </cell>
          <cell r="F590">
            <v>155819.85999999999</v>
          </cell>
          <cell r="G590">
            <v>93530.64</v>
          </cell>
        </row>
        <row r="591">
          <cell r="A591" t="str">
            <v>В-11050/КЛ.Транш - 1_В-20211230/Ц</v>
          </cell>
          <cell r="B591" t="str">
            <v>Садигов Нарман Адждар Оглы</v>
          </cell>
          <cell r="C591">
            <v>764</v>
          </cell>
          <cell r="D591">
            <v>44724</v>
          </cell>
          <cell r="E591">
            <v>246184.99</v>
          </cell>
          <cell r="F591">
            <v>246184.99</v>
          </cell>
          <cell r="G591">
            <v>136126.84</v>
          </cell>
        </row>
        <row r="592">
          <cell r="A592" t="str">
            <v>В-17853/КЛ.Транш - 1_В-20211230/Ц</v>
          </cell>
          <cell r="B592" t="str">
            <v>Савельев Александр Владимирович</v>
          </cell>
          <cell r="C592">
            <v>764</v>
          </cell>
          <cell r="D592">
            <v>44724</v>
          </cell>
          <cell r="E592">
            <v>369194.57</v>
          </cell>
          <cell r="F592">
            <v>369194.57</v>
          </cell>
          <cell r="G592">
            <v>230713.27</v>
          </cell>
        </row>
        <row r="593">
          <cell r="A593" t="str">
            <v>В-17853/КЛ.Транш - 2_В-20211230/Ц</v>
          </cell>
          <cell r="B593" t="str">
            <v>Савельев Александр Владимирович</v>
          </cell>
          <cell r="C593">
            <v>764</v>
          </cell>
          <cell r="D593">
            <v>44724</v>
          </cell>
          <cell r="E593">
            <v>150994.06</v>
          </cell>
          <cell r="F593">
            <v>150994.06</v>
          </cell>
          <cell r="G593">
            <v>94357.66</v>
          </cell>
        </row>
        <row r="594">
          <cell r="A594" t="str">
            <v>В-27105/КЛ.Транш - 1_В-20211230/Ц</v>
          </cell>
          <cell r="B594" t="str">
            <v>Холодков Денис Владимирович</v>
          </cell>
          <cell r="C594">
            <v>764</v>
          </cell>
          <cell r="D594">
            <v>44724</v>
          </cell>
          <cell r="E594">
            <v>825324.52</v>
          </cell>
          <cell r="F594">
            <v>825324.52</v>
          </cell>
          <cell r="G594">
            <v>443666.24</v>
          </cell>
        </row>
        <row r="595">
          <cell r="A595" t="str">
            <v>В-07072/КЛ.Транш - 2_В-20211230/Ц</v>
          </cell>
          <cell r="B595" t="str">
            <v>Мазурин Николай Анатольевич</v>
          </cell>
          <cell r="C595">
            <v>763</v>
          </cell>
          <cell r="D595">
            <v>44725</v>
          </cell>
          <cell r="E595">
            <v>253456.25</v>
          </cell>
          <cell r="F595">
            <v>253456.25</v>
          </cell>
          <cell r="G595">
            <v>147455.22</v>
          </cell>
        </row>
        <row r="596">
          <cell r="A596" t="str">
            <v>В-10141/КЛ.Транш - 1_В-20211230/Ц</v>
          </cell>
          <cell r="B596" t="str">
            <v>Галеев Александр Ринатович</v>
          </cell>
          <cell r="C596">
            <v>763</v>
          </cell>
          <cell r="D596">
            <v>44725</v>
          </cell>
          <cell r="E596">
            <v>153986.18</v>
          </cell>
          <cell r="F596">
            <v>153986.18</v>
          </cell>
          <cell r="G596">
            <v>88583.72</v>
          </cell>
        </row>
        <row r="597">
          <cell r="A597" t="str">
            <v>В-09174/КЛ.Транш - 8_В-20211230/Ц</v>
          </cell>
          <cell r="B597" t="str">
            <v>Скрипичников Егор Сергеевич</v>
          </cell>
          <cell r="C597">
            <v>754</v>
          </cell>
          <cell r="D597">
            <v>44734</v>
          </cell>
          <cell r="E597">
            <v>153642.84</v>
          </cell>
          <cell r="F597">
            <v>153642.84</v>
          </cell>
          <cell r="G597">
            <v>94694.98</v>
          </cell>
        </row>
        <row r="598">
          <cell r="A598" t="str">
            <v>В-19425/КЛ.Транш - 1_В-20211230/Ц</v>
          </cell>
          <cell r="B598" t="str">
            <v>Молчанов Дмитрий Викторович</v>
          </cell>
          <cell r="C598">
            <v>746</v>
          </cell>
          <cell r="D598">
            <v>44742</v>
          </cell>
          <cell r="E598">
            <v>802259.83</v>
          </cell>
          <cell r="F598">
            <v>802259.83</v>
          </cell>
          <cell r="G598">
            <v>478102.78</v>
          </cell>
        </row>
        <row r="599">
          <cell r="A599" t="str">
            <v>В-24308/КЛ.Транш - 1_В-20211230/Ц</v>
          </cell>
          <cell r="B599" t="str">
            <v>Кондратюк Алексей Николаевич</v>
          </cell>
          <cell r="C599">
            <v>745</v>
          </cell>
          <cell r="D599">
            <v>44743</v>
          </cell>
          <cell r="E599">
            <v>568970.26</v>
          </cell>
          <cell r="F599">
            <v>568970.26</v>
          </cell>
          <cell r="G599">
            <v>341433.95</v>
          </cell>
        </row>
        <row r="600">
          <cell r="A600" t="str">
            <v>В-08644/КЛ.Транш - 1_В-21082023/Ц</v>
          </cell>
          <cell r="B600" t="str">
            <v>Жирнов Игорь Владимирович</v>
          </cell>
          <cell r="C600">
            <v>744</v>
          </cell>
          <cell r="D600">
            <v>44744</v>
          </cell>
          <cell r="E600">
            <v>121346.89</v>
          </cell>
          <cell r="F600">
            <v>132065.60000000001</v>
          </cell>
          <cell r="G600">
            <v>68963.759999999995</v>
          </cell>
        </row>
        <row r="601">
          <cell r="A601" t="str">
            <v>В-27855/КЛ.Транш - 1_В-20211230/Ц</v>
          </cell>
          <cell r="B601" t="str">
            <v>Калашников Юрий Витальевич</v>
          </cell>
          <cell r="C601">
            <v>744</v>
          </cell>
          <cell r="D601">
            <v>44744</v>
          </cell>
          <cell r="E601">
            <v>1046212.54</v>
          </cell>
          <cell r="F601">
            <v>1046212.54</v>
          </cell>
          <cell r="G601">
            <v>695054.08</v>
          </cell>
        </row>
        <row r="602">
          <cell r="A602" t="str">
            <v>В-24350/КЛ.Транш - 1_В-20211230/Ц</v>
          </cell>
          <cell r="B602" t="str">
            <v>Мусаев Заурбек Хадживелиевич</v>
          </cell>
          <cell r="C602">
            <v>743</v>
          </cell>
          <cell r="D602">
            <v>44745</v>
          </cell>
          <cell r="E602">
            <v>943425.54</v>
          </cell>
          <cell r="F602">
            <v>943425.54</v>
          </cell>
          <cell r="G602">
            <v>234354.87</v>
          </cell>
        </row>
        <row r="603">
          <cell r="A603" t="str">
            <v>В-09174/КЛ.Транш - 10_В-20211230/Ц</v>
          </cell>
          <cell r="B603" t="str">
            <v>Скрипичников Егор Сергеевич</v>
          </cell>
          <cell r="C603">
            <v>739</v>
          </cell>
          <cell r="D603">
            <v>44749</v>
          </cell>
          <cell r="E603">
            <v>128847.63</v>
          </cell>
          <cell r="F603">
            <v>128847.63</v>
          </cell>
          <cell r="G603">
            <v>92760.7</v>
          </cell>
        </row>
        <row r="604">
          <cell r="A604" t="str">
            <v>В-25792/КЛ.Транш - 1_В-20211230/Ц</v>
          </cell>
          <cell r="B604" t="str">
            <v>Бакласова Мирабелла Викторовна</v>
          </cell>
          <cell r="C604">
            <v>737</v>
          </cell>
          <cell r="D604">
            <v>44751</v>
          </cell>
          <cell r="E604">
            <v>1343744.58</v>
          </cell>
          <cell r="F604">
            <v>1343744.58</v>
          </cell>
          <cell r="G604">
            <v>700000</v>
          </cell>
        </row>
        <row r="605">
          <cell r="A605" t="str">
            <v>В-19227/КЛ.Транш - 2_В-20211230/Ц</v>
          </cell>
          <cell r="B605" t="str">
            <v>Мощинская Елена Николаевна</v>
          </cell>
          <cell r="C605">
            <v>735</v>
          </cell>
          <cell r="D605">
            <v>44753</v>
          </cell>
          <cell r="E605">
            <v>164796.18</v>
          </cell>
          <cell r="F605">
            <v>164796.18</v>
          </cell>
          <cell r="G605">
            <v>106391.85</v>
          </cell>
        </row>
        <row r="606">
          <cell r="A606" t="str">
            <v>В-06818/КЛ.Транш - 1_В-20211230/Ц</v>
          </cell>
          <cell r="B606" t="str">
            <v>Собиров Раджабали Карахужаевич</v>
          </cell>
          <cell r="C606">
            <v>731</v>
          </cell>
          <cell r="D606">
            <v>44757</v>
          </cell>
          <cell r="E606">
            <v>259078.84</v>
          </cell>
          <cell r="F606">
            <v>259078.84</v>
          </cell>
          <cell r="G606">
            <v>147031.49</v>
          </cell>
        </row>
        <row r="607">
          <cell r="A607" t="str">
            <v>В-28360/КЛ.Транш - 1_В-20211230/Ц</v>
          </cell>
          <cell r="B607" t="str">
            <v>Абакумов Вадим Михайлович</v>
          </cell>
          <cell r="C607">
            <v>718</v>
          </cell>
          <cell r="D607">
            <v>44770</v>
          </cell>
          <cell r="E607">
            <v>308951.46000000002</v>
          </cell>
          <cell r="F607">
            <v>383626.49</v>
          </cell>
          <cell r="G607">
            <v>137796.93</v>
          </cell>
        </row>
        <row r="608">
          <cell r="A608" t="str">
            <v>В-18548/КЛ.Транш - 1_В-20211230/Ц</v>
          </cell>
          <cell r="B608" t="str">
            <v>Элоян Артур Гамбарович</v>
          </cell>
          <cell r="C608">
            <v>717</v>
          </cell>
          <cell r="D608">
            <v>44771</v>
          </cell>
          <cell r="E608">
            <v>829715.11</v>
          </cell>
          <cell r="F608">
            <v>829715.11</v>
          </cell>
          <cell r="G608">
            <v>494147.5</v>
          </cell>
        </row>
        <row r="609">
          <cell r="A609" t="str">
            <v>В-28872/КЛ.Транш - 1_В-20211230/Ц</v>
          </cell>
          <cell r="B609" t="str">
            <v>Хачатрян Лаврент Юрикович</v>
          </cell>
          <cell r="C609">
            <v>714</v>
          </cell>
          <cell r="D609">
            <v>44774</v>
          </cell>
          <cell r="E609">
            <v>1221218.3999999999</v>
          </cell>
          <cell r="F609">
            <v>1221218.3999999999</v>
          </cell>
          <cell r="G609">
            <v>750876.09</v>
          </cell>
        </row>
        <row r="610">
          <cell r="A610" t="str">
            <v>В-02583/КЛ.Транш - 8_В-21082023/Ц</v>
          </cell>
          <cell r="B610" t="str">
            <v>Филатова Юлия Петровна</v>
          </cell>
          <cell r="C610">
            <v>713</v>
          </cell>
          <cell r="D610">
            <v>44775</v>
          </cell>
          <cell r="E610">
            <v>135890.53</v>
          </cell>
          <cell r="F610">
            <v>135890.53</v>
          </cell>
          <cell r="G610">
            <v>107594.14</v>
          </cell>
        </row>
        <row r="611">
          <cell r="A611" t="str">
            <v>В-30001/КЭ.Транш - 1_В-20211230/Ц</v>
          </cell>
          <cell r="B611" t="str">
            <v>ИП Белан Надежда Александровна</v>
          </cell>
          <cell r="C611">
            <v>710</v>
          </cell>
          <cell r="D611">
            <v>44778</v>
          </cell>
          <cell r="E611">
            <v>539171.82999999996</v>
          </cell>
          <cell r="F611">
            <v>539171.82999999996</v>
          </cell>
          <cell r="G611">
            <v>62617.29</v>
          </cell>
        </row>
        <row r="612">
          <cell r="A612" t="str">
            <v>В-02583/КЛ.Транш - 5_В-21082023/Ц</v>
          </cell>
          <cell r="B612" t="str">
            <v>Филатова Юлия Петровна</v>
          </cell>
          <cell r="C612">
            <v>709</v>
          </cell>
          <cell r="D612">
            <v>44779</v>
          </cell>
          <cell r="E612">
            <v>120632.76</v>
          </cell>
          <cell r="F612">
            <v>120632.76</v>
          </cell>
          <cell r="G612">
            <v>96312.13</v>
          </cell>
        </row>
        <row r="613">
          <cell r="A613" t="str">
            <v>В-10008/КЭ.Транш - 2_В-20211230/Ц</v>
          </cell>
          <cell r="B613" t="str">
            <v>ИП Светлов Виталий Анатольевич</v>
          </cell>
          <cell r="C613">
            <v>707</v>
          </cell>
          <cell r="D613">
            <v>44781</v>
          </cell>
          <cell r="E613">
            <v>2234645.23</v>
          </cell>
          <cell r="F613">
            <v>2234645.23</v>
          </cell>
          <cell r="G613">
            <v>254579.72</v>
          </cell>
        </row>
        <row r="614">
          <cell r="A614" t="str">
            <v>В-12113/КЛ.Транш - 1_В-20211230/Ц</v>
          </cell>
          <cell r="B614" t="str">
            <v>Кузьмин Михаил Юрьевич</v>
          </cell>
          <cell r="C614">
            <v>707</v>
          </cell>
          <cell r="D614">
            <v>44781</v>
          </cell>
          <cell r="E614">
            <v>177998.82</v>
          </cell>
          <cell r="F614">
            <v>177998.82</v>
          </cell>
          <cell r="G614">
            <v>118573.92</v>
          </cell>
        </row>
        <row r="615">
          <cell r="A615" t="str">
            <v>В-18548/КЛ.Транш - 2_В-20211230/Ц</v>
          </cell>
          <cell r="B615" t="str">
            <v>Элоян Артур Гамбарович</v>
          </cell>
          <cell r="C615">
            <v>706</v>
          </cell>
          <cell r="D615">
            <v>44782</v>
          </cell>
          <cell r="E615">
            <v>757988.42</v>
          </cell>
          <cell r="F615">
            <v>757988.42</v>
          </cell>
          <cell r="G615">
            <v>422614.63</v>
          </cell>
        </row>
        <row r="616">
          <cell r="A616" t="str">
            <v>В-04724/КЛ.Транш - 3_В-20211230/Ц</v>
          </cell>
          <cell r="B616" t="str">
            <v>Белан Надежда Александровна</v>
          </cell>
          <cell r="C616">
            <v>705</v>
          </cell>
          <cell r="D616">
            <v>44783</v>
          </cell>
          <cell r="E616">
            <v>565641.43999999994</v>
          </cell>
          <cell r="F616">
            <v>565641.43999999994</v>
          </cell>
          <cell r="G616">
            <v>344945.56</v>
          </cell>
        </row>
        <row r="617">
          <cell r="A617" t="str">
            <v>В-17417/КЛ.Транш - 1_В-20211230/Ц</v>
          </cell>
          <cell r="B617" t="str">
            <v>Минаева Наталия Анатольевна</v>
          </cell>
          <cell r="C617">
            <v>705</v>
          </cell>
          <cell r="D617">
            <v>44783</v>
          </cell>
          <cell r="E617">
            <v>341610.78</v>
          </cell>
          <cell r="F617">
            <v>341610.78</v>
          </cell>
          <cell r="G617">
            <v>200335.03</v>
          </cell>
        </row>
        <row r="618">
          <cell r="A618" t="str">
            <v>В-10008/КЭ.Транш - 3_В-20211230/Ц</v>
          </cell>
          <cell r="B618" t="str">
            <v>ИП Светлов Виталий Анатольевич</v>
          </cell>
          <cell r="C618">
            <v>704</v>
          </cell>
          <cell r="D618">
            <v>44784</v>
          </cell>
          <cell r="E618">
            <v>751673.68</v>
          </cell>
          <cell r="F618">
            <v>751673.68</v>
          </cell>
          <cell r="G618">
            <v>86356.46</v>
          </cell>
        </row>
        <row r="619">
          <cell r="A619" t="str">
            <v>В-10024/КЭ.Транш - 1_В-20211230/Ц</v>
          </cell>
          <cell r="B619" t="str">
            <v>ИП Светлов Виталий Анатольевич</v>
          </cell>
          <cell r="C619">
            <v>701</v>
          </cell>
          <cell r="D619">
            <v>44787</v>
          </cell>
          <cell r="E619">
            <v>1970417.25</v>
          </cell>
          <cell r="F619">
            <v>1970417.25</v>
          </cell>
          <cell r="G619">
            <v>227999.63</v>
          </cell>
        </row>
        <row r="620">
          <cell r="A620" t="str">
            <v>В-20251/КЛ.Транш - 2_В-20211230/Ц</v>
          </cell>
          <cell r="B620" t="str">
            <v>Слепнев Иван Викторович</v>
          </cell>
          <cell r="C620">
            <v>698</v>
          </cell>
          <cell r="D620">
            <v>44790</v>
          </cell>
          <cell r="E620">
            <v>315395.17</v>
          </cell>
          <cell r="F620">
            <v>315395.17</v>
          </cell>
          <cell r="G620">
            <v>188883.75</v>
          </cell>
        </row>
        <row r="621">
          <cell r="A621" t="str">
            <v>В-28393/КЛ.Транш - 1_В-20211230/Ц</v>
          </cell>
          <cell r="B621" t="str">
            <v>Петров Николай Анатольевич</v>
          </cell>
          <cell r="C621">
            <v>698</v>
          </cell>
          <cell r="D621">
            <v>44790</v>
          </cell>
          <cell r="E621">
            <v>5614.92</v>
          </cell>
          <cell r="F621">
            <v>5614.92</v>
          </cell>
        </row>
        <row r="622">
          <cell r="A622" t="str">
            <v>В-01217/АЗ_В-20211230/Ц</v>
          </cell>
          <cell r="B622" t="str">
            <v>Гупало Илья Александрович</v>
          </cell>
          <cell r="C622">
            <v>694</v>
          </cell>
          <cell r="D622">
            <v>44794</v>
          </cell>
          <cell r="E622">
            <v>573858.86</v>
          </cell>
          <cell r="F622">
            <v>573858.86</v>
          </cell>
          <cell r="G622">
            <v>340495.15</v>
          </cell>
        </row>
        <row r="623">
          <cell r="A623" t="str">
            <v>В-26449/АЗ_В-20211230/Ц</v>
          </cell>
          <cell r="B623" t="str">
            <v>Светлов Виталий Анатольевич</v>
          </cell>
          <cell r="C623">
            <v>691</v>
          </cell>
          <cell r="D623">
            <v>44797</v>
          </cell>
          <cell r="E623">
            <v>1564685.77</v>
          </cell>
          <cell r="F623">
            <v>1564685.77</v>
          </cell>
          <cell r="G623">
            <v>966941.07</v>
          </cell>
        </row>
        <row r="624">
          <cell r="A624" t="str">
            <v>В-10008/КЭ.Транш - 1_В-20211230/Ц</v>
          </cell>
          <cell r="B624" t="str">
            <v>ИП Светлов Виталий Анатольевич</v>
          </cell>
          <cell r="C624">
            <v>685</v>
          </cell>
          <cell r="D624">
            <v>44803</v>
          </cell>
          <cell r="E624">
            <v>451030.33</v>
          </cell>
          <cell r="F624">
            <v>451030.33</v>
          </cell>
          <cell r="G624">
            <v>50650.14</v>
          </cell>
        </row>
        <row r="625">
          <cell r="A625" t="str">
            <v>В-26816/КЛ.Транш - 1_В-20211230/Ц</v>
          </cell>
          <cell r="B625" t="str">
            <v>Мартынко Александра Андреевна</v>
          </cell>
          <cell r="C625">
            <v>685</v>
          </cell>
          <cell r="D625">
            <v>44803</v>
          </cell>
          <cell r="E625">
            <v>305589.65999999997</v>
          </cell>
          <cell r="F625">
            <v>305589.65999999997</v>
          </cell>
          <cell r="G625">
            <v>161018.21</v>
          </cell>
        </row>
        <row r="626">
          <cell r="A626" t="str">
            <v>В-00063/КЭ.Транш - 3_В-20211230/Ц</v>
          </cell>
          <cell r="B626" t="str">
            <v>ИП Месропян Аревик Орбеловна</v>
          </cell>
          <cell r="C626">
            <v>681</v>
          </cell>
          <cell r="D626">
            <v>44807</v>
          </cell>
          <cell r="E626">
            <v>1887835.47</v>
          </cell>
          <cell r="F626">
            <v>1887835.47</v>
          </cell>
          <cell r="G626">
            <v>252337.44</v>
          </cell>
        </row>
        <row r="627">
          <cell r="A627" t="str">
            <v>В-25792/КЛ.Транш - 2_В-20211230/Ц</v>
          </cell>
          <cell r="B627" t="str">
            <v>Бакласова Мирабелла Викторовна</v>
          </cell>
          <cell r="C627">
            <v>675</v>
          </cell>
          <cell r="D627">
            <v>44813</v>
          </cell>
          <cell r="E627">
            <v>57625.14</v>
          </cell>
          <cell r="F627">
            <v>57625.14</v>
          </cell>
          <cell r="G627">
            <v>32041.16</v>
          </cell>
        </row>
        <row r="628">
          <cell r="A628" t="str">
            <v>В-28090/АЗ_В-20211230/Ц</v>
          </cell>
          <cell r="B628" t="str">
            <v>Колесников Михаил Вячеславович</v>
          </cell>
          <cell r="C628">
            <v>675</v>
          </cell>
          <cell r="D628">
            <v>44813</v>
          </cell>
          <cell r="E628">
            <v>1462302.43</v>
          </cell>
          <cell r="F628">
            <v>1462302.43</v>
          </cell>
          <cell r="G628">
            <v>915534.29</v>
          </cell>
        </row>
        <row r="629">
          <cell r="A629" t="str">
            <v>В-10025/КЭ.Транш - 1_В-20211230/Ц</v>
          </cell>
          <cell r="B629" t="str">
            <v>ИП Петров Юрий Викторович</v>
          </cell>
          <cell r="C629">
            <v>670</v>
          </cell>
          <cell r="D629">
            <v>44818</v>
          </cell>
          <cell r="E629">
            <v>2141049.0099999998</v>
          </cell>
          <cell r="F629">
            <v>2141049.0099999998</v>
          </cell>
          <cell r="G629">
            <v>254968.95</v>
          </cell>
        </row>
        <row r="630">
          <cell r="A630" t="str">
            <v>В-25950/КЛ.Транш - 1_В-20211230/Ц</v>
          </cell>
          <cell r="B630" t="str">
            <v>Пивченкова Наталья Александровна</v>
          </cell>
          <cell r="C630">
            <v>670</v>
          </cell>
          <cell r="D630">
            <v>44818</v>
          </cell>
          <cell r="E630">
            <v>114370.68</v>
          </cell>
          <cell r="F630">
            <v>114370.68</v>
          </cell>
        </row>
        <row r="631">
          <cell r="A631" t="str">
            <v>В-26170/КЛ.Транш - 1_В-20211230/Ц</v>
          </cell>
          <cell r="B631" t="str">
            <v>Магомедов Саид Магомедрасулович</v>
          </cell>
          <cell r="C631">
            <v>667</v>
          </cell>
          <cell r="D631">
            <v>44821</v>
          </cell>
          <cell r="E631">
            <v>148902.82</v>
          </cell>
          <cell r="F631">
            <v>148902.82</v>
          </cell>
          <cell r="G631">
            <v>84396.97</v>
          </cell>
        </row>
        <row r="632">
          <cell r="A632" t="str">
            <v>В-24308/КЛ.Транш - 2_В-20211230/Ц</v>
          </cell>
          <cell r="B632" t="str">
            <v>Кондратюк Алексей Николаевич</v>
          </cell>
          <cell r="C632">
            <v>662</v>
          </cell>
          <cell r="D632">
            <v>44826</v>
          </cell>
          <cell r="E632">
            <v>602508.88</v>
          </cell>
          <cell r="F632">
            <v>602508.88</v>
          </cell>
          <cell r="G632">
            <v>422557.17</v>
          </cell>
        </row>
        <row r="633">
          <cell r="A633" t="str">
            <v>Т-01885/АЗ_Т-20211028/Ц</v>
          </cell>
          <cell r="B633" t="str">
            <v>Месропян Аревик Орбеловна</v>
          </cell>
          <cell r="C633">
            <v>661</v>
          </cell>
          <cell r="D633">
            <v>44827</v>
          </cell>
          <cell r="E633">
            <v>194420.7</v>
          </cell>
          <cell r="F633">
            <v>194420.7</v>
          </cell>
          <cell r="G633">
            <v>98003.53</v>
          </cell>
        </row>
        <row r="634">
          <cell r="A634" t="str">
            <v>В-10039/КЛ.Транш - 1_В-20211230/Ц</v>
          </cell>
          <cell r="B634" t="str">
            <v>Чеботкова Полина Михайловна</v>
          </cell>
          <cell r="C634">
            <v>660</v>
          </cell>
          <cell r="D634">
            <v>44828</v>
          </cell>
          <cell r="E634">
            <v>846864.68</v>
          </cell>
          <cell r="F634">
            <v>846864.68</v>
          </cell>
          <cell r="G634">
            <v>510538.93</v>
          </cell>
        </row>
        <row r="635">
          <cell r="A635" t="str">
            <v>В-26450/АЗ_В-20211230/Ц</v>
          </cell>
          <cell r="B635" t="str">
            <v>Петров Юрий Викторович</v>
          </cell>
          <cell r="C635">
            <v>660</v>
          </cell>
          <cell r="D635">
            <v>44828</v>
          </cell>
          <cell r="E635">
            <v>880797.79</v>
          </cell>
          <cell r="F635">
            <v>880797.79</v>
          </cell>
          <cell r="G635">
            <v>575064.78</v>
          </cell>
        </row>
        <row r="636">
          <cell r="A636" t="str">
            <v>В-02583/КЛ.Транш - 6_В-21082023/Ц</v>
          </cell>
          <cell r="B636" t="str">
            <v>Филатова Юлия Петровна</v>
          </cell>
          <cell r="C636">
            <v>659</v>
          </cell>
          <cell r="D636">
            <v>44829</v>
          </cell>
          <cell r="E636">
            <v>100983.26</v>
          </cell>
          <cell r="F636">
            <v>100983.26</v>
          </cell>
          <cell r="G636">
            <v>79192.86</v>
          </cell>
        </row>
        <row r="637">
          <cell r="A637" t="str">
            <v>В-10039/КЛ.Транш - 2_В-20211230/Ц</v>
          </cell>
          <cell r="B637" t="str">
            <v>Чеботкова Полина Михайловна</v>
          </cell>
          <cell r="C637">
            <v>656</v>
          </cell>
          <cell r="D637">
            <v>44832</v>
          </cell>
          <cell r="E637">
            <v>252013.43</v>
          </cell>
          <cell r="F637">
            <v>252013.43</v>
          </cell>
          <cell r="G637">
            <v>146529.69</v>
          </cell>
        </row>
        <row r="638">
          <cell r="A638" t="str">
            <v>В-02583/КЛ.Транш - 7_В-21082023/Ц</v>
          </cell>
          <cell r="B638" t="str">
            <v>Филатова Юлия Петровна</v>
          </cell>
          <cell r="C638">
            <v>654</v>
          </cell>
          <cell r="D638">
            <v>44834</v>
          </cell>
          <cell r="E638">
            <v>125995.57</v>
          </cell>
          <cell r="F638">
            <v>125995.57</v>
          </cell>
          <cell r="G638">
            <v>98821.17</v>
          </cell>
        </row>
        <row r="639">
          <cell r="A639" t="str">
            <v>В-10020/КЭ.Транш - 1_В-20211230/Ц</v>
          </cell>
          <cell r="B639" t="str">
            <v>АС ООО</v>
          </cell>
          <cell r="C639">
            <v>653</v>
          </cell>
          <cell r="D639">
            <v>44835</v>
          </cell>
          <cell r="E639">
            <v>5997097.0099999998</v>
          </cell>
          <cell r="F639">
            <v>5997097.0099999998</v>
          </cell>
          <cell r="G639">
            <v>761323.76</v>
          </cell>
        </row>
        <row r="640">
          <cell r="A640" t="str">
            <v>В-25659/КЛ.Транш - 1_В-20211230/Ц</v>
          </cell>
          <cell r="B640" t="str">
            <v>Бондаренко Александр Александрович</v>
          </cell>
          <cell r="C640">
            <v>647</v>
          </cell>
          <cell r="D640">
            <v>44841</v>
          </cell>
          <cell r="E640">
            <v>117931.53</v>
          </cell>
          <cell r="F640">
            <v>250121.03</v>
          </cell>
          <cell r="G640">
            <v>107547.4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640</v>
          </cell>
          <cell r="D641">
            <v>44848</v>
          </cell>
          <cell r="E641">
            <v>46799.12</v>
          </cell>
          <cell r="F641">
            <v>46799.12</v>
          </cell>
          <cell r="G641">
            <v>35828.65</v>
          </cell>
        </row>
        <row r="642">
          <cell r="A642" t="str">
            <v>В-11396/КЛ.Транш - 2_В-21082023/Ц</v>
          </cell>
          <cell r="B642" t="str">
            <v>Губская Светлана Анатольевна</v>
          </cell>
          <cell r="C642">
            <v>639</v>
          </cell>
          <cell r="D642">
            <v>44849</v>
          </cell>
          <cell r="E642">
            <v>45229.58</v>
          </cell>
          <cell r="F642">
            <v>205009.4</v>
          </cell>
          <cell r="G642">
            <v>173008.97</v>
          </cell>
        </row>
        <row r="643">
          <cell r="A643" t="str">
            <v>В-25659/КЛ.Транш - 2_В-20211230/Ц</v>
          </cell>
          <cell r="B643" t="str">
            <v>Бондаренко Александр Александрович</v>
          </cell>
          <cell r="C643">
            <v>637</v>
          </cell>
          <cell r="D643">
            <v>44851</v>
          </cell>
          <cell r="E643">
            <v>118103.89</v>
          </cell>
          <cell r="F643">
            <v>291826.24</v>
          </cell>
          <cell r="G643">
            <v>130577.68</v>
          </cell>
        </row>
        <row r="644">
          <cell r="A644" t="str">
            <v>В-14546/КЛ.Транш - 1_В-20211230/Ц</v>
          </cell>
          <cell r="B644" t="str">
            <v>Козлов Иван Александрович</v>
          </cell>
          <cell r="C644">
            <v>628</v>
          </cell>
          <cell r="D644">
            <v>44860</v>
          </cell>
          <cell r="E644">
            <v>375008.43</v>
          </cell>
          <cell r="F644">
            <v>375008.43</v>
          </cell>
          <cell r="G644">
            <v>243347.98</v>
          </cell>
        </row>
        <row r="645">
          <cell r="A645" t="str">
            <v>В-26649/АЗ_В-20211230/Ц</v>
          </cell>
          <cell r="B645" t="str">
            <v>Краснокутская Ирина Анатольевна</v>
          </cell>
          <cell r="C645">
            <v>626</v>
          </cell>
          <cell r="D645">
            <v>44862</v>
          </cell>
          <cell r="E645">
            <v>1466318.26</v>
          </cell>
          <cell r="F645">
            <v>1466318.26</v>
          </cell>
          <cell r="G645">
            <v>937688.28</v>
          </cell>
        </row>
        <row r="646">
          <cell r="A646" t="str">
            <v>В-26651/АЗ_В-20211230/Ц</v>
          </cell>
          <cell r="B646" t="str">
            <v>Краснокутский Анатолий Владимирович</v>
          </cell>
          <cell r="C646">
            <v>626</v>
          </cell>
          <cell r="D646">
            <v>44862</v>
          </cell>
          <cell r="E646">
            <v>1161247.92</v>
          </cell>
          <cell r="F646">
            <v>1161247.92</v>
          </cell>
          <cell r="G646">
            <v>746957.49</v>
          </cell>
        </row>
        <row r="647">
          <cell r="A647" t="str">
            <v>В-21731/КЛ.Транш - 2_В-21082023/Ц</v>
          </cell>
          <cell r="B647" t="str">
            <v>Виноградова Светлана Витальевна</v>
          </cell>
          <cell r="C647">
            <v>622</v>
          </cell>
          <cell r="D647">
            <v>44866</v>
          </cell>
          <cell r="E647">
            <v>157407.25</v>
          </cell>
          <cell r="F647">
            <v>157407.25</v>
          </cell>
          <cell r="G647">
            <v>123900.97</v>
          </cell>
        </row>
        <row r="648">
          <cell r="A648" t="str">
            <v>В-14232/КЛ.Транш - 1_В-20211230/Ц</v>
          </cell>
          <cell r="B648" t="str">
            <v>Эскеров Агаси Эскерович</v>
          </cell>
          <cell r="C648">
            <v>619</v>
          </cell>
          <cell r="D648">
            <v>44869</v>
          </cell>
          <cell r="E648">
            <v>70791.08</v>
          </cell>
          <cell r="F648">
            <v>70791.08</v>
          </cell>
          <cell r="G648">
            <v>41869.35</v>
          </cell>
        </row>
        <row r="649">
          <cell r="A649" t="str">
            <v>В-02583/КЛ.Транш - 9_В-21082023/Ц</v>
          </cell>
          <cell r="B649" t="str">
            <v>Филатова Юлия Петровна</v>
          </cell>
          <cell r="C649">
            <v>616</v>
          </cell>
          <cell r="D649">
            <v>44872</v>
          </cell>
          <cell r="E649">
            <v>56486.47</v>
          </cell>
          <cell r="F649">
            <v>56486.47</v>
          </cell>
          <cell r="G649">
            <v>43697.18</v>
          </cell>
        </row>
        <row r="650">
          <cell r="A650" t="str">
            <v>В-28159/КЛ.Транш - 1_В-20211230/Ц</v>
          </cell>
          <cell r="B650" t="str">
            <v>Карагезян Шушаник Вачагановна</v>
          </cell>
          <cell r="C650">
            <v>611</v>
          </cell>
          <cell r="D650">
            <v>44877</v>
          </cell>
          <cell r="E650">
            <v>448538.99</v>
          </cell>
          <cell r="F650">
            <v>448538.99</v>
          </cell>
          <cell r="G650">
            <v>285560.12</v>
          </cell>
        </row>
        <row r="651">
          <cell r="A651" t="str">
            <v>В-30007/КЭ.Транш - 1_В-20211230/Ц</v>
          </cell>
          <cell r="B651" t="str">
            <v>ИП Артемов Александр Викторович</v>
          </cell>
          <cell r="C651">
            <v>604</v>
          </cell>
          <cell r="D651">
            <v>44884</v>
          </cell>
          <cell r="E651">
            <v>2129960.14</v>
          </cell>
          <cell r="F651">
            <v>2129960.14</v>
          </cell>
          <cell r="G651">
            <v>244671.35999999999</v>
          </cell>
        </row>
        <row r="652">
          <cell r="A652" t="str">
            <v>В-27410/КЛ.Транш - 1_В-21082023/Ц</v>
          </cell>
          <cell r="B652" t="str">
            <v>Бунаков Алексей Вячеславович</v>
          </cell>
          <cell r="C652">
            <v>601</v>
          </cell>
          <cell r="D652">
            <v>44887</v>
          </cell>
          <cell r="E652">
            <v>514525.83</v>
          </cell>
          <cell r="F652">
            <v>514525.83</v>
          </cell>
          <cell r="G652">
            <v>353990.13</v>
          </cell>
        </row>
        <row r="653">
          <cell r="A653" t="str">
            <v>В-28274/КЛ.Транш - 1_В-21082023/Ц</v>
          </cell>
          <cell r="B653" t="str">
            <v>Подтуркин Алексей Сергеевич</v>
          </cell>
          <cell r="C653">
            <v>600</v>
          </cell>
          <cell r="D653">
            <v>44888</v>
          </cell>
          <cell r="E653">
            <v>303361.96999999997</v>
          </cell>
          <cell r="F653">
            <v>303361.96999999997</v>
          </cell>
          <cell r="G653">
            <v>185069.57</v>
          </cell>
        </row>
        <row r="654">
          <cell r="A654" t="str">
            <v>В-25052/КЛ.Транш - 1_В-21082023/Ц</v>
          </cell>
          <cell r="B654" t="str">
            <v>Журавлёв Денис Сергеевич</v>
          </cell>
          <cell r="C654">
            <v>598</v>
          </cell>
          <cell r="D654">
            <v>44890</v>
          </cell>
          <cell r="E654">
            <v>605122.38</v>
          </cell>
          <cell r="F654">
            <v>605122.38</v>
          </cell>
          <cell r="G654">
            <v>400799.7</v>
          </cell>
        </row>
        <row r="655">
          <cell r="A655" t="str">
            <v>В-01203/АЗ_В-21082023/Ц</v>
          </cell>
          <cell r="B655" t="str">
            <v>Нахапетов Артур Валерьевич</v>
          </cell>
          <cell r="C655">
            <v>594</v>
          </cell>
          <cell r="D655">
            <v>44894</v>
          </cell>
          <cell r="E655">
            <v>692959.79</v>
          </cell>
          <cell r="F655">
            <v>692959.79</v>
          </cell>
          <cell r="G655">
            <v>417428.36</v>
          </cell>
        </row>
        <row r="656">
          <cell r="A656" t="str">
            <v>В-18631/КЛ.Транш - 1_В-21082023/Ц</v>
          </cell>
          <cell r="B656" t="str">
            <v>Самедов Эльдар Абилевич</v>
          </cell>
          <cell r="C656">
            <v>592</v>
          </cell>
          <cell r="D656">
            <v>44896</v>
          </cell>
          <cell r="E656">
            <v>304390.65000000002</v>
          </cell>
          <cell r="F656">
            <v>304390.65000000002</v>
          </cell>
          <cell r="G656">
            <v>109431.76</v>
          </cell>
        </row>
        <row r="657">
          <cell r="A657" t="str">
            <v>В-19346/КЛ.Транш - 2_В-21082023/Ц</v>
          </cell>
          <cell r="B657" t="str">
            <v>Киселев Александр Максимович</v>
          </cell>
          <cell r="C657">
            <v>581</v>
          </cell>
          <cell r="D657">
            <v>44907</v>
          </cell>
          <cell r="E657">
            <v>150271.29</v>
          </cell>
          <cell r="F657">
            <v>150271.29</v>
          </cell>
          <cell r="G657">
            <v>101855.26</v>
          </cell>
        </row>
        <row r="658">
          <cell r="A658" t="str">
            <v>В-19346/КЛ.Транш - 3_В-21082023/Ц</v>
          </cell>
          <cell r="B658" t="str">
            <v>Киселев Александр Максимович</v>
          </cell>
          <cell r="C658">
            <v>574</v>
          </cell>
          <cell r="D658">
            <v>44914</v>
          </cell>
          <cell r="E658">
            <v>268103.32</v>
          </cell>
          <cell r="F658">
            <v>268103.32</v>
          </cell>
          <cell r="G658">
            <v>182301.85</v>
          </cell>
        </row>
        <row r="659">
          <cell r="A659" t="str">
            <v>В-00030/КЭ.Транш - 1_В-21082023/Ц</v>
          </cell>
          <cell r="B659" t="str">
            <v>Макси-Строй ООО</v>
          </cell>
          <cell r="C659">
            <v>573</v>
          </cell>
          <cell r="D659">
            <v>44915</v>
          </cell>
          <cell r="E659">
            <v>381096.83</v>
          </cell>
          <cell r="F659">
            <v>381096.83</v>
          </cell>
          <cell r="G659">
            <v>39349.879999999997</v>
          </cell>
        </row>
        <row r="660">
          <cell r="A660" t="str">
            <v>В-18141/КЛ.Транш - 1_В-21082023/Ц</v>
          </cell>
          <cell r="B660" t="str">
            <v>Королёв Сергей Николаевич</v>
          </cell>
          <cell r="C660">
            <v>573</v>
          </cell>
          <cell r="D660">
            <v>44915</v>
          </cell>
          <cell r="E660">
            <v>314791.89</v>
          </cell>
          <cell r="F660">
            <v>314791.89</v>
          </cell>
          <cell r="G660">
            <v>212357.23</v>
          </cell>
        </row>
        <row r="661">
          <cell r="A661" t="str">
            <v>В-19104/КЛ.Транш - 1_В-21082023/Ц</v>
          </cell>
          <cell r="B661" t="str">
            <v>Кожанов Александр Михайлович</v>
          </cell>
          <cell r="C661">
            <v>573</v>
          </cell>
          <cell r="D661">
            <v>44915</v>
          </cell>
          <cell r="E661">
            <v>456509.88</v>
          </cell>
          <cell r="F661">
            <v>456509.88</v>
          </cell>
          <cell r="G661">
            <v>304765.15000000002</v>
          </cell>
        </row>
        <row r="662">
          <cell r="A662" t="str">
            <v>В-12943/КЛ.Транш - 1_В-21082023/Ц</v>
          </cell>
          <cell r="B662" t="str">
            <v>Дробот Роман Вячеславович</v>
          </cell>
          <cell r="C662">
            <v>570</v>
          </cell>
          <cell r="D662">
            <v>44918</v>
          </cell>
          <cell r="E662">
            <v>321997.18</v>
          </cell>
          <cell r="F662">
            <v>321997.18</v>
          </cell>
          <cell r="G662">
            <v>180436.57</v>
          </cell>
        </row>
        <row r="663">
          <cell r="A663" t="str">
            <v>В-03300/КЛ.Транш - 1_В-21082023/Ц</v>
          </cell>
          <cell r="B663" t="str">
            <v>Тихонова Ирина Анатольевна</v>
          </cell>
          <cell r="C663">
            <v>569</v>
          </cell>
          <cell r="D663">
            <v>44919</v>
          </cell>
          <cell r="E663">
            <v>77755.509999999995</v>
          </cell>
          <cell r="F663">
            <v>77755.509999999995</v>
          </cell>
          <cell r="G663">
            <v>50616.45</v>
          </cell>
        </row>
        <row r="664">
          <cell r="A664" t="str">
            <v>В-27753/КЛ.Транш - 1_В-21082023/Ц</v>
          </cell>
          <cell r="B664" t="str">
            <v>Турумбекова Темиркан Кадырбековна</v>
          </cell>
          <cell r="C664">
            <v>568</v>
          </cell>
          <cell r="D664">
            <v>44920</v>
          </cell>
          <cell r="E664">
            <v>311232.8</v>
          </cell>
          <cell r="F664">
            <v>311232.8</v>
          </cell>
          <cell r="G664">
            <v>201867.89</v>
          </cell>
        </row>
        <row r="665">
          <cell r="A665" t="str">
            <v>В-19684/КЛ.Транш - 1_В-21082023/Ц</v>
          </cell>
          <cell r="B665" t="str">
            <v>Белорыбкин Михаил Васильевич</v>
          </cell>
          <cell r="C665">
            <v>565</v>
          </cell>
          <cell r="D665">
            <v>44923</v>
          </cell>
          <cell r="E665">
            <v>351355.26</v>
          </cell>
          <cell r="F665">
            <v>351355.26</v>
          </cell>
          <cell r="G665">
            <v>237825.37</v>
          </cell>
        </row>
        <row r="666">
          <cell r="A666" t="str">
            <v>В-25306/КЛ.Транш - 1_В-21082023/Ц</v>
          </cell>
          <cell r="B666" t="str">
            <v>Сидоренко Надежда Алексеевна</v>
          </cell>
          <cell r="C666">
            <v>552</v>
          </cell>
          <cell r="D666">
            <v>44936</v>
          </cell>
          <cell r="E666">
            <v>1095214.57</v>
          </cell>
          <cell r="F666">
            <v>1795182.1</v>
          </cell>
          <cell r="G666">
            <v>908272.7</v>
          </cell>
        </row>
        <row r="667">
          <cell r="A667" t="str">
            <v>В-25865/КЛ.Транш - 1_В-21082023/Ц</v>
          </cell>
          <cell r="B667" t="str">
            <v>Набойченко Юлия Александровна</v>
          </cell>
          <cell r="C667">
            <v>551</v>
          </cell>
          <cell r="D667">
            <v>44937</v>
          </cell>
          <cell r="E667">
            <v>791579.9</v>
          </cell>
          <cell r="F667">
            <v>791579.9</v>
          </cell>
          <cell r="G667">
            <v>523728.74</v>
          </cell>
        </row>
        <row r="668">
          <cell r="A668" t="str">
            <v>В-26664/КЛ.Транш - 1_В-21082023/Ц</v>
          </cell>
          <cell r="B668" t="str">
            <v>Лемкин Николай Иванович</v>
          </cell>
          <cell r="C668">
            <v>534</v>
          </cell>
          <cell r="D668">
            <v>44954</v>
          </cell>
          <cell r="E668">
            <v>150923.49</v>
          </cell>
          <cell r="F668">
            <v>301305.65000000002</v>
          </cell>
          <cell r="G668">
            <v>207666.7</v>
          </cell>
        </row>
        <row r="669">
          <cell r="A669" t="str">
            <v>В-00970/АЗ_В-21082023/Ц</v>
          </cell>
          <cell r="B669" t="str">
            <v>Башкатов Егор Иванович</v>
          </cell>
          <cell r="C669">
            <v>533</v>
          </cell>
          <cell r="D669">
            <v>44955</v>
          </cell>
          <cell r="E669">
            <v>490918.07</v>
          </cell>
          <cell r="F669">
            <v>509512.65</v>
          </cell>
          <cell r="G669">
            <v>241206.49</v>
          </cell>
        </row>
        <row r="670">
          <cell r="A670" t="str">
            <v>В-23776/КЛ.Транш - 1_В-21082023/Ц</v>
          </cell>
          <cell r="B670" t="str">
            <v>Шалдыбин Данил Геннадьевич</v>
          </cell>
          <cell r="C670">
            <v>514</v>
          </cell>
          <cell r="D670">
            <v>44974</v>
          </cell>
          <cell r="E670">
            <v>149685.63</v>
          </cell>
          <cell r="F670">
            <v>149685.63</v>
          </cell>
          <cell r="G670">
            <v>129004.89</v>
          </cell>
        </row>
        <row r="671">
          <cell r="A671" t="str">
            <v>В-10022/КЭ.Транш - 1_В-21082023/Ц</v>
          </cell>
          <cell r="B671" t="str">
            <v>ТРАНСЛОГ ООО</v>
          </cell>
          <cell r="C671">
            <v>508</v>
          </cell>
          <cell r="D671">
            <v>44980</v>
          </cell>
          <cell r="E671">
            <v>20488.990000000002</v>
          </cell>
          <cell r="F671">
            <v>20488.990000000002</v>
          </cell>
        </row>
        <row r="672">
          <cell r="A672" t="str">
            <v>В-20952/КЛ.Транш - 3_В-21082023/Ц</v>
          </cell>
          <cell r="B672" t="str">
            <v>Ширманов Никита Александрович</v>
          </cell>
          <cell r="C672">
            <v>508</v>
          </cell>
          <cell r="D672">
            <v>44980</v>
          </cell>
          <cell r="E672">
            <v>116040.89</v>
          </cell>
          <cell r="F672">
            <v>178216.1</v>
          </cell>
          <cell r="G672">
            <v>85616.51</v>
          </cell>
        </row>
        <row r="673">
          <cell r="A673" t="str">
            <v>В-22979/КЛ.Транш - 1_В-21082023/Ц</v>
          </cell>
          <cell r="B673" t="str">
            <v>Цирамуа Наталия Наполеоновна</v>
          </cell>
          <cell r="C673">
            <v>506</v>
          </cell>
          <cell r="D673">
            <v>44982</v>
          </cell>
          <cell r="E673">
            <v>69263.38</v>
          </cell>
          <cell r="F673">
            <v>285162.34999999998</v>
          </cell>
          <cell r="G673">
            <v>237796.4</v>
          </cell>
        </row>
        <row r="674">
          <cell r="A674" t="str">
            <v>В-01113/АЗ_В-21082023/Ц</v>
          </cell>
          <cell r="B674" t="str">
            <v>Петров Денис Александрович</v>
          </cell>
          <cell r="C674">
            <v>496</v>
          </cell>
          <cell r="D674">
            <v>44992</v>
          </cell>
          <cell r="E674">
            <v>376376.05</v>
          </cell>
          <cell r="F674">
            <v>376376.05</v>
          </cell>
          <cell r="G674">
            <v>189695.68</v>
          </cell>
        </row>
        <row r="675">
          <cell r="A675" t="str">
            <v>В-21321/КЛ.Транш - 1_В-21082023/Ц</v>
          </cell>
          <cell r="B675" t="str">
            <v>Надеев Алексей Александрович</v>
          </cell>
          <cell r="C675">
            <v>492</v>
          </cell>
          <cell r="D675">
            <v>44996</v>
          </cell>
          <cell r="E675">
            <v>6484.24</v>
          </cell>
          <cell r="F675">
            <v>6484.24</v>
          </cell>
        </row>
        <row r="676">
          <cell r="A676" t="str">
            <v>В-14198/КЛ.Транш - 1_В-21082023/Ц</v>
          </cell>
          <cell r="B676" t="str">
            <v>Борисов Андрей Сергеевич</v>
          </cell>
          <cell r="C676">
            <v>487</v>
          </cell>
          <cell r="D676">
            <v>45001</v>
          </cell>
          <cell r="E676">
            <v>5604.35</v>
          </cell>
          <cell r="F676">
            <v>123230.8</v>
          </cell>
          <cell r="G676">
            <v>111094.69</v>
          </cell>
        </row>
        <row r="677">
          <cell r="A677" t="str">
            <v>В-20952/КЛ.Транш - 6_В-21082023/Ц</v>
          </cell>
          <cell r="B677" t="str">
            <v>Ширманов Никита Александрович</v>
          </cell>
          <cell r="C677">
            <v>472</v>
          </cell>
          <cell r="D677">
            <v>45016</v>
          </cell>
          <cell r="E677">
            <v>114084.46</v>
          </cell>
          <cell r="F677">
            <v>175519.77</v>
          </cell>
          <cell r="G677">
            <v>85748.58</v>
          </cell>
        </row>
        <row r="678">
          <cell r="A678" t="str">
            <v>В-17318/КЛ.Транш - 1_В-21082023/Ц</v>
          </cell>
          <cell r="B678" t="str">
            <v>Анищенкова Оксана Михайловна</v>
          </cell>
          <cell r="C678">
            <v>468</v>
          </cell>
          <cell r="D678">
            <v>45020</v>
          </cell>
          <cell r="E678">
            <v>904257.53</v>
          </cell>
          <cell r="F678">
            <v>904257.53</v>
          </cell>
          <cell r="G678">
            <v>763161.64</v>
          </cell>
        </row>
        <row r="679">
          <cell r="A679" t="str">
            <v>В-25824/КЛ.Транш - 1_В-21082023/Ц</v>
          </cell>
          <cell r="B679" t="str">
            <v>Яковлев Борис Викторович</v>
          </cell>
          <cell r="C679">
            <v>459</v>
          </cell>
          <cell r="D679">
            <v>45029</v>
          </cell>
          <cell r="E679">
            <v>169521.03</v>
          </cell>
          <cell r="F679">
            <v>169521.03</v>
          </cell>
          <cell r="G679">
            <v>102744.52</v>
          </cell>
        </row>
        <row r="680">
          <cell r="A680" t="str">
            <v>В-26114/КЛ.Транш - 1_В-21082023/Ц</v>
          </cell>
          <cell r="B680" t="str">
            <v>Рахимов Фарход Каримович</v>
          </cell>
          <cell r="C680">
            <v>455</v>
          </cell>
          <cell r="D680">
            <v>45033</v>
          </cell>
          <cell r="E680">
            <v>371572.23</v>
          </cell>
          <cell r="F680">
            <v>463441.29</v>
          </cell>
          <cell r="G680">
            <v>214781.62</v>
          </cell>
        </row>
        <row r="681">
          <cell r="A681" t="str">
            <v>В-21872/КЛ.Транш - 1_В-21082023/Ц</v>
          </cell>
          <cell r="B681" t="str">
            <v>Савчук Елена Александровна</v>
          </cell>
          <cell r="C681">
            <v>448</v>
          </cell>
          <cell r="D681">
            <v>45040</v>
          </cell>
          <cell r="E681">
            <v>295338.03999999998</v>
          </cell>
          <cell r="F681">
            <v>295338.03999999998</v>
          </cell>
          <cell r="G681">
            <v>200305.09</v>
          </cell>
        </row>
        <row r="682">
          <cell r="A682" t="str">
            <v>В-28587/КЛ.Транш - 1_В-21082023/Ц</v>
          </cell>
          <cell r="B682" t="str">
            <v>Видяков Денис Сергеевич</v>
          </cell>
          <cell r="C682">
            <v>442</v>
          </cell>
          <cell r="D682">
            <v>45046</v>
          </cell>
          <cell r="E682">
            <v>297900.90000000002</v>
          </cell>
          <cell r="F682">
            <v>456614.08</v>
          </cell>
          <cell r="G682">
            <v>302836.65000000002</v>
          </cell>
        </row>
        <row r="683">
          <cell r="A683" t="str">
            <v>В-00052/КЭ.Транш - 1_В-21082023/Ц</v>
          </cell>
          <cell r="B683" t="str">
            <v>ИП Окунева Лилия Викторовна</v>
          </cell>
          <cell r="C683">
            <v>439</v>
          </cell>
          <cell r="D683">
            <v>45049</v>
          </cell>
          <cell r="E683">
            <v>723286.29</v>
          </cell>
          <cell r="F683">
            <v>723286.29</v>
          </cell>
          <cell r="G683">
            <v>96264.45</v>
          </cell>
        </row>
        <row r="684">
          <cell r="A684" t="str">
            <v>В-27914/КЛ.Транш - 1_В-21082023/Ц</v>
          </cell>
          <cell r="B684" t="str">
            <v>Чепрасова Галина Александровна</v>
          </cell>
          <cell r="C684">
            <v>438</v>
          </cell>
          <cell r="D684">
            <v>45050</v>
          </cell>
          <cell r="E684">
            <v>122930.47</v>
          </cell>
          <cell r="F684">
            <v>237698.62</v>
          </cell>
          <cell r="G684">
            <v>153054.64000000001</v>
          </cell>
        </row>
        <row r="685">
          <cell r="A685" t="str">
            <v>В-01174/АЗ_В-21082023/Ц</v>
          </cell>
          <cell r="B685" t="str">
            <v>Барт Денис Михайлович</v>
          </cell>
          <cell r="C685">
            <v>420</v>
          </cell>
          <cell r="D685">
            <v>45068</v>
          </cell>
          <cell r="E685">
            <v>332396.79999999999</v>
          </cell>
          <cell r="F685">
            <v>535775.51</v>
          </cell>
          <cell r="G685">
            <v>323475.14</v>
          </cell>
        </row>
        <row r="686">
          <cell r="A686" t="str">
            <v>В-28436/АЗ_В-21082023/Ц</v>
          </cell>
          <cell r="B686" t="str">
            <v>Левченков Георгий Михайлович</v>
          </cell>
          <cell r="C686">
            <v>410</v>
          </cell>
          <cell r="D686">
            <v>45078</v>
          </cell>
          <cell r="E686">
            <v>294684.94</v>
          </cell>
          <cell r="F686">
            <v>633970.35</v>
          </cell>
          <cell r="G686">
            <v>418557.53</v>
          </cell>
        </row>
        <row r="687">
          <cell r="A687" t="str">
            <v>В-26422/КЛ.Транш - 1_В-21082023/Ц</v>
          </cell>
          <cell r="B687" t="str">
            <v>Ахмедов Магомедрасул Камаладинович</v>
          </cell>
          <cell r="C687">
            <v>397</v>
          </cell>
          <cell r="D687">
            <v>45091</v>
          </cell>
          <cell r="E687">
            <v>371486.25</v>
          </cell>
          <cell r="F687">
            <v>800023.35</v>
          </cell>
          <cell r="G687">
            <v>540292.54</v>
          </cell>
        </row>
        <row r="688">
          <cell r="A688" t="str">
            <v>В-22677/КЛ.Транш - 1_В-21082023/Ц</v>
          </cell>
          <cell r="B688" t="str">
            <v>Белякова Марина Сергеевна</v>
          </cell>
          <cell r="C688">
            <v>394</v>
          </cell>
          <cell r="D688">
            <v>45094</v>
          </cell>
          <cell r="E688">
            <v>192395.71</v>
          </cell>
          <cell r="F688">
            <v>317855.76</v>
          </cell>
          <cell r="G688">
            <v>176315.99</v>
          </cell>
        </row>
        <row r="689">
          <cell r="A689" t="str">
            <v>В-04333/КЛ.Транш - 8_В-20211230/Ц</v>
          </cell>
          <cell r="B689" t="str">
            <v>Заика Денис Викторович</v>
          </cell>
          <cell r="C689">
            <v>389</v>
          </cell>
          <cell r="D689">
            <v>45099</v>
          </cell>
          <cell r="E689">
            <v>8024.32</v>
          </cell>
          <cell r="F689">
            <v>8024.32</v>
          </cell>
        </row>
        <row r="690">
          <cell r="A690" t="str">
            <v>В-28961/КЛ.Транш - 1_В-21082023/Ц</v>
          </cell>
          <cell r="B690" t="str">
            <v>Гагарин Юрий Александрович</v>
          </cell>
          <cell r="C690">
            <v>378</v>
          </cell>
          <cell r="D690">
            <v>45110</v>
          </cell>
          <cell r="E690">
            <v>151607.34</v>
          </cell>
          <cell r="F690">
            <v>334993.07</v>
          </cell>
          <cell r="G690">
            <v>214297.59</v>
          </cell>
        </row>
        <row r="691">
          <cell r="A691" t="str">
            <v>В-08348/КЛ.Транш - 7_В-21082023/Ц</v>
          </cell>
          <cell r="B691" t="str">
            <v>Голосенин Тимофей Васильевич</v>
          </cell>
          <cell r="C691">
            <v>360</v>
          </cell>
          <cell r="D691">
            <v>45128</v>
          </cell>
          <cell r="E691">
            <v>48156.73</v>
          </cell>
          <cell r="F691">
            <v>80315.73</v>
          </cell>
          <cell r="G691">
            <v>43756.97</v>
          </cell>
        </row>
        <row r="692">
          <cell r="A692" t="str">
            <v>В-12574/КЛ.Транш - 1_В-21082023/Ц</v>
          </cell>
          <cell r="B692" t="str">
            <v>Павлов Вячеслав Игоревич</v>
          </cell>
          <cell r="C692">
            <v>333</v>
          </cell>
          <cell r="D692">
            <v>45155</v>
          </cell>
          <cell r="E692">
            <v>84021.03</v>
          </cell>
          <cell r="F692">
            <v>110165.71</v>
          </cell>
          <cell r="G692">
            <v>58089.47</v>
          </cell>
        </row>
        <row r="693">
          <cell r="A693" t="str">
            <v>В-12574/КЛ.Транш - 3_В-21082023/Ц</v>
          </cell>
          <cell r="B693" t="str">
            <v>Павлов Вячеслав Игоревич</v>
          </cell>
          <cell r="C693">
            <v>331</v>
          </cell>
          <cell r="D693">
            <v>45157</v>
          </cell>
          <cell r="E693">
            <v>87685.99</v>
          </cell>
          <cell r="F693">
            <v>135780.26999999999</v>
          </cell>
          <cell r="G693">
            <v>73664.179999999993</v>
          </cell>
        </row>
        <row r="694">
          <cell r="A694" t="str">
            <v>В-22409/КЛ.Транш - 1_В-21082023/Ц</v>
          </cell>
          <cell r="B694" t="str">
            <v>Дзюба Евгений Григорьевич</v>
          </cell>
          <cell r="C694">
            <v>330</v>
          </cell>
          <cell r="D694">
            <v>45158</v>
          </cell>
          <cell r="E694">
            <v>274720.44</v>
          </cell>
          <cell r="F694">
            <v>325931.68</v>
          </cell>
          <cell r="G694">
            <v>173551.16</v>
          </cell>
        </row>
        <row r="695">
          <cell r="A695" t="str">
            <v>В-12256/КЛ.Транш - 1_В-21082023/Ц</v>
          </cell>
          <cell r="B695" t="str">
            <v>Диденко Роман Владимирович</v>
          </cell>
          <cell r="C695">
            <v>329</v>
          </cell>
          <cell r="D695">
            <v>45159</v>
          </cell>
          <cell r="E695">
            <v>196320.69</v>
          </cell>
          <cell r="F695">
            <v>263485.09000000003</v>
          </cell>
          <cell r="G695">
            <v>129429.49</v>
          </cell>
        </row>
        <row r="696">
          <cell r="A696" t="str">
            <v>В-12574/КЛ.Транш - 2_В-21082023/Ц</v>
          </cell>
          <cell r="B696" t="str">
            <v>Павлов Вячеслав Игоревич</v>
          </cell>
          <cell r="C696">
            <v>324</v>
          </cell>
          <cell r="D696">
            <v>45164</v>
          </cell>
          <cell r="E696">
            <v>87378.240000000005</v>
          </cell>
          <cell r="F696">
            <v>124458.73</v>
          </cell>
          <cell r="G696">
            <v>68136.69</v>
          </cell>
        </row>
        <row r="697">
          <cell r="A697" t="str">
            <v>В-23923/КЛ.Транш - 1_В-21082023/Ц</v>
          </cell>
          <cell r="B697" t="str">
            <v>Самошин Дмитрий Сергеевич</v>
          </cell>
          <cell r="C697">
            <v>318</v>
          </cell>
          <cell r="D697">
            <v>45170</v>
          </cell>
          <cell r="E697">
            <v>285893.07</v>
          </cell>
          <cell r="F697">
            <v>484535.38</v>
          </cell>
          <cell r="G697">
            <v>251065.36</v>
          </cell>
        </row>
        <row r="698">
          <cell r="A698" t="str">
            <v>В-27315/КЛ.Транш - 1_В-21082023/Ц</v>
          </cell>
          <cell r="B698" t="str">
            <v>Годуйко Николай Николаевич</v>
          </cell>
          <cell r="C698">
            <v>317</v>
          </cell>
          <cell r="D698">
            <v>45171</v>
          </cell>
          <cell r="E698">
            <v>136865.69</v>
          </cell>
          <cell r="F698">
            <v>471758.02</v>
          </cell>
          <cell r="G698">
            <v>386511.69</v>
          </cell>
        </row>
        <row r="699">
          <cell r="A699" t="str">
            <v>В-26928/КЛ.Транш - 1_В-21082023/Ц</v>
          </cell>
          <cell r="B699" t="str">
            <v>Труханкин Анатолий Васильевич</v>
          </cell>
          <cell r="C699">
            <v>308</v>
          </cell>
          <cell r="D699">
            <v>45180</v>
          </cell>
          <cell r="E699">
            <v>450685.6</v>
          </cell>
          <cell r="F699">
            <v>450685.6</v>
          </cell>
          <cell r="G699">
            <v>257945.25</v>
          </cell>
        </row>
        <row r="700">
          <cell r="A700" t="str">
            <v>В-27065/АЗ_В-21082023/Ц</v>
          </cell>
          <cell r="B700" t="str">
            <v>Мордвинцева Елена Александровна</v>
          </cell>
          <cell r="C700">
            <v>299</v>
          </cell>
          <cell r="D700">
            <v>45189</v>
          </cell>
          <cell r="E700">
            <v>559864.43000000005</v>
          </cell>
          <cell r="F700">
            <v>559864.43000000005</v>
          </cell>
          <cell r="G700">
            <v>280388.82</v>
          </cell>
        </row>
        <row r="701">
          <cell r="A701" t="str">
            <v>В-28968/АЗ_В-21082023/Ц</v>
          </cell>
          <cell r="B701" t="str">
            <v>Егупов Дмитрий Сергеевич</v>
          </cell>
          <cell r="C701">
            <v>249</v>
          </cell>
          <cell r="D701">
            <v>45239</v>
          </cell>
          <cell r="E701">
            <v>51996.24</v>
          </cell>
          <cell r="F701">
            <v>51996.24</v>
          </cell>
          <cell r="G701">
            <v>32487.77</v>
          </cell>
        </row>
        <row r="702">
          <cell r="A702" t="str">
            <v>В-28549/АЗ_В-21082023/Ц</v>
          </cell>
          <cell r="B702" t="str">
            <v>Егупов Дмитрий Сергеевич</v>
          </cell>
          <cell r="C702">
            <v>237</v>
          </cell>
          <cell r="D702">
            <v>45251</v>
          </cell>
          <cell r="E702">
            <v>88924.44</v>
          </cell>
          <cell r="F702">
            <v>240675.56</v>
          </cell>
          <cell r="G702">
            <v>177462.1</v>
          </cell>
        </row>
        <row r="703">
          <cell r="A703" t="str">
            <v>В-24580/КЛ.Транш - 1_В-21082023/Ц</v>
          </cell>
          <cell r="B703" t="str">
            <v>Смирнов Игорь Александрович</v>
          </cell>
          <cell r="C703">
            <v>204</v>
          </cell>
          <cell r="D703">
            <v>45284</v>
          </cell>
          <cell r="E703">
            <v>7154.49</v>
          </cell>
          <cell r="F703">
            <v>121137.42</v>
          </cell>
          <cell r="G703">
            <v>110795.66</v>
          </cell>
        </row>
        <row r="704">
          <cell r="A704" t="str">
            <v>В-19286/КЛ.Транш - 1_В-21082023/Ц</v>
          </cell>
          <cell r="B704" t="str">
            <v>Насырова Шахлохон Раимжановна</v>
          </cell>
          <cell r="C704">
            <v>192</v>
          </cell>
          <cell r="D704">
            <v>45296</v>
          </cell>
          <cell r="E704">
            <v>24153.27</v>
          </cell>
          <cell r="F704">
            <v>273958.48</v>
          </cell>
          <cell r="G704">
            <v>246429.46</v>
          </cell>
        </row>
        <row r="705">
          <cell r="A705" t="str">
            <v>В-01188/АЗ_В-21082023/Ц</v>
          </cell>
          <cell r="B705" t="str">
            <v>Сапунов Дмитрий Владимирович</v>
          </cell>
          <cell r="C705">
            <v>182</v>
          </cell>
          <cell r="D705">
            <v>45306</v>
          </cell>
          <cell r="E705">
            <v>66395.72</v>
          </cell>
          <cell r="F705">
            <v>66395.72</v>
          </cell>
          <cell r="G705">
            <v>42264.29</v>
          </cell>
        </row>
        <row r="706">
          <cell r="A706" t="str">
            <v>В-19355/КЛ.Транш - 1_В-21082023/Ц</v>
          </cell>
          <cell r="B706" t="str">
            <v>Сидоров Александр Владимирович</v>
          </cell>
          <cell r="C706">
            <v>179</v>
          </cell>
          <cell r="D706">
            <v>45309</v>
          </cell>
          <cell r="E706">
            <v>17610.740000000002</v>
          </cell>
          <cell r="F706">
            <v>103451.34</v>
          </cell>
          <cell r="G706">
            <v>82778.91</v>
          </cell>
        </row>
        <row r="707">
          <cell r="A707" t="str">
            <v>В-25764/КЛ.Транш - 1_В-21082023/Ц</v>
          </cell>
          <cell r="B707" t="str">
            <v>Соколова Екатерина Николаевна</v>
          </cell>
          <cell r="C707">
            <v>152</v>
          </cell>
          <cell r="D707">
            <v>45336</v>
          </cell>
          <cell r="E707">
            <v>11008.21</v>
          </cell>
          <cell r="F707">
            <v>230967.57</v>
          </cell>
          <cell r="G707">
            <v>219628.41</v>
          </cell>
        </row>
        <row r="708">
          <cell r="A708" t="str">
            <v>В-09100/КЛ.Транш - 1_В-21082023/Ц</v>
          </cell>
          <cell r="B708" t="str">
            <v>Фомин Иван Евгеньевич</v>
          </cell>
          <cell r="C708">
            <v>148</v>
          </cell>
          <cell r="D708">
            <v>45340</v>
          </cell>
          <cell r="E708">
            <v>27478.41</v>
          </cell>
          <cell r="F708">
            <v>41065.69</v>
          </cell>
          <cell r="G708">
            <v>32183.25</v>
          </cell>
        </row>
        <row r="709">
          <cell r="A709" t="str">
            <v>В-18921/КЛ.Транш - 1_В-21082023/Ц</v>
          </cell>
          <cell r="B709" t="str">
            <v>Колесников Евгений Михайлович</v>
          </cell>
          <cell r="C709">
            <v>129</v>
          </cell>
          <cell r="D709">
            <v>45359</v>
          </cell>
          <cell r="E709">
            <v>445019.23</v>
          </cell>
          <cell r="F709">
            <v>1054746.3700000001</v>
          </cell>
          <cell r="G709">
            <v>742627.39</v>
          </cell>
        </row>
        <row r="710">
          <cell r="A710" t="str">
            <v>В-11277/КЛ.Транш - 1_В-21082023/Ц</v>
          </cell>
          <cell r="B710" t="str">
            <v>Литвинов Дмитрий Геннадьевич</v>
          </cell>
          <cell r="C710">
            <v>121</v>
          </cell>
          <cell r="D710">
            <v>45367</v>
          </cell>
          <cell r="E710">
            <v>60360.32</v>
          </cell>
          <cell r="F710">
            <v>157695.37</v>
          </cell>
          <cell r="G710">
            <v>143205.79999999999</v>
          </cell>
        </row>
        <row r="711">
          <cell r="A711" t="str">
            <v>В-26950/КЛ.Транш - 1_В-21082023/Ц</v>
          </cell>
          <cell r="B711" t="str">
            <v>Макаренко Екатерина Васильевна</v>
          </cell>
          <cell r="C711">
            <v>114</v>
          </cell>
          <cell r="D711">
            <v>45374</v>
          </cell>
          <cell r="E711">
            <v>51985.47</v>
          </cell>
          <cell r="F711">
            <v>168112.19</v>
          </cell>
          <cell r="G711">
            <v>122063.51</v>
          </cell>
        </row>
        <row r="712">
          <cell r="A712" t="str">
            <v>В-17469/КЛ.Транш - 1_В-21082023/Ц</v>
          </cell>
          <cell r="B712" t="str">
            <v>Копытман Александр Семенович</v>
          </cell>
          <cell r="C712">
            <v>64</v>
          </cell>
          <cell r="D712">
            <v>45424</v>
          </cell>
          <cell r="E712">
            <v>211200.03</v>
          </cell>
          <cell r="F712">
            <v>690882.27</v>
          </cell>
          <cell r="G712">
            <v>576927.80000000005</v>
          </cell>
        </row>
        <row r="713">
          <cell r="A713" t="str">
            <v>В-17469/КЛ.Транш - 2_В-21082023/Ц</v>
          </cell>
          <cell r="B713" t="str">
            <v>Копытман Александр Семенович</v>
          </cell>
          <cell r="C713">
            <v>51</v>
          </cell>
          <cell r="D713">
            <v>45437</v>
          </cell>
          <cell r="E713">
            <v>12910.9</v>
          </cell>
          <cell r="F713">
            <v>63928.97</v>
          </cell>
          <cell r="G713">
            <v>55078.39</v>
          </cell>
        </row>
        <row r="714">
          <cell r="A714" t="str">
            <v>В-27788/КЛ.Транш - 1_В-21082023/Ц</v>
          </cell>
          <cell r="B714" t="str">
            <v>Смолин Виктор Иванович</v>
          </cell>
          <cell r="C714">
            <v>42</v>
          </cell>
          <cell r="D714">
            <v>45446</v>
          </cell>
          <cell r="E714">
            <v>362.26</v>
          </cell>
          <cell r="F714">
            <v>375930.11</v>
          </cell>
          <cell r="G714">
            <v>350176.26</v>
          </cell>
        </row>
        <row r="715">
          <cell r="A715" t="str">
            <v>В-25807/АЗ_В-21082023/Ц</v>
          </cell>
          <cell r="B715" t="str">
            <v>Платонов Николай Владимирович</v>
          </cell>
          <cell r="C715">
            <v>35</v>
          </cell>
          <cell r="D715">
            <v>45453</v>
          </cell>
          <cell r="E715">
            <v>123349.27</v>
          </cell>
          <cell r="F715">
            <v>363392.22</v>
          </cell>
          <cell r="G715">
            <v>323793.43</v>
          </cell>
        </row>
        <row r="716">
          <cell r="A716" t="str">
            <v>В-25810/АЗ_В-21082023/Ц</v>
          </cell>
          <cell r="B716" t="str">
            <v>Попов Михаил Александрович</v>
          </cell>
          <cell r="C716">
            <v>35</v>
          </cell>
          <cell r="D716">
            <v>45453</v>
          </cell>
          <cell r="E716">
            <v>127260.73</v>
          </cell>
          <cell r="F716">
            <v>420919.41</v>
          </cell>
          <cell r="G716">
            <v>385341.82</v>
          </cell>
        </row>
        <row r="717">
          <cell r="A717" t="str">
            <v>В-28358/КЛ.Транш - 1_В-21082023/Ц</v>
          </cell>
          <cell r="B717" t="str">
            <v>Егиазарян Геворг Рубикович</v>
          </cell>
          <cell r="C717">
            <v>28</v>
          </cell>
          <cell r="D717">
            <v>45460</v>
          </cell>
          <cell r="E717">
            <v>228.72</v>
          </cell>
          <cell r="F717">
            <v>718104.48</v>
          </cell>
          <cell r="G717">
            <v>687800.96</v>
          </cell>
        </row>
        <row r="718">
          <cell r="A718" t="str">
            <v>В-23555/КЛ.Транш - 2_В-21082023/Ц</v>
          </cell>
          <cell r="B718" t="str">
            <v>Зотов Дмитрий Анатольевич</v>
          </cell>
          <cell r="C718">
            <v>24</v>
          </cell>
          <cell r="D718">
            <v>45464</v>
          </cell>
          <cell r="E718">
            <v>9701.02</v>
          </cell>
          <cell r="F718">
            <v>117578.82</v>
          </cell>
          <cell r="G718">
            <v>107148.59</v>
          </cell>
        </row>
        <row r="719">
          <cell r="A719" t="str">
            <v>В-00955/АЗ_В-21082023/Ц</v>
          </cell>
          <cell r="B719" t="str">
            <v>Романов Евгений Юрьевич</v>
          </cell>
          <cell r="C719">
            <v>21</v>
          </cell>
          <cell r="D719">
            <v>45467</v>
          </cell>
          <cell r="E719">
            <v>60599.53</v>
          </cell>
          <cell r="F719">
            <v>60599.53</v>
          </cell>
          <cell r="G719">
            <v>55322.09</v>
          </cell>
        </row>
        <row r="720">
          <cell r="A720" t="str">
            <v>В-18414/КЛ.Транш - 1_В-21082023/Ц</v>
          </cell>
          <cell r="B720" t="str">
            <v>Селеверстов Михаил Васильевич</v>
          </cell>
          <cell r="C720">
            <v>18</v>
          </cell>
          <cell r="D720">
            <v>45470</v>
          </cell>
          <cell r="E720">
            <v>29211.4</v>
          </cell>
          <cell r="F720">
            <v>267834.05</v>
          </cell>
          <cell r="G720">
            <v>248771.93</v>
          </cell>
        </row>
        <row r="721">
          <cell r="A721" t="str">
            <v>В-12066/КЛ.Транш - 1_В-21082023/Ц</v>
          </cell>
          <cell r="B721" t="str">
            <v>Хачатрян Хачик Норайрович</v>
          </cell>
          <cell r="C721">
            <v>8</v>
          </cell>
          <cell r="D721">
            <v>45480</v>
          </cell>
          <cell r="E721">
            <v>4934.6499999999996</v>
          </cell>
          <cell r="F721">
            <v>34086.980000000003</v>
          </cell>
          <cell r="G721">
            <v>34086.980000000003</v>
          </cell>
        </row>
        <row r="722">
          <cell r="A722" t="str">
            <v>В-12067/КЛ.Транш - 1_В-21082023/Ц</v>
          </cell>
          <cell r="B722" t="str">
            <v>Тульнова Ольга Владимировна</v>
          </cell>
          <cell r="C722">
            <v>8</v>
          </cell>
          <cell r="D722">
            <v>45480</v>
          </cell>
          <cell r="E722">
            <v>6760.59</v>
          </cell>
          <cell r="F722">
            <v>34797.56</v>
          </cell>
          <cell r="G722">
            <v>32429.43</v>
          </cell>
        </row>
        <row r="723">
          <cell r="A723" t="str">
            <v>В-22205/КЛ.Транш - 2_В-21082023/Ц</v>
          </cell>
          <cell r="B723" t="str">
            <v>Тарасов Олег Васильевич</v>
          </cell>
          <cell r="C723">
            <v>5</v>
          </cell>
          <cell r="D723">
            <v>45483</v>
          </cell>
          <cell r="E723">
            <v>13121.99</v>
          </cell>
          <cell r="F723">
            <v>57266.16</v>
          </cell>
          <cell r="G723">
            <v>53672.94</v>
          </cell>
        </row>
        <row r="724">
          <cell r="A724" t="str">
            <v>В-16057/КЛ.Транш - 6_В-21082023/Ц</v>
          </cell>
          <cell r="B724" t="str">
            <v>Хлебников Владимир Витальевич</v>
          </cell>
          <cell r="C724">
            <v>4</v>
          </cell>
          <cell r="D724">
            <v>45484</v>
          </cell>
          <cell r="E724">
            <v>29033.49</v>
          </cell>
          <cell r="F724">
            <v>178490.1</v>
          </cell>
          <cell r="G724">
            <v>170195.56</v>
          </cell>
        </row>
        <row r="725">
          <cell r="A725" t="str">
            <v>В-23555/КЛ.Транш - 1_В-21082023/Ц</v>
          </cell>
          <cell r="B725" t="str">
            <v>Зотов Дмитрий Анатольевич</v>
          </cell>
          <cell r="C725">
            <v>2</v>
          </cell>
          <cell r="D725">
            <v>45486</v>
          </cell>
          <cell r="E725">
            <v>43954.45</v>
          </cell>
          <cell r="F725">
            <v>479321.79</v>
          </cell>
          <cell r="G725">
            <v>452267.28</v>
          </cell>
        </row>
        <row r="726">
          <cell r="A726" t="str">
            <v>В-25922/КЛ.Транш - 1_В-21082023/Ц</v>
          </cell>
          <cell r="B726" t="str">
            <v>Белоусов Валерий Владиславович</v>
          </cell>
          <cell r="C726">
            <v>2</v>
          </cell>
          <cell r="D726">
            <v>45486</v>
          </cell>
          <cell r="E726">
            <v>6986.5</v>
          </cell>
          <cell r="F726">
            <v>94527.62</v>
          </cell>
          <cell r="G726">
            <v>90843.98</v>
          </cell>
        </row>
        <row r="727">
          <cell r="A727" t="str">
            <v>В-28235/АЗ_В-21082023/Ц</v>
          </cell>
          <cell r="B727" t="str">
            <v>Юсупов Альберт Гиннатуллаевич</v>
          </cell>
          <cell r="C727">
            <v>2</v>
          </cell>
          <cell r="D727">
            <v>45486</v>
          </cell>
          <cell r="E727">
            <v>12786.37</v>
          </cell>
          <cell r="F727">
            <v>151943.34</v>
          </cell>
          <cell r="G727">
            <v>142321.85999999999</v>
          </cell>
        </row>
        <row r="728">
          <cell r="A728" t="str">
            <v>А-04028/АЗ</v>
          </cell>
          <cell r="B728" t="str">
            <v>Селютин Петр Петрович</v>
          </cell>
          <cell r="C728">
            <v>1</v>
          </cell>
          <cell r="D728">
            <v>45487</v>
          </cell>
          <cell r="E728">
            <v>5281.34</v>
          </cell>
          <cell r="F728">
            <v>5281.34</v>
          </cell>
        </row>
        <row r="729">
          <cell r="A729" t="str">
            <v>В-16067/КЛ.Транш - 1_В-21082023/Ц</v>
          </cell>
          <cell r="B729" t="str">
            <v>Дудин Василий Васильевич</v>
          </cell>
          <cell r="C729">
            <v>1</v>
          </cell>
          <cell r="D729">
            <v>45487</v>
          </cell>
          <cell r="E729">
            <v>2458.81</v>
          </cell>
          <cell r="F729">
            <v>61594.79</v>
          </cell>
          <cell r="G729">
            <v>59055.08</v>
          </cell>
        </row>
        <row r="730">
          <cell r="A730" t="str">
            <v>В-22309/АЗ_В-21082023/Ц</v>
          </cell>
          <cell r="B730" t="str">
            <v>Мисюк Георгий Анатольевич</v>
          </cell>
          <cell r="C730">
            <v>1</v>
          </cell>
          <cell r="D730">
            <v>45487</v>
          </cell>
          <cell r="E730">
            <v>15036.46</v>
          </cell>
          <cell r="F730">
            <v>42219.78</v>
          </cell>
          <cell r="G730">
            <v>39456.83</v>
          </cell>
        </row>
        <row r="731">
          <cell r="A731" t="str">
            <v>В-00033/КЭ.Транш - 2</v>
          </cell>
          <cell r="B731" t="str">
            <v>АВТОКОНТИНЕНТ ООО</v>
          </cell>
        </row>
        <row r="732">
          <cell r="A732" t="str">
            <v>В-00036/КЭ.Транш - 2</v>
          </cell>
          <cell r="B732" t="str">
            <v>Лого-Трейд ООО</v>
          </cell>
        </row>
        <row r="733">
          <cell r="A733" t="str">
            <v>В-00052/КЭ.Транш - 1</v>
          </cell>
          <cell r="B733" t="str">
            <v>ИП Окунева Лилия Викторовна</v>
          </cell>
        </row>
        <row r="734">
          <cell r="A734" t="str">
            <v>В-00065/КЭ.Транш - 1</v>
          </cell>
          <cell r="B734" t="str">
            <v>Эврика ООО</v>
          </cell>
        </row>
        <row r="735">
          <cell r="A735" t="str">
            <v>В-00079/КЭ.Транш - 1</v>
          </cell>
          <cell r="B735" t="str">
            <v>ИП Деньга Виктор Иванович</v>
          </cell>
        </row>
        <row r="736">
          <cell r="A736" t="str">
            <v>В-00431/КЛ.Транш - 2</v>
          </cell>
          <cell r="B736" t="str">
            <v>Дагиров Рустам Шамсутдинович</v>
          </cell>
        </row>
        <row r="737">
          <cell r="A737" t="str">
            <v>В-00953/АЗ</v>
          </cell>
          <cell r="B737" t="str">
            <v>Змиевский Владимир Владимирович</v>
          </cell>
        </row>
        <row r="738">
          <cell r="A738" t="str">
            <v>В-00955/АЗ</v>
          </cell>
          <cell r="B738" t="str">
            <v>Романов Евгений Юрьевич</v>
          </cell>
        </row>
        <row r="739">
          <cell r="A739" t="str">
            <v>В-00970/АЗ</v>
          </cell>
          <cell r="B739" t="str">
            <v>Башкатов Егор Иванович</v>
          </cell>
        </row>
        <row r="740">
          <cell r="A740" t="str">
            <v>В-01022/АЗ</v>
          </cell>
          <cell r="B740" t="str">
            <v>Осмаева Зулихан Авхадовна</v>
          </cell>
        </row>
        <row r="741">
          <cell r="A741" t="str">
            <v>В-01023/АЗ</v>
          </cell>
          <cell r="B741" t="str">
            <v>Осмаев Ибрагим Исламович</v>
          </cell>
        </row>
        <row r="742">
          <cell r="A742" t="str">
            <v>В-01024/АЗ</v>
          </cell>
          <cell r="B742" t="str">
            <v>Билалов Имам Исламович</v>
          </cell>
        </row>
        <row r="743">
          <cell r="A743" t="str">
            <v>В-01038/АЗ</v>
          </cell>
          <cell r="B743" t="str">
            <v>Егоян Вард Баласанович</v>
          </cell>
        </row>
        <row r="744">
          <cell r="A744" t="str">
            <v>В-01038/АЗ_В-21082023/Ц</v>
          </cell>
          <cell r="B744" t="str">
            <v>Егоян Вард Баласанович</v>
          </cell>
          <cell r="F744">
            <v>209810.76</v>
          </cell>
          <cell r="G744">
            <v>208559.4</v>
          </cell>
        </row>
        <row r="745">
          <cell r="A745" t="str">
            <v>В-01039/АЗ</v>
          </cell>
          <cell r="B745" t="str">
            <v>Члоян Геворк Мамбреович</v>
          </cell>
        </row>
        <row r="746">
          <cell r="A746" t="str">
            <v>В-01039/АЗ_В-21082023/Ц</v>
          </cell>
          <cell r="B746" t="str">
            <v>Члоян Геворк Мамбреович</v>
          </cell>
          <cell r="F746">
            <v>218878.45</v>
          </cell>
          <cell r="G746">
            <v>217448.65</v>
          </cell>
        </row>
        <row r="747">
          <cell r="A747" t="str">
            <v>В-01068/АЗ</v>
          </cell>
          <cell r="B747" t="str">
            <v>Тарасов Дмитрий Алексеевич</v>
          </cell>
        </row>
        <row r="748">
          <cell r="A748" t="str">
            <v>В-01109/АЗ</v>
          </cell>
          <cell r="B748" t="str">
            <v>Мазуренко Наталья Владимировна</v>
          </cell>
        </row>
        <row r="749">
          <cell r="A749" t="str">
            <v>В-01113/АЗ</v>
          </cell>
          <cell r="B749" t="str">
            <v>Петров Денис Александрович</v>
          </cell>
        </row>
        <row r="750">
          <cell r="A750" t="str">
            <v>В-01161/АЗ</v>
          </cell>
          <cell r="B750" t="str">
            <v>Ельшин Владимир Анатольевич</v>
          </cell>
        </row>
        <row r="751">
          <cell r="A751" t="str">
            <v>В-01174/АЗ</v>
          </cell>
          <cell r="B751" t="str">
            <v>Барт Денис Михайлович</v>
          </cell>
        </row>
        <row r="752">
          <cell r="A752" t="str">
            <v>В-01184/АЗ</v>
          </cell>
          <cell r="B752" t="str">
            <v>Конев Сергей Арсентьевич</v>
          </cell>
        </row>
        <row r="753">
          <cell r="A753" t="str">
            <v>В-01188/АЗ</v>
          </cell>
          <cell r="B753" t="str">
            <v>Сапунов Дмитрий Владимирович</v>
          </cell>
        </row>
        <row r="754">
          <cell r="A754" t="str">
            <v>В-01211/АЗ</v>
          </cell>
          <cell r="B754" t="str">
            <v>Азиева Милана Зайнуладаевна</v>
          </cell>
        </row>
        <row r="755">
          <cell r="A755" t="str">
            <v>В-02064/КЛ.Транш - 2</v>
          </cell>
          <cell r="B755" t="str">
            <v>Авагян Тигран Агванович</v>
          </cell>
        </row>
        <row r="756">
          <cell r="A756" t="str">
            <v>В-02064/КЛ.Транш - 3</v>
          </cell>
          <cell r="B756" t="str">
            <v>Авагян Тигран Агванович</v>
          </cell>
        </row>
        <row r="757">
          <cell r="A757" t="str">
            <v>В-02064/КЛ.Транш - 3_В-21082023/Ц</v>
          </cell>
          <cell r="B757" t="str">
            <v>Авагян Тигран Агванович</v>
          </cell>
          <cell r="F757">
            <v>54570.62</v>
          </cell>
          <cell r="G757">
            <v>53256</v>
          </cell>
        </row>
        <row r="758">
          <cell r="A758" t="str">
            <v>В-02064/КЛ.Транш - 4</v>
          </cell>
          <cell r="B758" t="str">
            <v>Авагян Тигран Агванович</v>
          </cell>
        </row>
        <row r="759">
          <cell r="A759" t="str">
            <v>В-02064/КЛ.Транш - 4_В-21082023/Ц</v>
          </cell>
          <cell r="B759" t="str">
            <v>Авагян Тигран Агванович</v>
          </cell>
          <cell r="F759">
            <v>44795.86</v>
          </cell>
          <cell r="G759">
            <v>44250.31</v>
          </cell>
        </row>
        <row r="760">
          <cell r="A760" t="str">
            <v>В-02849/КЛ.Транш - 1</v>
          </cell>
          <cell r="B760" t="str">
            <v>Тарасов Александр Владимирович</v>
          </cell>
        </row>
        <row r="761">
          <cell r="A761" t="str">
            <v>В-03974/КЛ.Транш - 3_В-21082023/Ц</v>
          </cell>
          <cell r="B761" t="str">
            <v>Петрова Елена Владимировна</v>
          </cell>
          <cell r="F761">
            <v>113856.96000000001</v>
          </cell>
          <cell r="G761">
            <v>48912.9</v>
          </cell>
        </row>
        <row r="762">
          <cell r="A762" t="str">
            <v>В-04967/КЛ.Транш - 4</v>
          </cell>
          <cell r="B762" t="str">
            <v>Горшков Никита Григорьевич</v>
          </cell>
        </row>
        <row r="763">
          <cell r="A763" t="str">
            <v>В-05253/КЛ.Транш - 4</v>
          </cell>
          <cell r="B763" t="str">
            <v>Мамедов Динар Рашид Оглы</v>
          </cell>
        </row>
        <row r="764">
          <cell r="A764" t="str">
            <v>В-06345/КЛ.Транш - 1</v>
          </cell>
          <cell r="B764" t="str">
            <v>Шаулов Шаул Рамбомович</v>
          </cell>
        </row>
        <row r="765">
          <cell r="A765" t="str">
            <v>В-06920/КЛ.Транш - 3</v>
          </cell>
          <cell r="B765" t="str">
            <v>Кузнецова Юлия Сергеевна</v>
          </cell>
        </row>
        <row r="766">
          <cell r="A766" t="str">
            <v>В-07559/КЛ.Транш - 3</v>
          </cell>
          <cell r="B766" t="str">
            <v>Мкртчян Григор Рубикович</v>
          </cell>
        </row>
        <row r="767">
          <cell r="A767" t="str">
            <v>В-07559/КЛ.Транш - 4</v>
          </cell>
          <cell r="B767" t="str">
            <v>Мкртчян Григор Рубикович</v>
          </cell>
        </row>
        <row r="768">
          <cell r="A768" t="str">
            <v>В-07877/КЛ.Транш - 12</v>
          </cell>
          <cell r="B768" t="str">
            <v>Кильдюшкин Андрей Николаевич</v>
          </cell>
        </row>
        <row r="769">
          <cell r="A769" t="str">
            <v>В-07877/КЛ.Транш - 14</v>
          </cell>
          <cell r="B769" t="str">
            <v>Кильдюшкин Андрей Николаевич</v>
          </cell>
        </row>
        <row r="770">
          <cell r="A770" t="str">
            <v>В-07877/КЛ.Транш - 15</v>
          </cell>
          <cell r="B770" t="str">
            <v>Кильдюшкин Андрей Николаевич</v>
          </cell>
        </row>
        <row r="771">
          <cell r="A771" t="str">
            <v>В-08270/КЛ.Транш - 1</v>
          </cell>
          <cell r="B771" t="str">
            <v>Куренкова Марина Анатольевна</v>
          </cell>
        </row>
        <row r="772">
          <cell r="A772" t="str">
            <v>В-08270/КЛ.Транш - 1_В-21082023/Ц</v>
          </cell>
          <cell r="B772" t="str">
            <v>Куренкова Марина Анатольевна</v>
          </cell>
          <cell r="F772">
            <v>18648.57</v>
          </cell>
          <cell r="G772">
            <v>18175.509999999998</v>
          </cell>
        </row>
        <row r="773">
          <cell r="A773" t="str">
            <v>В-08348/КЛ.Транш - 7</v>
          </cell>
          <cell r="B773" t="str">
            <v>Голосенин Тимофей Васильевич</v>
          </cell>
        </row>
        <row r="774">
          <cell r="A774" t="str">
            <v>В-08368/КЛ.Транш - 2</v>
          </cell>
          <cell r="B774" t="str">
            <v>Князев Алексей Иванович</v>
          </cell>
        </row>
        <row r="775">
          <cell r="A775" t="str">
            <v>В-08454/КЛ.Транш - 1</v>
          </cell>
          <cell r="B775" t="str">
            <v>Савельев Станислав Валентинович</v>
          </cell>
        </row>
        <row r="776">
          <cell r="A776" t="str">
            <v>В-08454/КЛ.Транш - 1_В-21082023/Ц</v>
          </cell>
          <cell r="B776" t="str">
            <v>Савельев Станислав Валентинович</v>
          </cell>
          <cell r="F776">
            <v>6179.5</v>
          </cell>
          <cell r="G776">
            <v>5995.21</v>
          </cell>
        </row>
        <row r="777">
          <cell r="A777" t="str">
            <v>В-08644/КЛ.Транш - 1</v>
          </cell>
          <cell r="B777" t="str">
            <v>Жирнов Игорь Владимирович</v>
          </cell>
        </row>
        <row r="778">
          <cell r="A778" t="str">
            <v>В-09086/КЛ.Транш - 1</v>
          </cell>
          <cell r="B778" t="str">
            <v>Баранова Светлана Александровна</v>
          </cell>
        </row>
        <row r="779">
          <cell r="A779" t="str">
            <v>В-09086/КЛ.Транш - 2</v>
          </cell>
          <cell r="B779" t="str">
            <v>Баранова Светлана Александровна</v>
          </cell>
        </row>
        <row r="780">
          <cell r="A780" t="str">
            <v>В-09086/КЛ.Транш - 3</v>
          </cell>
          <cell r="B780" t="str">
            <v>Баранова Светлана Александровна</v>
          </cell>
        </row>
        <row r="781">
          <cell r="A781" t="str">
            <v>В-09100/КЛ.Транш - 1</v>
          </cell>
          <cell r="B781" t="str">
            <v>Фомин Иван Евгеньевич</v>
          </cell>
        </row>
        <row r="782">
          <cell r="A782" t="str">
            <v>В-09172/КЛ.Транш - 1</v>
          </cell>
          <cell r="B782" t="str">
            <v>Атабоев Каримжон Валижонович</v>
          </cell>
        </row>
        <row r="783">
          <cell r="A783" t="str">
            <v>В-09172/КЛ.Транш - 1_В-21082023/Ц</v>
          </cell>
          <cell r="B783" t="str">
            <v>Атабоев Каримжон Валижонович</v>
          </cell>
          <cell r="F783">
            <v>24297.07</v>
          </cell>
          <cell r="G783">
            <v>23586.25</v>
          </cell>
        </row>
        <row r="784">
          <cell r="A784" t="str">
            <v>В-10022/КЭ.Транш - 1</v>
          </cell>
          <cell r="B784" t="str">
            <v>ТРАНСЛОГ ООО</v>
          </cell>
        </row>
        <row r="785">
          <cell r="A785" t="str">
            <v>В-10050/КЛ.Транш - 1</v>
          </cell>
          <cell r="B785" t="str">
            <v>Ларина Анна Ильинична</v>
          </cell>
        </row>
        <row r="786">
          <cell r="A786" t="str">
            <v>В-10204/КЛ.Транш - 1</v>
          </cell>
          <cell r="B786" t="str">
            <v>Афонин Сергей Юрьевич</v>
          </cell>
        </row>
        <row r="787">
          <cell r="A787" t="str">
            <v>В-10204/КЛ.Транш - 1_В-21082023/Ц</v>
          </cell>
          <cell r="B787" t="str">
            <v>Афонин Сергей Юрьевич</v>
          </cell>
          <cell r="F787">
            <v>21042.22</v>
          </cell>
          <cell r="G787">
            <v>21042.22</v>
          </cell>
        </row>
        <row r="788">
          <cell r="A788" t="str">
            <v>В-10474/КЛ.Транш - 3</v>
          </cell>
          <cell r="B788" t="str">
            <v>Хоминец Владимир Владимирович</v>
          </cell>
        </row>
        <row r="789">
          <cell r="A789" t="str">
            <v>В-10474/КЛ.Транш - 3_В-21082023/Ц</v>
          </cell>
          <cell r="B789" t="str">
            <v>Хоминец Владимир Владимирович</v>
          </cell>
          <cell r="F789">
            <v>65203.25</v>
          </cell>
          <cell r="G789">
            <v>62298.27</v>
          </cell>
        </row>
        <row r="790">
          <cell r="A790" t="str">
            <v>В-10474/КЛ.Транш - 4</v>
          </cell>
          <cell r="B790" t="str">
            <v>Хоминец Владимир Владимирович</v>
          </cell>
        </row>
        <row r="791">
          <cell r="A791" t="str">
            <v>В-10474/КЛ.Транш - 4_В-21082023/Ц</v>
          </cell>
          <cell r="B791" t="str">
            <v>Хоминец Владимир Владимирович</v>
          </cell>
          <cell r="F791">
            <v>111178.55</v>
          </cell>
          <cell r="G791">
            <v>110632.96000000001</v>
          </cell>
        </row>
        <row r="792">
          <cell r="A792" t="str">
            <v>В-10474/КЛ.Транш - 5</v>
          </cell>
          <cell r="B792" t="str">
            <v>Хоминец Владимир Владимирович</v>
          </cell>
        </row>
        <row r="793">
          <cell r="A793" t="str">
            <v>В-10474/КЛ.Транш - 5_В-21082023/Ц</v>
          </cell>
          <cell r="B793" t="str">
            <v>Хоминец Владимир Владимирович</v>
          </cell>
          <cell r="F793">
            <v>101636.23</v>
          </cell>
          <cell r="G793">
            <v>99509.72</v>
          </cell>
        </row>
        <row r="794">
          <cell r="A794" t="str">
            <v>В-10474/КЛ.Транш - 6</v>
          </cell>
          <cell r="B794" t="str">
            <v>Хоминец Владимир Владимирович</v>
          </cell>
        </row>
        <row r="795">
          <cell r="A795" t="str">
            <v>В-10474/КЛ.Транш - 6_В-21082023/Ц</v>
          </cell>
          <cell r="B795" t="str">
            <v>Хоминец Владимир Владимирович</v>
          </cell>
          <cell r="F795">
            <v>40393.22</v>
          </cell>
          <cell r="G795">
            <v>39804.33</v>
          </cell>
        </row>
        <row r="796">
          <cell r="A796" t="str">
            <v>В-10495/КЛ.Транш - 1</v>
          </cell>
          <cell r="B796" t="str">
            <v>Житаренко Юрий Иванович</v>
          </cell>
        </row>
        <row r="797">
          <cell r="A797" t="str">
            <v>В-10789/КЛ.Транш - 1</v>
          </cell>
          <cell r="B797" t="str">
            <v>Арутюнян Сережа Теватосович</v>
          </cell>
        </row>
        <row r="798">
          <cell r="A798" t="str">
            <v>В-10841/КЛ.Транш - 1</v>
          </cell>
          <cell r="B798" t="str">
            <v>Азиев Абдурахман Авхадович</v>
          </cell>
        </row>
        <row r="799">
          <cell r="A799" t="str">
            <v>В-10909/КЛ.Транш - 1</v>
          </cell>
          <cell r="B799" t="str">
            <v>Дементьев Василий Алексеевич</v>
          </cell>
        </row>
        <row r="800">
          <cell r="A800" t="str">
            <v>В-11277/КЛ.Транш - 1</v>
          </cell>
          <cell r="B800" t="str">
            <v>Литвинов Дмитрий Геннадьевич</v>
          </cell>
        </row>
        <row r="801">
          <cell r="A801" t="str">
            <v>В-11396/КЛ.Транш - 2</v>
          </cell>
          <cell r="B801" t="str">
            <v>Губская Светлана Анатольевна</v>
          </cell>
        </row>
        <row r="802">
          <cell r="A802" t="str">
            <v>В-11447/КЛ.Транш - 1</v>
          </cell>
          <cell r="B802" t="str">
            <v>Елистратов Сергей Викторович</v>
          </cell>
        </row>
        <row r="803">
          <cell r="A803" t="str">
            <v>В-11447/КЛ.Транш - 1_В-21082023/Ц</v>
          </cell>
          <cell r="B803" t="str">
            <v>Елистратов Сергей Викторович</v>
          </cell>
          <cell r="F803">
            <v>281879.46000000002</v>
          </cell>
          <cell r="G803">
            <v>149392.56</v>
          </cell>
        </row>
        <row r="804">
          <cell r="A804" t="str">
            <v>В-11605/КЛ.Транш - 1</v>
          </cell>
          <cell r="B804" t="str">
            <v>Мамлина Наталия Андреевна</v>
          </cell>
        </row>
        <row r="805">
          <cell r="A805" t="str">
            <v>В-11716/КЛ.Транш - 1</v>
          </cell>
          <cell r="B805" t="str">
            <v>Валеев Рамиль Равилович</v>
          </cell>
        </row>
        <row r="806">
          <cell r="A806" t="str">
            <v>В-11716/КЛ.Транш - 1_В-21082023/Ц</v>
          </cell>
          <cell r="B806" t="str">
            <v>Валеев Рамиль Равилович</v>
          </cell>
          <cell r="F806">
            <v>26648.77</v>
          </cell>
          <cell r="G806">
            <v>25772.5</v>
          </cell>
        </row>
        <row r="807">
          <cell r="A807" t="str">
            <v>В-11782/КЛ.Транш - 1</v>
          </cell>
          <cell r="B807" t="str">
            <v>Ангелов Алексей Славов</v>
          </cell>
        </row>
        <row r="808">
          <cell r="A808" t="str">
            <v>В-11948/КЛ.Транш - 1</v>
          </cell>
          <cell r="B808" t="str">
            <v>Романов Алексей Викторович</v>
          </cell>
        </row>
        <row r="809">
          <cell r="A809" t="str">
            <v>В-12066/КЛ.Транш - 1</v>
          </cell>
          <cell r="B809" t="str">
            <v>Хачатрян Хачик Норайрович</v>
          </cell>
        </row>
        <row r="810">
          <cell r="A810" t="str">
            <v>В-12067/КЛ.Транш - 1</v>
          </cell>
          <cell r="B810" t="str">
            <v>Тульнова Ольга Владимировна</v>
          </cell>
        </row>
        <row r="811">
          <cell r="A811" t="str">
            <v>В-12098/КЛ.Транш - 1</v>
          </cell>
          <cell r="B811" t="str">
            <v>Лекторова Екатерина Николаевна</v>
          </cell>
        </row>
        <row r="812">
          <cell r="A812" t="str">
            <v>В-12098/КЛ.Транш - 1_В-21082023/Ц</v>
          </cell>
          <cell r="B812" t="str">
            <v>Лекторова Екатерина Николаевна</v>
          </cell>
          <cell r="F812">
            <v>152110.42000000001</v>
          </cell>
          <cell r="G812">
            <v>150747.5</v>
          </cell>
        </row>
        <row r="813">
          <cell r="A813" t="str">
            <v>В-12098/КЛ.Транш - 2</v>
          </cell>
          <cell r="B813" t="str">
            <v>Лекторова Екатерина Николаевна</v>
          </cell>
        </row>
        <row r="814">
          <cell r="A814" t="str">
            <v>В-12098/КЛ.Транш - 2_В-21082023/Ц</v>
          </cell>
          <cell r="B814" t="str">
            <v>Лекторова Екатерина Николаевна</v>
          </cell>
          <cell r="F814">
            <v>67171.25</v>
          </cell>
          <cell r="G814">
            <v>66231.31</v>
          </cell>
        </row>
        <row r="815">
          <cell r="A815" t="str">
            <v>В-12231/КЛ.Транш - 1</v>
          </cell>
          <cell r="B815" t="str">
            <v>Кобзев Олег Викторович</v>
          </cell>
        </row>
        <row r="816">
          <cell r="A816" t="str">
            <v>В-12256/КЛ.Транш - 1</v>
          </cell>
          <cell r="B816" t="str">
            <v>Диденко Роман Владимирович</v>
          </cell>
        </row>
        <row r="817">
          <cell r="A817" t="str">
            <v>В-12269/КЛ.Транш - 1</v>
          </cell>
          <cell r="B817" t="str">
            <v>Степенко Александр Сергеевич</v>
          </cell>
        </row>
        <row r="818">
          <cell r="A818" t="str">
            <v>В-12269/КЛ.Транш - 1_В-21082023/Ц</v>
          </cell>
          <cell r="B818" t="str">
            <v>Степенко Александр Сергеевич</v>
          </cell>
          <cell r="F818">
            <v>12981.07</v>
          </cell>
          <cell r="G818">
            <v>12651.78</v>
          </cell>
        </row>
        <row r="819">
          <cell r="A819" t="str">
            <v>В-12523/КЛ.Транш - 2</v>
          </cell>
          <cell r="B819" t="str">
            <v>Павлов Алексей Георгиевич</v>
          </cell>
        </row>
        <row r="820">
          <cell r="A820" t="str">
            <v>В-12523/КЛ.Транш - 2_В-21082023/Ц</v>
          </cell>
          <cell r="B820" t="str">
            <v>Павлов Алексей Георгиевич</v>
          </cell>
          <cell r="F820">
            <v>199312.39</v>
          </cell>
          <cell r="G820">
            <v>193811.33</v>
          </cell>
        </row>
        <row r="821">
          <cell r="A821" t="str">
            <v>В-12553/КЛ.Транш - 1</v>
          </cell>
          <cell r="B821" t="str">
            <v>Кисель Наталья Александровна</v>
          </cell>
        </row>
        <row r="822">
          <cell r="A822" t="str">
            <v>В-12553/КЛ.Транш - 1_В-21082023/Ц</v>
          </cell>
          <cell r="B822" t="str">
            <v>Кисель Наталья Александровна</v>
          </cell>
          <cell r="F822">
            <v>82507.839999999997</v>
          </cell>
          <cell r="G822">
            <v>79487.320000000007</v>
          </cell>
        </row>
        <row r="823">
          <cell r="A823" t="str">
            <v>В-12574/КЛ.Транш - 1</v>
          </cell>
          <cell r="B823" t="str">
            <v>Павлов Вячеслав Игоревич</v>
          </cell>
        </row>
        <row r="824">
          <cell r="A824" t="str">
            <v>В-12574/КЛ.Транш - 2</v>
          </cell>
          <cell r="B824" t="str">
            <v>Павлов Вячеслав Игоревич</v>
          </cell>
        </row>
        <row r="825">
          <cell r="A825" t="str">
            <v>В-12574/КЛ.Транш - 3</v>
          </cell>
          <cell r="B825" t="str">
            <v>Павлов Вячеслав Игоревич</v>
          </cell>
        </row>
        <row r="826">
          <cell r="A826" t="str">
            <v>В-12662/КЛ.Транш - 1</v>
          </cell>
          <cell r="B826" t="str">
            <v>Сайдалиева Наталия Владимировна</v>
          </cell>
        </row>
        <row r="827">
          <cell r="A827" t="str">
            <v>В-12662/КЛ.Транш - 1_В-21082023/Ц</v>
          </cell>
          <cell r="B827" t="str">
            <v>Сайдалиева Наталия Владимировна</v>
          </cell>
          <cell r="F827">
            <v>22309.72</v>
          </cell>
          <cell r="G827">
            <v>21166.720000000001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</row>
        <row r="830">
          <cell r="A830" t="str">
            <v>В-12813/КЛ.Транш - 1</v>
          </cell>
          <cell r="B830" t="str">
            <v>Розанов Сергей Александрович</v>
          </cell>
        </row>
        <row r="831">
          <cell r="A831" t="str">
            <v>В-12912/КЛ.Транш - 1</v>
          </cell>
          <cell r="B831" t="str">
            <v>Захарова Ирина Константиновна</v>
          </cell>
        </row>
        <row r="832">
          <cell r="A832" t="str">
            <v>В-12912/КЛ.Транш - 1_В-21082023/Ц</v>
          </cell>
          <cell r="B832" t="str">
            <v>Захарова Ирина Константиновна</v>
          </cell>
          <cell r="F832">
            <v>153004.01</v>
          </cell>
          <cell r="G832">
            <v>147406.6</v>
          </cell>
        </row>
        <row r="833">
          <cell r="A833" t="str">
            <v>В-12943/КЛ.Транш - 1</v>
          </cell>
          <cell r="B833" t="str">
            <v>Дробот Роман Вячеславович</v>
          </cell>
        </row>
        <row r="834">
          <cell r="A834" t="str">
            <v>В-13005/КЛ.Транш - 3</v>
          </cell>
          <cell r="B834" t="str">
            <v>Воронова Татьяна Алексеевна</v>
          </cell>
        </row>
        <row r="835">
          <cell r="A835" t="str">
            <v>В-13235/КЛ.Транш - 1</v>
          </cell>
          <cell r="B835" t="str">
            <v>Харитонова Ирина Александровна</v>
          </cell>
        </row>
        <row r="836">
          <cell r="A836" t="str">
            <v>В-13235/КЛ.Транш - 1_В-21082023/Ц</v>
          </cell>
          <cell r="B836" t="str">
            <v>Харитонова Ирина Александровна</v>
          </cell>
          <cell r="F836">
            <v>33674.559999999998</v>
          </cell>
          <cell r="G836">
            <v>32533.65</v>
          </cell>
        </row>
        <row r="837">
          <cell r="A837" t="str">
            <v>В-13405/КЛ.Транш - 1</v>
          </cell>
          <cell r="B837" t="str">
            <v>Покатаев Андрей Борисович</v>
          </cell>
        </row>
        <row r="838">
          <cell r="A838" t="str">
            <v>В-13449/КЛ.Транш - 1</v>
          </cell>
          <cell r="B838" t="str">
            <v>Зайцев Иван Владимирович</v>
          </cell>
        </row>
        <row r="839">
          <cell r="A839" t="str">
            <v>В-13449/КЛ.Транш - 1_В-21082023/Ц</v>
          </cell>
          <cell r="B839" t="str">
            <v>Зайцев Иван Владимирович</v>
          </cell>
          <cell r="F839">
            <v>30413.59</v>
          </cell>
          <cell r="G839">
            <v>30048.07</v>
          </cell>
        </row>
        <row r="840">
          <cell r="A840" t="str">
            <v>В-13545/КЛ.Транш - 1</v>
          </cell>
          <cell r="B840" t="str">
            <v>Оскомова Инна Анатольевна</v>
          </cell>
        </row>
        <row r="841">
          <cell r="A841" t="str">
            <v>В-14074/КЛ.Транш - 1</v>
          </cell>
          <cell r="B841" t="str">
            <v>Наумик Екатерина Андреевна</v>
          </cell>
        </row>
        <row r="842">
          <cell r="A842" t="str">
            <v>В-14074/КЛ.Транш - 2</v>
          </cell>
          <cell r="B842" t="str">
            <v>Наумик Екатерина Андреевна</v>
          </cell>
        </row>
        <row r="843">
          <cell r="A843" t="str">
            <v>В-14168/КЛ.Транш - 4</v>
          </cell>
          <cell r="B843" t="str">
            <v>Расулов Ахмедхан Саидбекович</v>
          </cell>
        </row>
        <row r="844">
          <cell r="A844" t="str">
            <v>В-14198/КЛ.Транш - 1</v>
          </cell>
          <cell r="B844" t="str">
            <v>Борисов Андрей Сергеевич</v>
          </cell>
        </row>
        <row r="845">
          <cell r="A845" t="str">
            <v>В-14216/КЛ.Транш - 1</v>
          </cell>
          <cell r="B845" t="str">
            <v>Ципис Вадим Яковлевич</v>
          </cell>
        </row>
        <row r="846">
          <cell r="A846" t="str">
            <v>В-14216/КЛ.Транш - 2</v>
          </cell>
          <cell r="B846" t="str">
            <v>Ципис Вадим Яковлевич</v>
          </cell>
        </row>
        <row r="847">
          <cell r="A847" t="str">
            <v>В-14216/КЛ.Транш - 2_В-21082023/Ц</v>
          </cell>
          <cell r="B847" t="str">
            <v>Ципис Вадим Яковлевич</v>
          </cell>
          <cell r="F847">
            <v>44939.1</v>
          </cell>
          <cell r="G847">
            <v>42817.02</v>
          </cell>
        </row>
        <row r="848">
          <cell r="A848" t="str">
            <v>В-14216/КЛ.Транш - 3</v>
          </cell>
          <cell r="B848" t="str">
            <v>Ципис Вадим Яковлевич</v>
          </cell>
        </row>
        <row r="849">
          <cell r="A849" t="str">
            <v>В-14216/КЛ.Транш - 3_В-21082023/Ц</v>
          </cell>
          <cell r="B849" t="str">
            <v>Ципис Вадим Яковлевич</v>
          </cell>
          <cell r="F849">
            <v>50654.05</v>
          </cell>
          <cell r="G849">
            <v>48585.51</v>
          </cell>
        </row>
        <row r="850">
          <cell r="A850" t="str">
            <v>В-14216/КЛ.Транш - 4</v>
          </cell>
          <cell r="B850" t="str">
            <v>Ципис Вадим Яковлевич</v>
          </cell>
        </row>
        <row r="851">
          <cell r="A851" t="str">
            <v>В-14216/КЛ.Транш - 4_В-21082023/Ц</v>
          </cell>
          <cell r="B851" t="str">
            <v>Ципис Вадим Яковлевич</v>
          </cell>
          <cell r="F851">
            <v>61478.81</v>
          </cell>
          <cell r="G851">
            <v>58626.2</v>
          </cell>
        </row>
        <row r="852">
          <cell r="A852" t="str">
            <v>В-14291/КЛ.Транш - 7</v>
          </cell>
          <cell r="B852" t="str">
            <v>Янишевская Анна Сергеевна</v>
          </cell>
        </row>
        <row r="853">
          <cell r="A853" t="str">
            <v>В-14430/КЛ.Транш - 2</v>
          </cell>
          <cell r="B853" t="str">
            <v>Хечоян Владимир Левонович</v>
          </cell>
        </row>
        <row r="854">
          <cell r="A854" t="str">
            <v>В-14816/КЛ.Транш - 1</v>
          </cell>
          <cell r="B854" t="str">
            <v>Хадиев Фанис Рафисович</v>
          </cell>
        </row>
        <row r="855">
          <cell r="A855" t="str">
            <v>В-14816/КЛ.Транш - 1_В-21082023/Ц</v>
          </cell>
          <cell r="B855" t="str">
            <v>Хадиев Фанис Рафисович</v>
          </cell>
          <cell r="F855">
            <v>13669.91</v>
          </cell>
          <cell r="G855">
            <v>13035.63</v>
          </cell>
        </row>
        <row r="856">
          <cell r="A856" t="str">
            <v>В-14816/КЛ.Транш - 5</v>
          </cell>
          <cell r="B856" t="str">
            <v>Хадиев Фанис Рафисович</v>
          </cell>
        </row>
        <row r="857">
          <cell r="A857" t="str">
            <v>В-14816/КЛ.Транш - 6</v>
          </cell>
          <cell r="B857" t="str">
            <v>Хадиев Фанис Рафисович</v>
          </cell>
        </row>
        <row r="858">
          <cell r="A858" t="str">
            <v>В-14816/КЛ.Транш - 7</v>
          </cell>
          <cell r="B858" t="str">
            <v>Хадиев Фанис Рафисович</v>
          </cell>
        </row>
        <row r="859">
          <cell r="A859" t="str">
            <v>В-14913/КЛ.Транш - 1</v>
          </cell>
          <cell r="B859" t="str">
            <v>Семененко Трофим Игоревич</v>
          </cell>
        </row>
        <row r="860">
          <cell r="A860" t="str">
            <v>В-15138/КЛ.Транш - 1</v>
          </cell>
          <cell r="B860" t="str">
            <v>Малхасян Арарат Балабекович</v>
          </cell>
        </row>
        <row r="861">
          <cell r="A861" t="str">
            <v>В-15138/КЛ.Транш - 1_В-21082023/Ц</v>
          </cell>
          <cell r="B861" t="str">
            <v>Малхасян Арарат Балабекович</v>
          </cell>
          <cell r="F861">
            <v>62120.26</v>
          </cell>
          <cell r="G861">
            <v>60672.43</v>
          </cell>
        </row>
        <row r="862">
          <cell r="A862" t="str">
            <v>В-15831/КЛ.Транш - 1</v>
          </cell>
          <cell r="B862" t="str">
            <v>Зиновьева Елена Николаевна</v>
          </cell>
        </row>
        <row r="863">
          <cell r="A863" t="str">
            <v>В-15954/КЛ.Транш - 1</v>
          </cell>
          <cell r="B863" t="str">
            <v>Пушкарев Александр Борисович</v>
          </cell>
        </row>
        <row r="864">
          <cell r="A864" t="str">
            <v>В-15954/КЛ.Транш - 1_В-21082023/Ц</v>
          </cell>
          <cell r="B864" t="str">
            <v>Пушкарев Александр Борисович</v>
          </cell>
          <cell r="F864">
            <v>251268.03</v>
          </cell>
          <cell r="G864">
            <v>242498.23</v>
          </cell>
        </row>
        <row r="865">
          <cell r="A865" t="str">
            <v>В-16057/КЛ.Транш - 6</v>
          </cell>
          <cell r="B865" t="str">
            <v>Хлебников Владимир Витальевич</v>
          </cell>
        </row>
        <row r="866">
          <cell r="A866" t="str">
            <v>В-16067/КЛ.Транш - 1</v>
          </cell>
          <cell r="B866" t="str">
            <v>Дудин Василий Васильевич</v>
          </cell>
        </row>
        <row r="867">
          <cell r="A867" t="str">
            <v>В-16242/КЛ.Транш - 2</v>
          </cell>
          <cell r="B867" t="str">
            <v>Лякишев Павел Александрович</v>
          </cell>
        </row>
        <row r="868">
          <cell r="A868" t="str">
            <v>В-16242/КЛ.Транш - 2_В-21082023/Ц</v>
          </cell>
          <cell r="B868" t="str">
            <v>Лякишев Павел Александрович</v>
          </cell>
          <cell r="F868">
            <v>155708.59</v>
          </cell>
          <cell r="G868">
            <v>149401</v>
          </cell>
        </row>
        <row r="869">
          <cell r="A869" t="str">
            <v>В-16455/КЛ.Транш - 1</v>
          </cell>
          <cell r="B869" t="str">
            <v>Кондрашов Василий Игоревич</v>
          </cell>
        </row>
        <row r="870">
          <cell r="A870" t="str">
            <v>В-16455/КЛ.Транш - 1_В-21082023/Ц</v>
          </cell>
          <cell r="B870" t="str">
            <v>Кондрашов Василий Игоревич</v>
          </cell>
          <cell r="F870">
            <v>103961.54</v>
          </cell>
          <cell r="G870">
            <v>102556.65</v>
          </cell>
        </row>
        <row r="871">
          <cell r="A871" t="str">
            <v>В-16934/КЛ.Транш - 1</v>
          </cell>
          <cell r="B871" t="str">
            <v>Мотыка Андрей Павлович</v>
          </cell>
        </row>
        <row r="872">
          <cell r="A872" t="str">
            <v>В-16934/КЛ.Транш - 5</v>
          </cell>
          <cell r="B872" t="str">
            <v>Мотыка Андрей Павлович</v>
          </cell>
        </row>
        <row r="873">
          <cell r="A873" t="str">
            <v>В-17095/КЛ.Транш - 1</v>
          </cell>
          <cell r="B873" t="str">
            <v>Иванов Антон Олегович</v>
          </cell>
        </row>
        <row r="874">
          <cell r="A874" t="str">
            <v>В-17469/КЛ.Транш - 1</v>
          </cell>
          <cell r="B874" t="str">
            <v>Копытман Александр Семенович</v>
          </cell>
        </row>
        <row r="875">
          <cell r="A875" t="str">
            <v>В-17469/КЛ.Транш - 2</v>
          </cell>
          <cell r="B875" t="str">
            <v>Копытман Александр Семенович</v>
          </cell>
        </row>
        <row r="876">
          <cell r="A876" t="str">
            <v>В-17916/КЛ.Транш - 1</v>
          </cell>
          <cell r="B876" t="str">
            <v>Рамазанов Абакар Рамазанович</v>
          </cell>
        </row>
        <row r="877">
          <cell r="A877" t="str">
            <v>В-17916/КЛ.Транш - 1_В-21082023/Ц</v>
          </cell>
          <cell r="B877" t="str">
            <v>Рамазанов Абакар Рамазанович</v>
          </cell>
          <cell r="F877">
            <v>90302.85</v>
          </cell>
          <cell r="G877">
            <v>88129.79</v>
          </cell>
        </row>
        <row r="878">
          <cell r="A878" t="str">
            <v>В-18414/КЛ.Транш - 1</v>
          </cell>
          <cell r="B878" t="str">
            <v>Селеверстов Михаил Васильевич</v>
          </cell>
        </row>
        <row r="879">
          <cell r="A879" t="str">
            <v>В-18496/КЛ.Транш - 1</v>
          </cell>
          <cell r="B879" t="str">
            <v>Корнилова Наталия Владимировна</v>
          </cell>
        </row>
        <row r="880">
          <cell r="A880" t="str">
            <v>В-18536/КЛ.Транш - 1</v>
          </cell>
          <cell r="B880" t="str">
            <v>Богданова Ольга Геннадиевна</v>
          </cell>
        </row>
        <row r="881">
          <cell r="A881" t="str">
            <v>В-18536/КЛ.Транш - 1_В-21082023/Ц</v>
          </cell>
          <cell r="B881" t="str">
            <v>Богданова Ольга Геннадиевна</v>
          </cell>
          <cell r="F881">
            <v>109222.55</v>
          </cell>
          <cell r="G881">
            <v>106736.9</v>
          </cell>
        </row>
        <row r="882">
          <cell r="A882" t="str">
            <v>В-18600/КЛ.Транш - 1</v>
          </cell>
          <cell r="B882" t="str">
            <v>Ворошилин Владимир Игоревич</v>
          </cell>
        </row>
        <row r="883">
          <cell r="A883" t="str">
            <v>В-18894/КЛ.Транш - 1</v>
          </cell>
          <cell r="B883" t="str">
            <v>Григорьев Олег Вячеславович</v>
          </cell>
        </row>
        <row r="884">
          <cell r="A884" t="str">
            <v>В-18894/КЛ.Транш - 1_В-21082023/Ц</v>
          </cell>
          <cell r="B884" t="str">
            <v>Григорьев Олег Вячеславович</v>
          </cell>
          <cell r="F884">
            <v>132637.51</v>
          </cell>
          <cell r="G884">
            <v>128757.16</v>
          </cell>
        </row>
        <row r="885">
          <cell r="A885" t="str">
            <v>В-18921/КЛ.Транш - 1</v>
          </cell>
          <cell r="B885" t="str">
            <v>Колесников Евгений Михайлович</v>
          </cell>
        </row>
        <row r="886">
          <cell r="A886" t="str">
            <v>В-18958/КЛ.Транш - 1</v>
          </cell>
          <cell r="B886" t="str">
            <v>Голубь Елена Николаевна</v>
          </cell>
        </row>
        <row r="887">
          <cell r="A887" t="str">
            <v>В-19070/КЛ.Транш - 4</v>
          </cell>
          <cell r="B887" t="str">
            <v>Коростелкина Татьяна Владимировна</v>
          </cell>
        </row>
        <row r="888">
          <cell r="A888" t="str">
            <v>В-19286/КЛ.Транш - 1</v>
          </cell>
          <cell r="B888" t="str">
            <v>Насырова Шахлохон Раимжановна</v>
          </cell>
        </row>
        <row r="889">
          <cell r="A889" t="str">
            <v>В-19354/КЛ.Транш - 1</v>
          </cell>
          <cell r="B889" t="str">
            <v>Аксенчук Александр Вячеславович</v>
          </cell>
        </row>
        <row r="890">
          <cell r="A890" t="str">
            <v>В-19355/КЛ.Транш - 1</v>
          </cell>
          <cell r="B890" t="str">
            <v>Сидоров Александр Владимирович</v>
          </cell>
        </row>
        <row r="891">
          <cell r="A891" t="str">
            <v>В-19548/КЛ.Транш - 1</v>
          </cell>
          <cell r="B891" t="str">
            <v>Новоселов Сергей Владимирович</v>
          </cell>
        </row>
        <row r="892">
          <cell r="A892" t="str">
            <v>В-19548/КЛ.Транш - 1_В-21082023/Ц</v>
          </cell>
          <cell r="B892" t="str">
            <v>Новоселов Сергей Владимирович</v>
          </cell>
          <cell r="F892">
            <v>264570.33</v>
          </cell>
          <cell r="G892">
            <v>257515.12</v>
          </cell>
        </row>
        <row r="893">
          <cell r="A893" t="str">
            <v>В-19585/КЛ.Транш - 1</v>
          </cell>
          <cell r="B893" t="str">
            <v>Лотонин Александр Олегович</v>
          </cell>
        </row>
        <row r="894">
          <cell r="A894" t="str">
            <v>В-19593/КЛ.Транш - 1</v>
          </cell>
          <cell r="B894" t="str">
            <v>Клинов Сергей Евгеньевич</v>
          </cell>
        </row>
        <row r="895">
          <cell r="A895" t="str">
            <v>В-19736/КЛ.Транш - 1</v>
          </cell>
          <cell r="B895" t="str">
            <v>Бабенышева Наталия Григорьевна</v>
          </cell>
        </row>
        <row r="896">
          <cell r="A896" t="str">
            <v>В-19740/КЛ.Транш - 5</v>
          </cell>
          <cell r="B896" t="str">
            <v>Назаров Всеволод Владимирович</v>
          </cell>
        </row>
        <row r="897">
          <cell r="A897" t="str">
            <v>В-19740/КЛ.Транш - 5_В-21082023/Ц</v>
          </cell>
          <cell r="B897" t="str">
            <v>Назаров Всеволод Владимирович</v>
          </cell>
          <cell r="F897">
            <v>152492.15</v>
          </cell>
          <cell r="G897">
            <v>150635.01</v>
          </cell>
        </row>
        <row r="898">
          <cell r="A898" t="str">
            <v>В-19740/КЛ.Транш - 6</v>
          </cell>
          <cell r="B898" t="str">
            <v>Назаров Всеволод Владимирович</v>
          </cell>
        </row>
        <row r="899">
          <cell r="A899" t="str">
            <v>В-19740/КЛ.Транш - 6_В-21082023/Ц</v>
          </cell>
          <cell r="B899" t="str">
            <v>Назаров Всеволод Владимирович</v>
          </cell>
          <cell r="F899">
            <v>182247.63</v>
          </cell>
          <cell r="G899">
            <v>180761.92</v>
          </cell>
        </row>
        <row r="900">
          <cell r="A900" t="str">
            <v>В-19740/КЛ.Транш - 7</v>
          </cell>
          <cell r="B900" t="str">
            <v>Назаров Всеволод Владимирович</v>
          </cell>
        </row>
        <row r="901">
          <cell r="A901" t="str">
            <v>В-19740/КЛ.Транш - 7_В-21082023/Ц</v>
          </cell>
          <cell r="B901" t="str">
            <v>Назаров Всеволод Владимирович</v>
          </cell>
          <cell r="F901">
            <v>72304.97</v>
          </cell>
          <cell r="G901">
            <v>72304.97</v>
          </cell>
        </row>
        <row r="902">
          <cell r="A902" t="str">
            <v>В-19740/КЛ.Транш - 8</v>
          </cell>
          <cell r="B902" t="str">
            <v>Назаров Всеволод Владимирович</v>
          </cell>
        </row>
        <row r="903">
          <cell r="A903" t="str">
            <v>В-19740/КЛ.Транш - 8_В-21082023/Ц</v>
          </cell>
          <cell r="B903" t="str">
            <v>Назаров Всеволод Владимирович</v>
          </cell>
          <cell r="F903">
            <v>112524.65</v>
          </cell>
          <cell r="G903">
            <v>109523.99</v>
          </cell>
        </row>
        <row r="904">
          <cell r="A904" t="str">
            <v>В-19880/КЛ.Транш - 1</v>
          </cell>
          <cell r="B904" t="str">
            <v>Колпаков Антон Валерьевич</v>
          </cell>
        </row>
        <row r="905">
          <cell r="A905" t="str">
            <v>В-19991/КЛ.Транш - 1</v>
          </cell>
          <cell r="B905" t="str">
            <v>Коркина Елена Александровна</v>
          </cell>
        </row>
        <row r="906">
          <cell r="A906" t="str">
            <v>В-19991/КЛ.Транш - 1_В-21082023/Ц</v>
          </cell>
          <cell r="B906" t="str">
            <v>Коркина Елена Александровна</v>
          </cell>
          <cell r="F906">
            <v>26209.919999999998</v>
          </cell>
          <cell r="G906">
            <v>25797.86</v>
          </cell>
        </row>
        <row r="907">
          <cell r="A907" t="str">
            <v>В-19991/КЛ.Транш - 2</v>
          </cell>
          <cell r="B907" t="str">
            <v>Коркина Елена Александровна</v>
          </cell>
        </row>
        <row r="908">
          <cell r="A908" t="str">
            <v>В-19991/КЛ.Транш - 3</v>
          </cell>
          <cell r="B908" t="str">
            <v>Коркина Елена Александровна</v>
          </cell>
        </row>
        <row r="909">
          <cell r="A909" t="str">
            <v>В-20035/КЛ.Транш - 1</v>
          </cell>
          <cell r="B909" t="str">
            <v>Терехов Андрей Анатольевич</v>
          </cell>
        </row>
        <row r="910">
          <cell r="A910" t="str">
            <v>В-20035/КЛ.Транш - 1_В-21082023/Ц</v>
          </cell>
          <cell r="B910" t="str">
            <v>Терехов Андрей Анатольевич</v>
          </cell>
          <cell r="F910">
            <v>5165.8900000000003</v>
          </cell>
          <cell r="G910">
            <v>5053.74</v>
          </cell>
        </row>
        <row r="911">
          <cell r="A911" t="str">
            <v>В-20133/КЛ.Транш - 1</v>
          </cell>
          <cell r="B911" t="str">
            <v>Фролов Павел Андреевич</v>
          </cell>
        </row>
        <row r="912">
          <cell r="A912" t="str">
            <v>В-20133/КЛ.Транш - 1_В-21082023/Ц</v>
          </cell>
          <cell r="B912" t="str">
            <v>Фролов Павел Андреевич</v>
          </cell>
          <cell r="F912">
            <v>103418</v>
          </cell>
          <cell r="G912">
            <v>102854.41</v>
          </cell>
        </row>
        <row r="913">
          <cell r="A913" t="str">
            <v>В-20329/КЛ.Транш - 2</v>
          </cell>
          <cell r="B913" t="str">
            <v>Тимохин Иван Алексеевич</v>
          </cell>
        </row>
        <row r="914">
          <cell r="A914" t="str">
            <v>В-20384/КЛ.Транш - 1</v>
          </cell>
          <cell r="B914" t="str">
            <v>Куразян Гарий Рафаэлович</v>
          </cell>
        </row>
        <row r="915">
          <cell r="A915" t="str">
            <v>В-20544/КЛ.Транш - 1</v>
          </cell>
          <cell r="B915" t="str">
            <v>Соколова Елена Викторовна</v>
          </cell>
        </row>
        <row r="916">
          <cell r="A916" t="str">
            <v>В-20952/КЛ.Транш - 3</v>
          </cell>
          <cell r="B916" t="str">
            <v>Ширманов Никита Александрович</v>
          </cell>
        </row>
        <row r="917">
          <cell r="A917" t="str">
            <v>В-20952/КЛ.Транш - 4</v>
          </cell>
          <cell r="B917" t="str">
            <v>Ширманов Никита Александрович</v>
          </cell>
        </row>
        <row r="918">
          <cell r="A918" t="str">
            <v>В-20952/КЛ.Транш - 6</v>
          </cell>
          <cell r="B918" t="str">
            <v>Ширманов Никита Александрович</v>
          </cell>
        </row>
        <row r="919">
          <cell r="A919" t="str">
            <v>В-21245/КЛ.Транш - 2</v>
          </cell>
          <cell r="B919" t="str">
            <v>Рузавина Наталья Викторовна</v>
          </cell>
        </row>
        <row r="920">
          <cell r="A920" t="str">
            <v>В-21245/КЛ.Транш - 3</v>
          </cell>
          <cell r="B920" t="str">
            <v>Рузавина Наталья Викторовна</v>
          </cell>
        </row>
        <row r="921">
          <cell r="A921" t="str">
            <v>В-21253/КЛ.Транш - 1</v>
          </cell>
          <cell r="B921" t="str">
            <v>Ахметова Елена Леонидовна</v>
          </cell>
        </row>
        <row r="922">
          <cell r="A922" t="str">
            <v>В-21253/КЛ.Транш - 1_В-21082023/Ц</v>
          </cell>
          <cell r="B922" t="str">
            <v>Ахметова Елена Леонидовна</v>
          </cell>
          <cell r="F922">
            <v>55459.68</v>
          </cell>
          <cell r="G922">
            <v>54636.39</v>
          </cell>
        </row>
        <row r="923">
          <cell r="A923" t="str">
            <v>В-21306/КЛ.Транш - 1</v>
          </cell>
          <cell r="B923" t="str">
            <v>Попов Виктор Вячеславович</v>
          </cell>
        </row>
        <row r="924">
          <cell r="A924" t="str">
            <v>В-21306/КЛ.Транш - 1_В-21082023/Ц</v>
          </cell>
          <cell r="B924" t="str">
            <v>Попов Виктор Вячеславович</v>
          </cell>
          <cell r="D924">
            <v>45488</v>
          </cell>
          <cell r="E924">
            <v>9647.94</v>
          </cell>
          <cell r="F924">
            <v>104875.5</v>
          </cell>
          <cell r="G924">
            <v>100735.67999999999</v>
          </cell>
        </row>
        <row r="925">
          <cell r="A925" t="str">
            <v>В-21321/КЛ.Транш - 1</v>
          </cell>
          <cell r="B925" t="str">
            <v>Надеев Алексей Александрович</v>
          </cell>
        </row>
        <row r="926">
          <cell r="A926" t="str">
            <v>В-21568/КЛ.Транш - 1</v>
          </cell>
          <cell r="B926" t="str">
            <v>Говоруха Андрей Михайлович</v>
          </cell>
        </row>
        <row r="927">
          <cell r="A927" t="str">
            <v>В-21568/КЛ.Транш - 1_В-21082023/Ц</v>
          </cell>
          <cell r="B927" t="str">
            <v>Говоруха Андрей Михайлович</v>
          </cell>
          <cell r="F927">
            <v>41312.269999999997</v>
          </cell>
          <cell r="G927">
            <v>39140.76</v>
          </cell>
        </row>
        <row r="928">
          <cell r="A928" t="str">
            <v>В-21872/КЛ.Транш - 1</v>
          </cell>
          <cell r="B928" t="str">
            <v>Савчук Елена Александровна</v>
          </cell>
        </row>
        <row r="929">
          <cell r="A929" t="str">
            <v>В-21911/КЛ.Транш - 1</v>
          </cell>
          <cell r="B929" t="str">
            <v>Рябов Игорь Владимирович</v>
          </cell>
        </row>
        <row r="930">
          <cell r="A930" t="str">
            <v>В-21911/КЛ.Транш - 1_В-21082023/Ц</v>
          </cell>
          <cell r="B930" t="str">
            <v>Рябов Игорь Владимирович</v>
          </cell>
          <cell r="F930">
            <v>321466.62</v>
          </cell>
          <cell r="G930">
            <v>313730.78999999998</v>
          </cell>
        </row>
        <row r="931">
          <cell r="A931" t="str">
            <v>В-21960/КЛ.Транш - 1</v>
          </cell>
          <cell r="B931" t="str">
            <v>Кравченко Владимир Николаевич</v>
          </cell>
        </row>
        <row r="932">
          <cell r="A932" t="str">
            <v>В-21960/КЛ.Транш - 2</v>
          </cell>
          <cell r="B932" t="str">
            <v>Кравченко Владимир Николаевич</v>
          </cell>
        </row>
        <row r="933">
          <cell r="A933" t="str">
            <v>В-22052/КЛ.Транш - 1</v>
          </cell>
          <cell r="B933" t="str">
            <v>Мокрицкий Константин Александрович</v>
          </cell>
        </row>
        <row r="934">
          <cell r="A934" t="str">
            <v>В-22052/КЛ.Транш - 2</v>
          </cell>
          <cell r="B934" t="str">
            <v>Мокрицкий Константин Александрович</v>
          </cell>
        </row>
        <row r="935">
          <cell r="A935" t="str">
            <v>В-22205/КЛ.Транш - 1</v>
          </cell>
          <cell r="B935" t="str">
            <v>Тарасов Олег Васильевич</v>
          </cell>
        </row>
        <row r="936">
          <cell r="A936" t="str">
            <v>В-22205/КЛ.Транш - 1_В-21082023/Ц</v>
          </cell>
          <cell r="B936" t="str">
            <v>Тарасов Олег Васильевич</v>
          </cell>
          <cell r="F936">
            <v>205588.49</v>
          </cell>
          <cell r="G936">
            <v>201991.38</v>
          </cell>
        </row>
        <row r="937">
          <cell r="A937" t="str">
            <v>В-22205/КЛ.Транш - 2</v>
          </cell>
          <cell r="B937" t="str">
            <v>Тарасов Олег Васильевич</v>
          </cell>
        </row>
        <row r="938">
          <cell r="A938" t="str">
            <v>В-22246/КЛ.Транш - 3</v>
          </cell>
          <cell r="B938" t="str">
            <v>Сбоев Виктор Юрьевич</v>
          </cell>
        </row>
        <row r="939">
          <cell r="A939" t="str">
            <v>В-22309/АЗ</v>
          </cell>
          <cell r="B939" t="str">
            <v>Мисюк Георгий Анатольевич</v>
          </cell>
        </row>
        <row r="940">
          <cell r="A940" t="str">
            <v>В-22409/КЛ.Транш - 1</v>
          </cell>
          <cell r="B940" t="str">
            <v>Дзюба Евгений Григорьевич</v>
          </cell>
        </row>
        <row r="941">
          <cell r="A941" t="str">
            <v>В-22449/КЛ.Транш - 1</v>
          </cell>
          <cell r="B941" t="str">
            <v>Подчуфарова Лариса Николаевна</v>
          </cell>
        </row>
        <row r="942">
          <cell r="A942" t="str">
            <v>В-22449/КЛ.Транш - 1_В-21082023/Ц</v>
          </cell>
          <cell r="B942" t="str">
            <v>Подчуфарова Лариса Николаевна</v>
          </cell>
          <cell r="F942">
            <v>152492.97</v>
          </cell>
          <cell r="G942">
            <v>146670.35999999999</v>
          </cell>
        </row>
        <row r="943">
          <cell r="A943" t="str">
            <v>В-22677/КЛ.Транш - 1</v>
          </cell>
          <cell r="B943" t="str">
            <v>Белякова Марина Сергеевна</v>
          </cell>
        </row>
        <row r="944">
          <cell r="A944" t="str">
            <v>В-22683/КЛ.Транш - 1</v>
          </cell>
          <cell r="B944" t="str">
            <v>Кузнецова Александра Николаевна</v>
          </cell>
        </row>
        <row r="945">
          <cell r="A945" t="str">
            <v>В-22744/КЛ.Транш - 1</v>
          </cell>
          <cell r="B945" t="str">
            <v>Зайцева Светлана Юрьевна</v>
          </cell>
        </row>
        <row r="946">
          <cell r="A946" t="str">
            <v>В-22744/КЛ.Транш - 1_В-21082023/Ц</v>
          </cell>
          <cell r="B946" t="str">
            <v>Зайцева Светлана Юрьевна</v>
          </cell>
          <cell r="F946">
            <v>6131.39</v>
          </cell>
          <cell r="G946">
            <v>5864.05</v>
          </cell>
        </row>
        <row r="947">
          <cell r="A947" t="str">
            <v>В-22864/КЛ.Транш - 1</v>
          </cell>
          <cell r="B947" t="str">
            <v>Пушкарева Виолетта Алексеевна</v>
          </cell>
        </row>
        <row r="948">
          <cell r="A948" t="str">
            <v>В-22935/КЛ.Транш - 1</v>
          </cell>
          <cell r="B948" t="str">
            <v>Король Маргарита Игоревна</v>
          </cell>
        </row>
        <row r="949">
          <cell r="A949" t="str">
            <v>В-22935/КЛ.Транш - 1_В-21082023/Ц</v>
          </cell>
          <cell r="B949" t="str">
            <v>Король Маргарита Игоревна</v>
          </cell>
          <cell r="F949">
            <v>138381.51999999999</v>
          </cell>
          <cell r="G949">
            <v>133467.01</v>
          </cell>
        </row>
        <row r="950">
          <cell r="A950" t="str">
            <v>В-22935/КЛ.Транш - 2</v>
          </cell>
          <cell r="B950" t="str">
            <v>Король Маргарита Игоревна</v>
          </cell>
        </row>
        <row r="951">
          <cell r="A951" t="str">
            <v>В-22935/КЛ.Транш - 2_В-21082023/Ц</v>
          </cell>
          <cell r="B951" t="str">
            <v>Король Маргарита Игоревна</v>
          </cell>
          <cell r="F951">
            <v>58679.26</v>
          </cell>
          <cell r="G951">
            <v>58200.9</v>
          </cell>
        </row>
        <row r="952">
          <cell r="A952" t="str">
            <v>В-22979/КЛ.Транш - 1</v>
          </cell>
          <cell r="B952" t="str">
            <v>Цирамуа Наталия Наполеоновна</v>
          </cell>
        </row>
        <row r="953">
          <cell r="A953" t="str">
            <v>В-23229/АЗ</v>
          </cell>
          <cell r="B953" t="str">
            <v>Горбачев Иван Эдуардович</v>
          </cell>
        </row>
        <row r="954">
          <cell r="A954" t="str">
            <v>В-23229/АЗ_В-21082023/Ц</v>
          </cell>
          <cell r="B954" t="str">
            <v>Горбачев Иван Эдуардович</v>
          </cell>
          <cell r="F954">
            <v>133276.37</v>
          </cell>
          <cell r="G954">
            <v>130533.38</v>
          </cell>
        </row>
        <row r="955">
          <cell r="A955" t="str">
            <v>В-23362/КЛ.Транш - 1</v>
          </cell>
          <cell r="B955" t="str">
            <v>Виноградов Алексей Валерьевич</v>
          </cell>
        </row>
        <row r="956">
          <cell r="A956" t="str">
            <v>В-23362/КЛ.Транш - 2</v>
          </cell>
          <cell r="B956" t="str">
            <v>Виноградов Алексей Валерьевич</v>
          </cell>
        </row>
        <row r="957">
          <cell r="A957" t="str">
            <v>В-23370/КЛ.Транш - 1</v>
          </cell>
          <cell r="B957" t="str">
            <v>Алешкевич Алексей Викторович</v>
          </cell>
        </row>
        <row r="958">
          <cell r="A958" t="str">
            <v>В-23370/КЛ.Транш - 2</v>
          </cell>
          <cell r="B958" t="str">
            <v>Алешкевич Алексей Викторович</v>
          </cell>
        </row>
        <row r="959">
          <cell r="A959" t="str">
            <v>В-23370/КЛ.Транш - 2_В-21082023/Ц</v>
          </cell>
          <cell r="B959" t="str">
            <v>Алешкевич Алексей Викторович</v>
          </cell>
          <cell r="F959">
            <v>80107.210000000006</v>
          </cell>
          <cell r="G959">
            <v>77393.149999999994</v>
          </cell>
        </row>
        <row r="960">
          <cell r="A960" t="str">
            <v>В-23383/КЛ.Транш - 1</v>
          </cell>
          <cell r="B960" t="str">
            <v>Водолазкин Александр Юрьевич</v>
          </cell>
        </row>
        <row r="961">
          <cell r="A961" t="str">
            <v>В-23509/КЛ.Транш - 1</v>
          </cell>
          <cell r="B961" t="str">
            <v>Бекетов Алексей Алексеевич</v>
          </cell>
        </row>
        <row r="962">
          <cell r="A962" t="str">
            <v>В-23509/КЛ.Транш - 2</v>
          </cell>
          <cell r="B962" t="str">
            <v>Бекетов Алексей Алексеевич</v>
          </cell>
        </row>
        <row r="963">
          <cell r="A963" t="str">
            <v>В-23555/КЛ.Транш - 1</v>
          </cell>
          <cell r="B963" t="str">
            <v>Зотов Дмитрий Анатольевич</v>
          </cell>
        </row>
        <row r="964">
          <cell r="A964" t="str">
            <v>В-23555/КЛ.Транш - 2</v>
          </cell>
          <cell r="B964" t="str">
            <v>Зотов Дмитрий Анатольевич</v>
          </cell>
        </row>
        <row r="965">
          <cell r="A965" t="str">
            <v>В-23901/КЛ.Транш - 1</v>
          </cell>
          <cell r="B965" t="str">
            <v>Султанова Анна Валерьевна</v>
          </cell>
        </row>
        <row r="966">
          <cell r="A966" t="str">
            <v>В-23901/КЛ.Транш - 1_В-21082023/Ц</v>
          </cell>
          <cell r="B966" t="str">
            <v>Султанова Анна Валерьевна</v>
          </cell>
          <cell r="F966">
            <v>291998.71000000002</v>
          </cell>
          <cell r="G966">
            <v>280206.99</v>
          </cell>
        </row>
        <row r="967">
          <cell r="A967" t="str">
            <v>В-23919/КЛ.Транш - 1</v>
          </cell>
          <cell r="B967" t="str">
            <v>Локшина Ольга Владимировна</v>
          </cell>
        </row>
        <row r="968">
          <cell r="A968" t="str">
            <v>В-23923/КЛ.Транш - 1</v>
          </cell>
          <cell r="B968" t="str">
            <v>Самошин Дмитрий Сергеевич</v>
          </cell>
        </row>
        <row r="969">
          <cell r="A969" t="str">
            <v>В-23979/КЛ.Транш - 1</v>
          </cell>
          <cell r="B969" t="str">
            <v>Сывороткин Сергей Валентинович</v>
          </cell>
        </row>
        <row r="970">
          <cell r="A970" t="str">
            <v>В-24071/КЛ.Транш - 1</v>
          </cell>
          <cell r="B970" t="str">
            <v>Воробьев Андрей Владимирович</v>
          </cell>
        </row>
        <row r="971">
          <cell r="A971" t="str">
            <v>В-24151/КЛ.Транш - 1</v>
          </cell>
          <cell r="B971" t="str">
            <v>Юн Вадим Вячеславович</v>
          </cell>
        </row>
        <row r="972">
          <cell r="A972" t="str">
            <v>В-24350/КЛ_В-20211230/Ц</v>
          </cell>
          <cell r="B972" t="str">
            <v>Мусаев Заурбек Хадживелиевич</v>
          </cell>
          <cell r="F972">
            <v>-726750</v>
          </cell>
          <cell r="G972">
            <v>-726750</v>
          </cell>
        </row>
        <row r="973">
          <cell r="A973" t="str">
            <v>В-24374/КЛ.Транш - 1</v>
          </cell>
          <cell r="B973" t="str">
            <v>Амбросиенко Павел Сергеевич</v>
          </cell>
        </row>
        <row r="974">
          <cell r="A974" t="str">
            <v>В-24554/КЛ.Транш - 1</v>
          </cell>
          <cell r="B974" t="str">
            <v>Росляков Олег Николаевич</v>
          </cell>
        </row>
        <row r="975">
          <cell r="A975" t="str">
            <v>В-24580/КЛ.Транш - 1</v>
          </cell>
          <cell r="B975" t="str">
            <v>Смирнов Игорь Александрович</v>
          </cell>
        </row>
        <row r="976">
          <cell r="A976" t="str">
            <v>В-24610/КЛ.Транш - 1</v>
          </cell>
          <cell r="B976" t="str">
            <v>Ибрагимов Асхаб Ибрагимович</v>
          </cell>
        </row>
        <row r="977">
          <cell r="A977" t="str">
            <v>В-24618/АЗ</v>
          </cell>
          <cell r="B977" t="str">
            <v>Кандаков Хайдарали Махмадрузиевич</v>
          </cell>
        </row>
        <row r="978">
          <cell r="A978" t="str">
            <v>В-24687/КЛ.Транш - 1</v>
          </cell>
          <cell r="B978" t="str">
            <v>Паронян Егор Каренович</v>
          </cell>
        </row>
        <row r="979">
          <cell r="A979" t="str">
            <v>В-24956/КЛ.Транш - 1</v>
          </cell>
          <cell r="B979" t="str">
            <v>Васильева Ирина Александровна</v>
          </cell>
        </row>
        <row r="980">
          <cell r="A980" t="str">
            <v>В-25093/КЛ.Транш - 1</v>
          </cell>
          <cell r="B980" t="str">
            <v>Никульченков Сергей Анатольевич</v>
          </cell>
        </row>
        <row r="981">
          <cell r="A981" t="str">
            <v>В-25093/КЛ.Транш - 1_В-21082023/Ц</v>
          </cell>
          <cell r="B981" t="str">
            <v>Никульченков Сергей Анатольевич</v>
          </cell>
          <cell r="F981">
            <v>236180.88</v>
          </cell>
          <cell r="G981">
            <v>117198.48</v>
          </cell>
        </row>
        <row r="982">
          <cell r="A982" t="str">
            <v>В-25131/КЛ_В-20211230/Ц</v>
          </cell>
          <cell r="B982" t="str">
            <v>Айрапетян Нарек Гайкович</v>
          </cell>
          <cell r="F982">
            <v>-355725</v>
          </cell>
          <cell r="G982">
            <v>-159260.13</v>
          </cell>
        </row>
        <row r="983">
          <cell r="A983" t="str">
            <v>В-25132/КЛ.Транш - 1</v>
          </cell>
          <cell r="B983" t="str">
            <v>Абдурашитов Озодбек Мавланжанович</v>
          </cell>
        </row>
        <row r="984">
          <cell r="A984" t="str">
            <v>В-25132/КЛ.Транш - 2</v>
          </cell>
          <cell r="B984" t="str">
            <v>Абдурашитов Озодбек Мавланжанович</v>
          </cell>
        </row>
        <row r="985">
          <cell r="A985" t="str">
            <v>В-25306/КЛ.Транш - 1</v>
          </cell>
          <cell r="B985" t="str">
            <v>Сидоренко Надежда Алексеевна</v>
          </cell>
        </row>
        <row r="986">
          <cell r="A986" t="str">
            <v>В-25407/КЛ.Транш - 1</v>
          </cell>
          <cell r="B986" t="str">
            <v>Загребельный Юрий Николаевич</v>
          </cell>
        </row>
        <row r="987">
          <cell r="A987" t="str">
            <v>В-25425/КЛ.Транш - 1</v>
          </cell>
          <cell r="B987" t="str">
            <v>Саркисов Никита Витальевич</v>
          </cell>
        </row>
        <row r="988">
          <cell r="A988" t="str">
            <v>В-25494/АЗ</v>
          </cell>
          <cell r="B988" t="str">
            <v>Кандаков Хайдарали Махмадрузиевич</v>
          </cell>
        </row>
        <row r="989">
          <cell r="A989" t="str">
            <v>В-25509/КЛ.Транш - 1</v>
          </cell>
          <cell r="B989" t="str">
            <v>Елисеев Вячеслав Викторович</v>
          </cell>
        </row>
        <row r="990">
          <cell r="A990" t="str">
            <v>В-25530/КЛ.Транш - 1</v>
          </cell>
          <cell r="B990" t="str">
            <v>Гридяева Лариса Павловна</v>
          </cell>
        </row>
        <row r="991">
          <cell r="A991" t="str">
            <v>В-25548/КЛ.Транш - 1</v>
          </cell>
          <cell r="B991" t="str">
            <v>Блинов Сергей Владимирович</v>
          </cell>
        </row>
        <row r="992">
          <cell r="A992" t="str">
            <v>В-25548/КЛ.Транш - 1_В-21082023/Ц</v>
          </cell>
          <cell r="B992" t="str">
            <v>Блинов Сергей Владимирович</v>
          </cell>
          <cell r="F992">
            <v>155685.97</v>
          </cell>
          <cell r="G992">
            <v>153003.17000000001</v>
          </cell>
        </row>
        <row r="993">
          <cell r="A993" t="str">
            <v>В-25573/КЛ.Транш - 1</v>
          </cell>
          <cell r="B993" t="str">
            <v>Кудряшов Савва Романович</v>
          </cell>
        </row>
        <row r="994">
          <cell r="A994" t="str">
            <v>В-25573/КЛ.Транш - 2</v>
          </cell>
          <cell r="B994" t="str">
            <v>Кудряшов Савва Романович</v>
          </cell>
        </row>
        <row r="995">
          <cell r="A995" t="str">
            <v>В-25627/КЛ.Транш - 1</v>
          </cell>
          <cell r="B995" t="str">
            <v>Мусаев Натиг Байрам Оглы</v>
          </cell>
        </row>
        <row r="996">
          <cell r="A996" t="str">
            <v>В-25627/КЛ.Транш - 1_В-21082023/Ц</v>
          </cell>
          <cell r="B996" t="str">
            <v>Мусаев Натиг Байрам Оглы</v>
          </cell>
          <cell r="F996">
            <v>583071.87</v>
          </cell>
          <cell r="G996">
            <v>575970.86</v>
          </cell>
        </row>
        <row r="997">
          <cell r="A997" t="str">
            <v>В-25671/АЗ</v>
          </cell>
          <cell r="B997" t="str">
            <v>Нагаева Елена Александровна</v>
          </cell>
        </row>
        <row r="998">
          <cell r="A998" t="str">
            <v>В-25764/КЛ.Транш - 1</v>
          </cell>
          <cell r="B998" t="str">
            <v>Соколова Екатерина Николаевна</v>
          </cell>
        </row>
        <row r="999">
          <cell r="A999" t="str">
            <v>В-25807/АЗ</v>
          </cell>
          <cell r="B999" t="str">
            <v>Платонов Николай Владимирович</v>
          </cell>
        </row>
        <row r="1000">
          <cell r="A1000" t="str">
            <v>В-25810/АЗ</v>
          </cell>
          <cell r="B1000" t="str">
            <v>Попов Михаил Александрович</v>
          </cell>
        </row>
        <row r="1001">
          <cell r="A1001" t="str">
            <v>В-25824/КЛ.Транш - 1</v>
          </cell>
          <cell r="B1001" t="str">
            <v>Яковлев Борис Викторович</v>
          </cell>
        </row>
        <row r="1002">
          <cell r="A1002" t="str">
            <v>В-25852/КЛ.Транш - 1</v>
          </cell>
          <cell r="B1002" t="str">
            <v>Пешков Владимир Сергеевич</v>
          </cell>
        </row>
        <row r="1003">
          <cell r="A1003" t="str">
            <v>В-25922/КЛ.Транш - 1</v>
          </cell>
          <cell r="B1003" t="str">
            <v>Белоусов Валерий Владиславович</v>
          </cell>
        </row>
        <row r="1004">
          <cell r="A1004" t="str">
            <v>В-25922/КЛ.Транш - 2</v>
          </cell>
          <cell r="B1004" t="str">
            <v>Белоусов Валерий Владиславович</v>
          </cell>
        </row>
        <row r="1005">
          <cell r="A1005" t="str">
            <v>В-25922/КЛ.Транш - 2_В-21082023/Ц</v>
          </cell>
          <cell r="B1005" t="str">
            <v>Белоусов Валерий Владиславович</v>
          </cell>
          <cell r="F1005">
            <v>127655.76</v>
          </cell>
          <cell r="G1005">
            <v>125672.54</v>
          </cell>
        </row>
        <row r="1006">
          <cell r="A1006" t="str">
            <v>В-25981/АЗ</v>
          </cell>
          <cell r="B1006" t="str">
            <v>Горбачев Денис Леонидович</v>
          </cell>
        </row>
        <row r="1007">
          <cell r="A1007" t="str">
            <v>В-26069/АЗ</v>
          </cell>
          <cell r="B1007" t="str">
            <v>Веселовская Галина Васильевна</v>
          </cell>
        </row>
        <row r="1008">
          <cell r="A1008" t="str">
            <v>В-26114/КЛ.Транш - 1</v>
          </cell>
          <cell r="B1008" t="str">
            <v>Рахимов Фарход Каримович</v>
          </cell>
        </row>
        <row r="1009">
          <cell r="A1009" t="str">
            <v>В-26125/АЗ</v>
          </cell>
          <cell r="B1009" t="str">
            <v>Осмаев Абдул-Латиф Исламович</v>
          </cell>
        </row>
        <row r="1010">
          <cell r="A1010" t="str">
            <v>В-26172/АЗ</v>
          </cell>
          <cell r="B1010" t="str">
            <v>Осмаев Джабраил Исламович</v>
          </cell>
        </row>
        <row r="1011">
          <cell r="A1011" t="str">
            <v>В-26197/КЛ.Транш - 1</v>
          </cell>
          <cell r="B1011" t="str">
            <v>Бакиров Теймур Бахрам оглы</v>
          </cell>
        </row>
        <row r="1012">
          <cell r="A1012" t="str">
            <v>В-26197/КЛ.Транш - 2</v>
          </cell>
          <cell r="B1012" t="str">
            <v>Бакиров Теймур Бахрам оглы</v>
          </cell>
        </row>
        <row r="1013">
          <cell r="A1013" t="str">
            <v>В-26409/КЛ.Транш - 1</v>
          </cell>
          <cell r="B1013" t="str">
            <v>Кожухова Наталья Евгеньевна</v>
          </cell>
        </row>
        <row r="1014">
          <cell r="A1014" t="str">
            <v>В-26422/КЛ.Транш - 1</v>
          </cell>
          <cell r="B1014" t="str">
            <v>Ахмедов Магомедрасул Камаладинович</v>
          </cell>
        </row>
        <row r="1015">
          <cell r="A1015" t="str">
            <v>В-26432/АЗ</v>
          </cell>
          <cell r="B1015" t="str">
            <v>Тарасов Дмитрий Алексеевич</v>
          </cell>
        </row>
        <row r="1016">
          <cell r="A1016" t="str">
            <v>В-26432/АЗ_В-21082023/Ц</v>
          </cell>
          <cell r="B1016" t="str">
            <v>Тарасов Дмитрий Алексеевич</v>
          </cell>
          <cell r="F1016">
            <v>37331.519999999997</v>
          </cell>
          <cell r="G1016">
            <v>36433.17</v>
          </cell>
        </row>
        <row r="1017">
          <cell r="A1017" t="str">
            <v>В-26517/КЛ.Транш - 1</v>
          </cell>
          <cell r="B1017" t="str">
            <v>Загорулько Алексей Сергеевич</v>
          </cell>
        </row>
        <row r="1018">
          <cell r="A1018" t="str">
            <v>В-26664/КЛ.Транш - 1</v>
          </cell>
          <cell r="B1018" t="str">
            <v>Лемкин Николай Иванович</v>
          </cell>
        </row>
        <row r="1019">
          <cell r="A1019" t="str">
            <v>В-26733/КЛ.Транш - 1</v>
          </cell>
          <cell r="B1019" t="str">
            <v>Бурма Мария Георгиевна</v>
          </cell>
        </row>
        <row r="1020">
          <cell r="A1020" t="str">
            <v>В-26733/КЛ.Транш - 1_В-21082023/Ц</v>
          </cell>
          <cell r="B1020" t="str">
            <v>Бурма Мария Георгиевна</v>
          </cell>
          <cell r="F1020">
            <v>185575.79</v>
          </cell>
          <cell r="G1020">
            <v>181595.61</v>
          </cell>
        </row>
        <row r="1021">
          <cell r="A1021" t="str">
            <v>В-26743/КЛ.Транш - 1</v>
          </cell>
          <cell r="B1021" t="str">
            <v>Ерофеева Марина Игоревна</v>
          </cell>
        </row>
        <row r="1022">
          <cell r="A1022" t="str">
            <v>В-26827/КЛ.Транш - 1</v>
          </cell>
          <cell r="B1022" t="str">
            <v>Сапожников Станислав Михайлович</v>
          </cell>
        </row>
        <row r="1023">
          <cell r="A1023" t="str">
            <v>В-26928/КЛ.Транш - 1</v>
          </cell>
          <cell r="B1023" t="str">
            <v>Труханкин Анатолий Васильевич</v>
          </cell>
        </row>
        <row r="1024">
          <cell r="A1024" t="str">
            <v>В-26950/КЛ.Транш - 1</v>
          </cell>
          <cell r="B1024" t="str">
            <v>Макаренко Екатерина Васильевна</v>
          </cell>
        </row>
        <row r="1025">
          <cell r="A1025" t="str">
            <v>В-27038/АЗ</v>
          </cell>
          <cell r="B1025" t="str">
            <v>Кандаков Хайдарали Махмадрузиевич</v>
          </cell>
        </row>
        <row r="1026">
          <cell r="A1026" t="str">
            <v>В-27065/АЗ</v>
          </cell>
          <cell r="B1026" t="str">
            <v>Мордвинцева Елена Александровна</v>
          </cell>
        </row>
        <row r="1027">
          <cell r="A1027" t="str">
            <v>В-27250/КЛ.Транш - 1</v>
          </cell>
          <cell r="B1027" t="str">
            <v>Сайфуллин Рауль Чулпанович</v>
          </cell>
        </row>
        <row r="1028">
          <cell r="A1028" t="str">
            <v>В-27250/КЛ.Транш - 2</v>
          </cell>
          <cell r="B1028" t="str">
            <v>Сайфуллин Рауль Чулпанович</v>
          </cell>
        </row>
        <row r="1029">
          <cell r="A1029" t="str">
            <v>В-27260/АЗ</v>
          </cell>
          <cell r="B1029" t="str">
            <v>Белик Галина Александровна</v>
          </cell>
        </row>
        <row r="1030">
          <cell r="A1030" t="str">
            <v>В-27315/КЛ.Транш - 1</v>
          </cell>
          <cell r="B1030" t="str">
            <v>Годуйко Николай Николаевич</v>
          </cell>
        </row>
        <row r="1031">
          <cell r="A1031" t="str">
            <v>В-27646/КЛ.Транш - 1</v>
          </cell>
          <cell r="B1031" t="str">
            <v>Конуркин Сергей Сергеевич</v>
          </cell>
        </row>
        <row r="1032">
          <cell r="A1032" t="str">
            <v>В-27646/КЛ.Транш - 1_В-21082023/Ц</v>
          </cell>
          <cell r="B1032" t="str">
            <v>Конуркин Сергей Сергеевич</v>
          </cell>
          <cell r="F1032">
            <v>305596.44</v>
          </cell>
          <cell r="G1032">
            <v>295539.98</v>
          </cell>
        </row>
        <row r="1033">
          <cell r="A1033" t="str">
            <v>В-27661/КЛ.Транш - 2</v>
          </cell>
          <cell r="B1033" t="str">
            <v>Романова Анна Григорьевна</v>
          </cell>
        </row>
        <row r="1034">
          <cell r="A1034" t="str">
            <v>В-27788/КЛ.Транш - 1</v>
          </cell>
          <cell r="B1034" t="str">
            <v>Смолин Виктор Иванович</v>
          </cell>
        </row>
        <row r="1035">
          <cell r="A1035" t="str">
            <v>В-27914/КЛ.Транш - 1</v>
          </cell>
          <cell r="B1035" t="str">
            <v>Чепрасова Галина Александровна</v>
          </cell>
        </row>
        <row r="1036">
          <cell r="A1036" t="str">
            <v>В-27929/КЛ.Транш - 1</v>
          </cell>
          <cell r="B1036" t="str">
            <v>Шаламова Татьяна Андреевна</v>
          </cell>
        </row>
        <row r="1037">
          <cell r="A1037" t="str">
            <v>В-27929/КЛ.Транш - 1_В-21082023/Ц</v>
          </cell>
          <cell r="B1037" t="str">
            <v>Шаламова Татьяна Андреевна</v>
          </cell>
          <cell r="F1037">
            <v>116981.75999999999</v>
          </cell>
          <cell r="G1037">
            <v>114768.15</v>
          </cell>
        </row>
        <row r="1038">
          <cell r="A1038" t="str">
            <v>В-28062/КЛ.Транш - 1</v>
          </cell>
          <cell r="B1038" t="str">
            <v>Бондаренко Светлана Евгеньевна</v>
          </cell>
        </row>
        <row r="1039">
          <cell r="A1039" t="str">
            <v>В-28235/АЗ</v>
          </cell>
          <cell r="B1039" t="str">
            <v>Юсупов Альберт Гиннатуллаевич</v>
          </cell>
        </row>
        <row r="1040">
          <cell r="A1040" t="str">
            <v>В-28358/КЛ.Транш - 1</v>
          </cell>
          <cell r="B1040" t="str">
            <v>Егиазарян Геворг Рубикович</v>
          </cell>
        </row>
        <row r="1041">
          <cell r="A1041" t="str">
            <v>В-28376/КЛ.Транш - 1</v>
          </cell>
          <cell r="B1041" t="str">
            <v>Симонова Дарья Павловна</v>
          </cell>
        </row>
        <row r="1042">
          <cell r="A1042" t="str">
            <v>В-28436/АЗ</v>
          </cell>
          <cell r="B1042" t="str">
            <v>Левченков Георгий Михайлович</v>
          </cell>
        </row>
        <row r="1043">
          <cell r="A1043" t="str">
            <v>В-28538/КЛ.Транш - 1</v>
          </cell>
          <cell r="B1043" t="str">
            <v>Ирицян Армен Дживанович</v>
          </cell>
        </row>
        <row r="1044">
          <cell r="A1044" t="str">
            <v>В-28539/КЛ.Транш - 1</v>
          </cell>
          <cell r="B1044" t="str">
            <v>Ульбашева Елена Владимировна</v>
          </cell>
        </row>
        <row r="1045">
          <cell r="A1045" t="str">
            <v>В-28539/КЛ.Транш - 1_В-21082023/Ц</v>
          </cell>
          <cell r="B1045" t="str">
            <v>Ульбашева Елена Владимировна</v>
          </cell>
          <cell r="F1045">
            <v>174011.94</v>
          </cell>
          <cell r="G1045">
            <v>168205.4</v>
          </cell>
        </row>
        <row r="1046">
          <cell r="A1046" t="str">
            <v>В-28549/АЗ</v>
          </cell>
          <cell r="B1046" t="str">
            <v>Егупов Дмитрий Сергеевич</v>
          </cell>
        </row>
        <row r="1047">
          <cell r="A1047" t="str">
            <v>В-28587/КЛ.Транш - 1</v>
          </cell>
          <cell r="B1047" t="str">
            <v>Видяков Денис Сергеевич</v>
          </cell>
        </row>
        <row r="1048">
          <cell r="A1048" t="str">
            <v>В-28598/КЛ.Транш - 1</v>
          </cell>
          <cell r="B1048" t="str">
            <v>Кожинов Дмитрий Сергеевич</v>
          </cell>
        </row>
        <row r="1049">
          <cell r="A1049" t="str">
            <v>В-28598/КЛ.Транш - 1_В-21082023/Ц</v>
          </cell>
          <cell r="B1049" t="str">
            <v>Кожинов Дмитрий Сергеевич</v>
          </cell>
          <cell r="F1049">
            <v>631534.35</v>
          </cell>
          <cell r="G1049">
            <v>601100.55000000005</v>
          </cell>
        </row>
        <row r="1050">
          <cell r="A1050" t="str">
            <v>В-28906/КЛ.Транш - 1</v>
          </cell>
          <cell r="B1050" t="str">
            <v>Соколов Константин Иванович</v>
          </cell>
        </row>
        <row r="1051">
          <cell r="A1051" t="str">
            <v>В-28906/КЛ.Транш - 1_В-21082023/Ц</v>
          </cell>
          <cell r="B1051" t="str">
            <v>Соколов Константин Иванович</v>
          </cell>
          <cell r="F1051">
            <v>94631.52</v>
          </cell>
          <cell r="G1051">
            <v>91692.34</v>
          </cell>
        </row>
        <row r="1052">
          <cell r="A1052" t="str">
            <v>В-28961/КЛ.Транш - 1</v>
          </cell>
          <cell r="B1052" t="str">
            <v>Гагарин Юрий Александрович</v>
          </cell>
        </row>
        <row r="1053">
          <cell r="A1053" t="str">
            <v>В-28968/АЗ</v>
          </cell>
          <cell r="B1053" t="str">
            <v>Егупов Дмитрий Сергеевич</v>
          </cell>
        </row>
        <row r="1054">
          <cell r="A1054" t="str">
            <v>Итого</v>
          </cell>
          <cell r="C1054" t="str">
            <v>815 010</v>
          </cell>
          <cell r="E1054">
            <v>409108078.56999999</v>
          </cell>
          <cell r="F1054">
            <v>428346980.13</v>
          </cell>
          <cell r="G1054">
            <v>157601033.19999999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200"/>
  <sheetViews>
    <sheetView tabSelected="1" zoomScale="85" zoomScaleNormal="85" workbookViewId="0">
      <pane xSplit="10" ySplit="5" topLeftCell="K6" activePane="bottomRight" state="frozen"/>
      <selection pane="topRight" activeCell="K1" sqref="K1"/>
      <selection pane="bottomLeft" activeCell="A6" sqref="A6"/>
      <selection pane="bottomRight" activeCell="G20" sqref="G20"/>
    </sheetView>
  </sheetViews>
  <sheetFormatPr defaultRowHeight="15" x14ac:dyDescent="0.25"/>
  <cols>
    <col min="1" max="1" width="34.42578125" bestFit="1" customWidth="1"/>
    <col min="2" max="2" width="10.7109375" style="16" bestFit="1" customWidth="1"/>
    <col min="3" max="3" width="13.85546875" style="37" customWidth="1"/>
    <col min="4" max="4" width="31.42578125" style="39" bestFit="1" customWidth="1"/>
    <col min="5" max="5" width="25.5703125" style="44" bestFit="1" customWidth="1"/>
    <col min="6" max="6" width="19.28515625" style="47" bestFit="1" customWidth="1"/>
    <col min="7" max="7" width="13.42578125" style="49" bestFit="1" customWidth="1"/>
    <col min="8" max="8" width="22.42578125" bestFit="1" customWidth="1"/>
    <col min="9" max="9" width="25.5703125" bestFit="1" customWidth="1"/>
    <col min="10" max="10" width="16.42578125" bestFit="1" customWidth="1"/>
    <col min="11" max="11" width="9" bestFit="1" customWidth="1"/>
    <col min="12" max="12" width="38.5703125" style="38" bestFit="1" customWidth="1"/>
    <col min="13" max="13" width="17" customWidth="1"/>
    <col min="14" max="14" width="14.7109375" bestFit="1" customWidth="1"/>
    <col min="15" max="15" width="0" hidden="1" customWidth="1"/>
    <col min="16" max="17" width="2.140625" bestFit="1" customWidth="1"/>
    <col min="18" max="18" width="11.28515625" bestFit="1" customWidth="1"/>
    <col min="19" max="19" width="9.140625" hidden="1" customWidth="1"/>
    <col min="20" max="20" width="11.7109375" style="11" bestFit="1" customWidth="1"/>
    <col min="21" max="21" width="8" style="16" bestFit="1" customWidth="1"/>
    <col min="22" max="22" width="34.42578125" bestFit="1" customWidth="1"/>
    <col min="23" max="23" width="6.7109375" bestFit="1" customWidth="1"/>
    <col min="24" max="24" width="20.85546875" customWidth="1"/>
    <col min="25" max="25" width="12" customWidth="1"/>
  </cols>
  <sheetData>
    <row r="1" spans="1:25" ht="15.75" thickBot="1" x14ac:dyDescent="0.3">
      <c r="A1" s="66" t="s">
        <v>1</v>
      </c>
      <c r="B1" s="67" t="s">
        <v>2</v>
      </c>
      <c r="C1" s="66" t="s">
        <v>3</v>
      </c>
      <c r="D1" s="68" t="s">
        <v>4</v>
      </c>
      <c r="E1" s="69" t="s">
        <v>5</v>
      </c>
      <c r="F1" s="64" t="s">
        <v>6</v>
      </c>
      <c r="G1" s="63" t="s">
        <v>7</v>
      </c>
      <c r="H1" s="1" t="s">
        <v>112</v>
      </c>
      <c r="I1" s="1" t="s">
        <v>8</v>
      </c>
      <c r="J1" s="46" t="s">
        <v>9</v>
      </c>
      <c r="K1" s="2" t="s">
        <v>10</v>
      </c>
      <c r="L1" s="3" t="s">
        <v>11</v>
      </c>
      <c r="N1" s="30" t="s">
        <v>96</v>
      </c>
      <c r="U1" s="31" t="s">
        <v>97</v>
      </c>
      <c r="V1" s="32" t="s">
        <v>98</v>
      </c>
      <c r="W1" s="32" t="s">
        <v>99</v>
      </c>
    </row>
    <row r="2" spans="1:25" ht="15.75" customHeight="1" x14ac:dyDescent="0.25">
      <c r="A2" s="70" t="str">
        <f>IF(H2&lt;&gt;"",LEFT(H2,33),IF(H2=0,V2,IF(H2&lt;&gt;"ОК",V2&amp;RIGHT(TRIM(REPLACE(H2,SEARCH("(*",H2),LEN(H2)-SEARCH("(*",H2)+3,"")),10),V2)))</f>
        <v>В-23555/КЛ.Транш - 2_В-21082023/Ц</v>
      </c>
      <c r="B2" s="71">
        <v>45498</v>
      </c>
      <c r="C2" s="72">
        <v>10000</v>
      </c>
      <c r="D2" s="73" t="s">
        <v>121</v>
      </c>
      <c r="E2" s="73" t="s">
        <v>21</v>
      </c>
      <c r="F2" s="74" t="str">
        <f>IFERROR(VLOOKUP(A2,'1C'!B:F,5,0),"")</f>
        <v/>
      </c>
      <c r="G2" s="73"/>
      <c r="H2" s="73"/>
      <c r="I2" s="73" t="str">
        <f>IFERROR(IF(K2="КО","КО",IF(AND(SUM(F2)&gt;0.01,OR(L2&lt;&gt;"",W2="П")),"Просрочка погашена",IF(AND(L2&lt;&gt;"",SUM(F2)&lt;0.01),"Частичная оплата (проср.)",IF(OR(VLOOKUP(A2,'[1]РП (расш)'!$A:$F,6,0)&lt;C2,VLOOKUP(A2,'[1]РП (расш)'!$A:$F,6,0)=C2),"Закрытие",IF((VLOOKUP(A2,'[1]Платежный календарь'!$B:$D,3,0)-C2)&lt;0.01,"Оплата в срок","Частичная оплата"))))),"Проверить")</f>
        <v>Частичная оплата (проср.)</v>
      </c>
      <c r="J2" s="75" t="str">
        <f>IFERROR(IF(B2&gt;[2]Лист1!$G$2,"акция кончилась",IF(VLOOKUP(A2,[2]Лист1!$B:$B,1,0)&lt;&gt;"",VLOOKUP(A2,[2]Лист1!$B:$C,2,0)&amp;" "&amp;DOLLAR(VLOOKUP(A2,[2]Лист1!$B:$D,3,0),0)&amp;" "&amp;DOLLAR(VLOOKUP(A2,[2]Лист1!$B:$E,4,0),0))),"")</f>
        <v>акция кончилась</v>
      </c>
      <c r="K2" s="24" t="str">
        <f>IFERROR(IF(VLOOKUP(LEFT(A2,10),[3]Лист1!$A:$A,1,0)&lt;&gt;"","КО"),"")</f>
        <v/>
      </c>
      <c r="L2" s="48" t="s">
        <v>136</v>
      </c>
      <c r="N2" s="33">
        <f>IFERROR((COUNTA(E:E)-1)/(COUNTA(D:D)-1),"жду данные")</f>
        <v>1</v>
      </c>
      <c r="O2" s="24"/>
      <c r="P2" s="24">
        <f>IF(AND(J2&lt;&gt;"акция кончилась",J2&lt;&gt;""),1,0)</f>
        <v>0</v>
      </c>
      <c r="Q2" s="24">
        <f>IF(AND(P2&lt;&gt;0,OR(E2="Просрочка погашена",E2="Реструкт (вх в график)")),1,0)</f>
        <v>0</v>
      </c>
      <c r="R2" s="24" t="str">
        <f>LEFT(A2,10)</f>
        <v>В-23555/КЛ</v>
      </c>
      <c r="T2" s="11" t="str">
        <f>IFERROR(IF(OR(E2="Просрочка погашена",E2="Реструкт (вх в график)"),VLOOKUP(A2,'[1]РП (расш)'!$A:$G,7,0),""),"")</f>
        <v/>
      </c>
      <c r="U2">
        <f>IFERROR(VLOOKUP(A2,'[1]Платежный календарь'!$B:$C,2,0),"Выбери Транш")</f>
        <v>45464</v>
      </c>
      <c r="V2" t="s">
        <v>129</v>
      </c>
      <c r="W2" t="str">
        <f>IF(U2&lt;B2,"П",IF(U2&gt;B2,"Б","Н"))</f>
        <v>П</v>
      </c>
      <c r="Y2" s="34"/>
    </row>
    <row r="3" spans="1:25" ht="15.75" thickBot="1" x14ac:dyDescent="0.3">
      <c r="A3" s="56" t="str">
        <f>IF(H3&lt;&gt;"",LEFT(H3,33),IF(H3=0,V3,IF(H3&lt;&gt;"ОК",V3&amp;RIGHT(TRIM(REPLACE(H3,SEARCH("(*",H3),LEN(H3)-SEARCH("(*",H3)+3,"")),10),V3)))</f>
        <v>В-23370/КЛ.Транш - 2_В-21082023/Ц</v>
      </c>
      <c r="B3" s="57">
        <v>45498</v>
      </c>
      <c r="C3" s="58">
        <v>6320</v>
      </c>
      <c r="D3" s="59" t="s">
        <v>118</v>
      </c>
      <c r="E3" s="59" t="s">
        <v>23</v>
      </c>
      <c r="F3" s="60" t="str">
        <f>IFERROR(VLOOKUP(A3,'1C'!B:F,5,0),"")</f>
        <v/>
      </c>
      <c r="G3" s="59"/>
      <c r="H3" s="59"/>
      <c r="I3" s="59" t="str">
        <f>IFERROR(IF(K3="КО","КО",IF(AND(SUM(F3)&gt;0.01,OR(L3&lt;&gt;"",W3="П")),"Просрочка погашена",IF(AND(L3&lt;&gt;"",SUM(F3)&lt;0.01),"Частичная оплата (проср.)",IF(OR(VLOOKUP(A3,'[1]РП (расш)'!$A:$F,6,0)&lt;C3,VLOOKUP(A3,'[1]РП (расш)'!$A:$F,6,0)=C3),"Закрытие",IF((VLOOKUP(A3,'[1]Платежный календарь'!$B:$D,3,0)-C3)&lt;0.01,"Оплата в срок","Частичная оплата"))))),"Проверить")</f>
        <v>Частичная оплата</v>
      </c>
      <c r="J3" s="61" t="str">
        <f>IFERROR(IF(B3&gt;[2]Лист1!$G$2,"акция кончилась",IF(VLOOKUP(A3,[2]Лист1!$B:$B,1,0)&lt;&gt;"",VLOOKUP(A3,[2]Лист1!$B:$C,2,0)&amp;" "&amp;DOLLAR(VLOOKUP(A3,[2]Лист1!$B:$D,3,0),0)&amp;" "&amp;DOLLAR(VLOOKUP(A3,[2]Лист1!$B:$E,4,0),0))),"")</f>
        <v>акция кончилась</v>
      </c>
      <c r="K3" s="24" t="str">
        <f>IFERROR(IF(VLOOKUP(LEFT(A3,10),[3]Лист1!$A:$A,1,0)&lt;&gt;"","КО"),"")</f>
        <v/>
      </c>
      <c r="L3" s="48" t="s">
        <v>116</v>
      </c>
      <c r="N3" s="35" t="s">
        <v>34</v>
      </c>
      <c r="O3" s="24"/>
      <c r="P3" s="24">
        <f>IF(AND(J3&lt;&gt;"акция кончилась",J3&lt;&gt;""),1,0)</f>
        <v>0</v>
      </c>
      <c r="Q3" s="24">
        <f>IF(AND(P3&lt;&gt;0,OR(E3="Просрочка погашена",E3="Реструкт (вх в график)")),1,0)</f>
        <v>0</v>
      </c>
      <c r="R3" s="24" t="str">
        <f>LEFT(A3,10)</f>
        <v>В-23370/КЛ</v>
      </c>
      <c r="T3" s="11" t="str">
        <f>IFERROR(IF(OR(E3="Просрочка погашена",E3="Реструкт (вх в график)"),VLOOKUP(A3,'[1]РП (расш)'!$A:$G,7,0),""),"")</f>
        <v/>
      </c>
      <c r="U3">
        <f>IFERROR(VLOOKUP(A3,'[1]Платежный календарь'!$B:$C,2,0),"Выбери Транш")</f>
        <v>45468</v>
      </c>
      <c r="V3" t="s">
        <v>127</v>
      </c>
      <c r="W3" t="str">
        <f>IF(U3&lt;B3,"П",IF(U3&gt;B3,"Б","Н"))</f>
        <v>П</v>
      </c>
    </row>
    <row r="4" spans="1:25" ht="15.75" x14ac:dyDescent="0.25">
      <c r="D4"/>
      <c r="E4"/>
      <c r="F4" s="65"/>
      <c r="G4"/>
      <c r="K4" s="24" t="str">
        <f>IFERROR(IF(VLOOKUP(LEFT(A4,10),[3]Лист1!$A:$A,1,0)&lt;&gt;"","КО"),"")</f>
        <v/>
      </c>
      <c r="L4"/>
      <c r="N4" s="62">
        <f>SUM(T:T)</f>
        <v>0</v>
      </c>
      <c r="O4" s="24"/>
      <c r="P4" s="24">
        <f t="shared" ref="P3:P5" si="0">IF(AND(J4&lt;&gt;"акция кончилась",J4&lt;&gt;""),1,0)</f>
        <v>0</v>
      </c>
      <c r="Q4" s="24">
        <f t="shared" ref="Q3:Q5" si="1">IF(AND(P4&lt;&gt;0,OR(E4="Просрочка погашена",E4="Реструкт (вх в график)")),1,0)</f>
        <v>0</v>
      </c>
      <c r="R4" s="24" t="str">
        <f>LEFT(A4,10)</f>
        <v/>
      </c>
      <c r="T4" s="11" t="str">
        <f>IFERROR(IF(OR(E4="Просрочка погашена",E4="Реструкт (вх в график)"),VLOOKUP(A4,'[1]РП (расш)'!$A:$G,7,0),""),"")</f>
        <v/>
      </c>
      <c r="U4"/>
    </row>
    <row r="5" spans="1:25" ht="15.75" x14ac:dyDescent="0.25">
      <c r="D5"/>
      <c r="E5"/>
      <c r="F5" s="65"/>
      <c r="G5"/>
      <c r="K5" s="24" t="str">
        <f>IFERROR(IF(VLOOKUP(LEFT(A5,10),[3]Лист1!$A:$A,1,0)&lt;&gt;"","КО"),"")</f>
        <v/>
      </c>
      <c r="L5"/>
      <c r="N5" s="36">
        <f>COUNTA(D:D)-1</f>
        <v>2</v>
      </c>
      <c r="O5" s="24"/>
      <c r="P5" s="24">
        <f t="shared" si="0"/>
        <v>0</v>
      </c>
      <c r="Q5" s="24">
        <f t="shared" si="1"/>
        <v>0</v>
      </c>
      <c r="R5" s="24" t="str">
        <f>LEFT(A5,10)</f>
        <v/>
      </c>
      <c r="T5" s="11" t="str">
        <f>IFERROR(IF(OR(E5="Просрочка погашена",E5="Реструкт (вх в график)"),VLOOKUP(A5,'[1]РП (расш)'!$A:$G,7,0),""),"")</f>
        <v/>
      </c>
      <c r="U5"/>
    </row>
    <row r="6" spans="1:25" x14ac:dyDescent="0.25">
      <c r="D6"/>
      <c r="E6"/>
      <c r="F6" s="65"/>
      <c r="G6"/>
      <c r="K6" s="24" t="str">
        <f>IFERROR(IF(VLOOKUP(LEFT(A6,10),[3]Лист1!$A:$A,1,0)&lt;&gt;"","КО"),"")</f>
        <v/>
      </c>
      <c r="L6"/>
      <c r="O6" s="24"/>
      <c r="P6" s="24">
        <f t="shared" ref="P6" si="2">IF(AND(J6&lt;&gt;"акция кончилась",J6&lt;&gt;""),1,0)</f>
        <v>0</v>
      </c>
      <c r="Q6" s="24">
        <f t="shared" ref="Q6" si="3">IF(AND(P6&lt;&gt;0,OR(E6="Просрочка погашена",E6="Реструкт (вх в график)")),1,0)</f>
        <v>0</v>
      </c>
      <c r="R6" s="24" t="str">
        <f>LEFT(A6,10)</f>
        <v/>
      </c>
      <c r="T6" s="11" t="str">
        <f>IFERROR(IF(OR(E6="Просрочка погашена",E6="Реструкт (вх в график)"),VLOOKUP(A6,'[1]РП (расш)'!$A:$G,7,0),""),"")</f>
        <v/>
      </c>
      <c r="U6"/>
    </row>
    <row r="7" spans="1:25" x14ac:dyDescent="0.25">
      <c r="D7"/>
      <c r="E7"/>
      <c r="F7" s="65"/>
      <c r="G7"/>
      <c r="K7" s="24" t="str">
        <f>IFERROR(IF(VLOOKUP(LEFT(A7,10),[3]Лист1!$A:$A,1,0)&lt;&gt;"","КО"),"")</f>
        <v/>
      </c>
      <c r="L7"/>
      <c r="O7" s="24"/>
      <c r="P7" s="24">
        <f t="shared" ref="P7:P9" si="4">IF(AND(J7&lt;&gt;"акция кончилась",J7&lt;&gt;""),1,0)</f>
        <v>0</v>
      </c>
      <c r="Q7" s="24">
        <f t="shared" ref="Q7:Q9" si="5">IF(AND(P7&lt;&gt;0,OR(E7="Просрочка погашена",E7="Реструкт (вх в график)")),1,0)</f>
        <v>0</v>
      </c>
      <c r="R7" s="24" t="str">
        <f>LEFT(A7,10)</f>
        <v/>
      </c>
      <c r="T7" s="11" t="str">
        <f>IFERROR(IF(OR(E7="Просрочка погашена",E7="Реструкт (вх в график)"),VLOOKUP(A7,'[1]РП (расш)'!$A:$G,7,0),""),"")</f>
        <v/>
      </c>
      <c r="U7"/>
    </row>
    <row r="8" spans="1:25" x14ac:dyDescent="0.25">
      <c r="D8"/>
      <c r="E8"/>
      <c r="F8" s="65"/>
      <c r="G8"/>
      <c r="K8" s="24" t="str">
        <f>IFERROR(IF(VLOOKUP(LEFT(A8,10),[3]Лист1!$A:$A,1,0)&lt;&gt;"","КО"),"")</f>
        <v/>
      </c>
      <c r="L8"/>
      <c r="O8" s="24"/>
      <c r="P8" s="24">
        <f t="shared" si="4"/>
        <v>0</v>
      </c>
      <c r="Q8" s="24">
        <f t="shared" si="5"/>
        <v>0</v>
      </c>
      <c r="R8" s="24" t="str">
        <f>LEFT(A8,10)</f>
        <v/>
      </c>
      <c r="T8" s="11" t="str">
        <f>IFERROR(IF(OR(E8="Просрочка погашена",E8="Реструкт (вх в график)"),VLOOKUP(A8,'[1]РП (расш)'!$A:$G,7,0),""),"")</f>
        <v/>
      </c>
      <c r="U8"/>
    </row>
    <row r="9" spans="1:25" x14ac:dyDescent="0.25">
      <c r="D9"/>
      <c r="E9"/>
      <c r="F9" s="65"/>
      <c r="G9"/>
      <c r="K9" s="24" t="str">
        <f>IFERROR(IF(VLOOKUP(LEFT(A9,10),[3]Лист1!$A:$A,1,0)&lt;&gt;"","КО"),"")</f>
        <v/>
      </c>
      <c r="L9"/>
      <c r="O9" s="24"/>
      <c r="P9" s="24">
        <f t="shared" si="4"/>
        <v>0</v>
      </c>
      <c r="Q9" s="24">
        <f t="shared" si="5"/>
        <v>0</v>
      </c>
      <c r="R9" s="24" t="str">
        <f>LEFT(A9,10)</f>
        <v/>
      </c>
      <c r="T9" s="11" t="str">
        <f>IFERROR(IF(OR(E9="Просрочка погашена",E9="Реструкт (вх в график)"),VLOOKUP(A9,'[1]РП (расш)'!$A:$G,7,0),""),"")</f>
        <v/>
      </c>
      <c r="U9"/>
    </row>
    <row r="10" spans="1:25" x14ac:dyDescent="0.25">
      <c r="D10"/>
      <c r="E10"/>
      <c r="F10" s="65"/>
      <c r="G10"/>
      <c r="K10" s="24" t="str">
        <f>IFERROR(IF(VLOOKUP(LEFT(A10,10),[3]Лист1!$A:$A,1,0)&lt;&gt;"","КО"),"")</f>
        <v/>
      </c>
      <c r="L10"/>
      <c r="P10" s="24">
        <f t="shared" ref="P10:P11" si="6">IF(AND(J10&lt;&gt;"акция кончилась",J10&lt;&gt;""),1,0)</f>
        <v>0</v>
      </c>
      <c r="Q10" s="24">
        <f t="shared" ref="Q10:Q11" si="7">IF(AND(P10&lt;&gt;0,OR(E10="Просрочка погашена",E10="Реструкт (вх в график)")),1,0)</f>
        <v>0</v>
      </c>
      <c r="R10" s="24" t="str">
        <f>LEFT(A10,10)</f>
        <v/>
      </c>
      <c r="T10" s="11" t="str">
        <f>IFERROR(IF(OR(E10="Просрочка погашена",E10="Реструкт (вх в график)"),VLOOKUP(A10,'[1]РП (расш)'!$A:$G,7,0),""),"")</f>
        <v/>
      </c>
      <c r="U10"/>
    </row>
    <row r="11" spans="1:25" x14ac:dyDescent="0.25">
      <c r="D11"/>
      <c r="E11"/>
      <c r="F11" s="65"/>
      <c r="G11"/>
      <c r="K11" s="24" t="str">
        <f>IFERROR(IF(VLOOKUP(LEFT(A11,10),[3]Лист1!$A:$A,1,0)&lt;&gt;"","КО"),"")</f>
        <v/>
      </c>
      <c r="L11"/>
      <c r="P11" s="24">
        <f t="shared" si="6"/>
        <v>0</v>
      </c>
      <c r="Q11" s="24">
        <f t="shared" si="7"/>
        <v>0</v>
      </c>
      <c r="R11" s="24" t="str">
        <f>LEFT(A11,10)</f>
        <v/>
      </c>
      <c r="T11" s="11" t="str">
        <f>IFERROR(IF(OR(E11="Просрочка погашена",E11="Реструкт (вх в график)"),VLOOKUP(A11,'[1]РП (расш)'!$A:$G,7,0),""),"")</f>
        <v/>
      </c>
      <c r="U11"/>
    </row>
    <row r="12" spans="1:25" x14ac:dyDescent="0.25">
      <c r="D12"/>
      <c r="E12"/>
      <c r="F12" s="65"/>
      <c r="G12"/>
      <c r="K12" s="24" t="str">
        <f>IFERROR(IF(VLOOKUP(LEFT(A12,10),[3]Лист1!$A:$A,1,0)&lt;&gt;"","КО"),"")</f>
        <v/>
      </c>
      <c r="L12"/>
      <c r="P12" s="24">
        <f t="shared" ref="P12:P16" si="8">IF(AND(J12&lt;&gt;"акция кончилась",J12&lt;&gt;""),1,0)</f>
        <v>0</v>
      </c>
      <c r="Q12" s="24">
        <f t="shared" ref="Q12:Q16" si="9">IF(AND(P12&lt;&gt;0,OR(E12="Просрочка погашена",E12="Реструкт (вх в график)")),1,0)</f>
        <v>0</v>
      </c>
      <c r="R12" s="24" t="str">
        <f>LEFT(A12,10)</f>
        <v/>
      </c>
      <c r="T12" s="11" t="str">
        <f>IFERROR(IF(OR(E12="Просрочка погашена",E12="Реструкт (вх в график)"),VLOOKUP(A12,'[4]РП (расш)'!$A:$G,7,0),""),"")</f>
        <v/>
      </c>
      <c r="U12"/>
    </row>
    <row r="13" spans="1:25" x14ac:dyDescent="0.25">
      <c r="D13"/>
      <c r="E13"/>
      <c r="F13" s="65"/>
      <c r="G13"/>
      <c r="K13" s="24" t="str">
        <f>IFERROR(IF(VLOOKUP(LEFT(A13,10),[3]Лист1!$A:$A,1,0)&lt;&gt;"","КО"),"")</f>
        <v/>
      </c>
      <c r="L13"/>
      <c r="P13" s="24">
        <f t="shared" si="8"/>
        <v>0</v>
      </c>
      <c r="Q13" s="24">
        <f t="shared" si="9"/>
        <v>0</v>
      </c>
      <c r="R13" s="24" t="str">
        <f>LEFT(A13,10)</f>
        <v/>
      </c>
      <c r="T13" s="11" t="str">
        <f>IFERROR(IF(OR(E13="Просрочка погашена",E13="Реструкт (вх в график)"),VLOOKUP(A13,'[4]РП (расш)'!$A:$G,7,0),""),"")</f>
        <v/>
      </c>
      <c r="U13"/>
    </row>
    <row r="14" spans="1:25" x14ac:dyDescent="0.25">
      <c r="D14"/>
      <c r="E14"/>
      <c r="F14" s="65"/>
      <c r="G14"/>
      <c r="K14" s="24" t="str">
        <f>IFERROR(IF(VLOOKUP(LEFT(A14,10),[3]Лист1!$A:$A,1,0)&lt;&gt;"","КО"),"")</f>
        <v/>
      </c>
      <c r="L14"/>
      <c r="P14" s="24">
        <f t="shared" si="8"/>
        <v>0</v>
      </c>
      <c r="Q14" s="24">
        <f t="shared" si="9"/>
        <v>0</v>
      </c>
      <c r="R14" s="24" t="str">
        <f>LEFT(A14,10)</f>
        <v/>
      </c>
      <c r="T14" s="11" t="str">
        <f>IFERROR(IF(OR(E14="Просрочка погашена",E14="Реструкт (вх в график)"),VLOOKUP(A14,'[4]РП (расш)'!$A:$G,7,0),""),"")</f>
        <v/>
      </c>
      <c r="U14"/>
    </row>
    <row r="15" spans="1:25" x14ac:dyDescent="0.25">
      <c r="D15"/>
      <c r="E15"/>
      <c r="F15" s="65"/>
      <c r="G15"/>
      <c r="K15" s="24" t="str">
        <f>IFERROR(IF(VLOOKUP(LEFT(A15,10),[3]Лист1!$A:$A,1,0)&lt;&gt;"","КО"),"")</f>
        <v/>
      </c>
      <c r="L15"/>
      <c r="P15" s="24">
        <f t="shared" si="8"/>
        <v>0</v>
      </c>
      <c r="Q15" s="24">
        <f t="shared" si="9"/>
        <v>0</v>
      </c>
      <c r="R15" s="24" t="str">
        <f>LEFT(A15,10)</f>
        <v/>
      </c>
      <c r="T15" s="11" t="str">
        <f>IFERROR(IF(OR(E15="Просрочка погашена",E15="Реструкт (вх в график)"),VLOOKUP(A15,'[4]РП (расш)'!$A:$G,7,0),""),"")</f>
        <v/>
      </c>
      <c r="U15"/>
    </row>
    <row r="16" spans="1:25" x14ac:dyDescent="0.25">
      <c r="D16"/>
      <c r="E16"/>
      <c r="F16" s="65"/>
      <c r="G16"/>
      <c r="K16" s="24" t="str">
        <f>IFERROR(IF(VLOOKUP(LEFT(A16,10),[3]Лист1!$A:$A,1,0)&lt;&gt;"","КО"),"")</f>
        <v/>
      </c>
      <c r="L16"/>
      <c r="P16" s="24">
        <f t="shared" si="8"/>
        <v>0</v>
      </c>
      <c r="Q16" s="24">
        <f t="shared" si="9"/>
        <v>0</v>
      </c>
      <c r="R16" s="24" t="str">
        <f>LEFT(A16,10)</f>
        <v/>
      </c>
      <c r="T16" s="11" t="str">
        <f>IFERROR(IF(OR(E16="Просрочка погашена",E16="Реструкт (вх в график)"),VLOOKUP(A16,'[4]РП (расш)'!$A:$G,7,0),""),"")</f>
        <v/>
      </c>
      <c r="U16"/>
    </row>
    <row r="17" spans="4:21" x14ac:dyDescent="0.25">
      <c r="D17"/>
      <c r="E17"/>
      <c r="F17" s="65"/>
      <c r="G17"/>
      <c r="K17" s="24" t="str">
        <f>IFERROR(IF(VLOOKUP(LEFT(A17,10),[3]Лист1!$A:$A,1,0)&lt;&gt;"","КО"),"")</f>
        <v/>
      </c>
      <c r="L17"/>
      <c r="P17" s="24">
        <f t="shared" ref="P17:P19" si="10">IF(AND(J17&lt;&gt;"акция кончилась",J17&lt;&gt;""),1,0)</f>
        <v>0</v>
      </c>
      <c r="Q17" s="24">
        <f t="shared" ref="Q17:Q19" si="11">IF(AND(P17&lt;&gt;0,OR(E17="Просрочка погашена",E17="Реструкт (вх в график)")),1,0)</f>
        <v>0</v>
      </c>
      <c r="R17" s="24" t="str">
        <f>LEFT(A17,10)</f>
        <v/>
      </c>
      <c r="T17" s="11" t="str">
        <f>IFERROR(IF(OR(E17="Просрочка погашена",E17="Реструкт (вх в график)"),VLOOKUP(A17,'[4]РП (расш)'!$A:$G,7,0),""),"")</f>
        <v/>
      </c>
      <c r="U17"/>
    </row>
    <row r="18" spans="4:21" x14ac:dyDescent="0.25">
      <c r="D18"/>
      <c r="E18"/>
      <c r="F18" s="65"/>
      <c r="G18"/>
      <c r="K18" s="24" t="str">
        <f>IFERROR(IF(VLOOKUP(LEFT(A18,10),[3]Лист1!$A:$A,1,0)&lt;&gt;"","КО"),"")</f>
        <v/>
      </c>
      <c r="L18"/>
      <c r="P18" s="24">
        <f t="shared" si="10"/>
        <v>0</v>
      </c>
      <c r="Q18" s="24">
        <f t="shared" si="11"/>
        <v>0</v>
      </c>
      <c r="R18" s="24" t="str">
        <f>LEFT(A18,10)</f>
        <v/>
      </c>
      <c r="T18" s="11" t="str">
        <f>IFERROR(IF(OR(E18="Просрочка погашена",E18="Реструкт (вх в график)"),VLOOKUP(A18,'[4]РП (расш)'!$A:$G,7,0),""),"")</f>
        <v/>
      </c>
      <c r="U18"/>
    </row>
    <row r="19" spans="4:21" x14ac:dyDescent="0.25">
      <c r="D19"/>
      <c r="E19"/>
      <c r="F19" s="65"/>
      <c r="G19"/>
      <c r="K19" s="24" t="str">
        <f>IFERROR(IF(VLOOKUP(LEFT(A19,10),[3]Лист1!$A:$A,1,0)&lt;&gt;"","КО"),"")</f>
        <v/>
      </c>
      <c r="L19"/>
      <c r="P19" s="24">
        <f t="shared" si="10"/>
        <v>0</v>
      </c>
      <c r="Q19" s="24">
        <f t="shared" si="11"/>
        <v>0</v>
      </c>
      <c r="R19" s="24" t="str">
        <f>LEFT(A19,10)</f>
        <v/>
      </c>
      <c r="T19" s="11" t="str">
        <f>IFERROR(IF(OR(E19="Просрочка погашена",E19="Реструкт (вх в график)"),VLOOKUP(A19,'[4]РП (расш)'!$A:$G,7,0),""),"")</f>
        <v/>
      </c>
      <c r="U19"/>
    </row>
    <row r="20" spans="4:21" x14ac:dyDescent="0.25">
      <c r="D20"/>
      <c r="E20"/>
      <c r="F20" s="65"/>
      <c r="G20"/>
      <c r="K20" s="24" t="str">
        <f>IFERROR(IF(VLOOKUP(LEFT(A20,10),[3]Лист1!$A:$A,1,0)&lt;&gt;"","КО"),"")</f>
        <v/>
      </c>
      <c r="L20"/>
      <c r="P20" s="24">
        <f t="shared" ref="P20:P21" si="12">IF(AND(J20&lt;&gt;"акция кончилась",J20&lt;&gt;""),1,0)</f>
        <v>0</v>
      </c>
      <c r="Q20" s="24">
        <f t="shared" ref="Q20:Q21" si="13">IF(AND(P20&lt;&gt;0,OR(E20="Просрочка погашена",E20="Реструкт (вх в график)")),1,0)</f>
        <v>0</v>
      </c>
      <c r="R20" s="24" t="str">
        <f t="shared" ref="R20:R21" si="14">LEFT(A20,10)</f>
        <v/>
      </c>
      <c r="T20" s="11" t="str">
        <f>IFERROR(IF(OR(E20="Просрочка погашена",E20="Реструкт (вх в график)"),VLOOKUP(A20,'[4]РП (расш)'!$A:$G,7,0),""),"")</f>
        <v/>
      </c>
      <c r="U20"/>
    </row>
    <row r="21" spans="4:21" x14ac:dyDescent="0.25">
      <c r="D21"/>
      <c r="E21"/>
      <c r="F21" s="65"/>
      <c r="G21"/>
      <c r="K21" s="24" t="str">
        <f>IFERROR(IF(VLOOKUP(LEFT(A21,10),[3]Лист1!$A:$A,1,0)&lt;&gt;"","КО"),"")</f>
        <v/>
      </c>
      <c r="L21"/>
      <c r="P21" s="24">
        <f t="shared" si="12"/>
        <v>0</v>
      </c>
      <c r="Q21" s="24">
        <f t="shared" si="13"/>
        <v>0</v>
      </c>
      <c r="R21" s="24" t="str">
        <f t="shared" si="14"/>
        <v/>
      </c>
      <c r="T21" s="11" t="str">
        <f>IFERROR(IF(OR(E21="Просрочка погашена",E21="Реструкт (вх в график)"),VLOOKUP(A21,'[4]РП (расш)'!$A:$G,7,0),""),"")</f>
        <v/>
      </c>
      <c r="U21"/>
    </row>
    <row r="22" spans="4:21" x14ac:dyDescent="0.25">
      <c r="D22"/>
      <c r="E22"/>
      <c r="F22" s="65"/>
      <c r="G22"/>
      <c r="K22" s="24"/>
      <c r="L22"/>
      <c r="P22" s="24"/>
      <c r="Q22" s="24"/>
      <c r="R22" s="24"/>
      <c r="U22"/>
    </row>
    <row r="23" spans="4:21" x14ac:dyDescent="0.25">
      <c r="D23"/>
      <c r="E23"/>
      <c r="F23" s="65"/>
      <c r="G23"/>
      <c r="K23" s="24"/>
      <c r="L23"/>
      <c r="P23" s="24"/>
      <c r="Q23" s="24"/>
      <c r="R23" s="24"/>
      <c r="U23"/>
    </row>
    <row r="24" spans="4:21" x14ac:dyDescent="0.25">
      <c r="D24"/>
      <c r="E24"/>
      <c r="F24" s="65"/>
      <c r="G24"/>
      <c r="K24" s="24"/>
      <c r="L24"/>
      <c r="P24" s="24"/>
      <c r="Q24" s="24"/>
      <c r="R24" s="24"/>
      <c r="U24"/>
    </row>
    <row r="25" spans="4:21" x14ac:dyDescent="0.25">
      <c r="D25"/>
      <c r="E25"/>
      <c r="F25" s="65"/>
      <c r="G25"/>
      <c r="K25" s="24"/>
      <c r="L25"/>
      <c r="P25" s="24"/>
      <c r="Q25" s="24"/>
      <c r="R25" s="24"/>
      <c r="U25"/>
    </row>
    <row r="26" spans="4:21" x14ac:dyDescent="0.25">
      <c r="D26"/>
      <c r="E26"/>
      <c r="F26" s="65"/>
      <c r="G26"/>
      <c r="K26" s="24"/>
      <c r="L26"/>
      <c r="P26" s="24"/>
      <c r="Q26" s="24"/>
      <c r="R26" s="24"/>
      <c r="U26"/>
    </row>
    <row r="27" spans="4:21" x14ac:dyDescent="0.25">
      <c r="D27"/>
      <c r="E27"/>
      <c r="F27" s="65"/>
      <c r="G27"/>
      <c r="K27" s="24"/>
      <c r="L27"/>
      <c r="P27" s="24"/>
      <c r="Q27" s="24"/>
      <c r="R27" s="24"/>
      <c r="U27"/>
    </row>
    <row r="28" spans="4:21" x14ac:dyDescent="0.25">
      <c r="D28"/>
      <c r="E28"/>
      <c r="F28" s="65"/>
      <c r="G28"/>
      <c r="K28" s="24"/>
      <c r="L28"/>
      <c r="P28" s="24"/>
      <c r="Q28" s="24"/>
      <c r="R28" s="24"/>
      <c r="U28"/>
    </row>
    <row r="29" spans="4:21" x14ac:dyDescent="0.25">
      <c r="D29"/>
      <c r="E29"/>
      <c r="F29" s="65"/>
      <c r="G29"/>
      <c r="K29" s="24"/>
      <c r="L29"/>
      <c r="P29" s="24"/>
      <c r="Q29" s="24"/>
      <c r="R29" s="24"/>
      <c r="U29"/>
    </row>
    <row r="30" spans="4:21" x14ac:dyDescent="0.25">
      <c r="D30"/>
      <c r="E30"/>
      <c r="F30" s="65"/>
      <c r="G30"/>
      <c r="K30" s="24"/>
      <c r="L30"/>
      <c r="P30" s="24"/>
      <c r="Q30" s="24"/>
      <c r="R30" s="24"/>
      <c r="U30"/>
    </row>
    <row r="31" spans="4:21" x14ac:dyDescent="0.25">
      <c r="D31"/>
      <c r="E31"/>
      <c r="F31" s="65"/>
      <c r="G31"/>
      <c r="K31" s="24"/>
      <c r="L31"/>
      <c r="P31" s="24"/>
      <c r="Q31" s="24"/>
      <c r="R31" s="24"/>
      <c r="U31"/>
    </row>
    <row r="32" spans="4:21" x14ac:dyDescent="0.25">
      <c r="D32"/>
      <c r="E32"/>
      <c r="F32" s="65"/>
      <c r="G32"/>
      <c r="K32" s="24"/>
      <c r="L32"/>
      <c r="P32" s="24"/>
      <c r="Q32" s="24"/>
      <c r="R32" s="24"/>
      <c r="U32"/>
    </row>
    <row r="33" spans="4:21" x14ac:dyDescent="0.25">
      <c r="D33"/>
      <c r="E33"/>
      <c r="F33" s="65"/>
      <c r="G33"/>
      <c r="K33" s="24"/>
      <c r="L33"/>
      <c r="P33" s="24"/>
      <c r="Q33" s="24"/>
      <c r="R33" s="24"/>
      <c r="U33"/>
    </row>
    <row r="34" spans="4:21" x14ac:dyDescent="0.25">
      <c r="D34"/>
      <c r="E34"/>
      <c r="F34" s="65"/>
      <c r="G34"/>
      <c r="K34" s="24"/>
      <c r="L34"/>
      <c r="P34" s="24"/>
      <c r="Q34" s="24"/>
      <c r="R34" s="24"/>
      <c r="U34"/>
    </row>
    <row r="35" spans="4:21" x14ac:dyDescent="0.25">
      <c r="D35"/>
      <c r="E35"/>
      <c r="F35" s="65"/>
      <c r="G35"/>
      <c r="K35" s="24"/>
      <c r="L35"/>
      <c r="P35" s="24"/>
      <c r="Q35" s="24"/>
      <c r="R35" s="24"/>
      <c r="U35"/>
    </row>
    <row r="36" spans="4:21" x14ac:dyDescent="0.25">
      <c r="D36"/>
      <c r="E36"/>
      <c r="F36" s="65"/>
      <c r="G36"/>
      <c r="K36" s="24"/>
      <c r="L36"/>
      <c r="P36" s="24"/>
      <c r="Q36" s="24"/>
      <c r="R36" s="24"/>
      <c r="U36"/>
    </row>
    <row r="37" spans="4:21" x14ac:dyDescent="0.25">
      <c r="D37"/>
      <c r="E37"/>
      <c r="F37" s="65"/>
      <c r="G37"/>
      <c r="K37" s="24"/>
      <c r="L37"/>
      <c r="P37" s="24"/>
      <c r="Q37" s="24"/>
      <c r="R37" s="24"/>
      <c r="U37"/>
    </row>
    <row r="38" spans="4:21" x14ac:dyDescent="0.25">
      <c r="D38"/>
      <c r="E38"/>
      <c r="F38" s="65"/>
      <c r="G38"/>
      <c r="K38" s="24"/>
      <c r="L38"/>
      <c r="P38" s="24"/>
      <c r="Q38" s="24"/>
      <c r="R38" s="24"/>
      <c r="U38"/>
    </row>
    <row r="39" spans="4:21" x14ac:dyDescent="0.25">
      <c r="D39"/>
      <c r="E39"/>
      <c r="F39" s="65"/>
      <c r="G39"/>
      <c r="K39" s="24"/>
      <c r="L39"/>
      <c r="P39" s="24"/>
      <c r="Q39" s="24"/>
      <c r="R39" s="24"/>
      <c r="U39"/>
    </row>
    <row r="40" spans="4:21" x14ac:dyDescent="0.25">
      <c r="D40"/>
      <c r="E40"/>
      <c r="F40" s="65"/>
      <c r="G40"/>
      <c r="K40" s="24"/>
      <c r="L40"/>
      <c r="P40" s="24"/>
      <c r="Q40" s="24"/>
      <c r="R40" s="24"/>
      <c r="U40"/>
    </row>
    <row r="41" spans="4:21" x14ac:dyDescent="0.25">
      <c r="D41"/>
      <c r="E41"/>
      <c r="F41" s="65"/>
      <c r="G41"/>
      <c r="K41" s="24"/>
      <c r="L41"/>
      <c r="P41" s="24"/>
      <c r="Q41" s="24"/>
      <c r="R41" s="24"/>
      <c r="U41"/>
    </row>
    <row r="42" spans="4:21" x14ac:dyDescent="0.25">
      <c r="D42"/>
      <c r="E42"/>
      <c r="F42" s="65"/>
      <c r="G42"/>
      <c r="K42" s="24"/>
      <c r="L42"/>
      <c r="P42" s="24"/>
      <c r="Q42" s="24"/>
      <c r="R42" s="24"/>
      <c r="U42"/>
    </row>
    <row r="43" spans="4:21" x14ac:dyDescent="0.25">
      <c r="D43"/>
      <c r="E43"/>
      <c r="F43" s="65"/>
      <c r="G43"/>
      <c r="K43" s="24"/>
      <c r="L43"/>
      <c r="P43" s="24"/>
      <c r="Q43" s="24"/>
      <c r="R43" s="24"/>
      <c r="U43"/>
    </row>
    <row r="44" spans="4:21" x14ac:dyDescent="0.25">
      <c r="D44"/>
      <c r="E44"/>
      <c r="F44" s="65"/>
      <c r="G44"/>
      <c r="K44" s="24"/>
      <c r="L44"/>
      <c r="P44" s="24"/>
      <c r="Q44" s="24"/>
      <c r="R44" s="24"/>
      <c r="U44"/>
    </row>
    <row r="45" spans="4:21" x14ac:dyDescent="0.25">
      <c r="D45"/>
      <c r="E45"/>
      <c r="F45" s="65"/>
      <c r="G45"/>
      <c r="K45" s="24"/>
      <c r="L45"/>
      <c r="P45" s="24"/>
      <c r="Q45" s="24"/>
      <c r="R45" s="24"/>
      <c r="U45"/>
    </row>
    <row r="46" spans="4:21" x14ac:dyDescent="0.25">
      <c r="D46"/>
      <c r="E46"/>
      <c r="F46" s="65"/>
      <c r="G46"/>
      <c r="K46" s="24"/>
      <c r="L46"/>
      <c r="P46" s="24"/>
      <c r="Q46" s="24"/>
      <c r="R46" s="24"/>
      <c r="U46"/>
    </row>
    <row r="47" spans="4:21" x14ac:dyDescent="0.25">
      <c r="D47"/>
      <c r="E47"/>
      <c r="F47" s="65"/>
      <c r="G47"/>
      <c r="K47" s="24"/>
      <c r="L47"/>
      <c r="P47" s="24"/>
      <c r="Q47" s="24"/>
      <c r="R47" s="24"/>
      <c r="U47"/>
    </row>
    <row r="48" spans="4:21" x14ac:dyDescent="0.25">
      <c r="D48"/>
      <c r="E48"/>
      <c r="F48" s="65"/>
      <c r="G48"/>
      <c r="K48" s="24"/>
      <c r="L48"/>
      <c r="P48" s="24"/>
      <c r="Q48" s="24"/>
      <c r="R48" s="24"/>
      <c r="U48"/>
    </row>
    <row r="49" spans="4:21" x14ac:dyDescent="0.25">
      <c r="D49"/>
      <c r="E49"/>
      <c r="F49" s="65"/>
      <c r="G49"/>
      <c r="K49" s="24"/>
      <c r="L49"/>
      <c r="P49" s="24"/>
      <c r="Q49" s="24"/>
      <c r="R49" s="24"/>
      <c r="U49"/>
    </row>
    <row r="50" spans="4:21" x14ac:dyDescent="0.25">
      <c r="D50"/>
      <c r="E50"/>
      <c r="F50" s="65"/>
      <c r="G50"/>
      <c r="K50" s="24"/>
      <c r="L50"/>
      <c r="P50" s="24"/>
      <c r="Q50" s="24"/>
      <c r="R50" s="24"/>
      <c r="U50"/>
    </row>
    <row r="51" spans="4:21" x14ac:dyDescent="0.25">
      <c r="D51"/>
      <c r="E51"/>
      <c r="F51" s="65"/>
      <c r="G51"/>
      <c r="K51" s="24"/>
      <c r="L51"/>
      <c r="P51" s="24"/>
      <c r="Q51" s="24"/>
      <c r="R51" s="24"/>
      <c r="U51"/>
    </row>
    <row r="52" spans="4:21" x14ac:dyDescent="0.25">
      <c r="D52"/>
      <c r="E52"/>
      <c r="F52" s="65"/>
      <c r="G52"/>
      <c r="K52" s="24"/>
      <c r="L52"/>
      <c r="P52" s="24"/>
      <c r="Q52" s="24"/>
      <c r="R52" s="24"/>
      <c r="U52"/>
    </row>
    <row r="53" spans="4:21" x14ac:dyDescent="0.25">
      <c r="D53"/>
      <c r="E53"/>
      <c r="F53" s="65"/>
      <c r="G53"/>
      <c r="K53" s="24"/>
      <c r="L53"/>
      <c r="P53" s="24"/>
      <c r="Q53" s="24"/>
      <c r="R53" s="24"/>
      <c r="U53"/>
    </row>
    <row r="54" spans="4:21" x14ac:dyDescent="0.25">
      <c r="D54"/>
      <c r="E54"/>
      <c r="F54" s="65"/>
      <c r="G54"/>
      <c r="K54" s="24"/>
      <c r="L54"/>
      <c r="P54" s="24"/>
      <c r="Q54" s="24"/>
      <c r="R54" s="24"/>
      <c r="U54"/>
    </row>
    <row r="55" spans="4:21" x14ac:dyDescent="0.25">
      <c r="D55"/>
      <c r="E55"/>
      <c r="F55" s="65"/>
      <c r="G55"/>
      <c r="K55" s="24"/>
      <c r="L55"/>
      <c r="P55" s="24"/>
      <c r="Q55" s="24"/>
      <c r="R55" s="24"/>
      <c r="U55"/>
    </row>
    <row r="56" spans="4:21" x14ac:dyDescent="0.25">
      <c r="D56"/>
      <c r="E56"/>
      <c r="F56" s="65"/>
      <c r="G56"/>
      <c r="K56" s="24"/>
      <c r="L56"/>
      <c r="P56" s="24"/>
      <c r="Q56" s="24"/>
      <c r="R56" s="24"/>
      <c r="U56"/>
    </row>
    <row r="57" spans="4:21" x14ac:dyDescent="0.25">
      <c r="D57"/>
      <c r="E57"/>
      <c r="F57" s="65"/>
      <c r="G57"/>
      <c r="K57" s="24"/>
      <c r="L57"/>
      <c r="P57" s="24"/>
      <c r="Q57" s="24"/>
      <c r="R57" s="24"/>
      <c r="U57"/>
    </row>
    <row r="58" spans="4:21" x14ac:dyDescent="0.25">
      <c r="D58"/>
      <c r="E58"/>
      <c r="F58" s="65"/>
      <c r="G58"/>
      <c r="K58" s="24"/>
      <c r="L58"/>
      <c r="P58" s="24"/>
      <c r="Q58" s="24"/>
      <c r="R58" s="24"/>
      <c r="U58"/>
    </row>
    <row r="59" spans="4:21" x14ac:dyDescent="0.25">
      <c r="D59"/>
      <c r="E59"/>
      <c r="F59" s="65"/>
      <c r="G59"/>
      <c r="K59" s="24"/>
      <c r="L59"/>
      <c r="P59" s="24"/>
      <c r="Q59" s="24"/>
      <c r="R59" s="24"/>
      <c r="U59"/>
    </row>
    <row r="60" spans="4:21" x14ac:dyDescent="0.25">
      <c r="D60"/>
      <c r="E60"/>
      <c r="F60" s="65"/>
      <c r="G60"/>
      <c r="K60" s="24"/>
      <c r="L60"/>
      <c r="P60" s="24"/>
      <c r="Q60" s="24"/>
      <c r="R60" s="24"/>
      <c r="U60"/>
    </row>
    <row r="61" spans="4:21" x14ac:dyDescent="0.25">
      <c r="D61"/>
      <c r="E61"/>
      <c r="F61" s="65"/>
      <c r="G61"/>
      <c r="K61" s="24"/>
      <c r="L61"/>
      <c r="P61" s="24"/>
      <c r="Q61" s="24"/>
      <c r="R61" s="24"/>
      <c r="U61"/>
    </row>
    <row r="62" spans="4:21" x14ac:dyDescent="0.25">
      <c r="D62"/>
      <c r="E62"/>
      <c r="F62" s="65"/>
      <c r="G62"/>
      <c r="K62" s="24"/>
      <c r="L62"/>
      <c r="P62" s="24"/>
      <c r="Q62" s="24"/>
      <c r="R62" s="24"/>
      <c r="U62"/>
    </row>
    <row r="63" spans="4:21" x14ac:dyDescent="0.25">
      <c r="D63"/>
      <c r="E63"/>
      <c r="F63" s="65"/>
      <c r="G63"/>
      <c r="K63" s="24"/>
      <c r="L63"/>
      <c r="P63" s="24"/>
      <c r="Q63" s="24"/>
      <c r="R63" s="24"/>
      <c r="U63"/>
    </row>
    <row r="64" spans="4:21" x14ac:dyDescent="0.25">
      <c r="D64"/>
      <c r="E64"/>
      <c r="F64" s="65"/>
      <c r="G64"/>
      <c r="K64" s="24"/>
      <c r="L64"/>
      <c r="P64" s="24"/>
      <c r="Q64" s="24"/>
      <c r="R64" s="24"/>
      <c r="U64"/>
    </row>
    <row r="65" spans="4:21" x14ac:dyDescent="0.25">
      <c r="D65"/>
      <c r="E65"/>
      <c r="F65" s="65"/>
      <c r="G65"/>
      <c r="K65" s="24"/>
      <c r="L65"/>
      <c r="P65" s="24"/>
      <c r="Q65" s="24"/>
      <c r="R65" s="24"/>
      <c r="U65"/>
    </row>
    <row r="66" spans="4:21" x14ac:dyDescent="0.25">
      <c r="D66"/>
      <c r="E66"/>
      <c r="F66" s="65"/>
      <c r="G66"/>
      <c r="K66" s="24"/>
      <c r="L66"/>
      <c r="P66" s="24"/>
      <c r="Q66" s="24"/>
      <c r="R66" s="24"/>
      <c r="U66"/>
    </row>
    <row r="67" spans="4:21" x14ac:dyDescent="0.25">
      <c r="D67"/>
      <c r="E67"/>
      <c r="F67" s="65"/>
      <c r="G67"/>
      <c r="K67" s="24"/>
      <c r="L67"/>
      <c r="P67" s="24"/>
      <c r="Q67" s="24"/>
      <c r="R67" s="24"/>
      <c r="U67"/>
    </row>
    <row r="68" spans="4:21" x14ac:dyDescent="0.25">
      <c r="D68"/>
      <c r="E68"/>
      <c r="F68" s="65"/>
      <c r="G68"/>
      <c r="K68" s="24"/>
      <c r="L68"/>
      <c r="P68" s="24"/>
      <c r="Q68" s="24"/>
      <c r="R68" s="24"/>
      <c r="U68"/>
    </row>
    <row r="69" spans="4:21" x14ac:dyDescent="0.25">
      <c r="D69"/>
      <c r="E69"/>
      <c r="F69" s="65"/>
      <c r="G69"/>
      <c r="K69" s="24"/>
      <c r="L69"/>
      <c r="P69" s="24"/>
      <c r="Q69" s="24"/>
      <c r="R69" s="24"/>
      <c r="U69"/>
    </row>
    <row r="70" spans="4:21" x14ac:dyDescent="0.25">
      <c r="D70"/>
      <c r="E70"/>
      <c r="F70" s="65"/>
      <c r="G70"/>
      <c r="K70" s="24"/>
      <c r="L70"/>
      <c r="P70" s="24"/>
      <c r="Q70" s="24"/>
      <c r="R70" s="24"/>
      <c r="U70"/>
    </row>
    <row r="71" spans="4:21" x14ac:dyDescent="0.25">
      <c r="D71"/>
      <c r="E71"/>
      <c r="F71" s="65"/>
      <c r="G71"/>
      <c r="K71" s="24"/>
      <c r="L71"/>
      <c r="P71" s="24"/>
      <c r="Q71" s="24"/>
      <c r="R71" s="24"/>
      <c r="U71"/>
    </row>
    <row r="72" spans="4:21" x14ac:dyDescent="0.25">
      <c r="D72"/>
      <c r="E72"/>
      <c r="F72" s="65"/>
      <c r="G72"/>
      <c r="K72" s="24"/>
      <c r="L72"/>
      <c r="P72" s="24"/>
      <c r="Q72" s="24"/>
      <c r="R72" s="24"/>
      <c r="U72"/>
    </row>
    <row r="73" spans="4:21" x14ac:dyDescent="0.25">
      <c r="D73"/>
      <c r="E73"/>
      <c r="F73" s="65"/>
      <c r="G73"/>
      <c r="K73" s="24"/>
      <c r="L73"/>
      <c r="P73" s="24"/>
      <c r="Q73" s="24"/>
      <c r="R73" s="24"/>
      <c r="U73"/>
    </row>
    <row r="74" spans="4:21" x14ac:dyDescent="0.25">
      <c r="D74"/>
      <c r="E74"/>
      <c r="F74" s="65"/>
      <c r="G74"/>
      <c r="K74" s="24"/>
      <c r="L74"/>
      <c r="P74" s="24"/>
      <c r="Q74" s="24"/>
      <c r="R74" s="24"/>
      <c r="U74"/>
    </row>
    <row r="75" spans="4:21" x14ac:dyDescent="0.25">
      <c r="D75"/>
      <c r="E75"/>
      <c r="F75" s="65"/>
      <c r="G75"/>
      <c r="K75" s="24"/>
      <c r="L75"/>
      <c r="P75" s="24"/>
      <c r="Q75" s="24"/>
      <c r="R75" s="24"/>
      <c r="U75"/>
    </row>
    <row r="76" spans="4:21" x14ac:dyDescent="0.25">
      <c r="D76"/>
      <c r="E76"/>
      <c r="F76" s="65"/>
      <c r="G76"/>
      <c r="K76" s="24"/>
      <c r="L76"/>
      <c r="P76" s="24"/>
      <c r="Q76" s="24"/>
      <c r="R76" s="24"/>
      <c r="U76"/>
    </row>
    <row r="77" spans="4:21" x14ac:dyDescent="0.25">
      <c r="D77"/>
      <c r="E77"/>
      <c r="F77" s="65"/>
      <c r="G77"/>
      <c r="K77" s="24"/>
      <c r="L77"/>
      <c r="P77" s="24"/>
      <c r="Q77" s="24"/>
      <c r="R77" s="24"/>
      <c r="U77"/>
    </row>
    <row r="78" spans="4:21" x14ac:dyDescent="0.25">
      <c r="D78"/>
      <c r="E78"/>
      <c r="F78" s="65"/>
      <c r="G78"/>
      <c r="K78" s="24"/>
      <c r="L78"/>
      <c r="P78" s="24"/>
      <c r="Q78" s="24"/>
      <c r="R78" s="24"/>
      <c r="U78"/>
    </row>
    <row r="79" spans="4:21" x14ac:dyDescent="0.25">
      <c r="D79"/>
      <c r="E79"/>
      <c r="F79" s="65"/>
      <c r="G79"/>
      <c r="K79" s="24"/>
      <c r="L79"/>
      <c r="P79" s="24"/>
      <c r="Q79" s="24"/>
      <c r="R79" s="24"/>
      <c r="U79"/>
    </row>
    <row r="80" spans="4:21" x14ac:dyDescent="0.25">
      <c r="D80"/>
      <c r="E80"/>
      <c r="F80" s="65"/>
      <c r="G80"/>
      <c r="K80" s="24"/>
      <c r="L80"/>
      <c r="P80" s="24"/>
      <c r="Q80" s="24"/>
      <c r="R80" s="24"/>
      <c r="U80"/>
    </row>
    <row r="81" spans="4:21" x14ac:dyDescent="0.25">
      <c r="D81"/>
      <c r="E81"/>
      <c r="F81" s="65"/>
      <c r="G81"/>
      <c r="K81" s="24"/>
      <c r="L81"/>
      <c r="P81" s="24"/>
      <c r="Q81" s="24"/>
      <c r="R81" s="24"/>
      <c r="U81"/>
    </row>
    <row r="82" spans="4:21" x14ac:dyDescent="0.25">
      <c r="D82"/>
      <c r="E82"/>
      <c r="F82" s="65"/>
      <c r="G82"/>
      <c r="K82" s="24"/>
      <c r="L82"/>
      <c r="P82" s="24"/>
      <c r="Q82" s="24"/>
      <c r="R82" s="24"/>
      <c r="U82"/>
    </row>
    <row r="83" spans="4:21" x14ac:dyDescent="0.25">
      <c r="D83"/>
      <c r="E83"/>
      <c r="F83" s="65"/>
      <c r="G83"/>
      <c r="K83" s="24"/>
      <c r="L83"/>
      <c r="P83" s="24"/>
      <c r="Q83" s="24"/>
      <c r="R83" s="24"/>
      <c r="U83"/>
    </row>
    <row r="84" spans="4:21" x14ac:dyDescent="0.25">
      <c r="D84"/>
      <c r="E84"/>
      <c r="F84" s="65"/>
      <c r="G84"/>
      <c r="K84" s="24"/>
      <c r="L84"/>
      <c r="P84" s="24"/>
      <c r="Q84" s="24"/>
      <c r="R84" s="24"/>
      <c r="U84"/>
    </row>
    <row r="85" spans="4:21" x14ac:dyDescent="0.25">
      <c r="D85"/>
      <c r="E85"/>
      <c r="F85" s="65"/>
      <c r="G85"/>
      <c r="K85" s="24"/>
      <c r="L85"/>
      <c r="P85" s="24"/>
      <c r="Q85" s="24"/>
      <c r="R85" s="24"/>
      <c r="U85"/>
    </row>
    <row r="86" spans="4:21" x14ac:dyDescent="0.25">
      <c r="D86"/>
      <c r="E86"/>
      <c r="F86" s="65"/>
      <c r="G86"/>
      <c r="K86" s="24"/>
      <c r="L86"/>
      <c r="P86" s="24"/>
      <c r="Q86" s="24"/>
      <c r="R86" s="24"/>
      <c r="U86"/>
    </row>
    <row r="87" spans="4:21" x14ac:dyDescent="0.25">
      <c r="D87"/>
      <c r="E87"/>
      <c r="F87" s="65"/>
      <c r="G87"/>
      <c r="K87" s="24"/>
      <c r="L87"/>
      <c r="P87" s="24"/>
      <c r="Q87" s="24"/>
      <c r="R87" s="24"/>
      <c r="U87"/>
    </row>
    <row r="88" spans="4:21" x14ac:dyDescent="0.25">
      <c r="D88"/>
      <c r="E88"/>
      <c r="F88" s="65"/>
      <c r="G88"/>
      <c r="K88" s="24"/>
      <c r="L88"/>
      <c r="P88" s="24"/>
      <c r="Q88" s="24"/>
      <c r="R88" s="24"/>
      <c r="U88"/>
    </row>
    <row r="89" spans="4:21" x14ac:dyDescent="0.25">
      <c r="D89"/>
      <c r="E89"/>
      <c r="F89" s="65"/>
      <c r="G89"/>
      <c r="K89" s="24"/>
      <c r="L89"/>
      <c r="P89" s="24"/>
      <c r="Q89" s="24"/>
      <c r="R89" s="24"/>
      <c r="U89"/>
    </row>
    <row r="90" spans="4:21" x14ac:dyDescent="0.25">
      <c r="D90"/>
      <c r="E90"/>
      <c r="F90" s="65"/>
      <c r="G90"/>
      <c r="K90" s="24"/>
      <c r="L90"/>
      <c r="P90" s="24"/>
      <c r="Q90" s="24"/>
      <c r="R90" s="24"/>
      <c r="U90"/>
    </row>
    <row r="91" spans="4:21" x14ac:dyDescent="0.25">
      <c r="D91"/>
      <c r="E91"/>
      <c r="F91" s="65"/>
      <c r="G91"/>
      <c r="K91" s="24"/>
      <c r="L91"/>
      <c r="P91" s="24"/>
      <c r="Q91" s="24"/>
      <c r="R91" s="24"/>
      <c r="U91"/>
    </row>
    <row r="92" spans="4:21" x14ac:dyDescent="0.25">
      <c r="D92"/>
      <c r="E92"/>
      <c r="F92" s="65"/>
      <c r="G92"/>
      <c r="K92" s="24"/>
      <c r="L92"/>
      <c r="P92" s="24"/>
      <c r="Q92" s="24"/>
      <c r="R92" s="24"/>
      <c r="U92"/>
    </row>
    <row r="93" spans="4:21" x14ac:dyDescent="0.25">
      <c r="D93"/>
      <c r="E93"/>
      <c r="F93" s="65"/>
      <c r="G93"/>
      <c r="K93" s="24"/>
      <c r="L93"/>
      <c r="P93" s="24"/>
      <c r="Q93" s="24"/>
      <c r="R93" s="24"/>
      <c r="U93"/>
    </row>
    <row r="94" spans="4:21" x14ac:dyDescent="0.25">
      <c r="D94"/>
      <c r="E94"/>
      <c r="F94" s="65"/>
      <c r="G94"/>
      <c r="K94" s="24"/>
      <c r="L94"/>
      <c r="P94" s="24"/>
      <c r="Q94" s="24"/>
      <c r="R94" s="24"/>
      <c r="U94"/>
    </row>
    <row r="95" spans="4:21" x14ac:dyDescent="0.25">
      <c r="D95"/>
      <c r="E95"/>
      <c r="F95" s="65"/>
      <c r="G95"/>
      <c r="K95" s="24"/>
      <c r="L95"/>
      <c r="P95" s="24"/>
      <c r="Q95" s="24"/>
      <c r="R95" s="24"/>
      <c r="U95"/>
    </row>
    <row r="96" spans="4:21" x14ac:dyDescent="0.25">
      <c r="D96"/>
      <c r="E96"/>
      <c r="F96" s="65"/>
      <c r="G96"/>
      <c r="K96" s="24"/>
      <c r="L96"/>
      <c r="P96" s="24"/>
      <c r="Q96" s="24"/>
      <c r="R96" s="24"/>
      <c r="U96"/>
    </row>
    <row r="97" spans="4:21" x14ac:dyDescent="0.25">
      <c r="D97"/>
      <c r="E97"/>
      <c r="F97" s="65"/>
      <c r="G97"/>
      <c r="K97" s="24"/>
      <c r="L97"/>
      <c r="P97" s="24"/>
      <c r="Q97" s="24"/>
      <c r="R97" s="24"/>
      <c r="U97"/>
    </row>
    <row r="98" spans="4:21" x14ac:dyDescent="0.25">
      <c r="D98"/>
      <c r="E98"/>
      <c r="F98" s="65"/>
      <c r="G98"/>
      <c r="K98" s="24"/>
      <c r="L98"/>
      <c r="P98" s="24"/>
      <c r="Q98" s="24"/>
      <c r="R98" s="24"/>
      <c r="U98"/>
    </row>
    <row r="99" spans="4:21" x14ac:dyDescent="0.25">
      <c r="D99"/>
      <c r="E99"/>
      <c r="F99" s="65"/>
      <c r="G99"/>
      <c r="K99" s="24"/>
      <c r="L99"/>
      <c r="P99" s="24"/>
      <c r="Q99" s="24"/>
      <c r="R99" s="24"/>
      <c r="U99"/>
    </row>
    <row r="100" spans="4:21" x14ac:dyDescent="0.25">
      <c r="D100"/>
      <c r="E100"/>
      <c r="F100" s="65"/>
      <c r="G100"/>
      <c r="K100" s="24"/>
      <c r="L100"/>
      <c r="P100" s="24"/>
      <c r="Q100" s="24"/>
      <c r="R100" s="24"/>
      <c r="U100"/>
    </row>
    <row r="101" spans="4:21" x14ac:dyDescent="0.25">
      <c r="D101"/>
      <c r="E101"/>
      <c r="F101" s="65"/>
      <c r="G101"/>
      <c r="K101" s="24"/>
      <c r="L101"/>
      <c r="P101" s="24"/>
      <c r="Q101" s="24"/>
      <c r="R101" s="24"/>
      <c r="U101"/>
    </row>
    <row r="102" spans="4:21" x14ac:dyDescent="0.25">
      <c r="D102"/>
      <c r="E102"/>
      <c r="F102" s="65"/>
      <c r="G102"/>
      <c r="K102" s="24"/>
      <c r="L102"/>
      <c r="P102" s="24"/>
      <c r="Q102" s="24"/>
      <c r="R102" s="24"/>
      <c r="U102"/>
    </row>
    <row r="103" spans="4:21" x14ac:dyDescent="0.25">
      <c r="D103"/>
      <c r="E103"/>
      <c r="F103" s="65"/>
      <c r="G103"/>
      <c r="K103" s="24"/>
      <c r="L103"/>
      <c r="P103" s="24"/>
      <c r="Q103" s="24"/>
      <c r="R103" s="24"/>
      <c r="U103"/>
    </row>
    <row r="104" spans="4:21" x14ac:dyDescent="0.25">
      <c r="D104"/>
      <c r="E104"/>
      <c r="F104" s="65"/>
      <c r="G104"/>
      <c r="K104" s="24"/>
      <c r="L104"/>
      <c r="P104" s="24"/>
      <c r="Q104" s="24"/>
      <c r="R104" s="24"/>
      <c r="U104"/>
    </row>
    <row r="105" spans="4:21" x14ac:dyDescent="0.25">
      <c r="D105"/>
      <c r="E105"/>
      <c r="F105" s="65"/>
      <c r="G105"/>
      <c r="K105" s="24"/>
      <c r="L105"/>
      <c r="P105" s="24"/>
      <c r="Q105" s="24"/>
      <c r="R105" s="24"/>
      <c r="U105"/>
    </row>
    <row r="106" spans="4:21" x14ac:dyDescent="0.25">
      <c r="D106"/>
      <c r="E106"/>
      <c r="F106" s="65"/>
      <c r="G106"/>
      <c r="K106" s="24"/>
      <c r="L106"/>
      <c r="P106" s="24"/>
      <c r="Q106" s="24"/>
      <c r="R106" s="24"/>
      <c r="U106"/>
    </row>
    <row r="107" spans="4:21" x14ac:dyDescent="0.25">
      <c r="D107"/>
      <c r="E107"/>
      <c r="F107" s="65"/>
      <c r="G107"/>
      <c r="K107" s="24"/>
      <c r="L107"/>
      <c r="P107" s="24"/>
      <c r="Q107" s="24"/>
      <c r="R107" s="24"/>
      <c r="U107"/>
    </row>
    <row r="108" spans="4:21" x14ac:dyDescent="0.25">
      <c r="D108"/>
      <c r="E108"/>
      <c r="F108" s="65"/>
      <c r="G108"/>
      <c r="K108" s="24"/>
      <c r="L108"/>
      <c r="P108" s="24"/>
      <c r="Q108" s="24"/>
      <c r="R108" s="24"/>
      <c r="U108"/>
    </row>
    <row r="109" spans="4:21" x14ac:dyDescent="0.25">
      <c r="D109"/>
      <c r="E109"/>
      <c r="F109" s="65"/>
      <c r="G109"/>
      <c r="K109" s="24"/>
      <c r="L109"/>
      <c r="P109" s="24"/>
      <c r="Q109" s="24"/>
      <c r="R109" s="24"/>
      <c r="U109"/>
    </row>
    <row r="110" spans="4:21" x14ac:dyDescent="0.25">
      <c r="D110"/>
      <c r="E110"/>
      <c r="F110" s="65"/>
      <c r="G110"/>
      <c r="K110" s="24"/>
      <c r="L110"/>
      <c r="P110" s="24"/>
      <c r="Q110" s="24"/>
      <c r="R110" s="24"/>
      <c r="U110"/>
    </row>
    <row r="111" spans="4:21" x14ac:dyDescent="0.25">
      <c r="D111"/>
      <c r="E111"/>
      <c r="F111" s="65"/>
      <c r="G111"/>
      <c r="K111" s="24"/>
      <c r="L111"/>
      <c r="P111" s="24"/>
      <c r="Q111" s="24"/>
      <c r="R111" s="24"/>
      <c r="U111"/>
    </row>
    <row r="112" spans="4:21" x14ac:dyDescent="0.25">
      <c r="D112"/>
      <c r="E112"/>
      <c r="F112" s="65"/>
      <c r="G112"/>
      <c r="K112" s="24"/>
      <c r="L112"/>
      <c r="P112" s="24"/>
      <c r="Q112" s="24"/>
      <c r="R112" s="24"/>
      <c r="U112"/>
    </row>
    <row r="113" spans="4:21" x14ac:dyDescent="0.25">
      <c r="D113"/>
      <c r="E113"/>
      <c r="F113" s="65"/>
      <c r="G113"/>
      <c r="K113" s="24"/>
      <c r="L113"/>
      <c r="P113" s="24"/>
      <c r="Q113" s="24"/>
      <c r="R113" s="24"/>
      <c r="U113"/>
    </row>
    <row r="114" spans="4:21" x14ac:dyDescent="0.25">
      <c r="D114"/>
      <c r="E114"/>
      <c r="F114" s="65"/>
      <c r="G114"/>
      <c r="K114" s="24"/>
      <c r="L114"/>
      <c r="P114" s="24"/>
      <c r="Q114" s="24"/>
      <c r="R114" s="24"/>
      <c r="U114"/>
    </row>
    <row r="115" spans="4:21" x14ac:dyDescent="0.25">
      <c r="D115"/>
      <c r="E115"/>
      <c r="F115" s="65"/>
      <c r="G115"/>
      <c r="K115" s="24"/>
      <c r="L115"/>
      <c r="P115" s="24"/>
      <c r="Q115" s="24"/>
      <c r="R115" s="24"/>
      <c r="U115"/>
    </row>
    <row r="116" spans="4:21" x14ac:dyDescent="0.25">
      <c r="D116"/>
      <c r="E116"/>
      <c r="F116" s="65"/>
      <c r="G116"/>
      <c r="K116" s="24"/>
      <c r="L116"/>
      <c r="P116" s="24"/>
      <c r="Q116" s="24"/>
      <c r="R116" s="24"/>
      <c r="U116"/>
    </row>
    <row r="117" spans="4:21" x14ac:dyDescent="0.25">
      <c r="D117"/>
      <c r="E117"/>
      <c r="F117" s="65"/>
      <c r="G117"/>
      <c r="K117" s="24"/>
      <c r="L117"/>
      <c r="P117" s="24"/>
      <c r="Q117" s="24"/>
      <c r="R117" s="24"/>
      <c r="U117"/>
    </row>
    <row r="118" spans="4:21" x14ac:dyDescent="0.25">
      <c r="D118"/>
      <c r="E118"/>
      <c r="F118" s="65"/>
      <c r="G118"/>
      <c r="K118" s="24"/>
      <c r="L118"/>
      <c r="P118" s="24"/>
      <c r="Q118" s="24"/>
      <c r="R118" s="24"/>
      <c r="U118"/>
    </row>
    <row r="119" spans="4:21" x14ac:dyDescent="0.25">
      <c r="D119"/>
      <c r="E119"/>
      <c r="F119" s="65"/>
      <c r="G119"/>
      <c r="K119" s="24"/>
      <c r="L119"/>
      <c r="P119" s="24"/>
      <c r="Q119" s="24"/>
      <c r="R119" s="24"/>
      <c r="U119"/>
    </row>
    <row r="120" spans="4:21" x14ac:dyDescent="0.25">
      <c r="D120"/>
      <c r="E120"/>
      <c r="F120" s="65"/>
      <c r="G120"/>
      <c r="K120" s="24"/>
      <c r="L120"/>
      <c r="P120" s="24"/>
      <c r="Q120" s="24"/>
      <c r="R120" s="24"/>
      <c r="U120"/>
    </row>
    <row r="121" spans="4:21" x14ac:dyDescent="0.25">
      <c r="D121"/>
      <c r="E121"/>
      <c r="F121" s="65"/>
      <c r="G121"/>
      <c r="K121" s="24"/>
      <c r="L121"/>
      <c r="P121" s="24"/>
      <c r="Q121" s="24"/>
      <c r="R121" s="24"/>
      <c r="U121"/>
    </row>
    <row r="122" spans="4:21" x14ac:dyDescent="0.25">
      <c r="D122"/>
      <c r="E122"/>
      <c r="F122" s="65"/>
      <c r="G122"/>
      <c r="K122" s="24"/>
      <c r="L122"/>
      <c r="P122" s="24"/>
      <c r="Q122" s="24"/>
      <c r="R122" s="24"/>
      <c r="U122"/>
    </row>
    <row r="123" spans="4:21" x14ac:dyDescent="0.25">
      <c r="D123"/>
      <c r="E123"/>
      <c r="F123" s="65"/>
      <c r="G123"/>
      <c r="K123" s="24"/>
      <c r="L123"/>
      <c r="P123" s="24"/>
      <c r="Q123" s="24"/>
      <c r="R123" s="24"/>
      <c r="U123"/>
    </row>
    <row r="124" spans="4:21" x14ac:dyDescent="0.25">
      <c r="D124"/>
      <c r="E124"/>
      <c r="F124" s="65"/>
      <c r="G124"/>
      <c r="K124" s="24"/>
      <c r="L124"/>
      <c r="P124" s="24"/>
      <c r="Q124" s="24"/>
      <c r="R124" s="24"/>
      <c r="U124"/>
    </row>
    <row r="125" spans="4:21" x14ac:dyDescent="0.25">
      <c r="D125"/>
      <c r="E125"/>
      <c r="F125" s="65"/>
      <c r="G125"/>
      <c r="K125" s="24"/>
      <c r="L125"/>
      <c r="P125" s="24"/>
      <c r="Q125" s="24"/>
      <c r="R125" s="24"/>
      <c r="U125"/>
    </row>
    <row r="126" spans="4:21" x14ac:dyDescent="0.25">
      <c r="D126"/>
      <c r="E126"/>
      <c r="F126" s="65"/>
      <c r="G126"/>
      <c r="K126" s="24"/>
      <c r="L126"/>
      <c r="P126" s="24"/>
      <c r="Q126" s="24"/>
      <c r="R126" s="24"/>
      <c r="U126"/>
    </row>
    <row r="127" spans="4:21" x14ac:dyDescent="0.25">
      <c r="D127"/>
      <c r="E127"/>
      <c r="F127" s="65"/>
      <c r="G127"/>
      <c r="K127" s="24"/>
      <c r="L127"/>
      <c r="P127" s="24"/>
      <c r="Q127" s="24"/>
      <c r="R127" s="24"/>
      <c r="U127"/>
    </row>
    <row r="128" spans="4:21" x14ac:dyDescent="0.25">
      <c r="D128"/>
      <c r="E128"/>
      <c r="F128" s="65"/>
      <c r="G128"/>
      <c r="K128" s="24"/>
      <c r="L128"/>
      <c r="P128" s="24"/>
      <c r="Q128" s="24"/>
      <c r="R128" s="24"/>
      <c r="U128"/>
    </row>
    <row r="129" spans="4:21" x14ac:dyDescent="0.25">
      <c r="D129"/>
      <c r="E129"/>
      <c r="F129" s="65"/>
      <c r="G129"/>
      <c r="K129" s="24"/>
      <c r="L129"/>
      <c r="P129" s="24"/>
      <c r="Q129" s="24"/>
      <c r="R129" s="24"/>
      <c r="U129"/>
    </row>
    <row r="130" spans="4:21" x14ac:dyDescent="0.25">
      <c r="D130"/>
      <c r="E130"/>
      <c r="F130" s="65"/>
      <c r="G130"/>
      <c r="K130" s="24"/>
      <c r="L130"/>
      <c r="P130" s="24"/>
      <c r="Q130" s="24"/>
      <c r="R130" s="24"/>
      <c r="U130"/>
    </row>
    <row r="131" spans="4:21" x14ac:dyDescent="0.25">
      <c r="D131"/>
      <c r="E131"/>
      <c r="F131" s="65"/>
      <c r="G131"/>
      <c r="K131" s="24"/>
      <c r="L131"/>
      <c r="P131" s="24"/>
      <c r="Q131" s="24"/>
      <c r="R131" s="24"/>
      <c r="U131"/>
    </row>
    <row r="132" spans="4:21" x14ac:dyDescent="0.25">
      <c r="D132"/>
      <c r="E132"/>
      <c r="F132" s="65"/>
      <c r="G132"/>
      <c r="K132" s="24"/>
      <c r="L132"/>
      <c r="P132" s="24"/>
      <c r="Q132" s="24"/>
      <c r="R132" s="24"/>
      <c r="U132"/>
    </row>
    <row r="133" spans="4:21" x14ac:dyDescent="0.25">
      <c r="D133"/>
      <c r="E133"/>
      <c r="F133" s="65"/>
      <c r="G133"/>
      <c r="K133" s="24"/>
      <c r="L133"/>
      <c r="P133" s="24"/>
      <c r="Q133" s="24"/>
      <c r="R133" s="24"/>
      <c r="U133"/>
    </row>
    <row r="134" spans="4:21" x14ac:dyDescent="0.25">
      <c r="D134"/>
      <c r="E134"/>
      <c r="F134" s="65"/>
      <c r="G134"/>
      <c r="K134" s="24"/>
      <c r="L134"/>
      <c r="P134" s="24"/>
      <c r="Q134" s="24"/>
      <c r="R134" s="24"/>
      <c r="U134"/>
    </row>
    <row r="135" spans="4:21" x14ac:dyDescent="0.25">
      <c r="D135"/>
      <c r="E135"/>
      <c r="F135" s="65"/>
      <c r="G135"/>
      <c r="K135" s="24"/>
      <c r="L135"/>
      <c r="P135" s="24"/>
      <c r="Q135" s="24"/>
      <c r="R135" s="24"/>
      <c r="U135"/>
    </row>
    <row r="136" spans="4:21" x14ac:dyDescent="0.25">
      <c r="D136"/>
      <c r="E136"/>
      <c r="F136" s="65"/>
      <c r="G136"/>
      <c r="K136" s="24"/>
      <c r="L136"/>
      <c r="P136" s="24"/>
      <c r="Q136" s="24"/>
      <c r="R136" s="24"/>
      <c r="U136"/>
    </row>
    <row r="137" spans="4:21" x14ac:dyDescent="0.25">
      <c r="D137"/>
      <c r="E137"/>
      <c r="F137" s="65"/>
      <c r="G137"/>
      <c r="K137" s="24"/>
      <c r="L137"/>
      <c r="P137" s="24"/>
      <c r="Q137" s="24"/>
      <c r="R137" s="24"/>
      <c r="U137"/>
    </row>
    <row r="138" spans="4:21" x14ac:dyDescent="0.25">
      <c r="D138"/>
      <c r="E138"/>
      <c r="F138" s="65"/>
      <c r="G138"/>
      <c r="K138" s="24"/>
      <c r="L138"/>
      <c r="P138" s="24"/>
      <c r="Q138" s="24"/>
      <c r="R138" s="24"/>
      <c r="U138"/>
    </row>
    <row r="139" spans="4:21" x14ac:dyDescent="0.25">
      <c r="D139"/>
      <c r="E139"/>
      <c r="F139" s="65"/>
      <c r="G139"/>
      <c r="K139" s="24"/>
      <c r="L139"/>
      <c r="P139" s="24"/>
      <c r="Q139" s="24"/>
      <c r="R139" s="24"/>
      <c r="U139"/>
    </row>
    <row r="140" spans="4:21" x14ac:dyDescent="0.25">
      <c r="D140"/>
      <c r="E140"/>
      <c r="F140" s="65"/>
      <c r="G140"/>
      <c r="K140" s="24"/>
      <c r="L140"/>
      <c r="P140" s="24"/>
      <c r="Q140" s="24"/>
      <c r="R140" s="24"/>
      <c r="U140"/>
    </row>
    <row r="141" spans="4:21" x14ac:dyDescent="0.25">
      <c r="D141"/>
      <c r="E141"/>
      <c r="F141" s="65"/>
      <c r="G141"/>
      <c r="K141" s="24"/>
      <c r="L141"/>
      <c r="P141" s="24"/>
      <c r="Q141" s="24"/>
      <c r="R141" s="24"/>
      <c r="U141"/>
    </row>
    <row r="142" spans="4:21" x14ac:dyDescent="0.25">
      <c r="D142"/>
      <c r="E142"/>
      <c r="F142" s="65"/>
      <c r="G142"/>
      <c r="K142" s="24"/>
      <c r="L142"/>
      <c r="P142" s="24"/>
      <c r="Q142" s="24"/>
      <c r="R142" s="24"/>
      <c r="U142"/>
    </row>
    <row r="143" spans="4:21" x14ac:dyDescent="0.25">
      <c r="D143"/>
      <c r="E143"/>
      <c r="F143" s="65"/>
      <c r="G143"/>
      <c r="K143" s="24"/>
      <c r="L143"/>
      <c r="P143" s="24"/>
      <c r="Q143" s="24"/>
      <c r="R143" s="24"/>
      <c r="U143"/>
    </row>
    <row r="144" spans="4:21" x14ac:dyDescent="0.25">
      <c r="D144"/>
      <c r="E144"/>
      <c r="F144" s="65"/>
      <c r="G144"/>
      <c r="K144" s="24"/>
      <c r="L144"/>
      <c r="P144" s="24"/>
      <c r="Q144" s="24"/>
      <c r="R144" s="24"/>
      <c r="U144"/>
    </row>
    <row r="145" spans="1:21" x14ac:dyDescent="0.25">
      <c r="D145"/>
      <c r="E145"/>
      <c r="F145" s="65"/>
      <c r="G145"/>
      <c r="K145" s="24"/>
      <c r="L145"/>
      <c r="P145" s="24"/>
      <c r="Q145" s="24"/>
      <c r="R145" s="24"/>
      <c r="U145"/>
    </row>
    <row r="146" spans="1:21" x14ac:dyDescent="0.25">
      <c r="D146"/>
      <c r="E146"/>
      <c r="F146" s="65"/>
      <c r="G146"/>
      <c r="K146" s="24"/>
      <c r="L146"/>
      <c r="P146" s="24"/>
      <c r="Q146" s="24"/>
      <c r="R146" s="24"/>
      <c r="U146"/>
    </row>
    <row r="147" spans="1:21" x14ac:dyDescent="0.25">
      <c r="D147"/>
      <c r="E147"/>
      <c r="F147" s="65"/>
      <c r="G147"/>
      <c r="K147" s="24"/>
      <c r="L147"/>
      <c r="P147" s="24"/>
      <c r="Q147" s="24"/>
      <c r="R147" s="24"/>
      <c r="U147"/>
    </row>
    <row r="148" spans="1:21" x14ac:dyDescent="0.25">
      <c r="D148"/>
      <c r="E148"/>
      <c r="F148" s="65"/>
      <c r="G148"/>
      <c r="K148" s="24"/>
      <c r="L148"/>
      <c r="P148" s="24"/>
      <c r="Q148" s="24"/>
      <c r="R148" s="24"/>
      <c r="U148"/>
    </row>
    <row r="149" spans="1:21" x14ac:dyDescent="0.25">
      <c r="D149"/>
      <c r="E149"/>
      <c r="F149" s="65"/>
      <c r="G149"/>
      <c r="K149" s="24"/>
      <c r="L149"/>
      <c r="P149" s="24"/>
      <c r="Q149" s="24"/>
      <c r="R149" s="24"/>
      <c r="U149"/>
    </row>
    <row r="150" spans="1:21" x14ac:dyDescent="0.25">
      <c r="D150"/>
      <c r="E150"/>
      <c r="F150" s="65"/>
      <c r="G150"/>
      <c r="K150" s="24"/>
      <c r="L150"/>
      <c r="P150" s="24"/>
      <c r="Q150" s="24"/>
      <c r="R150" s="24"/>
      <c r="U150"/>
    </row>
    <row r="151" spans="1:21" x14ac:dyDescent="0.25">
      <c r="A151" s="50"/>
      <c r="B151" s="51"/>
      <c r="C151" s="52"/>
      <c r="D151" s="53"/>
      <c r="E151" s="53"/>
      <c r="F151" s="54"/>
      <c r="G151" s="53"/>
      <c r="H151" s="53"/>
      <c r="I151" s="53"/>
      <c r="J151" s="55"/>
      <c r="K151" s="24"/>
      <c r="L151"/>
      <c r="P151" s="24"/>
      <c r="Q151" s="24"/>
      <c r="R151" s="24"/>
      <c r="U151"/>
    </row>
    <row r="152" spans="1:21" x14ac:dyDescent="0.25">
      <c r="A152" s="50"/>
      <c r="B152" s="51"/>
      <c r="C152" s="52"/>
      <c r="D152" s="53"/>
      <c r="E152" s="53"/>
      <c r="F152" s="54"/>
      <c r="G152" s="53"/>
      <c r="H152" s="53"/>
      <c r="I152" s="53"/>
      <c r="J152" s="55"/>
      <c r="K152" s="24"/>
      <c r="L152"/>
      <c r="P152" s="24"/>
      <c r="Q152" s="24"/>
      <c r="R152" s="24"/>
      <c r="U152"/>
    </row>
    <row r="153" spans="1:21" x14ac:dyDescent="0.25">
      <c r="A153" s="50"/>
      <c r="B153" s="51"/>
      <c r="C153" s="52"/>
      <c r="D153" s="53"/>
      <c r="E153" s="53"/>
      <c r="F153" s="54"/>
      <c r="G153" s="53"/>
      <c r="H153" s="53"/>
      <c r="I153" s="53"/>
      <c r="J153" s="55"/>
      <c r="K153" s="24"/>
      <c r="L153"/>
      <c r="P153" s="24"/>
      <c r="Q153" s="24"/>
      <c r="R153" s="24"/>
      <c r="U153"/>
    </row>
    <row r="154" spans="1:21" x14ac:dyDescent="0.25">
      <c r="A154" s="50"/>
      <c r="B154" s="51"/>
      <c r="C154" s="52"/>
      <c r="D154" s="53"/>
      <c r="E154" s="53"/>
      <c r="F154" s="54"/>
      <c r="G154" s="53"/>
      <c r="H154" s="53"/>
      <c r="I154" s="53"/>
      <c r="J154" s="55"/>
      <c r="K154" s="24"/>
      <c r="L154"/>
      <c r="P154" s="24"/>
      <c r="Q154" s="24"/>
      <c r="R154" s="24"/>
      <c r="U154"/>
    </row>
    <row r="155" spans="1:21" x14ac:dyDescent="0.25">
      <c r="A155" s="50"/>
      <c r="B155" s="51"/>
      <c r="C155" s="52"/>
      <c r="D155" s="53"/>
      <c r="E155" s="53"/>
      <c r="F155" s="54"/>
      <c r="G155" s="53"/>
      <c r="H155" s="53"/>
      <c r="I155" s="53"/>
      <c r="J155" s="55"/>
      <c r="K155" s="24"/>
      <c r="L155"/>
      <c r="P155" s="24"/>
      <c r="Q155" s="24"/>
      <c r="R155" s="24"/>
      <c r="U155"/>
    </row>
    <row r="156" spans="1:21" x14ac:dyDescent="0.25">
      <c r="A156" s="50"/>
      <c r="B156" s="51"/>
      <c r="C156" s="52"/>
      <c r="D156" s="53"/>
      <c r="E156" s="53"/>
      <c r="F156" s="54"/>
      <c r="G156" s="53"/>
      <c r="H156" s="53"/>
      <c r="I156" s="53"/>
      <c r="J156" s="55"/>
      <c r="K156" s="24"/>
      <c r="L156"/>
      <c r="P156" s="24"/>
      <c r="Q156" s="24"/>
      <c r="R156" s="24"/>
      <c r="U156"/>
    </row>
    <row r="157" spans="1:21" x14ac:dyDescent="0.25">
      <c r="A157" s="50"/>
      <c r="B157" s="51"/>
      <c r="C157" s="52"/>
      <c r="D157" s="53"/>
      <c r="E157" s="53"/>
      <c r="F157" s="54"/>
      <c r="G157" s="53"/>
      <c r="H157" s="53"/>
      <c r="I157" s="53"/>
      <c r="J157" s="55"/>
      <c r="K157" s="24"/>
      <c r="L157"/>
      <c r="P157" s="24"/>
      <c r="Q157" s="24"/>
      <c r="R157" s="24"/>
      <c r="U157"/>
    </row>
    <row r="158" spans="1:21" x14ac:dyDescent="0.25">
      <c r="A158" s="50"/>
      <c r="B158" s="51"/>
      <c r="C158" s="52"/>
      <c r="D158" s="53"/>
      <c r="E158" s="53"/>
      <c r="F158" s="54"/>
      <c r="G158" s="53"/>
      <c r="H158" s="53"/>
      <c r="I158" s="53"/>
      <c r="J158" s="55"/>
      <c r="K158" s="24"/>
      <c r="L158"/>
      <c r="P158" s="24"/>
      <c r="Q158" s="24"/>
      <c r="R158" s="24"/>
      <c r="U158"/>
    </row>
    <row r="159" spans="1:21" x14ac:dyDescent="0.25">
      <c r="A159" s="50"/>
      <c r="B159" s="51"/>
      <c r="C159" s="52"/>
      <c r="D159" s="53"/>
      <c r="E159" s="53"/>
      <c r="F159" s="54"/>
      <c r="G159" s="53"/>
      <c r="H159" s="53"/>
      <c r="I159" s="53"/>
      <c r="J159" s="55"/>
      <c r="K159" s="24"/>
      <c r="L159"/>
      <c r="P159" s="24"/>
      <c r="Q159" s="24"/>
      <c r="R159" s="24"/>
      <c r="U159"/>
    </row>
    <row r="160" spans="1:21" x14ac:dyDescent="0.25">
      <c r="A160" s="50"/>
      <c r="B160" s="51"/>
      <c r="C160" s="52"/>
      <c r="D160" s="53"/>
      <c r="E160" s="53"/>
      <c r="F160" s="54"/>
      <c r="G160" s="53"/>
      <c r="H160" s="53"/>
      <c r="I160" s="53"/>
      <c r="J160" s="55"/>
      <c r="K160" s="24"/>
      <c r="L160"/>
      <c r="P160" s="24"/>
      <c r="Q160" s="24"/>
      <c r="R160" s="24"/>
      <c r="U160"/>
    </row>
    <row r="161" spans="1:21" x14ac:dyDescent="0.25">
      <c r="A161" s="50"/>
      <c r="B161" s="51"/>
      <c r="C161" s="52"/>
      <c r="D161" s="53"/>
      <c r="E161" s="53"/>
      <c r="F161" s="54"/>
      <c r="G161" s="53"/>
      <c r="H161" s="53"/>
      <c r="I161" s="53"/>
      <c r="J161" s="55"/>
      <c r="K161" s="24"/>
      <c r="L161"/>
      <c r="P161" s="24"/>
      <c r="Q161" s="24"/>
      <c r="R161" s="24"/>
      <c r="U161"/>
    </row>
    <row r="162" spans="1:21" x14ac:dyDescent="0.25">
      <c r="A162" s="50"/>
      <c r="B162" s="51"/>
      <c r="C162" s="52"/>
      <c r="D162" s="53"/>
      <c r="E162" s="53"/>
      <c r="F162" s="54"/>
      <c r="G162" s="53"/>
      <c r="H162" s="53"/>
      <c r="I162" s="53"/>
      <c r="J162" s="55"/>
      <c r="K162" s="24"/>
      <c r="L162"/>
      <c r="P162" s="24"/>
      <c r="Q162" s="24"/>
      <c r="R162" s="24"/>
      <c r="U162"/>
    </row>
    <row r="163" spans="1:21" x14ac:dyDescent="0.25">
      <c r="A163" s="50"/>
      <c r="B163" s="51"/>
      <c r="C163" s="52"/>
      <c r="D163" s="53"/>
      <c r="E163" s="53"/>
      <c r="F163" s="54"/>
      <c r="G163" s="53"/>
      <c r="H163" s="53"/>
      <c r="I163" s="53"/>
      <c r="J163" s="55"/>
      <c r="K163" s="24"/>
      <c r="L163"/>
      <c r="P163" s="24"/>
      <c r="Q163" s="24"/>
      <c r="R163" s="24"/>
      <c r="U163"/>
    </row>
    <row r="164" spans="1:21" ht="15.75" thickBot="1" x14ac:dyDescent="0.3">
      <c r="A164" s="56"/>
      <c r="B164" s="57"/>
      <c r="C164" s="58"/>
      <c r="D164" s="59"/>
      <c r="E164" s="59"/>
      <c r="F164" s="60"/>
      <c r="G164" s="59"/>
      <c r="H164" s="59"/>
      <c r="I164" s="59"/>
      <c r="J164" s="61"/>
      <c r="K164" s="24"/>
      <c r="L164"/>
      <c r="P164" s="24"/>
      <c r="Q164" s="24"/>
      <c r="R164" s="24"/>
      <c r="U164"/>
    </row>
    <row r="165" spans="1:21" x14ac:dyDescent="0.25">
      <c r="L165"/>
    </row>
    <row r="166" spans="1:21" x14ac:dyDescent="0.25">
      <c r="L166"/>
    </row>
    <row r="167" spans="1:21" x14ac:dyDescent="0.25">
      <c r="L167"/>
    </row>
    <row r="168" spans="1:21" x14ac:dyDescent="0.25">
      <c r="L168"/>
    </row>
    <row r="169" spans="1:21" x14ac:dyDescent="0.25">
      <c r="L169"/>
    </row>
    <row r="170" spans="1:21" x14ac:dyDescent="0.25">
      <c r="L170"/>
    </row>
    <row r="171" spans="1:21" x14ac:dyDescent="0.25">
      <c r="L171"/>
    </row>
    <row r="172" spans="1:21" x14ac:dyDescent="0.25">
      <c r="L172"/>
    </row>
    <row r="173" spans="1:21" x14ac:dyDescent="0.25">
      <c r="L173"/>
    </row>
    <row r="174" spans="1:21" x14ac:dyDescent="0.25">
      <c r="L174"/>
    </row>
    <row r="175" spans="1:21" x14ac:dyDescent="0.25">
      <c r="L175"/>
    </row>
    <row r="176" spans="1:21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</sheetData>
  <autoFilter ref="A1:L29" xr:uid="{0C91DF04-DF54-412C-BB7A-8E76D25D7FEF}"/>
  <sortState xmlns:xlrd2="http://schemas.microsoft.com/office/spreadsheetml/2017/richdata2" ref="A2:F21">
    <sortCondition ref="B2:B21"/>
  </sortState>
  <phoneticPr fontId="8" type="noConversion"/>
  <conditionalFormatting sqref="A1:A1048576">
    <cfRule type="expression" dxfId="6" priority="7">
      <formula>IF(AND(U1="Выбери Транш",H1&lt;&gt;"ОК",K1&lt;&gt;"КО"),1)</formula>
    </cfRule>
  </conditionalFormatting>
  <conditionalFormatting sqref="E1:E1048576">
    <cfRule type="expression" dxfId="5" priority="6">
      <formula>IF(E1="Удалить",1)</formula>
    </cfRule>
  </conditionalFormatting>
  <dataValidations count="1">
    <dataValidation type="list" allowBlank="1" showInputMessage="1" showErrorMessage="1" sqref="H151:H164" xr:uid="{747C50C8-B0F4-45D9-9691-ABC71E5CBD26}">
      <formula1>ala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53450F4B-37C6-4B5B-96E3-53077B21477D}">
            <xm:f>IF(AND(ПДП!$A2&gt;0.001,ПДП!$A2&lt;10000),1)</xm:f>
            <x14:dxf>
              <font>
                <b/>
                <i val="0"/>
                <color theme="0"/>
              </font>
              <fill>
                <patternFill>
                  <fgColor indexed="64"/>
                  <bgColor rgb="FF00B0F0"/>
                </patternFill>
              </fill>
            </x14:dxf>
          </x14:cfRule>
          <x14:cfRule type="expression" priority="4" id="{9E9D92D3-DBF6-4C69-8626-469D388A76D4}">
            <xm:f>OR(AND(C2&lt;&gt;"",ПДП!B2=""),AND(C2&lt;&gt;"",C2&gt;=ПДП!B2))</xm:f>
            <x14:dxf>
              <font>
                <b/>
                <i val="0"/>
                <color theme="0"/>
              </font>
              <fill>
                <patternFill>
                  <fgColor indexed="64"/>
                  <bgColor rgb="FF00B050"/>
                </patternFill>
              </fill>
            </x14:dxf>
          </x14:cfRule>
          <xm:sqref>I2:I200</xm:sqref>
        </x14:conditionalFormatting>
        <x14:conditionalFormatting xmlns:xm="http://schemas.microsoft.com/office/excel/2006/main">
          <x14:cfRule type="expression" priority="3" id="{16089EC6-20EB-4C91-B328-AC1DF53DF709}">
            <xm:f>AND(prosr!$K1&gt;=30,prosr!$K1&lt;=59,prosr!$K1&lt;&gt;"")</xm:f>
            <x14:dxf>
              <fill>
                <patternFill>
                  <fgColor indexed="64"/>
                  <bgColor rgb="FFFFFF00"/>
                </patternFill>
              </fill>
            </x14:dxf>
          </x14:cfRule>
          <x14:cfRule type="expression" priority="2" id="{D39D6527-3027-43F1-A009-DAF197806176}">
            <xm:f>AND(prosr!$K1&gt;=60,prosr!$K1&lt;&gt;"")</xm:f>
            <x14:dxf>
              <fill>
                <patternFill>
                  <fgColor indexed="64"/>
                  <bgColor rgb="FFFFC000"/>
                </patternFill>
              </fill>
            </x14:dxf>
          </x14:cfRule>
          <x14:cfRule type="expression" priority="1" id="{F88B6DB9-FBE7-479C-897D-40B28083121F}">
            <xm:f>all!$M1="СДП"</xm:f>
            <x14:dxf>
              <fill>
                <patternFill>
                  <fgColor indexed="64"/>
                  <bgColor theme="9" tint="0.59999389629810485"/>
                </patternFill>
              </fill>
            </x14:dxf>
          </x14:cfRule>
          <xm:sqref>H1:H1048576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C5AC09-8CBC-48A4-9FEF-D39D6DB3E67D}">
          <x14:formula1>
            <xm:f>сохраняем!$G$1:$G$12</xm:f>
          </x14:formula1>
          <xm:sqref>E151:E164 E2:E3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E934-A420-457C-9B25-7492623179D3}">
  <sheetPr codeName="Лист2"/>
  <dimension ref="A1:F12"/>
  <sheetViews>
    <sheetView workbookViewId="0">
      <selection activeCell="C1" sqref="C1:E1048576"/>
    </sheetView>
  </sheetViews>
  <sheetFormatPr defaultRowHeight="15" x14ac:dyDescent="0.25"/>
  <cols>
    <col min="1" max="1" width="32.5703125" bestFit="1" customWidth="1"/>
    <col min="2" max="2" width="34.140625" bestFit="1" customWidth="1"/>
  </cols>
  <sheetData>
    <row r="1" spans="1:6" x14ac:dyDescent="0.25">
      <c r="A1" t="s">
        <v>4</v>
      </c>
      <c r="B1" t="s">
        <v>113</v>
      </c>
      <c r="F1" t="s">
        <v>114</v>
      </c>
    </row>
    <row r="2" spans="1:6" x14ac:dyDescent="0.25">
      <c r="A2" t="s">
        <v>118</v>
      </c>
      <c r="B2" t="s">
        <v>127</v>
      </c>
      <c r="F2" t="str">
        <f>IF((C2+D2+E2)&gt;0,C2+D2 +E2,"")</f>
        <v/>
      </c>
    </row>
    <row r="3" spans="1:6" x14ac:dyDescent="0.25">
      <c r="A3" t="s">
        <v>118</v>
      </c>
      <c r="B3" t="s">
        <v>127</v>
      </c>
      <c r="F3" t="str">
        <f t="shared" ref="F3:F6" si="0">IF((C3+D3+E3)&gt;0,C3+D3 +E3,"")</f>
        <v/>
      </c>
    </row>
    <row r="4" spans="1:6" x14ac:dyDescent="0.25">
      <c r="A4" t="s">
        <v>120</v>
      </c>
      <c r="B4" t="s">
        <v>128</v>
      </c>
      <c r="F4" t="str">
        <f t="shared" si="0"/>
        <v/>
      </c>
    </row>
    <row r="5" spans="1:6" x14ac:dyDescent="0.25">
      <c r="A5" t="s">
        <v>121</v>
      </c>
      <c r="B5" t="s">
        <v>129</v>
      </c>
      <c r="F5" t="str">
        <f t="shared" si="0"/>
        <v/>
      </c>
    </row>
    <row r="6" spans="1:6" x14ac:dyDescent="0.25">
      <c r="A6" t="s">
        <v>121</v>
      </c>
      <c r="B6" t="s">
        <v>129</v>
      </c>
      <c r="F6" t="str">
        <f t="shared" si="0"/>
        <v/>
      </c>
    </row>
    <row r="7" spans="1:6" hidden="1" x14ac:dyDescent="0.25">
      <c r="A7" t="s">
        <v>123</v>
      </c>
      <c r="B7" t="s">
        <v>130</v>
      </c>
    </row>
    <row r="8" spans="1:6" hidden="1" x14ac:dyDescent="0.25">
      <c r="A8" t="s">
        <v>117</v>
      </c>
      <c r="B8" t="s">
        <v>131</v>
      </c>
    </row>
    <row r="9" spans="1:6" hidden="1" x14ac:dyDescent="0.25">
      <c r="A9" t="s">
        <v>124</v>
      </c>
      <c r="B9" t="s">
        <v>132</v>
      </c>
    </row>
    <row r="10" spans="1:6" hidden="1" x14ac:dyDescent="0.25">
      <c r="A10" t="s">
        <v>125</v>
      </c>
      <c r="B10" t="s">
        <v>133</v>
      </c>
    </row>
    <row r="11" spans="1:6" hidden="1" x14ac:dyDescent="0.25">
      <c r="A11" t="s">
        <v>125</v>
      </c>
      <c r="B11" t="s">
        <v>134</v>
      </c>
    </row>
    <row r="12" spans="1:6" hidden="1" x14ac:dyDescent="0.25">
      <c r="A12" t="s">
        <v>126</v>
      </c>
      <c r="B12" t="s">
        <v>135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1A29-4D10-4184-A8D9-513628A26315}">
  <sheetPr codeName="Лист4"/>
  <dimension ref="A1:D8"/>
  <sheetViews>
    <sheetView workbookViewId="0">
      <pane xSplit="5" ySplit="8" topLeftCell="F571" activePane="bottomRight" state="frozen"/>
      <selection pane="topRight" activeCell="T1" sqref="T1"/>
      <selection pane="bottomLeft" activeCell="A9" sqref="A9"/>
      <selection pane="bottomRight" activeCell="G583" sqref="G583"/>
    </sheetView>
  </sheetViews>
  <sheetFormatPr defaultRowHeight="15" x14ac:dyDescent="0.25"/>
  <cols>
    <col min="1" max="1" width="15.42578125" bestFit="1" customWidth="1"/>
    <col min="2" max="2" width="15.7109375" style="43" bestFit="1" customWidth="1"/>
    <col min="4" max="4" width="16.5703125" bestFit="1" customWidth="1"/>
  </cols>
  <sheetData>
    <row r="1" spans="1:4" ht="15.75" x14ac:dyDescent="0.25">
      <c r="A1" s="4" t="s">
        <v>29</v>
      </c>
      <c r="B1" s="41">
        <f>(COUNTA(ЭКВАЙРИНГ!D:D)-1)-COUNTIF(ЭКВАЙРИНГ!E:E,"Удалить")</f>
        <v>2</v>
      </c>
      <c r="C1" s="5" t="s">
        <v>30</v>
      </c>
      <c r="D1" s="6"/>
    </row>
    <row r="2" spans="1:4" x14ac:dyDescent="0.25">
      <c r="A2" s="7" t="s">
        <v>31</v>
      </c>
      <c r="B2" s="42">
        <f>COUNTIF(ЭКВАЙРИНГ!E:E,"Просрочка погашена")+COUNTIF(ЭКВАЙРИНГ!E:E,"Реструкт (вх в график)")</f>
        <v>0</v>
      </c>
      <c r="C2" s="8">
        <f>B2/B1</f>
        <v>0</v>
      </c>
      <c r="D2" s="9"/>
    </row>
    <row r="3" spans="1:4" x14ac:dyDescent="0.25">
      <c r="A3" s="7" t="s">
        <v>35</v>
      </c>
      <c r="B3" s="42">
        <f>COUNTIF(ЭКВАЙРИНГ!E:E,"Частичная оплата (проср.)")</f>
        <v>1</v>
      </c>
      <c r="C3" s="8">
        <f>B3/B1</f>
        <v>0.5</v>
      </c>
      <c r="D3" s="9"/>
    </row>
    <row r="4" spans="1:4" x14ac:dyDescent="0.25">
      <c r="A4" s="12" t="s">
        <v>32</v>
      </c>
      <c r="B4" s="42">
        <f>COUNTIF(ЭКВАЙРИНГ!E:E,"Оплата в срок")</f>
        <v>0</v>
      </c>
      <c r="C4" s="13">
        <f>B4/B1</f>
        <v>0</v>
      </c>
      <c r="D4" s="9"/>
    </row>
    <row r="5" spans="1:4" x14ac:dyDescent="0.25">
      <c r="A5" s="14" t="s">
        <v>36</v>
      </c>
      <c r="B5" s="42">
        <f>SUM(ЭКВАЙРИНГ!P:P)</f>
        <v>0</v>
      </c>
      <c r="C5" s="10">
        <f>B5/B1</f>
        <v>0</v>
      </c>
      <c r="D5" s="15" t="s">
        <v>37</v>
      </c>
    </row>
    <row r="6" spans="1:4" x14ac:dyDescent="0.25">
      <c r="A6" s="14" t="s">
        <v>33</v>
      </c>
      <c r="B6" s="42">
        <f>SUM(ЭКВАЙРИНГ!Q:Q)</f>
        <v>0</v>
      </c>
      <c r="C6" s="10">
        <f>B6/B1</f>
        <v>0</v>
      </c>
      <c r="D6" s="10" t="str">
        <f>IFERROR(B6/B5,"0,00%")</f>
        <v>0,00%</v>
      </c>
    </row>
    <row r="7" spans="1:4" ht="15.75" thickBot="1" x14ac:dyDescent="0.3"/>
    <row r="8" spans="1:4" ht="16.5" thickBot="1" x14ac:dyDescent="0.3">
      <c r="A8" s="17" t="s">
        <v>34</v>
      </c>
      <c r="B8" s="40">
        <f>SUM(ЭКВАЙРИНГ!T:T)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952D-EBFB-43C8-A208-B78EE11DB158}">
  <sheetPr codeName="Лист3"/>
  <dimension ref="A1:M12"/>
  <sheetViews>
    <sheetView workbookViewId="0">
      <selection activeCell="G24" sqref="G24"/>
    </sheetView>
  </sheetViews>
  <sheetFormatPr defaultRowHeight="15" x14ac:dyDescent="0.25"/>
  <sheetData>
    <row r="1" spans="1:13" x14ac:dyDescent="0.25">
      <c r="A1" t="s">
        <v>12</v>
      </c>
      <c r="G1" t="s">
        <v>13</v>
      </c>
      <c r="K1" t="s">
        <v>14</v>
      </c>
      <c r="M1" t="s">
        <v>15</v>
      </c>
    </row>
    <row r="2" spans="1:13" x14ac:dyDescent="0.25">
      <c r="A2" t="s">
        <v>16</v>
      </c>
      <c r="G2" t="s">
        <v>17</v>
      </c>
      <c r="M2" t="s">
        <v>18</v>
      </c>
    </row>
    <row r="3" spans="1:13" x14ac:dyDescent="0.25">
      <c r="G3" t="s">
        <v>19</v>
      </c>
      <c r="M3" t="s">
        <v>20</v>
      </c>
    </row>
    <row r="4" spans="1:13" x14ac:dyDescent="0.25">
      <c r="G4" t="s">
        <v>21</v>
      </c>
      <c r="M4" t="s">
        <v>22</v>
      </c>
    </row>
    <row r="5" spans="1:13" x14ac:dyDescent="0.25">
      <c r="G5" t="s">
        <v>23</v>
      </c>
      <c r="M5" t="s">
        <v>24</v>
      </c>
    </row>
    <row r="6" spans="1:13" x14ac:dyDescent="0.25">
      <c r="G6" t="s">
        <v>25</v>
      </c>
      <c r="M6" t="s">
        <v>0</v>
      </c>
    </row>
    <row r="7" spans="1:13" x14ac:dyDescent="0.25">
      <c r="G7" t="s">
        <v>10</v>
      </c>
    </row>
    <row r="8" spans="1:13" x14ac:dyDescent="0.25">
      <c r="G8" t="s">
        <v>26</v>
      </c>
    </row>
    <row r="9" spans="1:13" x14ac:dyDescent="0.25">
      <c r="G9" t="s">
        <v>27</v>
      </c>
    </row>
    <row r="10" spans="1:13" x14ac:dyDescent="0.25">
      <c r="G10" t="s">
        <v>101</v>
      </c>
    </row>
    <row r="11" spans="1:13" x14ac:dyDescent="0.25">
      <c r="G11" t="s">
        <v>28</v>
      </c>
    </row>
    <row r="12" spans="1:13" x14ac:dyDescent="0.25">
      <c r="G12" t="s">
        <v>115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7DF98-1B2B-4418-9556-FDBE0BDD6F81}">
  <sheetPr codeName="Лист8"/>
  <dimension ref="A1:D2"/>
  <sheetViews>
    <sheetView workbookViewId="0">
      <selection activeCell="D1" sqref="D1:D1048576"/>
    </sheetView>
  </sheetViews>
  <sheetFormatPr defaultRowHeight="15" x14ac:dyDescent="0.25"/>
  <sheetData>
    <row r="1" spans="1:4" x14ac:dyDescent="0.25">
      <c r="A1" t="s">
        <v>129</v>
      </c>
      <c r="B1" s="16">
        <v>45498</v>
      </c>
      <c r="C1" t="s">
        <v>122</v>
      </c>
      <c r="D1" t="s">
        <v>121</v>
      </c>
    </row>
    <row r="2" spans="1:4" x14ac:dyDescent="0.25">
      <c r="A2" t="s">
        <v>127</v>
      </c>
      <c r="B2" s="16">
        <v>45498</v>
      </c>
      <c r="C2" t="s">
        <v>119</v>
      </c>
      <c r="D2" t="s">
        <v>118</v>
      </c>
    </row>
  </sheetData>
  <sortState xmlns:xlrd2="http://schemas.microsoft.com/office/spreadsheetml/2017/richdata2" ref="A1:D4">
    <sortCondition descending="1" ref="D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AF31D-49D9-4B1A-A6EA-9AA8322DBC29}">
  <sheetPr codeName="Лист6"/>
  <dimension ref="A2:M3"/>
  <sheetViews>
    <sheetView workbookViewId="0">
      <selection activeCell="A7" sqref="A7"/>
    </sheetView>
  </sheetViews>
  <sheetFormatPr defaultRowHeight="15" x14ac:dyDescent="0.25"/>
  <cols>
    <col min="1" max="1" width="19.7109375" customWidth="1"/>
    <col min="2" max="3" width="21.5703125" bestFit="1" customWidth="1"/>
  </cols>
  <sheetData>
    <row r="2" spans="1:13" x14ac:dyDescent="0.25">
      <c r="A2" t="str">
        <f t="array" ref="A2">IFERROR(INDEX('[1]РП (расш)'!$A$16:$A$3000,SMALL(IF(ЭКВАЙРИНГ!$D2='[1]РП (расш)'!$B$16:$B$3000,ROW('[1]РП (расш)'!$A$16:$A$3000)-15),COLUMN('[1]РП (расш)'!A2)),1),"")</f>
        <v>В-23555/КЛ.Транш - 2_В-21082023/Ц</v>
      </c>
      <c r="M2" t="str">
        <f>IF(VLOOKUP(ЭКВАЙРИНГ!A2,'[1]Платежный календарь'!$B:$C,2,0)=ЭКВАЙРИНГ!B2-1,"СДП","")</f>
        <v/>
      </c>
    </row>
    <row r="3" spans="1:13" x14ac:dyDescent="0.25">
      <c r="A3" t="str">
        <f t="array" ref="A3">IFERROR(INDEX('[1]РП (расш)'!$A$16:$A$3000,SMALL(IF(ЭКВАЙРИНГ!$D3='[1]РП (расш)'!$B$16:$B$3000,ROW('[1]РП (расш)'!$A$16:$A$3000)-15),COLUMN('[1]РП (расш)'!A3)),1),"")</f>
        <v>В-23370/КЛ.Транш - 1</v>
      </c>
      <c r="B3" t="str">
        <f t="array" ref="B3">IFERROR(INDEX('[1]РП (расш)'!$A$16:$A$3000,SMALL(IF(ЭКВАЙРИНГ!$D3='[1]РП (расш)'!$B$16:$B$3000,ROW('[1]РП (расш)'!$A$16:$A$3000)-15),COLUMN('[1]РП (расш)'!B3)),1),"")</f>
        <v>В-23370/КЛ.Транш - 2</v>
      </c>
      <c r="C3" t="str">
        <f t="array" ref="C3">IFERROR(INDEX('[1]РП (расш)'!$A$16:$A$3000,SMALL(IF(ЭКВАЙРИНГ!$D3='[1]РП (расш)'!$B$16:$B$3000,ROW('[1]РП (расш)'!$A$16:$A$3000)-15),COLUMN('[1]РП (расш)'!C3)),1),"")</f>
        <v>В-23370/КЛ.Транш - 2_В-21082023/Ц</v>
      </c>
      <c r="M3" t="str">
        <f>IF(VLOOKUP(ЭКВАЙРИНГ!A3,'[1]Платежный календарь'!$B:$C,2,0)=ЭКВАЙРИНГ!B3-1,"СДП","")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3D559-64BE-4410-A91E-33FB53EEA28B}">
  <sheetPr codeName="Лист7"/>
  <dimension ref="A2:K170"/>
  <sheetViews>
    <sheetView workbookViewId="0">
      <selection activeCell="B25" sqref="B25"/>
    </sheetView>
  </sheetViews>
  <sheetFormatPr defaultRowHeight="15" x14ac:dyDescent="0.25"/>
  <cols>
    <col min="1" max="2" width="20.42578125" bestFit="1" customWidth="1"/>
  </cols>
  <sheetData>
    <row r="2" spans="1:11" x14ac:dyDescent="0.25">
      <c r="A2" t="str">
        <f t="array" ref="A2">IFERROR(INDEX('[1]реестр просрочников'!$B$3:$B$500,SMALL(IF(ЭКВАЙРИНГ!$D2='[1]реестр просрочников'!$A$3:$A$500,ROW('[1]реестр просрочников'!$B$3:$B$500)-2),COLUMN('[1]реестр просрочников'!A2)),1),"")</f>
        <v>В-23555/КЛ.Транш - 1_В-21082023/Ц</v>
      </c>
      <c r="K2">
        <f>IFERROR(VLOOKUP(ЭКВАЙРИНГ!A2,'[1]реестр просрочников'!$B:$C,2,0),"")</f>
        <v>25</v>
      </c>
    </row>
    <row r="3" spans="1:11" x14ac:dyDescent="0.25">
      <c r="K3" t="str">
        <f>IFERROR(VLOOKUP(ЭКВАЙРИНГ!A3,'[1]реестр просрочников'!$B:$C,2,0),"")</f>
        <v/>
      </c>
    </row>
    <row r="4" spans="1:11" x14ac:dyDescent="0.25">
      <c r="K4" t="str">
        <f>IFERROR(VLOOKUP(ЭКВАЙРИНГ!A4,'[1]реестр просрочников'!$B:$C,2,0),"")</f>
        <v/>
      </c>
    </row>
    <row r="5" spans="1:11" x14ac:dyDescent="0.25">
      <c r="K5" t="str">
        <f>IFERROR(VLOOKUP(ЭКВАЙРИНГ!A5,'[1]реестр просрочников'!$B:$C,2,0),"")</f>
        <v/>
      </c>
    </row>
    <row r="6" spans="1:11" x14ac:dyDescent="0.25">
      <c r="K6" t="str">
        <f>IFERROR(VLOOKUP(ЭКВАЙРИНГ!A6,'[1]реестр просрочников'!$B:$C,2,0),"")</f>
        <v/>
      </c>
    </row>
    <row r="7" spans="1:11" x14ac:dyDescent="0.25">
      <c r="A7">
        <f t="array" ref="A7">IFERROR(INDEX('[1]реестр просрочников'!$B$3:$B$500,SMALL(IF(ЭКВАЙРИНГ!$D7='[1]реестр просрочников'!$A$3:$A$500,ROW('[1]реестр просрочников'!$B$3:$B$500)-2),COLUMN('[1]реестр просрочников'!A7)),1),"")</f>
        <v>0</v>
      </c>
      <c r="K7" t="str">
        <f>IFERROR(VLOOKUP(ЭКВАЙРИНГ!A7,'[1]реестр просрочников'!$B:$C,2,0),"")</f>
        <v/>
      </c>
    </row>
    <row r="8" spans="1:11" x14ac:dyDescent="0.25">
      <c r="K8" t="str">
        <f>IFERROR(VLOOKUP(ЭКВАЙРИНГ!A8,'[1]реестр просрочников'!$B:$C,2,0),"")</f>
        <v/>
      </c>
    </row>
    <row r="9" spans="1:11" x14ac:dyDescent="0.25">
      <c r="K9" t="str">
        <f>IFERROR(VLOOKUP(ЭКВАЙРИНГ!A9,'[1]реестр просрочников'!$B:$C,2,0),"")</f>
        <v/>
      </c>
    </row>
    <row r="10" spans="1:11" x14ac:dyDescent="0.25">
      <c r="A10">
        <f t="array" ref="A10">IFERROR(INDEX('[1]реестр просрочников'!$B$3:$B$500,SMALL(IF(ЭКВАЙРИНГ!$D10='[1]реестр просрочников'!$A$3:$A$500,ROW('[1]реестр просрочников'!$B$3:$B$500)-2),COLUMN('[1]реестр просрочников'!A10)),1),"")</f>
        <v>0</v>
      </c>
      <c r="K10" t="str">
        <f>IFERROR(VLOOKUP(ЭКВАЙРИНГ!A10,'[1]реестр просрочников'!$B:$C,2,0),"")</f>
        <v/>
      </c>
    </row>
    <row r="11" spans="1:11" x14ac:dyDescent="0.25">
      <c r="K11" t="str">
        <f>IFERROR(VLOOKUP(ЭКВАЙРИНГ!A11,'[1]реестр просрочников'!$B:$C,2,0),"")</f>
        <v/>
      </c>
    </row>
    <row r="12" spans="1:11" x14ac:dyDescent="0.25">
      <c r="A12">
        <f t="array" ref="A12">IFERROR(INDEX('[4]реестр просрочников'!$B$3:$B$496,SMALL(IF(ЭКВАЙРИНГ!$D12='[4]реестр просрочников'!$A$3:$A$496,ROW('[4]реестр просрочников'!$B$3:$B$496)-2),COLUMN('[4]реестр просрочников'!A12)),1),"")</f>
        <v>0</v>
      </c>
      <c r="K12" t="str">
        <f>IFERROR(VLOOKUP(ЭКВАЙРИНГ!A12,'[4]реестр просрочников'!$B:$C,2,0),"")</f>
        <v/>
      </c>
    </row>
    <row r="13" spans="1:11" x14ac:dyDescent="0.25">
      <c r="K13" t="str">
        <f>IFERROR(VLOOKUP(ЭКВАЙРИНГ!A13,'[4]реестр просрочников'!$B:$C,2,0),"")</f>
        <v/>
      </c>
    </row>
    <row r="14" spans="1:11" x14ac:dyDescent="0.25">
      <c r="A14">
        <f t="array" ref="A14">IFERROR(INDEX('[4]реестр просрочников'!$B$3:$B$496,SMALL(IF(ЭКВАЙРИНГ!$D14='[4]реестр просрочников'!$A$3:$A$496,ROW('[4]реестр просрочников'!$B$3:$B$496)-2),COLUMN('[4]реестр просрочников'!A14)),1),"")</f>
        <v>0</v>
      </c>
      <c r="K14" t="str">
        <f>IFERROR(VLOOKUP(ЭКВАЙРИНГ!A14,'[4]реестр просрочников'!$B:$C,2,0),"")</f>
        <v/>
      </c>
    </row>
    <row r="15" spans="1:11" x14ac:dyDescent="0.25">
      <c r="A15">
        <f t="array" ref="A15">IFERROR(INDEX('[4]реестр просрочников'!$B$3:$B$496,SMALL(IF(ЭКВАЙРИНГ!$D15='[4]реестр просрочников'!$A$3:$A$496,ROW('[4]реестр просрочников'!$B$3:$B$496)-2),COLUMN('[4]реестр просрочников'!A15)),1),"")</f>
        <v>0</v>
      </c>
      <c r="K15" t="str">
        <f>IFERROR(VLOOKUP(ЭКВАЙРИНГ!A15,'[4]реестр просрочников'!$B:$C,2,0),"")</f>
        <v/>
      </c>
    </row>
    <row r="16" spans="1:11" x14ac:dyDescent="0.25">
      <c r="K16" t="str">
        <f>IFERROR(VLOOKUP(ЭКВАЙРИНГ!A16,'[4]реестр просрочников'!$B:$C,2,0),"")</f>
        <v/>
      </c>
    </row>
    <row r="17" spans="4:11" x14ac:dyDescent="0.25">
      <c r="K17" t="str">
        <f>IFERROR(VLOOKUP(ЭКВАЙРИНГ!A17,'[4]реестр просрочников'!$B:$C,2,0),"")</f>
        <v/>
      </c>
    </row>
    <row r="18" spans="4:11" x14ac:dyDescent="0.25">
      <c r="K18" t="str">
        <f>IFERROR(VLOOKUP(ЭКВАЙРИНГ!A18,'[4]реестр просрочников'!$B:$C,2,0),"")</f>
        <v/>
      </c>
    </row>
    <row r="19" spans="4:11" x14ac:dyDescent="0.25">
      <c r="K19" t="str">
        <f>IFERROR(VLOOKUP(ЭКВАЙРИНГ!A19,'[4]реестр просрочников'!$B:$C,2,0),"")</f>
        <v/>
      </c>
    </row>
    <row r="20" spans="4:11" x14ac:dyDescent="0.25">
      <c r="K20" t="str">
        <f>IFERROR(VLOOKUP(ЭКВАЙРИНГ!A14,'[1]реестр просрочников'!$B:$C,2,0),"")</f>
        <v/>
      </c>
    </row>
    <row r="21" spans="4:11" x14ac:dyDescent="0.25">
      <c r="K21" t="str">
        <f>IFERROR(VLOOKUP(ЭКВАЙРИНГ!A15,'[1]реестр просрочников'!$B:$C,2,0),"")</f>
        <v/>
      </c>
    </row>
    <row r="22" spans="4:11" x14ac:dyDescent="0.25">
      <c r="K22" t="str">
        <f>IFERROR(VLOOKUP(ЭКВАЙРИНГ!A16,'[1]реестр просрочников'!$B:$C,2,0),"")</f>
        <v/>
      </c>
    </row>
    <row r="23" spans="4:11" x14ac:dyDescent="0.25">
      <c r="K23" t="str">
        <f>IFERROR(VLOOKUP(ЭКВАЙРИНГ!A17,'[4]реестр просрочников'!$B:$C,2,0),"")</f>
        <v/>
      </c>
    </row>
    <row r="24" spans="4:11" x14ac:dyDescent="0.25">
      <c r="K24" t="str">
        <f>IFERROR(VLOOKUP(ЭКВАЙРИНГ!A18,'[4]реестр просрочников'!$B:$C,2,0),"")</f>
        <v/>
      </c>
    </row>
    <row r="25" spans="4:11" x14ac:dyDescent="0.25">
      <c r="K25" t="str">
        <f>IFERROR(VLOOKUP(ЭКВАЙРИНГ!A19,'[4]реестр просрочников'!$B:$C,2,0),"")</f>
        <v/>
      </c>
    </row>
    <row r="26" spans="4:11" x14ac:dyDescent="0.25">
      <c r="K26" t="str">
        <f>IFERROR(VLOOKUP(ЭКВАЙРИНГ!A20,'[4]реестр просрочников'!$B:$C,2,0),"")</f>
        <v/>
      </c>
    </row>
    <row r="27" spans="4:11" x14ac:dyDescent="0.25">
      <c r="K27" t="str">
        <f>IFERROR(VLOOKUP(ЭКВАЙРИНГ!A21,'[4]реестр просрочников'!$B:$C,2,0),"")</f>
        <v/>
      </c>
    </row>
    <row r="28" spans="4:11" x14ac:dyDescent="0.25">
      <c r="D28" t="str">
        <f t="array" ref="D28">IFERROR(INDEX('[1]реестр просрочников'!$B$3:$B$500,SMALL(IF(ЭКВАЙРИНГ!$D22='[1]реестр просрочников'!$A$3:$A$500,ROW('[1]реестр просрочников'!$B$3:$B$500)-2),COLUMN('[1]реестр просрочников'!D28)),1),"")</f>
        <v>Диапазоны сроков возврата займов: </v>
      </c>
      <c r="E28" t="str">
        <f t="array" ref="E28">IFERROR(INDEX('[1]реестр просрочников'!$B$3:$B$500,SMALL(IF(ЭКВАЙРИНГ!$D22='[1]реестр просрочников'!$A$3:$A$500,ROW('[1]реестр просрочников'!$B$3:$B$500)-2),COLUMN('[1]реестр просрочников'!E28)),1),"")</f>
        <v>( Организация Равно "КА АЭК ООО" ) И</v>
      </c>
      <c r="F28" t="str">
        <f t="array" ref="F28">IFERROR(INDEX('[1]реестр просрочников'!$B$3:$B$500,SMALL(IF(ЭКВАЙРИНГ!$D22='[1]реестр просрочников'!$A$3:$A$500,ROW('[1]реестр просрочников'!$B$3:$B$500)-2),COLUMN('[1]реестр просрочников'!F28)),1),"")</f>
        <v>Заемщик Не в списке "АЭК ООО КА; АТЛАС ООО; ВЗАИМНО ООО; ИРБИС ООО" И</v>
      </c>
      <c r="G28" t="str">
        <f t="array" ref="G28">IFERROR(INDEX('[1]реестр просрочников'!$B$3:$B$500,SMALL(IF(ЭКВАЙРИНГ!$D22='[1]реестр просрочников'!$A$3:$A$500,ROW('[1]реестр просрочников'!$B$3:$B$500)-2),COLUMN('[1]реестр просрочников'!G28)),1),"")</f>
        <v>Дней на просрочке Меньше или равно "95" И</v>
      </c>
      <c r="H28" t="str">
        <f t="array" ref="H28">IFERROR(INDEX('[1]реестр просрочников'!$B$3:$B$500,SMALL(IF(ЭКВАЙРИНГ!$D22='[1]реестр просрочников'!$A$3:$A$500,ROW('[1]реестр просрочников'!$B$3:$B$500)-2),COLUMN('[1]реестр просрочников'!H28)),1),"")</f>
        <v>Актуальный займ.Договор.Дата передачи в КО (Договоры) Не заполнено</v>
      </c>
      <c r="I28">
        <f t="array" ref="I28">IFERROR(INDEX('[1]реестр просрочников'!$B$3:$B$500,SMALL(IF(ЭКВАЙРИНГ!$D22='[1]реестр просрочников'!$A$3:$A$500,ROW('[1]реестр просрочников'!$B$3:$B$500)-2),COLUMN('[1]реестр просрочников'!I28)),1),"")</f>
        <v>0</v>
      </c>
      <c r="K28" t="str">
        <f>IFERROR(VLOOKUP(ЭКВАЙРИНГ!A22,'[1]реестр просрочников'!$B:$C,2,0),"")</f>
        <v/>
      </c>
    </row>
    <row r="29" spans="4:11" x14ac:dyDescent="0.25">
      <c r="D29" t="str">
        <f t="array" ref="D29">IFERROR(INDEX('[1]реестр просрочников'!$B$3:$B$500,SMALL(IF(ЭКВАЙРИНГ!$D23='[1]реестр просрочников'!$A$3:$A$500,ROW('[1]реестр просрочников'!$B$3:$B$500)-2),COLUMN('[1]реестр просрочников'!D29)),1),"")</f>
        <v>Диапазоны сроков возврата займов: </v>
      </c>
      <c r="E29" t="str">
        <f t="array" ref="E29">IFERROR(INDEX('[1]реестр просрочников'!$B$3:$B$500,SMALL(IF(ЭКВАЙРИНГ!$D23='[1]реестр просрочников'!$A$3:$A$500,ROW('[1]реестр просрочников'!$B$3:$B$500)-2),COLUMN('[1]реестр просрочников'!E29)),1),"")</f>
        <v>( Организация Равно "КА АЭК ООО" ) И</v>
      </c>
      <c r="F29" t="str">
        <f t="array" ref="F29">IFERROR(INDEX('[1]реестр просрочников'!$B$3:$B$500,SMALL(IF(ЭКВАЙРИНГ!$D23='[1]реестр просрочников'!$A$3:$A$500,ROW('[1]реестр просрочников'!$B$3:$B$500)-2),COLUMN('[1]реестр просрочников'!F29)),1),"")</f>
        <v>Заемщик Не в списке "АЭК ООО КА; АТЛАС ООО; ВЗАИМНО ООО; ИРБИС ООО" И</v>
      </c>
      <c r="G29" t="str">
        <f t="array" ref="G29">IFERROR(INDEX('[1]реестр просрочников'!$B$3:$B$500,SMALL(IF(ЭКВАЙРИНГ!$D23='[1]реестр просрочников'!$A$3:$A$500,ROW('[1]реестр просрочников'!$B$3:$B$500)-2),COLUMN('[1]реестр просрочников'!G29)),1),"")</f>
        <v>Дней на просрочке Меньше или равно "95" И</v>
      </c>
      <c r="H29" t="str">
        <f t="array" ref="H29">IFERROR(INDEX('[1]реестр просрочников'!$B$3:$B$500,SMALL(IF(ЭКВАЙРИНГ!$D23='[1]реестр просрочников'!$A$3:$A$500,ROW('[1]реестр просрочников'!$B$3:$B$500)-2),COLUMN('[1]реестр просрочников'!H29)),1),"")</f>
        <v>Актуальный займ.Договор.Дата передачи в КО (Договоры) Не заполнено</v>
      </c>
      <c r="I29">
        <f t="array" ref="I29">IFERROR(INDEX('[1]реестр просрочников'!$B$3:$B$500,SMALL(IF(ЭКВАЙРИНГ!$D23='[1]реестр просрочников'!$A$3:$A$500,ROW('[1]реестр просрочников'!$B$3:$B$500)-2),COLUMN('[1]реестр просрочников'!I29)),1),"")</f>
        <v>0</v>
      </c>
      <c r="K29" t="str">
        <f>IFERROR(VLOOKUP(ЭКВАЙРИНГ!A23,'[1]реестр просрочников'!$B:$C,2,0),"")</f>
        <v/>
      </c>
    </row>
    <row r="30" spans="4:11" x14ac:dyDescent="0.25">
      <c r="D30" t="str">
        <f t="array" ref="D30">IFERROR(INDEX('[1]реестр просрочников'!$B$3:$B$500,SMALL(IF(ЭКВАЙРИНГ!$D24='[1]реестр просрочников'!$A$3:$A$500,ROW('[1]реестр просрочников'!$B$3:$B$500)-2),COLUMN('[1]реестр просрочников'!D30)),1),"")</f>
        <v>Диапазоны сроков возврата займов: </v>
      </c>
      <c r="E30" t="str">
        <f t="array" ref="E30">IFERROR(INDEX('[1]реестр просрочников'!$B$3:$B$500,SMALL(IF(ЭКВАЙРИНГ!$D24='[1]реестр просрочников'!$A$3:$A$500,ROW('[1]реестр просрочников'!$B$3:$B$500)-2),COLUMN('[1]реестр просрочников'!E30)),1),"")</f>
        <v>( Организация Равно "КА АЭК ООО" ) И</v>
      </c>
      <c r="F30" t="str">
        <f t="array" ref="F30">IFERROR(INDEX('[1]реестр просрочников'!$B$3:$B$500,SMALL(IF(ЭКВАЙРИНГ!$D24='[1]реестр просрочников'!$A$3:$A$500,ROW('[1]реестр просрочников'!$B$3:$B$500)-2),COLUMN('[1]реестр просрочников'!F30)),1),"")</f>
        <v>Заемщик Не в списке "АЭК ООО КА; АТЛАС ООО; ВЗАИМНО ООО; ИРБИС ООО" И</v>
      </c>
      <c r="G30" t="str">
        <f t="array" ref="G30">IFERROR(INDEX('[1]реестр просрочников'!$B$3:$B$500,SMALL(IF(ЭКВАЙРИНГ!$D24='[1]реестр просрочников'!$A$3:$A$500,ROW('[1]реестр просрочников'!$B$3:$B$500)-2),COLUMN('[1]реестр просрочников'!G30)),1),"")</f>
        <v>Дней на просрочке Меньше или равно "95" И</v>
      </c>
      <c r="H30" t="str">
        <f t="array" ref="H30">IFERROR(INDEX('[1]реестр просрочников'!$B$3:$B$500,SMALL(IF(ЭКВАЙРИНГ!$D24='[1]реестр просрочников'!$A$3:$A$500,ROW('[1]реестр просрочников'!$B$3:$B$500)-2),COLUMN('[1]реестр просрочников'!H30)),1),"")</f>
        <v>Актуальный займ.Договор.Дата передачи в КО (Договоры) Не заполнено</v>
      </c>
      <c r="I30">
        <f t="array" ref="I30">IFERROR(INDEX('[1]реестр просрочников'!$B$3:$B$500,SMALL(IF(ЭКВАЙРИНГ!$D24='[1]реестр просрочников'!$A$3:$A$500,ROW('[1]реестр просрочников'!$B$3:$B$500)-2),COLUMN('[1]реестр просрочников'!I30)),1),"")</f>
        <v>0</v>
      </c>
      <c r="K30" t="str">
        <f>IFERROR(VLOOKUP(ЭКВАЙРИНГ!A24,'[1]реестр просрочников'!$B:$C,2,0),"")</f>
        <v/>
      </c>
    </row>
    <row r="31" spans="4:11" x14ac:dyDescent="0.25">
      <c r="D31" t="str">
        <f t="array" ref="D31">IFERROR(INDEX('[1]реестр просрочников'!$B$3:$B$500,SMALL(IF(ЭКВАЙРИНГ!$D25='[1]реестр просрочников'!$A$3:$A$500,ROW('[1]реестр просрочников'!$B$3:$B$500)-2),COLUMN('[1]реестр просрочников'!D31)),1),"")</f>
        <v>Диапазоны сроков возврата займов: </v>
      </c>
      <c r="E31" t="str">
        <f t="array" ref="E31">IFERROR(INDEX('[1]реестр просрочников'!$B$3:$B$500,SMALL(IF(ЭКВАЙРИНГ!$D25='[1]реестр просрочников'!$A$3:$A$500,ROW('[1]реестр просрочников'!$B$3:$B$500)-2),COLUMN('[1]реестр просрочников'!E31)),1),"")</f>
        <v>( Организация Равно "КА АЭК ООО" ) И</v>
      </c>
      <c r="F31" t="str">
        <f t="array" ref="F31">IFERROR(INDEX('[1]реестр просрочников'!$B$3:$B$500,SMALL(IF(ЭКВАЙРИНГ!$D25='[1]реестр просрочников'!$A$3:$A$500,ROW('[1]реестр просрочников'!$B$3:$B$500)-2),COLUMN('[1]реестр просрочников'!F31)),1),"")</f>
        <v>Заемщик Не в списке "АЭК ООО КА; АТЛАС ООО; ВЗАИМНО ООО; ИРБИС ООО" И</v>
      </c>
      <c r="G31" t="str">
        <f t="array" ref="G31">IFERROR(INDEX('[1]реестр просрочников'!$B$3:$B$500,SMALL(IF(ЭКВАЙРИНГ!$D25='[1]реестр просрочников'!$A$3:$A$500,ROW('[1]реестр просрочников'!$B$3:$B$500)-2),COLUMN('[1]реестр просрочников'!G31)),1),"")</f>
        <v>Дней на просрочке Меньше или равно "95" И</v>
      </c>
      <c r="H31" t="str">
        <f t="array" ref="H31">IFERROR(INDEX('[1]реестр просрочников'!$B$3:$B$500,SMALL(IF(ЭКВАЙРИНГ!$D25='[1]реестр просрочников'!$A$3:$A$500,ROW('[1]реестр просрочников'!$B$3:$B$500)-2),COLUMN('[1]реестр просрочников'!H31)),1),"")</f>
        <v>Актуальный займ.Договор.Дата передачи в КО (Договоры) Не заполнено</v>
      </c>
      <c r="I31">
        <f t="array" ref="I31">IFERROR(INDEX('[1]реестр просрочников'!$B$3:$B$500,SMALL(IF(ЭКВАЙРИНГ!$D25='[1]реестр просрочников'!$A$3:$A$500,ROW('[1]реестр просрочников'!$B$3:$B$500)-2),COLUMN('[1]реестр просрочников'!I31)),1),"")</f>
        <v>0</v>
      </c>
      <c r="K31" t="str">
        <f>IFERROR(VLOOKUP(ЭКВАЙРИНГ!A25,'[1]реестр просрочников'!$B:$C,2,0),"")</f>
        <v/>
      </c>
    </row>
    <row r="32" spans="4:11" x14ac:dyDescent="0.25">
      <c r="D32" t="str">
        <f t="array" ref="D32">IFERROR(INDEX('[1]реестр просрочников'!$B$3:$B$500,SMALL(IF(ЭКВАЙРИНГ!$D26='[1]реестр просрочников'!$A$3:$A$500,ROW('[1]реестр просрочников'!$B$3:$B$500)-2),COLUMN('[1]реестр просрочников'!D32)),1),"")</f>
        <v>Диапазоны сроков возврата займов: </v>
      </c>
      <c r="E32" t="str">
        <f t="array" ref="E32">IFERROR(INDEX('[1]реестр просрочников'!$B$3:$B$500,SMALL(IF(ЭКВАЙРИНГ!$D26='[1]реестр просрочников'!$A$3:$A$500,ROW('[1]реестр просрочников'!$B$3:$B$500)-2),COLUMN('[1]реестр просрочников'!E32)),1),"")</f>
        <v>( Организация Равно "КА АЭК ООО" ) И</v>
      </c>
      <c r="F32" t="str">
        <f t="array" ref="F32">IFERROR(INDEX('[1]реестр просрочников'!$B$3:$B$500,SMALL(IF(ЭКВАЙРИНГ!$D26='[1]реестр просрочников'!$A$3:$A$500,ROW('[1]реестр просрочников'!$B$3:$B$500)-2),COLUMN('[1]реестр просрочников'!F32)),1),"")</f>
        <v>Заемщик Не в списке "АЭК ООО КА; АТЛАС ООО; ВЗАИМНО ООО; ИРБИС ООО" И</v>
      </c>
      <c r="G32" t="str">
        <f t="array" ref="G32">IFERROR(INDEX('[1]реестр просрочников'!$B$3:$B$500,SMALL(IF(ЭКВАЙРИНГ!$D26='[1]реестр просрочников'!$A$3:$A$500,ROW('[1]реестр просрочников'!$B$3:$B$500)-2),COLUMN('[1]реестр просрочников'!G32)),1),"")</f>
        <v>Дней на просрочке Меньше или равно "95" И</v>
      </c>
      <c r="H32" t="str">
        <f t="array" ref="H32">IFERROR(INDEX('[1]реестр просрочников'!$B$3:$B$500,SMALL(IF(ЭКВАЙРИНГ!$D26='[1]реестр просрочников'!$A$3:$A$500,ROW('[1]реестр просрочников'!$B$3:$B$500)-2),COLUMN('[1]реестр просрочников'!H32)),1),"")</f>
        <v>Актуальный займ.Договор.Дата передачи в КО (Договоры) Не заполнено</v>
      </c>
      <c r="I32">
        <f t="array" ref="I32">IFERROR(INDEX('[1]реестр просрочников'!$B$3:$B$500,SMALL(IF(ЭКВАЙРИНГ!$D26='[1]реестр просрочников'!$A$3:$A$500,ROW('[1]реестр просрочников'!$B$3:$B$500)-2),COLUMN('[1]реестр просрочников'!I32)),1),"")</f>
        <v>0</v>
      </c>
      <c r="K32" t="str">
        <f>IFERROR(VLOOKUP(ЭКВАЙРИНГ!A26,'[1]реестр просрочников'!$B:$C,2,0),"")</f>
        <v/>
      </c>
    </row>
    <row r="33" spans="4:11" x14ac:dyDescent="0.25">
      <c r="D33" t="str">
        <f t="array" ref="D33">IFERROR(INDEX('[1]реестр просрочников'!$B$3:$B$500,SMALL(IF(ЭКВАЙРИНГ!$D27='[1]реестр просрочников'!$A$3:$A$500,ROW('[1]реестр просрочников'!$B$3:$B$500)-2),COLUMN('[1]реестр просрочников'!D33)),1),"")</f>
        <v>Диапазоны сроков возврата займов: </v>
      </c>
      <c r="E33" t="str">
        <f t="array" ref="E33">IFERROR(INDEX('[1]реестр просрочников'!$B$3:$B$500,SMALL(IF(ЭКВАЙРИНГ!$D27='[1]реестр просрочников'!$A$3:$A$500,ROW('[1]реестр просрочников'!$B$3:$B$500)-2),COLUMN('[1]реестр просрочников'!E33)),1),"")</f>
        <v>( Организация Равно "КА АЭК ООО" ) И</v>
      </c>
      <c r="F33" t="str">
        <f t="array" ref="F33">IFERROR(INDEX('[1]реестр просрочников'!$B$3:$B$500,SMALL(IF(ЭКВАЙРИНГ!$D27='[1]реестр просрочников'!$A$3:$A$500,ROW('[1]реестр просрочников'!$B$3:$B$500)-2),COLUMN('[1]реестр просрочников'!F33)),1),"")</f>
        <v>Заемщик Не в списке "АЭК ООО КА; АТЛАС ООО; ВЗАИМНО ООО; ИРБИС ООО" И</v>
      </c>
      <c r="G33" t="str">
        <f t="array" ref="G33">IFERROR(INDEX('[1]реестр просрочников'!$B$3:$B$500,SMALL(IF(ЭКВАЙРИНГ!$D27='[1]реестр просрочников'!$A$3:$A$500,ROW('[1]реестр просрочников'!$B$3:$B$500)-2),COLUMN('[1]реестр просрочников'!G33)),1),"")</f>
        <v>Дней на просрочке Меньше или равно "95" И</v>
      </c>
      <c r="H33" t="str">
        <f t="array" ref="H33">IFERROR(INDEX('[1]реестр просрочников'!$B$3:$B$500,SMALL(IF(ЭКВАЙРИНГ!$D27='[1]реестр просрочников'!$A$3:$A$500,ROW('[1]реестр просрочников'!$B$3:$B$500)-2),COLUMN('[1]реестр просрочников'!H33)),1),"")</f>
        <v>Актуальный займ.Договор.Дата передачи в КО (Договоры) Не заполнено</v>
      </c>
      <c r="I33">
        <f t="array" ref="I33">IFERROR(INDEX('[1]реестр просрочников'!$B$3:$B$500,SMALL(IF(ЭКВАЙРИНГ!$D27='[1]реестр просрочников'!$A$3:$A$500,ROW('[1]реестр просрочников'!$B$3:$B$500)-2),COLUMN('[1]реестр просрочников'!I33)),1),"")</f>
        <v>0</v>
      </c>
      <c r="K33" t="str">
        <f>IFERROR(VLOOKUP(ЭКВАЙРИНГ!A27,'[1]реестр просрочников'!$B:$C,2,0),"")</f>
        <v/>
      </c>
    </row>
    <row r="34" spans="4:11" x14ac:dyDescent="0.25">
      <c r="D34" t="str">
        <f t="array" ref="D34">IFERROR(INDEX('[1]реестр просрочников'!$B$3:$B$500,SMALL(IF(ЭКВАЙРИНГ!$D28='[1]реестр просрочников'!$A$3:$A$500,ROW('[1]реестр просрочников'!$B$3:$B$500)-2),COLUMN('[1]реестр просрочников'!D34)),1),"")</f>
        <v>Диапазоны сроков возврата займов: </v>
      </c>
      <c r="E34" t="str">
        <f t="array" ref="E34">IFERROR(INDEX('[1]реестр просрочников'!$B$3:$B$500,SMALL(IF(ЭКВАЙРИНГ!$D28='[1]реестр просрочников'!$A$3:$A$500,ROW('[1]реестр просрочников'!$B$3:$B$500)-2),COLUMN('[1]реестр просрочников'!E34)),1),"")</f>
        <v>( Организация Равно "КА АЭК ООО" ) И</v>
      </c>
      <c r="F34" t="str">
        <f t="array" ref="F34">IFERROR(INDEX('[1]реестр просрочников'!$B$3:$B$500,SMALL(IF(ЭКВАЙРИНГ!$D28='[1]реестр просрочников'!$A$3:$A$500,ROW('[1]реестр просрочников'!$B$3:$B$500)-2),COLUMN('[1]реестр просрочников'!F34)),1),"")</f>
        <v>Заемщик Не в списке "АЭК ООО КА; АТЛАС ООО; ВЗАИМНО ООО; ИРБИС ООО" И</v>
      </c>
      <c r="G34" t="str">
        <f t="array" ref="G34">IFERROR(INDEX('[1]реестр просрочников'!$B$3:$B$500,SMALL(IF(ЭКВАЙРИНГ!$D28='[1]реестр просрочников'!$A$3:$A$500,ROW('[1]реестр просрочников'!$B$3:$B$500)-2),COLUMN('[1]реестр просрочников'!G34)),1),"")</f>
        <v>Дней на просрочке Меньше или равно "95" И</v>
      </c>
      <c r="H34" t="str">
        <f t="array" ref="H34">IFERROR(INDEX('[1]реестр просрочников'!$B$3:$B$500,SMALL(IF(ЭКВАЙРИНГ!$D28='[1]реестр просрочников'!$A$3:$A$500,ROW('[1]реестр просрочников'!$B$3:$B$500)-2),COLUMN('[1]реестр просрочников'!H34)),1),"")</f>
        <v>Актуальный займ.Договор.Дата передачи в КО (Договоры) Не заполнено</v>
      </c>
      <c r="I34">
        <f t="array" ref="I34">IFERROR(INDEX('[1]реестр просрочников'!$B$3:$B$500,SMALL(IF(ЭКВАЙРИНГ!$D28='[1]реестр просрочников'!$A$3:$A$500,ROW('[1]реестр просрочников'!$B$3:$B$500)-2),COLUMN('[1]реестр просрочников'!I34)),1),"")</f>
        <v>0</v>
      </c>
      <c r="K34" t="str">
        <f>IFERROR(VLOOKUP(ЭКВАЙРИНГ!A28,'[1]реестр просрочников'!$B:$C,2,0),"")</f>
        <v/>
      </c>
    </row>
    <row r="35" spans="4:11" x14ac:dyDescent="0.25">
      <c r="D35" t="str">
        <f t="array" ref="D35">IFERROR(INDEX('[1]реестр просрочников'!$B$3:$B$500,SMALL(IF(ЭКВАЙРИНГ!$D29='[1]реестр просрочников'!$A$3:$A$500,ROW('[1]реестр просрочников'!$B$3:$B$500)-2),COLUMN('[1]реестр просрочников'!D35)),1),"")</f>
        <v>Диапазоны сроков возврата займов: </v>
      </c>
      <c r="E35" t="str">
        <f t="array" ref="E35">IFERROR(INDEX('[1]реестр просрочников'!$B$3:$B$500,SMALL(IF(ЭКВАЙРИНГ!$D29='[1]реестр просрочников'!$A$3:$A$500,ROW('[1]реестр просрочников'!$B$3:$B$500)-2),COLUMN('[1]реестр просрочников'!E35)),1),"")</f>
        <v>( Организация Равно "КА АЭК ООО" ) И</v>
      </c>
      <c r="F35" t="str">
        <f t="array" ref="F35">IFERROR(INDEX('[1]реестр просрочников'!$B$3:$B$500,SMALL(IF(ЭКВАЙРИНГ!$D29='[1]реестр просрочников'!$A$3:$A$500,ROW('[1]реестр просрочников'!$B$3:$B$500)-2),COLUMN('[1]реестр просрочников'!F35)),1),"")</f>
        <v>Заемщик Не в списке "АЭК ООО КА; АТЛАС ООО; ВЗАИМНО ООО; ИРБИС ООО" И</v>
      </c>
      <c r="G35" t="str">
        <f t="array" ref="G35">IFERROR(INDEX('[1]реестр просрочников'!$B$3:$B$500,SMALL(IF(ЭКВАЙРИНГ!$D29='[1]реестр просрочников'!$A$3:$A$500,ROW('[1]реестр просрочников'!$B$3:$B$500)-2),COLUMN('[1]реестр просрочников'!G35)),1),"")</f>
        <v>Дней на просрочке Меньше или равно "95" И</v>
      </c>
      <c r="H35" t="str">
        <f t="array" ref="H35">IFERROR(INDEX('[1]реестр просрочников'!$B$3:$B$500,SMALL(IF(ЭКВАЙРИНГ!$D29='[1]реестр просрочников'!$A$3:$A$500,ROW('[1]реестр просрочников'!$B$3:$B$500)-2),COLUMN('[1]реестр просрочников'!H35)),1),"")</f>
        <v>Актуальный займ.Договор.Дата передачи в КО (Договоры) Не заполнено</v>
      </c>
      <c r="I35">
        <f t="array" ref="I35">IFERROR(INDEX('[1]реестр просрочников'!$B$3:$B$500,SMALL(IF(ЭКВАЙРИНГ!$D29='[1]реестр просрочников'!$A$3:$A$500,ROW('[1]реестр просрочников'!$B$3:$B$500)-2),COLUMN('[1]реестр просрочников'!I35)),1),"")</f>
        <v>0</v>
      </c>
      <c r="K35" t="str">
        <f>IFERROR(VLOOKUP(ЭКВАЙРИНГ!A29,'[1]реестр просрочников'!$B:$C,2,0),"")</f>
        <v/>
      </c>
    </row>
    <row r="36" spans="4:11" x14ac:dyDescent="0.25">
      <c r="D36" t="str">
        <f t="array" ref="D36">IFERROR(INDEX('[1]реестр просрочников'!$B$3:$B$500,SMALL(IF(ЭКВАЙРИНГ!$D30='[1]реестр просрочников'!$A$3:$A$500,ROW('[1]реестр просрочников'!$B$3:$B$500)-2),COLUMN('[1]реестр просрочников'!D36)),1),"")</f>
        <v>Диапазоны сроков возврата займов: </v>
      </c>
      <c r="E36" t="str">
        <f t="array" ref="E36">IFERROR(INDEX('[1]реестр просрочников'!$B$3:$B$500,SMALL(IF(ЭКВАЙРИНГ!$D30='[1]реестр просрочников'!$A$3:$A$500,ROW('[1]реестр просрочников'!$B$3:$B$500)-2),COLUMN('[1]реестр просрочников'!E36)),1),"")</f>
        <v>( Организация Равно "КА АЭК ООО" ) И</v>
      </c>
      <c r="F36" t="str">
        <f t="array" ref="F36">IFERROR(INDEX('[1]реестр просрочников'!$B$3:$B$500,SMALL(IF(ЭКВАЙРИНГ!$D30='[1]реестр просрочников'!$A$3:$A$500,ROW('[1]реестр просрочников'!$B$3:$B$500)-2),COLUMN('[1]реестр просрочников'!F36)),1),"")</f>
        <v>Заемщик Не в списке "АЭК ООО КА; АТЛАС ООО; ВЗАИМНО ООО; ИРБИС ООО" И</v>
      </c>
      <c r="G36" t="str">
        <f t="array" ref="G36">IFERROR(INDEX('[1]реестр просрочников'!$B$3:$B$500,SMALL(IF(ЭКВАЙРИНГ!$D30='[1]реестр просрочников'!$A$3:$A$500,ROW('[1]реестр просрочников'!$B$3:$B$500)-2),COLUMN('[1]реестр просрочников'!G36)),1),"")</f>
        <v>Дней на просрочке Меньше или равно "95" И</v>
      </c>
      <c r="H36" t="str">
        <f t="array" ref="H36">IFERROR(INDEX('[1]реестр просрочников'!$B$3:$B$500,SMALL(IF(ЭКВАЙРИНГ!$D30='[1]реестр просрочников'!$A$3:$A$500,ROW('[1]реестр просрочников'!$B$3:$B$500)-2),COLUMN('[1]реестр просрочников'!H36)),1),"")</f>
        <v>Актуальный займ.Договор.Дата передачи в КО (Договоры) Не заполнено</v>
      </c>
      <c r="I36">
        <f t="array" ref="I36">IFERROR(INDEX('[1]реестр просрочников'!$B$3:$B$500,SMALL(IF(ЭКВАЙРИНГ!$D30='[1]реестр просрочников'!$A$3:$A$500,ROW('[1]реестр просрочников'!$B$3:$B$500)-2),COLUMN('[1]реестр просрочников'!I36)),1),"")</f>
        <v>0</v>
      </c>
      <c r="K36" t="str">
        <f>IFERROR(VLOOKUP(ЭКВАЙРИНГ!A30,'[1]реестр просрочников'!$B:$C,2,0),"")</f>
        <v/>
      </c>
    </row>
    <row r="37" spans="4:11" x14ac:dyDescent="0.25">
      <c r="D37" t="str">
        <f t="array" ref="D37">IFERROR(INDEX('[1]реестр просрочников'!$B$3:$B$500,SMALL(IF(ЭКВАЙРИНГ!$D31='[1]реестр просрочников'!$A$3:$A$500,ROW('[1]реестр просрочников'!$B$3:$B$500)-2),COLUMN('[1]реестр просрочников'!D37)),1),"")</f>
        <v>Диапазоны сроков возврата займов: </v>
      </c>
      <c r="E37" t="str">
        <f t="array" ref="E37">IFERROR(INDEX('[1]реестр просрочников'!$B$3:$B$500,SMALL(IF(ЭКВАЙРИНГ!$D31='[1]реестр просрочников'!$A$3:$A$500,ROW('[1]реестр просрочников'!$B$3:$B$500)-2),COLUMN('[1]реестр просрочников'!E37)),1),"")</f>
        <v>( Организация Равно "КА АЭК ООО" ) И</v>
      </c>
      <c r="F37" t="str">
        <f t="array" ref="F37">IFERROR(INDEX('[1]реестр просрочников'!$B$3:$B$500,SMALL(IF(ЭКВАЙРИНГ!$D31='[1]реестр просрочников'!$A$3:$A$500,ROW('[1]реестр просрочников'!$B$3:$B$500)-2),COLUMN('[1]реестр просрочников'!F37)),1),"")</f>
        <v>Заемщик Не в списке "АЭК ООО КА; АТЛАС ООО; ВЗАИМНО ООО; ИРБИС ООО" И</v>
      </c>
      <c r="G37" t="str">
        <f t="array" ref="G37">IFERROR(INDEX('[1]реестр просрочников'!$B$3:$B$500,SMALL(IF(ЭКВАЙРИНГ!$D31='[1]реестр просрочников'!$A$3:$A$500,ROW('[1]реестр просрочников'!$B$3:$B$500)-2),COLUMN('[1]реестр просрочников'!G37)),1),"")</f>
        <v>Дней на просрочке Меньше или равно "95" И</v>
      </c>
      <c r="H37" t="str">
        <f t="array" ref="H37">IFERROR(INDEX('[1]реестр просрочников'!$B$3:$B$500,SMALL(IF(ЭКВАЙРИНГ!$D31='[1]реестр просрочников'!$A$3:$A$500,ROW('[1]реестр просрочников'!$B$3:$B$500)-2),COLUMN('[1]реестр просрочников'!H37)),1),"")</f>
        <v>Актуальный займ.Договор.Дата передачи в КО (Договоры) Не заполнено</v>
      </c>
      <c r="I37">
        <f t="array" ref="I37">IFERROR(INDEX('[1]реестр просрочников'!$B$3:$B$500,SMALL(IF(ЭКВАЙРИНГ!$D31='[1]реестр просрочников'!$A$3:$A$500,ROW('[1]реестр просрочников'!$B$3:$B$500)-2),COLUMN('[1]реестр просрочников'!I37)),1),"")</f>
        <v>0</v>
      </c>
      <c r="K37" t="str">
        <f>IFERROR(VLOOKUP(ЭКВАЙРИНГ!A31,'[1]реестр просрочников'!$B:$C,2,0),"")</f>
        <v/>
      </c>
    </row>
    <row r="38" spans="4:11" x14ac:dyDescent="0.25">
      <c r="D38" t="str">
        <f t="array" ref="D38">IFERROR(INDEX('[1]реестр просрочников'!$B$3:$B$500,SMALL(IF(ЭКВАЙРИНГ!$D32='[1]реестр просрочников'!$A$3:$A$500,ROW('[1]реестр просрочников'!$B$3:$B$500)-2),COLUMN('[1]реестр просрочников'!D38)),1),"")</f>
        <v>Диапазоны сроков возврата займов: </v>
      </c>
      <c r="E38" t="str">
        <f t="array" ref="E38">IFERROR(INDEX('[1]реестр просрочников'!$B$3:$B$500,SMALL(IF(ЭКВАЙРИНГ!$D32='[1]реестр просрочников'!$A$3:$A$500,ROW('[1]реестр просрочников'!$B$3:$B$500)-2),COLUMN('[1]реестр просрочников'!E38)),1),"")</f>
        <v>( Организация Равно "КА АЭК ООО" ) И</v>
      </c>
      <c r="F38" t="str">
        <f t="array" ref="F38">IFERROR(INDEX('[1]реестр просрочников'!$B$3:$B$500,SMALL(IF(ЭКВАЙРИНГ!$D32='[1]реестр просрочников'!$A$3:$A$500,ROW('[1]реестр просрочников'!$B$3:$B$500)-2),COLUMN('[1]реестр просрочников'!F38)),1),"")</f>
        <v>Заемщик Не в списке "АЭК ООО КА; АТЛАС ООО; ВЗАИМНО ООО; ИРБИС ООО" И</v>
      </c>
      <c r="G38" t="str">
        <f t="array" ref="G38">IFERROR(INDEX('[1]реестр просрочников'!$B$3:$B$500,SMALL(IF(ЭКВАЙРИНГ!$D32='[1]реестр просрочников'!$A$3:$A$500,ROW('[1]реестр просрочников'!$B$3:$B$500)-2),COLUMN('[1]реестр просрочников'!G38)),1),"")</f>
        <v>Дней на просрочке Меньше или равно "95" И</v>
      </c>
      <c r="H38" t="str">
        <f t="array" ref="H38">IFERROR(INDEX('[1]реестр просрочников'!$B$3:$B$500,SMALL(IF(ЭКВАЙРИНГ!$D32='[1]реестр просрочников'!$A$3:$A$500,ROW('[1]реестр просрочников'!$B$3:$B$500)-2),COLUMN('[1]реестр просрочников'!H38)),1),"")</f>
        <v>Актуальный займ.Договор.Дата передачи в КО (Договоры) Не заполнено</v>
      </c>
      <c r="I38">
        <f t="array" ref="I38">IFERROR(INDEX('[1]реестр просрочников'!$B$3:$B$500,SMALL(IF(ЭКВАЙРИНГ!$D32='[1]реестр просрочников'!$A$3:$A$500,ROW('[1]реестр просрочников'!$B$3:$B$500)-2),COLUMN('[1]реестр просрочников'!I38)),1),"")</f>
        <v>0</v>
      </c>
      <c r="K38" t="str">
        <f>IFERROR(VLOOKUP(ЭКВАЙРИНГ!A32,'[1]реестр просрочников'!$B:$C,2,0),"")</f>
        <v/>
      </c>
    </row>
    <row r="39" spans="4:11" x14ac:dyDescent="0.25">
      <c r="D39" t="str">
        <f t="array" ref="D39">IFERROR(INDEX('[1]реестр просрочников'!$B$3:$B$500,SMALL(IF(ЭКВАЙРИНГ!$D33='[1]реестр просрочников'!$A$3:$A$500,ROW('[1]реестр просрочников'!$B$3:$B$500)-2),COLUMN('[1]реестр просрочников'!D39)),1),"")</f>
        <v>Диапазоны сроков возврата займов: </v>
      </c>
      <c r="E39" t="str">
        <f t="array" ref="E39">IFERROR(INDEX('[1]реестр просрочников'!$B$3:$B$500,SMALL(IF(ЭКВАЙРИНГ!$D33='[1]реестр просрочников'!$A$3:$A$500,ROW('[1]реестр просрочников'!$B$3:$B$500)-2),COLUMN('[1]реестр просрочников'!E39)),1),"")</f>
        <v>( Организация Равно "КА АЭК ООО" ) И</v>
      </c>
      <c r="F39" t="str">
        <f t="array" ref="F39">IFERROR(INDEX('[1]реестр просрочников'!$B$3:$B$500,SMALL(IF(ЭКВАЙРИНГ!$D33='[1]реестр просрочников'!$A$3:$A$500,ROW('[1]реестр просрочников'!$B$3:$B$500)-2),COLUMN('[1]реестр просрочников'!F39)),1),"")</f>
        <v>Заемщик Не в списке "АЭК ООО КА; АТЛАС ООО; ВЗАИМНО ООО; ИРБИС ООО" И</v>
      </c>
      <c r="G39" t="str">
        <f t="array" ref="G39">IFERROR(INDEX('[1]реестр просрочников'!$B$3:$B$500,SMALL(IF(ЭКВАЙРИНГ!$D33='[1]реестр просрочников'!$A$3:$A$500,ROW('[1]реестр просрочников'!$B$3:$B$500)-2),COLUMN('[1]реестр просрочников'!G39)),1),"")</f>
        <v>Дней на просрочке Меньше или равно "95" И</v>
      </c>
      <c r="H39" t="str">
        <f t="array" ref="H39">IFERROR(INDEX('[1]реестр просрочников'!$B$3:$B$500,SMALL(IF(ЭКВАЙРИНГ!$D33='[1]реестр просрочников'!$A$3:$A$500,ROW('[1]реестр просрочников'!$B$3:$B$500)-2),COLUMN('[1]реестр просрочников'!H39)),1),"")</f>
        <v>Актуальный займ.Договор.Дата передачи в КО (Договоры) Не заполнено</v>
      </c>
      <c r="I39">
        <f t="array" ref="I39">IFERROR(INDEX('[1]реестр просрочников'!$B$3:$B$500,SMALL(IF(ЭКВАЙРИНГ!$D33='[1]реестр просрочников'!$A$3:$A$500,ROW('[1]реестр просрочников'!$B$3:$B$500)-2),COLUMN('[1]реестр просрочников'!I39)),1),"")</f>
        <v>0</v>
      </c>
      <c r="K39" t="str">
        <f>IFERROR(VLOOKUP(ЭКВАЙРИНГ!A33,'[1]реестр просрочников'!$B:$C,2,0),"")</f>
        <v/>
      </c>
    </row>
    <row r="40" spans="4:11" x14ac:dyDescent="0.25">
      <c r="D40" t="str">
        <f t="array" ref="D40">IFERROR(INDEX('[1]реестр просрочников'!$B$3:$B$500,SMALL(IF(ЭКВАЙРИНГ!$D34='[1]реестр просрочников'!$A$3:$A$500,ROW('[1]реестр просрочников'!$B$3:$B$500)-2),COLUMN('[1]реестр просрочников'!D40)),1),"")</f>
        <v>Диапазоны сроков возврата займов: </v>
      </c>
      <c r="E40" t="str">
        <f t="array" ref="E40">IFERROR(INDEX('[1]реестр просрочников'!$B$3:$B$500,SMALL(IF(ЭКВАЙРИНГ!$D34='[1]реестр просрочников'!$A$3:$A$500,ROW('[1]реестр просрочников'!$B$3:$B$500)-2),COLUMN('[1]реестр просрочников'!E40)),1),"")</f>
        <v>( Организация Равно "КА АЭК ООО" ) И</v>
      </c>
      <c r="F40" t="str">
        <f t="array" ref="F40">IFERROR(INDEX('[1]реестр просрочников'!$B$3:$B$500,SMALL(IF(ЭКВАЙРИНГ!$D34='[1]реестр просрочников'!$A$3:$A$500,ROW('[1]реестр просрочников'!$B$3:$B$500)-2),COLUMN('[1]реестр просрочников'!F40)),1),"")</f>
        <v>Заемщик Не в списке "АЭК ООО КА; АТЛАС ООО; ВЗАИМНО ООО; ИРБИС ООО" И</v>
      </c>
      <c r="G40" t="str">
        <f t="array" ref="G40">IFERROR(INDEX('[1]реестр просрочников'!$B$3:$B$500,SMALL(IF(ЭКВАЙРИНГ!$D34='[1]реестр просрочников'!$A$3:$A$500,ROW('[1]реестр просрочников'!$B$3:$B$500)-2),COLUMN('[1]реестр просрочников'!G40)),1),"")</f>
        <v>Дней на просрочке Меньше или равно "95" И</v>
      </c>
      <c r="H40" t="str">
        <f t="array" ref="H40">IFERROR(INDEX('[1]реестр просрочников'!$B$3:$B$500,SMALL(IF(ЭКВАЙРИНГ!$D34='[1]реестр просрочников'!$A$3:$A$500,ROW('[1]реестр просрочников'!$B$3:$B$500)-2),COLUMN('[1]реестр просрочников'!H40)),1),"")</f>
        <v>Актуальный займ.Договор.Дата передачи в КО (Договоры) Не заполнено</v>
      </c>
      <c r="I40">
        <f t="array" ref="I40">IFERROR(INDEX('[1]реестр просрочников'!$B$3:$B$500,SMALL(IF(ЭКВАЙРИНГ!$D34='[1]реестр просрочников'!$A$3:$A$500,ROW('[1]реестр просрочников'!$B$3:$B$500)-2),COLUMN('[1]реестр просрочников'!I40)),1),"")</f>
        <v>0</v>
      </c>
      <c r="K40" t="str">
        <f>IFERROR(VLOOKUP(ЭКВАЙРИНГ!A34,'[1]реестр просрочников'!$B:$C,2,0),"")</f>
        <v/>
      </c>
    </row>
    <row r="41" spans="4:11" x14ac:dyDescent="0.25">
      <c r="D41" t="str">
        <f t="array" ref="D41">IFERROR(INDEX('[1]реестр просрочников'!$B$3:$B$500,SMALL(IF(ЭКВАЙРИНГ!$D35='[1]реестр просрочников'!$A$3:$A$500,ROW('[1]реестр просрочников'!$B$3:$B$500)-2),COLUMN('[1]реестр просрочников'!D41)),1),"")</f>
        <v>Диапазоны сроков возврата займов: </v>
      </c>
      <c r="E41" t="str">
        <f t="array" ref="E41">IFERROR(INDEX('[1]реестр просрочников'!$B$3:$B$500,SMALL(IF(ЭКВАЙРИНГ!$D35='[1]реестр просрочников'!$A$3:$A$500,ROW('[1]реестр просрочников'!$B$3:$B$500)-2),COLUMN('[1]реестр просрочников'!E41)),1),"")</f>
        <v>( Организация Равно "КА АЭК ООО" ) И</v>
      </c>
      <c r="F41" t="str">
        <f t="array" ref="F41">IFERROR(INDEX('[1]реестр просрочников'!$B$3:$B$500,SMALL(IF(ЭКВАЙРИНГ!$D35='[1]реестр просрочников'!$A$3:$A$500,ROW('[1]реестр просрочников'!$B$3:$B$500)-2),COLUMN('[1]реестр просрочников'!F41)),1),"")</f>
        <v>Заемщик Не в списке "АЭК ООО КА; АТЛАС ООО; ВЗАИМНО ООО; ИРБИС ООО" И</v>
      </c>
      <c r="G41" t="str">
        <f t="array" ref="G41">IFERROR(INDEX('[1]реестр просрочников'!$B$3:$B$500,SMALL(IF(ЭКВАЙРИНГ!$D35='[1]реестр просрочников'!$A$3:$A$500,ROW('[1]реестр просрочников'!$B$3:$B$500)-2),COLUMN('[1]реестр просрочников'!G41)),1),"")</f>
        <v>Дней на просрочке Меньше или равно "95" И</v>
      </c>
      <c r="H41" t="str">
        <f t="array" ref="H41">IFERROR(INDEX('[1]реестр просрочников'!$B$3:$B$500,SMALL(IF(ЭКВАЙРИНГ!$D35='[1]реестр просрочников'!$A$3:$A$500,ROW('[1]реестр просрочников'!$B$3:$B$500)-2),COLUMN('[1]реестр просрочников'!H41)),1),"")</f>
        <v>Актуальный займ.Договор.Дата передачи в КО (Договоры) Не заполнено</v>
      </c>
      <c r="I41">
        <f t="array" ref="I41">IFERROR(INDEX('[1]реестр просрочников'!$B$3:$B$500,SMALL(IF(ЭКВАЙРИНГ!$D35='[1]реестр просрочников'!$A$3:$A$500,ROW('[1]реестр просрочников'!$B$3:$B$500)-2),COLUMN('[1]реестр просрочников'!I41)),1),"")</f>
        <v>0</v>
      </c>
      <c r="K41" t="str">
        <f>IFERROR(VLOOKUP(ЭКВАЙРИНГ!A35,'[1]реестр просрочников'!$B:$C,2,0),"")</f>
        <v/>
      </c>
    </row>
    <row r="42" spans="4:11" x14ac:dyDescent="0.25">
      <c r="D42" t="str">
        <f t="array" ref="D42">IFERROR(INDEX('[1]реестр просрочников'!$B$3:$B$500,SMALL(IF(ЭКВАЙРИНГ!$D36='[1]реестр просрочников'!$A$3:$A$500,ROW('[1]реестр просрочников'!$B$3:$B$500)-2),COLUMN('[1]реестр просрочников'!D42)),1),"")</f>
        <v>Диапазоны сроков возврата займов: </v>
      </c>
      <c r="E42" t="str">
        <f t="array" ref="E42">IFERROR(INDEX('[1]реестр просрочников'!$B$3:$B$500,SMALL(IF(ЭКВАЙРИНГ!$D36='[1]реестр просрочников'!$A$3:$A$500,ROW('[1]реестр просрочников'!$B$3:$B$500)-2),COLUMN('[1]реестр просрочников'!E42)),1),"")</f>
        <v>( Организация Равно "КА АЭК ООО" ) И</v>
      </c>
      <c r="F42" t="str">
        <f t="array" ref="F42">IFERROR(INDEX('[1]реестр просрочников'!$B$3:$B$500,SMALL(IF(ЭКВАЙРИНГ!$D36='[1]реестр просрочников'!$A$3:$A$500,ROW('[1]реестр просрочников'!$B$3:$B$500)-2),COLUMN('[1]реестр просрочников'!F42)),1),"")</f>
        <v>Заемщик Не в списке "АЭК ООО КА; АТЛАС ООО; ВЗАИМНО ООО; ИРБИС ООО" И</v>
      </c>
      <c r="G42" t="str">
        <f t="array" ref="G42">IFERROR(INDEX('[1]реестр просрочников'!$B$3:$B$500,SMALL(IF(ЭКВАЙРИНГ!$D36='[1]реестр просрочников'!$A$3:$A$500,ROW('[1]реестр просрочников'!$B$3:$B$500)-2),COLUMN('[1]реестр просрочников'!G42)),1),"")</f>
        <v>Дней на просрочке Меньше или равно "95" И</v>
      </c>
      <c r="H42" t="str">
        <f t="array" ref="H42">IFERROR(INDEX('[1]реестр просрочников'!$B$3:$B$500,SMALL(IF(ЭКВАЙРИНГ!$D36='[1]реестр просрочников'!$A$3:$A$500,ROW('[1]реестр просрочников'!$B$3:$B$500)-2),COLUMN('[1]реестр просрочников'!H42)),1),"")</f>
        <v>Актуальный займ.Договор.Дата передачи в КО (Договоры) Не заполнено</v>
      </c>
      <c r="I42">
        <f t="array" ref="I42">IFERROR(INDEX('[1]реестр просрочников'!$B$3:$B$500,SMALL(IF(ЭКВАЙРИНГ!$D36='[1]реестр просрочников'!$A$3:$A$500,ROW('[1]реестр просрочников'!$B$3:$B$500)-2),COLUMN('[1]реестр просрочников'!I42)),1),"")</f>
        <v>0</v>
      </c>
      <c r="K42" t="str">
        <f>IFERROR(VLOOKUP(ЭКВАЙРИНГ!A36,'[1]реестр просрочников'!$B:$C,2,0),"")</f>
        <v/>
      </c>
    </row>
    <row r="43" spans="4:11" x14ac:dyDescent="0.25">
      <c r="D43" t="str">
        <f t="array" ref="D43">IFERROR(INDEX('[1]реестр просрочников'!$B$3:$B$500,SMALL(IF(ЭКВАЙРИНГ!$D37='[1]реестр просрочников'!$A$3:$A$500,ROW('[1]реестр просрочников'!$B$3:$B$500)-2),COLUMN('[1]реестр просрочников'!D43)),1),"")</f>
        <v>Диапазоны сроков возврата займов: </v>
      </c>
      <c r="E43" t="str">
        <f t="array" ref="E43">IFERROR(INDEX('[1]реестр просрочников'!$B$3:$B$500,SMALL(IF(ЭКВАЙРИНГ!$D37='[1]реестр просрочников'!$A$3:$A$500,ROW('[1]реестр просрочников'!$B$3:$B$500)-2),COLUMN('[1]реестр просрочников'!E43)),1),"")</f>
        <v>( Организация Равно "КА АЭК ООО" ) И</v>
      </c>
      <c r="F43" t="str">
        <f t="array" ref="F43">IFERROR(INDEX('[1]реестр просрочников'!$B$3:$B$500,SMALL(IF(ЭКВАЙРИНГ!$D37='[1]реестр просрочников'!$A$3:$A$500,ROW('[1]реестр просрочников'!$B$3:$B$500)-2),COLUMN('[1]реестр просрочников'!F43)),1),"")</f>
        <v>Заемщик Не в списке "АЭК ООО КА; АТЛАС ООО; ВЗАИМНО ООО; ИРБИС ООО" И</v>
      </c>
      <c r="G43" t="str">
        <f t="array" ref="G43">IFERROR(INDEX('[1]реестр просрочников'!$B$3:$B$500,SMALL(IF(ЭКВАЙРИНГ!$D37='[1]реестр просрочников'!$A$3:$A$500,ROW('[1]реестр просрочников'!$B$3:$B$500)-2),COLUMN('[1]реестр просрочников'!G43)),1),"")</f>
        <v>Дней на просрочке Меньше или равно "95" И</v>
      </c>
      <c r="H43" t="str">
        <f t="array" ref="H43">IFERROR(INDEX('[1]реестр просрочников'!$B$3:$B$500,SMALL(IF(ЭКВАЙРИНГ!$D37='[1]реестр просрочников'!$A$3:$A$500,ROW('[1]реестр просрочников'!$B$3:$B$500)-2),COLUMN('[1]реестр просрочников'!H43)),1),"")</f>
        <v>Актуальный займ.Договор.Дата передачи в КО (Договоры) Не заполнено</v>
      </c>
      <c r="I43">
        <f t="array" ref="I43">IFERROR(INDEX('[1]реестр просрочников'!$B$3:$B$500,SMALL(IF(ЭКВАЙРИНГ!$D37='[1]реестр просрочников'!$A$3:$A$500,ROW('[1]реестр просрочников'!$B$3:$B$500)-2),COLUMN('[1]реестр просрочников'!I43)),1),"")</f>
        <v>0</v>
      </c>
      <c r="K43" t="str">
        <f>IFERROR(VLOOKUP(ЭКВАЙРИНГ!A37,'[1]реестр просрочников'!$B:$C,2,0),"")</f>
        <v/>
      </c>
    </row>
    <row r="44" spans="4:11" x14ac:dyDescent="0.25">
      <c r="D44" t="str">
        <f t="array" ref="D44">IFERROR(INDEX('[1]реестр просрочников'!$B$3:$B$500,SMALL(IF(ЭКВАЙРИНГ!$D38='[1]реестр просрочников'!$A$3:$A$500,ROW('[1]реестр просрочников'!$B$3:$B$500)-2),COLUMN('[1]реестр просрочников'!D44)),1),"")</f>
        <v>Диапазоны сроков возврата займов: </v>
      </c>
      <c r="E44" t="str">
        <f t="array" ref="E44">IFERROR(INDEX('[1]реестр просрочников'!$B$3:$B$500,SMALL(IF(ЭКВАЙРИНГ!$D38='[1]реестр просрочников'!$A$3:$A$500,ROW('[1]реестр просрочников'!$B$3:$B$500)-2),COLUMN('[1]реестр просрочников'!E44)),1),"")</f>
        <v>( Организация Равно "КА АЭК ООО" ) И</v>
      </c>
      <c r="F44" t="str">
        <f t="array" ref="F44">IFERROR(INDEX('[1]реестр просрочников'!$B$3:$B$500,SMALL(IF(ЭКВАЙРИНГ!$D38='[1]реестр просрочников'!$A$3:$A$500,ROW('[1]реестр просрочников'!$B$3:$B$500)-2),COLUMN('[1]реестр просрочников'!F44)),1),"")</f>
        <v>Заемщик Не в списке "АЭК ООО КА; АТЛАС ООО; ВЗАИМНО ООО; ИРБИС ООО" И</v>
      </c>
      <c r="G44" t="str">
        <f t="array" ref="G44">IFERROR(INDEX('[1]реестр просрочников'!$B$3:$B$500,SMALL(IF(ЭКВАЙРИНГ!$D38='[1]реестр просрочников'!$A$3:$A$500,ROW('[1]реестр просрочников'!$B$3:$B$500)-2),COLUMN('[1]реестр просрочников'!G44)),1),"")</f>
        <v>Дней на просрочке Меньше или равно "95" И</v>
      </c>
      <c r="H44" t="str">
        <f t="array" ref="H44">IFERROR(INDEX('[1]реестр просрочников'!$B$3:$B$500,SMALL(IF(ЭКВАЙРИНГ!$D38='[1]реестр просрочников'!$A$3:$A$500,ROW('[1]реестр просрочников'!$B$3:$B$500)-2),COLUMN('[1]реестр просрочников'!H44)),1),"")</f>
        <v>Актуальный займ.Договор.Дата передачи в КО (Договоры) Не заполнено</v>
      </c>
      <c r="I44">
        <f t="array" ref="I44">IFERROR(INDEX('[1]реестр просрочников'!$B$3:$B$500,SMALL(IF(ЭКВАЙРИНГ!$D38='[1]реестр просрочников'!$A$3:$A$500,ROW('[1]реестр просрочников'!$B$3:$B$500)-2),COLUMN('[1]реестр просрочников'!I44)),1),"")</f>
        <v>0</v>
      </c>
      <c r="K44" t="str">
        <f>IFERROR(VLOOKUP(ЭКВАЙРИНГ!A38,'[1]реестр просрочников'!$B:$C,2,0),"")</f>
        <v/>
      </c>
    </row>
    <row r="45" spans="4:11" x14ac:dyDescent="0.25">
      <c r="D45" t="str">
        <f t="array" ref="D45">IFERROR(INDEX('[1]реестр просрочников'!$B$3:$B$500,SMALL(IF(ЭКВАЙРИНГ!$D39='[1]реестр просрочников'!$A$3:$A$500,ROW('[1]реестр просрочников'!$B$3:$B$500)-2),COLUMN('[1]реестр просрочников'!D45)),1),"")</f>
        <v>Диапазоны сроков возврата займов: </v>
      </c>
      <c r="E45" t="str">
        <f t="array" ref="E45">IFERROR(INDEX('[1]реестр просрочников'!$B$3:$B$500,SMALL(IF(ЭКВАЙРИНГ!$D39='[1]реестр просрочников'!$A$3:$A$500,ROW('[1]реестр просрочников'!$B$3:$B$500)-2),COLUMN('[1]реестр просрочников'!E45)),1),"")</f>
        <v>( Организация Равно "КА АЭК ООО" ) И</v>
      </c>
      <c r="F45" t="str">
        <f t="array" ref="F45">IFERROR(INDEX('[1]реестр просрочников'!$B$3:$B$500,SMALL(IF(ЭКВАЙРИНГ!$D39='[1]реестр просрочников'!$A$3:$A$500,ROW('[1]реестр просрочников'!$B$3:$B$500)-2),COLUMN('[1]реестр просрочников'!F45)),1),"")</f>
        <v>Заемщик Не в списке "АЭК ООО КА; АТЛАС ООО; ВЗАИМНО ООО; ИРБИС ООО" И</v>
      </c>
      <c r="G45" t="str">
        <f t="array" ref="G45">IFERROR(INDEX('[1]реестр просрочников'!$B$3:$B$500,SMALL(IF(ЭКВАЙРИНГ!$D39='[1]реестр просрочников'!$A$3:$A$500,ROW('[1]реестр просрочников'!$B$3:$B$500)-2),COLUMN('[1]реестр просрочников'!G45)),1),"")</f>
        <v>Дней на просрочке Меньше или равно "95" И</v>
      </c>
      <c r="H45" t="str">
        <f t="array" ref="H45">IFERROR(INDEX('[1]реестр просрочников'!$B$3:$B$500,SMALL(IF(ЭКВАЙРИНГ!$D39='[1]реестр просрочников'!$A$3:$A$500,ROW('[1]реестр просрочников'!$B$3:$B$500)-2),COLUMN('[1]реестр просрочников'!H45)),1),"")</f>
        <v>Актуальный займ.Договор.Дата передачи в КО (Договоры) Не заполнено</v>
      </c>
      <c r="I45">
        <f t="array" ref="I45">IFERROR(INDEX('[1]реестр просрочников'!$B$3:$B$500,SMALL(IF(ЭКВАЙРИНГ!$D39='[1]реестр просрочников'!$A$3:$A$500,ROW('[1]реестр просрочников'!$B$3:$B$500)-2),COLUMN('[1]реестр просрочников'!I45)),1),"")</f>
        <v>0</v>
      </c>
      <c r="K45" t="str">
        <f>IFERROR(VLOOKUP(ЭКВАЙРИНГ!A39,'[1]реестр просрочников'!$B:$C,2,0),"")</f>
        <v/>
      </c>
    </row>
    <row r="46" spans="4:11" x14ac:dyDescent="0.25">
      <c r="D46" t="str">
        <f t="array" ref="D46">IFERROR(INDEX('[1]реестр просрочников'!$B$3:$B$500,SMALL(IF(ЭКВАЙРИНГ!$D40='[1]реестр просрочников'!$A$3:$A$500,ROW('[1]реестр просрочников'!$B$3:$B$500)-2),COLUMN('[1]реестр просрочников'!D46)),1),"")</f>
        <v>Диапазоны сроков возврата займов: </v>
      </c>
      <c r="E46" t="str">
        <f t="array" ref="E46">IFERROR(INDEX('[1]реестр просрочников'!$B$3:$B$500,SMALL(IF(ЭКВАЙРИНГ!$D40='[1]реестр просрочников'!$A$3:$A$500,ROW('[1]реестр просрочников'!$B$3:$B$500)-2),COLUMN('[1]реестр просрочников'!E46)),1),"")</f>
        <v>( Организация Равно "КА АЭК ООО" ) И</v>
      </c>
      <c r="F46" t="str">
        <f t="array" ref="F46">IFERROR(INDEX('[1]реестр просрочников'!$B$3:$B$500,SMALL(IF(ЭКВАЙРИНГ!$D40='[1]реестр просрочников'!$A$3:$A$500,ROW('[1]реестр просрочников'!$B$3:$B$500)-2),COLUMN('[1]реестр просрочников'!F46)),1),"")</f>
        <v>Заемщик Не в списке "АЭК ООО КА; АТЛАС ООО; ВЗАИМНО ООО; ИРБИС ООО" И</v>
      </c>
      <c r="G46" t="str">
        <f t="array" ref="G46">IFERROR(INDEX('[1]реестр просрочников'!$B$3:$B$500,SMALL(IF(ЭКВАЙРИНГ!$D40='[1]реестр просрочников'!$A$3:$A$500,ROW('[1]реестр просрочников'!$B$3:$B$500)-2),COLUMN('[1]реестр просрочников'!G46)),1),"")</f>
        <v>Дней на просрочке Меньше или равно "95" И</v>
      </c>
      <c r="H46" t="str">
        <f t="array" ref="H46">IFERROR(INDEX('[1]реестр просрочников'!$B$3:$B$500,SMALL(IF(ЭКВАЙРИНГ!$D40='[1]реестр просрочников'!$A$3:$A$500,ROW('[1]реестр просрочников'!$B$3:$B$500)-2),COLUMN('[1]реестр просрочников'!H46)),1),"")</f>
        <v>Актуальный займ.Договор.Дата передачи в КО (Договоры) Не заполнено</v>
      </c>
      <c r="I46">
        <f t="array" ref="I46">IFERROR(INDEX('[1]реестр просрочников'!$B$3:$B$500,SMALL(IF(ЭКВАЙРИНГ!$D40='[1]реестр просрочников'!$A$3:$A$500,ROW('[1]реестр просрочников'!$B$3:$B$500)-2),COLUMN('[1]реестр просрочников'!I46)),1),"")</f>
        <v>0</v>
      </c>
      <c r="K46" t="str">
        <f>IFERROR(VLOOKUP(ЭКВАЙРИНГ!A40,'[1]реестр просрочников'!$B:$C,2,0),"")</f>
        <v/>
      </c>
    </row>
    <row r="47" spans="4:11" x14ac:dyDescent="0.25">
      <c r="D47" t="str">
        <f t="array" ref="D47">IFERROR(INDEX('[1]реестр просрочников'!$B$3:$B$500,SMALL(IF(ЭКВАЙРИНГ!$D41='[1]реестр просрочников'!$A$3:$A$500,ROW('[1]реестр просрочников'!$B$3:$B$500)-2),COLUMN('[1]реестр просрочников'!D47)),1),"")</f>
        <v>Диапазоны сроков возврата займов: </v>
      </c>
      <c r="E47" t="str">
        <f t="array" ref="E47">IFERROR(INDEX('[1]реестр просрочников'!$B$3:$B$500,SMALL(IF(ЭКВАЙРИНГ!$D41='[1]реестр просрочников'!$A$3:$A$500,ROW('[1]реестр просрочников'!$B$3:$B$500)-2),COLUMN('[1]реестр просрочников'!E47)),1),"")</f>
        <v>( Организация Равно "КА АЭК ООО" ) И</v>
      </c>
      <c r="F47" t="str">
        <f t="array" ref="F47">IFERROR(INDEX('[1]реестр просрочников'!$B$3:$B$500,SMALL(IF(ЭКВАЙРИНГ!$D41='[1]реестр просрочников'!$A$3:$A$500,ROW('[1]реестр просрочников'!$B$3:$B$500)-2),COLUMN('[1]реестр просрочников'!F47)),1),"")</f>
        <v>Заемщик Не в списке "АЭК ООО КА; АТЛАС ООО; ВЗАИМНО ООО; ИРБИС ООО" И</v>
      </c>
      <c r="G47" t="str">
        <f t="array" ref="G47">IFERROR(INDEX('[1]реестр просрочников'!$B$3:$B$500,SMALL(IF(ЭКВАЙРИНГ!$D41='[1]реестр просрочников'!$A$3:$A$500,ROW('[1]реестр просрочников'!$B$3:$B$500)-2),COLUMN('[1]реестр просрочников'!G47)),1),"")</f>
        <v>Дней на просрочке Меньше или равно "95" И</v>
      </c>
      <c r="H47" t="str">
        <f t="array" ref="H47">IFERROR(INDEX('[1]реестр просрочников'!$B$3:$B$500,SMALL(IF(ЭКВАЙРИНГ!$D41='[1]реестр просрочников'!$A$3:$A$500,ROW('[1]реестр просрочников'!$B$3:$B$500)-2),COLUMN('[1]реестр просрочников'!H47)),1),"")</f>
        <v>Актуальный займ.Договор.Дата передачи в КО (Договоры) Не заполнено</v>
      </c>
      <c r="I47">
        <f t="array" ref="I47">IFERROR(INDEX('[1]реестр просрочников'!$B$3:$B$500,SMALL(IF(ЭКВАЙРИНГ!$D41='[1]реестр просрочников'!$A$3:$A$500,ROW('[1]реестр просрочников'!$B$3:$B$500)-2),COLUMN('[1]реестр просрочников'!I47)),1),"")</f>
        <v>0</v>
      </c>
      <c r="K47" t="str">
        <f>IFERROR(VLOOKUP(ЭКВАЙРИНГ!A41,'[1]реестр просрочников'!$B:$C,2,0),"")</f>
        <v/>
      </c>
    </row>
    <row r="48" spans="4:11" x14ac:dyDescent="0.25">
      <c r="D48" t="str">
        <f t="array" ref="D48">IFERROR(INDEX('[1]реестр просрочников'!$B$3:$B$500,SMALL(IF(ЭКВАЙРИНГ!$D42='[1]реестр просрочников'!$A$3:$A$500,ROW('[1]реестр просрочников'!$B$3:$B$500)-2),COLUMN('[1]реестр просрочников'!D48)),1),"")</f>
        <v>Диапазоны сроков возврата займов: </v>
      </c>
      <c r="E48" t="str">
        <f t="array" ref="E48">IFERROR(INDEX('[1]реестр просрочников'!$B$3:$B$500,SMALL(IF(ЭКВАЙРИНГ!$D42='[1]реестр просрочников'!$A$3:$A$500,ROW('[1]реестр просрочников'!$B$3:$B$500)-2),COLUMN('[1]реестр просрочников'!E48)),1),"")</f>
        <v>( Организация Равно "КА АЭК ООО" ) И</v>
      </c>
      <c r="F48" t="str">
        <f t="array" ref="F48">IFERROR(INDEX('[1]реестр просрочников'!$B$3:$B$500,SMALL(IF(ЭКВАЙРИНГ!$D42='[1]реестр просрочников'!$A$3:$A$500,ROW('[1]реестр просрочников'!$B$3:$B$500)-2),COLUMN('[1]реестр просрочников'!F48)),1),"")</f>
        <v>Заемщик Не в списке "АЭК ООО КА; АТЛАС ООО; ВЗАИМНО ООО; ИРБИС ООО" И</v>
      </c>
      <c r="G48" t="str">
        <f t="array" ref="G48">IFERROR(INDEX('[1]реестр просрочников'!$B$3:$B$500,SMALL(IF(ЭКВАЙРИНГ!$D42='[1]реестр просрочников'!$A$3:$A$500,ROW('[1]реестр просрочников'!$B$3:$B$500)-2),COLUMN('[1]реестр просрочников'!G48)),1),"")</f>
        <v>Дней на просрочке Меньше или равно "95" И</v>
      </c>
      <c r="H48" t="str">
        <f t="array" ref="H48">IFERROR(INDEX('[1]реестр просрочников'!$B$3:$B$500,SMALL(IF(ЭКВАЙРИНГ!$D42='[1]реестр просрочников'!$A$3:$A$500,ROW('[1]реестр просрочников'!$B$3:$B$500)-2),COLUMN('[1]реестр просрочников'!H48)),1),"")</f>
        <v>Актуальный займ.Договор.Дата передачи в КО (Договоры) Не заполнено</v>
      </c>
      <c r="I48">
        <f t="array" ref="I48">IFERROR(INDEX('[1]реестр просрочников'!$B$3:$B$500,SMALL(IF(ЭКВАЙРИНГ!$D42='[1]реестр просрочников'!$A$3:$A$500,ROW('[1]реестр просрочников'!$B$3:$B$500)-2),COLUMN('[1]реестр просрочников'!I48)),1),"")</f>
        <v>0</v>
      </c>
      <c r="K48" t="str">
        <f>IFERROR(VLOOKUP(ЭКВАЙРИНГ!A42,'[1]реестр просрочников'!$B:$C,2,0),"")</f>
        <v/>
      </c>
    </row>
    <row r="49" spans="4:11" x14ac:dyDescent="0.25">
      <c r="D49" t="str">
        <f t="array" ref="D49">IFERROR(INDEX('[1]реестр просрочников'!$B$3:$B$500,SMALL(IF(ЭКВАЙРИНГ!$D43='[1]реестр просрочников'!$A$3:$A$500,ROW('[1]реестр просрочников'!$B$3:$B$500)-2),COLUMN('[1]реестр просрочников'!D49)),1),"")</f>
        <v>Диапазоны сроков возврата займов: </v>
      </c>
      <c r="E49" t="str">
        <f t="array" ref="E49">IFERROR(INDEX('[1]реестр просрочников'!$B$3:$B$500,SMALL(IF(ЭКВАЙРИНГ!$D43='[1]реестр просрочников'!$A$3:$A$500,ROW('[1]реестр просрочников'!$B$3:$B$500)-2),COLUMN('[1]реестр просрочников'!E49)),1),"")</f>
        <v>( Организация Равно "КА АЭК ООО" ) И</v>
      </c>
      <c r="F49" t="str">
        <f t="array" ref="F49">IFERROR(INDEX('[1]реестр просрочников'!$B$3:$B$500,SMALL(IF(ЭКВАЙРИНГ!$D43='[1]реестр просрочников'!$A$3:$A$500,ROW('[1]реестр просрочников'!$B$3:$B$500)-2),COLUMN('[1]реестр просрочников'!F49)),1),"")</f>
        <v>Заемщик Не в списке "АЭК ООО КА; АТЛАС ООО; ВЗАИМНО ООО; ИРБИС ООО" И</v>
      </c>
      <c r="G49" t="str">
        <f t="array" ref="G49">IFERROR(INDEX('[1]реестр просрочников'!$B$3:$B$500,SMALL(IF(ЭКВАЙРИНГ!$D43='[1]реестр просрочников'!$A$3:$A$500,ROW('[1]реестр просрочников'!$B$3:$B$500)-2),COLUMN('[1]реестр просрочников'!G49)),1),"")</f>
        <v>Дней на просрочке Меньше или равно "95" И</v>
      </c>
      <c r="H49" t="str">
        <f t="array" ref="H49">IFERROR(INDEX('[1]реестр просрочников'!$B$3:$B$500,SMALL(IF(ЭКВАЙРИНГ!$D43='[1]реестр просрочников'!$A$3:$A$500,ROW('[1]реестр просрочников'!$B$3:$B$500)-2),COLUMN('[1]реестр просрочников'!H49)),1),"")</f>
        <v>Актуальный займ.Договор.Дата передачи в КО (Договоры) Не заполнено</v>
      </c>
      <c r="I49">
        <f t="array" ref="I49">IFERROR(INDEX('[1]реестр просрочников'!$B$3:$B$500,SMALL(IF(ЭКВАЙРИНГ!$D43='[1]реестр просрочников'!$A$3:$A$500,ROW('[1]реестр просрочников'!$B$3:$B$500)-2),COLUMN('[1]реестр просрочников'!I49)),1),"")</f>
        <v>0</v>
      </c>
      <c r="K49" t="str">
        <f>IFERROR(VLOOKUP(ЭКВАЙРИНГ!A43,'[1]реестр просрочников'!$B:$C,2,0),"")</f>
        <v/>
      </c>
    </row>
    <row r="50" spans="4:11" x14ac:dyDescent="0.25">
      <c r="D50" t="str">
        <f t="array" ref="D50">IFERROR(INDEX('[1]реестр просрочников'!$B$3:$B$500,SMALL(IF(ЭКВАЙРИНГ!$D44='[1]реестр просрочников'!$A$3:$A$500,ROW('[1]реестр просрочников'!$B$3:$B$500)-2),COLUMN('[1]реестр просрочников'!D50)),1),"")</f>
        <v>Диапазоны сроков возврата займов: </v>
      </c>
      <c r="E50" t="str">
        <f t="array" ref="E50">IFERROR(INDEX('[1]реестр просрочников'!$B$3:$B$500,SMALL(IF(ЭКВАЙРИНГ!$D44='[1]реестр просрочников'!$A$3:$A$500,ROW('[1]реестр просрочников'!$B$3:$B$500)-2),COLUMN('[1]реестр просрочников'!E50)),1),"")</f>
        <v>( Организация Равно "КА АЭК ООО" ) И</v>
      </c>
      <c r="F50" t="str">
        <f t="array" ref="F50">IFERROR(INDEX('[1]реестр просрочников'!$B$3:$B$500,SMALL(IF(ЭКВАЙРИНГ!$D44='[1]реестр просрочников'!$A$3:$A$500,ROW('[1]реестр просрочников'!$B$3:$B$500)-2),COLUMN('[1]реестр просрочников'!F50)),1),"")</f>
        <v>Заемщик Не в списке "АЭК ООО КА; АТЛАС ООО; ВЗАИМНО ООО; ИРБИС ООО" И</v>
      </c>
      <c r="G50" t="str">
        <f t="array" ref="G50">IFERROR(INDEX('[1]реестр просрочников'!$B$3:$B$500,SMALL(IF(ЭКВАЙРИНГ!$D44='[1]реестр просрочников'!$A$3:$A$500,ROW('[1]реестр просрочников'!$B$3:$B$500)-2),COLUMN('[1]реестр просрочников'!G50)),1),"")</f>
        <v>Дней на просрочке Меньше или равно "95" И</v>
      </c>
      <c r="H50" t="str">
        <f t="array" ref="H50">IFERROR(INDEX('[1]реестр просрочников'!$B$3:$B$500,SMALL(IF(ЭКВАЙРИНГ!$D44='[1]реестр просрочников'!$A$3:$A$500,ROW('[1]реестр просрочников'!$B$3:$B$500)-2),COLUMN('[1]реестр просрочников'!H50)),1),"")</f>
        <v>Актуальный займ.Договор.Дата передачи в КО (Договоры) Не заполнено</v>
      </c>
      <c r="I50">
        <f t="array" ref="I50">IFERROR(INDEX('[1]реестр просрочников'!$B$3:$B$500,SMALL(IF(ЭКВАЙРИНГ!$D44='[1]реестр просрочников'!$A$3:$A$500,ROW('[1]реестр просрочников'!$B$3:$B$500)-2),COLUMN('[1]реестр просрочников'!I50)),1),"")</f>
        <v>0</v>
      </c>
      <c r="K50" t="str">
        <f>IFERROR(VLOOKUP(ЭКВАЙРИНГ!A44,'[1]реестр просрочников'!$B:$C,2,0),"")</f>
        <v/>
      </c>
    </row>
    <row r="51" spans="4:11" x14ac:dyDescent="0.25">
      <c r="D51" t="str">
        <f t="array" ref="D51">IFERROR(INDEX('[1]реестр просрочников'!$B$3:$B$500,SMALL(IF(ЭКВАЙРИНГ!$D45='[1]реестр просрочников'!$A$3:$A$500,ROW('[1]реестр просрочников'!$B$3:$B$500)-2),COLUMN('[1]реестр просрочников'!D51)),1),"")</f>
        <v>Диапазоны сроков возврата займов: </v>
      </c>
      <c r="E51" t="str">
        <f t="array" ref="E51">IFERROR(INDEX('[1]реестр просрочников'!$B$3:$B$500,SMALL(IF(ЭКВАЙРИНГ!$D45='[1]реестр просрочников'!$A$3:$A$500,ROW('[1]реестр просрочников'!$B$3:$B$500)-2),COLUMN('[1]реестр просрочников'!E51)),1),"")</f>
        <v>( Организация Равно "КА АЭК ООО" ) И</v>
      </c>
      <c r="F51" t="str">
        <f t="array" ref="F51">IFERROR(INDEX('[1]реестр просрочников'!$B$3:$B$500,SMALL(IF(ЭКВАЙРИНГ!$D45='[1]реестр просрочников'!$A$3:$A$500,ROW('[1]реестр просрочников'!$B$3:$B$500)-2),COLUMN('[1]реестр просрочников'!F51)),1),"")</f>
        <v>Заемщик Не в списке "АЭК ООО КА; АТЛАС ООО; ВЗАИМНО ООО; ИРБИС ООО" И</v>
      </c>
      <c r="G51" t="str">
        <f t="array" ref="G51">IFERROR(INDEX('[1]реестр просрочников'!$B$3:$B$500,SMALL(IF(ЭКВАЙРИНГ!$D45='[1]реестр просрочников'!$A$3:$A$500,ROW('[1]реестр просрочников'!$B$3:$B$500)-2),COLUMN('[1]реестр просрочников'!G51)),1),"")</f>
        <v>Дней на просрочке Меньше или равно "95" И</v>
      </c>
      <c r="H51" t="str">
        <f t="array" ref="H51">IFERROR(INDEX('[1]реестр просрочников'!$B$3:$B$500,SMALL(IF(ЭКВАЙРИНГ!$D45='[1]реестр просрочников'!$A$3:$A$500,ROW('[1]реестр просрочников'!$B$3:$B$500)-2),COLUMN('[1]реестр просрочников'!H51)),1),"")</f>
        <v>Актуальный займ.Договор.Дата передачи в КО (Договоры) Не заполнено</v>
      </c>
      <c r="I51">
        <f t="array" ref="I51">IFERROR(INDEX('[1]реестр просрочников'!$B$3:$B$500,SMALL(IF(ЭКВАЙРИНГ!$D45='[1]реестр просрочников'!$A$3:$A$500,ROW('[1]реестр просрочников'!$B$3:$B$500)-2),COLUMN('[1]реестр просрочников'!I51)),1),"")</f>
        <v>0</v>
      </c>
      <c r="K51" t="str">
        <f>IFERROR(VLOOKUP(ЭКВАЙРИНГ!A45,'[1]реестр просрочников'!$B:$C,2,0),"")</f>
        <v/>
      </c>
    </row>
    <row r="52" spans="4:11" x14ac:dyDescent="0.25">
      <c r="D52" t="str">
        <f t="array" ref="D52">IFERROR(INDEX('[1]реестр просрочников'!$B$3:$B$500,SMALL(IF(ЭКВАЙРИНГ!$D46='[1]реестр просрочников'!$A$3:$A$500,ROW('[1]реестр просрочников'!$B$3:$B$500)-2),COLUMN('[1]реестр просрочников'!D52)),1),"")</f>
        <v>Диапазоны сроков возврата займов: </v>
      </c>
      <c r="E52" t="str">
        <f t="array" ref="E52">IFERROR(INDEX('[1]реестр просрочников'!$B$3:$B$500,SMALL(IF(ЭКВАЙРИНГ!$D46='[1]реестр просрочников'!$A$3:$A$500,ROW('[1]реестр просрочников'!$B$3:$B$500)-2),COLUMN('[1]реестр просрочников'!E52)),1),"")</f>
        <v>( Организация Равно "КА АЭК ООО" ) И</v>
      </c>
      <c r="F52" t="str">
        <f t="array" ref="F52">IFERROR(INDEX('[1]реестр просрочников'!$B$3:$B$500,SMALL(IF(ЭКВАЙРИНГ!$D46='[1]реестр просрочников'!$A$3:$A$500,ROW('[1]реестр просрочников'!$B$3:$B$500)-2),COLUMN('[1]реестр просрочников'!F52)),1),"")</f>
        <v>Заемщик Не в списке "АЭК ООО КА; АТЛАС ООО; ВЗАИМНО ООО; ИРБИС ООО" И</v>
      </c>
      <c r="G52" t="str">
        <f t="array" ref="G52">IFERROR(INDEX('[1]реестр просрочников'!$B$3:$B$500,SMALL(IF(ЭКВАЙРИНГ!$D46='[1]реестр просрочников'!$A$3:$A$500,ROW('[1]реестр просрочников'!$B$3:$B$500)-2),COLUMN('[1]реестр просрочников'!G52)),1),"")</f>
        <v>Дней на просрочке Меньше или равно "95" И</v>
      </c>
      <c r="H52" t="str">
        <f t="array" ref="H52">IFERROR(INDEX('[1]реестр просрочников'!$B$3:$B$500,SMALL(IF(ЭКВАЙРИНГ!$D46='[1]реестр просрочников'!$A$3:$A$500,ROW('[1]реестр просрочников'!$B$3:$B$500)-2),COLUMN('[1]реестр просрочников'!H52)),1),"")</f>
        <v>Актуальный займ.Договор.Дата передачи в КО (Договоры) Не заполнено</v>
      </c>
      <c r="I52">
        <f t="array" ref="I52">IFERROR(INDEX('[1]реестр просрочников'!$B$3:$B$500,SMALL(IF(ЭКВАЙРИНГ!$D46='[1]реестр просрочников'!$A$3:$A$500,ROW('[1]реестр просрочников'!$B$3:$B$500)-2),COLUMN('[1]реестр просрочников'!I52)),1),"")</f>
        <v>0</v>
      </c>
      <c r="K52" t="str">
        <f>IFERROR(VLOOKUP(ЭКВАЙРИНГ!A46,'[1]реестр просрочников'!$B:$C,2,0),"")</f>
        <v/>
      </c>
    </row>
    <row r="53" spans="4:11" x14ac:dyDescent="0.25">
      <c r="D53" t="str">
        <f t="array" ref="D53">IFERROR(INDEX('[1]реестр просрочников'!$B$3:$B$500,SMALL(IF(ЭКВАЙРИНГ!$D47='[1]реестр просрочников'!$A$3:$A$500,ROW('[1]реестр просрочников'!$B$3:$B$500)-2),COLUMN('[1]реестр просрочников'!D53)),1),"")</f>
        <v>Диапазоны сроков возврата займов: </v>
      </c>
      <c r="E53" t="str">
        <f t="array" ref="E53">IFERROR(INDEX('[1]реестр просрочников'!$B$3:$B$500,SMALL(IF(ЭКВАЙРИНГ!$D47='[1]реестр просрочников'!$A$3:$A$500,ROW('[1]реестр просрочников'!$B$3:$B$500)-2),COLUMN('[1]реестр просрочников'!E53)),1),"")</f>
        <v>( Организация Равно "КА АЭК ООО" ) И</v>
      </c>
      <c r="F53" t="str">
        <f t="array" ref="F53">IFERROR(INDEX('[1]реестр просрочников'!$B$3:$B$500,SMALL(IF(ЭКВАЙРИНГ!$D47='[1]реестр просрочников'!$A$3:$A$500,ROW('[1]реестр просрочников'!$B$3:$B$500)-2),COLUMN('[1]реестр просрочников'!F53)),1),"")</f>
        <v>Заемщик Не в списке "АЭК ООО КА; АТЛАС ООО; ВЗАИМНО ООО; ИРБИС ООО" И</v>
      </c>
      <c r="G53" t="str">
        <f t="array" ref="G53">IFERROR(INDEX('[1]реестр просрочников'!$B$3:$B$500,SMALL(IF(ЭКВАЙРИНГ!$D47='[1]реестр просрочников'!$A$3:$A$500,ROW('[1]реестр просрочников'!$B$3:$B$500)-2),COLUMN('[1]реестр просрочников'!G53)),1),"")</f>
        <v>Дней на просрочке Меньше или равно "95" И</v>
      </c>
      <c r="H53" t="str">
        <f t="array" ref="H53">IFERROR(INDEX('[1]реестр просрочников'!$B$3:$B$500,SMALL(IF(ЭКВАЙРИНГ!$D47='[1]реестр просрочников'!$A$3:$A$500,ROW('[1]реестр просрочников'!$B$3:$B$500)-2),COLUMN('[1]реестр просрочников'!H53)),1),"")</f>
        <v>Актуальный займ.Договор.Дата передачи в КО (Договоры) Не заполнено</v>
      </c>
      <c r="I53">
        <f t="array" ref="I53">IFERROR(INDEX('[1]реестр просрочников'!$B$3:$B$500,SMALL(IF(ЭКВАЙРИНГ!$D47='[1]реестр просрочников'!$A$3:$A$500,ROW('[1]реестр просрочников'!$B$3:$B$500)-2),COLUMN('[1]реестр просрочников'!I53)),1),"")</f>
        <v>0</v>
      </c>
      <c r="K53" t="str">
        <f>IFERROR(VLOOKUP(ЭКВАЙРИНГ!A47,'[1]реестр просрочников'!$B:$C,2,0),"")</f>
        <v/>
      </c>
    </row>
    <row r="54" spans="4:11" x14ac:dyDescent="0.25">
      <c r="D54" t="str">
        <f t="array" ref="D54">IFERROR(INDEX('[1]реестр просрочников'!$B$3:$B$500,SMALL(IF(ЭКВАЙРИНГ!$D48='[1]реестр просрочников'!$A$3:$A$500,ROW('[1]реестр просрочников'!$B$3:$B$500)-2),COLUMN('[1]реестр просрочников'!D54)),1),"")</f>
        <v>Диапазоны сроков возврата займов: </v>
      </c>
      <c r="E54" t="str">
        <f t="array" ref="E54">IFERROR(INDEX('[1]реестр просрочников'!$B$3:$B$500,SMALL(IF(ЭКВАЙРИНГ!$D48='[1]реестр просрочников'!$A$3:$A$500,ROW('[1]реестр просрочников'!$B$3:$B$500)-2),COLUMN('[1]реестр просрочников'!E54)),1),"")</f>
        <v>( Организация Равно "КА АЭК ООО" ) И</v>
      </c>
      <c r="F54" t="str">
        <f t="array" ref="F54">IFERROR(INDEX('[1]реестр просрочников'!$B$3:$B$500,SMALL(IF(ЭКВАЙРИНГ!$D48='[1]реестр просрочников'!$A$3:$A$500,ROW('[1]реестр просрочников'!$B$3:$B$500)-2),COLUMN('[1]реестр просрочников'!F54)),1),"")</f>
        <v>Заемщик Не в списке "АЭК ООО КА; АТЛАС ООО; ВЗАИМНО ООО; ИРБИС ООО" И</v>
      </c>
      <c r="G54" t="str">
        <f t="array" ref="G54">IFERROR(INDEX('[1]реестр просрочников'!$B$3:$B$500,SMALL(IF(ЭКВАЙРИНГ!$D48='[1]реестр просрочников'!$A$3:$A$500,ROW('[1]реестр просрочников'!$B$3:$B$500)-2),COLUMN('[1]реестр просрочников'!G54)),1),"")</f>
        <v>Дней на просрочке Меньше или равно "95" И</v>
      </c>
      <c r="H54" t="str">
        <f t="array" ref="H54">IFERROR(INDEX('[1]реестр просрочников'!$B$3:$B$500,SMALL(IF(ЭКВАЙРИНГ!$D48='[1]реестр просрочников'!$A$3:$A$500,ROW('[1]реестр просрочников'!$B$3:$B$500)-2),COLUMN('[1]реестр просрочников'!H54)),1),"")</f>
        <v>Актуальный займ.Договор.Дата передачи в КО (Договоры) Не заполнено</v>
      </c>
      <c r="I54">
        <f t="array" ref="I54">IFERROR(INDEX('[1]реестр просрочников'!$B$3:$B$500,SMALL(IF(ЭКВАЙРИНГ!$D48='[1]реестр просрочников'!$A$3:$A$500,ROW('[1]реестр просрочников'!$B$3:$B$500)-2),COLUMN('[1]реестр просрочников'!I54)),1),"")</f>
        <v>0</v>
      </c>
      <c r="K54" t="str">
        <f>IFERROR(VLOOKUP(ЭКВАЙРИНГ!A48,'[1]реестр просрочников'!$B:$C,2,0),"")</f>
        <v/>
      </c>
    </row>
    <row r="55" spans="4:11" x14ac:dyDescent="0.25">
      <c r="D55" t="str">
        <f t="array" ref="D55">IFERROR(INDEX('[1]реестр просрочников'!$B$3:$B$500,SMALL(IF(ЭКВАЙРИНГ!$D49='[1]реестр просрочников'!$A$3:$A$500,ROW('[1]реестр просрочников'!$B$3:$B$500)-2),COLUMN('[1]реестр просрочников'!D55)),1),"")</f>
        <v>Диапазоны сроков возврата займов: </v>
      </c>
      <c r="E55" t="str">
        <f t="array" ref="E55">IFERROR(INDEX('[1]реестр просрочников'!$B$3:$B$500,SMALL(IF(ЭКВАЙРИНГ!$D49='[1]реестр просрочников'!$A$3:$A$500,ROW('[1]реестр просрочников'!$B$3:$B$500)-2),COLUMN('[1]реестр просрочников'!E55)),1),"")</f>
        <v>( Организация Равно "КА АЭК ООО" ) И</v>
      </c>
      <c r="F55" t="str">
        <f t="array" ref="F55">IFERROR(INDEX('[1]реестр просрочников'!$B$3:$B$500,SMALL(IF(ЭКВАЙРИНГ!$D49='[1]реестр просрочников'!$A$3:$A$500,ROW('[1]реестр просрочников'!$B$3:$B$500)-2),COLUMN('[1]реестр просрочников'!F55)),1),"")</f>
        <v>Заемщик Не в списке "АЭК ООО КА; АТЛАС ООО; ВЗАИМНО ООО; ИРБИС ООО" И</v>
      </c>
      <c r="G55" t="str">
        <f t="array" ref="G55">IFERROR(INDEX('[1]реестр просрочников'!$B$3:$B$500,SMALL(IF(ЭКВАЙРИНГ!$D49='[1]реестр просрочников'!$A$3:$A$500,ROW('[1]реестр просрочников'!$B$3:$B$500)-2),COLUMN('[1]реестр просрочников'!G55)),1),"")</f>
        <v>Дней на просрочке Меньше или равно "95" И</v>
      </c>
      <c r="H55" t="str">
        <f t="array" ref="H55">IFERROR(INDEX('[1]реестр просрочников'!$B$3:$B$500,SMALL(IF(ЭКВАЙРИНГ!$D49='[1]реестр просрочников'!$A$3:$A$500,ROW('[1]реестр просрочников'!$B$3:$B$500)-2),COLUMN('[1]реестр просрочников'!H55)),1),"")</f>
        <v>Актуальный займ.Договор.Дата передачи в КО (Договоры) Не заполнено</v>
      </c>
      <c r="I55">
        <f t="array" ref="I55">IFERROR(INDEX('[1]реестр просрочников'!$B$3:$B$500,SMALL(IF(ЭКВАЙРИНГ!$D49='[1]реестр просрочников'!$A$3:$A$500,ROW('[1]реестр просрочников'!$B$3:$B$500)-2),COLUMN('[1]реестр просрочников'!I55)),1),"")</f>
        <v>0</v>
      </c>
      <c r="K55" t="str">
        <f>IFERROR(VLOOKUP(ЭКВАЙРИНГ!A49,'[1]реестр просрочников'!$B:$C,2,0),"")</f>
        <v/>
      </c>
    </row>
    <row r="56" spans="4:11" x14ac:dyDescent="0.25">
      <c r="D56" t="str">
        <f t="array" ref="D56">IFERROR(INDEX('[1]реестр просрочников'!$B$3:$B$500,SMALL(IF(ЭКВАЙРИНГ!$D50='[1]реестр просрочников'!$A$3:$A$500,ROW('[1]реестр просрочников'!$B$3:$B$500)-2),COLUMN('[1]реестр просрочников'!D56)),1),"")</f>
        <v>Диапазоны сроков возврата займов: </v>
      </c>
      <c r="E56" t="str">
        <f t="array" ref="E56">IFERROR(INDEX('[1]реестр просрочников'!$B$3:$B$500,SMALL(IF(ЭКВАЙРИНГ!$D50='[1]реестр просрочников'!$A$3:$A$500,ROW('[1]реестр просрочников'!$B$3:$B$500)-2),COLUMN('[1]реестр просрочников'!E56)),1),"")</f>
        <v>( Организация Равно "КА АЭК ООО" ) И</v>
      </c>
      <c r="F56" t="str">
        <f t="array" ref="F56">IFERROR(INDEX('[1]реестр просрочников'!$B$3:$B$500,SMALL(IF(ЭКВАЙРИНГ!$D50='[1]реестр просрочников'!$A$3:$A$500,ROW('[1]реестр просрочников'!$B$3:$B$500)-2),COLUMN('[1]реестр просрочников'!F56)),1),"")</f>
        <v>Заемщик Не в списке "АЭК ООО КА; АТЛАС ООО; ВЗАИМНО ООО; ИРБИС ООО" И</v>
      </c>
      <c r="G56" t="str">
        <f t="array" ref="G56">IFERROR(INDEX('[1]реестр просрочников'!$B$3:$B$500,SMALL(IF(ЭКВАЙРИНГ!$D50='[1]реестр просрочников'!$A$3:$A$500,ROW('[1]реестр просрочников'!$B$3:$B$500)-2),COLUMN('[1]реестр просрочников'!G56)),1),"")</f>
        <v>Дней на просрочке Меньше или равно "95" И</v>
      </c>
      <c r="H56" t="str">
        <f t="array" ref="H56">IFERROR(INDEX('[1]реестр просрочников'!$B$3:$B$500,SMALL(IF(ЭКВАЙРИНГ!$D50='[1]реестр просрочников'!$A$3:$A$500,ROW('[1]реестр просрочников'!$B$3:$B$500)-2),COLUMN('[1]реестр просрочников'!H56)),1),"")</f>
        <v>Актуальный займ.Договор.Дата передачи в КО (Договоры) Не заполнено</v>
      </c>
      <c r="I56">
        <f t="array" ref="I56">IFERROR(INDEX('[1]реестр просрочников'!$B$3:$B$500,SMALL(IF(ЭКВАЙРИНГ!$D50='[1]реестр просрочников'!$A$3:$A$500,ROW('[1]реестр просрочников'!$B$3:$B$500)-2),COLUMN('[1]реестр просрочников'!I56)),1),"")</f>
        <v>0</v>
      </c>
      <c r="K56" t="str">
        <f>IFERROR(VLOOKUP(ЭКВАЙРИНГ!A50,'[1]реестр просрочников'!$B:$C,2,0),"")</f>
        <v/>
      </c>
    </row>
    <row r="57" spans="4:11" x14ac:dyDescent="0.25">
      <c r="D57" t="str">
        <f t="array" ref="D57">IFERROR(INDEX('[1]реестр просрочников'!$B$3:$B$500,SMALL(IF(ЭКВАЙРИНГ!$D51='[1]реестр просрочников'!$A$3:$A$500,ROW('[1]реестр просрочников'!$B$3:$B$500)-2),COLUMN('[1]реестр просрочников'!D57)),1),"")</f>
        <v>Диапазоны сроков возврата займов: </v>
      </c>
      <c r="E57" t="str">
        <f t="array" ref="E57">IFERROR(INDEX('[1]реестр просрочников'!$B$3:$B$500,SMALL(IF(ЭКВАЙРИНГ!$D51='[1]реестр просрочников'!$A$3:$A$500,ROW('[1]реестр просрочников'!$B$3:$B$500)-2),COLUMN('[1]реестр просрочников'!E57)),1),"")</f>
        <v>( Организация Равно "КА АЭК ООО" ) И</v>
      </c>
      <c r="F57" t="str">
        <f t="array" ref="F57">IFERROR(INDEX('[1]реестр просрочников'!$B$3:$B$500,SMALL(IF(ЭКВАЙРИНГ!$D51='[1]реестр просрочников'!$A$3:$A$500,ROW('[1]реестр просрочников'!$B$3:$B$500)-2),COLUMN('[1]реестр просрочников'!F57)),1),"")</f>
        <v>Заемщик Не в списке "АЭК ООО КА; АТЛАС ООО; ВЗАИМНО ООО; ИРБИС ООО" И</v>
      </c>
      <c r="G57" t="str">
        <f t="array" ref="G57">IFERROR(INDEX('[1]реестр просрочников'!$B$3:$B$500,SMALL(IF(ЭКВАЙРИНГ!$D51='[1]реестр просрочников'!$A$3:$A$500,ROW('[1]реестр просрочников'!$B$3:$B$500)-2),COLUMN('[1]реестр просрочников'!G57)),1),"")</f>
        <v>Дней на просрочке Меньше или равно "95" И</v>
      </c>
      <c r="H57" t="str">
        <f t="array" ref="H57">IFERROR(INDEX('[1]реестр просрочников'!$B$3:$B$500,SMALL(IF(ЭКВАЙРИНГ!$D51='[1]реестр просрочников'!$A$3:$A$500,ROW('[1]реестр просрочников'!$B$3:$B$500)-2),COLUMN('[1]реестр просрочников'!H57)),1),"")</f>
        <v>Актуальный займ.Договор.Дата передачи в КО (Договоры) Не заполнено</v>
      </c>
      <c r="I57">
        <f t="array" ref="I57">IFERROR(INDEX('[1]реестр просрочников'!$B$3:$B$500,SMALL(IF(ЭКВАЙРИНГ!$D51='[1]реестр просрочников'!$A$3:$A$500,ROW('[1]реестр просрочников'!$B$3:$B$500)-2),COLUMN('[1]реестр просрочников'!I57)),1),"")</f>
        <v>0</v>
      </c>
      <c r="K57" t="str">
        <f>IFERROR(VLOOKUP(ЭКВАЙРИНГ!A51,'[1]реестр просрочников'!$B:$C,2,0),"")</f>
        <v/>
      </c>
    </row>
    <row r="58" spans="4:11" x14ac:dyDescent="0.25">
      <c r="D58" t="str">
        <f t="array" ref="D58">IFERROR(INDEX('[1]реестр просрочников'!$B$3:$B$500,SMALL(IF(ЭКВАЙРИНГ!$D52='[1]реестр просрочников'!$A$3:$A$500,ROW('[1]реестр просрочников'!$B$3:$B$500)-2),COLUMN('[1]реестр просрочников'!D58)),1),"")</f>
        <v>Диапазоны сроков возврата займов: </v>
      </c>
      <c r="E58" t="str">
        <f t="array" ref="E58">IFERROR(INDEX('[1]реестр просрочников'!$B$3:$B$500,SMALL(IF(ЭКВАЙРИНГ!$D52='[1]реестр просрочников'!$A$3:$A$500,ROW('[1]реестр просрочников'!$B$3:$B$500)-2),COLUMN('[1]реестр просрочников'!E58)),1),"")</f>
        <v>( Организация Равно "КА АЭК ООО" ) И</v>
      </c>
      <c r="F58" t="str">
        <f t="array" ref="F58">IFERROR(INDEX('[1]реестр просрочников'!$B$3:$B$500,SMALL(IF(ЭКВАЙРИНГ!$D52='[1]реестр просрочников'!$A$3:$A$500,ROW('[1]реестр просрочников'!$B$3:$B$500)-2),COLUMN('[1]реестр просрочников'!F58)),1),"")</f>
        <v>Заемщик Не в списке "АЭК ООО КА; АТЛАС ООО; ВЗАИМНО ООО; ИРБИС ООО" И</v>
      </c>
      <c r="G58" t="str">
        <f t="array" ref="G58">IFERROR(INDEX('[1]реестр просрочников'!$B$3:$B$500,SMALL(IF(ЭКВАЙРИНГ!$D52='[1]реестр просрочников'!$A$3:$A$500,ROW('[1]реестр просрочников'!$B$3:$B$500)-2),COLUMN('[1]реестр просрочников'!G58)),1),"")</f>
        <v>Дней на просрочке Меньше или равно "95" И</v>
      </c>
      <c r="H58" t="str">
        <f t="array" ref="H58">IFERROR(INDEX('[1]реестр просрочников'!$B$3:$B$500,SMALL(IF(ЭКВАЙРИНГ!$D52='[1]реестр просрочников'!$A$3:$A$500,ROW('[1]реестр просрочников'!$B$3:$B$500)-2),COLUMN('[1]реестр просрочников'!H58)),1),"")</f>
        <v>Актуальный займ.Договор.Дата передачи в КО (Договоры) Не заполнено</v>
      </c>
      <c r="I58">
        <f t="array" ref="I58">IFERROR(INDEX('[1]реестр просрочников'!$B$3:$B$500,SMALL(IF(ЭКВАЙРИНГ!$D52='[1]реестр просрочников'!$A$3:$A$500,ROW('[1]реестр просрочников'!$B$3:$B$500)-2),COLUMN('[1]реестр просрочников'!I58)),1),"")</f>
        <v>0</v>
      </c>
      <c r="K58" t="str">
        <f>IFERROR(VLOOKUP(ЭКВАЙРИНГ!A52,'[1]реестр просрочников'!$B:$C,2,0),"")</f>
        <v/>
      </c>
    </row>
    <row r="59" spans="4:11" x14ac:dyDescent="0.25">
      <c r="D59" t="str">
        <f t="array" ref="D59">IFERROR(INDEX('[1]реестр просрочников'!$B$3:$B$500,SMALL(IF(ЭКВАЙРИНГ!$D53='[1]реестр просрочников'!$A$3:$A$500,ROW('[1]реестр просрочников'!$B$3:$B$500)-2),COLUMN('[1]реестр просрочников'!D59)),1),"")</f>
        <v>Диапазоны сроков возврата займов: </v>
      </c>
      <c r="E59" t="str">
        <f t="array" ref="E59">IFERROR(INDEX('[1]реестр просрочников'!$B$3:$B$500,SMALL(IF(ЭКВАЙРИНГ!$D53='[1]реестр просрочников'!$A$3:$A$500,ROW('[1]реестр просрочников'!$B$3:$B$500)-2),COLUMN('[1]реестр просрочников'!E59)),1),"")</f>
        <v>( Организация Равно "КА АЭК ООО" ) И</v>
      </c>
      <c r="F59" t="str">
        <f t="array" ref="F59">IFERROR(INDEX('[1]реестр просрочников'!$B$3:$B$500,SMALL(IF(ЭКВАЙРИНГ!$D53='[1]реестр просрочников'!$A$3:$A$500,ROW('[1]реестр просрочников'!$B$3:$B$500)-2),COLUMN('[1]реестр просрочников'!F59)),1),"")</f>
        <v>Заемщик Не в списке "АЭК ООО КА; АТЛАС ООО; ВЗАИМНО ООО; ИРБИС ООО" И</v>
      </c>
      <c r="G59" t="str">
        <f t="array" ref="G59">IFERROR(INDEX('[1]реестр просрочников'!$B$3:$B$500,SMALL(IF(ЭКВАЙРИНГ!$D53='[1]реестр просрочников'!$A$3:$A$500,ROW('[1]реестр просрочников'!$B$3:$B$500)-2),COLUMN('[1]реестр просрочников'!G59)),1),"")</f>
        <v>Дней на просрочке Меньше или равно "95" И</v>
      </c>
      <c r="H59" t="str">
        <f t="array" ref="H59">IFERROR(INDEX('[1]реестр просрочников'!$B$3:$B$500,SMALL(IF(ЭКВАЙРИНГ!$D53='[1]реестр просрочников'!$A$3:$A$500,ROW('[1]реестр просрочников'!$B$3:$B$500)-2),COLUMN('[1]реестр просрочников'!H59)),1),"")</f>
        <v>Актуальный займ.Договор.Дата передачи в КО (Договоры) Не заполнено</v>
      </c>
      <c r="I59">
        <f t="array" ref="I59">IFERROR(INDEX('[1]реестр просрочников'!$B$3:$B$500,SMALL(IF(ЭКВАЙРИНГ!$D53='[1]реестр просрочников'!$A$3:$A$500,ROW('[1]реестр просрочников'!$B$3:$B$500)-2),COLUMN('[1]реестр просрочников'!I59)),1),"")</f>
        <v>0</v>
      </c>
      <c r="K59" t="str">
        <f>IFERROR(VLOOKUP(ЭКВАЙРИНГ!A53,'[1]реестр просрочников'!$B:$C,2,0),"")</f>
        <v/>
      </c>
    </row>
    <row r="60" spans="4:11" x14ac:dyDescent="0.25">
      <c r="D60" t="str">
        <f t="array" ref="D60">IFERROR(INDEX('[1]реестр просрочников'!$B$3:$B$500,SMALL(IF(ЭКВАЙРИНГ!$D54='[1]реестр просрочников'!$A$3:$A$500,ROW('[1]реестр просрочников'!$B$3:$B$500)-2),COLUMN('[1]реестр просрочников'!D60)),1),"")</f>
        <v>Диапазоны сроков возврата займов: </v>
      </c>
      <c r="E60" t="str">
        <f t="array" ref="E60">IFERROR(INDEX('[1]реестр просрочников'!$B$3:$B$500,SMALL(IF(ЭКВАЙРИНГ!$D54='[1]реестр просрочников'!$A$3:$A$500,ROW('[1]реестр просрочников'!$B$3:$B$500)-2),COLUMN('[1]реестр просрочников'!E60)),1),"")</f>
        <v>( Организация Равно "КА АЭК ООО" ) И</v>
      </c>
      <c r="F60" t="str">
        <f t="array" ref="F60">IFERROR(INDEX('[1]реестр просрочников'!$B$3:$B$500,SMALL(IF(ЭКВАЙРИНГ!$D54='[1]реестр просрочников'!$A$3:$A$500,ROW('[1]реестр просрочников'!$B$3:$B$500)-2),COLUMN('[1]реестр просрочников'!F60)),1),"")</f>
        <v>Заемщик Не в списке "АЭК ООО КА; АТЛАС ООО; ВЗАИМНО ООО; ИРБИС ООО" И</v>
      </c>
      <c r="G60" t="str">
        <f t="array" ref="G60">IFERROR(INDEX('[1]реестр просрочников'!$B$3:$B$500,SMALL(IF(ЭКВАЙРИНГ!$D54='[1]реестр просрочников'!$A$3:$A$500,ROW('[1]реестр просрочников'!$B$3:$B$500)-2),COLUMN('[1]реестр просрочников'!G60)),1),"")</f>
        <v>Дней на просрочке Меньше или равно "95" И</v>
      </c>
      <c r="H60" t="str">
        <f t="array" ref="H60">IFERROR(INDEX('[1]реестр просрочников'!$B$3:$B$500,SMALL(IF(ЭКВАЙРИНГ!$D54='[1]реестр просрочников'!$A$3:$A$500,ROW('[1]реестр просрочников'!$B$3:$B$500)-2),COLUMN('[1]реестр просрочников'!H60)),1),"")</f>
        <v>Актуальный займ.Договор.Дата передачи в КО (Договоры) Не заполнено</v>
      </c>
      <c r="I60">
        <f t="array" ref="I60">IFERROR(INDEX('[1]реестр просрочников'!$B$3:$B$500,SMALL(IF(ЭКВАЙРИНГ!$D54='[1]реестр просрочников'!$A$3:$A$500,ROW('[1]реестр просрочников'!$B$3:$B$500)-2),COLUMN('[1]реестр просрочников'!I60)),1),"")</f>
        <v>0</v>
      </c>
      <c r="K60" t="str">
        <f>IFERROR(VLOOKUP(ЭКВАЙРИНГ!A54,'[1]реестр просрочников'!$B:$C,2,0),"")</f>
        <v/>
      </c>
    </row>
    <row r="61" spans="4:11" x14ac:dyDescent="0.25">
      <c r="D61" t="str">
        <f t="array" ref="D61">IFERROR(INDEX('[1]реестр просрочников'!$B$3:$B$500,SMALL(IF(ЭКВАЙРИНГ!$D55='[1]реестр просрочников'!$A$3:$A$500,ROW('[1]реестр просрочников'!$B$3:$B$500)-2),COLUMN('[1]реестр просрочников'!D61)),1),"")</f>
        <v>Диапазоны сроков возврата займов: </v>
      </c>
      <c r="E61" t="str">
        <f t="array" ref="E61">IFERROR(INDEX('[1]реестр просрочников'!$B$3:$B$500,SMALL(IF(ЭКВАЙРИНГ!$D55='[1]реестр просрочников'!$A$3:$A$500,ROW('[1]реестр просрочников'!$B$3:$B$500)-2),COLUMN('[1]реестр просрочников'!E61)),1),"")</f>
        <v>( Организация Равно "КА АЭК ООО" ) И</v>
      </c>
      <c r="F61" t="str">
        <f t="array" ref="F61">IFERROR(INDEX('[1]реестр просрочников'!$B$3:$B$500,SMALL(IF(ЭКВАЙРИНГ!$D55='[1]реестр просрочников'!$A$3:$A$500,ROW('[1]реестр просрочников'!$B$3:$B$500)-2),COLUMN('[1]реестр просрочников'!F61)),1),"")</f>
        <v>Заемщик Не в списке "АЭК ООО КА; АТЛАС ООО; ВЗАИМНО ООО; ИРБИС ООО" И</v>
      </c>
      <c r="G61" t="str">
        <f t="array" ref="G61">IFERROR(INDEX('[1]реестр просрочников'!$B$3:$B$500,SMALL(IF(ЭКВАЙРИНГ!$D55='[1]реестр просрочников'!$A$3:$A$500,ROW('[1]реестр просрочников'!$B$3:$B$500)-2),COLUMN('[1]реестр просрочников'!G61)),1),"")</f>
        <v>Дней на просрочке Меньше или равно "95" И</v>
      </c>
      <c r="H61" t="str">
        <f t="array" ref="H61">IFERROR(INDEX('[1]реестр просрочников'!$B$3:$B$500,SMALL(IF(ЭКВАЙРИНГ!$D55='[1]реестр просрочников'!$A$3:$A$500,ROW('[1]реестр просрочников'!$B$3:$B$500)-2),COLUMN('[1]реестр просрочников'!H61)),1),"")</f>
        <v>Актуальный займ.Договор.Дата передачи в КО (Договоры) Не заполнено</v>
      </c>
      <c r="I61">
        <f t="array" ref="I61">IFERROR(INDEX('[1]реестр просрочников'!$B$3:$B$500,SMALL(IF(ЭКВАЙРИНГ!$D55='[1]реестр просрочников'!$A$3:$A$500,ROW('[1]реестр просрочников'!$B$3:$B$500)-2),COLUMN('[1]реестр просрочников'!I61)),1),"")</f>
        <v>0</v>
      </c>
      <c r="K61" t="str">
        <f>IFERROR(VLOOKUP(ЭКВАЙРИНГ!A55,'[1]реестр просрочников'!$B:$C,2,0),"")</f>
        <v/>
      </c>
    </row>
    <row r="62" spans="4:11" x14ac:dyDescent="0.25">
      <c r="D62" t="str">
        <f t="array" ref="D62">IFERROR(INDEX('[1]реестр просрочников'!$B$3:$B$500,SMALL(IF(ЭКВАЙРИНГ!$D56='[1]реестр просрочников'!$A$3:$A$500,ROW('[1]реестр просрочников'!$B$3:$B$500)-2),COLUMN('[1]реестр просрочников'!D62)),1),"")</f>
        <v>Диапазоны сроков возврата займов: </v>
      </c>
      <c r="E62" t="str">
        <f t="array" ref="E62">IFERROR(INDEX('[1]реестр просрочников'!$B$3:$B$500,SMALL(IF(ЭКВАЙРИНГ!$D56='[1]реестр просрочников'!$A$3:$A$500,ROW('[1]реестр просрочников'!$B$3:$B$500)-2),COLUMN('[1]реестр просрочников'!E62)),1),"")</f>
        <v>( Организация Равно "КА АЭК ООО" ) И</v>
      </c>
      <c r="F62" t="str">
        <f t="array" ref="F62">IFERROR(INDEX('[1]реестр просрочников'!$B$3:$B$500,SMALL(IF(ЭКВАЙРИНГ!$D56='[1]реестр просрочников'!$A$3:$A$500,ROW('[1]реестр просрочников'!$B$3:$B$500)-2),COLUMN('[1]реестр просрочников'!F62)),1),"")</f>
        <v>Заемщик Не в списке "АЭК ООО КА; АТЛАС ООО; ВЗАИМНО ООО; ИРБИС ООО" И</v>
      </c>
      <c r="G62" t="str">
        <f t="array" ref="G62">IFERROR(INDEX('[1]реестр просрочников'!$B$3:$B$500,SMALL(IF(ЭКВАЙРИНГ!$D56='[1]реестр просрочников'!$A$3:$A$500,ROW('[1]реестр просрочников'!$B$3:$B$500)-2),COLUMN('[1]реестр просрочников'!G62)),1),"")</f>
        <v>Дней на просрочке Меньше или равно "95" И</v>
      </c>
      <c r="H62" t="str">
        <f t="array" ref="H62">IFERROR(INDEX('[1]реестр просрочников'!$B$3:$B$500,SMALL(IF(ЭКВАЙРИНГ!$D56='[1]реестр просрочников'!$A$3:$A$500,ROW('[1]реестр просрочников'!$B$3:$B$500)-2),COLUMN('[1]реестр просрочников'!H62)),1),"")</f>
        <v>Актуальный займ.Договор.Дата передачи в КО (Договоры) Не заполнено</v>
      </c>
      <c r="I62">
        <f t="array" ref="I62">IFERROR(INDEX('[1]реестр просрочников'!$B$3:$B$500,SMALL(IF(ЭКВАЙРИНГ!$D56='[1]реестр просрочников'!$A$3:$A$500,ROW('[1]реестр просрочников'!$B$3:$B$500)-2),COLUMN('[1]реестр просрочников'!I62)),1),"")</f>
        <v>0</v>
      </c>
      <c r="K62" t="str">
        <f>IFERROR(VLOOKUP(ЭКВАЙРИНГ!A56,'[1]реестр просрочников'!$B:$C,2,0),"")</f>
        <v/>
      </c>
    </row>
    <row r="63" spans="4:11" x14ac:dyDescent="0.25">
      <c r="D63" t="str">
        <f t="array" ref="D63">IFERROR(INDEX('[1]реестр просрочников'!$B$3:$B$500,SMALL(IF(ЭКВАЙРИНГ!$D57='[1]реестр просрочников'!$A$3:$A$500,ROW('[1]реестр просрочников'!$B$3:$B$500)-2),COLUMN('[1]реестр просрочников'!D63)),1),"")</f>
        <v>Диапазоны сроков возврата займов: </v>
      </c>
      <c r="E63" t="str">
        <f t="array" ref="E63">IFERROR(INDEX('[1]реестр просрочников'!$B$3:$B$500,SMALL(IF(ЭКВАЙРИНГ!$D57='[1]реестр просрочников'!$A$3:$A$500,ROW('[1]реестр просрочников'!$B$3:$B$500)-2),COLUMN('[1]реестр просрочников'!E63)),1),"")</f>
        <v>( Организация Равно "КА АЭК ООО" ) И</v>
      </c>
      <c r="F63" t="str">
        <f t="array" ref="F63">IFERROR(INDEX('[1]реестр просрочников'!$B$3:$B$500,SMALL(IF(ЭКВАЙРИНГ!$D57='[1]реестр просрочников'!$A$3:$A$500,ROW('[1]реестр просрочников'!$B$3:$B$500)-2),COLUMN('[1]реестр просрочников'!F63)),1),"")</f>
        <v>Заемщик Не в списке "АЭК ООО КА; АТЛАС ООО; ВЗАИМНО ООО; ИРБИС ООО" И</v>
      </c>
      <c r="G63" t="str">
        <f t="array" ref="G63">IFERROR(INDEX('[1]реестр просрочников'!$B$3:$B$500,SMALL(IF(ЭКВАЙРИНГ!$D57='[1]реестр просрочников'!$A$3:$A$500,ROW('[1]реестр просрочников'!$B$3:$B$500)-2),COLUMN('[1]реестр просрочников'!G63)),1),"")</f>
        <v>Дней на просрочке Меньше или равно "95" И</v>
      </c>
      <c r="H63" t="str">
        <f t="array" ref="H63">IFERROR(INDEX('[1]реестр просрочников'!$B$3:$B$500,SMALL(IF(ЭКВАЙРИНГ!$D57='[1]реестр просрочников'!$A$3:$A$500,ROW('[1]реестр просрочников'!$B$3:$B$500)-2),COLUMN('[1]реестр просрочников'!H63)),1),"")</f>
        <v>Актуальный займ.Договор.Дата передачи в КО (Договоры) Не заполнено</v>
      </c>
      <c r="I63">
        <f t="array" ref="I63">IFERROR(INDEX('[1]реестр просрочников'!$B$3:$B$500,SMALL(IF(ЭКВАЙРИНГ!$D57='[1]реестр просрочников'!$A$3:$A$500,ROW('[1]реестр просрочников'!$B$3:$B$500)-2),COLUMN('[1]реестр просрочников'!I63)),1),"")</f>
        <v>0</v>
      </c>
      <c r="K63" t="str">
        <f>IFERROR(VLOOKUP(ЭКВАЙРИНГ!A57,'[1]реестр просрочников'!$B:$C,2,0),"")</f>
        <v/>
      </c>
    </row>
    <row r="64" spans="4:11" x14ac:dyDescent="0.25">
      <c r="D64" t="str">
        <f t="array" ref="D64">IFERROR(INDEX('[1]реестр просрочников'!$B$3:$B$500,SMALL(IF(ЭКВАЙРИНГ!$D58='[1]реестр просрочников'!$A$3:$A$500,ROW('[1]реестр просрочников'!$B$3:$B$500)-2),COLUMN('[1]реестр просрочников'!D64)),1),"")</f>
        <v>Диапазоны сроков возврата займов: </v>
      </c>
      <c r="E64" t="str">
        <f t="array" ref="E64">IFERROR(INDEX('[1]реестр просрочников'!$B$3:$B$500,SMALL(IF(ЭКВАЙРИНГ!$D58='[1]реестр просрочников'!$A$3:$A$500,ROW('[1]реестр просрочников'!$B$3:$B$500)-2),COLUMN('[1]реестр просрочников'!E64)),1),"")</f>
        <v>( Организация Равно "КА АЭК ООО" ) И</v>
      </c>
      <c r="F64" t="str">
        <f t="array" ref="F64">IFERROR(INDEX('[1]реестр просрочников'!$B$3:$B$500,SMALL(IF(ЭКВАЙРИНГ!$D58='[1]реестр просрочников'!$A$3:$A$500,ROW('[1]реестр просрочников'!$B$3:$B$500)-2),COLUMN('[1]реестр просрочников'!F64)),1),"")</f>
        <v>Заемщик Не в списке "АЭК ООО КА; АТЛАС ООО; ВЗАИМНО ООО; ИРБИС ООО" И</v>
      </c>
      <c r="G64" t="str">
        <f t="array" ref="G64">IFERROR(INDEX('[1]реестр просрочников'!$B$3:$B$500,SMALL(IF(ЭКВАЙРИНГ!$D58='[1]реестр просрочников'!$A$3:$A$500,ROW('[1]реестр просрочников'!$B$3:$B$500)-2),COLUMN('[1]реестр просрочников'!G64)),1),"")</f>
        <v>Дней на просрочке Меньше или равно "95" И</v>
      </c>
      <c r="H64" t="str">
        <f t="array" ref="H64">IFERROR(INDEX('[1]реестр просрочников'!$B$3:$B$500,SMALL(IF(ЭКВАЙРИНГ!$D58='[1]реестр просрочников'!$A$3:$A$500,ROW('[1]реестр просрочников'!$B$3:$B$500)-2),COLUMN('[1]реестр просрочников'!H64)),1),"")</f>
        <v>Актуальный займ.Договор.Дата передачи в КО (Договоры) Не заполнено</v>
      </c>
      <c r="I64">
        <f t="array" ref="I64">IFERROR(INDEX('[1]реестр просрочников'!$B$3:$B$500,SMALL(IF(ЭКВАЙРИНГ!$D58='[1]реестр просрочников'!$A$3:$A$500,ROW('[1]реестр просрочников'!$B$3:$B$500)-2),COLUMN('[1]реестр просрочников'!I64)),1),"")</f>
        <v>0</v>
      </c>
      <c r="K64" t="str">
        <f>IFERROR(VLOOKUP(ЭКВАЙРИНГ!A58,'[1]реестр просрочников'!$B:$C,2,0),"")</f>
        <v/>
      </c>
    </row>
    <row r="65" spans="4:11" x14ac:dyDescent="0.25">
      <c r="D65" t="str">
        <f t="array" ref="D65">IFERROR(INDEX('[1]реестр просрочников'!$B$3:$B$500,SMALL(IF(ЭКВАЙРИНГ!$D59='[1]реестр просрочников'!$A$3:$A$500,ROW('[1]реестр просрочников'!$B$3:$B$500)-2),COLUMN('[1]реестр просрочников'!D65)),1),"")</f>
        <v>Диапазоны сроков возврата займов: </v>
      </c>
      <c r="E65" t="str">
        <f t="array" ref="E65">IFERROR(INDEX('[1]реестр просрочников'!$B$3:$B$500,SMALL(IF(ЭКВАЙРИНГ!$D59='[1]реестр просрочников'!$A$3:$A$500,ROW('[1]реестр просрочников'!$B$3:$B$500)-2),COLUMN('[1]реестр просрочников'!E65)),1),"")</f>
        <v>( Организация Равно "КА АЭК ООО" ) И</v>
      </c>
      <c r="F65" t="str">
        <f t="array" ref="F65">IFERROR(INDEX('[1]реестр просрочников'!$B$3:$B$500,SMALL(IF(ЭКВАЙРИНГ!$D59='[1]реестр просрочников'!$A$3:$A$500,ROW('[1]реестр просрочников'!$B$3:$B$500)-2),COLUMN('[1]реестр просрочников'!F65)),1),"")</f>
        <v>Заемщик Не в списке "АЭК ООО КА; АТЛАС ООО; ВЗАИМНО ООО; ИРБИС ООО" И</v>
      </c>
      <c r="G65" t="str">
        <f t="array" ref="G65">IFERROR(INDEX('[1]реестр просрочников'!$B$3:$B$500,SMALL(IF(ЭКВАЙРИНГ!$D59='[1]реестр просрочников'!$A$3:$A$500,ROW('[1]реестр просрочников'!$B$3:$B$500)-2),COLUMN('[1]реестр просрочников'!G65)),1),"")</f>
        <v>Дней на просрочке Меньше или равно "95" И</v>
      </c>
      <c r="H65" t="str">
        <f t="array" ref="H65">IFERROR(INDEX('[1]реестр просрочников'!$B$3:$B$500,SMALL(IF(ЭКВАЙРИНГ!$D59='[1]реестр просрочников'!$A$3:$A$500,ROW('[1]реестр просрочников'!$B$3:$B$500)-2),COLUMN('[1]реестр просрочников'!H65)),1),"")</f>
        <v>Актуальный займ.Договор.Дата передачи в КО (Договоры) Не заполнено</v>
      </c>
      <c r="I65">
        <f t="array" ref="I65">IFERROR(INDEX('[1]реестр просрочников'!$B$3:$B$500,SMALL(IF(ЭКВАЙРИНГ!$D59='[1]реестр просрочников'!$A$3:$A$500,ROW('[1]реестр просрочников'!$B$3:$B$500)-2),COLUMN('[1]реестр просрочников'!I65)),1),"")</f>
        <v>0</v>
      </c>
      <c r="K65" t="str">
        <f>IFERROR(VLOOKUP(ЭКВАЙРИНГ!A59,'[1]реестр просрочников'!$B:$C,2,0),"")</f>
        <v/>
      </c>
    </row>
    <row r="66" spans="4:11" x14ac:dyDescent="0.25">
      <c r="D66" t="str">
        <f t="array" ref="D66">IFERROR(INDEX('[1]реестр просрочников'!$B$3:$B$500,SMALL(IF(ЭКВАЙРИНГ!$D60='[1]реестр просрочников'!$A$3:$A$500,ROW('[1]реестр просрочников'!$B$3:$B$500)-2),COLUMN('[1]реестр просрочников'!D66)),1),"")</f>
        <v>Диапазоны сроков возврата займов: </v>
      </c>
      <c r="E66" t="str">
        <f t="array" ref="E66">IFERROR(INDEX('[1]реестр просрочников'!$B$3:$B$500,SMALL(IF(ЭКВАЙРИНГ!$D60='[1]реестр просрочников'!$A$3:$A$500,ROW('[1]реестр просрочников'!$B$3:$B$500)-2),COLUMN('[1]реестр просрочников'!E66)),1),"")</f>
        <v>( Организация Равно "КА АЭК ООО" ) И</v>
      </c>
      <c r="F66" t="str">
        <f t="array" ref="F66">IFERROR(INDEX('[1]реестр просрочников'!$B$3:$B$500,SMALL(IF(ЭКВАЙРИНГ!$D60='[1]реестр просрочников'!$A$3:$A$500,ROW('[1]реестр просрочников'!$B$3:$B$500)-2),COLUMN('[1]реестр просрочников'!F66)),1),"")</f>
        <v>Заемщик Не в списке "АЭК ООО КА; АТЛАС ООО; ВЗАИМНО ООО; ИРБИС ООО" И</v>
      </c>
      <c r="G66" t="str">
        <f t="array" ref="G66">IFERROR(INDEX('[1]реестр просрочников'!$B$3:$B$500,SMALL(IF(ЭКВАЙРИНГ!$D60='[1]реестр просрочников'!$A$3:$A$500,ROW('[1]реестр просрочников'!$B$3:$B$500)-2),COLUMN('[1]реестр просрочников'!G66)),1),"")</f>
        <v>Дней на просрочке Меньше или равно "95" И</v>
      </c>
      <c r="H66" t="str">
        <f t="array" ref="H66">IFERROR(INDEX('[1]реестр просрочников'!$B$3:$B$500,SMALL(IF(ЭКВАЙРИНГ!$D60='[1]реестр просрочников'!$A$3:$A$500,ROW('[1]реестр просрочников'!$B$3:$B$500)-2),COLUMN('[1]реестр просрочников'!H66)),1),"")</f>
        <v>Актуальный займ.Договор.Дата передачи в КО (Договоры) Не заполнено</v>
      </c>
      <c r="I66">
        <f t="array" ref="I66">IFERROR(INDEX('[1]реестр просрочников'!$B$3:$B$500,SMALL(IF(ЭКВАЙРИНГ!$D60='[1]реестр просрочников'!$A$3:$A$500,ROW('[1]реестр просрочников'!$B$3:$B$500)-2),COLUMN('[1]реестр просрочников'!I66)),1),"")</f>
        <v>0</v>
      </c>
      <c r="K66" t="str">
        <f>IFERROR(VLOOKUP(ЭКВАЙРИНГ!A60,'[1]реестр просрочников'!$B:$C,2,0),"")</f>
        <v/>
      </c>
    </row>
    <row r="67" spans="4:11" x14ac:dyDescent="0.25">
      <c r="D67" t="str">
        <f t="array" ref="D67">IFERROR(INDEX('[1]реестр просрочников'!$B$3:$B$500,SMALL(IF(ЭКВАЙРИНГ!$D61='[1]реестр просрочников'!$A$3:$A$500,ROW('[1]реестр просрочников'!$B$3:$B$500)-2),COLUMN('[1]реестр просрочников'!D67)),1),"")</f>
        <v>Диапазоны сроков возврата займов: </v>
      </c>
      <c r="E67" t="str">
        <f t="array" ref="E67">IFERROR(INDEX('[1]реестр просрочников'!$B$3:$B$500,SMALL(IF(ЭКВАЙРИНГ!$D61='[1]реестр просрочников'!$A$3:$A$500,ROW('[1]реестр просрочников'!$B$3:$B$500)-2),COLUMN('[1]реестр просрочников'!E67)),1),"")</f>
        <v>( Организация Равно "КА АЭК ООО" ) И</v>
      </c>
      <c r="F67" t="str">
        <f t="array" ref="F67">IFERROR(INDEX('[1]реестр просрочников'!$B$3:$B$500,SMALL(IF(ЭКВАЙРИНГ!$D61='[1]реестр просрочников'!$A$3:$A$500,ROW('[1]реестр просрочников'!$B$3:$B$500)-2),COLUMN('[1]реестр просрочников'!F67)),1),"")</f>
        <v>Заемщик Не в списке "АЭК ООО КА; АТЛАС ООО; ВЗАИМНО ООО; ИРБИС ООО" И</v>
      </c>
      <c r="G67" t="str">
        <f t="array" ref="G67">IFERROR(INDEX('[1]реестр просрочников'!$B$3:$B$500,SMALL(IF(ЭКВАЙРИНГ!$D61='[1]реестр просрочников'!$A$3:$A$500,ROW('[1]реестр просрочников'!$B$3:$B$500)-2),COLUMN('[1]реестр просрочников'!G67)),1),"")</f>
        <v>Дней на просрочке Меньше или равно "95" И</v>
      </c>
      <c r="H67" t="str">
        <f t="array" ref="H67">IFERROR(INDEX('[1]реестр просрочников'!$B$3:$B$500,SMALL(IF(ЭКВАЙРИНГ!$D61='[1]реестр просрочников'!$A$3:$A$500,ROW('[1]реестр просрочников'!$B$3:$B$500)-2),COLUMN('[1]реестр просрочников'!H67)),1),"")</f>
        <v>Актуальный займ.Договор.Дата передачи в КО (Договоры) Не заполнено</v>
      </c>
      <c r="I67">
        <f t="array" ref="I67">IFERROR(INDEX('[1]реестр просрочников'!$B$3:$B$500,SMALL(IF(ЭКВАЙРИНГ!$D61='[1]реестр просрочников'!$A$3:$A$500,ROW('[1]реестр просрочников'!$B$3:$B$500)-2),COLUMN('[1]реестр просрочников'!I67)),1),"")</f>
        <v>0</v>
      </c>
      <c r="K67" t="str">
        <f>IFERROR(VLOOKUP(ЭКВАЙРИНГ!A61,'[1]реестр просрочников'!$B:$C,2,0),"")</f>
        <v/>
      </c>
    </row>
    <row r="68" spans="4:11" x14ac:dyDescent="0.25">
      <c r="D68" t="str">
        <f t="array" ref="D68">IFERROR(INDEX('[1]реестр просрочников'!$B$3:$B$500,SMALL(IF(ЭКВАЙРИНГ!$D62='[1]реестр просрочников'!$A$3:$A$500,ROW('[1]реестр просрочников'!$B$3:$B$500)-2),COLUMN('[1]реестр просрочников'!D68)),1),"")</f>
        <v>Диапазоны сроков возврата займов: </v>
      </c>
      <c r="E68" t="str">
        <f t="array" ref="E68">IFERROR(INDEX('[1]реестр просрочников'!$B$3:$B$500,SMALL(IF(ЭКВАЙРИНГ!$D62='[1]реестр просрочников'!$A$3:$A$500,ROW('[1]реестр просрочников'!$B$3:$B$500)-2),COLUMN('[1]реестр просрочников'!E68)),1),"")</f>
        <v>( Организация Равно "КА АЭК ООО" ) И</v>
      </c>
      <c r="F68" t="str">
        <f t="array" ref="F68">IFERROR(INDEX('[1]реестр просрочников'!$B$3:$B$500,SMALL(IF(ЭКВАЙРИНГ!$D62='[1]реестр просрочников'!$A$3:$A$500,ROW('[1]реестр просрочников'!$B$3:$B$500)-2),COLUMN('[1]реестр просрочников'!F68)),1),"")</f>
        <v>Заемщик Не в списке "АЭК ООО КА; АТЛАС ООО; ВЗАИМНО ООО; ИРБИС ООО" И</v>
      </c>
      <c r="G68" t="str">
        <f t="array" ref="G68">IFERROR(INDEX('[1]реестр просрочников'!$B$3:$B$500,SMALL(IF(ЭКВАЙРИНГ!$D62='[1]реестр просрочников'!$A$3:$A$500,ROW('[1]реестр просрочников'!$B$3:$B$500)-2),COLUMN('[1]реестр просрочников'!G68)),1),"")</f>
        <v>Дней на просрочке Меньше или равно "95" И</v>
      </c>
      <c r="H68" t="str">
        <f t="array" ref="H68">IFERROR(INDEX('[1]реестр просрочников'!$B$3:$B$500,SMALL(IF(ЭКВАЙРИНГ!$D62='[1]реестр просрочников'!$A$3:$A$500,ROW('[1]реестр просрочников'!$B$3:$B$500)-2),COLUMN('[1]реестр просрочников'!H68)),1),"")</f>
        <v>Актуальный займ.Договор.Дата передачи в КО (Договоры) Не заполнено</v>
      </c>
      <c r="I68">
        <f t="array" ref="I68">IFERROR(INDEX('[1]реестр просрочников'!$B$3:$B$500,SMALL(IF(ЭКВАЙРИНГ!$D62='[1]реестр просрочников'!$A$3:$A$500,ROW('[1]реестр просрочников'!$B$3:$B$500)-2),COLUMN('[1]реестр просрочников'!I68)),1),"")</f>
        <v>0</v>
      </c>
      <c r="K68" t="str">
        <f>IFERROR(VLOOKUP(ЭКВАЙРИНГ!A62,'[1]реестр просрочников'!$B:$C,2,0),"")</f>
        <v/>
      </c>
    </row>
    <row r="69" spans="4:11" x14ac:dyDescent="0.25">
      <c r="D69" t="str">
        <f t="array" ref="D69">IFERROR(INDEX('[1]реестр просрочников'!$B$3:$B$500,SMALL(IF(ЭКВАЙРИНГ!$D63='[1]реестр просрочников'!$A$3:$A$500,ROW('[1]реестр просрочников'!$B$3:$B$500)-2),COLUMN('[1]реестр просрочников'!D69)),1),"")</f>
        <v>Диапазоны сроков возврата займов: </v>
      </c>
      <c r="E69" t="str">
        <f t="array" ref="E69">IFERROR(INDEX('[1]реестр просрочников'!$B$3:$B$500,SMALL(IF(ЭКВАЙРИНГ!$D63='[1]реестр просрочников'!$A$3:$A$500,ROW('[1]реестр просрочников'!$B$3:$B$500)-2),COLUMN('[1]реестр просрочников'!E69)),1),"")</f>
        <v>( Организация Равно "КА АЭК ООО" ) И</v>
      </c>
      <c r="F69" t="str">
        <f t="array" ref="F69">IFERROR(INDEX('[1]реестр просрочников'!$B$3:$B$500,SMALL(IF(ЭКВАЙРИНГ!$D63='[1]реестр просрочников'!$A$3:$A$500,ROW('[1]реестр просрочников'!$B$3:$B$500)-2),COLUMN('[1]реестр просрочников'!F69)),1),"")</f>
        <v>Заемщик Не в списке "АЭК ООО КА; АТЛАС ООО; ВЗАИМНО ООО; ИРБИС ООО" И</v>
      </c>
      <c r="G69" t="str">
        <f t="array" ref="G69">IFERROR(INDEX('[1]реестр просрочников'!$B$3:$B$500,SMALL(IF(ЭКВАЙРИНГ!$D63='[1]реестр просрочников'!$A$3:$A$500,ROW('[1]реестр просрочников'!$B$3:$B$500)-2),COLUMN('[1]реестр просрочников'!G69)),1),"")</f>
        <v>Дней на просрочке Меньше или равно "95" И</v>
      </c>
      <c r="H69" t="str">
        <f t="array" ref="H69">IFERROR(INDEX('[1]реестр просрочников'!$B$3:$B$500,SMALL(IF(ЭКВАЙРИНГ!$D63='[1]реестр просрочников'!$A$3:$A$500,ROW('[1]реестр просрочников'!$B$3:$B$500)-2),COLUMN('[1]реестр просрочников'!H69)),1),"")</f>
        <v>Актуальный займ.Договор.Дата передачи в КО (Договоры) Не заполнено</v>
      </c>
      <c r="I69">
        <f t="array" ref="I69">IFERROR(INDEX('[1]реестр просрочников'!$B$3:$B$500,SMALL(IF(ЭКВАЙРИНГ!$D63='[1]реестр просрочников'!$A$3:$A$500,ROW('[1]реестр просрочников'!$B$3:$B$500)-2),COLUMN('[1]реестр просрочников'!I69)),1),"")</f>
        <v>0</v>
      </c>
      <c r="K69" t="str">
        <f>IFERROR(VLOOKUP(ЭКВАЙРИНГ!A63,'[1]реестр просрочников'!$B:$C,2,0),"")</f>
        <v/>
      </c>
    </row>
    <row r="70" spans="4:11" x14ac:dyDescent="0.25">
      <c r="D70" t="str">
        <f t="array" ref="D70">IFERROR(INDEX('[1]реестр просрочников'!$B$3:$B$500,SMALL(IF(ЭКВАЙРИНГ!$D64='[1]реестр просрочников'!$A$3:$A$500,ROW('[1]реестр просрочников'!$B$3:$B$500)-2),COLUMN('[1]реестр просрочников'!D70)),1),"")</f>
        <v>Диапазоны сроков возврата займов: </v>
      </c>
      <c r="E70" t="str">
        <f t="array" ref="E70">IFERROR(INDEX('[1]реестр просрочников'!$B$3:$B$500,SMALL(IF(ЭКВАЙРИНГ!$D64='[1]реестр просрочников'!$A$3:$A$500,ROW('[1]реестр просрочников'!$B$3:$B$500)-2),COLUMN('[1]реестр просрочников'!E70)),1),"")</f>
        <v>( Организация Равно "КА АЭК ООО" ) И</v>
      </c>
      <c r="F70" t="str">
        <f t="array" ref="F70">IFERROR(INDEX('[1]реестр просрочников'!$B$3:$B$500,SMALL(IF(ЭКВАЙРИНГ!$D64='[1]реестр просрочников'!$A$3:$A$500,ROW('[1]реестр просрочников'!$B$3:$B$500)-2),COLUMN('[1]реестр просрочников'!F70)),1),"")</f>
        <v>Заемщик Не в списке "АЭК ООО КА; АТЛАС ООО; ВЗАИМНО ООО; ИРБИС ООО" И</v>
      </c>
      <c r="G70" t="str">
        <f t="array" ref="G70">IFERROR(INDEX('[1]реестр просрочников'!$B$3:$B$500,SMALL(IF(ЭКВАЙРИНГ!$D64='[1]реестр просрочников'!$A$3:$A$500,ROW('[1]реестр просрочников'!$B$3:$B$500)-2),COLUMN('[1]реестр просрочников'!G70)),1),"")</f>
        <v>Дней на просрочке Меньше или равно "95" И</v>
      </c>
      <c r="H70" t="str">
        <f t="array" ref="H70">IFERROR(INDEX('[1]реестр просрочников'!$B$3:$B$500,SMALL(IF(ЭКВАЙРИНГ!$D64='[1]реестр просрочников'!$A$3:$A$500,ROW('[1]реестр просрочников'!$B$3:$B$500)-2),COLUMN('[1]реестр просрочников'!H70)),1),"")</f>
        <v>Актуальный займ.Договор.Дата передачи в КО (Договоры) Не заполнено</v>
      </c>
      <c r="I70">
        <f t="array" ref="I70">IFERROR(INDEX('[1]реестр просрочников'!$B$3:$B$500,SMALL(IF(ЭКВАЙРИНГ!$D64='[1]реестр просрочников'!$A$3:$A$500,ROW('[1]реестр просрочников'!$B$3:$B$500)-2),COLUMN('[1]реестр просрочников'!I70)),1),"")</f>
        <v>0</v>
      </c>
      <c r="K70" t="str">
        <f>IFERROR(VLOOKUP(ЭКВАЙРИНГ!A64,'[1]реестр просрочников'!$B:$C,2,0),"")</f>
        <v/>
      </c>
    </row>
    <row r="71" spans="4:11" x14ac:dyDescent="0.25">
      <c r="D71" t="str">
        <f t="array" ref="D71">IFERROR(INDEX('[1]реестр просрочников'!$B$3:$B$500,SMALL(IF(ЭКВАЙРИНГ!$D65='[1]реестр просрочников'!$A$3:$A$500,ROW('[1]реестр просрочников'!$B$3:$B$500)-2),COLUMN('[1]реестр просрочников'!D71)),1),"")</f>
        <v>Диапазоны сроков возврата займов: </v>
      </c>
      <c r="E71" t="str">
        <f t="array" ref="E71">IFERROR(INDEX('[1]реестр просрочников'!$B$3:$B$500,SMALL(IF(ЭКВАЙРИНГ!$D65='[1]реестр просрочников'!$A$3:$A$500,ROW('[1]реестр просрочников'!$B$3:$B$500)-2),COLUMN('[1]реестр просрочников'!E71)),1),"")</f>
        <v>( Организация Равно "КА АЭК ООО" ) И</v>
      </c>
      <c r="F71" t="str">
        <f t="array" ref="F71">IFERROR(INDEX('[1]реестр просрочников'!$B$3:$B$500,SMALL(IF(ЭКВАЙРИНГ!$D65='[1]реестр просрочников'!$A$3:$A$500,ROW('[1]реестр просрочников'!$B$3:$B$500)-2),COLUMN('[1]реестр просрочников'!F71)),1),"")</f>
        <v>Заемщик Не в списке "АЭК ООО КА; АТЛАС ООО; ВЗАИМНО ООО; ИРБИС ООО" И</v>
      </c>
      <c r="G71" t="str">
        <f t="array" ref="G71">IFERROR(INDEX('[1]реестр просрочников'!$B$3:$B$500,SMALL(IF(ЭКВАЙРИНГ!$D65='[1]реестр просрочников'!$A$3:$A$500,ROW('[1]реестр просрочников'!$B$3:$B$500)-2),COLUMN('[1]реестр просрочников'!G71)),1),"")</f>
        <v>Дней на просрочке Меньше или равно "95" И</v>
      </c>
      <c r="H71" t="str">
        <f t="array" ref="H71">IFERROR(INDEX('[1]реестр просрочников'!$B$3:$B$500,SMALL(IF(ЭКВАЙРИНГ!$D65='[1]реестр просрочников'!$A$3:$A$500,ROW('[1]реестр просрочников'!$B$3:$B$500)-2),COLUMN('[1]реестр просрочников'!H71)),1),"")</f>
        <v>Актуальный займ.Договор.Дата передачи в КО (Договоры) Не заполнено</v>
      </c>
      <c r="I71">
        <f t="array" ref="I71">IFERROR(INDEX('[1]реестр просрочников'!$B$3:$B$500,SMALL(IF(ЭКВАЙРИНГ!$D65='[1]реестр просрочников'!$A$3:$A$500,ROW('[1]реестр просрочников'!$B$3:$B$500)-2),COLUMN('[1]реестр просрочников'!I71)),1),"")</f>
        <v>0</v>
      </c>
      <c r="K71" t="str">
        <f>IFERROR(VLOOKUP(ЭКВАЙРИНГ!A65,'[1]реестр просрочников'!$B:$C,2,0),"")</f>
        <v/>
      </c>
    </row>
    <row r="72" spans="4:11" x14ac:dyDescent="0.25">
      <c r="D72" t="str">
        <f t="array" ref="D72">IFERROR(INDEX('[1]реестр просрочников'!$B$3:$B$500,SMALL(IF(ЭКВАЙРИНГ!$D66='[1]реестр просрочников'!$A$3:$A$500,ROW('[1]реестр просрочников'!$B$3:$B$500)-2),COLUMN('[1]реестр просрочников'!D72)),1),"")</f>
        <v>Диапазоны сроков возврата займов: </v>
      </c>
      <c r="E72" t="str">
        <f t="array" ref="E72">IFERROR(INDEX('[1]реестр просрочников'!$B$3:$B$500,SMALL(IF(ЭКВАЙРИНГ!$D66='[1]реестр просрочников'!$A$3:$A$500,ROW('[1]реестр просрочников'!$B$3:$B$500)-2),COLUMN('[1]реестр просрочников'!E72)),1),"")</f>
        <v>( Организация Равно "КА АЭК ООО" ) И</v>
      </c>
      <c r="F72" t="str">
        <f t="array" ref="F72">IFERROR(INDEX('[1]реестр просрочников'!$B$3:$B$500,SMALL(IF(ЭКВАЙРИНГ!$D66='[1]реестр просрочников'!$A$3:$A$500,ROW('[1]реестр просрочников'!$B$3:$B$500)-2),COLUMN('[1]реестр просрочников'!F72)),1),"")</f>
        <v>Заемщик Не в списке "АЭК ООО КА; АТЛАС ООО; ВЗАИМНО ООО; ИРБИС ООО" И</v>
      </c>
      <c r="G72" t="str">
        <f t="array" ref="G72">IFERROR(INDEX('[1]реестр просрочников'!$B$3:$B$500,SMALL(IF(ЭКВАЙРИНГ!$D66='[1]реестр просрочников'!$A$3:$A$500,ROW('[1]реестр просрочников'!$B$3:$B$500)-2),COLUMN('[1]реестр просрочников'!G72)),1),"")</f>
        <v>Дней на просрочке Меньше или равно "95" И</v>
      </c>
      <c r="H72" t="str">
        <f t="array" ref="H72">IFERROR(INDEX('[1]реестр просрочников'!$B$3:$B$500,SMALL(IF(ЭКВАЙРИНГ!$D66='[1]реестр просрочников'!$A$3:$A$500,ROW('[1]реестр просрочников'!$B$3:$B$500)-2),COLUMN('[1]реестр просрочников'!H72)),1),"")</f>
        <v>Актуальный займ.Договор.Дата передачи в КО (Договоры) Не заполнено</v>
      </c>
      <c r="I72">
        <f t="array" ref="I72">IFERROR(INDEX('[1]реестр просрочников'!$B$3:$B$500,SMALL(IF(ЭКВАЙРИНГ!$D66='[1]реестр просрочников'!$A$3:$A$500,ROW('[1]реестр просрочников'!$B$3:$B$500)-2),COLUMN('[1]реестр просрочников'!I72)),1),"")</f>
        <v>0</v>
      </c>
      <c r="K72" t="str">
        <f>IFERROR(VLOOKUP(ЭКВАЙРИНГ!A66,'[1]реестр просрочников'!$B:$C,2,0),"")</f>
        <v/>
      </c>
    </row>
    <row r="73" spans="4:11" x14ac:dyDescent="0.25">
      <c r="D73" t="str">
        <f t="array" ref="D73">IFERROR(INDEX('[1]реестр просрочников'!$B$3:$B$500,SMALL(IF(ЭКВАЙРИНГ!$D67='[1]реестр просрочников'!$A$3:$A$500,ROW('[1]реестр просрочников'!$B$3:$B$500)-2),COLUMN('[1]реестр просрочников'!D73)),1),"")</f>
        <v>Диапазоны сроков возврата займов: </v>
      </c>
      <c r="E73" t="str">
        <f t="array" ref="E73">IFERROR(INDEX('[1]реестр просрочников'!$B$3:$B$500,SMALL(IF(ЭКВАЙРИНГ!$D67='[1]реестр просрочников'!$A$3:$A$500,ROW('[1]реестр просрочников'!$B$3:$B$500)-2),COLUMN('[1]реестр просрочников'!E73)),1),"")</f>
        <v>( Организация Равно "КА АЭК ООО" ) И</v>
      </c>
      <c r="F73" t="str">
        <f t="array" ref="F73">IFERROR(INDEX('[1]реестр просрочников'!$B$3:$B$500,SMALL(IF(ЭКВАЙРИНГ!$D67='[1]реестр просрочников'!$A$3:$A$500,ROW('[1]реестр просрочников'!$B$3:$B$500)-2),COLUMN('[1]реестр просрочников'!F73)),1),"")</f>
        <v>Заемщик Не в списке "АЭК ООО КА; АТЛАС ООО; ВЗАИМНО ООО; ИРБИС ООО" И</v>
      </c>
      <c r="G73" t="str">
        <f t="array" ref="G73">IFERROR(INDEX('[1]реестр просрочников'!$B$3:$B$500,SMALL(IF(ЭКВАЙРИНГ!$D67='[1]реестр просрочников'!$A$3:$A$500,ROW('[1]реестр просрочников'!$B$3:$B$500)-2),COLUMN('[1]реестр просрочников'!G73)),1),"")</f>
        <v>Дней на просрочке Меньше или равно "95" И</v>
      </c>
      <c r="H73" t="str">
        <f t="array" ref="H73">IFERROR(INDEX('[1]реестр просрочников'!$B$3:$B$500,SMALL(IF(ЭКВАЙРИНГ!$D67='[1]реестр просрочников'!$A$3:$A$500,ROW('[1]реестр просрочников'!$B$3:$B$500)-2),COLUMN('[1]реестр просрочников'!H73)),1),"")</f>
        <v>Актуальный займ.Договор.Дата передачи в КО (Договоры) Не заполнено</v>
      </c>
      <c r="I73">
        <f t="array" ref="I73">IFERROR(INDEX('[1]реестр просрочников'!$B$3:$B$500,SMALL(IF(ЭКВАЙРИНГ!$D67='[1]реестр просрочников'!$A$3:$A$500,ROW('[1]реестр просрочников'!$B$3:$B$500)-2),COLUMN('[1]реестр просрочников'!I73)),1),"")</f>
        <v>0</v>
      </c>
      <c r="K73" t="str">
        <f>IFERROR(VLOOKUP(ЭКВАЙРИНГ!A67,'[1]реестр просрочников'!$B:$C,2,0),"")</f>
        <v/>
      </c>
    </row>
    <row r="74" spans="4:11" x14ac:dyDescent="0.25">
      <c r="D74" t="str">
        <f t="array" ref="D74">IFERROR(INDEX('[1]реестр просрочников'!$B$3:$B$500,SMALL(IF(ЭКВАЙРИНГ!$D68='[1]реестр просрочников'!$A$3:$A$500,ROW('[1]реестр просрочников'!$B$3:$B$500)-2),COLUMN('[1]реестр просрочников'!D74)),1),"")</f>
        <v>Диапазоны сроков возврата займов: </v>
      </c>
      <c r="E74" t="str">
        <f t="array" ref="E74">IFERROR(INDEX('[1]реестр просрочников'!$B$3:$B$500,SMALL(IF(ЭКВАЙРИНГ!$D68='[1]реестр просрочников'!$A$3:$A$500,ROW('[1]реестр просрочников'!$B$3:$B$500)-2),COLUMN('[1]реестр просрочников'!E74)),1),"")</f>
        <v>( Организация Равно "КА АЭК ООО" ) И</v>
      </c>
      <c r="F74" t="str">
        <f t="array" ref="F74">IFERROR(INDEX('[1]реестр просрочников'!$B$3:$B$500,SMALL(IF(ЭКВАЙРИНГ!$D68='[1]реестр просрочников'!$A$3:$A$500,ROW('[1]реестр просрочников'!$B$3:$B$500)-2),COLUMN('[1]реестр просрочников'!F74)),1),"")</f>
        <v>Заемщик Не в списке "АЭК ООО КА; АТЛАС ООО; ВЗАИМНО ООО; ИРБИС ООО" И</v>
      </c>
      <c r="G74" t="str">
        <f t="array" ref="G74">IFERROR(INDEX('[1]реестр просрочников'!$B$3:$B$500,SMALL(IF(ЭКВАЙРИНГ!$D68='[1]реестр просрочников'!$A$3:$A$500,ROW('[1]реестр просрочников'!$B$3:$B$500)-2),COLUMN('[1]реестр просрочников'!G74)),1),"")</f>
        <v>Дней на просрочке Меньше или равно "95" И</v>
      </c>
      <c r="H74" t="str">
        <f t="array" ref="H74">IFERROR(INDEX('[1]реестр просрочников'!$B$3:$B$500,SMALL(IF(ЭКВАЙРИНГ!$D68='[1]реестр просрочников'!$A$3:$A$500,ROW('[1]реестр просрочников'!$B$3:$B$500)-2),COLUMN('[1]реестр просрочников'!H74)),1),"")</f>
        <v>Актуальный займ.Договор.Дата передачи в КО (Договоры) Не заполнено</v>
      </c>
      <c r="I74">
        <f t="array" ref="I74">IFERROR(INDEX('[1]реестр просрочников'!$B$3:$B$500,SMALL(IF(ЭКВАЙРИНГ!$D68='[1]реестр просрочников'!$A$3:$A$500,ROW('[1]реестр просрочников'!$B$3:$B$500)-2),COLUMN('[1]реестр просрочников'!I74)),1),"")</f>
        <v>0</v>
      </c>
      <c r="K74" t="str">
        <f>IFERROR(VLOOKUP(ЭКВАЙРИНГ!A68,'[1]реестр просрочников'!$B:$C,2,0),"")</f>
        <v/>
      </c>
    </row>
    <row r="75" spans="4:11" x14ac:dyDescent="0.25">
      <c r="D75" t="str">
        <f t="array" ref="D75">IFERROR(INDEX('[1]реестр просрочников'!$B$3:$B$500,SMALL(IF(ЭКВАЙРИНГ!$D69='[1]реестр просрочников'!$A$3:$A$500,ROW('[1]реестр просрочников'!$B$3:$B$500)-2),COLUMN('[1]реестр просрочников'!D75)),1),"")</f>
        <v>Диапазоны сроков возврата займов: </v>
      </c>
      <c r="E75" t="str">
        <f t="array" ref="E75">IFERROR(INDEX('[1]реестр просрочников'!$B$3:$B$500,SMALL(IF(ЭКВАЙРИНГ!$D69='[1]реестр просрочников'!$A$3:$A$500,ROW('[1]реестр просрочников'!$B$3:$B$500)-2),COLUMN('[1]реестр просрочников'!E75)),1),"")</f>
        <v>( Организация Равно "КА АЭК ООО" ) И</v>
      </c>
      <c r="F75" t="str">
        <f t="array" ref="F75">IFERROR(INDEX('[1]реестр просрочников'!$B$3:$B$500,SMALL(IF(ЭКВАЙРИНГ!$D69='[1]реестр просрочников'!$A$3:$A$500,ROW('[1]реестр просрочников'!$B$3:$B$500)-2),COLUMN('[1]реестр просрочников'!F75)),1),"")</f>
        <v>Заемщик Не в списке "АЭК ООО КА; АТЛАС ООО; ВЗАИМНО ООО; ИРБИС ООО" И</v>
      </c>
      <c r="G75" t="str">
        <f t="array" ref="G75">IFERROR(INDEX('[1]реестр просрочников'!$B$3:$B$500,SMALL(IF(ЭКВАЙРИНГ!$D69='[1]реестр просрочников'!$A$3:$A$500,ROW('[1]реестр просрочников'!$B$3:$B$500)-2),COLUMN('[1]реестр просрочников'!G75)),1),"")</f>
        <v>Дней на просрочке Меньше или равно "95" И</v>
      </c>
      <c r="H75" t="str">
        <f t="array" ref="H75">IFERROR(INDEX('[1]реестр просрочников'!$B$3:$B$500,SMALL(IF(ЭКВАЙРИНГ!$D69='[1]реестр просрочников'!$A$3:$A$500,ROW('[1]реестр просрочников'!$B$3:$B$500)-2),COLUMN('[1]реестр просрочников'!H75)),1),"")</f>
        <v>Актуальный займ.Договор.Дата передачи в КО (Договоры) Не заполнено</v>
      </c>
      <c r="I75">
        <f t="array" ref="I75">IFERROR(INDEX('[1]реестр просрочников'!$B$3:$B$500,SMALL(IF(ЭКВАЙРИНГ!$D69='[1]реестр просрочников'!$A$3:$A$500,ROW('[1]реестр просрочников'!$B$3:$B$500)-2),COLUMN('[1]реестр просрочников'!I75)),1),"")</f>
        <v>0</v>
      </c>
      <c r="K75" t="str">
        <f>IFERROR(VLOOKUP(ЭКВАЙРИНГ!A69,'[1]реестр просрочников'!$B:$C,2,0),"")</f>
        <v/>
      </c>
    </row>
    <row r="76" spans="4:11" x14ac:dyDescent="0.25">
      <c r="D76" t="str">
        <f t="array" ref="D76">IFERROR(INDEX('[1]реестр просрочников'!$B$3:$B$500,SMALL(IF(ЭКВАЙРИНГ!$D70='[1]реестр просрочников'!$A$3:$A$500,ROW('[1]реестр просрочников'!$B$3:$B$500)-2),COLUMN('[1]реестр просрочников'!D76)),1),"")</f>
        <v>Диапазоны сроков возврата займов: </v>
      </c>
      <c r="E76" t="str">
        <f t="array" ref="E76">IFERROR(INDEX('[1]реестр просрочников'!$B$3:$B$500,SMALL(IF(ЭКВАЙРИНГ!$D70='[1]реестр просрочников'!$A$3:$A$500,ROW('[1]реестр просрочников'!$B$3:$B$500)-2),COLUMN('[1]реестр просрочников'!E76)),1),"")</f>
        <v>( Организация Равно "КА АЭК ООО" ) И</v>
      </c>
      <c r="F76" t="str">
        <f t="array" ref="F76">IFERROR(INDEX('[1]реестр просрочников'!$B$3:$B$500,SMALL(IF(ЭКВАЙРИНГ!$D70='[1]реестр просрочников'!$A$3:$A$500,ROW('[1]реестр просрочников'!$B$3:$B$500)-2),COLUMN('[1]реестр просрочников'!F76)),1),"")</f>
        <v>Заемщик Не в списке "АЭК ООО КА; АТЛАС ООО; ВЗАИМНО ООО; ИРБИС ООО" И</v>
      </c>
      <c r="G76" t="str">
        <f t="array" ref="G76">IFERROR(INDEX('[1]реестр просрочников'!$B$3:$B$500,SMALL(IF(ЭКВАЙРИНГ!$D70='[1]реестр просрочников'!$A$3:$A$500,ROW('[1]реестр просрочников'!$B$3:$B$500)-2),COLUMN('[1]реестр просрочников'!G76)),1),"")</f>
        <v>Дней на просрочке Меньше или равно "95" И</v>
      </c>
      <c r="H76" t="str">
        <f t="array" ref="H76">IFERROR(INDEX('[1]реестр просрочников'!$B$3:$B$500,SMALL(IF(ЭКВАЙРИНГ!$D70='[1]реестр просрочников'!$A$3:$A$500,ROW('[1]реестр просрочников'!$B$3:$B$500)-2),COLUMN('[1]реестр просрочников'!H76)),1),"")</f>
        <v>Актуальный займ.Договор.Дата передачи в КО (Договоры) Не заполнено</v>
      </c>
      <c r="I76">
        <f t="array" ref="I76">IFERROR(INDEX('[1]реестр просрочников'!$B$3:$B$500,SMALL(IF(ЭКВАЙРИНГ!$D70='[1]реестр просрочников'!$A$3:$A$500,ROW('[1]реестр просрочников'!$B$3:$B$500)-2),COLUMN('[1]реестр просрочников'!I76)),1),"")</f>
        <v>0</v>
      </c>
      <c r="K76" t="str">
        <f>IFERROR(VLOOKUP(ЭКВАЙРИНГ!A70,'[1]реестр просрочников'!$B:$C,2,0),"")</f>
        <v/>
      </c>
    </row>
    <row r="77" spans="4:11" x14ac:dyDescent="0.25">
      <c r="D77" t="str">
        <f t="array" ref="D77">IFERROR(INDEX('[1]реестр просрочников'!$B$3:$B$500,SMALL(IF(ЭКВАЙРИНГ!$D71='[1]реестр просрочников'!$A$3:$A$500,ROW('[1]реестр просрочников'!$B$3:$B$500)-2),COLUMN('[1]реестр просрочников'!D77)),1),"")</f>
        <v>Диапазоны сроков возврата займов: </v>
      </c>
      <c r="E77" t="str">
        <f t="array" ref="E77">IFERROR(INDEX('[1]реестр просрочников'!$B$3:$B$500,SMALL(IF(ЭКВАЙРИНГ!$D71='[1]реестр просрочников'!$A$3:$A$500,ROW('[1]реестр просрочников'!$B$3:$B$500)-2),COLUMN('[1]реестр просрочников'!E77)),1),"")</f>
        <v>( Организация Равно "КА АЭК ООО" ) И</v>
      </c>
      <c r="F77" t="str">
        <f t="array" ref="F77">IFERROR(INDEX('[1]реестр просрочников'!$B$3:$B$500,SMALL(IF(ЭКВАЙРИНГ!$D71='[1]реестр просрочников'!$A$3:$A$500,ROW('[1]реестр просрочников'!$B$3:$B$500)-2),COLUMN('[1]реестр просрочников'!F77)),1),"")</f>
        <v>Заемщик Не в списке "АЭК ООО КА; АТЛАС ООО; ВЗАИМНО ООО; ИРБИС ООО" И</v>
      </c>
      <c r="G77" t="str">
        <f t="array" ref="G77">IFERROR(INDEX('[1]реестр просрочников'!$B$3:$B$500,SMALL(IF(ЭКВАЙРИНГ!$D71='[1]реестр просрочников'!$A$3:$A$500,ROW('[1]реестр просрочников'!$B$3:$B$500)-2),COLUMN('[1]реестр просрочников'!G77)),1),"")</f>
        <v>Дней на просрочке Меньше или равно "95" И</v>
      </c>
      <c r="H77" t="str">
        <f t="array" ref="H77">IFERROR(INDEX('[1]реестр просрочников'!$B$3:$B$500,SMALL(IF(ЭКВАЙРИНГ!$D71='[1]реестр просрочников'!$A$3:$A$500,ROW('[1]реестр просрочников'!$B$3:$B$500)-2),COLUMN('[1]реестр просрочников'!H77)),1),"")</f>
        <v>Актуальный займ.Договор.Дата передачи в КО (Договоры) Не заполнено</v>
      </c>
      <c r="I77">
        <f t="array" ref="I77">IFERROR(INDEX('[1]реестр просрочников'!$B$3:$B$500,SMALL(IF(ЭКВАЙРИНГ!$D71='[1]реестр просрочников'!$A$3:$A$500,ROW('[1]реестр просрочников'!$B$3:$B$500)-2),COLUMN('[1]реестр просрочников'!I77)),1),"")</f>
        <v>0</v>
      </c>
      <c r="K77" t="str">
        <f>IFERROR(VLOOKUP(ЭКВАЙРИНГ!A71,'[1]реестр просрочников'!$B:$C,2,0),"")</f>
        <v/>
      </c>
    </row>
    <row r="78" spans="4:11" x14ac:dyDescent="0.25">
      <c r="D78" t="str">
        <f t="array" ref="D78">IFERROR(INDEX('[1]реестр просрочников'!$B$3:$B$500,SMALL(IF(ЭКВАЙРИНГ!$D72='[1]реестр просрочников'!$A$3:$A$500,ROW('[1]реестр просрочников'!$B$3:$B$500)-2),COLUMN('[1]реестр просрочников'!D78)),1),"")</f>
        <v>Диапазоны сроков возврата займов: </v>
      </c>
      <c r="E78" t="str">
        <f t="array" ref="E78">IFERROR(INDEX('[1]реестр просрочников'!$B$3:$B$500,SMALL(IF(ЭКВАЙРИНГ!$D72='[1]реестр просрочников'!$A$3:$A$500,ROW('[1]реестр просрочников'!$B$3:$B$500)-2),COLUMN('[1]реестр просрочников'!E78)),1),"")</f>
        <v>( Организация Равно "КА АЭК ООО" ) И</v>
      </c>
      <c r="F78" t="str">
        <f t="array" ref="F78">IFERROR(INDEX('[1]реестр просрочников'!$B$3:$B$500,SMALL(IF(ЭКВАЙРИНГ!$D72='[1]реестр просрочников'!$A$3:$A$500,ROW('[1]реестр просрочников'!$B$3:$B$500)-2),COLUMN('[1]реестр просрочников'!F78)),1),"")</f>
        <v>Заемщик Не в списке "АЭК ООО КА; АТЛАС ООО; ВЗАИМНО ООО; ИРБИС ООО" И</v>
      </c>
      <c r="G78" t="str">
        <f t="array" ref="G78">IFERROR(INDEX('[1]реестр просрочников'!$B$3:$B$500,SMALL(IF(ЭКВАЙРИНГ!$D72='[1]реестр просрочников'!$A$3:$A$500,ROW('[1]реестр просрочников'!$B$3:$B$500)-2),COLUMN('[1]реестр просрочников'!G78)),1),"")</f>
        <v>Дней на просрочке Меньше или равно "95" И</v>
      </c>
      <c r="H78" t="str">
        <f t="array" ref="H78">IFERROR(INDEX('[1]реестр просрочников'!$B$3:$B$500,SMALL(IF(ЭКВАЙРИНГ!$D72='[1]реестр просрочников'!$A$3:$A$500,ROW('[1]реестр просрочников'!$B$3:$B$500)-2),COLUMN('[1]реестр просрочников'!H78)),1),"")</f>
        <v>Актуальный займ.Договор.Дата передачи в КО (Договоры) Не заполнено</v>
      </c>
      <c r="I78">
        <f t="array" ref="I78">IFERROR(INDEX('[1]реестр просрочников'!$B$3:$B$500,SMALL(IF(ЭКВАЙРИНГ!$D72='[1]реестр просрочников'!$A$3:$A$500,ROW('[1]реестр просрочников'!$B$3:$B$500)-2),COLUMN('[1]реестр просрочников'!I78)),1),"")</f>
        <v>0</v>
      </c>
      <c r="K78" t="str">
        <f>IFERROR(VLOOKUP(ЭКВАЙРИНГ!A72,'[1]реестр просрочников'!$B:$C,2,0),"")</f>
        <v/>
      </c>
    </row>
    <row r="79" spans="4:11" x14ac:dyDescent="0.25">
      <c r="D79" t="str">
        <f t="array" ref="D79">IFERROR(INDEX('[1]реестр просрочников'!$B$3:$B$500,SMALL(IF(ЭКВАЙРИНГ!$D73='[1]реестр просрочников'!$A$3:$A$500,ROW('[1]реестр просрочников'!$B$3:$B$500)-2),COLUMN('[1]реестр просрочников'!D79)),1),"")</f>
        <v>Диапазоны сроков возврата займов: </v>
      </c>
      <c r="E79" t="str">
        <f t="array" ref="E79">IFERROR(INDEX('[1]реестр просрочников'!$B$3:$B$500,SMALL(IF(ЭКВАЙРИНГ!$D73='[1]реестр просрочников'!$A$3:$A$500,ROW('[1]реестр просрочников'!$B$3:$B$500)-2),COLUMN('[1]реестр просрочников'!E79)),1),"")</f>
        <v>( Организация Равно "КА АЭК ООО" ) И</v>
      </c>
      <c r="F79" t="str">
        <f t="array" ref="F79">IFERROR(INDEX('[1]реестр просрочников'!$B$3:$B$500,SMALL(IF(ЭКВАЙРИНГ!$D73='[1]реестр просрочников'!$A$3:$A$500,ROW('[1]реестр просрочников'!$B$3:$B$500)-2),COLUMN('[1]реестр просрочников'!F79)),1),"")</f>
        <v>Заемщик Не в списке "АЭК ООО КА; АТЛАС ООО; ВЗАИМНО ООО; ИРБИС ООО" И</v>
      </c>
      <c r="G79" t="str">
        <f t="array" ref="G79">IFERROR(INDEX('[1]реестр просрочников'!$B$3:$B$500,SMALL(IF(ЭКВАЙРИНГ!$D73='[1]реестр просрочников'!$A$3:$A$500,ROW('[1]реестр просрочников'!$B$3:$B$500)-2),COLUMN('[1]реестр просрочников'!G79)),1),"")</f>
        <v>Дней на просрочке Меньше или равно "95" И</v>
      </c>
      <c r="H79" t="str">
        <f t="array" ref="H79">IFERROR(INDEX('[1]реестр просрочников'!$B$3:$B$500,SMALL(IF(ЭКВАЙРИНГ!$D73='[1]реестр просрочников'!$A$3:$A$500,ROW('[1]реестр просрочников'!$B$3:$B$500)-2),COLUMN('[1]реестр просрочников'!H79)),1),"")</f>
        <v>Актуальный займ.Договор.Дата передачи в КО (Договоры) Не заполнено</v>
      </c>
      <c r="I79">
        <f t="array" ref="I79">IFERROR(INDEX('[1]реестр просрочников'!$B$3:$B$500,SMALL(IF(ЭКВАЙРИНГ!$D73='[1]реестр просрочников'!$A$3:$A$500,ROW('[1]реестр просрочников'!$B$3:$B$500)-2),COLUMN('[1]реестр просрочников'!I79)),1),"")</f>
        <v>0</v>
      </c>
      <c r="K79" t="str">
        <f>IFERROR(VLOOKUP(ЭКВАЙРИНГ!A73,'[1]реестр просрочников'!$B:$C,2,0),"")</f>
        <v/>
      </c>
    </row>
    <row r="80" spans="4:11" x14ac:dyDescent="0.25">
      <c r="D80" t="str">
        <f t="array" ref="D80">IFERROR(INDEX('[1]реестр просрочников'!$B$3:$B$500,SMALL(IF(ЭКВАЙРИНГ!$D74='[1]реестр просрочников'!$A$3:$A$500,ROW('[1]реестр просрочников'!$B$3:$B$500)-2),COLUMN('[1]реестр просрочников'!D80)),1),"")</f>
        <v>Диапазоны сроков возврата займов: </v>
      </c>
      <c r="E80" t="str">
        <f t="array" ref="E80">IFERROR(INDEX('[1]реестр просрочников'!$B$3:$B$500,SMALL(IF(ЭКВАЙРИНГ!$D74='[1]реестр просрочников'!$A$3:$A$500,ROW('[1]реестр просрочников'!$B$3:$B$500)-2),COLUMN('[1]реестр просрочников'!E80)),1),"")</f>
        <v>( Организация Равно "КА АЭК ООО" ) И</v>
      </c>
      <c r="F80" t="str">
        <f t="array" ref="F80">IFERROR(INDEX('[1]реестр просрочников'!$B$3:$B$500,SMALL(IF(ЭКВАЙРИНГ!$D74='[1]реестр просрочников'!$A$3:$A$500,ROW('[1]реестр просрочников'!$B$3:$B$500)-2),COLUMN('[1]реестр просрочников'!F80)),1),"")</f>
        <v>Заемщик Не в списке "АЭК ООО КА; АТЛАС ООО; ВЗАИМНО ООО; ИРБИС ООО" И</v>
      </c>
      <c r="G80" t="str">
        <f t="array" ref="G80">IFERROR(INDEX('[1]реестр просрочников'!$B$3:$B$500,SMALL(IF(ЭКВАЙРИНГ!$D74='[1]реестр просрочников'!$A$3:$A$500,ROW('[1]реестр просрочников'!$B$3:$B$500)-2),COLUMN('[1]реестр просрочников'!G80)),1),"")</f>
        <v>Дней на просрочке Меньше или равно "95" И</v>
      </c>
      <c r="H80" t="str">
        <f t="array" ref="H80">IFERROR(INDEX('[1]реестр просрочников'!$B$3:$B$500,SMALL(IF(ЭКВАЙРИНГ!$D74='[1]реестр просрочников'!$A$3:$A$500,ROW('[1]реестр просрочников'!$B$3:$B$500)-2),COLUMN('[1]реестр просрочников'!H80)),1),"")</f>
        <v>Актуальный займ.Договор.Дата передачи в КО (Договоры) Не заполнено</v>
      </c>
      <c r="I80">
        <f t="array" ref="I80">IFERROR(INDEX('[1]реестр просрочников'!$B$3:$B$500,SMALL(IF(ЭКВАЙРИНГ!$D74='[1]реестр просрочников'!$A$3:$A$500,ROW('[1]реестр просрочников'!$B$3:$B$500)-2),COLUMN('[1]реестр просрочников'!I80)),1),"")</f>
        <v>0</v>
      </c>
      <c r="K80" t="str">
        <f>IFERROR(VLOOKUP(ЭКВАЙРИНГ!A74,'[1]реестр просрочников'!$B:$C,2,0),"")</f>
        <v/>
      </c>
    </row>
    <row r="81" spans="4:11" x14ac:dyDescent="0.25">
      <c r="D81" t="str">
        <f t="array" ref="D81">IFERROR(INDEX('[1]реестр просрочников'!$B$3:$B$500,SMALL(IF(ЭКВАЙРИНГ!$D75='[1]реестр просрочников'!$A$3:$A$500,ROW('[1]реестр просрочников'!$B$3:$B$500)-2),COLUMN('[1]реестр просрочников'!D81)),1),"")</f>
        <v>Диапазоны сроков возврата займов: </v>
      </c>
      <c r="E81" t="str">
        <f t="array" ref="E81">IFERROR(INDEX('[1]реестр просрочников'!$B$3:$B$500,SMALL(IF(ЭКВАЙРИНГ!$D75='[1]реестр просрочников'!$A$3:$A$500,ROW('[1]реестр просрочников'!$B$3:$B$500)-2),COLUMN('[1]реестр просрочников'!E81)),1),"")</f>
        <v>( Организация Равно "КА АЭК ООО" ) И</v>
      </c>
      <c r="F81" t="str">
        <f t="array" ref="F81">IFERROR(INDEX('[1]реестр просрочников'!$B$3:$B$500,SMALL(IF(ЭКВАЙРИНГ!$D75='[1]реестр просрочников'!$A$3:$A$500,ROW('[1]реестр просрочников'!$B$3:$B$500)-2),COLUMN('[1]реестр просрочников'!F81)),1),"")</f>
        <v>Заемщик Не в списке "АЭК ООО КА; АТЛАС ООО; ВЗАИМНО ООО; ИРБИС ООО" И</v>
      </c>
      <c r="G81" t="str">
        <f t="array" ref="G81">IFERROR(INDEX('[1]реестр просрочников'!$B$3:$B$500,SMALL(IF(ЭКВАЙРИНГ!$D75='[1]реестр просрочников'!$A$3:$A$500,ROW('[1]реестр просрочников'!$B$3:$B$500)-2),COLUMN('[1]реестр просрочников'!G81)),1),"")</f>
        <v>Дней на просрочке Меньше или равно "95" И</v>
      </c>
      <c r="H81" t="str">
        <f t="array" ref="H81">IFERROR(INDEX('[1]реестр просрочников'!$B$3:$B$500,SMALL(IF(ЭКВАЙРИНГ!$D75='[1]реестр просрочников'!$A$3:$A$500,ROW('[1]реестр просрочников'!$B$3:$B$500)-2),COLUMN('[1]реестр просрочников'!H81)),1),"")</f>
        <v>Актуальный займ.Договор.Дата передачи в КО (Договоры) Не заполнено</v>
      </c>
      <c r="I81">
        <f t="array" ref="I81">IFERROR(INDEX('[1]реестр просрочников'!$B$3:$B$500,SMALL(IF(ЭКВАЙРИНГ!$D75='[1]реестр просрочников'!$A$3:$A$500,ROW('[1]реестр просрочников'!$B$3:$B$500)-2),COLUMN('[1]реестр просрочников'!I81)),1),"")</f>
        <v>0</v>
      </c>
      <c r="K81" t="str">
        <f>IFERROR(VLOOKUP(ЭКВАЙРИНГ!A75,'[1]реестр просрочников'!$B:$C,2,0),"")</f>
        <v/>
      </c>
    </row>
    <row r="82" spans="4:11" x14ac:dyDescent="0.25">
      <c r="D82" t="str">
        <f t="array" ref="D82">IFERROR(INDEX('[1]реестр просрочников'!$B$3:$B$500,SMALL(IF(ЭКВАЙРИНГ!$D76='[1]реестр просрочников'!$A$3:$A$500,ROW('[1]реестр просрочников'!$B$3:$B$500)-2),COLUMN('[1]реестр просрочников'!D82)),1),"")</f>
        <v>Диапазоны сроков возврата займов: </v>
      </c>
      <c r="E82" t="str">
        <f t="array" ref="E82">IFERROR(INDEX('[1]реестр просрочников'!$B$3:$B$500,SMALL(IF(ЭКВАЙРИНГ!$D76='[1]реестр просрочников'!$A$3:$A$500,ROW('[1]реестр просрочников'!$B$3:$B$500)-2),COLUMN('[1]реестр просрочников'!E82)),1),"")</f>
        <v>( Организация Равно "КА АЭК ООО" ) И</v>
      </c>
      <c r="F82" t="str">
        <f t="array" ref="F82">IFERROR(INDEX('[1]реестр просрочников'!$B$3:$B$500,SMALL(IF(ЭКВАЙРИНГ!$D76='[1]реестр просрочников'!$A$3:$A$500,ROW('[1]реестр просрочников'!$B$3:$B$500)-2),COLUMN('[1]реестр просрочников'!F82)),1),"")</f>
        <v>Заемщик Не в списке "АЭК ООО КА; АТЛАС ООО; ВЗАИМНО ООО; ИРБИС ООО" И</v>
      </c>
      <c r="G82" t="str">
        <f t="array" ref="G82">IFERROR(INDEX('[1]реестр просрочников'!$B$3:$B$500,SMALL(IF(ЭКВАЙРИНГ!$D76='[1]реестр просрочников'!$A$3:$A$500,ROW('[1]реестр просрочников'!$B$3:$B$500)-2),COLUMN('[1]реестр просрочников'!G82)),1),"")</f>
        <v>Дней на просрочке Меньше или равно "95" И</v>
      </c>
      <c r="H82" t="str">
        <f t="array" ref="H82">IFERROR(INDEX('[1]реестр просрочников'!$B$3:$B$500,SMALL(IF(ЭКВАЙРИНГ!$D76='[1]реестр просрочников'!$A$3:$A$500,ROW('[1]реестр просрочников'!$B$3:$B$500)-2),COLUMN('[1]реестр просрочников'!H82)),1),"")</f>
        <v>Актуальный займ.Договор.Дата передачи в КО (Договоры) Не заполнено</v>
      </c>
      <c r="I82">
        <f t="array" ref="I82">IFERROR(INDEX('[1]реестр просрочников'!$B$3:$B$500,SMALL(IF(ЭКВАЙРИНГ!$D76='[1]реестр просрочников'!$A$3:$A$500,ROW('[1]реестр просрочников'!$B$3:$B$500)-2),COLUMN('[1]реестр просрочников'!I82)),1),"")</f>
        <v>0</v>
      </c>
      <c r="K82" t="str">
        <f>IFERROR(VLOOKUP(ЭКВАЙРИНГ!A76,'[1]реестр просрочников'!$B:$C,2,0),"")</f>
        <v/>
      </c>
    </row>
    <row r="83" spans="4:11" x14ac:dyDescent="0.25">
      <c r="D83" t="str">
        <f t="array" ref="D83">IFERROR(INDEX('[1]реестр просрочников'!$B$3:$B$500,SMALL(IF(ЭКВАЙРИНГ!$D77='[1]реестр просрочников'!$A$3:$A$500,ROW('[1]реестр просрочников'!$B$3:$B$500)-2),COLUMN('[1]реестр просрочников'!D83)),1),"")</f>
        <v>Диапазоны сроков возврата займов: </v>
      </c>
      <c r="E83" t="str">
        <f t="array" ref="E83">IFERROR(INDEX('[1]реестр просрочников'!$B$3:$B$500,SMALL(IF(ЭКВАЙРИНГ!$D77='[1]реестр просрочников'!$A$3:$A$500,ROW('[1]реестр просрочников'!$B$3:$B$500)-2),COLUMN('[1]реестр просрочников'!E83)),1),"")</f>
        <v>( Организация Равно "КА АЭК ООО" ) И</v>
      </c>
      <c r="F83" t="str">
        <f t="array" ref="F83">IFERROR(INDEX('[1]реестр просрочников'!$B$3:$B$500,SMALL(IF(ЭКВАЙРИНГ!$D77='[1]реестр просрочников'!$A$3:$A$500,ROW('[1]реестр просрочников'!$B$3:$B$500)-2),COLUMN('[1]реестр просрочников'!F83)),1),"")</f>
        <v>Заемщик Не в списке "АЭК ООО КА; АТЛАС ООО; ВЗАИМНО ООО; ИРБИС ООО" И</v>
      </c>
      <c r="G83" t="str">
        <f t="array" ref="G83">IFERROR(INDEX('[1]реестр просрочников'!$B$3:$B$500,SMALL(IF(ЭКВАЙРИНГ!$D77='[1]реестр просрочников'!$A$3:$A$500,ROW('[1]реестр просрочников'!$B$3:$B$500)-2),COLUMN('[1]реестр просрочников'!G83)),1),"")</f>
        <v>Дней на просрочке Меньше или равно "95" И</v>
      </c>
      <c r="H83" t="str">
        <f t="array" ref="H83">IFERROR(INDEX('[1]реестр просрочников'!$B$3:$B$500,SMALL(IF(ЭКВАЙРИНГ!$D77='[1]реестр просрочников'!$A$3:$A$500,ROW('[1]реестр просрочников'!$B$3:$B$500)-2),COLUMN('[1]реестр просрочников'!H83)),1),"")</f>
        <v>Актуальный займ.Договор.Дата передачи в КО (Договоры) Не заполнено</v>
      </c>
      <c r="I83">
        <f t="array" ref="I83">IFERROR(INDEX('[1]реестр просрочников'!$B$3:$B$500,SMALL(IF(ЭКВАЙРИНГ!$D77='[1]реестр просрочников'!$A$3:$A$500,ROW('[1]реестр просрочников'!$B$3:$B$500)-2),COLUMN('[1]реестр просрочников'!I83)),1),"")</f>
        <v>0</v>
      </c>
      <c r="K83" t="str">
        <f>IFERROR(VLOOKUP(ЭКВАЙРИНГ!A77,'[1]реестр просрочников'!$B:$C,2,0),"")</f>
        <v/>
      </c>
    </row>
    <row r="84" spans="4:11" x14ac:dyDescent="0.25">
      <c r="D84" t="str">
        <f t="array" ref="D84">IFERROR(INDEX('[1]реестр просрочников'!$B$3:$B$500,SMALL(IF(ЭКВАЙРИНГ!$D78='[1]реестр просрочников'!$A$3:$A$500,ROW('[1]реестр просрочников'!$B$3:$B$500)-2),COLUMN('[1]реестр просрочников'!D84)),1),"")</f>
        <v>Диапазоны сроков возврата займов: </v>
      </c>
      <c r="E84" t="str">
        <f t="array" ref="E84">IFERROR(INDEX('[1]реестр просрочников'!$B$3:$B$500,SMALL(IF(ЭКВАЙРИНГ!$D78='[1]реестр просрочников'!$A$3:$A$500,ROW('[1]реестр просрочников'!$B$3:$B$500)-2),COLUMN('[1]реестр просрочников'!E84)),1),"")</f>
        <v>( Организация Равно "КА АЭК ООО" ) И</v>
      </c>
      <c r="F84" t="str">
        <f t="array" ref="F84">IFERROR(INDEX('[1]реестр просрочников'!$B$3:$B$500,SMALL(IF(ЭКВАЙРИНГ!$D78='[1]реестр просрочников'!$A$3:$A$500,ROW('[1]реестр просрочников'!$B$3:$B$500)-2),COLUMN('[1]реестр просрочников'!F84)),1),"")</f>
        <v>Заемщик Не в списке "АЭК ООО КА; АТЛАС ООО; ВЗАИМНО ООО; ИРБИС ООО" И</v>
      </c>
      <c r="G84" t="str">
        <f t="array" ref="G84">IFERROR(INDEX('[1]реестр просрочников'!$B$3:$B$500,SMALL(IF(ЭКВАЙРИНГ!$D78='[1]реестр просрочников'!$A$3:$A$500,ROW('[1]реестр просрочников'!$B$3:$B$500)-2),COLUMN('[1]реестр просрочников'!G84)),1),"")</f>
        <v>Дней на просрочке Меньше или равно "95" И</v>
      </c>
      <c r="H84" t="str">
        <f t="array" ref="H84">IFERROR(INDEX('[1]реестр просрочников'!$B$3:$B$500,SMALL(IF(ЭКВАЙРИНГ!$D78='[1]реестр просрочников'!$A$3:$A$500,ROW('[1]реестр просрочников'!$B$3:$B$500)-2),COLUMN('[1]реестр просрочников'!H84)),1),"")</f>
        <v>Актуальный займ.Договор.Дата передачи в КО (Договоры) Не заполнено</v>
      </c>
      <c r="I84">
        <f t="array" ref="I84">IFERROR(INDEX('[1]реестр просрочников'!$B$3:$B$500,SMALL(IF(ЭКВАЙРИНГ!$D78='[1]реестр просрочников'!$A$3:$A$500,ROW('[1]реестр просрочников'!$B$3:$B$500)-2),COLUMN('[1]реестр просрочников'!I84)),1),"")</f>
        <v>0</v>
      </c>
      <c r="K84" t="str">
        <f>IFERROR(VLOOKUP(ЭКВАЙРИНГ!A78,'[1]реестр просрочников'!$B:$C,2,0),"")</f>
        <v/>
      </c>
    </row>
    <row r="85" spans="4:11" x14ac:dyDescent="0.25">
      <c r="D85" t="str">
        <f t="array" ref="D85">IFERROR(INDEX('[1]реестр просрочников'!$B$3:$B$500,SMALL(IF(ЭКВАЙРИНГ!$D79='[1]реестр просрочников'!$A$3:$A$500,ROW('[1]реестр просрочников'!$B$3:$B$500)-2),COLUMN('[1]реестр просрочников'!D85)),1),"")</f>
        <v>Диапазоны сроков возврата займов: </v>
      </c>
      <c r="E85" t="str">
        <f t="array" ref="E85">IFERROR(INDEX('[1]реестр просрочников'!$B$3:$B$500,SMALL(IF(ЭКВАЙРИНГ!$D79='[1]реестр просрочников'!$A$3:$A$500,ROW('[1]реестр просрочников'!$B$3:$B$500)-2),COLUMN('[1]реестр просрочников'!E85)),1),"")</f>
        <v>( Организация Равно "КА АЭК ООО" ) И</v>
      </c>
      <c r="F85" t="str">
        <f t="array" ref="F85">IFERROR(INDEX('[1]реестр просрочников'!$B$3:$B$500,SMALL(IF(ЭКВАЙРИНГ!$D79='[1]реестр просрочников'!$A$3:$A$500,ROW('[1]реестр просрочников'!$B$3:$B$500)-2),COLUMN('[1]реестр просрочников'!F85)),1),"")</f>
        <v>Заемщик Не в списке "АЭК ООО КА; АТЛАС ООО; ВЗАИМНО ООО; ИРБИС ООО" И</v>
      </c>
      <c r="G85" t="str">
        <f t="array" ref="G85">IFERROR(INDEX('[1]реестр просрочников'!$B$3:$B$500,SMALL(IF(ЭКВАЙРИНГ!$D79='[1]реестр просрочников'!$A$3:$A$500,ROW('[1]реестр просрочников'!$B$3:$B$500)-2),COLUMN('[1]реестр просрочников'!G85)),1),"")</f>
        <v>Дней на просрочке Меньше или равно "95" И</v>
      </c>
      <c r="H85" t="str">
        <f t="array" ref="H85">IFERROR(INDEX('[1]реестр просрочников'!$B$3:$B$500,SMALL(IF(ЭКВАЙРИНГ!$D79='[1]реестр просрочников'!$A$3:$A$500,ROW('[1]реестр просрочников'!$B$3:$B$500)-2),COLUMN('[1]реестр просрочников'!H85)),1),"")</f>
        <v>Актуальный займ.Договор.Дата передачи в КО (Договоры) Не заполнено</v>
      </c>
      <c r="I85">
        <f t="array" ref="I85">IFERROR(INDEX('[1]реестр просрочников'!$B$3:$B$500,SMALL(IF(ЭКВАЙРИНГ!$D79='[1]реестр просрочников'!$A$3:$A$500,ROW('[1]реестр просрочников'!$B$3:$B$500)-2),COLUMN('[1]реестр просрочников'!I85)),1),"")</f>
        <v>0</v>
      </c>
      <c r="K85" t="str">
        <f>IFERROR(VLOOKUP(ЭКВАЙРИНГ!A79,'[1]реестр просрочников'!$B:$C,2,0),"")</f>
        <v/>
      </c>
    </row>
    <row r="86" spans="4:11" x14ac:dyDescent="0.25">
      <c r="D86" t="str">
        <f t="array" ref="D86">IFERROR(INDEX('[1]реестр просрочников'!$B$3:$B$500,SMALL(IF(ЭКВАЙРИНГ!$D80='[1]реестр просрочников'!$A$3:$A$500,ROW('[1]реестр просрочников'!$B$3:$B$500)-2),COLUMN('[1]реестр просрочников'!D86)),1),"")</f>
        <v>Диапазоны сроков возврата займов: </v>
      </c>
      <c r="E86" t="str">
        <f t="array" ref="E86">IFERROR(INDEX('[1]реестр просрочников'!$B$3:$B$500,SMALL(IF(ЭКВАЙРИНГ!$D80='[1]реестр просрочников'!$A$3:$A$500,ROW('[1]реестр просрочников'!$B$3:$B$500)-2),COLUMN('[1]реестр просрочников'!E86)),1),"")</f>
        <v>( Организация Равно "КА АЭК ООО" ) И</v>
      </c>
      <c r="F86" t="str">
        <f t="array" ref="F86">IFERROR(INDEX('[1]реестр просрочников'!$B$3:$B$500,SMALL(IF(ЭКВАЙРИНГ!$D80='[1]реестр просрочников'!$A$3:$A$500,ROW('[1]реестр просрочников'!$B$3:$B$500)-2),COLUMN('[1]реестр просрочников'!F86)),1),"")</f>
        <v>Заемщик Не в списке "АЭК ООО КА; АТЛАС ООО; ВЗАИМНО ООО; ИРБИС ООО" И</v>
      </c>
      <c r="G86" t="str">
        <f t="array" ref="G86">IFERROR(INDEX('[1]реестр просрочников'!$B$3:$B$500,SMALL(IF(ЭКВАЙРИНГ!$D80='[1]реестр просрочников'!$A$3:$A$500,ROW('[1]реестр просрочников'!$B$3:$B$500)-2),COLUMN('[1]реестр просрочников'!G86)),1),"")</f>
        <v>Дней на просрочке Меньше или равно "95" И</v>
      </c>
      <c r="H86" t="str">
        <f t="array" ref="H86">IFERROR(INDEX('[1]реестр просрочников'!$B$3:$B$500,SMALL(IF(ЭКВАЙРИНГ!$D80='[1]реестр просрочников'!$A$3:$A$500,ROW('[1]реестр просрочников'!$B$3:$B$500)-2),COLUMN('[1]реестр просрочников'!H86)),1),"")</f>
        <v>Актуальный займ.Договор.Дата передачи в КО (Договоры) Не заполнено</v>
      </c>
      <c r="I86">
        <f t="array" ref="I86">IFERROR(INDEX('[1]реестр просрочников'!$B$3:$B$500,SMALL(IF(ЭКВАЙРИНГ!$D80='[1]реестр просрочников'!$A$3:$A$500,ROW('[1]реестр просрочников'!$B$3:$B$500)-2),COLUMN('[1]реестр просрочников'!I86)),1),"")</f>
        <v>0</v>
      </c>
      <c r="K86" t="str">
        <f>IFERROR(VLOOKUP(ЭКВАЙРИНГ!A80,'[1]реестр просрочников'!$B:$C,2,0),"")</f>
        <v/>
      </c>
    </row>
    <row r="87" spans="4:11" x14ac:dyDescent="0.25">
      <c r="D87" t="str">
        <f t="array" ref="D87">IFERROR(INDEX('[1]реестр просрочников'!$B$3:$B$500,SMALL(IF(ЭКВАЙРИНГ!$D81='[1]реестр просрочников'!$A$3:$A$500,ROW('[1]реестр просрочников'!$B$3:$B$500)-2),COLUMN('[1]реестр просрочников'!D87)),1),"")</f>
        <v>Диапазоны сроков возврата займов: </v>
      </c>
      <c r="E87" t="str">
        <f t="array" ref="E87">IFERROR(INDEX('[1]реестр просрочников'!$B$3:$B$500,SMALL(IF(ЭКВАЙРИНГ!$D81='[1]реестр просрочников'!$A$3:$A$500,ROW('[1]реестр просрочников'!$B$3:$B$500)-2),COLUMN('[1]реестр просрочников'!E87)),1),"")</f>
        <v>( Организация Равно "КА АЭК ООО" ) И</v>
      </c>
      <c r="F87" t="str">
        <f t="array" ref="F87">IFERROR(INDEX('[1]реестр просрочников'!$B$3:$B$500,SMALL(IF(ЭКВАЙРИНГ!$D81='[1]реестр просрочников'!$A$3:$A$500,ROW('[1]реестр просрочников'!$B$3:$B$500)-2),COLUMN('[1]реестр просрочников'!F87)),1),"")</f>
        <v>Заемщик Не в списке "АЭК ООО КА; АТЛАС ООО; ВЗАИМНО ООО; ИРБИС ООО" И</v>
      </c>
      <c r="G87" t="str">
        <f t="array" ref="G87">IFERROR(INDEX('[1]реестр просрочников'!$B$3:$B$500,SMALL(IF(ЭКВАЙРИНГ!$D81='[1]реестр просрочников'!$A$3:$A$500,ROW('[1]реестр просрочников'!$B$3:$B$500)-2),COLUMN('[1]реестр просрочников'!G87)),1),"")</f>
        <v>Дней на просрочке Меньше или равно "95" И</v>
      </c>
      <c r="H87" t="str">
        <f t="array" ref="H87">IFERROR(INDEX('[1]реестр просрочников'!$B$3:$B$500,SMALL(IF(ЭКВАЙРИНГ!$D81='[1]реестр просрочников'!$A$3:$A$500,ROW('[1]реестр просрочников'!$B$3:$B$500)-2),COLUMN('[1]реестр просрочников'!H87)),1),"")</f>
        <v>Актуальный займ.Договор.Дата передачи в КО (Договоры) Не заполнено</v>
      </c>
      <c r="I87">
        <f t="array" ref="I87">IFERROR(INDEX('[1]реестр просрочников'!$B$3:$B$500,SMALL(IF(ЭКВАЙРИНГ!$D81='[1]реестр просрочников'!$A$3:$A$500,ROW('[1]реестр просрочников'!$B$3:$B$500)-2),COLUMN('[1]реестр просрочников'!I87)),1),"")</f>
        <v>0</v>
      </c>
      <c r="K87" t="str">
        <f>IFERROR(VLOOKUP(ЭКВАЙРИНГ!A81,'[1]реестр просрочников'!$B:$C,2,0),"")</f>
        <v/>
      </c>
    </row>
    <row r="88" spans="4:11" x14ac:dyDescent="0.25">
      <c r="D88" t="str">
        <f t="array" ref="D88">IFERROR(INDEX('[1]реестр просрочников'!$B$3:$B$500,SMALL(IF(ЭКВАЙРИНГ!$D82='[1]реестр просрочников'!$A$3:$A$500,ROW('[1]реестр просрочников'!$B$3:$B$500)-2),COLUMN('[1]реестр просрочников'!D88)),1),"")</f>
        <v>Диапазоны сроков возврата займов: </v>
      </c>
      <c r="E88" t="str">
        <f t="array" ref="E88">IFERROR(INDEX('[1]реестр просрочников'!$B$3:$B$500,SMALL(IF(ЭКВАЙРИНГ!$D82='[1]реестр просрочников'!$A$3:$A$500,ROW('[1]реестр просрочников'!$B$3:$B$500)-2),COLUMN('[1]реестр просрочников'!E88)),1),"")</f>
        <v>( Организация Равно "КА АЭК ООО" ) И</v>
      </c>
      <c r="F88" t="str">
        <f t="array" ref="F88">IFERROR(INDEX('[1]реестр просрочников'!$B$3:$B$500,SMALL(IF(ЭКВАЙРИНГ!$D82='[1]реестр просрочников'!$A$3:$A$500,ROW('[1]реестр просрочников'!$B$3:$B$500)-2),COLUMN('[1]реестр просрочников'!F88)),1),"")</f>
        <v>Заемщик Не в списке "АЭК ООО КА; АТЛАС ООО; ВЗАИМНО ООО; ИРБИС ООО" И</v>
      </c>
      <c r="G88" t="str">
        <f t="array" ref="G88">IFERROR(INDEX('[1]реестр просрочников'!$B$3:$B$500,SMALL(IF(ЭКВАЙРИНГ!$D82='[1]реестр просрочников'!$A$3:$A$500,ROW('[1]реестр просрочников'!$B$3:$B$500)-2),COLUMN('[1]реестр просрочников'!G88)),1),"")</f>
        <v>Дней на просрочке Меньше или равно "95" И</v>
      </c>
      <c r="H88" t="str">
        <f t="array" ref="H88">IFERROR(INDEX('[1]реестр просрочников'!$B$3:$B$500,SMALL(IF(ЭКВАЙРИНГ!$D82='[1]реестр просрочников'!$A$3:$A$500,ROW('[1]реестр просрочников'!$B$3:$B$500)-2),COLUMN('[1]реестр просрочников'!H88)),1),"")</f>
        <v>Актуальный займ.Договор.Дата передачи в КО (Договоры) Не заполнено</v>
      </c>
      <c r="I88">
        <f t="array" ref="I88">IFERROR(INDEX('[1]реестр просрочников'!$B$3:$B$500,SMALL(IF(ЭКВАЙРИНГ!$D82='[1]реестр просрочников'!$A$3:$A$500,ROW('[1]реестр просрочников'!$B$3:$B$500)-2),COLUMN('[1]реестр просрочников'!I88)),1),"")</f>
        <v>0</v>
      </c>
      <c r="K88" t="str">
        <f>IFERROR(VLOOKUP(ЭКВАЙРИНГ!A82,'[1]реестр просрочников'!$B:$C,2,0),"")</f>
        <v/>
      </c>
    </row>
    <row r="89" spans="4:11" x14ac:dyDescent="0.25">
      <c r="D89" t="str">
        <f t="array" ref="D89">IFERROR(INDEX('[1]реестр просрочников'!$B$3:$B$500,SMALL(IF(ЭКВАЙРИНГ!$D83='[1]реестр просрочников'!$A$3:$A$500,ROW('[1]реестр просрочников'!$B$3:$B$500)-2),COLUMN('[1]реестр просрочников'!D89)),1),"")</f>
        <v>Диапазоны сроков возврата займов: </v>
      </c>
      <c r="E89" t="str">
        <f t="array" ref="E89">IFERROR(INDEX('[1]реестр просрочников'!$B$3:$B$500,SMALL(IF(ЭКВАЙРИНГ!$D83='[1]реестр просрочников'!$A$3:$A$500,ROW('[1]реестр просрочников'!$B$3:$B$500)-2),COLUMN('[1]реестр просрочников'!E89)),1),"")</f>
        <v>( Организация Равно "КА АЭК ООО" ) И</v>
      </c>
      <c r="F89" t="str">
        <f t="array" ref="F89">IFERROR(INDEX('[1]реестр просрочников'!$B$3:$B$500,SMALL(IF(ЭКВАЙРИНГ!$D83='[1]реестр просрочников'!$A$3:$A$500,ROW('[1]реестр просрочников'!$B$3:$B$500)-2),COLUMN('[1]реестр просрочников'!F89)),1),"")</f>
        <v>Заемщик Не в списке "АЭК ООО КА; АТЛАС ООО; ВЗАИМНО ООО; ИРБИС ООО" И</v>
      </c>
      <c r="G89" t="str">
        <f t="array" ref="G89">IFERROR(INDEX('[1]реестр просрочников'!$B$3:$B$500,SMALL(IF(ЭКВАЙРИНГ!$D83='[1]реестр просрочников'!$A$3:$A$500,ROW('[1]реестр просрочников'!$B$3:$B$500)-2),COLUMN('[1]реестр просрочников'!G89)),1),"")</f>
        <v>Дней на просрочке Меньше или равно "95" И</v>
      </c>
      <c r="H89" t="str">
        <f t="array" ref="H89">IFERROR(INDEX('[1]реестр просрочников'!$B$3:$B$500,SMALL(IF(ЭКВАЙРИНГ!$D83='[1]реестр просрочников'!$A$3:$A$500,ROW('[1]реестр просрочников'!$B$3:$B$500)-2),COLUMN('[1]реестр просрочников'!H89)),1),"")</f>
        <v>Актуальный займ.Договор.Дата передачи в КО (Договоры) Не заполнено</v>
      </c>
      <c r="I89">
        <f t="array" ref="I89">IFERROR(INDEX('[1]реестр просрочников'!$B$3:$B$500,SMALL(IF(ЭКВАЙРИНГ!$D83='[1]реестр просрочников'!$A$3:$A$500,ROW('[1]реестр просрочников'!$B$3:$B$500)-2),COLUMN('[1]реестр просрочников'!I89)),1),"")</f>
        <v>0</v>
      </c>
      <c r="K89" t="str">
        <f>IFERROR(VLOOKUP(ЭКВАЙРИНГ!A83,'[1]реестр просрочников'!$B:$C,2,0),"")</f>
        <v/>
      </c>
    </row>
    <row r="90" spans="4:11" x14ac:dyDescent="0.25">
      <c r="D90" t="str">
        <f t="array" ref="D90">IFERROR(INDEX('[1]реестр просрочников'!$B$3:$B$500,SMALL(IF(ЭКВАЙРИНГ!$D84='[1]реестр просрочников'!$A$3:$A$500,ROW('[1]реестр просрочников'!$B$3:$B$500)-2),COLUMN('[1]реестр просрочников'!D90)),1),"")</f>
        <v>Диапазоны сроков возврата займов: </v>
      </c>
      <c r="E90" t="str">
        <f t="array" ref="E90">IFERROR(INDEX('[1]реестр просрочников'!$B$3:$B$500,SMALL(IF(ЭКВАЙРИНГ!$D84='[1]реестр просрочников'!$A$3:$A$500,ROW('[1]реестр просрочников'!$B$3:$B$500)-2),COLUMN('[1]реестр просрочников'!E90)),1),"")</f>
        <v>( Организация Равно "КА АЭК ООО" ) И</v>
      </c>
      <c r="F90" t="str">
        <f t="array" ref="F90">IFERROR(INDEX('[1]реестр просрочников'!$B$3:$B$500,SMALL(IF(ЭКВАЙРИНГ!$D84='[1]реестр просрочников'!$A$3:$A$500,ROW('[1]реестр просрочников'!$B$3:$B$500)-2),COLUMN('[1]реестр просрочников'!F90)),1),"")</f>
        <v>Заемщик Не в списке "АЭК ООО КА; АТЛАС ООО; ВЗАИМНО ООО; ИРБИС ООО" И</v>
      </c>
      <c r="G90" t="str">
        <f t="array" ref="G90">IFERROR(INDEX('[1]реестр просрочников'!$B$3:$B$500,SMALL(IF(ЭКВАЙРИНГ!$D84='[1]реестр просрочников'!$A$3:$A$500,ROW('[1]реестр просрочников'!$B$3:$B$500)-2),COLUMN('[1]реестр просрочников'!G90)),1),"")</f>
        <v>Дней на просрочке Меньше или равно "95" И</v>
      </c>
      <c r="H90" t="str">
        <f t="array" ref="H90">IFERROR(INDEX('[1]реестр просрочников'!$B$3:$B$500,SMALL(IF(ЭКВАЙРИНГ!$D84='[1]реестр просрочников'!$A$3:$A$500,ROW('[1]реестр просрочников'!$B$3:$B$500)-2),COLUMN('[1]реестр просрочников'!H90)),1),"")</f>
        <v>Актуальный займ.Договор.Дата передачи в КО (Договоры) Не заполнено</v>
      </c>
      <c r="I90">
        <f t="array" ref="I90">IFERROR(INDEX('[1]реестр просрочников'!$B$3:$B$500,SMALL(IF(ЭКВАЙРИНГ!$D84='[1]реестр просрочников'!$A$3:$A$500,ROW('[1]реестр просрочников'!$B$3:$B$500)-2),COLUMN('[1]реестр просрочников'!I90)),1),"")</f>
        <v>0</v>
      </c>
      <c r="K90" t="str">
        <f>IFERROR(VLOOKUP(ЭКВАЙРИНГ!A84,'[1]реестр просрочников'!$B:$C,2,0),"")</f>
        <v/>
      </c>
    </row>
    <row r="91" spans="4:11" x14ac:dyDescent="0.25">
      <c r="D91" t="str">
        <f t="array" ref="D91">IFERROR(INDEX('[1]реестр просрочников'!$B$3:$B$500,SMALL(IF(ЭКВАЙРИНГ!$D85='[1]реестр просрочников'!$A$3:$A$500,ROW('[1]реестр просрочников'!$B$3:$B$500)-2),COLUMN('[1]реестр просрочников'!D91)),1),"")</f>
        <v>Диапазоны сроков возврата займов: </v>
      </c>
      <c r="E91" t="str">
        <f t="array" ref="E91">IFERROR(INDEX('[1]реестр просрочников'!$B$3:$B$500,SMALL(IF(ЭКВАЙРИНГ!$D85='[1]реестр просрочников'!$A$3:$A$500,ROW('[1]реестр просрочников'!$B$3:$B$500)-2),COLUMN('[1]реестр просрочников'!E91)),1),"")</f>
        <v>( Организация Равно "КА АЭК ООО" ) И</v>
      </c>
      <c r="F91" t="str">
        <f t="array" ref="F91">IFERROR(INDEX('[1]реестр просрочников'!$B$3:$B$500,SMALL(IF(ЭКВАЙРИНГ!$D85='[1]реестр просрочников'!$A$3:$A$500,ROW('[1]реестр просрочников'!$B$3:$B$500)-2),COLUMN('[1]реестр просрочников'!F91)),1),"")</f>
        <v>Заемщик Не в списке "АЭК ООО КА; АТЛАС ООО; ВЗАИМНО ООО; ИРБИС ООО" И</v>
      </c>
      <c r="G91" t="str">
        <f t="array" ref="G91">IFERROR(INDEX('[1]реестр просрочников'!$B$3:$B$500,SMALL(IF(ЭКВАЙРИНГ!$D85='[1]реестр просрочников'!$A$3:$A$500,ROW('[1]реестр просрочников'!$B$3:$B$500)-2),COLUMN('[1]реестр просрочников'!G91)),1),"")</f>
        <v>Дней на просрочке Меньше или равно "95" И</v>
      </c>
      <c r="H91" t="str">
        <f t="array" ref="H91">IFERROR(INDEX('[1]реестр просрочников'!$B$3:$B$500,SMALL(IF(ЭКВАЙРИНГ!$D85='[1]реестр просрочников'!$A$3:$A$500,ROW('[1]реестр просрочников'!$B$3:$B$500)-2),COLUMN('[1]реестр просрочников'!H91)),1),"")</f>
        <v>Актуальный займ.Договор.Дата передачи в КО (Договоры) Не заполнено</v>
      </c>
      <c r="I91">
        <f t="array" ref="I91">IFERROR(INDEX('[1]реестр просрочников'!$B$3:$B$500,SMALL(IF(ЭКВАЙРИНГ!$D85='[1]реестр просрочников'!$A$3:$A$500,ROW('[1]реестр просрочников'!$B$3:$B$500)-2),COLUMN('[1]реестр просрочников'!I91)),1),"")</f>
        <v>0</v>
      </c>
      <c r="K91" t="str">
        <f>IFERROR(VLOOKUP(ЭКВАЙРИНГ!A85,'[1]реестр просрочников'!$B:$C,2,0),"")</f>
        <v/>
      </c>
    </row>
    <row r="92" spans="4:11" x14ac:dyDescent="0.25">
      <c r="D92" t="str">
        <f t="array" ref="D92">IFERROR(INDEX('[1]реестр просрочников'!$B$3:$B$500,SMALL(IF(ЭКВАЙРИНГ!$D86='[1]реестр просрочников'!$A$3:$A$500,ROW('[1]реестр просрочников'!$B$3:$B$500)-2),COLUMN('[1]реестр просрочников'!D92)),1),"")</f>
        <v>Диапазоны сроков возврата займов: </v>
      </c>
      <c r="E92" t="str">
        <f t="array" ref="E92">IFERROR(INDEX('[1]реестр просрочников'!$B$3:$B$500,SMALL(IF(ЭКВАЙРИНГ!$D86='[1]реестр просрочников'!$A$3:$A$500,ROW('[1]реестр просрочников'!$B$3:$B$500)-2),COLUMN('[1]реестр просрочников'!E92)),1),"")</f>
        <v>( Организация Равно "КА АЭК ООО" ) И</v>
      </c>
      <c r="F92" t="str">
        <f t="array" ref="F92">IFERROR(INDEX('[1]реестр просрочников'!$B$3:$B$500,SMALL(IF(ЭКВАЙРИНГ!$D86='[1]реестр просрочников'!$A$3:$A$500,ROW('[1]реестр просрочников'!$B$3:$B$500)-2),COLUMN('[1]реестр просрочников'!F92)),1),"")</f>
        <v>Заемщик Не в списке "АЭК ООО КА; АТЛАС ООО; ВЗАИМНО ООО; ИРБИС ООО" И</v>
      </c>
      <c r="G92" t="str">
        <f t="array" ref="G92">IFERROR(INDEX('[1]реестр просрочников'!$B$3:$B$500,SMALL(IF(ЭКВАЙРИНГ!$D86='[1]реестр просрочников'!$A$3:$A$500,ROW('[1]реестр просрочников'!$B$3:$B$500)-2),COLUMN('[1]реестр просрочников'!G92)),1),"")</f>
        <v>Дней на просрочке Меньше или равно "95" И</v>
      </c>
      <c r="H92" t="str">
        <f t="array" ref="H92">IFERROR(INDEX('[1]реестр просрочников'!$B$3:$B$500,SMALL(IF(ЭКВАЙРИНГ!$D86='[1]реестр просрочников'!$A$3:$A$500,ROW('[1]реестр просрочников'!$B$3:$B$500)-2),COLUMN('[1]реестр просрочников'!H92)),1),"")</f>
        <v>Актуальный займ.Договор.Дата передачи в КО (Договоры) Не заполнено</v>
      </c>
      <c r="I92">
        <f t="array" ref="I92">IFERROR(INDEX('[1]реестр просрочников'!$B$3:$B$500,SMALL(IF(ЭКВАЙРИНГ!$D86='[1]реестр просрочников'!$A$3:$A$500,ROW('[1]реестр просрочников'!$B$3:$B$500)-2),COLUMN('[1]реестр просрочников'!I92)),1),"")</f>
        <v>0</v>
      </c>
      <c r="K92" t="str">
        <f>IFERROR(VLOOKUP(ЭКВАЙРИНГ!A86,'[1]реестр просрочников'!$B:$C,2,0),"")</f>
        <v/>
      </c>
    </row>
    <row r="93" spans="4:11" x14ac:dyDescent="0.25">
      <c r="D93" t="str">
        <f t="array" ref="D93">IFERROR(INDEX('[1]реестр просрочников'!$B$3:$B$500,SMALL(IF(ЭКВАЙРИНГ!$D87='[1]реестр просрочников'!$A$3:$A$500,ROW('[1]реестр просрочников'!$B$3:$B$500)-2),COLUMN('[1]реестр просрочников'!D93)),1),"")</f>
        <v>Диапазоны сроков возврата займов: </v>
      </c>
      <c r="E93" t="str">
        <f t="array" ref="E93">IFERROR(INDEX('[1]реестр просрочников'!$B$3:$B$500,SMALL(IF(ЭКВАЙРИНГ!$D87='[1]реестр просрочников'!$A$3:$A$500,ROW('[1]реестр просрочников'!$B$3:$B$500)-2),COLUMN('[1]реестр просрочников'!E93)),1),"")</f>
        <v>( Организация Равно "КА АЭК ООО" ) И</v>
      </c>
      <c r="F93" t="str">
        <f t="array" ref="F93">IFERROR(INDEX('[1]реестр просрочников'!$B$3:$B$500,SMALL(IF(ЭКВАЙРИНГ!$D87='[1]реестр просрочников'!$A$3:$A$500,ROW('[1]реестр просрочников'!$B$3:$B$500)-2),COLUMN('[1]реестр просрочников'!F93)),1),"")</f>
        <v>Заемщик Не в списке "АЭК ООО КА; АТЛАС ООО; ВЗАИМНО ООО; ИРБИС ООО" И</v>
      </c>
      <c r="G93" t="str">
        <f t="array" ref="G93">IFERROR(INDEX('[1]реестр просрочников'!$B$3:$B$500,SMALL(IF(ЭКВАЙРИНГ!$D87='[1]реестр просрочников'!$A$3:$A$500,ROW('[1]реестр просрочников'!$B$3:$B$500)-2),COLUMN('[1]реестр просрочников'!G93)),1),"")</f>
        <v>Дней на просрочке Меньше или равно "95" И</v>
      </c>
      <c r="H93" t="str">
        <f t="array" ref="H93">IFERROR(INDEX('[1]реестр просрочников'!$B$3:$B$500,SMALL(IF(ЭКВАЙРИНГ!$D87='[1]реестр просрочников'!$A$3:$A$500,ROW('[1]реестр просрочников'!$B$3:$B$500)-2),COLUMN('[1]реестр просрочников'!H93)),1),"")</f>
        <v>Актуальный займ.Договор.Дата передачи в КО (Договоры) Не заполнено</v>
      </c>
      <c r="I93">
        <f t="array" ref="I93">IFERROR(INDEX('[1]реестр просрочников'!$B$3:$B$500,SMALL(IF(ЭКВАЙРИНГ!$D87='[1]реестр просрочников'!$A$3:$A$500,ROW('[1]реестр просрочников'!$B$3:$B$500)-2),COLUMN('[1]реестр просрочников'!I93)),1),"")</f>
        <v>0</v>
      </c>
      <c r="K93" t="str">
        <f>IFERROR(VLOOKUP(ЭКВАЙРИНГ!A87,'[1]реестр просрочников'!$B:$C,2,0),"")</f>
        <v/>
      </c>
    </row>
    <row r="94" spans="4:11" x14ac:dyDescent="0.25">
      <c r="D94" t="str">
        <f t="array" ref="D94">IFERROR(INDEX('[1]реестр просрочников'!$B$3:$B$500,SMALL(IF(ЭКВАЙРИНГ!$D88='[1]реестр просрочников'!$A$3:$A$500,ROW('[1]реестр просрочников'!$B$3:$B$500)-2),COLUMN('[1]реестр просрочников'!D94)),1),"")</f>
        <v>Диапазоны сроков возврата займов: </v>
      </c>
      <c r="E94" t="str">
        <f t="array" ref="E94">IFERROR(INDEX('[1]реестр просрочников'!$B$3:$B$500,SMALL(IF(ЭКВАЙРИНГ!$D88='[1]реестр просрочников'!$A$3:$A$500,ROW('[1]реестр просрочников'!$B$3:$B$500)-2),COLUMN('[1]реестр просрочников'!E94)),1),"")</f>
        <v>( Организация Равно "КА АЭК ООО" ) И</v>
      </c>
      <c r="F94" t="str">
        <f t="array" ref="F94">IFERROR(INDEX('[1]реестр просрочников'!$B$3:$B$500,SMALL(IF(ЭКВАЙРИНГ!$D88='[1]реестр просрочников'!$A$3:$A$500,ROW('[1]реестр просрочников'!$B$3:$B$500)-2),COLUMN('[1]реестр просрочников'!F94)),1),"")</f>
        <v>Заемщик Не в списке "АЭК ООО КА; АТЛАС ООО; ВЗАИМНО ООО; ИРБИС ООО" И</v>
      </c>
      <c r="G94" t="str">
        <f t="array" ref="G94">IFERROR(INDEX('[1]реестр просрочников'!$B$3:$B$500,SMALL(IF(ЭКВАЙРИНГ!$D88='[1]реестр просрочников'!$A$3:$A$500,ROW('[1]реестр просрочников'!$B$3:$B$500)-2),COLUMN('[1]реестр просрочников'!G94)),1),"")</f>
        <v>Дней на просрочке Меньше или равно "95" И</v>
      </c>
      <c r="H94" t="str">
        <f t="array" ref="H94">IFERROR(INDEX('[1]реестр просрочников'!$B$3:$B$500,SMALL(IF(ЭКВАЙРИНГ!$D88='[1]реестр просрочников'!$A$3:$A$500,ROW('[1]реестр просрочников'!$B$3:$B$500)-2),COLUMN('[1]реестр просрочников'!H94)),1),"")</f>
        <v>Актуальный займ.Договор.Дата передачи в КО (Договоры) Не заполнено</v>
      </c>
      <c r="I94">
        <f t="array" ref="I94">IFERROR(INDEX('[1]реестр просрочников'!$B$3:$B$500,SMALL(IF(ЭКВАЙРИНГ!$D88='[1]реестр просрочников'!$A$3:$A$500,ROW('[1]реестр просрочников'!$B$3:$B$500)-2),COLUMN('[1]реестр просрочников'!I94)),1),"")</f>
        <v>0</v>
      </c>
      <c r="K94" t="str">
        <f>IFERROR(VLOOKUP(ЭКВАЙРИНГ!A88,'[1]реестр просрочников'!$B:$C,2,0),"")</f>
        <v/>
      </c>
    </row>
    <row r="95" spans="4:11" x14ac:dyDescent="0.25">
      <c r="D95" t="str">
        <f t="array" ref="D95">IFERROR(INDEX('[1]реестр просрочников'!$B$3:$B$500,SMALL(IF(ЭКВАЙРИНГ!$D89='[1]реестр просрочников'!$A$3:$A$500,ROW('[1]реестр просрочников'!$B$3:$B$500)-2),COLUMN('[1]реестр просрочников'!D95)),1),"")</f>
        <v>Диапазоны сроков возврата займов: </v>
      </c>
      <c r="E95" t="str">
        <f t="array" ref="E95">IFERROR(INDEX('[1]реестр просрочников'!$B$3:$B$500,SMALL(IF(ЭКВАЙРИНГ!$D89='[1]реестр просрочников'!$A$3:$A$500,ROW('[1]реестр просрочников'!$B$3:$B$500)-2),COLUMN('[1]реестр просрочников'!E95)),1),"")</f>
        <v>( Организация Равно "КА АЭК ООО" ) И</v>
      </c>
      <c r="F95" t="str">
        <f t="array" ref="F95">IFERROR(INDEX('[1]реестр просрочников'!$B$3:$B$500,SMALL(IF(ЭКВАЙРИНГ!$D89='[1]реестр просрочников'!$A$3:$A$500,ROW('[1]реестр просрочников'!$B$3:$B$500)-2),COLUMN('[1]реестр просрочников'!F95)),1),"")</f>
        <v>Заемщик Не в списке "АЭК ООО КА; АТЛАС ООО; ВЗАИМНО ООО; ИРБИС ООО" И</v>
      </c>
      <c r="G95" t="str">
        <f t="array" ref="G95">IFERROR(INDEX('[1]реестр просрочников'!$B$3:$B$500,SMALL(IF(ЭКВАЙРИНГ!$D89='[1]реестр просрочников'!$A$3:$A$500,ROW('[1]реестр просрочников'!$B$3:$B$500)-2),COLUMN('[1]реестр просрочников'!G95)),1),"")</f>
        <v>Дней на просрочке Меньше или равно "95" И</v>
      </c>
      <c r="H95" t="str">
        <f t="array" ref="H95">IFERROR(INDEX('[1]реестр просрочников'!$B$3:$B$500,SMALL(IF(ЭКВАЙРИНГ!$D89='[1]реестр просрочников'!$A$3:$A$500,ROW('[1]реестр просрочников'!$B$3:$B$500)-2),COLUMN('[1]реестр просрочников'!H95)),1),"")</f>
        <v>Актуальный займ.Договор.Дата передачи в КО (Договоры) Не заполнено</v>
      </c>
      <c r="I95">
        <f t="array" ref="I95">IFERROR(INDEX('[1]реестр просрочников'!$B$3:$B$500,SMALL(IF(ЭКВАЙРИНГ!$D89='[1]реестр просрочников'!$A$3:$A$500,ROW('[1]реестр просрочников'!$B$3:$B$500)-2),COLUMN('[1]реестр просрочников'!I95)),1),"")</f>
        <v>0</v>
      </c>
      <c r="K95" t="str">
        <f>IFERROR(VLOOKUP(ЭКВАЙРИНГ!A89,'[1]реестр просрочников'!$B:$C,2,0),"")</f>
        <v/>
      </c>
    </row>
    <row r="96" spans="4:11" x14ac:dyDescent="0.25">
      <c r="D96" t="str">
        <f t="array" ref="D96">IFERROR(INDEX('[1]реестр просрочников'!$B$3:$B$500,SMALL(IF(ЭКВАЙРИНГ!$D90='[1]реестр просрочников'!$A$3:$A$500,ROW('[1]реестр просрочников'!$B$3:$B$500)-2),COLUMN('[1]реестр просрочников'!D96)),1),"")</f>
        <v>Диапазоны сроков возврата займов: </v>
      </c>
      <c r="E96" t="str">
        <f t="array" ref="E96">IFERROR(INDEX('[1]реестр просрочников'!$B$3:$B$500,SMALL(IF(ЭКВАЙРИНГ!$D90='[1]реестр просрочников'!$A$3:$A$500,ROW('[1]реестр просрочников'!$B$3:$B$500)-2),COLUMN('[1]реестр просрочников'!E96)),1),"")</f>
        <v>( Организация Равно "КА АЭК ООО" ) И</v>
      </c>
      <c r="F96" t="str">
        <f t="array" ref="F96">IFERROR(INDEX('[1]реестр просрочников'!$B$3:$B$500,SMALL(IF(ЭКВАЙРИНГ!$D90='[1]реестр просрочников'!$A$3:$A$500,ROW('[1]реестр просрочников'!$B$3:$B$500)-2),COLUMN('[1]реестр просрочников'!F96)),1),"")</f>
        <v>Заемщик Не в списке "АЭК ООО КА; АТЛАС ООО; ВЗАИМНО ООО; ИРБИС ООО" И</v>
      </c>
      <c r="G96" t="str">
        <f t="array" ref="G96">IFERROR(INDEX('[1]реестр просрочников'!$B$3:$B$500,SMALL(IF(ЭКВАЙРИНГ!$D90='[1]реестр просрочников'!$A$3:$A$500,ROW('[1]реестр просрочников'!$B$3:$B$500)-2),COLUMN('[1]реестр просрочников'!G96)),1),"")</f>
        <v>Дней на просрочке Меньше или равно "95" И</v>
      </c>
      <c r="H96" t="str">
        <f t="array" ref="H96">IFERROR(INDEX('[1]реестр просрочников'!$B$3:$B$500,SMALL(IF(ЭКВАЙРИНГ!$D90='[1]реестр просрочников'!$A$3:$A$500,ROW('[1]реестр просрочников'!$B$3:$B$500)-2),COLUMN('[1]реестр просрочников'!H96)),1),"")</f>
        <v>Актуальный займ.Договор.Дата передачи в КО (Договоры) Не заполнено</v>
      </c>
      <c r="I96">
        <f t="array" ref="I96">IFERROR(INDEX('[1]реестр просрочников'!$B$3:$B$500,SMALL(IF(ЭКВАЙРИНГ!$D90='[1]реестр просрочников'!$A$3:$A$500,ROW('[1]реестр просрочников'!$B$3:$B$500)-2),COLUMN('[1]реестр просрочников'!I96)),1),"")</f>
        <v>0</v>
      </c>
      <c r="K96" t="str">
        <f>IFERROR(VLOOKUP(ЭКВАЙРИНГ!A90,'[1]реестр просрочников'!$B:$C,2,0),"")</f>
        <v/>
      </c>
    </row>
    <row r="97" spans="4:11" x14ac:dyDescent="0.25">
      <c r="D97" t="str">
        <f t="array" ref="D97">IFERROR(INDEX('[1]реестр просрочников'!$B$3:$B$500,SMALL(IF(ЭКВАЙРИНГ!$D91='[1]реестр просрочников'!$A$3:$A$500,ROW('[1]реестр просрочников'!$B$3:$B$500)-2),COLUMN('[1]реестр просрочников'!D97)),1),"")</f>
        <v>Диапазоны сроков возврата займов: </v>
      </c>
      <c r="E97" t="str">
        <f t="array" ref="E97">IFERROR(INDEX('[1]реестр просрочников'!$B$3:$B$500,SMALL(IF(ЭКВАЙРИНГ!$D91='[1]реестр просрочников'!$A$3:$A$500,ROW('[1]реестр просрочников'!$B$3:$B$500)-2),COLUMN('[1]реестр просрочников'!E97)),1),"")</f>
        <v>( Организация Равно "КА АЭК ООО" ) И</v>
      </c>
      <c r="F97" t="str">
        <f t="array" ref="F97">IFERROR(INDEX('[1]реестр просрочников'!$B$3:$B$500,SMALL(IF(ЭКВАЙРИНГ!$D91='[1]реестр просрочников'!$A$3:$A$500,ROW('[1]реестр просрочников'!$B$3:$B$500)-2),COLUMN('[1]реестр просрочников'!F97)),1),"")</f>
        <v>Заемщик Не в списке "АЭК ООО КА; АТЛАС ООО; ВЗАИМНО ООО; ИРБИС ООО" И</v>
      </c>
      <c r="G97" t="str">
        <f t="array" ref="G97">IFERROR(INDEX('[1]реестр просрочников'!$B$3:$B$500,SMALL(IF(ЭКВАЙРИНГ!$D91='[1]реестр просрочников'!$A$3:$A$500,ROW('[1]реестр просрочников'!$B$3:$B$500)-2),COLUMN('[1]реестр просрочников'!G97)),1),"")</f>
        <v>Дней на просрочке Меньше или равно "95" И</v>
      </c>
      <c r="H97" t="str">
        <f t="array" ref="H97">IFERROR(INDEX('[1]реестр просрочников'!$B$3:$B$500,SMALL(IF(ЭКВАЙРИНГ!$D91='[1]реестр просрочников'!$A$3:$A$500,ROW('[1]реестр просрочников'!$B$3:$B$500)-2),COLUMN('[1]реестр просрочников'!H97)),1),"")</f>
        <v>Актуальный займ.Договор.Дата передачи в КО (Договоры) Не заполнено</v>
      </c>
      <c r="I97">
        <f t="array" ref="I97">IFERROR(INDEX('[1]реестр просрочников'!$B$3:$B$500,SMALL(IF(ЭКВАЙРИНГ!$D91='[1]реестр просрочников'!$A$3:$A$500,ROW('[1]реестр просрочников'!$B$3:$B$500)-2),COLUMN('[1]реестр просрочников'!I97)),1),"")</f>
        <v>0</v>
      </c>
      <c r="K97" t="str">
        <f>IFERROR(VLOOKUP(ЭКВАЙРИНГ!A91,'[1]реестр просрочников'!$B:$C,2,0),"")</f>
        <v/>
      </c>
    </row>
    <row r="98" spans="4:11" x14ac:dyDescent="0.25">
      <c r="D98" t="str">
        <f t="array" ref="D98">IFERROR(INDEX('[1]реестр просрочников'!$B$3:$B$500,SMALL(IF(ЭКВАЙРИНГ!$D92='[1]реестр просрочников'!$A$3:$A$500,ROW('[1]реестр просрочников'!$B$3:$B$500)-2),COLUMN('[1]реестр просрочников'!D98)),1),"")</f>
        <v>Диапазоны сроков возврата займов: </v>
      </c>
      <c r="E98" t="str">
        <f t="array" ref="E98">IFERROR(INDEX('[1]реестр просрочников'!$B$3:$B$500,SMALL(IF(ЭКВАЙРИНГ!$D92='[1]реестр просрочников'!$A$3:$A$500,ROW('[1]реестр просрочников'!$B$3:$B$500)-2),COLUMN('[1]реестр просрочников'!E98)),1),"")</f>
        <v>( Организация Равно "КА АЭК ООО" ) И</v>
      </c>
      <c r="F98" t="str">
        <f t="array" ref="F98">IFERROR(INDEX('[1]реестр просрочников'!$B$3:$B$500,SMALL(IF(ЭКВАЙРИНГ!$D92='[1]реестр просрочников'!$A$3:$A$500,ROW('[1]реестр просрочников'!$B$3:$B$500)-2),COLUMN('[1]реестр просрочников'!F98)),1),"")</f>
        <v>Заемщик Не в списке "АЭК ООО КА; АТЛАС ООО; ВЗАИМНО ООО; ИРБИС ООО" И</v>
      </c>
      <c r="G98" t="str">
        <f t="array" ref="G98">IFERROR(INDEX('[1]реестр просрочников'!$B$3:$B$500,SMALL(IF(ЭКВАЙРИНГ!$D92='[1]реестр просрочников'!$A$3:$A$500,ROW('[1]реестр просрочников'!$B$3:$B$500)-2),COLUMN('[1]реестр просрочников'!G98)),1),"")</f>
        <v>Дней на просрочке Меньше или равно "95" И</v>
      </c>
      <c r="H98" t="str">
        <f t="array" ref="H98">IFERROR(INDEX('[1]реестр просрочников'!$B$3:$B$500,SMALL(IF(ЭКВАЙРИНГ!$D92='[1]реестр просрочников'!$A$3:$A$500,ROW('[1]реестр просрочников'!$B$3:$B$500)-2),COLUMN('[1]реестр просрочников'!H98)),1),"")</f>
        <v>Актуальный займ.Договор.Дата передачи в КО (Договоры) Не заполнено</v>
      </c>
      <c r="I98">
        <f t="array" ref="I98">IFERROR(INDEX('[1]реестр просрочников'!$B$3:$B$500,SMALL(IF(ЭКВАЙРИНГ!$D92='[1]реестр просрочников'!$A$3:$A$500,ROW('[1]реестр просрочников'!$B$3:$B$500)-2),COLUMN('[1]реестр просрочников'!I98)),1),"")</f>
        <v>0</v>
      </c>
      <c r="K98" t="str">
        <f>IFERROR(VLOOKUP(ЭКВАЙРИНГ!A92,'[1]реестр просрочников'!$B:$C,2,0),"")</f>
        <v/>
      </c>
    </row>
    <row r="99" spans="4:11" x14ac:dyDescent="0.25">
      <c r="D99" t="str">
        <f t="array" ref="D99">IFERROR(INDEX('[1]реестр просрочников'!$B$3:$B$500,SMALL(IF(ЭКВАЙРИНГ!$D93='[1]реестр просрочников'!$A$3:$A$500,ROW('[1]реестр просрочников'!$B$3:$B$500)-2),COLUMN('[1]реестр просрочников'!D99)),1),"")</f>
        <v>Диапазоны сроков возврата займов: </v>
      </c>
      <c r="E99" t="str">
        <f t="array" ref="E99">IFERROR(INDEX('[1]реестр просрочников'!$B$3:$B$500,SMALL(IF(ЭКВАЙРИНГ!$D93='[1]реестр просрочников'!$A$3:$A$500,ROW('[1]реестр просрочников'!$B$3:$B$500)-2),COLUMN('[1]реестр просрочников'!E99)),1),"")</f>
        <v>( Организация Равно "КА АЭК ООО" ) И</v>
      </c>
      <c r="F99" t="str">
        <f t="array" ref="F99">IFERROR(INDEX('[1]реестр просрочников'!$B$3:$B$500,SMALL(IF(ЭКВАЙРИНГ!$D93='[1]реестр просрочников'!$A$3:$A$500,ROW('[1]реестр просрочников'!$B$3:$B$500)-2),COLUMN('[1]реестр просрочников'!F99)),1),"")</f>
        <v>Заемщик Не в списке "АЭК ООО КА; АТЛАС ООО; ВЗАИМНО ООО; ИРБИС ООО" И</v>
      </c>
      <c r="G99" t="str">
        <f t="array" ref="G99">IFERROR(INDEX('[1]реестр просрочников'!$B$3:$B$500,SMALL(IF(ЭКВАЙРИНГ!$D93='[1]реестр просрочников'!$A$3:$A$500,ROW('[1]реестр просрочников'!$B$3:$B$500)-2),COLUMN('[1]реестр просрочников'!G99)),1),"")</f>
        <v>Дней на просрочке Меньше или равно "95" И</v>
      </c>
      <c r="H99" t="str">
        <f t="array" ref="H99">IFERROR(INDEX('[1]реестр просрочников'!$B$3:$B$500,SMALL(IF(ЭКВАЙРИНГ!$D93='[1]реестр просрочников'!$A$3:$A$500,ROW('[1]реестр просрочников'!$B$3:$B$500)-2),COLUMN('[1]реестр просрочников'!H99)),1),"")</f>
        <v>Актуальный займ.Договор.Дата передачи в КО (Договоры) Не заполнено</v>
      </c>
      <c r="I99">
        <f t="array" ref="I99">IFERROR(INDEX('[1]реестр просрочников'!$B$3:$B$500,SMALL(IF(ЭКВАЙРИНГ!$D93='[1]реестр просрочников'!$A$3:$A$500,ROW('[1]реестр просрочников'!$B$3:$B$500)-2),COLUMN('[1]реестр просрочников'!I99)),1),"")</f>
        <v>0</v>
      </c>
      <c r="K99" t="str">
        <f>IFERROR(VLOOKUP(ЭКВАЙРИНГ!A93,'[1]реестр просрочников'!$B:$C,2,0),"")</f>
        <v/>
      </c>
    </row>
    <row r="100" spans="4:11" x14ac:dyDescent="0.25">
      <c r="D100" t="str">
        <f t="array" ref="D100">IFERROR(INDEX('[1]реестр просрочников'!$B$3:$B$500,SMALL(IF(ЭКВАЙРИНГ!$D94='[1]реестр просрочников'!$A$3:$A$500,ROW('[1]реестр просрочников'!$B$3:$B$500)-2),COLUMN('[1]реестр просрочников'!D100)),1),"")</f>
        <v>Диапазоны сроков возврата займов: </v>
      </c>
      <c r="E100" t="str">
        <f t="array" ref="E100">IFERROR(INDEX('[1]реестр просрочников'!$B$3:$B$500,SMALL(IF(ЭКВАЙРИНГ!$D94='[1]реестр просрочников'!$A$3:$A$500,ROW('[1]реестр просрочников'!$B$3:$B$500)-2),COLUMN('[1]реестр просрочников'!E100)),1),"")</f>
        <v>( Организация Равно "КА АЭК ООО" ) И</v>
      </c>
      <c r="F100" t="str">
        <f t="array" ref="F100">IFERROR(INDEX('[1]реестр просрочников'!$B$3:$B$500,SMALL(IF(ЭКВАЙРИНГ!$D94='[1]реестр просрочников'!$A$3:$A$500,ROW('[1]реестр просрочников'!$B$3:$B$500)-2),COLUMN('[1]реестр просрочников'!F100)),1),"")</f>
        <v>Заемщик Не в списке "АЭК ООО КА; АТЛАС ООО; ВЗАИМНО ООО; ИРБИС ООО" И</v>
      </c>
      <c r="G100" t="str">
        <f t="array" ref="G100">IFERROR(INDEX('[1]реестр просрочников'!$B$3:$B$500,SMALL(IF(ЭКВАЙРИНГ!$D94='[1]реестр просрочников'!$A$3:$A$500,ROW('[1]реестр просрочников'!$B$3:$B$500)-2),COLUMN('[1]реестр просрочников'!G100)),1),"")</f>
        <v>Дней на просрочке Меньше или равно "95" И</v>
      </c>
      <c r="H100" t="str">
        <f t="array" ref="H100">IFERROR(INDEX('[1]реестр просрочников'!$B$3:$B$500,SMALL(IF(ЭКВАЙРИНГ!$D94='[1]реестр просрочников'!$A$3:$A$500,ROW('[1]реестр просрочников'!$B$3:$B$500)-2),COLUMN('[1]реестр просрочников'!H100)),1),"")</f>
        <v>Актуальный займ.Договор.Дата передачи в КО (Договоры) Не заполнено</v>
      </c>
      <c r="I100">
        <f t="array" ref="I100">IFERROR(INDEX('[1]реестр просрочников'!$B$3:$B$500,SMALL(IF(ЭКВАЙРИНГ!$D94='[1]реестр просрочников'!$A$3:$A$500,ROW('[1]реестр просрочников'!$B$3:$B$500)-2),COLUMN('[1]реестр просрочников'!I100)),1),"")</f>
        <v>0</v>
      </c>
      <c r="K100" t="str">
        <f>IFERROR(VLOOKUP(ЭКВАЙРИНГ!A94,'[1]реестр просрочников'!$B:$C,2,0),"")</f>
        <v/>
      </c>
    </row>
    <row r="101" spans="4:11" x14ac:dyDescent="0.25">
      <c r="D101" t="str">
        <f t="array" ref="D101">IFERROR(INDEX('[1]реестр просрочников'!$B$3:$B$500,SMALL(IF(ЭКВАЙРИНГ!$D95='[1]реестр просрочников'!$A$3:$A$500,ROW('[1]реестр просрочников'!$B$3:$B$500)-2),COLUMN('[1]реестр просрочников'!D101)),1),"")</f>
        <v>Диапазоны сроков возврата займов: </v>
      </c>
      <c r="E101" t="str">
        <f t="array" ref="E101">IFERROR(INDEX('[1]реестр просрочников'!$B$3:$B$500,SMALL(IF(ЭКВАЙРИНГ!$D95='[1]реестр просрочников'!$A$3:$A$500,ROW('[1]реестр просрочников'!$B$3:$B$500)-2),COLUMN('[1]реестр просрочников'!E101)),1),"")</f>
        <v>( Организация Равно "КА АЭК ООО" ) И</v>
      </c>
      <c r="F101" t="str">
        <f t="array" ref="F101">IFERROR(INDEX('[1]реестр просрочников'!$B$3:$B$500,SMALL(IF(ЭКВАЙРИНГ!$D95='[1]реестр просрочников'!$A$3:$A$500,ROW('[1]реестр просрочников'!$B$3:$B$500)-2),COLUMN('[1]реестр просрочников'!F101)),1),"")</f>
        <v>Заемщик Не в списке "АЭК ООО КА; АТЛАС ООО; ВЗАИМНО ООО; ИРБИС ООО" И</v>
      </c>
      <c r="G101" t="str">
        <f t="array" ref="G101">IFERROR(INDEX('[1]реестр просрочников'!$B$3:$B$500,SMALL(IF(ЭКВАЙРИНГ!$D95='[1]реестр просрочников'!$A$3:$A$500,ROW('[1]реестр просрочников'!$B$3:$B$500)-2),COLUMN('[1]реестр просрочников'!G101)),1),"")</f>
        <v>Дней на просрочке Меньше или равно "95" И</v>
      </c>
      <c r="H101" t="str">
        <f t="array" ref="H101">IFERROR(INDEX('[1]реестр просрочников'!$B$3:$B$500,SMALL(IF(ЭКВАЙРИНГ!$D95='[1]реестр просрочников'!$A$3:$A$500,ROW('[1]реестр просрочников'!$B$3:$B$500)-2),COLUMN('[1]реестр просрочников'!H101)),1),"")</f>
        <v>Актуальный займ.Договор.Дата передачи в КО (Договоры) Не заполнено</v>
      </c>
      <c r="I101">
        <f t="array" ref="I101">IFERROR(INDEX('[1]реестр просрочников'!$B$3:$B$500,SMALL(IF(ЭКВАЙРИНГ!$D95='[1]реестр просрочников'!$A$3:$A$500,ROW('[1]реестр просрочников'!$B$3:$B$500)-2),COLUMN('[1]реестр просрочников'!I101)),1),"")</f>
        <v>0</v>
      </c>
      <c r="K101" t="str">
        <f>IFERROR(VLOOKUP(ЭКВАЙРИНГ!A95,'[1]реестр просрочников'!$B:$C,2,0),"")</f>
        <v/>
      </c>
    </row>
    <row r="102" spans="4:11" x14ac:dyDescent="0.25">
      <c r="D102" t="str">
        <f t="array" ref="D102">IFERROR(INDEX('[1]реестр просрочников'!$B$3:$B$500,SMALL(IF(ЭКВАЙРИНГ!$D96='[1]реестр просрочников'!$A$3:$A$500,ROW('[1]реестр просрочников'!$B$3:$B$500)-2),COLUMN('[1]реестр просрочников'!D102)),1),"")</f>
        <v>Диапазоны сроков возврата займов: </v>
      </c>
      <c r="E102" t="str">
        <f t="array" ref="E102">IFERROR(INDEX('[1]реестр просрочников'!$B$3:$B$500,SMALL(IF(ЭКВАЙРИНГ!$D96='[1]реестр просрочников'!$A$3:$A$500,ROW('[1]реестр просрочников'!$B$3:$B$500)-2),COLUMN('[1]реестр просрочников'!E102)),1),"")</f>
        <v>( Организация Равно "КА АЭК ООО" ) И</v>
      </c>
      <c r="F102" t="str">
        <f t="array" ref="F102">IFERROR(INDEX('[1]реестр просрочников'!$B$3:$B$500,SMALL(IF(ЭКВАЙРИНГ!$D96='[1]реестр просрочников'!$A$3:$A$500,ROW('[1]реестр просрочников'!$B$3:$B$500)-2),COLUMN('[1]реестр просрочников'!F102)),1),"")</f>
        <v>Заемщик Не в списке "АЭК ООО КА; АТЛАС ООО; ВЗАИМНО ООО; ИРБИС ООО" И</v>
      </c>
      <c r="G102" t="str">
        <f t="array" ref="G102">IFERROR(INDEX('[1]реестр просрочников'!$B$3:$B$500,SMALL(IF(ЭКВАЙРИНГ!$D96='[1]реестр просрочников'!$A$3:$A$500,ROW('[1]реестр просрочников'!$B$3:$B$500)-2),COLUMN('[1]реестр просрочников'!G102)),1),"")</f>
        <v>Дней на просрочке Меньше или равно "95" И</v>
      </c>
      <c r="H102" t="str">
        <f t="array" ref="H102">IFERROR(INDEX('[1]реестр просрочников'!$B$3:$B$500,SMALL(IF(ЭКВАЙРИНГ!$D96='[1]реестр просрочников'!$A$3:$A$500,ROW('[1]реестр просрочников'!$B$3:$B$500)-2),COLUMN('[1]реестр просрочников'!H102)),1),"")</f>
        <v>Актуальный займ.Договор.Дата передачи в КО (Договоры) Не заполнено</v>
      </c>
      <c r="I102">
        <f t="array" ref="I102">IFERROR(INDEX('[1]реестр просрочников'!$B$3:$B$500,SMALL(IF(ЭКВАЙРИНГ!$D96='[1]реестр просрочников'!$A$3:$A$500,ROW('[1]реестр просрочников'!$B$3:$B$500)-2),COLUMN('[1]реестр просрочников'!I102)),1),"")</f>
        <v>0</v>
      </c>
      <c r="K102" t="str">
        <f>IFERROR(VLOOKUP(ЭКВАЙРИНГ!A96,'[1]реестр просрочников'!$B:$C,2,0),"")</f>
        <v/>
      </c>
    </row>
    <row r="103" spans="4:11" x14ac:dyDescent="0.25">
      <c r="D103" t="str">
        <f t="array" ref="D103">IFERROR(INDEX('[1]реестр просрочников'!$B$3:$B$500,SMALL(IF(ЭКВАЙРИНГ!$D97='[1]реестр просрочников'!$A$3:$A$500,ROW('[1]реестр просрочников'!$B$3:$B$500)-2),COLUMN('[1]реестр просрочников'!D103)),1),"")</f>
        <v>Диапазоны сроков возврата займов: </v>
      </c>
      <c r="E103" t="str">
        <f t="array" ref="E103">IFERROR(INDEX('[1]реестр просрочников'!$B$3:$B$500,SMALL(IF(ЭКВАЙРИНГ!$D97='[1]реестр просрочников'!$A$3:$A$500,ROW('[1]реестр просрочников'!$B$3:$B$500)-2),COLUMN('[1]реестр просрочников'!E103)),1),"")</f>
        <v>( Организация Равно "КА АЭК ООО" ) И</v>
      </c>
      <c r="F103" t="str">
        <f t="array" ref="F103">IFERROR(INDEX('[1]реестр просрочников'!$B$3:$B$500,SMALL(IF(ЭКВАЙРИНГ!$D97='[1]реестр просрочников'!$A$3:$A$500,ROW('[1]реестр просрочников'!$B$3:$B$500)-2),COLUMN('[1]реестр просрочников'!F103)),1),"")</f>
        <v>Заемщик Не в списке "АЭК ООО КА; АТЛАС ООО; ВЗАИМНО ООО; ИРБИС ООО" И</v>
      </c>
      <c r="G103" t="str">
        <f t="array" ref="G103">IFERROR(INDEX('[1]реестр просрочников'!$B$3:$B$500,SMALL(IF(ЭКВАЙРИНГ!$D97='[1]реестр просрочников'!$A$3:$A$500,ROW('[1]реестр просрочников'!$B$3:$B$500)-2),COLUMN('[1]реестр просрочников'!G103)),1),"")</f>
        <v>Дней на просрочке Меньше или равно "95" И</v>
      </c>
      <c r="H103" t="str">
        <f t="array" ref="H103">IFERROR(INDEX('[1]реестр просрочников'!$B$3:$B$500,SMALL(IF(ЭКВАЙРИНГ!$D97='[1]реестр просрочников'!$A$3:$A$500,ROW('[1]реестр просрочников'!$B$3:$B$500)-2),COLUMN('[1]реестр просрочников'!H103)),1),"")</f>
        <v>Актуальный займ.Договор.Дата передачи в КО (Договоры) Не заполнено</v>
      </c>
      <c r="I103">
        <f t="array" ref="I103">IFERROR(INDEX('[1]реестр просрочников'!$B$3:$B$500,SMALL(IF(ЭКВАЙРИНГ!$D97='[1]реестр просрочников'!$A$3:$A$500,ROW('[1]реестр просрочников'!$B$3:$B$500)-2),COLUMN('[1]реестр просрочников'!I103)),1),"")</f>
        <v>0</v>
      </c>
      <c r="K103" t="str">
        <f>IFERROR(VLOOKUP(ЭКВАЙРИНГ!A97,'[1]реестр просрочников'!$B:$C,2,0),"")</f>
        <v/>
      </c>
    </row>
    <row r="104" spans="4:11" x14ac:dyDescent="0.25">
      <c r="D104" t="str">
        <f t="array" ref="D104">IFERROR(INDEX('[1]реестр просрочников'!$B$3:$B$500,SMALL(IF(ЭКВАЙРИНГ!$D98='[1]реестр просрочников'!$A$3:$A$500,ROW('[1]реестр просрочников'!$B$3:$B$500)-2),COLUMN('[1]реестр просрочников'!D104)),1),"")</f>
        <v>Диапазоны сроков возврата займов: </v>
      </c>
      <c r="E104" t="str">
        <f t="array" ref="E104">IFERROR(INDEX('[1]реестр просрочников'!$B$3:$B$500,SMALL(IF(ЭКВАЙРИНГ!$D98='[1]реестр просрочников'!$A$3:$A$500,ROW('[1]реестр просрочников'!$B$3:$B$500)-2),COLUMN('[1]реестр просрочников'!E104)),1),"")</f>
        <v>( Организация Равно "КА АЭК ООО" ) И</v>
      </c>
      <c r="F104" t="str">
        <f t="array" ref="F104">IFERROR(INDEX('[1]реестр просрочников'!$B$3:$B$500,SMALL(IF(ЭКВАЙРИНГ!$D98='[1]реестр просрочников'!$A$3:$A$500,ROW('[1]реестр просрочников'!$B$3:$B$500)-2),COLUMN('[1]реестр просрочников'!F104)),1),"")</f>
        <v>Заемщик Не в списке "АЭК ООО КА; АТЛАС ООО; ВЗАИМНО ООО; ИРБИС ООО" И</v>
      </c>
      <c r="G104" t="str">
        <f t="array" ref="G104">IFERROR(INDEX('[1]реестр просрочников'!$B$3:$B$500,SMALL(IF(ЭКВАЙРИНГ!$D98='[1]реестр просрочников'!$A$3:$A$500,ROW('[1]реестр просрочников'!$B$3:$B$500)-2),COLUMN('[1]реестр просрочников'!G104)),1),"")</f>
        <v>Дней на просрочке Меньше или равно "95" И</v>
      </c>
      <c r="H104" t="str">
        <f t="array" ref="H104">IFERROR(INDEX('[1]реестр просрочников'!$B$3:$B$500,SMALL(IF(ЭКВАЙРИНГ!$D98='[1]реестр просрочников'!$A$3:$A$500,ROW('[1]реестр просрочников'!$B$3:$B$500)-2),COLUMN('[1]реестр просрочников'!H104)),1),"")</f>
        <v>Актуальный займ.Договор.Дата передачи в КО (Договоры) Не заполнено</v>
      </c>
      <c r="I104">
        <f t="array" ref="I104">IFERROR(INDEX('[1]реестр просрочников'!$B$3:$B$500,SMALL(IF(ЭКВАЙРИНГ!$D98='[1]реестр просрочников'!$A$3:$A$500,ROW('[1]реестр просрочников'!$B$3:$B$500)-2),COLUMN('[1]реестр просрочников'!I104)),1),"")</f>
        <v>0</v>
      </c>
      <c r="K104" t="str">
        <f>IFERROR(VLOOKUP(ЭКВАЙРИНГ!A98,'[1]реестр просрочников'!$B:$C,2,0),"")</f>
        <v/>
      </c>
    </row>
    <row r="105" spans="4:11" x14ac:dyDescent="0.25">
      <c r="D105" t="str">
        <f t="array" ref="D105">IFERROR(INDEX('[1]реестр просрочников'!$B$3:$B$500,SMALL(IF(ЭКВАЙРИНГ!$D99='[1]реестр просрочников'!$A$3:$A$500,ROW('[1]реестр просрочников'!$B$3:$B$500)-2),COLUMN('[1]реестр просрочников'!D105)),1),"")</f>
        <v>Диапазоны сроков возврата займов: </v>
      </c>
      <c r="E105" t="str">
        <f t="array" ref="E105">IFERROR(INDEX('[1]реестр просрочников'!$B$3:$B$500,SMALL(IF(ЭКВАЙРИНГ!$D99='[1]реестр просрочников'!$A$3:$A$500,ROW('[1]реестр просрочников'!$B$3:$B$500)-2),COLUMN('[1]реестр просрочников'!E105)),1),"")</f>
        <v>( Организация Равно "КА АЭК ООО" ) И</v>
      </c>
      <c r="F105" t="str">
        <f t="array" ref="F105">IFERROR(INDEX('[1]реестр просрочников'!$B$3:$B$500,SMALL(IF(ЭКВАЙРИНГ!$D99='[1]реестр просрочников'!$A$3:$A$500,ROW('[1]реестр просрочников'!$B$3:$B$500)-2),COLUMN('[1]реестр просрочников'!F105)),1),"")</f>
        <v>Заемщик Не в списке "АЭК ООО КА; АТЛАС ООО; ВЗАИМНО ООО; ИРБИС ООО" И</v>
      </c>
      <c r="G105" t="str">
        <f t="array" ref="G105">IFERROR(INDEX('[1]реестр просрочников'!$B$3:$B$500,SMALL(IF(ЭКВАЙРИНГ!$D99='[1]реестр просрочников'!$A$3:$A$500,ROW('[1]реестр просрочников'!$B$3:$B$500)-2),COLUMN('[1]реестр просрочников'!G105)),1),"")</f>
        <v>Дней на просрочке Меньше или равно "95" И</v>
      </c>
      <c r="H105" t="str">
        <f t="array" ref="H105">IFERROR(INDEX('[1]реестр просрочников'!$B$3:$B$500,SMALL(IF(ЭКВАЙРИНГ!$D99='[1]реестр просрочников'!$A$3:$A$500,ROW('[1]реестр просрочников'!$B$3:$B$500)-2),COLUMN('[1]реестр просрочников'!H105)),1),"")</f>
        <v>Актуальный займ.Договор.Дата передачи в КО (Договоры) Не заполнено</v>
      </c>
      <c r="I105">
        <f t="array" ref="I105">IFERROR(INDEX('[1]реестр просрочников'!$B$3:$B$500,SMALL(IF(ЭКВАЙРИНГ!$D99='[1]реестр просрочников'!$A$3:$A$500,ROW('[1]реестр просрочников'!$B$3:$B$500)-2),COLUMN('[1]реестр просрочников'!I105)),1),"")</f>
        <v>0</v>
      </c>
      <c r="K105" t="str">
        <f>IFERROR(VLOOKUP(ЭКВАЙРИНГ!A99,'[1]реестр просрочников'!$B:$C,2,0),"")</f>
        <v/>
      </c>
    </row>
    <row r="106" spans="4:11" x14ac:dyDescent="0.25">
      <c r="D106" t="str">
        <f t="array" ref="D106">IFERROR(INDEX('[1]реестр просрочников'!$B$3:$B$500,SMALL(IF(ЭКВАЙРИНГ!$D100='[1]реестр просрочников'!$A$3:$A$500,ROW('[1]реестр просрочников'!$B$3:$B$500)-2),COLUMN('[1]реестр просрочников'!D106)),1),"")</f>
        <v>Диапазоны сроков возврата займов: </v>
      </c>
      <c r="E106" t="str">
        <f t="array" ref="E106">IFERROR(INDEX('[1]реестр просрочников'!$B$3:$B$500,SMALL(IF(ЭКВАЙРИНГ!$D100='[1]реестр просрочников'!$A$3:$A$500,ROW('[1]реестр просрочников'!$B$3:$B$500)-2),COLUMN('[1]реестр просрочников'!E106)),1),"")</f>
        <v>( Организация Равно "КА АЭК ООО" ) И</v>
      </c>
      <c r="F106" t="str">
        <f t="array" ref="F106">IFERROR(INDEX('[1]реестр просрочников'!$B$3:$B$500,SMALL(IF(ЭКВАЙРИНГ!$D100='[1]реестр просрочников'!$A$3:$A$500,ROW('[1]реестр просрочников'!$B$3:$B$500)-2),COLUMN('[1]реестр просрочников'!F106)),1),"")</f>
        <v>Заемщик Не в списке "АЭК ООО КА; АТЛАС ООО; ВЗАИМНО ООО; ИРБИС ООО" И</v>
      </c>
      <c r="G106" t="str">
        <f t="array" ref="G106">IFERROR(INDEX('[1]реестр просрочников'!$B$3:$B$500,SMALL(IF(ЭКВАЙРИНГ!$D100='[1]реестр просрочников'!$A$3:$A$500,ROW('[1]реестр просрочников'!$B$3:$B$500)-2),COLUMN('[1]реестр просрочников'!G106)),1),"")</f>
        <v>Дней на просрочке Меньше или равно "95" И</v>
      </c>
      <c r="H106" t="str">
        <f t="array" ref="H106">IFERROR(INDEX('[1]реестр просрочников'!$B$3:$B$500,SMALL(IF(ЭКВАЙРИНГ!$D100='[1]реестр просрочников'!$A$3:$A$500,ROW('[1]реестр просрочников'!$B$3:$B$500)-2),COLUMN('[1]реестр просрочников'!H106)),1),"")</f>
        <v>Актуальный займ.Договор.Дата передачи в КО (Договоры) Не заполнено</v>
      </c>
      <c r="I106">
        <f t="array" ref="I106">IFERROR(INDEX('[1]реестр просрочников'!$B$3:$B$500,SMALL(IF(ЭКВАЙРИНГ!$D100='[1]реестр просрочников'!$A$3:$A$500,ROW('[1]реестр просрочников'!$B$3:$B$500)-2),COLUMN('[1]реестр просрочников'!I106)),1),"")</f>
        <v>0</v>
      </c>
      <c r="K106" t="str">
        <f>IFERROR(VLOOKUP(ЭКВАЙРИНГ!A100,'[1]реестр просрочников'!$B:$C,2,0),"")</f>
        <v/>
      </c>
    </row>
    <row r="107" spans="4:11" x14ac:dyDescent="0.25">
      <c r="D107" t="str">
        <f t="array" ref="D107">IFERROR(INDEX('[1]реестр просрочников'!$B$3:$B$500,SMALL(IF(ЭКВАЙРИНГ!$D101='[1]реестр просрочников'!$A$3:$A$500,ROW('[1]реестр просрочников'!$B$3:$B$500)-2),COLUMN('[1]реестр просрочников'!D107)),1),"")</f>
        <v>Диапазоны сроков возврата займов: </v>
      </c>
      <c r="E107" t="str">
        <f t="array" ref="E107">IFERROR(INDEX('[1]реестр просрочников'!$B$3:$B$500,SMALL(IF(ЭКВАЙРИНГ!$D101='[1]реестр просрочников'!$A$3:$A$500,ROW('[1]реестр просрочников'!$B$3:$B$500)-2),COLUMN('[1]реестр просрочников'!E107)),1),"")</f>
        <v>( Организация Равно "КА АЭК ООО" ) И</v>
      </c>
      <c r="F107" t="str">
        <f t="array" ref="F107">IFERROR(INDEX('[1]реестр просрочников'!$B$3:$B$500,SMALL(IF(ЭКВАЙРИНГ!$D101='[1]реестр просрочников'!$A$3:$A$500,ROW('[1]реестр просрочников'!$B$3:$B$500)-2),COLUMN('[1]реестр просрочников'!F107)),1),"")</f>
        <v>Заемщик Не в списке "АЭК ООО КА; АТЛАС ООО; ВЗАИМНО ООО; ИРБИС ООО" И</v>
      </c>
      <c r="G107" t="str">
        <f t="array" ref="G107">IFERROR(INDEX('[1]реестр просрочников'!$B$3:$B$500,SMALL(IF(ЭКВАЙРИНГ!$D101='[1]реестр просрочников'!$A$3:$A$500,ROW('[1]реестр просрочников'!$B$3:$B$500)-2),COLUMN('[1]реестр просрочников'!G107)),1),"")</f>
        <v>Дней на просрочке Меньше или равно "95" И</v>
      </c>
      <c r="H107" t="str">
        <f t="array" ref="H107">IFERROR(INDEX('[1]реестр просрочников'!$B$3:$B$500,SMALL(IF(ЭКВАЙРИНГ!$D101='[1]реестр просрочников'!$A$3:$A$500,ROW('[1]реестр просрочников'!$B$3:$B$500)-2),COLUMN('[1]реестр просрочников'!H107)),1),"")</f>
        <v>Актуальный займ.Договор.Дата передачи в КО (Договоры) Не заполнено</v>
      </c>
      <c r="I107">
        <f t="array" ref="I107">IFERROR(INDEX('[1]реестр просрочников'!$B$3:$B$500,SMALL(IF(ЭКВАЙРИНГ!$D101='[1]реестр просрочников'!$A$3:$A$500,ROW('[1]реестр просрочников'!$B$3:$B$500)-2),COLUMN('[1]реестр просрочников'!I107)),1),"")</f>
        <v>0</v>
      </c>
      <c r="K107" t="str">
        <f>IFERROR(VLOOKUP(ЭКВАЙРИНГ!A101,'[1]реестр просрочников'!$B:$C,2,0),"")</f>
        <v/>
      </c>
    </row>
    <row r="108" spans="4:11" x14ac:dyDescent="0.25">
      <c r="D108" t="str">
        <f t="array" ref="D108">IFERROR(INDEX('[1]реестр просрочников'!$B$3:$B$500,SMALL(IF(ЭКВАЙРИНГ!$D102='[1]реестр просрочников'!$A$3:$A$500,ROW('[1]реестр просрочников'!$B$3:$B$500)-2),COLUMN('[1]реестр просрочников'!D108)),1),"")</f>
        <v>Диапазоны сроков возврата займов: </v>
      </c>
      <c r="E108" t="str">
        <f t="array" ref="E108">IFERROR(INDEX('[1]реестр просрочников'!$B$3:$B$500,SMALL(IF(ЭКВАЙРИНГ!$D102='[1]реестр просрочников'!$A$3:$A$500,ROW('[1]реестр просрочников'!$B$3:$B$500)-2),COLUMN('[1]реестр просрочников'!E108)),1),"")</f>
        <v>( Организация Равно "КА АЭК ООО" ) И</v>
      </c>
      <c r="F108" t="str">
        <f t="array" ref="F108">IFERROR(INDEX('[1]реестр просрочников'!$B$3:$B$500,SMALL(IF(ЭКВАЙРИНГ!$D102='[1]реестр просрочников'!$A$3:$A$500,ROW('[1]реестр просрочников'!$B$3:$B$500)-2),COLUMN('[1]реестр просрочников'!F108)),1),"")</f>
        <v>Заемщик Не в списке "АЭК ООО КА; АТЛАС ООО; ВЗАИМНО ООО; ИРБИС ООО" И</v>
      </c>
      <c r="G108" t="str">
        <f t="array" ref="G108">IFERROR(INDEX('[1]реестр просрочников'!$B$3:$B$500,SMALL(IF(ЭКВАЙРИНГ!$D102='[1]реестр просрочников'!$A$3:$A$500,ROW('[1]реестр просрочников'!$B$3:$B$500)-2),COLUMN('[1]реестр просрочников'!G108)),1),"")</f>
        <v>Дней на просрочке Меньше или равно "95" И</v>
      </c>
      <c r="H108" t="str">
        <f t="array" ref="H108">IFERROR(INDEX('[1]реестр просрочников'!$B$3:$B$500,SMALL(IF(ЭКВАЙРИНГ!$D102='[1]реестр просрочников'!$A$3:$A$500,ROW('[1]реестр просрочников'!$B$3:$B$500)-2),COLUMN('[1]реестр просрочников'!H108)),1),"")</f>
        <v>Актуальный займ.Договор.Дата передачи в КО (Договоры) Не заполнено</v>
      </c>
      <c r="I108">
        <f t="array" ref="I108">IFERROR(INDEX('[1]реестр просрочников'!$B$3:$B$500,SMALL(IF(ЭКВАЙРИНГ!$D102='[1]реестр просрочников'!$A$3:$A$500,ROW('[1]реестр просрочников'!$B$3:$B$500)-2),COLUMN('[1]реестр просрочников'!I108)),1),"")</f>
        <v>0</v>
      </c>
      <c r="K108" t="str">
        <f>IFERROR(VLOOKUP(ЭКВАЙРИНГ!A102,'[1]реестр просрочников'!$B:$C,2,0),"")</f>
        <v/>
      </c>
    </row>
    <row r="109" spans="4:11" x14ac:dyDescent="0.25">
      <c r="D109" t="str">
        <f t="array" ref="D109">IFERROR(INDEX('[1]реестр просрочников'!$B$3:$B$500,SMALL(IF(ЭКВАЙРИНГ!$D103='[1]реестр просрочников'!$A$3:$A$500,ROW('[1]реестр просрочников'!$B$3:$B$500)-2),COLUMN('[1]реестр просрочников'!D109)),1),"")</f>
        <v>Диапазоны сроков возврата займов: </v>
      </c>
      <c r="E109" t="str">
        <f t="array" ref="E109">IFERROR(INDEX('[1]реестр просрочников'!$B$3:$B$500,SMALL(IF(ЭКВАЙРИНГ!$D103='[1]реестр просрочников'!$A$3:$A$500,ROW('[1]реестр просрочников'!$B$3:$B$500)-2),COLUMN('[1]реестр просрочников'!E109)),1),"")</f>
        <v>( Организация Равно "КА АЭК ООО" ) И</v>
      </c>
      <c r="F109" t="str">
        <f t="array" ref="F109">IFERROR(INDEX('[1]реестр просрочников'!$B$3:$B$500,SMALL(IF(ЭКВАЙРИНГ!$D103='[1]реестр просрочников'!$A$3:$A$500,ROW('[1]реестр просрочников'!$B$3:$B$500)-2),COLUMN('[1]реестр просрочников'!F109)),1),"")</f>
        <v>Заемщик Не в списке "АЭК ООО КА; АТЛАС ООО; ВЗАИМНО ООО; ИРБИС ООО" И</v>
      </c>
      <c r="G109" t="str">
        <f t="array" ref="G109">IFERROR(INDEX('[1]реестр просрочников'!$B$3:$B$500,SMALL(IF(ЭКВАЙРИНГ!$D103='[1]реестр просрочников'!$A$3:$A$500,ROW('[1]реестр просрочников'!$B$3:$B$500)-2),COLUMN('[1]реестр просрочников'!G109)),1),"")</f>
        <v>Дней на просрочке Меньше или равно "95" И</v>
      </c>
      <c r="H109" t="str">
        <f t="array" ref="H109">IFERROR(INDEX('[1]реестр просрочников'!$B$3:$B$500,SMALL(IF(ЭКВАЙРИНГ!$D103='[1]реестр просрочников'!$A$3:$A$500,ROW('[1]реестр просрочников'!$B$3:$B$500)-2),COLUMN('[1]реестр просрочников'!H109)),1),"")</f>
        <v>Актуальный займ.Договор.Дата передачи в КО (Договоры) Не заполнено</v>
      </c>
      <c r="I109">
        <f t="array" ref="I109">IFERROR(INDEX('[1]реестр просрочников'!$B$3:$B$500,SMALL(IF(ЭКВАЙРИНГ!$D103='[1]реестр просрочников'!$A$3:$A$500,ROW('[1]реестр просрочников'!$B$3:$B$500)-2),COLUMN('[1]реестр просрочников'!I109)),1),"")</f>
        <v>0</v>
      </c>
      <c r="K109" t="str">
        <f>IFERROR(VLOOKUP(ЭКВАЙРИНГ!A103,'[1]реестр просрочников'!$B:$C,2,0),"")</f>
        <v/>
      </c>
    </row>
    <row r="110" spans="4:11" x14ac:dyDescent="0.25">
      <c r="D110" t="str">
        <f t="array" ref="D110">IFERROR(INDEX('[1]реестр просрочников'!$B$3:$B$500,SMALL(IF(ЭКВАЙРИНГ!$D104='[1]реестр просрочников'!$A$3:$A$500,ROW('[1]реестр просрочников'!$B$3:$B$500)-2),COLUMN('[1]реестр просрочников'!D110)),1),"")</f>
        <v>Диапазоны сроков возврата займов: </v>
      </c>
      <c r="E110" t="str">
        <f t="array" ref="E110">IFERROR(INDEX('[1]реестр просрочников'!$B$3:$B$500,SMALL(IF(ЭКВАЙРИНГ!$D104='[1]реестр просрочников'!$A$3:$A$500,ROW('[1]реестр просрочников'!$B$3:$B$500)-2),COLUMN('[1]реестр просрочников'!E110)),1),"")</f>
        <v>( Организация Равно "КА АЭК ООО" ) И</v>
      </c>
      <c r="F110" t="str">
        <f t="array" ref="F110">IFERROR(INDEX('[1]реестр просрочников'!$B$3:$B$500,SMALL(IF(ЭКВАЙРИНГ!$D104='[1]реестр просрочников'!$A$3:$A$500,ROW('[1]реестр просрочников'!$B$3:$B$500)-2),COLUMN('[1]реестр просрочников'!F110)),1),"")</f>
        <v>Заемщик Не в списке "АЭК ООО КА; АТЛАС ООО; ВЗАИМНО ООО; ИРБИС ООО" И</v>
      </c>
      <c r="G110" t="str">
        <f t="array" ref="G110">IFERROR(INDEX('[1]реестр просрочников'!$B$3:$B$500,SMALL(IF(ЭКВАЙРИНГ!$D104='[1]реестр просрочников'!$A$3:$A$500,ROW('[1]реестр просрочников'!$B$3:$B$500)-2),COLUMN('[1]реестр просрочников'!G110)),1),"")</f>
        <v>Дней на просрочке Меньше или равно "95" И</v>
      </c>
      <c r="H110" t="str">
        <f t="array" ref="H110">IFERROR(INDEX('[1]реестр просрочников'!$B$3:$B$500,SMALL(IF(ЭКВАЙРИНГ!$D104='[1]реестр просрочников'!$A$3:$A$500,ROW('[1]реестр просрочников'!$B$3:$B$500)-2),COLUMN('[1]реестр просрочников'!H110)),1),"")</f>
        <v>Актуальный займ.Договор.Дата передачи в КО (Договоры) Не заполнено</v>
      </c>
      <c r="I110">
        <f t="array" ref="I110">IFERROR(INDEX('[1]реестр просрочников'!$B$3:$B$500,SMALL(IF(ЭКВАЙРИНГ!$D104='[1]реестр просрочников'!$A$3:$A$500,ROW('[1]реестр просрочников'!$B$3:$B$500)-2),COLUMN('[1]реестр просрочников'!I110)),1),"")</f>
        <v>0</v>
      </c>
      <c r="K110" t="str">
        <f>IFERROR(VLOOKUP(ЭКВАЙРИНГ!A104,'[1]реестр просрочников'!$B:$C,2,0),"")</f>
        <v/>
      </c>
    </row>
    <row r="111" spans="4:11" x14ac:dyDescent="0.25">
      <c r="D111" t="str">
        <f t="array" ref="D111">IFERROR(INDEX('[1]реестр просрочников'!$B$3:$B$500,SMALL(IF(ЭКВАЙРИНГ!$D105='[1]реестр просрочников'!$A$3:$A$500,ROW('[1]реестр просрочников'!$B$3:$B$500)-2),COLUMN('[1]реестр просрочников'!D111)),1),"")</f>
        <v>Диапазоны сроков возврата займов: </v>
      </c>
      <c r="E111" t="str">
        <f t="array" ref="E111">IFERROR(INDEX('[1]реестр просрочников'!$B$3:$B$500,SMALL(IF(ЭКВАЙРИНГ!$D105='[1]реестр просрочников'!$A$3:$A$500,ROW('[1]реестр просрочников'!$B$3:$B$500)-2),COLUMN('[1]реестр просрочников'!E111)),1),"")</f>
        <v>( Организация Равно "КА АЭК ООО" ) И</v>
      </c>
      <c r="F111" t="str">
        <f t="array" ref="F111">IFERROR(INDEX('[1]реестр просрочников'!$B$3:$B$500,SMALL(IF(ЭКВАЙРИНГ!$D105='[1]реестр просрочников'!$A$3:$A$500,ROW('[1]реестр просрочников'!$B$3:$B$500)-2),COLUMN('[1]реестр просрочников'!F111)),1),"")</f>
        <v>Заемщик Не в списке "АЭК ООО КА; АТЛАС ООО; ВЗАИМНО ООО; ИРБИС ООО" И</v>
      </c>
      <c r="G111" t="str">
        <f t="array" ref="G111">IFERROR(INDEX('[1]реестр просрочников'!$B$3:$B$500,SMALL(IF(ЭКВАЙРИНГ!$D105='[1]реестр просрочников'!$A$3:$A$500,ROW('[1]реестр просрочников'!$B$3:$B$500)-2),COLUMN('[1]реестр просрочников'!G111)),1),"")</f>
        <v>Дней на просрочке Меньше или равно "95" И</v>
      </c>
      <c r="H111" t="str">
        <f t="array" ref="H111">IFERROR(INDEX('[1]реестр просрочников'!$B$3:$B$500,SMALL(IF(ЭКВАЙРИНГ!$D105='[1]реестр просрочников'!$A$3:$A$500,ROW('[1]реестр просрочников'!$B$3:$B$500)-2),COLUMN('[1]реестр просрочников'!H111)),1),"")</f>
        <v>Актуальный займ.Договор.Дата передачи в КО (Договоры) Не заполнено</v>
      </c>
      <c r="I111">
        <f t="array" ref="I111">IFERROR(INDEX('[1]реестр просрочников'!$B$3:$B$500,SMALL(IF(ЭКВАЙРИНГ!$D105='[1]реестр просрочников'!$A$3:$A$500,ROW('[1]реестр просрочников'!$B$3:$B$500)-2),COLUMN('[1]реестр просрочников'!I111)),1),"")</f>
        <v>0</v>
      </c>
      <c r="K111" t="str">
        <f>IFERROR(VLOOKUP(ЭКВАЙРИНГ!A105,'[1]реестр просрочников'!$B:$C,2,0),"")</f>
        <v/>
      </c>
    </row>
    <row r="112" spans="4:11" x14ac:dyDescent="0.25">
      <c r="D112" t="str">
        <f t="array" ref="D112">IFERROR(INDEX('[1]реестр просрочников'!$B$3:$B$500,SMALL(IF(ЭКВАЙРИНГ!$D106='[1]реестр просрочников'!$A$3:$A$500,ROW('[1]реестр просрочников'!$B$3:$B$500)-2),COLUMN('[1]реестр просрочников'!D112)),1),"")</f>
        <v>Диапазоны сроков возврата займов: </v>
      </c>
      <c r="E112" t="str">
        <f t="array" ref="E112">IFERROR(INDEX('[1]реестр просрочников'!$B$3:$B$500,SMALL(IF(ЭКВАЙРИНГ!$D106='[1]реестр просрочников'!$A$3:$A$500,ROW('[1]реестр просрочников'!$B$3:$B$500)-2),COLUMN('[1]реестр просрочников'!E112)),1),"")</f>
        <v>( Организация Равно "КА АЭК ООО" ) И</v>
      </c>
      <c r="F112" t="str">
        <f t="array" ref="F112">IFERROR(INDEX('[1]реестр просрочников'!$B$3:$B$500,SMALL(IF(ЭКВАЙРИНГ!$D106='[1]реестр просрочников'!$A$3:$A$500,ROW('[1]реестр просрочников'!$B$3:$B$500)-2),COLUMN('[1]реестр просрочников'!F112)),1),"")</f>
        <v>Заемщик Не в списке "АЭК ООО КА; АТЛАС ООО; ВЗАИМНО ООО; ИРБИС ООО" И</v>
      </c>
      <c r="G112" t="str">
        <f t="array" ref="G112">IFERROR(INDEX('[1]реестр просрочников'!$B$3:$B$500,SMALL(IF(ЭКВАЙРИНГ!$D106='[1]реестр просрочников'!$A$3:$A$500,ROW('[1]реестр просрочников'!$B$3:$B$500)-2),COLUMN('[1]реестр просрочников'!G112)),1),"")</f>
        <v>Дней на просрочке Меньше или равно "95" И</v>
      </c>
      <c r="H112" t="str">
        <f t="array" ref="H112">IFERROR(INDEX('[1]реестр просрочников'!$B$3:$B$500,SMALL(IF(ЭКВАЙРИНГ!$D106='[1]реестр просрочников'!$A$3:$A$500,ROW('[1]реестр просрочников'!$B$3:$B$500)-2),COLUMN('[1]реестр просрочников'!H112)),1),"")</f>
        <v>Актуальный займ.Договор.Дата передачи в КО (Договоры) Не заполнено</v>
      </c>
      <c r="I112">
        <f t="array" ref="I112">IFERROR(INDEX('[1]реестр просрочников'!$B$3:$B$500,SMALL(IF(ЭКВАЙРИНГ!$D106='[1]реестр просрочников'!$A$3:$A$500,ROW('[1]реестр просрочников'!$B$3:$B$500)-2),COLUMN('[1]реестр просрочников'!I112)),1),"")</f>
        <v>0</v>
      </c>
      <c r="K112" t="str">
        <f>IFERROR(VLOOKUP(ЭКВАЙРИНГ!A106,'[1]реестр просрочников'!$B:$C,2,0),"")</f>
        <v/>
      </c>
    </row>
    <row r="113" spans="4:11" x14ac:dyDescent="0.25">
      <c r="D113" t="str">
        <f t="array" ref="D113">IFERROR(INDEX('[1]реестр просрочников'!$B$3:$B$500,SMALL(IF(ЭКВАЙРИНГ!$D107='[1]реестр просрочников'!$A$3:$A$500,ROW('[1]реестр просрочников'!$B$3:$B$500)-2),COLUMN('[1]реестр просрочников'!D113)),1),"")</f>
        <v>Диапазоны сроков возврата займов: </v>
      </c>
      <c r="E113" t="str">
        <f t="array" ref="E113">IFERROR(INDEX('[1]реестр просрочников'!$B$3:$B$500,SMALL(IF(ЭКВАЙРИНГ!$D107='[1]реестр просрочников'!$A$3:$A$500,ROW('[1]реестр просрочников'!$B$3:$B$500)-2),COLUMN('[1]реестр просрочников'!E113)),1),"")</f>
        <v>( Организация Равно "КА АЭК ООО" ) И</v>
      </c>
      <c r="F113" t="str">
        <f t="array" ref="F113">IFERROR(INDEX('[1]реестр просрочников'!$B$3:$B$500,SMALL(IF(ЭКВАЙРИНГ!$D107='[1]реестр просрочников'!$A$3:$A$500,ROW('[1]реестр просрочников'!$B$3:$B$500)-2),COLUMN('[1]реестр просрочников'!F113)),1),"")</f>
        <v>Заемщик Не в списке "АЭК ООО КА; АТЛАС ООО; ВЗАИМНО ООО; ИРБИС ООО" И</v>
      </c>
      <c r="G113" t="str">
        <f t="array" ref="G113">IFERROR(INDEX('[1]реестр просрочников'!$B$3:$B$500,SMALL(IF(ЭКВАЙРИНГ!$D107='[1]реестр просрочников'!$A$3:$A$500,ROW('[1]реестр просрочников'!$B$3:$B$500)-2),COLUMN('[1]реестр просрочников'!G113)),1),"")</f>
        <v>Дней на просрочке Меньше или равно "95" И</v>
      </c>
      <c r="H113" t="str">
        <f t="array" ref="H113">IFERROR(INDEX('[1]реестр просрочников'!$B$3:$B$500,SMALL(IF(ЭКВАЙРИНГ!$D107='[1]реестр просрочников'!$A$3:$A$500,ROW('[1]реестр просрочников'!$B$3:$B$500)-2),COLUMN('[1]реестр просрочников'!H113)),1),"")</f>
        <v>Актуальный займ.Договор.Дата передачи в КО (Договоры) Не заполнено</v>
      </c>
      <c r="I113">
        <f t="array" ref="I113">IFERROR(INDEX('[1]реестр просрочников'!$B$3:$B$500,SMALL(IF(ЭКВАЙРИНГ!$D107='[1]реестр просрочников'!$A$3:$A$500,ROW('[1]реестр просрочников'!$B$3:$B$500)-2),COLUMN('[1]реестр просрочников'!I113)),1),"")</f>
        <v>0</v>
      </c>
      <c r="K113" t="str">
        <f>IFERROR(VLOOKUP(ЭКВАЙРИНГ!A107,'[1]реестр просрочников'!$B:$C,2,0),"")</f>
        <v/>
      </c>
    </row>
    <row r="114" spans="4:11" x14ac:dyDescent="0.25">
      <c r="D114" t="str">
        <f t="array" ref="D114">IFERROR(INDEX('[1]реестр просрочников'!$B$3:$B$500,SMALL(IF(ЭКВАЙРИНГ!$D108='[1]реестр просрочников'!$A$3:$A$500,ROW('[1]реестр просрочников'!$B$3:$B$500)-2),COLUMN('[1]реестр просрочников'!D114)),1),"")</f>
        <v>Диапазоны сроков возврата займов: </v>
      </c>
      <c r="E114" t="str">
        <f t="array" ref="E114">IFERROR(INDEX('[1]реестр просрочников'!$B$3:$B$500,SMALL(IF(ЭКВАЙРИНГ!$D108='[1]реестр просрочников'!$A$3:$A$500,ROW('[1]реестр просрочников'!$B$3:$B$500)-2),COLUMN('[1]реестр просрочников'!E114)),1),"")</f>
        <v>( Организация Равно "КА АЭК ООО" ) И</v>
      </c>
      <c r="F114" t="str">
        <f t="array" ref="F114">IFERROR(INDEX('[1]реестр просрочников'!$B$3:$B$500,SMALL(IF(ЭКВАЙРИНГ!$D108='[1]реестр просрочников'!$A$3:$A$500,ROW('[1]реестр просрочников'!$B$3:$B$500)-2),COLUMN('[1]реестр просрочников'!F114)),1),"")</f>
        <v>Заемщик Не в списке "АЭК ООО КА; АТЛАС ООО; ВЗАИМНО ООО; ИРБИС ООО" И</v>
      </c>
      <c r="G114" t="str">
        <f t="array" ref="G114">IFERROR(INDEX('[1]реестр просрочников'!$B$3:$B$500,SMALL(IF(ЭКВАЙРИНГ!$D108='[1]реестр просрочников'!$A$3:$A$500,ROW('[1]реестр просрочников'!$B$3:$B$500)-2),COLUMN('[1]реестр просрочников'!G114)),1),"")</f>
        <v>Дней на просрочке Меньше или равно "95" И</v>
      </c>
      <c r="H114" t="str">
        <f t="array" ref="H114">IFERROR(INDEX('[1]реестр просрочников'!$B$3:$B$500,SMALL(IF(ЭКВАЙРИНГ!$D108='[1]реестр просрочников'!$A$3:$A$500,ROW('[1]реестр просрочников'!$B$3:$B$500)-2),COLUMN('[1]реестр просрочников'!H114)),1),"")</f>
        <v>Актуальный займ.Договор.Дата передачи в КО (Договоры) Не заполнено</v>
      </c>
      <c r="I114">
        <f t="array" ref="I114">IFERROR(INDEX('[1]реестр просрочников'!$B$3:$B$500,SMALL(IF(ЭКВАЙРИНГ!$D108='[1]реестр просрочников'!$A$3:$A$500,ROW('[1]реестр просрочников'!$B$3:$B$500)-2),COLUMN('[1]реестр просрочников'!I114)),1),"")</f>
        <v>0</v>
      </c>
      <c r="K114" t="str">
        <f>IFERROR(VLOOKUP(ЭКВАЙРИНГ!A108,'[1]реестр просрочников'!$B:$C,2,0),"")</f>
        <v/>
      </c>
    </row>
    <row r="115" spans="4:11" x14ac:dyDescent="0.25">
      <c r="D115" t="str">
        <f t="array" ref="D115">IFERROR(INDEX('[1]реестр просрочников'!$B$3:$B$500,SMALL(IF(ЭКВАЙРИНГ!$D109='[1]реестр просрочников'!$A$3:$A$500,ROW('[1]реестр просрочников'!$B$3:$B$500)-2),COLUMN('[1]реестр просрочников'!D115)),1),"")</f>
        <v>Диапазоны сроков возврата займов: </v>
      </c>
      <c r="E115" t="str">
        <f t="array" ref="E115">IFERROR(INDEX('[1]реестр просрочников'!$B$3:$B$500,SMALL(IF(ЭКВАЙРИНГ!$D109='[1]реестр просрочников'!$A$3:$A$500,ROW('[1]реестр просрочников'!$B$3:$B$500)-2),COLUMN('[1]реестр просрочников'!E115)),1),"")</f>
        <v>( Организация Равно "КА АЭК ООО" ) И</v>
      </c>
      <c r="F115" t="str">
        <f t="array" ref="F115">IFERROR(INDEX('[1]реестр просрочников'!$B$3:$B$500,SMALL(IF(ЭКВАЙРИНГ!$D109='[1]реестр просрочников'!$A$3:$A$500,ROW('[1]реестр просрочников'!$B$3:$B$500)-2),COLUMN('[1]реестр просрочников'!F115)),1),"")</f>
        <v>Заемщик Не в списке "АЭК ООО КА; АТЛАС ООО; ВЗАИМНО ООО; ИРБИС ООО" И</v>
      </c>
      <c r="G115" t="str">
        <f t="array" ref="G115">IFERROR(INDEX('[1]реестр просрочников'!$B$3:$B$500,SMALL(IF(ЭКВАЙРИНГ!$D109='[1]реестр просрочников'!$A$3:$A$500,ROW('[1]реестр просрочников'!$B$3:$B$500)-2),COLUMN('[1]реестр просрочников'!G115)),1),"")</f>
        <v>Дней на просрочке Меньше или равно "95" И</v>
      </c>
      <c r="H115" t="str">
        <f t="array" ref="H115">IFERROR(INDEX('[1]реестр просрочников'!$B$3:$B$500,SMALL(IF(ЭКВАЙРИНГ!$D109='[1]реестр просрочников'!$A$3:$A$500,ROW('[1]реестр просрочников'!$B$3:$B$500)-2),COLUMN('[1]реестр просрочников'!H115)),1),"")</f>
        <v>Актуальный займ.Договор.Дата передачи в КО (Договоры) Не заполнено</v>
      </c>
      <c r="I115">
        <f t="array" ref="I115">IFERROR(INDEX('[1]реестр просрочников'!$B$3:$B$500,SMALL(IF(ЭКВАЙРИНГ!$D109='[1]реестр просрочников'!$A$3:$A$500,ROW('[1]реестр просрочников'!$B$3:$B$500)-2),COLUMN('[1]реестр просрочников'!I115)),1),"")</f>
        <v>0</v>
      </c>
      <c r="K115" t="str">
        <f>IFERROR(VLOOKUP(ЭКВАЙРИНГ!A109,'[1]реестр просрочников'!$B:$C,2,0),"")</f>
        <v/>
      </c>
    </row>
    <row r="116" spans="4:11" x14ac:dyDescent="0.25">
      <c r="D116" t="str">
        <f t="array" ref="D116">IFERROR(INDEX('[1]реестр просрочников'!$B$3:$B$500,SMALL(IF(ЭКВАЙРИНГ!$D110='[1]реестр просрочников'!$A$3:$A$500,ROW('[1]реестр просрочников'!$B$3:$B$500)-2),COLUMN('[1]реестр просрочников'!D116)),1),"")</f>
        <v>Диапазоны сроков возврата займов: </v>
      </c>
      <c r="E116" t="str">
        <f t="array" ref="E116">IFERROR(INDEX('[1]реестр просрочников'!$B$3:$B$500,SMALL(IF(ЭКВАЙРИНГ!$D110='[1]реестр просрочников'!$A$3:$A$500,ROW('[1]реестр просрочников'!$B$3:$B$500)-2),COLUMN('[1]реестр просрочников'!E116)),1),"")</f>
        <v>( Организация Равно "КА АЭК ООО" ) И</v>
      </c>
      <c r="F116" t="str">
        <f t="array" ref="F116">IFERROR(INDEX('[1]реестр просрочников'!$B$3:$B$500,SMALL(IF(ЭКВАЙРИНГ!$D110='[1]реестр просрочников'!$A$3:$A$500,ROW('[1]реестр просрочников'!$B$3:$B$500)-2),COLUMN('[1]реестр просрочников'!F116)),1),"")</f>
        <v>Заемщик Не в списке "АЭК ООО КА; АТЛАС ООО; ВЗАИМНО ООО; ИРБИС ООО" И</v>
      </c>
      <c r="G116" t="str">
        <f t="array" ref="G116">IFERROR(INDEX('[1]реестр просрочников'!$B$3:$B$500,SMALL(IF(ЭКВАЙРИНГ!$D110='[1]реестр просрочников'!$A$3:$A$500,ROW('[1]реестр просрочников'!$B$3:$B$500)-2),COLUMN('[1]реестр просрочников'!G116)),1),"")</f>
        <v>Дней на просрочке Меньше или равно "95" И</v>
      </c>
      <c r="H116" t="str">
        <f t="array" ref="H116">IFERROR(INDEX('[1]реестр просрочников'!$B$3:$B$500,SMALL(IF(ЭКВАЙРИНГ!$D110='[1]реестр просрочников'!$A$3:$A$500,ROW('[1]реестр просрочников'!$B$3:$B$500)-2),COLUMN('[1]реестр просрочников'!H116)),1),"")</f>
        <v>Актуальный займ.Договор.Дата передачи в КО (Договоры) Не заполнено</v>
      </c>
      <c r="I116">
        <f t="array" ref="I116">IFERROR(INDEX('[1]реестр просрочников'!$B$3:$B$500,SMALL(IF(ЭКВАЙРИНГ!$D110='[1]реестр просрочников'!$A$3:$A$500,ROW('[1]реестр просрочников'!$B$3:$B$500)-2),COLUMN('[1]реестр просрочников'!I116)),1),"")</f>
        <v>0</v>
      </c>
      <c r="K116" t="str">
        <f>IFERROR(VLOOKUP(ЭКВАЙРИНГ!A110,'[1]реестр просрочников'!$B:$C,2,0),"")</f>
        <v/>
      </c>
    </row>
    <row r="117" spans="4:11" x14ac:dyDescent="0.25">
      <c r="D117" t="str">
        <f t="array" ref="D117">IFERROR(INDEX('[1]реестр просрочников'!$B$3:$B$500,SMALL(IF(ЭКВАЙРИНГ!$D111='[1]реестр просрочников'!$A$3:$A$500,ROW('[1]реестр просрочников'!$B$3:$B$500)-2),COLUMN('[1]реестр просрочников'!D117)),1),"")</f>
        <v>Диапазоны сроков возврата займов: </v>
      </c>
      <c r="E117" t="str">
        <f t="array" ref="E117">IFERROR(INDEX('[1]реестр просрочников'!$B$3:$B$500,SMALL(IF(ЭКВАЙРИНГ!$D111='[1]реестр просрочников'!$A$3:$A$500,ROW('[1]реестр просрочников'!$B$3:$B$500)-2),COLUMN('[1]реестр просрочников'!E117)),1),"")</f>
        <v>( Организация Равно "КА АЭК ООО" ) И</v>
      </c>
      <c r="F117" t="str">
        <f t="array" ref="F117">IFERROR(INDEX('[1]реестр просрочников'!$B$3:$B$500,SMALL(IF(ЭКВАЙРИНГ!$D111='[1]реестр просрочников'!$A$3:$A$500,ROW('[1]реестр просрочников'!$B$3:$B$500)-2),COLUMN('[1]реестр просрочников'!F117)),1),"")</f>
        <v>Заемщик Не в списке "АЭК ООО КА; АТЛАС ООО; ВЗАИМНО ООО; ИРБИС ООО" И</v>
      </c>
      <c r="G117" t="str">
        <f t="array" ref="G117">IFERROR(INDEX('[1]реестр просрочников'!$B$3:$B$500,SMALL(IF(ЭКВАЙРИНГ!$D111='[1]реестр просрочников'!$A$3:$A$500,ROW('[1]реестр просрочников'!$B$3:$B$500)-2),COLUMN('[1]реестр просрочников'!G117)),1),"")</f>
        <v>Дней на просрочке Меньше или равно "95" И</v>
      </c>
      <c r="H117" t="str">
        <f t="array" ref="H117">IFERROR(INDEX('[1]реестр просрочников'!$B$3:$B$500,SMALL(IF(ЭКВАЙРИНГ!$D111='[1]реестр просрочников'!$A$3:$A$500,ROW('[1]реестр просрочников'!$B$3:$B$500)-2),COLUMN('[1]реестр просрочников'!H117)),1),"")</f>
        <v>Актуальный займ.Договор.Дата передачи в КО (Договоры) Не заполнено</v>
      </c>
      <c r="I117">
        <f t="array" ref="I117">IFERROR(INDEX('[1]реестр просрочников'!$B$3:$B$500,SMALL(IF(ЭКВАЙРИНГ!$D111='[1]реестр просрочников'!$A$3:$A$500,ROW('[1]реестр просрочников'!$B$3:$B$500)-2),COLUMN('[1]реестр просрочников'!I117)),1),"")</f>
        <v>0</v>
      </c>
      <c r="K117" t="str">
        <f>IFERROR(VLOOKUP(ЭКВАЙРИНГ!A111,'[1]реестр просрочников'!$B:$C,2,0),"")</f>
        <v/>
      </c>
    </row>
    <row r="118" spans="4:11" x14ac:dyDescent="0.25">
      <c r="D118" t="str">
        <f t="array" ref="D118">IFERROR(INDEX('[1]реестр просрочников'!$B$3:$B$500,SMALL(IF(ЭКВАЙРИНГ!$D112='[1]реестр просрочников'!$A$3:$A$500,ROW('[1]реестр просрочников'!$B$3:$B$500)-2),COLUMN('[1]реестр просрочников'!D118)),1),"")</f>
        <v>Диапазоны сроков возврата займов: </v>
      </c>
      <c r="E118" t="str">
        <f t="array" ref="E118">IFERROR(INDEX('[1]реестр просрочников'!$B$3:$B$500,SMALL(IF(ЭКВАЙРИНГ!$D112='[1]реестр просрочников'!$A$3:$A$500,ROW('[1]реестр просрочников'!$B$3:$B$500)-2),COLUMN('[1]реестр просрочников'!E118)),1),"")</f>
        <v>( Организация Равно "КА АЭК ООО" ) И</v>
      </c>
      <c r="F118" t="str">
        <f t="array" ref="F118">IFERROR(INDEX('[1]реестр просрочников'!$B$3:$B$500,SMALL(IF(ЭКВАЙРИНГ!$D112='[1]реестр просрочников'!$A$3:$A$500,ROW('[1]реестр просрочников'!$B$3:$B$500)-2),COLUMN('[1]реестр просрочников'!F118)),1),"")</f>
        <v>Заемщик Не в списке "АЭК ООО КА; АТЛАС ООО; ВЗАИМНО ООО; ИРБИС ООО" И</v>
      </c>
      <c r="G118" t="str">
        <f t="array" ref="G118">IFERROR(INDEX('[1]реестр просрочников'!$B$3:$B$500,SMALL(IF(ЭКВАЙРИНГ!$D112='[1]реестр просрочников'!$A$3:$A$500,ROW('[1]реестр просрочников'!$B$3:$B$500)-2),COLUMN('[1]реестр просрочников'!G118)),1),"")</f>
        <v>Дней на просрочке Меньше или равно "95" И</v>
      </c>
      <c r="H118" t="str">
        <f t="array" ref="H118">IFERROR(INDEX('[1]реестр просрочников'!$B$3:$B$500,SMALL(IF(ЭКВАЙРИНГ!$D112='[1]реестр просрочников'!$A$3:$A$500,ROW('[1]реестр просрочников'!$B$3:$B$500)-2),COLUMN('[1]реестр просрочников'!H118)),1),"")</f>
        <v>Актуальный займ.Договор.Дата передачи в КО (Договоры) Не заполнено</v>
      </c>
      <c r="I118">
        <f t="array" ref="I118">IFERROR(INDEX('[1]реестр просрочников'!$B$3:$B$500,SMALL(IF(ЭКВАЙРИНГ!$D112='[1]реестр просрочников'!$A$3:$A$500,ROW('[1]реестр просрочников'!$B$3:$B$500)-2),COLUMN('[1]реестр просрочников'!I118)),1),"")</f>
        <v>0</v>
      </c>
      <c r="K118" t="str">
        <f>IFERROR(VLOOKUP(ЭКВАЙРИНГ!A112,'[1]реестр просрочников'!$B:$C,2,0),"")</f>
        <v/>
      </c>
    </row>
    <row r="119" spans="4:11" x14ac:dyDescent="0.25">
      <c r="D119" t="str">
        <f t="array" ref="D119">IFERROR(INDEX('[1]реестр просрочников'!$B$3:$B$500,SMALL(IF(ЭКВАЙРИНГ!$D113='[1]реестр просрочников'!$A$3:$A$500,ROW('[1]реестр просрочников'!$B$3:$B$500)-2),COLUMN('[1]реестр просрочников'!D119)),1),"")</f>
        <v>Диапазоны сроков возврата займов: </v>
      </c>
      <c r="E119" t="str">
        <f t="array" ref="E119">IFERROR(INDEX('[1]реестр просрочников'!$B$3:$B$500,SMALL(IF(ЭКВАЙРИНГ!$D113='[1]реестр просрочников'!$A$3:$A$500,ROW('[1]реестр просрочников'!$B$3:$B$500)-2),COLUMN('[1]реестр просрочников'!E119)),1),"")</f>
        <v>( Организация Равно "КА АЭК ООО" ) И</v>
      </c>
      <c r="F119" t="str">
        <f t="array" ref="F119">IFERROR(INDEX('[1]реестр просрочников'!$B$3:$B$500,SMALL(IF(ЭКВАЙРИНГ!$D113='[1]реестр просрочников'!$A$3:$A$500,ROW('[1]реестр просрочников'!$B$3:$B$500)-2),COLUMN('[1]реестр просрочников'!F119)),1),"")</f>
        <v>Заемщик Не в списке "АЭК ООО КА; АТЛАС ООО; ВЗАИМНО ООО; ИРБИС ООО" И</v>
      </c>
      <c r="G119" t="str">
        <f t="array" ref="G119">IFERROR(INDEX('[1]реестр просрочников'!$B$3:$B$500,SMALL(IF(ЭКВАЙРИНГ!$D113='[1]реестр просрочников'!$A$3:$A$500,ROW('[1]реестр просрочников'!$B$3:$B$500)-2),COLUMN('[1]реестр просрочников'!G119)),1),"")</f>
        <v>Дней на просрочке Меньше или равно "95" И</v>
      </c>
      <c r="H119" t="str">
        <f t="array" ref="H119">IFERROR(INDEX('[1]реестр просрочников'!$B$3:$B$500,SMALL(IF(ЭКВАЙРИНГ!$D113='[1]реестр просрочников'!$A$3:$A$500,ROW('[1]реестр просрочников'!$B$3:$B$500)-2),COLUMN('[1]реестр просрочников'!H119)),1),"")</f>
        <v>Актуальный займ.Договор.Дата передачи в КО (Договоры) Не заполнено</v>
      </c>
      <c r="I119">
        <f t="array" ref="I119">IFERROR(INDEX('[1]реестр просрочников'!$B$3:$B$500,SMALL(IF(ЭКВАЙРИНГ!$D113='[1]реестр просрочников'!$A$3:$A$500,ROW('[1]реестр просрочников'!$B$3:$B$500)-2),COLUMN('[1]реестр просрочников'!I119)),1),"")</f>
        <v>0</v>
      </c>
      <c r="K119" t="str">
        <f>IFERROR(VLOOKUP(ЭКВАЙРИНГ!A113,'[1]реестр просрочников'!$B:$C,2,0),"")</f>
        <v/>
      </c>
    </row>
    <row r="120" spans="4:11" x14ac:dyDescent="0.25">
      <c r="D120" t="str">
        <f t="array" ref="D120">IFERROR(INDEX('[1]реестр просрочников'!$B$3:$B$500,SMALL(IF(ЭКВАЙРИНГ!$D114='[1]реестр просрочников'!$A$3:$A$500,ROW('[1]реестр просрочников'!$B$3:$B$500)-2),COLUMN('[1]реестр просрочников'!D120)),1),"")</f>
        <v>Диапазоны сроков возврата займов: </v>
      </c>
      <c r="E120" t="str">
        <f t="array" ref="E120">IFERROR(INDEX('[1]реестр просрочников'!$B$3:$B$500,SMALL(IF(ЭКВАЙРИНГ!$D114='[1]реестр просрочников'!$A$3:$A$500,ROW('[1]реестр просрочников'!$B$3:$B$500)-2),COLUMN('[1]реестр просрочников'!E120)),1),"")</f>
        <v>( Организация Равно "КА АЭК ООО" ) И</v>
      </c>
      <c r="F120" t="str">
        <f t="array" ref="F120">IFERROR(INDEX('[1]реестр просрочников'!$B$3:$B$500,SMALL(IF(ЭКВАЙРИНГ!$D114='[1]реестр просрочников'!$A$3:$A$500,ROW('[1]реестр просрочников'!$B$3:$B$500)-2),COLUMN('[1]реестр просрочников'!F120)),1),"")</f>
        <v>Заемщик Не в списке "АЭК ООО КА; АТЛАС ООО; ВЗАИМНО ООО; ИРБИС ООО" И</v>
      </c>
      <c r="G120" t="str">
        <f t="array" ref="G120">IFERROR(INDEX('[1]реестр просрочников'!$B$3:$B$500,SMALL(IF(ЭКВАЙРИНГ!$D114='[1]реестр просрочников'!$A$3:$A$500,ROW('[1]реестр просрочников'!$B$3:$B$500)-2),COLUMN('[1]реестр просрочников'!G120)),1),"")</f>
        <v>Дней на просрочке Меньше или равно "95" И</v>
      </c>
      <c r="H120" t="str">
        <f t="array" ref="H120">IFERROR(INDEX('[1]реестр просрочников'!$B$3:$B$500,SMALL(IF(ЭКВАЙРИНГ!$D114='[1]реестр просрочников'!$A$3:$A$500,ROW('[1]реестр просрочников'!$B$3:$B$500)-2),COLUMN('[1]реестр просрочников'!H120)),1),"")</f>
        <v>Актуальный займ.Договор.Дата передачи в КО (Договоры) Не заполнено</v>
      </c>
      <c r="I120">
        <f t="array" ref="I120">IFERROR(INDEX('[1]реестр просрочников'!$B$3:$B$500,SMALL(IF(ЭКВАЙРИНГ!$D114='[1]реестр просрочников'!$A$3:$A$500,ROW('[1]реестр просрочников'!$B$3:$B$500)-2),COLUMN('[1]реестр просрочников'!I120)),1),"")</f>
        <v>0</v>
      </c>
      <c r="K120" t="str">
        <f>IFERROR(VLOOKUP(ЭКВАЙРИНГ!A114,'[1]реестр просрочников'!$B:$C,2,0),"")</f>
        <v/>
      </c>
    </row>
    <row r="121" spans="4:11" x14ac:dyDescent="0.25">
      <c r="D121" t="str">
        <f t="array" ref="D121">IFERROR(INDEX('[1]реестр просрочников'!$B$3:$B$500,SMALL(IF(ЭКВАЙРИНГ!$D115='[1]реестр просрочников'!$A$3:$A$500,ROW('[1]реестр просрочников'!$B$3:$B$500)-2),COLUMN('[1]реестр просрочников'!D121)),1),"")</f>
        <v>Диапазоны сроков возврата займов: </v>
      </c>
      <c r="E121" t="str">
        <f t="array" ref="E121">IFERROR(INDEX('[1]реестр просрочников'!$B$3:$B$500,SMALL(IF(ЭКВАЙРИНГ!$D115='[1]реестр просрочников'!$A$3:$A$500,ROW('[1]реестр просрочников'!$B$3:$B$500)-2),COLUMN('[1]реестр просрочников'!E121)),1),"")</f>
        <v>( Организация Равно "КА АЭК ООО" ) И</v>
      </c>
      <c r="F121" t="str">
        <f t="array" ref="F121">IFERROR(INDEX('[1]реестр просрочников'!$B$3:$B$500,SMALL(IF(ЭКВАЙРИНГ!$D115='[1]реестр просрочников'!$A$3:$A$500,ROW('[1]реестр просрочников'!$B$3:$B$500)-2),COLUMN('[1]реестр просрочников'!F121)),1),"")</f>
        <v>Заемщик Не в списке "АЭК ООО КА; АТЛАС ООО; ВЗАИМНО ООО; ИРБИС ООО" И</v>
      </c>
      <c r="G121" t="str">
        <f t="array" ref="G121">IFERROR(INDEX('[1]реестр просрочников'!$B$3:$B$500,SMALL(IF(ЭКВАЙРИНГ!$D115='[1]реестр просрочников'!$A$3:$A$500,ROW('[1]реестр просрочников'!$B$3:$B$500)-2),COLUMN('[1]реестр просрочников'!G121)),1),"")</f>
        <v>Дней на просрочке Меньше или равно "95" И</v>
      </c>
      <c r="H121" t="str">
        <f t="array" ref="H121">IFERROR(INDEX('[1]реестр просрочников'!$B$3:$B$500,SMALL(IF(ЭКВАЙРИНГ!$D115='[1]реестр просрочников'!$A$3:$A$500,ROW('[1]реестр просрочников'!$B$3:$B$500)-2),COLUMN('[1]реестр просрочников'!H121)),1),"")</f>
        <v>Актуальный займ.Договор.Дата передачи в КО (Договоры) Не заполнено</v>
      </c>
      <c r="I121">
        <f t="array" ref="I121">IFERROR(INDEX('[1]реестр просрочников'!$B$3:$B$500,SMALL(IF(ЭКВАЙРИНГ!$D115='[1]реестр просрочников'!$A$3:$A$500,ROW('[1]реестр просрочников'!$B$3:$B$500)-2),COLUMN('[1]реестр просрочников'!I121)),1),"")</f>
        <v>0</v>
      </c>
      <c r="K121" t="str">
        <f>IFERROR(VLOOKUP(ЭКВАЙРИНГ!A115,'[1]реестр просрочников'!$B:$C,2,0),"")</f>
        <v/>
      </c>
    </row>
    <row r="122" spans="4:11" x14ac:dyDescent="0.25">
      <c r="D122" t="str">
        <f t="array" ref="D122">IFERROR(INDEX('[1]реестр просрочников'!$B$3:$B$500,SMALL(IF(ЭКВАЙРИНГ!$D116='[1]реестр просрочников'!$A$3:$A$500,ROW('[1]реестр просрочников'!$B$3:$B$500)-2),COLUMN('[1]реестр просрочников'!D122)),1),"")</f>
        <v>Диапазоны сроков возврата займов: </v>
      </c>
      <c r="E122" t="str">
        <f t="array" ref="E122">IFERROR(INDEX('[1]реестр просрочников'!$B$3:$B$500,SMALL(IF(ЭКВАЙРИНГ!$D116='[1]реестр просрочников'!$A$3:$A$500,ROW('[1]реестр просрочников'!$B$3:$B$500)-2),COLUMN('[1]реестр просрочников'!E122)),1),"")</f>
        <v>( Организация Равно "КА АЭК ООО" ) И</v>
      </c>
      <c r="F122" t="str">
        <f t="array" ref="F122">IFERROR(INDEX('[1]реестр просрочников'!$B$3:$B$500,SMALL(IF(ЭКВАЙРИНГ!$D116='[1]реестр просрочников'!$A$3:$A$500,ROW('[1]реестр просрочников'!$B$3:$B$500)-2),COLUMN('[1]реестр просрочников'!F122)),1),"")</f>
        <v>Заемщик Не в списке "АЭК ООО КА; АТЛАС ООО; ВЗАИМНО ООО; ИРБИС ООО" И</v>
      </c>
      <c r="G122" t="str">
        <f t="array" ref="G122">IFERROR(INDEX('[1]реестр просрочников'!$B$3:$B$500,SMALL(IF(ЭКВАЙРИНГ!$D116='[1]реестр просрочников'!$A$3:$A$500,ROW('[1]реестр просрочников'!$B$3:$B$500)-2),COLUMN('[1]реестр просрочников'!G122)),1),"")</f>
        <v>Дней на просрочке Меньше или равно "95" И</v>
      </c>
      <c r="H122" t="str">
        <f t="array" ref="H122">IFERROR(INDEX('[1]реестр просрочников'!$B$3:$B$500,SMALL(IF(ЭКВАЙРИНГ!$D116='[1]реестр просрочников'!$A$3:$A$500,ROW('[1]реестр просрочников'!$B$3:$B$500)-2),COLUMN('[1]реестр просрочников'!H122)),1),"")</f>
        <v>Актуальный займ.Договор.Дата передачи в КО (Договоры) Не заполнено</v>
      </c>
      <c r="I122">
        <f t="array" ref="I122">IFERROR(INDEX('[1]реестр просрочников'!$B$3:$B$500,SMALL(IF(ЭКВАЙРИНГ!$D116='[1]реестр просрочников'!$A$3:$A$500,ROW('[1]реестр просрочников'!$B$3:$B$500)-2),COLUMN('[1]реестр просрочников'!I122)),1),"")</f>
        <v>0</v>
      </c>
      <c r="K122" t="str">
        <f>IFERROR(VLOOKUP(ЭКВАЙРИНГ!A116,'[1]реестр просрочников'!$B:$C,2,0),"")</f>
        <v/>
      </c>
    </row>
    <row r="123" spans="4:11" x14ac:dyDescent="0.25">
      <c r="D123" t="str">
        <f t="array" ref="D123">IFERROR(INDEX('[1]реестр просрочников'!$B$3:$B$500,SMALL(IF(ЭКВАЙРИНГ!$D117='[1]реестр просрочников'!$A$3:$A$500,ROW('[1]реестр просрочников'!$B$3:$B$500)-2),COLUMN('[1]реестр просрочников'!D123)),1),"")</f>
        <v>Диапазоны сроков возврата займов: </v>
      </c>
      <c r="E123" t="str">
        <f t="array" ref="E123">IFERROR(INDEX('[1]реестр просрочников'!$B$3:$B$500,SMALL(IF(ЭКВАЙРИНГ!$D117='[1]реестр просрочников'!$A$3:$A$500,ROW('[1]реестр просрочников'!$B$3:$B$500)-2),COLUMN('[1]реестр просрочников'!E123)),1),"")</f>
        <v>( Организация Равно "КА АЭК ООО" ) И</v>
      </c>
      <c r="F123" t="str">
        <f t="array" ref="F123">IFERROR(INDEX('[1]реестр просрочников'!$B$3:$B$500,SMALL(IF(ЭКВАЙРИНГ!$D117='[1]реестр просрочников'!$A$3:$A$500,ROW('[1]реестр просрочников'!$B$3:$B$500)-2),COLUMN('[1]реестр просрочников'!F123)),1),"")</f>
        <v>Заемщик Не в списке "АЭК ООО КА; АТЛАС ООО; ВЗАИМНО ООО; ИРБИС ООО" И</v>
      </c>
      <c r="G123" t="str">
        <f t="array" ref="G123">IFERROR(INDEX('[1]реестр просрочников'!$B$3:$B$500,SMALL(IF(ЭКВАЙРИНГ!$D117='[1]реестр просрочников'!$A$3:$A$500,ROW('[1]реестр просрочников'!$B$3:$B$500)-2),COLUMN('[1]реестр просрочников'!G123)),1),"")</f>
        <v>Дней на просрочке Меньше или равно "95" И</v>
      </c>
      <c r="H123" t="str">
        <f t="array" ref="H123">IFERROR(INDEX('[1]реестр просрочников'!$B$3:$B$500,SMALL(IF(ЭКВАЙРИНГ!$D117='[1]реестр просрочников'!$A$3:$A$500,ROW('[1]реестр просрочников'!$B$3:$B$500)-2),COLUMN('[1]реестр просрочников'!H123)),1),"")</f>
        <v>Актуальный займ.Договор.Дата передачи в КО (Договоры) Не заполнено</v>
      </c>
      <c r="I123">
        <f t="array" ref="I123">IFERROR(INDEX('[1]реестр просрочников'!$B$3:$B$500,SMALL(IF(ЭКВАЙРИНГ!$D117='[1]реестр просрочников'!$A$3:$A$500,ROW('[1]реестр просрочников'!$B$3:$B$500)-2),COLUMN('[1]реестр просрочников'!I123)),1),"")</f>
        <v>0</v>
      </c>
      <c r="K123" t="str">
        <f>IFERROR(VLOOKUP(ЭКВАЙРИНГ!A117,'[1]реестр просрочников'!$B:$C,2,0),"")</f>
        <v/>
      </c>
    </row>
    <row r="124" spans="4:11" x14ac:dyDescent="0.25">
      <c r="D124" t="str">
        <f t="array" ref="D124">IFERROR(INDEX('[1]реестр просрочников'!$B$3:$B$500,SMALL(IF(ЭКВАЙРИНГ!$D118='[1]реестр просрочников'!$A$3:$A$500,ROW('[1]реестр просрочников'!$B$3:$B$500)-2),COLUMN('[1]реестр просрочников'!D124)),1),"")</f>
        <v>Диапазоны сроков возврата займов: </v>
      </c>
      <c r="E124" t="str">
        <f t="array" ref="E124">IFERROR(INDEX('[1]реестр просрочников'!$B$3:$B$500,SMALL(IF(ЭКВАЙРИНГ!$D118='[1]реестр просрочников'!$A$3:$A$500,ROW('[1]реестр просрочников'!$B$3:$B$500)-2),COLUMN('[1]реестр просрочников'!E124)),1),"")</f>
        <v>( Организация Равно "КА АЭК ООО" ) И</v>
      </c>
      <c r="F124" t="str">
        <f t="array" ref="F124">IFERROR(INDEX('[1]реестр просрочников'!$B$3:$B$500,SMALL(IF(ЭКВАЙРИНГ!$D118='[1]реестр просрочников'!$A$3:$A$500,ROW('[1]реестр просрочников'!$B$3:$B$500)-2),COLUMN('[1]реестр просрочников'!F124)),1),"")</f>
        <v>Заемщик Не в списке "АЭК ООО КА; АТЛАС ООО; ВЗАИМНО ООО; ИРБИС ООО" И</v>
      </c>
      <c r="G124" t="str">
        <f t="array" ref="G124">IFERROR(INDEX('[1]реестр просрочников'!$B$3:$B$500,SMALL(IF(ЭКВАЙРИНГ!$D118='[1]реестр просрочников'!$A$3:$A$500,ROW('[1]реестр просрочников'!$B$3:$B$500)-2),COLUMN('[1]реестр просрочников'!G124)),1),"")</f>
        <v>Дней на просрочке Меньше или равно "95" И</v>
      </c>
      <c r="H124" t="str">
        <f t="array" ref="H124">IFERROR(INDEX('[1]реестр просрочников'!$B$3:$B$500,SMALL(IF(ЭКВАЙРИНГ!$D118='[1]реестр просрочников'!$A$3:$A$500,ROW('[1]реестр просрочников'!$B$3:$B$500)-2),COLUMN('[1]реестр просрочников'!H124)),1),"")</f>
        <v>Актуальный займ.Договор.Дата передачи в КО (Договоры) Не заполнено</v>
      </c>
      <c r="I124">
        <f t="array" ref="I124">IFERROR(INDEX('[1]реестр просрочников'!$B$3:$B$500,SMALL(IF(ЭКВАЙРИНГ!$D118='[1]реестр просрочников'!$A$3:$A$500,ROW('[1]реестр просрочников'!$B$3:$B$500)-2),COLUMN('[1]реестр просрочников'!I124)),1),"")</f>
        <v>0</v>
      </c>
      <c r="K124" t="str">
        <f>IFERROR(VLOOKUP(ЭКВАЙРИНГ!A118,'[1]реестр просрочников'!$B:$C,2,0),"")</f>
        <v/>
      </c>
    </row>
    <row r="125" spans="4:11" x14ac:dyDescent="0.25">
      <c r="D125" t="str">
        <f t="array" ref="D125">IFERROR(INDEX('[1]реестр просрочников'!$B$3:$B$500,SMALL(IF(ЭКВАЙРИНГ!$D119='[1]реестр просрочников'!$A$3:$A$500,ROW('[1]реестр просрочников'!$B$3:$B$500)-2),COLUMN('[1]реестр просрочников'!D125)),1),"")</f>
        <v>Диапазоны сроков возврата займов: </v>
      </c>
      <c r="E125" t="str">
        <f t="array" ref="E125">IFERROR(INDEX('[1]реестр просрочников'!$B$3:$B$500,SMALL(IF(ЭКВАЙРИНГ!$D119='[1]реестр просрочников'!$A$3:$A$500,ROW('[1]реестр просрочников'!$B$3:$B$500)-2),COLUMN('[1]реестр просрочников'!E125)),1),"")</f>
        <v>( Организация Равно "КА АЭК ООО" ) И</v>
      </c>
      <c r="F125" t="str">
        <f t="array" ref="F125">IFERROR(INDEX('[1]реестр просрочников'!$B$3:$B$500,SMALL(IF(ЭКВАЙРИНГ!$D119='[1]реестр просрочников'!$A$3:$A$500,ROW('[1]реестр просрочников'!$B$3:$B$500)-2),COLUMN('[1]реестр просрочников'!F125)),1),"")</f>
        <v>Заемщик Не в списке "АЭК ООО КА; АТЛАС ООО; ВЗАИМНО ООО; ИРБИС ООО" И</v>
      </c>
      <c r="G125" t="str">
        <f t="array" ref="G125">IFERROR(INDEX('[1]реестр просрочников'!$B$3:$B$500,SMALL(IF(ЭКВАЙРИНГ!$D119='[1]реестр просрочников'!$A$3:$A$500,ROW('[1]реестр просрочников'!$B$3:$B$500)-2),COLUMN('[1]реестр просрочников'!G125)),1),"")</f>
        <v>Дней на просрочке Меньше или равно "95" И</v>
      </c>
      <c r="H125" t="str">
        <f t="array" ref="H125">IFERROR(INDEX('[1]реестр просрочников'!$B$3:$B$500,SMALL(IF(ЭКВАЙРИНГ!$D119='[1]реестр просрочников'!$A$3:$A$500,ROW('[1]реестр просрочников'!$B$3:$B$500)-2),COLUMN('[1]реестр просрочников'!H125)),1),"")</f>
        <v>Актуальный займ.Договор.Дата передачи в КО (Договоры) Не заполнено</v>
      </c>
      <c r="I125">
        <f t="array" ref="I125">IFERROR(INDEX('[1]реестр просрочников'!$B$3:$B$500,SMALL(IF(ЭКВАЙРИНГ!$D119='[1]реестр просрочников'!$A$3:$A$500,ROW('[1]реестр просрочников'!$B$3:$B$500)-2),COLUMN('[1]реестр просрочников'!I125)),1),"")</f>
        <v>0</v>
      </c>
      <c r="K125" t="str">
        <f>IFERROR(VLOOKUP(ЭКВАЙРИНГ!A119,'[1]реестр просрочников'!$B:$C,2,0),"")</f>
        <v/>
      </c>
    </row>
    <row r="126" spans="4:11" x14ac:dyDescent="0.25">
      <c r="D126" t="str">
        <f t="array" ref="D126">IFERROR(INDEX('[1]реестр просрочников'!$B$3:$B$500,SMALL(IF(ЭКВАЙРИНГ!$D120='[1]реестр просрочников'!$A$3:$A$500,ROW('[1]реестр просрочников'!$B$3:$B$500)-2),COLUMN('[1]реестр просрочников'!D126)),1),"")</f>
        <v>Диапазоны сроков возврата займов: </v>
      </c>
      <c r="E126" t="str">
        <f t="array" ref="E126">IFERROR(INDEX('[1]реестр просрочников'!$B$3:$B$500,SMALL(IF(ЭКВАЙРИНГ!$D120='[1]реестр просрочников'!$A$3:$A$500,ROW('[1]реестр просрочников'!$B$3:$B$500)-2),COLUMN('[1]реестр просрочников'!E126)),1),"")</f>
        <v>( Организация Равно "КА АЭК ООО" ) И</v>
      </c>
      <c r="F126" t="str">
        <f t="array" ref="F126">IFERROR(INDEX('[1]реестр просрочников'!$B$3:$B$500,SMALL(IF(ЭКВАЙРИНГ!$D120='[1]реестр просрочников'!$A$3:$A$500,ROW('[1]реестр просрочников'!$B$3:$B$500)-2),COLUMN('[1]реестр просрочников'!F126)),1),"")</f>
        <v>Заемщик Не в списке "АЭК ООО КА; АТЛАС ООО; ВЗАИМНО ООО; ИРБИС ООО" И</v>
      </c>
      <c r="G126" t="str">
        <f t="array" ref="G126">IFERROR(INDEX('[1]реестр просрочников'!$B$3:$B$500,SMALL(IF(ЭКВАЙРИНГ!$D120='[1]реестр просрочников'!$A$3:$A$500,ROW('[1]реестр просрочников'!$B$3:$B$500)-2),COLUMN('[1]реестр просрочников'!G126)),1),"")</f>
        <v>Дней на просрочке Меньше или равно "95" И</v>
      </c>
      <c r="H126" t="str">
        <f t="array" ref="H126">IFERROR(INDEX('[1]реестр просрочников'!$B$3:$B$500,SMALL(IF(ЭКВАЙРИНГ!$D120='[1]реестр просрочников'!$A$3:$A$500,ROW('[1]реестр просрочников'!$B$3:$B$500)-2),COLUMN('[1]реестр просрочников'!H126)),1),"")</f>
        <v>Актуальный займ.Договор.Дата передачи в КО (Договоры) Не заполнено</v>
      </c>
      <c r="I126">
        <f t="array" ref="I126">IFERROR(INDEX('[1]реестр просрочников'!$B$3:$B$500,SMALL(IF(ЭКВАЙРИНГ!$D120='[1]реестр просрочников'!$A$3:$A$500,ROW('[1]реестр просрочников'!$B$3:$B$500)-2),COLUMN('[1]реестр просрочников'!I126)),1),"")</f>
        <v>0</v>
      </c>
      <c r="K126" t="str">
        <f>IFERROR(VLOOKUP(ЭКВАЙРИНГ!A120,'[1]реестр просрочников'!$B:$C,2,0),"")</f>
        <v/>
      </c>
    </row>
    <row r="127" spans="4:11" x14ac:dyDescent="0.25">
      <c r="D127" t="str">
        <f t="array" ref="D127">IFERROR(INDEX('[1]реестр просрочников'!$B$3:$B$500,SMALL(IF(ЭКВАЙРИНГ!$D121='[1]реестр просрочников'!$A$3:$A$500,ROW('[1]реестр просрочников'!$B$3:$B$500)-2),COLUMN('[1]реестр просрочников'!D127)),1),"")</f>
        <v>Диапазоны сроков возврата займов: </v>
      </c>
      <c r="E127" t="str">
        <f t="array" ref="E127">IFERROR(INDEX('[1]реестр просрочников'!$B$3:$B$500,SMALL(IF(ЭКВАЙРИНГ!$D121='[1]реестр просрочников'!$A$3:$A$500,ROW('[1]реестр просрочников'!$B$3:$B$500)-2),COLUMN('[1]реестр просрочников'!E127)),1),"")</f>
        <v>( Организация Равно "КА АЭК ООО" ) И</v>
      </c>
      <c r="F127" t="str">
        <f t="array" ref="F127">IFERROR(INDEX('[1]реестр просрочников'!$B$3:$B$500,SMALL(IF(ЭКВАЙРИНГ!$D121='[1]реестр просрочников'!$A$3:$A$500,ROW('[1]реестр просрочников'!$B$3:$B$500)-2),COLUMN('[1]реестр просрочников'!F127)),1),"")</f>
        <v>Заемщик Не в списке "АЭК ООО КА; АТЛАС ООО; ВЗАИМНО ООО; ИРБИС ООО" И</v>
      </c>
      <c r="G127" t="str">
        <f t="array" ref="G127">IFERROR(INDEX('[1]реестр просрочников'!$B$3:$B$500,SMALL(IF(ЭКВАЙРИНГ!$D121='[1]реестр просрочников'!$A$3:$A$500,ROW('[1]реестр просрочников'!$B$3:$B$500)-2),COLUMN('[1]реестр просрочников'!G127)),1),"")</f>
        <v>Дней на просрочке Меньше или равно "95" И</v>
      </c>
      <c r="H127" t="str">
        <f t="array" ref="H127">IFERROR(INDEX('[1]реестр просрочников'!$B$3:$B$500,SMALL(IF(ЭКВАЙРИНГ!$D121='[1]реестр просрочников'!$A$3:$A$500,ROW('[1]реестр просрочников'!$B$3:$B$500)-2),COLUMN('[1]реестр просрочников'!H127)),1),"")</f>
        <v>Актуальный займ.Договор.Дата передачи в КО (Договоры) Не заполнено</v>
      </c>
      <c r="I127">
        <f t="array" ref="I127">IFERROR(INDEX('[1]реестр просрочников'!$B$3:$B$500,SMALL(IF(ЭКВАЙРИНГ!$D121='[1]реестр просрочников'!$A$3:$A$500,ROW('[1]реестр просрочников'!$B$3:$B$500)-2),COLUMN('[1]реестр просрочников'!I127)),1),"")</f>
        <v>0</v>
      </c>
      <c r="K127" t="str">
        <f>IFERROR(VLOOKUP(ЭКВАЙРИНГ!A121,'[1]реестр просрочников'!$B:$C,2,0),"")</f>
        <v/>
      </c>
    </row>
    <row r="128" spans="4:11" x14ac:dyDescent="0.25">
      <c r="D128" t="str">
        <f t="array" ref="D128">IFERROR(INDEX('[1]реестр просрочников'!$B$3:$B$500,SMALL(IF(ЭКВАЙРИНГ!$D122='[1]реестр просрочников'!$A$3:$A$500,ROW('[1]реестр просрочников'!$B$3:$B$500)-2),COLUMN('[1]реестр просрочников'!D128)),1),"")</f>
        <v>Диапазоны сроков возврата займов: </v>
      </c>
      <c r="E128" t="str">
        <f t="array" ref="E128">IFERROR(INDEX('[1]реестр просрочников'!$B$3:$B$500,SMALL(IF(ЭКВАЙРИНГ!$D122='[1]реестр просрочников'!$A$3:$A$500,ROW('[1]реестр просрочников'!$B$3:$B$500)-2),COLUMN('[1]реестр просрочников'!E128)),1),"")</f>
        <v>( Организация Равно "КА АЭК ООО" ) И</v>
      </c>
      <c r="F128" t="str">
        <f t="array" ref="F128">IFERROR(INDEX('[1]реестр просрочников'!$B$3:$B$500,SMALL(IF(ЭКВАЙРИНГ!$D122='[1]реестр просрочников'!$A$3:$A$500,ROW('[1]реестр просрочников'!$B$3:$B$500)-2),COLUMN('[1]реестр просрочников'!F128)),1),"")</f>
        <v>Заемщик Не в списке "АЭК ООО КА; АТЛАС ООО; ВЗАИМНО ООО; ИРБИС ООО" И</v>
      </c>
      <c r="G128" t="str">
        <f t="array" ref="G128">IFERROR(INDEX('[1]реестр просрочников'!$B$3:$B$500,SMALL(IF(ЭКВАЙРИНГ!$D122='[1]реестр просрочников'!$A$3:$A$500,ROW('[1]реестр просрочников'!$B$3:$B$500)-2),COLUMN('[1]реестр просрочников'!G128)),1),"")</f>
        <v>Дней на просрочке Меньше или равно "95" И</v>
      </c>
      <c r="H128" t="str">
        <f t="array" ref="H128">IFERROR(INDEX('[1]реестр просрочников'!$B$3:$B$500,SMALL(IF(ЭКВАЙРИНГ!$D122='[1]реестр просрочников'!$A$3:$A$500,ROW('[1]реестр просрочников'!$B$3:$B$500)-2),COLUMN('[1]реестр просрочников'!H128)),1),"")</f>
        <v>Актуальный займ.Договор.Дата передачи в КО (Договоры) Не заполнено</v>
      </c>
      <c r="I128">
        <f t="array" ref="I128">IFERROR(INDEX('[1]реестр просрочников'!$B$3:$B$500,SMALL(IF(ЭКВАЙРИНГ!$D122='[1]реестр просрочников'!$A$3:$A$500,ROW('[1]реестр просрочников'!$B$3:$B$500)-2),COLUMN('[1]реестр просрочников'!I128)),1),"")</f>
        <v>0</v>
      </c>
      <c r="K128" t="str">
        <f>IFERROR(VLOOKUP(ЭКВАЙРИНГ!A122,'[1]реестр просрочников'!$B:$C,2,0),"")</f>
        <v/>
      </c>
    </row>
    <row r="129" spans="4:11" x14ac:dyDescent="0.25">
      <c r="D129" t="str">
        <f t="array" ref="D129">IFERROR(INDEX('[1]реестр просрочников'!$B$3:$B$500,SMALL(IF(ЭКВАЙРИНГ!$D123='[1]реестр просрочников'!$A$3:$A$500,ROW('[1]реестр просрочников'!$B$3:$B$500)-2),COLUMN('[1]реестр просрочников'!D129)),1),"")</f>
        <v>Диапазоны сроков возврата займов: </v>
      </c>
      <c r="E129" t="str">
        <f t="array" ref="E129">IFERROR(INDEX('[1]реестр просрочников'!$B$3:$B$500,SMALL(IF(ЭКВАЙРИНГ!$D123='[1]реестр просрочников'!$A$3:$A$500,ROW('[1]реестр просрочников'!$B$3:$B$500)-2),COLUMN('[1]реестр просрочников'!E129)),1),"")</f>
        <v>( Организация Равно "КА АЭК ООО" ) И</v>
      </c>
      <c r="F129" t="str">
        <f t="array" ref="F129">IFERROR(INDEX('[1]реестр просрочников'!$B$3:$B$500,SMALL(IF(ЭКВАЙРИНГ!$D123='[1]реестр просрочников'!$A$3:$A$500,ROW('[1]реестр просрочников'!$B$3:$B$500)-2),COLUMN('[1]реестр просрочников'!F129)),1),"")</f>
        <v>Заемщик Не в списке "АЭК ООО КА; АТЛАС ООО; ВЗАИМНО ООО; ИРБИС ООО" И</v>
      </c>
      <c r="G129" t="str">
        <f t="array" ref="G129">IFERROR(INDEX('[1]реестр просрочников'!$B$3:$B$500,SMALL(IF(ЭКВАЙРИНГ!$D123='[1]реестр просрочников'!$A$3:$A$500,ROW('[1]реестр просрочников'!$B$3:$B$500)-2),COLUMN('[1]реестр просрочников'!G129)),1),"")</f>
        <v>Дней на просрочке Меньше или равно "95" И</v>
      </c>
      <c r="H129" t="str">
        <f t="array" ref="H129">IFERROR(INDEX('[1]реестр просрочников'!$B$3:$B$500,SMALL(IF(ЭКВАЙРИНГ!$D123='[1]реестр просрочников'!$A$3:$A$500,ROW('[1]реестр просрочников'!$B$3:$B$500)-2),COLUMN('[1]реестр просрочников'!H129)),1),"")</f>
        <v>Актуальный займ.Договор.Дата передачи в КО (Договоры) Не заполнено</v>
      </c>
      <c r="I129">
        <f t="array" ref="I129">IFERROR(INDEX('[1]реестр просрочников'!$B$3:$B$500,SMALL(IF(ЭКВАЙРИНГ!$D123='[1]реестр просрочников'!$A$3:$A$500,ROW('[1]реестр просрочников'!$B$3:$B$500)-2),COLUMN('[1]реестр просрочников'!I129)),1),"")</f>
        <v>0</v>
      </c>
      <c r="K129" t="str">
        <f>IFERROR(VLOOKUP(ЭКВАЙРИНГ!A123,'[1]реестр просрочников'!$B:$C,2,0),"")</f>
        <v/>
      </c>
    </row>
    <row r="130" spans="4:11" x14ac:dyDescent="0.25">
      <c r="D130" t="str">
        <f t="array" ref="D130">IFERROR(INDEX('[1]реестр просрочников'!$B$3:$B$500,SMALL(IF(ЭКВАЙРИНГ!$D124='[1]реестр просрочников'!$A$3:$A$500,ROW('[1]реестр просрочников'!$B$3:$B$500)-2),COLUMN('[1]реестр просрочников'!D130)),1),"")</f>
        <v>Диапазоны сроков возврата займов: </v>
      </c>
      <c r="E130" t="str">
        <f t="array" ref="E130">IFERROR(INDEX('[1]реестр просрочников'!$B$3:$B$500,SMALL(IF(ЭКВАЙРИНГ!$D124='[1]реестр просрочников'!$A$3:$A$500,ROW('[1]реестр просрочников'!$B$3:$B$500)-2),COLUMN('[1]реестр просрочников'!E130)),1),"")</f>
        <v>( Организация Равно "КА АЭК ООО" ) И</v>
      </c>
      <c r="F130" t="str">
        <f t="array" ref="F130">IFERROR(INDEX('[1]реестр просрочников'!$B$3:$B$500,SMALL(IF(ЭКВАЙРИНГ!$D124='[1]реестр просрочников'!$A$3:$A$500,ROW('[1]реестр просрочников'!$B$3:$B$500)-2),COLUMN('[1]реестр просрочников'!F130)),1),"")</f>
        <v>Заемщик Не в списке "АЭК ООО КА; АТЛАС ООО; ВЗАИМНО ООО; ИРБИС ООО" И</v>
      </c>
      <c r="G130" t="str">
        <f t="array" ref="G130">IFERROR(INDEX('[1]реестр просрочников'!$B$3:$B$500,SMALL(IF(ЭКВАЙРИНГ!$D124='[1]реестр просрочников'!$A$3:$A$500,ROW('[1]реестр просрочников'!$B$3:$B$500)-2),COLUMN('[1]реестр просрочников'!G130)),1),"")</f>
        <v>Дней на просрочке Меньше или равно "95" И</v>
      </c>
      <c r="H130" t="str">
        <f t="array" ref="H130">IFERROR(INDEX('[1]реестр просрочников'!$B$3:$B$500,SMALL(IF(ЭКВАЙРИНГ!$D124='[1]реестр просрочников'!$A$3:$A$500,ROW('[1]реестр просрочников'!$B$3:$B$500)-2),COLUMN('[1]реестр просрочников'!H130)),1),"")</f>
        <v>Актуальный займ.Договор.Дата передачи в КО (Договоры) Не заполнено</v>
      </c>
      <c r="I130">
        <f t="array" ref="I130">IFERROR(INDEX('[1]реестр просрочников'!$B$3:$B$500,SMALL(IF(ЭКВАЙРИНГ!$D124='[1]реестр просрочников'!$A$3:$A$500,ROW('[1]реестр просрочников'!$B$3:$B$500)-2),COLUMN('[1]реестр просрочников'!I130)),1),"")</f>
        <v>0</v>
      </c>
      <c r="K130" t="str">
        <f>IFERROR(VLOOKUP(ЭКВАЙРИНГ!A124,'[1]реестр просрочников'!$B:$C,2,0),"")</f>
        <v/>
      </c>
    </row>
    <row r="131" spans="4:11" x14ac:dyDescent="0.25">
      <c r="D131" t="str">
        <f t="array" ref="D131">IFERROR(INDEX('[1]реестр просрочников'!$B$3:$B$500,SMALL(IF(ЭКВАЙРИНГ!$D125='[1]реестр просрочников'!$A$3:$A$500,ROW('[1]реестр просрочников'!$B$3:$B$500)-2),COLUMN('[1]реестр просрочников'!D131)),1),"")</f>
        <v>Диапазоны сроков возврата займов: </v>
      </c>
      <c r="E131" t="str">
        <f t="array" ref="E131">IFERROR(INDEX('[1]реестр просрочников'!$B$3:$B$500,SMALL(IF(ЭКВАЙРИНГ!$D125='[1]реестр просрочников'!$A$3:$A$500,ROW('[1]реестр просрочников'!$B$3:$B$500)-2),COLUMN('[1]реестр просрочников'!E131)),1),"")</f>
        <v>( Организация Равно "КА АЭК ООО" ) И</v>
      </c>
      <c r="F131" t="str">
        <f t="array" ref="F131">IFERROR(INDEX('[1]реестр просрочников'!$B$3:$B$500,SMALL(IF(ЭКВАЙРИНГ!$D125='[1]реестр просрочников'!$A$3:$A$500,ROW('[1]реестр просрочников'!$B$3:$B$500)-2),COLUMN('[1]реестр просрочников'!F131)),1),"")</f>
        <v>Заемщик Не в списке "АЭК ООО КА; АТЛАС ООО; ВЗАИМНО ООО; ИРБИС ООО" И</v>
      </c>
      <c r="G131" t="str">
        <f t="array" ref="G131">IFERROR(INDEX('[1]реестр просрочников'!$B$3:$B$500,SMALL(IF(ЭКВАЙРИНГ!$D125='[1]реестр просрочников'!$A$3:$A$500,ROW('[1]реестр просрочников'!$B$3:$B$500)-2),COLUMN('[1]реестр просрочников'!G131)),1),"")</f>
        <v>Дней на просрочке Меньше или равно "95" И</v>
      </c>
      <c r="H131" t="str">
        <f t="array" ref="H131">IFERROR(INDEX('[1]реестр просрочников'!$B$3:$B$500,SMALL(IF(ЭКВАЙРИНГ!$D125='[1]реестр просрочников'!$A$3:$A$500,ROW('[1]реестр просрочников'!$B$3:$B$500)-2),COLUMN('[1]реестр просрочников'!H131)),1),"")</f>
        <v>Актуальный займ.Договор.Дата передачи в КО (Договоры) Не заполнено</v>
      </c>
      <c r="I131">
        <f t="array" ref="I131">IFERROR(INDEX('[1]реестр просрочников'!$B$3:$B$500,SMALL(IF(ЭКВАЙРИНГ!$D125='[1]реестр просрочников'!$A$3:$A$500,ROW('[1]реестр просрочников'!$B$3:$B$500)-2),COLUMN('[1]реестр просрочников'!I131)),1),"")</f>
        <v>0</v>
      </c>
      <c r="K131" t="str">
        <f>IFERROR(VLOOKUP(ЭКВАЙРИНГ!A125,'[1]реестр просрочников'!$B:$C,2,0),"")</f>
        <v/>
      </c>
    </row>
    <row r="132" spans="4:11" x14ac:dyDescent="0.25">
      <c r="D132" t="str">
        <f t="array" ref="D132">IFERROR(INDEX('[1]реестр просрочников'!$B$3:$B$500,SMALL(IF(ЭКВАЙРИНГ!$D126='[1]реестр просрочников'!$A$3:$A$500,ROW('[1]реестр просрочников'!$B$3:$B$500)-2),COLUMN('[1]реестр просрочников'!D132)),1),"")</f>
        <v>Диапазоны сроков возврата займов: </v>
      </c>
      <c r="E132" t="str">
        <f t="array" ref="E132">IFERROR(INDEX('[1]реестр просрочников'!$B$3:$B$500,SMALL(IF(ЭКВАЙРИНГ!$D126='[1]реестр просрочников'!$A$3:$A$500,ROW('[1]реестр просрочников'!$B$3:$B$500)-2),COLUMN('[1]реестр просрочников'!E132)),1),"")</f>
        <v>( Организация Равно "КА АЭК ООО" ) И</v>
      </c>
      <c r="F132" t="str">
        <f t="array" ref="F132">IFERROR(INDEX('[1]реестр просрочников'!$B$3:$B$500,SMALL(IF(ЭКВАЙРИНГ!$D126='[1]реестр просрочников'!$A$3:$A$500,ROW('[1]реестр просрочников'!$B$3:$B$500)-2),COLUMN('[1]реестр просрочников'!F132)),1),"")</f>
        <v>Заемщик Не в списке "АЭК ООО КА; АТЛАС ООО; ВЗАИМНО ООО; ИРБИС ООО" И</v>
      </c>
      <c r="G132" t="str">
        <f t="array" ref="G132">IFERROR(INDEX('[1]реестр просрочников'!$B$3:$B$500,SMALL(IF(ЭКВАЙРИНГ!$D126='[1]реестр просрочников'!$A$3:$A$500,ROW('[1]реестр просрочников'!$B$3:$B$500)-2),COLUMN('[1]реестр просрочников'!G132)),1),"")</f>
        <v>Дней на просрочке Меньше или равно "95" И</v>
      </c>
      <c r="H132" t="str">
        <f t="array" ref="H132">IFERROR(INDEX('[1]реестр просрочников'!$B$3:$B$500,SMALL(IF(ЭКВАЙРИНГ!$D126='[1]реестр просрочников'!$A$3:$A$500,ROW('[1]реестр просрочников'!$B$3:$B$500)-2),COLUMN('[1]реестр просрочников'!H132)),1),"")</f>
        <v>Актуальный займ.Договор.Дата передачи в КО (Договоры) Не заполнено</v>
      </c>
      <c r="I132">
        <f t="array" ref="I132">IFERROR(INDEX('[1]реестр просрочников'!$B$3:$B$500,SMALL(IF(ЭКВАЙРИНГ!$D126='[1]реестр просрочников'!$A$3:$A$500,ROW('[1]реестр просрочников'!$B$3:$B$500)-2),COLUMN('[1]реестр просрочников'!I132)),1),"")</f>
        <v>0</v>
      </c>
      <c r="K132" t="str">
        <f>IFERROR(VLOOKUP(ЭКВАЙРИНГ!A126,'[1]реестр просрочников'!$B:$C,2,0),"")</f>
        <v/>
      </c>
    </row>
    <row r="133" spans="4:11" x14ac:dyDescent="0.25">
      <c r="D133" t="str">
        <f t="array" ref="D133">IFERROR(INDEX('[1]реестр просрочников'!$B$3:$B$500,SMALL(IF(ЭКВАЙРИНГ!$D127='[1]реестр просрочников'!$A$3:$A$500,ROW('[1]реестр просрочников'!$B$3:$B$500)-2),COLUMN('[1]реестр просрочников'!D133)),1),"")</f>
        <v>Диапазоны сроков возврата займов: </v>
      </c>
      <c r="E133" t="str">
        <f t="array" ref="E133">IFERROR(INDEX('[1]реестр просрочников'!$B$3:$B$500,SMALL(IF(ЭКВАЙРИНГ!$D127='[1]реестр просрочников'!$A$3:$A$500,ROW('[1]реестр просрочников'!$B$3:$B$500)-2),COLUMN('[1]реестр просрочников'!E133)),1),"")</f>
        <v>( Организация Равно "КА АЭК ООО" ) И</v>
      </c>
      <c r="F133" t="str">
        <f t="array" ref="F133">IFERROR(INDEX('[1]реестр просрочников'!$B$3:$B$500,SMALL(IF(ЭКВАЙРИНГ!$D127='[1]реестр просрочников'!$A$3:$A$500,ROW('[1]реестр просрочников'!$B$3:$B$500)-2),COLUMN('[1]реестр просрочников'!F133)),1),"")</f>
        <v>Заемщик Не в списке "АЭК ООО КА; АТЛАС ООО; ВЗАИМНО ООО; ИРБИС ООО" И</v>
      </c>
      <c r="G133" t="str">
        <f t="array" ref="G133">IFERROR(INDEX('[1]реестр просрочников'!$B$3:$B$500,SMALL(IF(ЭКВАЙРИНГ!$D127='[1]реестр просрочников'!$A$3:$A$500,ROW('[1]реестр просрочников'!$B$3:$B$500)-2),COLUMN('[1]реестр просрочников'!G133)),1),"")</f>
        <v>Дней на просрочке Меньше или равно "95" И</v>
      </c>
      <c r="H133" t="str">
        <f t="array" ref="H133">IFERROR(INDEX('[1]реестр просрочников'!$B$3:$B$500,SMALL(IF(ЭКВАЙРИНГ!$D127='[1]реестр просрочников'!$A$3:$A$500,ROW('[1]реестр просрочников'!$B$3:$B$500)-2),COLUMN('[1]реестр просрочников'!H133)),1),"")</f>
        <v>Актуальный займ.Договор.Дата передачи в КО (Договоры) Не заполнено</v>
      </c>
      <c r="I133">
        <f t="array" ref="I133">IFERROR(INDEX('[1]реестр просрочников'!$B$3:$B$500,SMALL(IF(ЭКВАЙРИНГ!$D127='[1]реестр просрочников'!$A$3:$A$500,ROW('[1]реестр просрочников'!$B$3:$B$500)-2),COLUMN('[1]реестр просрочников'!I133)),1),"")</f>
        <v>0</v>
      </c>
      <c r="K133" t="str">
        <f>IFERROR(VLOOKUP(ЭКВАЙРИНГ!A127,'[1]реестр просрочников'!$B:$C,2,0),"")</f>
        <v/>
      </c>
    </row>
    <row r="134" spans="4:11" x14ac:dyDescent="0.25">
      <c r="D134" t="str">
        <f t="array" ref="D134">IFERROR(INDEX('[1]реестр просрочников'!$B$3:$B$500,SMALL(IF(ЭКВАЙРИНГ!$D128='[1]реестр просрочников'!$A$3:$A$500,ROW('[1]реестр просрочников'!$B$3:$B$500)-2),COLUMN('[1]реестр просрочников'!D134)),1),"")</f>
        <v>Диапазоны сроков возврата займов: </v>
      </c>
      <c r="E134" t="str">
        <f t="array" ref="E134">IFERROR(INDEX('[1]реестр просрочников'!$B$3:$B$500,SMALL(IF(ЭКВАЙРИНГ!$D128='[1]реестр просрочников'!$A$3:$A$500,ROW('[1]реестр просрочников'!$B$3:$B$500)-2),COLUMN('[1]реестр просрочников'!E134)),1),"")</f>
        <v>( Организация Равно "КА АЭК ООО" ) И</v>
      </c>
      <c r="F134" t="str">
        <f t="array" ref="F134">IFERROR(INDEX('[1]реестр просрочников'!$B$3:$B$500,SMALL(IF(ЭКВАЙРИНГ!$D128='[1]реестр просрочников'!$A$3:$A$500,ROW('[1]реестр просрочников'!$B$3:$B$500)-2),COLUMN('[1]реестр просрочников'!F134)),1),"")</f>
        <v>Заемщик Не в списке "АЭК ООО КА; АТЛАС ООО; ВЗАИМНО ООО; ИРБИС ООО" И</v>
      </c>
      <c r="G134" t="str">
        <f t="array" ref="G134">IFERROR(INDEX('[1]реестр просрочников'!$B$3:$B$500,SMALL(IF(ЭКВАЙРИНГ!$D128='[1]реестр просрочников'!$A$3:$A$500,ROW('[1]реестр просрочников'!$B$3:$B$500)-2),COLUMN('[1]реестр просрочников'!G134)),1),"")</f>
        <v>Дней на просрочке Меньше или равно "95" И</v>
      </c>
      <c r="H134" t="str">
        <f t="array" ref="H134">IFERROR(INDEX('[1]реестр просрочников'!$B$3:$B$500,SMALL(IF(ЭКВАЙРИНГ!$D128='[1]реестр просрочников'!$A$3:$A$500,ROW('[1]реестр просрочников'!$B$3:$B$500)-2),COLUMN('[1]реестр просрочников'!H134)),1),"")</f>
        <v>Актуальный займ.Договор.Дата передачи в КО (Договоры) Не заполнено</v>
      </c>
      <c r="I134">
        <f t="array" ref="I134">IFERROR(INDEX('[1]реестр просрочников'!$B$3:$B$500,SMALL(IF(ЭКВАЙРИНГ!$D128='[1]реестр просрочников'!$A$3:$A$500,ROW('[1]реестр просрочников'!$B$3:$B$500)-2),COLUMN('[1]реестр просрочников'!I134)),1),"")</f>
        <v>0</v>
      </c>
      <c r="K134" t="str">
        <f>IFERROR(VLOOKUP(ЭКВАЙРИНГ!A128,'[1]реестр просрочников'!$B:$C,2,0),"")</f>
        <v/>
      </c>
    </row>
    <row r="135" spans="4:11" x14ac:dyDescent="0.25">
      <c r="D135" t="str">
        <f t="array" ref="D135">IFERROR(INDEX('[1]реестр просрочников'!$B$3:$B$500,SMALL(IF(ЭКВАЙРИНГ!$D129='[1]реестр просрочников'!$A$3:$A$500,ROW('[1]реестр просрочников'!$B$3:$B$500)-2),COLUMN('[1]реестр просрочников'!D135)),1),"")</f>
        <v>Диапазоны сроков возврата займов: </v>
      </c>
      <c r="E135" t="str">
        <f t="array" ref="E135">IFERROR(INDEX('[1]реестр просрочников'!$B$3:$B$500,SMALL(IF(ЭКВАЙРИНГ!$D129='[1]реестр просрочников'!$A$3:$A$500,ROW('[1]реестр просрочников'!$B$3:$B$500)-2),COLUMN('[1]реестр просрочников'!E135)),1),"")</f>
        <v>( Организация Равно "КА АЭК ООО" ) И</v>
      </c>
      <c r="F135" t="str">
        <f t="array" ref="F135">IFERROR(INDEX('[1]реестр просрочников'!$B$3:$B$500,SMALL(IF(ЭКВАЙРИНГ!$D129='[1]реестр просрочников'!$A$3:$A$500,ROW('[1]реестр просрочников'!$B$3:$B$500)-2),COLUMN('[1]реестр просрочников'!F135)),1),"")</f>
        <v>Заемщик Не в списке "АЭК ООО КА; АТЛАС ООО; ВЗАИМНО ООО; ИРБИС ООО" И</v>
      </c>
      <c r="G135" t="str">
        <f t="array" ref="G135">IFERROR(INDEX('[1]реестр просрочников'!$B$3:$B$500,SMALL(IF(ЭКВАЙРИНГ!$D129='[1]реестр просрочников'!$A$3:$A$500,ROW('[1]реестр просрочников'!$B$3:$B$500)-2),COLUMN('[1]реестр просрочников'!G135)),1),"")</f>
        <v>Дней на просрочке Меньше или равно "95" И</v>
      </c>
      <c r="H135" t="str">
        <f t="array" ref="H135">IFERROR(INDEX('[1]реестр просрочников'!$B$3:$B$500,SMALL(IF(ЭКВАЙРИНГ!$D129='[1]реестр просрочников'!$A$3:$A$500,ROW('[1]реестр просрочников'!$B$3:$B$500)-2),COLUMN('[1]реестр просрочников'!H135)),1),"")</f>
        <v>Актуальный займ.Договор.Дата передачи в КО (Договоры) Не заполнено</v>
      </c>
      <c r="I135">
        <f t="array" ref="I135">IFERROR(INDEX('[1]реестр просрочников'!$B$3:$B$500,SMALL(IF(ЭКВАЙРИНГ!$D129='[1]реестр просрочников'!$A$3:$A$500,ROW('[1]реестр просрочников'!$B$3:$B$500)-2),COLUMN('[1]реестр просрочников'!I135)),1),"")</f>
        <v>0</v>
      </c>
      <c r="K135" t="str">
        <f>IFERROR(VLOOKUP(ЭКВАЙРИНГ!A129,'[1]реестр просрочников'!$B:$C,2,0),"")</f>
        <v/>
      </c>
    </row>
    <row r="136" spans="4:11" x14ac:dyDescent="0.25">
      <c r="D136" t="str">
        <f t="array" ref="D136">IFERROR(INDEX('[1]реестр просрочников'!$B$3:$B$500,SMALL(IF(ЭКВАЙРИНГ!$D130='[1]реестр просрочников'!$A$3:$A$500,ROW('[1]реестр просрочников'!$B$3:$B$500)-2),COLUMN('[1]реестр просрочников'!D136)),1),"")</f>
        <v>Диапазоны сроков возврата займов: </v>
      </c>
      <c r="E136" t="str">
        <f t="array" ref="E136">IFERROR(INDEX('[1]реестр просрочников'!$B$3:$B$500,SMALL(IF(ЭКВАЙРИНГ!$D130='[1]реестр просрочников'!$A$3:$A$500,ROW('[1]реестр просрочников'!$B$3:$B$500)-2),COLUMN('[1]реестр просрочников'!E136)),1),"")</f>
        <v>( Организация Равно "КА АЭК ООО" ) И</v>
      </c>
      <c r="F136" t="str">
        <f t="array" ref="F136">IFERROR(INDEX('[1]реестр просрочников'!$B$3:$B$500,SMALL(IF(ЭКВАЙРИНГ!$D130='[1]реестр просрочников'!$A$3:$A$500,ROW('[1]реестр просрочников'!$B$3:$B$500)-2),COLUMN('[1]реестр просрочников'!F136)),1),"")</f>
        <v>Заемщик Не в списке "АЭК ООО КА; АТЛАС ООО; ВЗАИМНО ООО; ИРБИС ООО" И</v>
      </c>
      <c r="G136" t="str">
        <f t="array" ref="G136">IFERROR(INDEX('[1]реестр просрочников'!$B$3:$B$500,SMALL(IF(ЭКВАЙРИНГ!$D130='[1]реестр просрочников'!$A$3:$A$500,ROW('[1]реестр просрочников'!$B$3:$B$500)-2),COLUMN('[1]реестр просрочников'!G136)),1),"")</f>
        <v>Дней на просрочке Меньше или равно "95" И</v>
      </c>
      <c r="H136" t="str">
        <f t="array" ref="H136">IFERROR(INDEX('[1]реестр просрочников'!$B$3:$B$500,SMALL(IF(ЭКВАЙРИНГ!$D130='[1]реестр просрочников'!$A$3:$A$500,ROW('[1]реестр просрочников'!$B$3:$B$500)-2),COLUMN('[1]реестр просрочников'!H136)),1),"")</f>
        <v>Актуальный займ.Договор.Дата передачи в КО (Договоры) Не заполнено</v>
      </c>
      <c r="I136">
        <f t="array" ref="I136">IFERROR(INDEX('[1]реестр просрочников'!$B$3:$B$500,SMALL(IF(ЭКВАЙРИНГ!$D130='[1]реестр просрочников'!$A$3:$A$500,ROW('[1]реестр просрочников'!$B$3:$B$500)-2),COLUMN('[1]реестр просрочников'!I136)),1),"")</f>
        <v>0</v>
      </c>
      <c r="K136" t="str">
        <f>IFERROR(VLOOKUP(ЭКВАЙРИНГ!A130,'[1]реестр просрочников'!$B:$C,2,0),"")</f>
        <v/>
      </c>
    </row>
    <row r="137" spans="4:11" x14ac:dyDescent="0.25">
      <c r="D137" t="str">
        <f t="array" ref="D137">IFERROR(INDEX('[1]реестр просрочников'!$B$3:$B$500,SMALL(IF(ЭКВАЙРИНГ!$D131='[1]реестр просрочников'!$A$3:$A$500,ROW('[1]реестр просрочников'!$B$3:$B$500)-2),COLUMN('[1]реестр просрочников'!D137)),1),"")</f>
        <v>Диапазоны сроков возврата займов: </v>
      </c>
      <c r="E137" t="str">
        <f t="array" ref="E137">IFERROR(INDEX('[1]реестр просрочников'!$B$3:$B$500,SMALL(IF(ЭКВАЙРИНГ!$D131='[1]реестр просрочников'!$A$3:$A$500,ROW('[1]реестр просрочников'!$B$3:$B$500)-2),COLUMN('[1]реестр просрочников'!E137)),1),"")</f>
        <v>( Организация Равно "КА АЭК ООО" ) И</v>
      </c>
      <c r="F137" t="str">
        <f t="array" ref="F137">IFERROR(INDEX('[1]реестр просрочников'!$B$3:$B$500,SMALL(IF(ЭКВАЙРИНГ!$D131='[1]реестр просрочников'!$A$3:$A$500,ROW('[1]реестр просрочников'!$B$3:$B$500)-2),COLUMN('[1]реестр просрочников'!F137)),1),"")</f>
        <v>Заемщик Не в списке "АЭК ООО КА; АТЛАС ООО; ВЗАИМНО ООО; ИРБИС ООО" И</v>
      </c>
      <c r="G137" t="str">
        <f t="array" ref="G137">IFERROR(INDEX('[1]реестр просрочников'!$B$3:$B$500,SMALL(IF(ЭКВАЙРИНГ!$D131='[1]реестр просрочников'!$A$3:$A$500,ROW('[1]реестр просрочников'!$B$3:$B$500)-2),COLUMN('[1]реестр просрочников'!G137)),1),"")</f>
        <v>Дней на просрочке Меньше или равно "95" И</v>
      </c>
      <c r="H137" t="str">
        <f t="array" ref="H137">IFERROR(INDEX('[1]реестр просрочников'!$B$3:$B$500,SMALL(IF(ЭКВАЙРИНГ!$D131='[1]реестр просрочников'!$A$3:$A$500,ROW('[1]реестр просрочников'!$B$3:$B$500)-2),COLUMN('[1]реестр просрочников'!H137)),1),"")</f>
        <v>Актуальный займ.Договор.Дата передачи в КО (Договоры) Не заполнено</v>
      </c>
      <c r="I137">
        <f t="array" ref="I137">IFERROR(INDEX('[1]реестр просрочников'!$B$3:$B$500,SMALL(IF(ЭКВАЙРИНГ!$D131='[1]реестр просрочников'!$A$3:$A$500,ROW('[1]реестр просрочников'!$B$3:$B$500)-2),COLUMN('[1]реестр просрочников'!I137)),1),"")</f>
        <v>0</v>
      </c>
      <c r="K137" t="str">
        <f>IFERROR(VLOOKUP(ЭКВАЙРИНГ!A131,'[1]реестр просрочников'!$B:$C,2,0),"")</f>
        <v/>
      </c>
    </row>
    <row r="138" spans="4:11" x14ac:dyDescent="0.25">
      <c r="D138" t="str">
        <f t="array" ref="D138">IFERROR(INDEX('[1]реестр просрочников'!$B$3:$B$500,SMALL(IF(ЭКВАЙРИНГ!$D132='[1]реестр просрочников'!$A$3:$A$500,ROW('[1]реестр просрочников'!$B$3:$B$500)-2),COLUMN('[1]реестр просрочников'!D138)),1),"")</f>
        <v>Диапазоны сроков возврата займов: </v>
      </c>
      <c r="E138" t="str">
        <f t="array" ref="E138">IFERROR(INDEX('[1]реестр просрочников'!$B$3:$B$500,SMALL(IF(ЭКВАЙРИНГ!$D132='[1]реестр просрочников'!$A$3:$A$500,ROW('[1]реестр просрочников'!$B$3:$B$500)-2),COLUMN('[1]реестр просрочников'!E138)),1),"")</f>
        <v>( Организация Равно "КА АЭК ООО" ) И</v>
      </c>
      <c r="F138" t="str">
        <f t="array" ref="F138">IFERROR(INDEX('[1]реестр просрочников'!$B$3:$B$500,SMALL(IF(ЭКВАЙРИНГ!$D132='[1]реестр просрочников'!$A$3:$A$500,ROW('[1]реестр просрочников'!$B$3:$B$500)-2),COLUMN('[1]реестр просрочников'!F138)),1),"")</f>
        <v>Заемщик Не в списке "АЭК ООО КА; АТЛАС ООО; ВЗАИМНО ООО; ИРБИС ООО" И</v>
      </c>
      <c r="G138" t="str">
        <f t="array" ref="G138">IFERROR(INDEX('[1]реестр просрочников'!$B$3:$B$500,SMALL(IF(ЭКВАЙРИНГ!$D132='[1]реестр просрочников'!$A$3:$A$500,ROW('[1]реестр просрочников'!$B$3:$B$500)-2),COLUMN('[1]реестр просрочников'!G138)),1),"")</f>
        <v>Дней на просрочке Меньше или равно "95" И</v>
      </c>
      <c r="H138" t="str">
        <f t="array" ref="H138">IFERROR(INDEX('[1]реестр просрочников'!$B$3:$B$500,SMALL(IF(ЭКВАЙРИНГ!$D132='[1]реестр просрочников'!$A$3:$A$500,ROW('[1]реестр просрочников'!$B$3:$B$500)-2),COLUMN('[1]реестр просрочников'!H138)),1),"")</f>
        <v>Актуальный займ.Договор.Дата передачи в КО (Договоры) Не заполнено</v>
      </c>
      <c r="I138">
        <f t="array" ref="I138">IFERROR(INDEX('[1]реестр просрочников'!$B$3:$B$500,SMALL(IF(ЭКВАЙРИНГ!$D132='[1]реестр просрочников'!$A$3:$A$500,ROW('[1]реестр просрочников'!$B$3:$B$500)-2),COLUMN('[1]реестр просрочников'!I138)),1),"")</f>
        <v>0</v>
      </c>
      <c r="K138" t="str">
        <f>IFERROR(VLOOKUP(ЭКВАЙРИНГ!A132,'[1]реестр просрочников'!$B:$C,2,0),"")</f>
        <v/>
      </c>
    </row>
    <row r="139" spans="4:11" x14ac:dyDescent="0.25">
      <c r="D139" t="str">
        <f t="array" ref="D139">IFERROR(INDEX('[1]реестр просрочников'!$B$3:$B$500,SMALL(IF(ЭКВАЙРИНГ!$D133='[1]реестр просрочников'!$A$3:$A$500,ROW('[1]реестр просрочников'!$B$3:$B$500)-2),COLUMN('[1]реестр просрочников'!D139)),1),"")</f>
        <v>Диапазоны сроков возврата займов: </v>
      </c>
      <c r="E139" t="str">
        <f t="array" ref="E139">IFERROR(INDEX('[1]реестр просрочников'!$B$3:$B$500,SMALL(IF(ЭКВАЙРИНГ!$D133='[1]реестр просрочников'!$A$3:$A$500,ROW('[1]реестр просрочников'!$B$3:$B$500)-2),COLUMN('[1]реестр просрочников'!E139)),1),"")</f>
        <v>( Организация Равно "КА АЭК ООО" ) И</v>
      </c>
      <c r="F139" t="str">
        <f t="array" ref="F139">IFERROR(INDEX('[1]реестр просрочников'!$B$3:$B$500,SMALL(IF(ЭКВАЙРИНГ!$D133='[1]реестр просрочников'!$A$3:$A$500,ROW('[1]реестр просрочников'!$B$3:$B$500)-2),COLUMN('[1]реестр просрочников'!F139)),1),"")</f>
        <v>Заемщик Не в списке "АЭК ООО КА; АТЛАС ООО; ВЗАИМНО ООО; ИРБИС ООО" И</v>
      </c>
      <c r="G139" t="str">
        <f t="array" ref="G139">IFERROR(INDEX('[1]реестр просрочников'!$B$3:$B$500,SMALL(IF(ЭКВАЙРИНГ!$D133='[1]реестр просрочников'!$A$3:$A$500,ROW('[1]реестр просрочников'!$B$3:$B$500)-2),COLUMN('[1]реестр просрочников'!G139)),1),"")</f>
        <v>Дней на просрочке Меньше или равно "95" И</v>
      </c>
      <c r="H139" t="str">
        <f t="array" ref="H139">IFERROR(INDEX('[1]реестр просрочников'!$B$3:$B$500,SMALL(IF(ЭКВАЙРИНГ!$D133='[1]реестр просрочников'!$A$3:$A$500,ROW('[1]реестр просрочников'!$B$3:$B$500)-2),COLUMN('[1]реестр просрочников'!H139)),1),"")</f>
        <v>Актуальный займ.Договор.Дата передачи в КО (Договоры) Не заполнено</v>
      </c>
      <c r="I139">
        <f t="array" ref="I139">IFERROR(INDEX('[1]реестр просрочников'!$B$3:$B$500,SMALL(IF(ЭКВАЙРИНГ!$D133='[1]реестр просрочников'!$A$3:$A$500,ROW('[1]реестр просрочников'!$B$3:$B$500)-2),COLUMN('[1]реестр просрочников'!I139)),1),"")</f>
        <v>0</v>
      </c>
      <c r="K139" t="str">
        <f>IFERROR(VLOOKUP(ЭКВАЙРИНГ!A133,'[1]реестр просрочников'!$B:$C,2,0),"")</f>
        <v/>
      </c>
    </row>
    <row r="140" spans="4:11" x14ac:dyDescent="0.25">
      <c r="D140" t="str">
        <f t="array" ref="D140">IFERROR(INDEX('[1]реестр просрочников'!$B$3:$B$500,SMALL(IF(ЭКВАЙРИНГ!$D134='[1]реестр просрочников'!$A$3:$A$500,ROW('[1]реестр просрочников'!$B$3:$B$500)-2),COLUMN('[1]реестр просрочников'!D140)),1),"")</f>
        <v>Диапазоны сроков возврата займов: </v>
      </c>
      <c r="E140" t="str">
        <f t="array" ref="E140">IFERROR(INDEX('[1]реестр просрочников'!$B$3:$B$500,SMALL(IF(ЭКВАЙРИНГ!$D134='[1]реестр просрочников'!$A$3:$A$500,ROW('[1]реестр просрочников'!$B$3:$B$500)-2),COLUMN('[1]реестр просрочников'!E140)),1),"")</f>
        <v>( Организация Равно "КА АЭК ООО" ) И</v>
      </c>
      <c r="F140" t="str">
        <f t="array" ref="F140">IFERROR(INDEX('[1]реестр просрочников'!$B$3:$B$500,SMALL(IF(ЭКВАЙРИНГ!$D134='[1]реестр просрочников'!$A$3:$A$500,ROW('[1]реестр просрочников'!$B$3:$B$500)-2),COLUMN('[1]реестр просрочников'!F140)),1),"")</f>
        <v>Заемщик Не в списке "АЭК ООО КА; АТЛАС ООО; ВЗАИМНО ООО; ИРБИС ООО" И</v>
      </c>
      <c r="G140" t="str">
        <f t="array" ref="G140">IFERROR(INDEX('[1]реестр просрочников'!$B$3:$B$500,SMALL(IF(ЭКВАЙРИНГ!$D134='[1]реестр просрочников'!$A$3:$A$500,ROW('[1]реестр просрочников'!$B$3:$B$500)-2),COLUMN('[1]реестр просрочников'!G140)),1),"")</f>
        <v>Дней на просрочке Меньше или равно "95" И</v>
      </c>
      <c r="H140" t="str">
        <f t="array" ref="H140">IFERROR(INDEX('[1]реестр просрочников'!$B$3:$B$500,SMALL(IF(ЭКВАЙРИНГ!$D134='[1]реестр просрочников'!$A$3:$A$500,ROW('[1]реестр просрочников'!$B$3:$B$500)-2),COLUMN('[1]реестр просрочников'!H140)),1),"")</f>
        <v>Актуальный займ.Договор.Дата передачи в КО (Договоры) Не заполнено</v>
      </c>
      <c r="I140">
        <f t="array" ref="I140">IFERROR(INDEX('[1]реестр просрочников'!$B$3:$B$500,SMALL(IF(ЭКВАЙРИНГ!$D134='[1]реестр просрочников'!$A$3:$A$500,ROW('[1]реестр просрочников'!$B$3:$B$500)-2),COLUMN('[1]реестр просрочников'!I140)),1),"")</f>
        <v>0</v>
      </c>
      <c r="K140" t="str">
        <f>IFERROR(VLOOKUP(ЭКВАЙРИНГ!A134,'[1]реестр просрочников'!$B:$C,2,0),"")</f>
        <v/>
      </c>
    </row>
    <row r="141" spans="4:11" x14ac:dyDescent="0.25">
      <c r="D141" t="str">
        <f t="array" ref="D141">IFERROR(INDEX('[1]реестр просрочников'!$B$3:$B$500,SMALL(IF(ЭКВАЙРИНГ!$D135='[1]реестр просрочников'!$A$3:$A$500,ROW('[1]реестр просрочников'!$B$3:$B$500)-2),COLUMN('[1]реестр просрочников'!D141)),1),"")</f>
        <v>Диапазоны сроков возврата займов: </v>
      </c>
      <c r="E141" t="str">
        <f t="array" ref="E141">IFERROR(INDEX('[1]реестр просрочников'!$B$3:$B$500,SMALL(IF(ЭКВАЙРИНГ!$D135='[1]реестр просрочников'!$A$3:$A$500,ROW('[1]реестр просрочников'!$B$3:$B$500)-2),COLUMN('[1]реестр просрочников'!E141)),1),"")</f>
        <v>( Организация Равно "КА АЭК ООО" ) И</v>
      </c>
      <c r="F141" t="str">
        <f t="array" ref="F141">IFERROR(INDEX('[1]реестр просрочников'!$B$3:$B$500,SMALL(IF(ЭКВАЙРИНГ!$D135='[1]реестр просрочников'!$A$3:$A$500,ROW('[1]реестр просрочников'!$B$3:$B$500)-2),COLUMN('[1]реестр просрочников'!F141)),1),"")</f>
        <v>Заемщик Не в списке "АЭК ООО КА; АТЛАС ООО; ВЗАИМНО ООО; ИРБИС ООО" И</v>
      </c>
      <c r="G141" t="str">
        <f t="array" ref="G141">IFERROR(INDEX('[1]реестр просрочников'!$B$3:$B$500,SMALL(IF(ЭКВАЙРИНГ!$D135='[1]реестр просрочников'!$A$3:$A$500,ROW('[1]реестр просрочников'!$B$3:$B$500)-2),COLUMN('[1]реестр просрочников'!G141)),1),"")</f>
        <v>Дней на просрочке Меньше или равно "95" И</v>
      </c>
      <c r="H141" t="str">
        <f t="array" ref="H141">IFERROR(INDEX('[1]реестр просрочников'!$B$3:$B$500,SMALL(IF(ЭКВАЙРИНГ!$D135='[1]реестр просрочников'!$A$3:$A$500,ROW('[1]реестр просрочников'!$B$3:$B$500)-2),COLUMN('[1]реестр просрочников'!H141)),1),"")</f>
        <v>Актуальный займ.Договор.Дата передачи в КО (Договоры) Не заполнено</v>
      </c>
      <c r="I141">
        <f t="array" ref="I141">IFERROR(INDEX('[1]реестр просрочников'!$B$3:$B$500,SMALL(IF(ЭКВАЙРИНГ!$D135='[1]реестр просрочников'!$A$3:$A$500,ROW('[1]реестр просрочников'!$B$3:$B$500)-2),COLUMN('[1]реестр просрочников'!I141)),1),"")</f>
        <v>0</v>
      </c>
      <c r="K141" t="str">
        <f>IFERROR(VLOOKUP(ЭКВАЙРИНГ!A135,'[1]реестр просрочников'!$B:$C,2,0),"")</f>
        <v/>
      </c>
    </row>
    <row r="142" spans="4:11" x14ac:dyDescent="0.25">
      <c r="D142" t="str">
        <f t="array" ref="D142">IFERROR(INDEX('[1]реестр просрочников'!$B$3:$B$500,SMALL(IF(ЭКВАЙРИНГ!$D136='[1]реестр просрочников'!$A$3:$A$500,ROW('[1]реестр просрочников'!$B$3:$B$500)-2),COLUMN('[1]реестр просрочников'!D142)),1),"")</f>
        <v>Диапазоны сроков возврата займов: </v>
      </c>
      <c r="E142" t="str">
        <f t="array" ref="E142">IFERROR(INDEX('[1]реестр просрочников'!$B$3:$B$500,SMALL(IF(ЭКВАЙРИНГ!$D136='[1]реестр просрочников'!$A$3:$A$500,ROW('[1]реестр просрочников'!$B$3:$B$500)-2),COLUMN('[1]реестр просрочников'!E142)),1),"")</f>
        <v>( Организация Равно "КА АЭК ООО" ) И</v>
      </c>
      <c r="F142" t="str">
        <f t="array" ref="F142">IFERROR(INDEX('[1]реестр просрочников'!$B$3:$B$500,SMALL(IF(ЭКВАЙРИНГ!$D136='[1]реестр просрочников'!$A$3:$A$500,ROW('[1]реестр просрочников'!$B$3:$B$500)-2),COLUMN('[1]реестр просрочников'!F142)),1),"")</f>
        <v>Заемщик Не в списке "АЭК ООО КА; АТЛАС ООО; ВЗАИМНО ООО; ИРБИС ООО" И</v>
      </c>
      <c r="G142" t="str">
        <f t="array" ref="G142">IFERROR(INDEX('[1]реестр просрочников'!$B$3:$B$500,SMALL(IF(ЭКВАЙРИНГ!$D136='[1]реестр просрочников'!$A$3:$A$500,ROW('[1]реестр просрочников'!$B$3:$B$500)-2),COLUMN('[1]реестр просрочников'!G142)),1),"")</f>
        <v>Дней на просрочке Меньше или равно "95" И</v>
      </c>
      <c r="H142" t="str">
        <f t="array" ref="H142">IFERROR(INDEX('[1]реестр просрочников'!$B$3:$B$500,SMALL(IF(ЭКВАЙРИНГ!$D136='[1]реестр просрочников'!$A$3:$A$500,ROW('[1]реестр просрочников'!$B$3:$B$500)-2),COLUMN('[1]реестр просрочников'!H142)),1),"")</f>
        <v>Актуальный займ.Договор.Дата передачи в КО (Договоры) Не заполнено</v>
      </c>
      <c r="I142">
        <f t="array" ref="I142">IFERROR(INDEX('[1]реестр просрочников'!$B$3:$B$500,SMALL(IF(ЭКВАЙРИНГ!$D136='[1]реестр просрочников'!$A$3:$A$500,ROW('[1]реестр просрочников'!$B$3:$B$500)-2),COLUMN('[1]реестр просрочников'!I142)),1),"")</f>
        <v>0</v>
      </c>
      <c r="K142" t="str">
        <f>IFERROR(VLOOKUP(ЭКВАЙРИНГ!A136,'[1]реестр просрочников'!$B:$C,2,0),"")</f>
        <v/>
      </c>
    </row>
    <row r="143" spans="4:11" x14ac:dyDescent="0.25">
      <c r="D143" t="str">
        <f t="array" ref="D143">IFERROR(INDEX('[1]реестр просрочников'!$B$3:$B$500,SMALL(IF(ЭКВАЙРИНГ!$D137='[1]реестр просрочников'!$A$3:$A$500,ROW('[1]реестр просрочников'!$B$3:$B$500)-2),COLUMN('[1]реестр просрочников'!D143)),1),"")</f>
        <v>Диапазоны сроков возврата займов: </v>
      </c>
      <c r="E143" t="str">
        <f t="array" ref="E143">IFERROR(INDEX('[1]реестр просрочников'!$B$3:$B$500,SMALL(IF(ЭКВАЙРИНГ!$D137='[1]реестр просрочников'!$A$3:$A$500,ROW('[1]реестр просрочников'!$B$3:$B$500)-2),COLUMN('[1]реестр просрочников'!E143)),1),"")</f>
        <v>( Организация Равно "КА АЭК ООО" ) И</v>
      </c>
      <c r="F143" t="str">
        <f t="array" ref="F143">IFERROR(INDEX('[1]реестр просрочников'!$B$3:$B$500,SMALL(IF(ЭКВАЙРИНГ!$D137='[1]реестр просрочников'!$A$3:$A$500,ROW('[1]реестр просрочников'!$B$3:$B$500)-2),COLUMN('[1]реестр просрочников'!F143)),1),"")</f>
        <v>Заемщик Не в списке "АЭК ООО КА; АТЛАС ООО; ВЗАИМНО ООО; ИРБИС ООО" И</v>
      </c>
      <c r="G143" t="str">
        <f t="array" ref="G143">IFERROR(INDEX('[1]реестр просрочников'!$B$3:$B$500,SMALL(IF(ЭКВАЙРИНГ!$D137='[1]реестр просрочников'!$A$3:$A$500,ROW('[1]реестр просрочников'!$B$3:$B$500)-2),COLUMN('[1]реестр просрочников'!G143)),1),"")</f>
        <v>Дней на просрочке Меньше или равно "95" И</v>
      </c>
      <c r="H143" t="str">
        <f t="array" ref="H143">IFERROR(INDEX('[1]реестр просрочников'!$B$3:$B$500,SMALL(IF(ЭКВАЙРИНГ!$D137='[1]реестр просрочников'!$A$3:$A$500,ROW('[1]реестр просрочников'!$B$3:$B$500)-2),COLUMN('[1]реестр просрочников'!H143)),1),"")</f>
        <v>Актуальный займ.Договор.Дата передачи в КО (Договоры) Не заполнено</v>
      </c>
      <c r="I143">
        <f t="array" ref="I143">IFERROR(INDEX('[1]реестр просрочников'!$B$3:$B$500,SMALL(IF(ЭКВАЙРИНГ!$D137='[1]реестр просрочников'!$A$3:$A$500,ROW('[1]реестр просрочников'!$B$3:$B$500)-2),COLUMN('[1]реестр просрочников'!I143)),1),"")</f>
        <v>0</v>
      </c>
      <c r="K143" t="str">
        <f>IFERROR(VLOOKUP(ЭКВАЙРИНГ!A137,'[1]реестр просрочников'!$B:$C,2,0),"")</f>
        <v/>
      </c>
    </row>
    <row r="144" spans="4:11" x14ac:dyDescent="0.25">
      <c r="D144" t="str">
        <f t="array" ref="D144">IFERROR(INDEX('[1]реестр просрочников'!$B$3:$B$500,SMALL(IF(ЭКВАЙРИНГ!$D138='[1]реестр просрочников'!$A$3:$A$500,ROW('[1]реестр просрочников'!$B$3:$B$500)-2),COLUMN('[1]реестр просрочников'!D144)),1),"")</f>
        <v>Диапазоны сроков возврата займов: </v>
      </c>
      <c r="E144" t="str">
        <f t="array" ref="E144">IFERROR(INDEX('[1]реестр просрочников'!$B$3:$B$500,SMALL(IF(ЭКВАЙРИНГ!$D138='[1]реестр просрочников'!$A$3:$A$500,ROW('[1]реестр просрочников'!$B$3:$B$500)-2),COLUMN('[1]реестр просрочников'!E144)),1),"")</f>
        <v>( Организация Равно "КА АЭК ООО" ) И</v>
      </c>
      <c r="F144" t="str">
        <f t="array" ref="F144">IFERROR(INDEX('[1]реестр просрочников'!$B$3:$B$500,SMALL(IF(ЭКВАЙРИНГ!$D138='[1]реестр просрочников'!$A$3:$A$500,ROW('[1]реестр просрочников'!$B$3:$B$500)-2),COLUMN('[1]реестр просрочников'!F144)),1),"")</f>
        <v>Заемщик Не в списке "АЭК ООО КА; АТЛАС ООО; ВЗАИМНО ООО; ИРБИС ООО" И</v>
      </c>
      <c r="G144" t="str">
        <f t="array" ref="G144">IFERROR(INDEX('[1]реестр просрочников'!$B$3:$B$500,SMALL(IF(ЭКВАЙРИНГ!$D138='[1]реестр просрочников'!$A$3:$A$500,ROW('[1]реестр просрочников'!$B$3:$B$500)-2),COLUMN('[1]реестр просрочников'!G144)),1),"")</f>
        <v>Дней на просрочке Меньше или равно "95" И</v>
      </c>
      <c r="H144" t="str">
        <f t="array" ref="H144">IFERROR(INDEX('[1]реестр просрочников'!$B$3:$B$500,SMALL(IF(ЭКВАЙРИНГ!$D138='[1]реестр просрочников'!$A$3:$A$500,ROW('[1]реестр просрочников'!$B$3:$B$500)-2),COLUMN('[1]реестр просрочников'!H144)),1),"")</f>
        <v>Актуальный займ.Договор.Дата передачи в КО (Договоры) Не заполнено</v>
      </c>
      <c r="I144">
        <f t="array" ref="I144">IFERROR(INDEX('[1]реестр просрочников'!$B$3:$B$500,SMALL(IF(ЭКВАЙРИНГ!$D138='[1]реестр просрочников'!$A$3:$A$500,ROW('[1]реестр просрочников'!$B$3:$B$500)-2),COLUMN('[1]реестр просрочников'!I144)),1),"")</f>
        <v>0</v>
      </c>
      <c r="K144" t="str">
        <f>IFERROR(VLOOKUP(ЭКВАЙРИНГ!A138,'[1]реестр просрочников'!$B:$C,2,0),"")</f>
        <v/>
      </c>
    </row>
    <row r="145" spans="1:11" x14ac:dyDescent="0.25">
      <c r="D145" t="str">
        <f t="array" ref="D145">IFERROR(INDEX('[1]реестр просрочников'!$B$3:$B$500,SMALL(IF(ЭКВАЙРИНГ!$D139='[1]реестр просрочников'!$A$3:$A$500,ROW('[1]реестр просрочников'!$B$3:$B$500)-2),COLUMN('[1]реестр просрочников'!D145)),1),"")</f>
        <v>Диапазоны сроков возврата займов: </v>
      </c>
      <c r="E145" t="str">
        <f t="array" ref="E145">IFERROR(INDEX('[1]реестр просрочников'!$B$3:$B$500,SMALL(IF(ЭКВАЙРИНГ!$D139='[1]реестр просрочников'!$A$3:$A$500,ROW('[1]реестр просрочников'!$B$3:$B$500)-2),COLUMN('[1]реестр просрочников'!E145)),1),"")</f>
        <v>( Организация Равно "КА АЭК ООО" ) И</v>
      </c>
      <c r="F145" t="str">
        <f t="array" ref="F145">IFERROR(INDEX('[1]реестр просрочников'!$B$3:$B$500,SMALL(IF(ЭКВАЙРИНГ!$D139='[1]реестр просрочников'!$A$3:$A$500,ROW('[1]реестр просрочников'!$B$3:$B$500)-2),COLUMN('[1]реестр просрочников'!F145)),1),"")</f>
        <v>Заемщик Не в списке "АЭК ООО КА; АТЛАС ООО; ВЗАИМНО ООО; ИРБИС ООО" И</v>
      </c>
      <c r="G145" t="str">
        <f t="array" ref="G145">IFERROR(INDEX('[1]реестр просрочников'!$B$3:$B$500,SMALL(IF(ЭКВАЙРИНГ!$D139='[1]реестр просрочников'!$A$3:$A$500,ROW('[1]реестр просрочников'!$B$3:$B$500)-2),COLUMN('[1]реестр просрочников'!G145)),1),"")</f>
        <v>Дней на просрочке Меньше или равно "95" И</v>
      </c>
      <c r="H145" t="str">
        <f t="array" ref="H145">IFERROR(INDEX('[1]реестр просрочников'!$B$3:$B$500,SMALL(IF(ЭКВАЙРИНГ!$D139='[1]реестр просрочников'!$A$3:$A$500,ROW('[1]реестр просрочников'!$B$3:$B$500)-2),COLUMN('[1]реестр просрочников'!H145)),1),"")</f>
        <v>Актуальный займ.Договор.Дата передачи в КО (Договоры) Не заполнено</v>
      </c>
      <c r="I145">
        <f t="array" ref="I145">IFERROR(INDEX('[1]реестр просрочников'!$B$3:$B$500,SMALL(IF(ЭКВАЙРИНГ!$D139='[1]реестр просрочников'!$A$3:$A$500,ROW('[1]реестр просрочников'!$B$3:$B$500)-2),COLUMN('[1]реестр просрочников'!I145)),1),"")</f>
        <v>0</v>
      </c>
      <c r="K145" t="str">
        <f>IFERROR(VLOOKUP(ЭКВАЙРИНГ!A139,'[1]реестр просрочников'!$B:$C,2,0),"")</f>
        <v/>
      </c>
    </row>
    <row r="146" spans="1:11" x14ac:dyDescent="0.25">
      <c r="D146" t="str">
        <f t="array" ref="D146">IFERROR(INDEX('[1]реестр просрочников'!$B$3:$B$500,SMALL(IF(ЭКВАЙРИНГ!$D140='[1]реестр просрочников'!$A$3:$A$500,ROW('[1]реестр просрочников'!$B$3:$B$500)-2),COLUMN('[1]реестр просрочников'!D146)),1),"")</f>
        <v>Диапазоны сроков возврата займов: </v>
      </c>
      <c r="E146" t="str">
        <f t="array" ref="E146">IFERROR(INDEX('[1]реестр просрочников'!$B$3:$B$500,SMALL(IF(ЭКВАЙРИНГ!$D140='[1]реестр просрочников'!$A$3:$A$500,ROW('[1]реестр просрочников'!$B$3:$B$500)-2),COLUMN('[1]реестр просрочников'!E146)),1),"")</f>
        <v>( Организация Равно "КА АЭК ООО" ) И</v>
      </c>
      <c r="F146" t="str">
        <f t="array" ref="F146">IFERROR(INDEX('[1]реестр просрочников'!$B$3:$B$500,SMALL(IF(ЭКВАЙРИНГ!$D140='[1]реестр просрочников'!$A$3:$A$500,ROW('[1]реестр просрочников'!$B$3:$B$500)-2),COLUMN('[1]реестр просрочников'!F146)),1),"")</f>
        <v>Заемщик Не в списке "АЭК ООО КА; АТЛАС ООО; ВЗАИМНО ООО; ИРБИС ООО" И</v>
      </c>
      <c r="G146" t="str">
        <f t="array" ref="G146">IFERROR(INDEX('[1]реестр просрочников'!$B$3:$B$500,SMALL(IF(ЭКВАЙРИНГ!$D140='[1]реестр просрочников'!$A$3:$A$500,ROW('[1]реестр просрочников'!$B$3:$B$500)-2),COLUMN('[1]реестр просрочников'!G146)),1),"")</f>
        <v>Дней на просрочке Меньше или равно "95" И</v>
      </c>
      <c r="H146" t="str">
        <f t="array" ref="H146">IFERROR(INDEX('[1]реестр просрочников'!$B$3:$B$500,SMALL(IF(ЭКВАЙРИНГ!$D140='[1]реестр просрочников'!$A$3:$A$500,ROW('[1]реестр просрочников'!$B$3:$B$500)-2),COLUMN('[1]реестр просрочников'!H146)),1),"")</f>
        <v>Актуальный займ.Договор.Дата передачи в КО (Договоры) Не заполнено</v>
      </c>
      <c r="I146">
        <f t="array" ref="I146">IFERROR(INDEX('[1]реестр просрочников'!$B$3:$B$500,SMALL(IF(ЭКВАЙРИНГ!$D140='[1]реестр просрочников'!$A$3:$A$500,ROW('[1]реестр просрочников'!$B$3:$B$500)-2),COLUMN('[1]реестр просрочников'!I146)),1),"")</f>
        <v>0</v>
      </c>
      <c r="K146" t="str">
        <f>IFERROR(VLOOKUP(ЭКВАЙРИНГ!A140,'[1]реестр просрочников'!$B:$C,2,0),"")</f>
        <v/>
      </c>
    </row>
    <row r="147" spans="1:11" x14ac:dyDescent="0.25">
      <c r="D147" t="str">
        <f t="array" ref="D147">IFERROR(INDEX('[1]реестр просрочников'!$B$3:$B$500,SMALL(IF(ЭКВАЙРИНГ!$D141='[1]реестр просрочников'!$A$3:$A$500,ROW('[1]реестр просрочников'!$B$3:$B$500)-2),COLUMN('[1]реестр просрочников'!D147)),1),"")</f>
        <v>Диапазоны сроков возврата займов: </v>
      </c>
      <c r="E147" t="str">
        <f t="array" ref="E147">IFERROR(INDEX('[1]реестр просрочников'!$B$3:$B$500,SMALL(IF(ЭКВАЙРИНГ!$D141='[1]реестр просрочников'!$A$3:$A$500,ROW('[1]реестр просрочников'!$B$3:$B$500)-2),COLUMN('[1]реестр просрочников'!E147)),1),"")</f>
        <v>( Организация Равно "КА АЭК ООО" ) И</v>
      </c>
      <c r="F147" t="str">
        <f t="array" ref="F147">IFERROR(INDEX('[1]реестр просрочников'!$B$3:$B$500,SMALL(IF(ЭКВАЙРИНГ!$D141='[1]реестр просрочников'!$A$3:$A$500,ROW('[1]реестр просрочников'!$B$3:$B$500)-2),COLUMN('[1]реестр просрочников'!F147)),1),"")</f>
        <v>Заемщик Не в списке "АЭК ООО КА; АТЛАС ООО; ВЗАИМНО ООО; ИРБИС ООО" И</v>
      </c>
      <c r="G147" t="str">
        <f t="array" ref="G147">IFERROR(INDEX('[1]реестр просрочников'!$B$3:$B$500,SMALL(IF(ЭКВАЙРИНГ!$D141='[1]реестр просрочников'!$A$3:$A$500,ROW('[1]реестр просрочников'!$B$3:$B$500)-2),COLUMN('[1]реестр просрочников'!G147)),1),"")</f>
        <v>Дней на просрочке Меньше или равно "95" И</v>
      </c>
      <c r="H147" t="str">
        <f t="array" ref="H147">IFERROR(INDEX('[1]реестр просрочников'!$B$3:$B$500,SMALL(IF(ЭКВАЙРИНГ!$D141='[1]реестр просрочников'!$A$3:$A$500,ROW('[1]реестр просрочников'!$B$3:$B$500)-2),COLUMN('[1]реестр просрочников'!H147)),1),"")</f>
        <v>Актуальный займ.Договор.Дата передачи в КО (Договоры) Не заполнено</v>
      </c>
      <c r="I147">
        <f t="array" ref="I147">IFERROR(INDEX('[1]реестр просрочников'!$B$3:$B$500,SMALL(IF(ЭКВАЙРИНГ!$D141='[1]реестр просрочников'!$A$3:$A$500,ROW('[1]реестр просрочников'!$B$3:$B$500)-2),COLUMN('[1]реестр просрочников'!I147)),1),"")</f>
        <v>0</v>
      </c>
      <c r="K147" t="str">
        <f>IFERROR(VLOOKUP(ЭКВАЙРИНГ!A141,'[1]реестр просрочников'!$B:$C,2,0),"")</f>
        <v/>
      </c>
    </row>
    <row r="148" spans="1:11" x14ac:dyDescent="0.25">
      <c r="D148" t="str">
        <f t="array" ref="D148">IFERROR(INDEX('[1]реестр просрочников'!$B$3:$B$500,SMALL(IF(ЭКВАЙРИНГ!$D142='[1]реестр просрочников'!$A$3:$A$500,ROW('[1]реестр просрочников'!$B$3:$B$500)-2),COLUMN('[1]реестр просрочников'!D148)),1),"")</f>
        <v>Диапазоны сроков возврата займов: </v>
      </c>
      <c r="E148" t="str">
        <f t="array" ref="E148">IFERROR(INDEX('[1]реестр просрочников'!$B$3:$B$500,SMALL(IF(ЭКВАЙРИНГ!$D142='[1]реестр просрочников'!$A$3:$A$500,ROW('[1]реестр просрочников'!$B$3:$B$500)-2),COLUMN('[1]реестр просрочников'!E148)),1),"")</f>
        <v>( Организация Равно "КА АЭК ООО" ) И</v>
      </c>
      <c r="F148" t="str">
        <f t="array" ref="F148">IFERROR(INDEX('[1]реестр просрочников'!$B$3:$B$500,SMALL(IF(ЭКВАЙРИНГ!$D142='[1]реестр просрочников'!$A$3:$A$500,ROW('[1]реестр просрочников'!$B$3:$B$500)-2),COLUMN('[1]реестр просрочников'!F148)),1),"")</f>
        <v>Заемщик Не в списке "АЭК ООО КА; АТЛАС ООО; ВЗАИМНО ООО; ИРБИС ООО" И</v>
      </c>
      <c r="G148" t="str">
        <f t="array" ref="G148">IFERROR(INDEX('[1]реестр просрочников'!$B$3:$B$500,SMALL(IF(ЭКВАЙРИНГ!$D142='[1]реестр просрочников'!$A$3:$A$500,ROW('[1]реестр просрочников'!$B$3:$B$500)-2),COLUMN('[1]реестр просрочников'!G148)),1),"")</f>
        <v>Дней на просрочке Меньше или равно "95" И</v>
      </c>
      <c r="H148" t="str">
        <f t="array" ref="H148">IFERROR(INDEX('[1]реестр просрочников'!$B$3:$B$500,SMALL(IF(ЭКВАЙРИНГ!$D142='[1]реестр просрочников'!$A$3:$A$500,ROW('[1]реестр просрочников'!$B$3:$B$500)-2),COLUMN('[1]реестр просрочников'!H148)),1),"")</f>
        <v>Актуальный займ.Договор.Дата передачи в КО (Договоры) Не заполнено</v>
      </c>
      <c r="I148">
        <f t="array" ref="I148">IFERROR(INDEX('[1]реестр просрочников'!$B$3:$B$500,SMALL(IF(ЭКВАЙРИНГ!$D142='[1]реестр просрочников'!$A$3:$A$500,ROW('[1]реестр просрочников'!$B$3:$B$500)-2),COLUMN('[1]реестр просрочников'!I148)),1),"")</f>
        <v>0</v>
      </c>
      <c r="K148" t="str">
        <f>IFERROR(VLOOKUP(ЭКВАЙРИНГ!A142,'[1]реестр просрочников'!$B:$C,2,0),"")</f>
        <v/>
      </c>
    </row>
    <row r="149" spans="1:11" x14ac:dyDescent="0.25">
      <c r="D149" t="str">
        <f t="array" ref="D149">IFERROR(INDEX('[1]реестр просрочников'!$B$3:$B$500,SMALL(IF(ЭКВАЙРИНГ!$D143='[1]реестр просрочников'!$A$3:$A$500,ROW('[1]реестр просрочников'!$B$3:$B$500)-2),COLUMN('[1]реестр просрочников'!D149)),1),"")</f>
        <v>Диапазоны сроков возврата займов: </v>
      </c>
      <c r="E149" t="str">
        <f t="array" ref="E149">IFERROR(INDEX('[1]реестр просрочников'!$B$3:$B$500,SMALL(IF(ЭКВАЙРИНГ!$D143='[1]реестр просрочников'!$A$3:$A$500,ROW('[1]реестр просрочников'!$B$3:$B$500)-2),COLUMN('[1]реестр просрочников'!E149)),1),"")</f>
        <v>( Организация Равно "КА АЭК ООО" ) И</v>
      </c>
      <c r="F149" t="str">
        <f t="array" ref="F149">IFERROR(INDEX('[1]реестр просрочников'!$B$3:$B$500,SMALL(IF(ЭКВАЙРИНГ!$D143='[1]реестр просрочников'!$A$3:$A$500,ROW('[1]реестр просрочников'!$B$3:$B$500)-2),COLUMN('[1]реестр просрочников'!F149)),1),"")</f>
        <v>Заемщик Не в списке "АЭК ООО КА; АТЛАС ООО; ВЗАИМНО ООО; ИРБИС ООО" И</v>
      </c>
      <c r="G149" t="str">
        <f t="array" ref="G149">IFERROR(INDEX('[1]реестр просрочников'!$B$3:$B$500,SMALL(IF(ЭКВАЙРИНГ!$D143='[1]реестр просрочников'!$A$3:$A$500,ROW('[1]реестр просрочников'!$B$3:$B$500)-2),COLUMN('[1]реестр просрочников'!G149)),1),"")</f>
        <v>Дней на просрочке Меньше или равно "95" И</v>
      </c>
      <c r="H149" t="str">
        <f t="array" ref="H149">IFERROR(INDEX('[1]реестр просрочников'!$B$3:$B$500,SMALL(IF(ЭКВАЙРИНГ!$D143='[1]реестр просрочников'!$A$3:$A$500,ROW('[1]реестр просрочников'!$B$3:$B$500)-2),COLUMN('[1]реестр просрочников'!H149)),1),"")</f>
        <v>Актуальный займ.Договор.Дата передачи в КО (Договоры) Не заполнено</v>
      </c>
      <c r="I149">
        <f t="array" ref="I149">IFERROR(INDEX('[1]реестр просрочников'!$B$3:$B$500,SMALL(IF(ЭКВАЙРИНГ!$D143='[1]реестр просрочников'!$A$3:$A$500,ROW('[1]реестр просрочников'!$B$3:$B$500)-2),COLUMN('[1]реестр просрочников'!I149)),1),"")</f>
        <v>0</v>
      </c>
      <c r="K149" t="str">
        <f>IFERROR(VLOOKUP(ЭКВАЙРИНГ!A143,'[1]реестр просрочников'!$B:$C,2,0),"")</f>
        <v/>
      </c>
    </row>
    <row r="150" spans="1:11" x14ac:dyDescent="0.25">
      <c r="D150" t="str">
        <f t="array" ref="D150">IFERROR(INDEX('[1]реестр просрочников'!$B$3:$B$500,SMALL(IF(ЭКВАЙРИНГ!$D144='[1]реестр просрочников'!$A$3:$A$500,ROW('[1]реестр просрочников'!$B$3:$B$500)-2),COLUMN('[1]реестр просрочников'!D150)),1),"")</f>
        <v>Диапазоны сроков возврата займов: </v>
      </c>
      <c r="E150" t="str">
        <f t="array" ref="E150">IFERROR(INDEX('[1]реестр просрочников'!$B$3:$B$500,SMALL(IF(ЭКВАЙРИНГ!$D144='[1]реестр просрочников'!$A$3:$A$500,ROW('[1]реестр просрочников'!$B$3:$B$500)-2),COLUMN('[1]реестр просрочников'!E150)),1),"")</f>
        <v>( Организация Равно "КА АЭК ООО" ) И</v>
      </c>
      <c r="F150" t="str">
        <f t="array" ref="F150">IFERROR(INDEX('[1]реестр просрочников'!$B$3:$B$500,SMALL(IF(ЭКВАЙРИНГ!$D144='[1]реестр просрочников'!$A$3:$A$500,ROW('[1]реестр просрочников'!$B$3:$B$500)-2),COLUMN('[1]реестр просрочников'!F150)),1),"")</f>
        <v>Заемщик Не в списке "АЭК ООО КА; АТЛАС ООО; ВЗАИМНО ООО; ИРБИС ООО" И</v>
      </c>
      <c r="G150" t="str">
        <f t="array" ref="G150">IFERROR(INDEX('[1]реестр просрочников'!$B$3:$B$500,SMALL(IF(ЭКВАЙРИНГ!$D144='[1]реестр просрочников'!$A$3:$A$500,ROW('[1]реестр просрочников'!$B$3:$B$500)-2),COLUMN('[1]реестр просрочников'!G150)),1),"")</f>
        <v>Дней на просрочке Меньше или равно "95" И</v>
      </c>
      <c r="H150" t="str">
        <f t="array" ref="H150">IFERROR(INDEX('[1]реестр просрочников'!$B$3:$B$500,SMALL(IF(ЭКВАЙРИНГ!$D144='[1]реестр просрочников'!$A$3:$A$500,ROW('[1]реестр просрочников'!$B$3:$B$500)-2),COLUMN('[1]реестр просрочников'!H150)),1),"")</f>
        <v>Актуальный займ.Договор.Дата передачи в КО (Договоры) Не заполнено</v>
      </c>
      <c r="I150">
        <f t="array" ref="I150">IFERROR(INDEX('[1]реестр просрочников'!$B$3:$B$500,SMALL(IF(ЭКВАЙРИНГ!$D144='[1]реестр просрочников'!$A$3:$A$500,ROW('[1]реестр просрочников'!$B$3:$B$500)-2),COLUMN('[1]реестр просрочников'!I150)),1),"")</f>
        <v>0</v>
      </c>
      <c r="K150" t="str">
        <f>IFERROR(VLOOKUP(ЭКВАЙРИНГ!A144,'[1]реестр просрочников'!$B:$C,2,0),"")</f>
        <v/>
      </c>
    </row>
    <row r="151" spans="1:11" x14ac:dyDescent="0.25">
      <c r="K151" t="str">
        <f>IFERROR(VLOOKUP(ЭКВАЙРИНГ!A145,'[1]реестр просрочников'!$B:$C,2,0),"")</f>
        <v/>
      </c>
    </row>
    <row r="152" spans="1:11" x14ac:dyDescent="0.25">
      <c r="K152" t="str">
        <f>IFERROR(VLOOKUP(ЭКВАЙРИНГ!A146,'[1]реестр просрочников'!$B:$C,2,0),"")</f>
        <v/>
      </c>
    </row>
    <row r="153" spans="1:11" x14ac:dyDescent="0.25">
      <c r="K153" t="str">
        <f>IFERROR(VLOOKUP(ЭКВАЙРИНГ!A147,'[1]реестр просрочников'!$B:$C,2,0),"")</f>
        <v/>
      </c>
    </row>
    <row r="154" spans="1:11" x14ac:dyDescent="0.25">
      <c r="A154">
        <f t="array" ref="A154">IFERROR(INDEX('[1]реестр просрочников'!$B$3:$B$500,SMALL(IF(ЭКВАЙРИНГ!$D148='[1]реестр просрочников'!$A$3:$A$500,ROW('[1]реестр просрочников'!$B$3:$B$500)-2),COLUMN('[1]реестр просрочников'!A154)),1),"")</f>
        <v>0</v>
      </c>
      <c r="K154" t="str">
        <f>IFERROR(VLOOKUP(ЭКВАЙРИНГ!A148,'[1]реестр просрочников'!$B:$C,2,0),"")</f>
        <v/>
      </c>
    </row>
    <row r="155" spans="1:11" x14ac:dyDescent="0.25">
      <c r="A155">
        <f t="array" ref="A155">IFERROR(INDEX('[1]реестр просрочников'!$B$3:$B$500,SMALL(IF(ЭКВАЙРИНГ!$D149='[1]реестр просрочников'!$A$3:$A$500,ROW('[1]реестр просрочников'!$B$3:$B$500)-2),COLUMN('[1]реестр просрочников'!A155)),1),"")</f>
        <v>0</v>
      </c>
      <c r="K155" t="str">
        <f>IFERROR(VLOOKUP(ЭКВАЙРИНГ!A149,'[1]реестр просрочников'!$B:$C,2,0),"")</f>
        <v/>
      </c>
    </row>
    <row r="156" spans="1:11" x14ac:dyDescent="0.25">
      <c r="A156">
        <f t="array" ref="A156">IFERROR(INDEX('[1]реестр просрочников'!$B$3:$B$500,SMALL(IF(ЭКВАЙРИНГ!$D150='[1]реестр просрочников'!$A$3:$A$500,ROW('[1]реестр просрочников'!$B$3:$B$500)-2),COLUMN('[1]реестр просрочников'!A156)),1),"")</f>
        <v>0</v>
      </c>
      <c r="K156" t="str">
        <f>IFERROR(VLOOKUP(ЭКВАЙРИНГ!A150,'[1]реестр просрочников'!$B:$C,2,0),"")</f>
        <v/>
      </c>
    </row>
    <row r="157" spans="1:11" x14ac:dyDescent="0.25">
      <c r="K157" t="str">
        <f>IFERROR(VLOOKUP(ЭКВАЙРИНГ!A151,'[1]реестр просрочников'!$B:$C,2,0),"")</f>
        <v/>
      </c>
    </row>
    <row r="158" spans="1:11" x14ac:dyDescent="0.25">
      <c r="K158" t="str">
        <f>IFERROR(VLOOKUP(ЭКВАЙРИНГ!A152,'[1]реестр просрочников'!$B:$C,2,0),"")</f>
        <v/>
      </c>
    </row>
    <row r="159" spans="1:11" x14ac:dyDescent="0.25">
      <c r="K159" t="str">
        <f>IFERROR(VLOOKUP(ЭКВАЙРИНГ!A153,'[1]реестр просрочников'!$B:$C,2,0),"")</f>
        <v/>
      </c>
    </row>
    <row r="160" spans="1:11" x14ac:dyDescent="0.25">
      <c r="K160" t="str">
        <f>IFERROR(VLOOKUP(ЭКВАЙРИНГ!A154,'[1]реестр просрочников'!$B:$C,2,0),"")</f>
        <v/>
      </c>
    </row>
    <row r="161" spans="1:11" x14ac:dyDescent="0.25">
      <c r="K161" t="str">
        <f>IFERROR(VLOOKUP(ЭКВАЙРИНГ!A155,'[1]реестр просрочников'!$B:$C,2,0),"")</f>
        <v/>
      </c>
    </row>
    <row r="162" spans="1:11" x14ac:dyDescent="0.25">
      <c r="K162" t="str">
        <f>IFERROR(VLOOKUP(ЭКВАЙРИНГ!A156,'[1]реестр просрочников'!$B:$C,2,0),"")</f>
        <v/>
      </c>
    </row>
    <row r="163" spans="1:11" x14ac:dyDescent="0.25">
      <c r="K163" t="str">
        <f>IFERROR(VLOOKUP(ЭКВАЙРИНГ!A157,'[1]реестр просрочников'!$B:$C,2,0),"")</f>
        <v/>
      </c>
    </row>
    <row r="164" spans="1:11" x14ac:dyDescent="0.25">
      <c r="A164">
        <f t="array" ref="A164">IFERROR(INDEX('[1]реестр просрочников'!$B$3:$B$500,SMALL(IF(ЭКВАЙРИНГ!$D158='[1]реестр просрочников'!$A$3:$A$500,ROW('[1]реестр просрочников'!$B$3:$B$500)-2),COLUMN('[1]реестр просрочников'!A164)),1),"")</f>
        <v>0</v>
      </c>
      <c r="K164" t="str">
        <f>IFERROR(VLOOKUP(ЭКВАЙРИНГ!A158,'[1]реестр просрочников'!$B:$C,2,0),"")</f>
        <v/>
      </c>
    </row>
    <row r="165" spans="1:11" x14ac:dyDescent="0.25">
      <c r="K165" t="str">
        <f>IFERROR(VLOOKUP(ЭКВАЙРИНГ!A159,'[1]реестр просрочников'!$B:$C,2,0),"")</f>
        <v/>
      </c>
    </row>
    <row r="166" spans="1:11" x14ac:dyDescent="0.25">
      <c r="K166" t="str">
        <f>IFERROR(VLOOKUP(ЭКВАЙРИНГ!A160,'[1]реестр просрочников'!$B:$C,2,0),"")</f>
        <v/>
      </c>
    </row>
    <row r="167" spans="1:11" x14ac:dyDescent="0.25">
      <c r="K167" t="str">
        <f>IFERROR(VLOOKUP(ЭКВАЙРИНГ!A161,'[1]реестр просрочников'!$B:$C,2,0),"")</f>
        <v/>
      </c>
    </row>
    <row r="168" spans="1:11" x14ac:dyDescent="0.25">
      <c r="K168" t="str">
        <f>IFERROR(VLOOKUP(ЭКВАЙРИНГ!A162,'[1]реестр просрочников'!$B:$C,2,0),"")</f>
        <v/>
      </c>
    </row>
    <row r="169" spans="1:11" x14ac:dyDescent="0.25">
      <c r="K169" t="str">
        <f>IFERROR(VLOOKUP(ЭКВАЙРИНГ!A163,'[1]реестр просрочников'!$B:$C,2,0),"")</f>
        <v/>
      </c>
    </row>
    <row r="170" spans="1:11" x14ac:dyDescent="0.25">
      <c r="K170" t="str">
        <f>IFERROR(VLOOKUP(ЭКВАЙРИНГ!A164,'[1]реестр просрочников'!$B:$C,2,0),"")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5C3BD-8C0F-4B6E-8ECD-29B34E2024E9}">
  <sheetPr codeName="Лист10"/>
  <dimension ref="A1:C3"/>
  <sheetViews>
    <sheetView workbookViewId="0">
      <selection activeCell="G20" sqref="G20"/>
    </sheetView>
  </sheetViews>
  <sheetFormatPr defaultRowHeight="15" x14ac:dyDescent="0.25"/>
  <cols>
    <col min="1" max="1" width="55" customWidth="1"/>
    <col min="2" max="7" width="27.140625" bestFit="1" customWidth="1"/>
  </cols>
  <sheetData>
    <row r="1" spans="1:3" x14ac:dyDescent="0.25">
      <c r="A1" t="s">
        <v>0</v>
      </c>
      <c r="B1" t="s">
        <v>0</v>
      </c>
    </row>
    <row r="2" spans="1:3" x14ac:dyDescent="0.25">
      <c r="A2" t="str">
        <f>IFERROR(all!A2&amp;" ("&amp;TEXT(VLOOKUP(all!A2,'[1]Платежный календарь'!$B:$C,2,0),"ДД.ММ")&amp;")"&amp;" "&amp;DOLLAR(VLOOKUP(all!A2,'[1]Платежный календарь'!$B:$I,3,0),0)&amp;" "&amp;DOLLAR(SUM(VLOOKUP(all!A2,'[1]РП (расш)'!$A:$H,8,0),VLOOKUP(all!A2,'[1]РП (расш)'!$A:$I,9,0)),2),"")</f>
        <v>В-23555/КЛ.Транш - 2_В-21082023/Ц (21.06) 8 198 ₽ 8 312,37 ₽</v>
      </c>
      <c r="B2" t="s">
        <v>0</v>
      </c>
    </row>
    <row r="3" spans="1:3" x14ac:dyDescent="0.25">
      <c r="C3" t="str">
        <f>IFERROR(all!C3&amp;" ("&amp;TEXT(VLOOKUP(all!C3,'[1]Платежный календарь'!$B:$C,2,0),"ДД.ММ")&amp;")"&amp;" "&amp;DOLLAR(VLOOKUP(all!C3,'[1]Платежный календарь'!$B:$I,3,0),0)&amp;" "&amp;DOLLAR(SUM(VLOOKUP(all!C3,'[1]РП (расш)'!$A:$H,8,0),VLOOKUP(all!C3,'[1]РП (расш)'!$A:$I,9,0)),2),"")</f>
        <v>В-23370/КЛ.Транш - 2_В-21082023/Ц (25.06) 6 585 ₽ 0,00 ₽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A59EE-ADEC-4488-A5C1-0385143B9FCF}">
  <sheetPr codeName="Лист9"/>
  <dimension ref="A2:B3"/>
  <sheetViews>
    <sheetView workbookViewId="0">
      <selection activeCell="M2" sqref="M2"/>
    </sheetView>
  </sheetViews>
  <sheetFormatPr defaultRowHeight="15" x14ac:dyDescent="0.25"/>
  <cols>
    <col min="1" max="1" width="17.85546875" bestFit="1" customWidth="1"/>
  </cols>
  <sheetData>
    <row r="2" spans="1:2" x14ac:dyDescent="0.25">
      <c r="A2">
        <f>IFERROR(VLOOKUP(ЭКВАЙРИНГ!A2,'[1]РП (расш)'!$A:$F,6,0)-ЭКВАЙРИНГ!C2,"")</f>
        <v>107578.82</v>
      </c>
      <c r="B2">
        <f>IFERROR(VLOOKUP(ЭКВАЙРИНГ!A2,'[1]РП (расш)'!$A:$F,6,0),"")</f>
        <v>117578.82</v>
      </c>
    </row>
    <row r="3" spans="1:2" x14ac:dyDescent="0.25">
      <c r="A3">
        <f>IFERROR(VLOOKUP(ЭКВАЙРИНГ!A3,'[1]РП (расш)'!$A:$F,6,0)-ЭКВАЙРИНГ!C3,"")</f>
        <v>73787.210000000006</v>
      </c>
      <c r="B3">
        <f>IFERROR(VLOOKUP(ЭКВАЙРИНГ!A3,'[1]РП (расш)'!$A:$F,6,0),"")</f>
        <v>80107.210000000006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31CAD-7B74-404E-912C-D098E07F1AAA}">
  <sheetPr codeName="Лист11"/>
  <dimension ref="A1"/>
  <sheetViews>
    <sheetView workbookViewId="0">
      <selection activeCell="J20" sqref="J20"/>
    </sheetView>
  </sheetViews>
  <sheetFormatPr defaultRowHeight="15" x14ac:dyDescent="0.25"/>
  <cols>
    <col min="2" max="2" width="10.140625" bestFit="1" customWidth="1"/>
    <col min="7" max="7" width="10.140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DD9ED-EA90-4182-9B95-16141A559D87}">
  <sheetPr codeName="Лист5"/>
  <dimension ref="A1:L92"/>
  <sheetViews>
    <sheetView topLeftCell="A73" workbookViewId="0">
      <selection activeCell="H11" sqref="H11"/>
    </sheetView>
  </sheetViews>
  <sheetFormatPr defaultRowHeight="15" x14ac:dyDescent="0.25"/>
  <sheetData>
    <row r="1" spans="1:12" x14ac:dyDescent="0.25">
      <c r="A1" t="s">
        <v>38</v>
      </c>
    </row>
    <row r="2" spans="1:12" x14ac:dyDescent="0.25">
      <c r="A2" s="18" t="s">
        <v>39</v>
      </c>
    </row>
    <row r="3" spans="1:12" x14ac:dyDescent="0.25">
      <c r="A3" s="28" t="s">
        <v>109</v>
      </c>
    </row>
    <row r="4" spans="1:12" x14ac:dyDescent="0.25">
      <c r="A4" t="s">
        <v>40</v>
      </c>
    </row>
    <row r="5" spans="1:12" ht="15.75" thickBot="1" x14ac:dyDescent="0.3"/>
    <row r="6" spans="1:12" x14ac:dyDescent="0.25">
      <c r="A6" s="19" t="s">
        <v>1</v>
      </c>
      <c r="B6" s="20" t="s">
        <v>2</v>
      </c>
      <c r="C6" s="21" t="s">
        <v>41</v>
      </c>
      <c r="D6" s="22" t="s">
        <v>4</v>
      </c>
      <c r="E6" s="22" t="s">
        <v>5</v>
      </c>
      <c r="F6" s="21" t="s">
        <v>6</v>
      </c>
      <c r="G6" s="21" t="s">
        <v>7</v>
      </c>
      <c r="H6" s="21" t="s">
        <v>42</v>
      </c>
      <c r="I6" s="21" t="s">
        <v>43</v>
      </c>
      <c r="J6" s="23" t="s">
        <v>9</v>
      </c>
      <c r="L6">
        <f ca="1">DAY(TODAY()-2)</f>
        <v>24</v>
      </c>
    </row>
    <row r="8" spans="1:12" x14ac:dyDescent="0.25">
      <c r="A8" t="s">
        <v>111</v>
      </c>
    </row>
    <row r="10" spans="1:12" x14ac:dyDescent="0.25">
      <c r="A10" s="24" t="s">
        <v>44</v>
      </c>
    </row>
    <row r="11" spans="1:12" x14ac:dyDescent="0.25">
      <c r="A11" t="s">
        <v>45</v>
      </c>
    </row>
    <row r="12" spans="1:12" x14ac:dyDescent="0.25">
      <c r="A12" t="s">
        <v>46</v>
      </c>
      <c r="B12" t="s">
        <v>47</v>
      </c>
      <c r="C12" t="s">
        <v>48</v>
      </c>
    </row>
    <row r="13" spans="1:12" x14ac:dyDescent="0.25">
      <c r="A13" t="s">
        <v>49</v>
      </c>
    </row>
    <row r="14" spans="1:12" x14ac:dyDescent="0.25">
      <c r="A14" t="s">
        <v>50</v>
      </c>
    </row>
    <row r="15" spans="1:12" x14ac:dyDescent="0.25">
      <c r="A15" t="s">
        <v>51</v>
      </c>
    </row>
    <row r="16" spans="1:12" x14ac:dyDescent="0.25">
      <c r="A16" t="s">
        <v>52</v>
      </c>
    </row>
    <row r="17" spans="1:1" x14ac:dyDescent="0.25">
      <c r="A17" s="24" t="s">
        <v>53</v>
      </c>
    </row>
    <row r="19" spans="1:1" x14ac:dyDescent="0.25">
      <c r="A19" t="s">
        <v>54</v>
      </c>
    </row>
    <row r="20" spans="1:1" x14ac:dyDescent="0.25">
      <c r="A20" s="24" t="s">
        <v>55</v>
      </c>
    </row>
    <row r="22" spans="1:1" x14ac:dyDescent="0.25">
      <c r="A22" s="25" t="s">
        <v>56</v>
      </c>
    </row>
    <row r="25" spans="1:1" x14ac:dyDescent="0.25">
      <c r="A25" s="24" t="s">
        <v>57</v>
      </c>
    </row>
    <row r="26" spans="1:1" x14ac:dyDescent="0.25">
      <c r="A26" s="24" t="s">
        <v>58</v>
      </c>
    </row>
    <row r="27" spans="1:1" x14ac:dyDescent="0.25">
      <c r="A27" t="s">
        <v>59</v>
      </c>
    </row>
    <row r="29" spans="1:1" x14ac:dyDescent="0.25">
      <c r="A29" t="s">
        <v>60</v>
      </c>
    </row>
    <row r="30" spans="1:1" x14ac:dyDescent="0.25">
      <c r="A30" t="s">
        <v>61</v>
      </c>
    </row>
    <row r="31" spans="1:1" x14ac:dyDescent="0.25">
      <c r="A31" t="s">
        <v>62</v>
      </c>
    </row>
    <row r="32" spans="1:1" x14ac:dyDescent="0.25">
      <c r="A32" t="s">
        <v>63</v>
      </c>
    </row>
    <row r="33" spans="1:2" x14ac:dyDescent="0.25">
      <c r="A33" t="s">
        <v>64</v>
      </c>
    </row>
    <row r="35" spans="1:2" x14ac:dyDescent="0.25">
      <c r="A35" t="s">
        <v>65</v>
      </c>
    </row>
    <row r="36" spans="1:2" x14ac:dyDescent="0.25">
      <c r="A36" t="s">
        <v>66</v>
      </c>
    </row>
    <row r="37" spans="1:2" x14ac:dyDescent="0.25">
      <c r="A37" t="s">
        <v>67</v>
      </c>
    </row>
    <row r="39" spans="1:2" x14ac:dyDescent="0.25">
      <c r="A39" t="s">
        <v>68</v>
      </c>
      <c r="B39" t="s">
        <v>69</v>
      </c>
    </row>
    <row r="41" spans="1:2" x14ac:dyDescent="0.25">
      <c r="A41" t="s">
        <v>70</v>
      </c>
    </row>
    <row r="42" spans="1:2" x14ac:dyDescent="0.25">
      <c r="A42" t="s">
        <v>71</v>
      </c>
    </row>
    <row r="43" spans="1:2" x14ac:dyDescent="0.25">
      <c r="A43" t="s">
        <v>72</v>
      </c>
    </row>
    <row r="45" spans="1:2" x14ac:dyDescent="0.25">
      <c r="A45" s="26" t="s">
        <v>73</v>
      </c>
    </row>
    <row r="46" spans="1:2" x14ac:dyDescent="0.25">
      <c r="A46" s="27" t="s">
        <v>74</v>
      </c>
    </row>
    <row r="48" spans="1:2" x14ac:dyDescent="0.25">
      <c r="A48" t="s">
        <v>75</v>
      </c>
    </row>
    <row r="50" spans="1:1" x14ac:dyDescent="0.25">
      <c r="A50" s="28" t="s">
        <v>76</v>
      </c>
    </row>
    <row r="51" spans="1:1" x14ac:dyDescent="0.25">
      <c r="A51" t="s">
        <v>77</v>
      </c>
    </row>
    <row r="53" spans="1:1" x14ac:dyDescent="0.25">
      <c r="A53" s="28" t="s">
        <v>78</v>
      </c>
    </row>
    <row r="55" spans="1:1" x14ac:dyDescent="0.25">
      <c r="A55" s="29" t="s">
        <v>79</v>
      </c>
    </row>
    <row r="57" spans="1:1" x14ac:dyDescent="0.25">
      <c r="A57" s="28" t="s">
        <v>80</v>
      </c>
    </row>
    <row r="59" spans="1:1" x14ac:dyDescent="0.25">
      <c r="A59" s="28" t="s">
        <v>81</v>
      </c>
    </row>
    <row r="61" spans="1:1" x14ac:dyDescent="0.25">
      <c r="A61" t="s">
        <v>82</v>
      </c>
    </row>
    <row r="63" spans="1:1" x14ac:dyDescent="0.25">
      <c r="A63" s="29" t="s">
        <v>83</v>
      </c>
    </row>
    <row r="65" spans="1:3" x14ac:dyDescent="0.25">
      <c r="A65" s="28" t="s">
        <v>84</v>
      </c>
    </row>
    <row r="67" spans="1:3" x14ac:dyDescent="0.25">
      <c r="A67" s="28" t="s">
        <v>85</v>
      </c>
    </row>
    <row r="69" spans="1:3" x14ac:dyDescent="0.25">
      <c r="A69" s="28" t="s">
        <v>86</v>
      </c>
    </row>
    <row r="71" spans="1:3" x14ac:dyDescent="0.25">
      <c r="A71" t="s">
        <v>87</v>
      </c>
    </row>
    <row r="73" spans="1:3" x14ac:dyDescent="0.25">
      <c r="A73" t="s">
        <v>88</v>
      </c>
    </row>
    <row r="75" spans="1:3" x14ac:dyDescent="0.25">
      <c r="A75" t="s">
        <v>89</v>
      </c>
      <c r="B75" s="28" t="s">
        <v>90</v>
      </c>
      <c r="C75" s="28" t="s">
        <v>91</v>
      </c>
    </row>
    <row r="76" spans="1:3" x14ac:dyDescent="0.25">
      <c r="A76" t="s">
        <v>92</v>
      </c>
    </row>
    <row r="77" spans="1:3" x14ac:dyDescent="0.25">
      <c r="A77" t="s">
        <v>93</v>
      </c>
    </row>
    <row r="78" spans="1:3" x14ac:dyDescent="0.25">
      <c r="A78" t="s">
        <v>94</v>
      </c>
    </row>
    <row r="79" spans="1:3" x14ac:dyDescent="0.25">
      <c r="A79" t="s">
        <v>95</v>
      </c>
    </row>
    <row r="81" spans="1:5" x14ac:dyDescent="0.25">
      <c r="A81" s="28" t="s">
        <v>100</v>
      </c>
    </row>
    <row r="83" spans="1:5" x14ac:dyDescent="0.25">
      <c r="A83" s="28" t="s">
        <v>102</v>
      </c>
    </row>
    <row r="85" spans="1:5" x14ac:dyDescent="0.25">
      <c r="A85" t="s">
        <v>103</v>
      </c>
    </row>
    <row r="86" spans="1:5" x14ac:dyDescent="0.25">
      <c r="A86" t="s">
        <v>104</v>
      </c>
    </row>
    <row r="88" spans="1:5" ht="18.75" x14ac:dyDescent="0.3">
      <c r="A88" s="76" t="s">
        <v>105</v>
      </c>
      <c r="B88" s="76"/>
      <c r="C88" s="76"/>
      <c r="D88" s="76"/>
      <c r="E88" s="76"/>
    </row>
    <row r="90" spans="1:5" x14ac:dyDescent="0.25">
      <c r="A90" s="28" t="s">
        <v>106</v>
      </c>
      <c r="B90" s="45" t="s">
        <v>108</v>
      </c>
      <c r="C90" s="28" t="s">
        <v>107</v>
      </c>
    </row>
    <row r="92" spans="1:5" x14ac:dyDescent="0.25">
      <c r="A92" s="28" t="s">
        <v>110</v>
      </c>
    </row>
  </sheetData>
  <mergeCells count="1">
    <mergeCell ref="A88:E88"/>
  </mergeCells>
  <conditionalFormatting sqref="A6">
    <cfRule type="duplicateValues" dxfId="10" priority="1"/>
    <cfRule type="expression" dxfId="9" priority="2">
      <formula>IF(J6="100% Пени + 1/2 ПП",1,0)</formula>
    </cfRule>
    <cfRule type="expression" dxfId="8" priority="3">
      <formula>IF(J6="100% Пени + 1/3 ПП",1,0)</formula>
    </cfRule>
    <cfRule type="expression" dxfId="7" priority="4">
      <formula>IF(J6="100% Пени (ВП)",1,0)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ЭКВАЙРИНГ</vt:lpstr>
      <vt:lpstr>1C</vt:lpstr>
      <vt:lpstr>стат</vt:lpstr>
      <vt:lpstr>сохраняем</vt:lpstr>
      <vt:lpstr>поступление</vt:lpstr>
      <vt:lpstr>all</vt:lpstr>
      <vt:lpstr>prosr</vt:lpstr>
      <vt:lpstr>allA</vt:lpstr>
      <vt:lpstr>ПДП</vt:lpstr>
      <vt:lpstr>прочее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Кваско Сергей Михайлович</cp:lastModifiedBy>
  <cp:lastPrinted>2021-11-29T07:47:52Z</cp:lastPrinted>
  <dcterms:created xsi:type="dcterms:W3CDTF">2015-06-05T18:19:34Z</dcterms:created>
  <dcterms:modified xsi:type="dcterms:W3CDTF">2024-07-26T08:00:30Z</dcterms:modified>
</cp:coreProperties>
</file>
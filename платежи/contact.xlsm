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ЭтаКнига"/>
  <mc:AlternateContent xmlns:mc="http://schemas.openxmlformats.org/markup-compatibility/2006">
    <mc:Choice Requires="x15">
      <x15ac:absPath xmlns:x15ac="http://schemas.microsoft.com/office/spreadsheetml/2010/11/ac" url="\\data\share\Отдел сопровождения кредитования\Работа с просрочкой\КСМ\платежи\"/>
    </mc:Choice>
  </mc:AlternateContent>
  <xr:revisionPtr revIDLastSave="0" documentId="13_ncr:1_{C2F30F45-9B4A-4311-91CF-EEBC0DFC641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ntact" sheetId="1" r:id="rId1"/>
    <sheet name="выписка" sheetId="2" r:id="rId2"/>
    <sheet name="стат" sheetId="5" r:id="rId3"/>
    <sheet name="удаляем" sheetId="4" r:id="rId4"/>
    <sheet name="xforms" sheetId="3" r:id="rId5"/>
  </sheets>
  <externalReferences>
    <externalReference r:id="rId6"/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1" i="5" l="1"/>
  <c r="J2" i="1"/>
  <c r="I2" i="1"/>
  <c r="O60" i="5"/>
  <c r="O59" i="5" l="1"/>
  <c r="O58" i="5"/>
  <c r="O57" i="5"/>
  <c r="O56" i="5"/>
  <c r="O55" i="5"/>
  <c r="O54" i="5"/>
  <c r="O53" i="5"/>
  <c r="O52" i="5"/>
  <c r="O51" i="5"/>
  <c r="O50" i="5"/>
  <c r="O49" i="5"/>
  <c r="O48" i="5"/>
  <c r="O47" i="5"/>
  <c r="O46" i="5"/>
  <c r="O45" i="5" l="1"/>
  <c r="O44" i="5"/>
  <c r="O43" i="5"/>
  <c r="O42" i="5"/>
  <c r="O41" i="5"/>
  <c r="O40" i="5"/>
  <c r="O39" i="5" l="1"/>
  <c r="O38" i="5"/>
  <c r="O37" i="5"/>
  <c r="O36" i="5"/>
  <c r="O35" i="5"/>
  <c r="O34" i="5"/>
  <c r="O33" i="5"/>
  <c r="O32" i="5"/>
  <c r="O31" i="5"/>
  <c r="O30" i="5" l="1"/>
  <c r="O29" i="5"/>
  <c r="O27" i="5"/>
  <c r="O28" i="5"/>
  <c r="O26" i="5"/>
  <c r="O25" i="5"/>
  <c r="O24" i="5"/>
  <c r="O23" i="5"/>
  <c r="O21" i="5"/>
  <c r="O22" i="5"/>
  <c r="O20" i="5" l="1"/>
  <c r="O19" i="5"/>
  <c r="O18" i="5" l="1"/>
  <c r="B4" i="5" l="1"/>
  <c r="O17" i="5" l="1"/>
  <c r="O16" i="5"/>
  <c r="O15" i="5"/>
  <c r="O14" i="5"/>
  <c r="O13" i="5"/>
  <c r="O12" i="5"/>
  <c r="O11" i="5"/>
  <c r="O10" i="5"/>
  <c r="O9" i="5"/>
  <c r="O8" i="5"/>
  <c r="O7" i="5"/>
  <c r="O6" i="5"/>
  <c r="O5" i="5"/>
  <c r="O4" i="5"/>
  <c r="O3" i="5"/>
  <c r="O2" i="5"/>
  <c r="B3" i="5"/>
  <c r="B2" i="5"/>
  <c r="B1" i="5" l="1"/>
  <c r="C2" i="5" l="1"/>
  <c r="C3" i="5"/>
  <c r="C4" i="5"/>
  <c r="B5" i="5" l="1"/>
  <c r="C5" i="5" s="1"/>
  <c r="B6" i="5"/>
  <c r="C6" i="5" s="1"/>
  <c r="C20" i="3"/>
  <c r="D6" i="5" l="1"/>
</calcChain>
</file>

<file path=xl/sharedStrings.xml><?xml version="1.0" encoding="utf-8"?>
<sst xmlns="http://schemas.openxmlformats.org/spreadsheetml/2006/main" count="60" uniqueCount="46">
  <si>
    <t xml:space="preserve">Сумма </t>
  </si>
  <si>
    <t>Заемщик</t>
  </si>
  <si>
    <t>Статус</t>
  </si>
  <si>
    <t>Взято из тек.</t>
  </si>
  <si>
    <t>Списать</t>
  </si>
  <si>
    <t>Подвесить</t>
  </si>
  <si>
    <t>Коммент</t>
  </si>
  <si>
    <t>КО</t>
  </si>
  <si>
    <t>Оплата в срок (в дату)</t>
  </si>
  <si>
    <t>Частичная оплата (проср.)</t>
  </si>
  <si>
    <t>Ошибочный платеж</t>
  </si>
  <si>
    <t>='Реестр Тинькофф'!G2&amp;" "&amp;'Реестр Тинькофф'!M2</t>
  </si>
  <si>
    <t>Просрочка погашена</t>
  </si>
  <si>
    <t>А</t>
  </si>
  <si>
    <t>=ЕСЛИ('Реестр Тинькофф'!B2&lt;&gt;"";'Реестр Тинькофф'!B2;"")</t>
  </si>
  <si>
    <t>Т</t>
  </si>
  <si>
    <t>'=ЕСЛИОШИБКА(ЕСЛИ(ВПР(A2;Акции!B:B;1;0)&lt;&gt;0;ВПР(A2;Акции!B:C;2;0);"");"")</t>
  </si>
  <si>
    <t>В</t>
  </si>
  <si>
    <t>=ЕСЛИОШИБКА(ЕСЛИ(И(ЛЕВСИМВ(A1;1)="В";ЛЕВСИМВ(A1;1)&lt;&gt;"И");"Н";ЕСЛИ(ВПР(A1;СписЗайм!A:A;1;0)&lt;&gt;0;"Н";""));"")</t>
  </si>
  <si>
    <t>Погашение пени</t>
  </si>
  <si>
    <t>И</t>
  </si>
  <si>
    <t>=ЛЕВСИМВ(A2;1)</t>
  </si>
  <si>
    <t>=ЕСЛИОШИБКА(ЕСЛИ(ВПР(A2;'[Прощение пеней ОБЩИЙ.xlsx]июн.2019'!$D:$D;1;0)&lt;&gt;0;ВПР(A2;'[Прощение пеней ОБЩИЙ.xlsx]июн.2019'!$D:$M;10;0);"");"")</t>
  </si>
  <si>
    <t>Частичная оплата</t>
  </si>
  <si>
    <t>Третье лицо</t>
  </si>
  <si>
    <t>Дата</t>
  </si>
  <si>
    <t>Прощение</t>
  </si>
  <si>
    <t xml:space="preserve">Договор </t>
  </si>
  <si>
    <t>Компания</t>
  </si>
  <si>
    <t>? КО ?</t>
  </si>
  <si>
    <t>всего</t>
  </si>
  <si>
    <t>%</t>
  </si>
  <si>
    <t>погашена</t>
  </si>
  <si>
    <t>проср ЧО</t>
  </si>
  <si>
    <t>в дату</t>
  </si>
  <si>
    <t>попали в АК</t>
  </si>
  <si>
    <t>от АК / АК ОПЛ %</t>
  </si>
  <si>
    <t>АКЦ (ОПЛ)</t>
  </si>
  <si>
    <t>дата</t>
  </si>
  <si>
    <t>проср (ЧО)</t>
  </si>
  <si>
    <t>АКЦ  общ</t>
  </si>
  <si>
    <t>всякое</t>
  </si>
  <si>
    <t>Оплата в срок</t>
  </si>
  <si>
    <t>Закрытие</t>
  </si>
  <si>
    <t>Ларичева Ольга Ивановна</t>
  </si>
  <si>
    <t>В-25217/КЛ.Транш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</si>
</sst>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rgb="FF000000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8CCE4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4" fillId="0" borderId="0"/>
    <xf numFmtId="0" fontId="5" fillId="0" borderId="0"/>
    <xf numFmtId="43" fontId="11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quotePrefix="1"/>
    <xf numFmtId="16" fontId="0" fillId="0" borderId="0" xfId="0" applyNumberFormat="1"/>
    <xf numFmtId="14" fontId="0" fillId="0" borderId="0" xfId="0" applyNumberFormat="1"/>
    <xf numFmtId="49" fontId="4" fillId="0" borderId="0" xfId="1" applyNumberFormat="1" applyAlignment="1">
      <alignment horizontal="left"/>
    </xf>
    <xf numFmtId="0" fontId="6" fillId="2" borderId="1" xfId="0" applyFont="1" applyFill="1" applyBorder="1" applyAlignment="1">
      <alignment horizontal="left" vertical="center"/>
    </xf>
    <xf numFmtId="14" fontId="6" fillId="2" borderId="2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left" vertical="top"/>
    </xf>
    <xf numFmtId="10" fontId="6" fillId="2" borderId="3" xfId="0" applyNumberFormat="1" applyFont="1" applyFill="1" applyBorder="1" applyAlignment="1">
      <alignment horizontal="left" vertical="center"/>
    </xf>
    <xf numFmtId="49" fontId="4" fillId="0" borderId="0" xfId="1" applyNumberFormat="1"/>
    <xf numFmtId="16" fontId="0" fillId="0" borderId="0" xfId="0" quotePrefix="1" applyNumberFormat="1"/>
    <xf numFmtId="0" fontId="7" fillId="0" borderId="0" xfId="1" applyFont="1"/>
    <xf numFmtId="49" fontId="4" fillId="0" borderId="4" xfId="1" applyNumberFormat="1" applyBorder="1" applyAlignment="1">
      <alignment horizontal="left"/>
    </xf>
    <xf numFmtId="0" fontId="0" fillId="0" borderId="7" xfId="0" applyBorder="1"/>
    <xf numFmtId="0" fontId="8" fillId="3" borderId="1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3" fillId="0" borderId="9" xfId="0" applyFont="1" applyBorder="1"/>
    <xf numFmtId="10" fontId="0" fillId="0" borderId="8" xfId="0" applyNumberFormat="1" applyBorder="1"/>
    <xf numFmtId="10" fontId="0" fillId="0" borderId="0" xfId="0" applyNumberFormat="1"/>
    <xf numFmtId="0" fontId="3" fillId="0" borderId="10" xfId="0" applyFont="1" applyBorder="1"/>
    <xf numFmtId="10" fontId="0" fillId="0" borderId="11" xfId="0" applyNumberFormat="1" applyBorder="1"/>
    <xf numFmtId="0" fontId="3" fillId="0" borderId="7" xfId="0" applyFont="1" applyBorder="1"/>
    <xf numFmtId="10" fontId="0" fillId="0" borderId="7" xfId="0" applyNumberFormat="1" applyBorder="1"/>
    <xf numFmtId="10" fontId="3" fillId="0" borderId="7" xfId="0" applyNumberFormat="1" applyFont="1" applyBorder="1"/>
    <xf numFmtId="0" fontId="10" fillId="3" borderId="7" xfId="0" applyFont="1" applyFill="1" applyBorder="1" applyAlignment="1">
      <alignment horizontal="center"/>
    </xf>
    <xf numFmtId="14" fontId="0" fillId="0" borderId="7" xfId="0" applyNumberFormat="1" applyBorder="1"/>
    <xf numFmtId="0" fontId="1" fillId="0" borderId="0" xfId="0" applyFont="1"/>
    <xf numFmtId="14" fontId="0" fillId="0" borderId="12" xfId="0" applyNumberFormat="1" applyBorder="1"/>
    <xf numFmtId="0" fontId="0" fillId="0" borderId="12" xfId="0" applyBorder="1"/>
    <xf numFmtId="10" fontId="0" fillId="0" borderId="12" xfId="0" applyNumberFormat="1" applyBorder="1"/>
    <xf numFmtId="0" fontId="6" fillId="2" borderId="13" xfId="0" applyFont="1" applyFill="1" applyBorder="1" applyAlignment="1">
      <alignment horizontal="center" vertical="center"/>
    </xf>
    <xf numFmtId="10" fontId="6" fillId="2" borderId="13" xfId="0" applyNumberFormat="1" applyFont="1" applyFill="1" applyBorder="1" applyAlignment="1">
      <alignment horizontal="center" vertical="center"/>
    </xf>
    <xf numFmtId="10" fontId="6" fillId="2" borderId="14" xfId="0" applyNumberFormat="1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14" fontId="6" fillId="2" borderId="15" xfId="0" applyNumberFormat="1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top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14" fontId="0" fillId="0" borderId="16" xfId="0" applyNumberFormat="1" applyBorder="1"/>
    <xf numFmtId="43" fontId="6" fillId="2" borderId="15" xfId="3" applyFont="1" applyFill="1" applyBorder="1" applyAlignment="1">
      <alignment horizontal="center" vertical="center"/>
    </xf>
    <xf numFmtId="43" fontId="0" fillId="0" borderId="0" xfId="3" applyFont="1"/>
    <xf numFmtId="0" fontId="0" fillId="0" borderId="19" xfId="0" applyBorder="1"/>
    <xf numFmtId="10" fontId="0" fillId="0" borderId="19" xfId="0" applyNumberFormat="1" applyBorder="1"/>
    <xf numFmtId="43" fontId="0" fillId="0" borderId="16" xfId="3" applyFont="1" applyBorder="1"/>
  </cellXfs>
  <cellStyles count="4">
    <cellStyle name="Normal_XDO_METADATA" xfId="2" xr:uid="{DB511E07-C199-4093-B1E9-104D8BB1F282}"/>
    <cellStyle name="Обычный" xfId="0" builtinId="0"/>
    <cellStyle name="Обычный 3" xfId="1" xr:uid="{CA01685F-9C36-4A02-8023-3F30094C1CD2}"/>
    <cellStyle name="Финансовый" xfId="3" builtinId="3"/>
  </cellStyles>
  <dxfs count="4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396122</xdr:colOff>
      <xdr:row>0</xdr:row>
      <xdr:rowOff>69348</xdr:rowOff>
    </xdr:from>
    <xdr:to>
      <xdr:col>12</xdr:col>
      <xdr:colOff>80118</xdr:colOff>
      <xdr:row>5</xdr:row>
      <xdr:rowOff>123335</xdr:rowOff>
    </xdr:to>
    <xdr:sp macro="[0]!est_contact.est_contact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B2458231-D449-451C-A73E-74F33E3FD326}"/>
            </a:ext>
          </a:extLst>
        </xdr:cNvPr>
        <xdr:cNvSpPr/>
      </xdr:nvSpPr>
      <xdr:spPr>
        <a:xfrm>
          <a:off x="11083172" y="69348"/>
          <a:ext cx="903196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🗽</a:t>
          </a:r>
          <a:endParaRPr lang="ru-RU" sz="54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2021\&#1040;&#1050;&#1062;&#1048;&#1071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4;&#1090;&#1076;&#1077;&#1083;%20&#1089;&#1086;&#1087;&#1088;&#1086;&#1074;&#1086;&#1078;&#1076;&#1077;&#1085;&#1080;&#1103;%20&#1082;&#1088;&#1077;&#1076;&#1080;&#1090;&#1086;&#1074;&#1072;&#1085;&#1080;&#1103;/&#1056;&#1072;&#1073;&#1086;&#1090;&#1072;%20&#1089;%20&#1087;&#1088;&#1086;&#1089;&#1088;&#1086;&#1095;&#1082;&#1086;&#1081;/&#1050;&#1057;&#1052;/&#1087;&#1086;&#1076;&#1074;&#1072;&#1083;/&#1050;&#105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xform"/>
    </sheetNames>
    <sheetDataSet>
      <sheetData sheetId="0">
        <row r="1">
          <cell r="B1" t="str">
            <v>№ дог-ра</v>
          </cell>
          <cell r="C1" t="str">
            <v>Что прощаем</v>
          </cell>
        </row>
        <row r="2">
          <cell r="B2" t="str">
            <v>Т-01906/АЗ_Т-20211028/Ц</v>
          </cell>
          <cell r="C2" t="str">
            <v>тек пени</v>
          </cell>
          <cell r="E2">
            <v>7548.68</v>
          </cell>
        </row>
        <row r="3">
          <cell r="B3" t="str">
            <v>В-24892/АЗ</v>
          </cell>
          <cell r="C3" t="str">
            <v>тек пени</v>
          </cell>
        </row>
        <row r="4">
          <cell r="B4" t="str">
            <v>В-09636/КЛ.Транш - 1</v>
          </cell>
          <cell r="C4" t="str">
            <v>тек пени</v>
          </cell>
        </row>
        <row r="5">
          <cell r="B5" t="str">
            <v>В-24989/АЗ</v>
          </cell>
          <cell r="C5" t="str">
            <v>тек пени</v>
          </cell>
        </row>
        <row r="6">
          <cell r="B6" t="str">
            <v>В-24267/КЛ.Транш - 1</v>
          </cell>
          <cell r="C6" t="str">
            <v>1/3%, пени</v>
          </cell>
        </row>
        <row r="7">
          <cell r="B7" t="str">
            <v>В-06035/КЛ.Транш - 1</v>
          </cell>
          <cell r="C7" t="str">
            <v>пени</v>
          </cell>
        </row>
        <row r="8">
          <cell r="B8" t="str">
            <v>В-09619/КЛ.Транш - 1</v>
          </cell>
          <cell r="C8" t="str">
            <v>тек пени</v>
          </cell>
        </row>
        <row r="9">
          <cell r="B9" t="str">
            <v>В-22795/КЛ.Транш - 1</v>
          </cell>
          <cell r="C9" t="str">
            <v>тек пени</v>
          </cell>
        </row>
        <row r="10">
          <cell r="B10" t="str">
            <v>В-00145/КЛ.Транш - 1</v>
          </cell>
          <cell r="C10" t="str">
            <v>пени</v>
          </cell>
        </row>
        <row r="11">
          <cell r="B11" t="str">
            <v>В-10039/КЛ.Транш - 1</v>
          </cell>
          <cell r="C11" t="str">
            <v>тек пени</v>
          </cell>
        </row>
        <row r="12">
          <cell r="B12" t="str">
            <v>В-10039/КЛ.Транш - 2</v>
          </cell>
          <cell r="C12" t="str">
            <v>тек пени</v>
          </cell>
        </row>
        <row r="13">
          <cell r="B13" t="str">
            <v>В-12279/КЛ.Транш - 1</v>
          </cell>
          <cell r="C13" t="str">
            <v>1/2%, пени</v>
          </cell>
        </row>
        <row r="14">
          <cell r="B14" t="str">
            <v>В-19572/КЛ.Транш - 1</v>
          </cell>
          <cell r="C14" t="str">
            <v>тек пени</v>
          </cell>
        </row>
        <row r="15">
          <cell r="B15" t="str">
            <v>В-17030/КЛ.Транш - 1</v>
          </cell>
          <cell r="C15" t="str">
            <v>2/3%, пени</v>
          </cell>
        </row>
        <row r="16">
          <cell r="B16" t="str">
            <v>Т-01893/АЗ_Т-20211028/Ц</v>
          </cell>
          <cell r="C16" t="str">
            <v>2/3%, пени</v>
          </cell>
        </row>
        <row r="17">
          <cell r="B17" t="str">
            <v>В-22979/КЛ.Транш - 1</v>
          </cell>
          <cell r="C17" t="str">
            <v>тек пени</v>
          </cell>
        </row>
        <row r="18">
          <cell r="B18" t="str">
            <v>В-12427/КЛ.Транш - 1</v>
          </cell>
          <cell r="C18" t="str">
            <v>тек пени</v>
          </cell>
        </row>
        <row r="19">
          <cell r="B19" t="str">
            <v>В-13924/КЛ.Транш - 1</v>
          </cell>
          <cell r="C19" t="str">
            <v>тек пени</v>
          </cell>
        </row>
        <row r="20">
          <cell r="B20" t="str">
            <v>В-22833/КЛ.Транш - 1</v>
          </cell>
          <cell r="C20" t="str">
            <v>1/2%, пени</v>
          </cell>
        </row>
        <row r="21">
          <cell r="B21" t="str">
            <v>В-11825/КЛ.Транш - 2</v>
          </cell>
          <cell r="C21" t="str">
            <v>1/3%, пени</v>
          </cell>
        </row>
        <row r="22">
          <cell r="B22" t="str">
            <v>В-11825/КЛ.Транш - 3</v>
          </cell>
          <cell r="C22" t="str">
            <v>тек пени</v>
          </cell>
        </row>
        <row r="23">
          <cell r="B23" t="str">
            <v>В-15200/КЛ.Транш - 1</v>
          </cell>
          <cell r="C23" t="str">
            <v>1/3%, пени</v>
          </cell>
        </row>
        <row r="24">
          <cell r="B24" t="str">
            <v>В-17153/КЛ.Транш - 2</v>
          </cell>
          <cell r="C24" t="str">
            <v>тек пени</v>
          </cell>
        </row>
        <row r="25">
          <cell r="B25" t="str">
            <v>В-17153/КЛ.Транш - 1</v>
          </cell>
          <cell r="C25" t="str">
            <v>тек пени</v>
          </cell>
        </row>
        <row r="26">
          <cell r="B26" t="str">
            <v>В-13235/КЛ.Транш - 1</v>
          </cell>
          <cell r="C26" t="str">
            <v>тек пени</v>
          </cell>
        </row>
        <row r="27">
          <cell r="B27" t="str">
            <v>В-17073/КЛ.Транш - 1</v>
          </cell>
          <cell r="C27" t="str">
            <v>1/2%, пени</v>
          </cell>
        </row>
        <row r="28">
          <cell r="B28" t="str">
            <v>В-23459/КЛ.Транш - 1</v>
          </cell>
          <cell r="C28" t="str">
            <v>пени</v>
          </cell>
        </row>
        <row r="29">
          <cell r="B29" t="str">
            <v>В-20811/КЛ.Транш - 1</v>
          </cell>
          <cell r="C29" t="str">
            <v>тек пени</v>
          </cell>
        </row>
        <row r="30">
          <cell r="B30" t="str">
            <v>В-19282/КЛ.Транш - 1</v>
          </cell>
          <cell r="C30" t="str">
            <v>тек пени</v>
          </cell>
        </row>
        <row r="31">
          <cell r="B31" t="str">
            <v>В-04210/КЛ.Транш - 1</v>
          </cell>
          <cell r="C31" t="str">
            <v>тек пени</v>
          </cell>
        </row>
        <row r="32">
          <cell r="B32" t="str">
            <v>В-04682/КЛ.Транш - 3</v>
          </cell>
          <cell r="C32" t="str">
            <v>2/3%, пени</v>
          </cell>
        </row>
        <row r="33">
          <cell r="B33" t="str">
            <v>В-04682/КЛ.Транш - 4</v>
          </cell>
          <cell r="C33" t="str">
            <v>1/2%, пени</v>
          </cell>
        </row>
        <row r="34">
          <cell r="B34" t="str">
            <v>В-04682/КЛ.Транш - 5</v>
          </cell>
          <cell r="C34" t="str">
            <v>1/2%, пени</v>
          </cell>
        </row>
        <row r="35">
          <cell r="B35" t="str">
            <v>В-04682/КЛ.Транш - 8</v>
          </cell>
          <cell r="C35" t="str">
            <v>1/2%, пени</v>
          </cell>
        </row>
        <row r="36">
          <cell r="B36" t="str">
            <v>В-04682/КЛ.Транш - 7</v>
          </cell>
          <cell r="C36" t="str">
            <v>1/2%, пени</v>
          </cell>
        </row>
        <row r="37">
          <cell r="B37" t="str">
            <v>В-04682/КЛ.Транш - 6</v>
          </cell>
          <cell r="C37" t="str">
            <v>1/2%, пени</v>
          </cell>
        </row>
        <row r="38">
          <cell r="B38" t="str">
            <v>В-08148/КЛ.Транш - 2</v>
          </cell>
          <cell r="C38" t="str">
            <v>тек пени</v>
          </cell>
        </row>
        <row r="39">
          <cell r="B39" t="str">
            <v>В-14335/КЛ.Транш - 1</v>
          </cell>
          <cell r="C39" t="str">
            <v>2/3%, пени</v>
          </cell>
        </row>
        <row r="40">
          <cell r="B40" t="str">
            <v>В-21146/КЛ.Транш - 1</v>
          </cell>
          <cell r="C40" t="str">
            <v>2/3%, пени</v>
          </cell>
        </row>
        <row r="41">
          <cell r="B41" t="str">
            <v>В-05654/КЛ.Транш - 1</v>
          </cell>
          <cell r="C41" t="str">
            <v>тек пени</v>
          </cell>
        </row>
        <row r="42">
          <cell r="B42" t="str">
            <v>В-15293/КЛ.Транш - 1</v>
          </cell>
          <cell r="C42" t="str">
            <v>1/3%, пени</v>
          </cell>
        </row>
        <row r="43">
          <cell r="B43" t="str">
            <v>В-00034/КЭ.Транш - 1</v>
          </cell>
          <cell r="C43" t="str">
            <v>1/2%, пени</v>
          </cell>
        </row>
        <row r="44">
          <cell r="B44" t="str">
            <v>В-00553/КЛ.Транш - 8</v>
          </cell>
          <cell r="C44" t="str">
            <v>2/3%, пени</v>
          </cell>
        </row>
        <row r="45">
          <cell r="B45" t="str">
            <v>В-00553/КЛ.Транш - 5</v>
          </cell>
          <cell r="C45" t="str">
            <v>2/3%, пени</v>
          </cell>
        </row>
        <row r="46">
          <cell r="B46" t="str">
            <v>В-00553/КЛ.Транш - 7</v>
          </cell>
          <cell r="C46" t="str">
            <v>1/2%, пени</v>
          </cell>
        </row>
        <row r="47">
          <cell r="B47" t="str">
            <v>В-15393/КЛ.Транш - 1</v>
          </cell>
          <cell r="C47" t="str">
            <v>тек пени</v>
          </cell>
        </row>
        <row r="48">
          <cell r="B48" t="str">
            <v>В-01013/КЛ.Транш - 1</v>
          </cell>
          <cell r="C48" t="str">
            <v>1/3%, пени</v>
          </cell>
        </row>
        <row r="49">
          <cell r="B49" t="str">
            <v>Т-01880/АЗ_Т-20211028/Ц</v>
          </cell>
          <cell r="C49" t="str">
            <v>тек пени</v>
          </cell>
        </row>
        <row r="50">
          <cell r="B50" t="str">
            <v>В-24072/АЗ</v>
          </cell>
          <cell r="C50" t="str">
            <v>1/2%, пени</v>
          </cell>
        </row>
        <row r="51">
          <cell r="B51" t="str">
            <v>В-09213/КЛ.Транш - 1</v>
          </cell>
          <cell r="C51" t="str">
            <v>тек пени</v>
          </cell>
        </row>
        <row r="52">
          <cell r="B52" t="str">
            <v>В-20109/КЛ.Транш - 1</v>
          </cell>
          <cell r="C52" t="str">
            <v>1/3%, пени</v>
          </cell>
        </row>
        <row r="53">
          <cell r="B53" t="str">
            <v>В-15512/КЛ.Транш - 1</v>
          </cell>
          <cell r="C53" t="str">
            <v>1/2%, пени</v>
          </cell>
        </row>
        <row r="54">
          <cell r="B54" t="str">
            <v>В-18022/КЛ.Транш - 1</v>
          </cell>
          <cell r="C54" t="str">
            <v>2/3%, пени</v>
          </cell>
        </row>
        <row r="55">
          <cell r="B55" t="str">
            <v>В-10701/КЛ.Транш - 2</v>
          </cell>
          <cell r="C55" t="str">
            <v>тек пени</v>
          </cell>
        </row>
        <row r="56">
          <cell r="B56" t="str">
            <v>В-23045/КЛ.Транш - 1</v>
          </cell>
          <cell r="C56" t="str">
            <v>тек пени</v>
          </cell>
        </row>
        <row r="57">
          <cell r="B57" t="str">
            <v>В-24909/АЗ</v>
          </cell>
          <cell r="C57" t="str">
            <v>тек пени</v>
          </cell>
        </row>
        <row r="58">
          <cell r="B58" t="str">
            <v>В-19828/КЛ.Транш - 1</v>
          </cell>
          <cell r="C58" t="str">
            <v>1/3%, пени</v>
          </cell>
        </row>
        <row r="59">
          <cell r="B59" t="str">
            <v>В-25211/АЗ</v>
          </cell>
          <cell r="C59" t="str">
            <v>тек пени</v>
          </cell>
        </row>
        <row r="60">
          <cell r="B60" t="str">
            <v>В-00439/КЛ.Транш - 1</v>
          </cell>
          <cell r="C60" t="str">
            <v>2/3%, пени</v>
          </cell>
        </row>
        <row r="61">
          <cell r="B61" t="str">
            <v>В-00439/КЛ.Транш - 2</v>
          </cell>
          <cell r="C61" t="str">
            <v>тек пени</v>
          </cell>
        </row>
        <row r="62">
          <cell r="B62" t="str">
            <v>В-12391/КЛ.Транш - 2</v>
          </cell>
          <cell r="C62" t="str">
            <v>1/3%, пени</v>
          </cell>
        </row>
        <row r="63">
          <cell r="B63" t="str">
            <v>В-12391/КЛ.Транш - 1</v>
          </cell>
          <cell r="C63" t="str">
            <v>тек пени</v>
          </cell>
        </row>
        <row r="64">
          <cell r="B64" t="str">
            <v>В-01188/АЗ</v>
          </cell>
          <cell r="C64" t="str">
            <v>1/3%, пени</v>
          </cell>
        </row>
        <row r="65">
          <cell r="B65" t="str">
            <v>В-01200/АЗ</v>
          </cell>
          <cell r="C65" t="str">
            <v>1/3%, пени</v>
          </cell>
        </row>
        <row r="66">
          <cell r="B66" t="str">
            <v>В-15750/КЛ.Транш - 2</v>
          </cell>
          <cell r="C66" t="str">
            <v>тек пени</v>
          </cell>
        </row>
        <row r="67">
          <cell r="B67" t="str">
            <v>В-15750/КЛ.Транш - 3</v>
          </cell>
          <cell r="C67" t="str">
            <v>тек пени</v>
          </cell>
        </row>
        <row r="68">
          <cell r="B68" t="str">
            <v>В-15750/КЛ.Транш - 1</v>
          </cell>
          <cell r="C68" t="str">
            <v>тек пени</v>
          </cell>
        </row>
        <row r="69">
          <cell r="B69" t="str">
            <v>В-18654/КЛ.Транш - 1</v>
          </cell>
          <cell r="C69" t="str">
            <v>1/3%, пени</v>
          </cell>
        </row>
        <row r="70">
          <cell r="B70" t="str">
            <v>В-06992/КЛ.Транш - 1</v>
          </cell>
          <cell r="C70" t="str">
            <v>тек пени</v>
          </cell>
        </row>
        <row r="71">
          <cell r="B71" t="str">
            <v>Т-01868/АЗ_Т-20211028/Ц</v>
          </cell>
          <cell r="C71" t="str">
            <v>тек пени</v>
          </cell>
        </row>
        <row r="72">
          <cell r="B72" t="str">
            <v>В-11595/КЛ.Транш - 1</v>
          </cell>
          <cell r="C72" t="str">
            <v>2/3%, пени</v>
          </cell>
        </row>
        <row r="73">
          <cell r="B73" t="str">
            <v>В-03329/КЛ.Транш - 11</v>
          </cell>
          <cell r="C73" t="str">
            <v>тек пени</v>
          </cell>
        </row>
        <row r="74">
          <cell r="B74" t="str">
            <v>В-03329/КЛ.Транш - 12</v>
          </cell>
          <cell r="C74" t="str">
            <v>тек пени</v>
          </cell>
        </row>
        <row r="75">
          <cell r="B75" t="str">
            <v>В-21040/КЛ.Транш - 1</v>
          </cell>
          <cell r="C75" t="str">
            <v>тек пени</v>
          </cell>
        </row>
        <row r="76">
          <cell r="B76" t="str">
            <v>В-21454/КЛ.Транш - 1</v>
          </cell>
          <cell r="C76" t="str">
            <v>пени</v>
          </cell>
        </row>
        <row r="77">
          <cell r="B77" t="str">
            <v>В-15165/КЛ.Транш - 1</v>
          </cell>
          <cell r="C77" t="str">
            <v>1/2%, пени</v>
          </cell>
        </row>
        <row r="78">
          <cell r="B78" t="str">
            <v>В-13136/КЛ.Транш - 1</v>
          </cell>
          <cell r="C78" t="str">
            <v>2/3%, пени</v>
          </cell>
        </row>
        <row r="79">
          <cell r="B79" t="str">
            <v>В-21847/КЛ.Транш - 1</v>
          </cell>
          <cell r="C79" t="str">
            <v>тек пени</v>
          </cell>
        </row>
        <row r="80">
          <cell r="B80" t="str">
            <v>А-04843/АЗ</v>
          </cell>
          <cell r="C80" t="str">
            <v>1/3%, пени</v>
          </cell>
        </row>
        <row r="81">
          <cell r="B81" t="str">
            <v>В-12919/КЛ.Транш - 1</v>
          </cell>
          <cell r="C81" t="str">
            <v>тек пени</v>
          </cell>
        </row>
        <row r="82">
          <cell r="B82" t="str">
            <v>В-00634/АЗ</v>
          </cell>
          <cell r="C82" t="str">
            <v>тек пени</v>
          </cell>
        </row>
        <row r="83">
          <cell r="B83" t="str">
            <v>В-05079/КЛ.Транш - 1</v>
          </cell>
          <cell r="C83" t="str">
            <v>тек пени</v>
          </cell>
        </row>
        <row r="84">
          <cell r="B84" t="str">
            <v>В-15487/КЛ.Транш - 1</v>
          </cell>
          <cell r="C84" t="str">
            <v>пени</v>
          </cell>
        </row>
        <row r="85">
          <cell r="B85" t="str">
            <v>В-15487/КЛ.Транш - 2</v>
          </cell>
          <cell r="C85" t="str">
            <v>тек пени</v>
          </cell>
        </row>
        <row r="86">
          <cell r="B86" t="str">
            <v>В-15487/КЛ.Транш - 3</v>
          </cell>
          <cell r="C86" t="str">
            <v>тек пени</v>
          </cell>
        </row>
        <row r="87">
          <cell r="B87" t="str">
            <v>В-12579/КЛ.Транш - 1</v>
          </cell>
          <cell r="C87" t="str">
            <v>1/2%, пени</v>
          </cell>
        </row>
        <row r="88">
          <cell r="B88" t="str">
            <v>В-17199/КЛ.Транш - 2</v>
          </cell>
          <cell r="C88" t="str">
            <v>тек пени</v>
          </cell>
        </row>
        <row r="89">
          <cell r="B89" t="str">
            <v>В-17199/КЛ.Транш - 1</v>
          </cell>
          <cell r="C89" t="str">
            <v>тек пени</v>
          </cell>
        </row>
        <row r="90">
          <cell r="B90" t="str">
            <v>В-17199/КЛ.Транш - 3</v>
          </cell>
          <cell r="C90" t="str">
            <v>тек пени</v>
          </cell>
        </row>
        <row r="91">
          <cell r="B91" t="str">
            <v>В-12483/КЛ.Транш - 1</v>
          </cell>
          <cell r="C91" t="str">
            <v>тек пени</v>
          </cell>
        </row>
        <row r="92">
          <cell r="B92" t="str">
            <v>В-01147/АЗ</v>
          </cell>
          <cell r="C92" t="str">
            <v>пени</v>
          </cell>
        </row>
        <row r="93">
          <cell r="B93" t="str">
            <v>В-00239/КЛ.Транш - 1</v>
          </cell>
          <cell r="C93" t="str">
            <v>тек пени</v>
          </cell>
        </row>
        <row r="94">
          <cell r="B94" t="str">
            <v>В-19949/КЛ.Транш - 1</v>
          </cell>
          <cell r="C94" t="str">
            <v>тек пени</v>
          </cell>
        </row>
        <row r="95">
          <cell r="B95" t="str">
            <v>В-20437/КЛ.Транш - 1</v>
          </cell>
          <cell r="C95" t="str">
            <v>пени</v>
          </cell>
        </row>
        <row r="96">
          <cell r="B96" t="str">
            <v>В-13104/КЛ.Транш - 1</v>
          </cell>
          <cell r="C96" t="str">
            <v>тек пени</v>
          </cell>
        </row>
        <row r="97">
          <cell r="B97" t="str">
            <v>В-13828/КЛ.Транш - 1</v>
          </cell>
          <cell r="C97" t="str">
            <v>тек пени</v>
          </cell>
        </row>
        <row r="98">
          <cell r="B98" t="str">
            <v>В-20497/КЛ.Транш - 2</v>
          </cell>
          <cell r="C98" t="str">
            <v>пени</v>
          </cell>
        </row>
        <row r="99">
          <cell r="B99" t="str">
            <v>В-20497/КЛ.Транш - 1</v>
          </cell>
          <cell r="C99" t="str">
            <v>тек пени</v>
          </cell>
        </row>
        <row r="100">
          <cell r="B100" t="str">
            <v>В-07093/КЛ.Транш - 6</v>
          </cell>
          <cell r="C100" t="str">
            <v>тек пени</v>
          </cell>
        </row>
        <row r="101">
          <cell r="B101" t="str">
            <v>В-07093/КЛ.Транш - 5</v>
          </cell>
          <cell r="C101" t="str">
            <v>тек пени</v>
          </cell>
        </row>
        <row r="102">
          <cell r="B102" t="str">
            <v>В-07941/КЛ.Транш - 2</v>
          </cell>
          <cell r="C102" t="str">
            <v>тек пени</v>
          </cell>
        </row>
        <row r="103">
          <cell r="B103" t="str">
            <v>В-01159/АЗ</v>
          </cell>
          <cell r="C103" t="str">
            <v>2/3%, пени</v>
          </cell>
        </row>
        <row r="104">
          <cell r="B104" t="str">
            <v>А-04859/АЗ</v>
          </cell>
          <cell r="C104" t="str">
            <v>1/2%, пени</v>
          </cell>
        </row>
        <row r="105">
          <cell r="B105" t="str">
            <v>В-08820/КЛ.Транш - 1</v>
          </cell>
          <cell r="C105" t="str">
            <v>тек пени</v>
          </cell>
        </row>
        <row r="106">
          <cell r="B106" t="str">
            <v>В-22426/КЛ.Транш - 1</v>
          </cell>
          <cell r="C106" t="str">
            <v>1/3%, пени</v>
          </cell>
        </row>
        <row r="107">
          <cell r="B107" t="str">
            <v>В-18163/КЛ.Транш - 1</v>
          </cell>
          <cell r="C107" t="str">
            <v>2/3%, пени</v>
          </cell>
        </row>
        <row r="108">
          <cell r="B108" t="str">
            <v>В-19585/КЛ.Транш - 1</v>
          </cell>
          <cell r="C108" t="str">
            <v>тек пени</v>
          </cell>
        </row>
        <row r="109">
          <cell r="B109" t="str">
            <v>В-20546/КЛ.Транш - 1</v>
          </cell>
          <cell r="C109" t="str">
            <v>1/2%, пени</v>
          </cell>
        </row>
        <row r="110">
          <cell r="B110" t="str">
            <v>В-22642/КЛ.Транш - 1</v>
          </cell>
          <cell r="C110" t="str">
            <v>тек пени</v>
          </cell>
        </row>
        <row r="111">
          <cell r="B111" t="str">
            <v>В-18366/КЛ.Транш - 1</v>
          </cell>
          <cell r="C111" t="str">
            <v>1/2%, пени</v>
          </cell>
        </row>
        <row r="112">
          <cell r="B112" t="str">
            <v>А-05212/АЗ</v>
          </cell>
          <cell r="C112" t="str">
            <v>тек пени</v>
          </cell>
        </row>
        <row r="113">
          <cell r="B113" t="str">
            <v>В-01107/АЗ</v>
          </cell>
          <cell r="C113" t="str">
            <v>тек пени</v>
          </cell>
        </row>
        <row r="114">
          <cell r="B114" t="str">
            <v>В-20046/КЛ.Транш - 1</v>
          </cell>
          <cell r="C114" t="str">
            <v>1/2%, пени</v>
          </cell>
        </row>
        <row r="115">
          <cell r="B115" t="str">
            <v>В-20855/КЛ.Транш - 1</v>
          </cell>
          <cell r="C115" t="str">
            <v>2/3%, пени</v>
          </cell>
        </row>
        <row r="116">
          <cell r="B116" t="str">
            <v>В-13202/КЛ.Транш - 1</v>
          </cell>
          <cell r="C116" t="str">
            <v>1/2%, пени</v>
          </cell>
        </row>
        <row r="117">
          <cell r="B117" t="str">
            <v>В-13202/КЛ.Транш - 2</v>
          </cell>
          <cell r="C117" t="str">
            <v>пени</v>
          </cell>
        </row>
        <row r="118">
          <cell r="B118" t="str">
            <v>В-13202/КЛ.Транш - 3</v>
          </cell>
          <cell r="C118" t="str">
            <v>пени</v>
          </cell>
        </row>
        <row r="119">
          <cell r="B119" t="str">
            <v>В-15451/КЛ.Транш - 1</v>
          </cell>
          <cell r="C119" t="str">
            <v>1/2%, пени</v>
          </cell>
        </row>
        <row r="120">
          <cell r="B120" t="str">
            <v>А-05392/АЗ</v>
          </cell>
          <cell r="C120" t="str">
            <v>тек пени</v>
          </cell>
        </row>
        <row r="121">
          <cell r="B121" t="str">
            <v>Т-01827/АЗ_Т-20211028/Ц</v>
          </cell>
          <cell r="C121" t="str">
            <v>тек пени</v>
          </cell>
        </row>
        <row r="122">
          <cell r="B122" t="str">
            <v>В-18715/КЛ.Транш - 4</v>
          </cell>
          <cell r="C122" t="str">
            <v>тек пени</v>
          </cell>
        </row>
        <row r="123">
          <cell r="B123" t="str">
            <v>В-23633/КЛ.Транш - 1</v>
          </cell>
          <cell r="C123" t="str">
            <v>пени</v>
          </cell>
        </row>
        <row r="124">
          <cell r="B124" t="str">
            <v>В-13219/КЛ.Транш - 1</v>
          </cell>
          <cell r="C124" t="str">
            <v>тек пени</v>
          </cell>
        </row>
        <row r="125">
          <cell r="B125" t="str">
            <v>В-22100/КЛ.Транш - 1</v>
          </cell>
          <cell r="C125" t="str">
            <v>2/3%, пени</v>
          </cell>
        </row>
        <row r="126">
          <cell r="B126" t="str">
            <v>В-20592/КЛ.Транш - 2</v>
          </cell>
          <cell r="C126" t="str">
            <v>пени</v>
          </cell>
        </row>
        <row r="127">
          <cell r="B127" t="str">
            <v>В-11334/КЛ.Транш - 1</v>
          </cell>
          <cell r="C127" t="str">
            <v>тек пени</v>
          </cell>
        </row>
        <row r="128">
          <cell r="B128" t="str">
            <v>В-17380/КЛ.Транш - 1</v>
          </cell>
          <cell r="C128" t="str">
            <v>тек пени</v>
          </cell>
        </row>
        <row r="129">
          <cell r="B129" t="str">
            <v>В-15778/КЛ.Транш - 1</v>
          </cell>
          <cell r="C129" t="str">
            <v>тек пени</v>
          </cell>
        </row>
        <row r="130">
          <cell r="B130" t="str">
            <v>В-16768/КЛ.Транш - 1</v>
          </cell>
          <cell r="C130" t="str">
            <v>пени</v>
          </cell>
        </row>
        <row r="131">
          <cell r="B131" t="str">
            <v>В-09890/КЛ.Транш - 1</v>
          </cell>
          <cell r="C131" t="str">
            <v>1/2%, пени</v>
          </cell>
        </row>
        <row r="132">
          <cell r="B132" t="str">
            <v>В-18438/КЛ.Транш - 1</v>
          </cell>
          <cell r="C132" t="str">
            <v>тек пени</v>
          </cell>
        </row>
        <row r="133">
          <cell r="B133" t="str">
            <v>В-17106/КЛ.Транш - 1</v>
          </cell>
          <cell r="C133" t="str">
            <v>тек пени</v>
          </cell>
        </row>
        <row r="134">
          <cell r="B134" t="str">
            <v>В-17597/КЛ.Транш - 2</v>
          </cell>
          <cell r="C134" t="str">
            <v>1/2%, пени</v>
          </cell>
        </row>
        <row r="135">
          <cell r="B135" t="str">
            <v>В-17597/КЛ.Транш - 1</v>
          </cell>
          <cell r="C135" t="str">
            <v>1/3%, пени</v>
          </cell>
        </row>
        <row r="136">
          <cell r="B136" t="str">
            <v>А-05151/АЗ</v>
          </cell>
          <cell r="C136" t="str">
            <v>пени</v>
          </cell>
        </row>
        <row r="137">
          <cell r="B137" t="str">
            <v>Т-01744/АЗ_Т-20211028/Ц</v>
          </cell>
          <cell r="C137" t="str">
            <v>пени</v>
          </cell>
        </row>
        <row r="138">
          <cell r="B138" t="str">
            <v>В-15030/КЛ.Транш - 1</v>
          </cell>
          <cell r="C138" t="str">
            <v>1/3%, пени</v>
          </cell>
        </row>
        <row r="139">
          <cell r="B139" t="str">
            <v>В-15878/КЛ.Транш - 1</v>
          </cell>
          <cell r="C139" t="str">
            <v>тек пени</v>
          </cell>
        </row>
        <row r="140">
          <cell r="B140" t="str">
            <v>В-15878/КЛ.Транш - 2</v>
          </cell>
          <cell r="C140" t="str">
            <v>тек пени</v>
          </cell>
        </row>
        <row r="141">
          <cell r="B141" t="str">
            <v>В-10006/КЭ.Транш - 1</v>
          </cell>
          <cell r="C141" t="str">
            <v>тек пени</v>
          </cell>
        </row>
        <row r="142">
          <cell r="B142" t="str">
            <v>Т-10006/КЭ_Т-20211028/Ц</v>
          </cell>
          <cell r="C142" t="str">
            <v>тек пени</v>
          </cell>
        </row>
        <row r="143">
          <cell r="B143" t="str">
            <v>В-00021/КЭ.Транш - 1</v>
          </cell>
          <cell r="C143" t="str">
            <v>1/2%, пени</v>
          </cell>
        </row>
        <row r="144">
          <cell r="B144" t="str">
            <v>В-19662/КЛ.Транш - 1</v>
          </cell>
          <cell r="C144" t="str">
            <v>тек пени</v>
          </cell>
        </row>
        <row r="145">
          <cell r="B145" t="str">
            <v>В-00972/АЗ</v>
          </cell>
          <cell r="C145" t="str">
            <v>тек пени</v>
          </cell>
        </row>
        <row r="146">
          <cell r="B146" t="str">
            <v>В-17362/КЛ.Транш - 1</v>
          </cell>
          <cell r="C146" t="str">
            <v>1/2%, пени</v>
          </cell>
        </row>
        <row r="147">
          <cell r="B147" t="str">
            <v>В-17095/КЛ.Транш - 1</v>
          </cell>
          <cell r="C147" t="str">
            <v>тек пени</v>
          </cell>
        </row>
        <row r="148">
          <cell r="B148" t="str">
            <v>В-23840/КЛ.Транш - 1</v>
          </cell>
          <cell r="C148" t="str">
            <v>тек пени</v>
          </cell>
        </row>
        <row r="149">
          <cell r="B149" t="str">
            <v>В-15021/КЛ.Транш - 4</v>
          </cell>
          <cell r="C149" t="str">
            <v>тек пени</v>
          </cell>
        </row>
        <row r="150">
          <cell r="B150" t="str">
            <v>В-01898/КЛ.Транш - 1</v>
          </cell>
          <cell r="C150" t="str">
            <v>пени</v>
          </cell>
        </row>
        <row r="151">
          <cell r="B151" t="str">
            <v>В-20397/КЛ.Транш - 1</v>
          </cell>
          <cell r="C151" t="str">
            <v>пени</v>
          </cell>
        </row>
        <row r="152">
          <cell r="B152" t="str">
            <v>В-14196/КЛ.Транш - 1</v>
          </cell>
          <cell r="C152" t="str">
            <v>тек пени</v>
          </cell>
        </row>
        <row r="153">
          <cell r="B153" t="str">
            <v>В-01179/АЗ</v>
          </cell>
          <cell r="C153" t="str">
            <v>2/3%, пени</v>
          </cell>
        </row>
        <row r="154">
          <cell r="B154" t="str">
            <v>В-01098/АЗ</v>
          </cell>
          <cell r="C154" t="str">
            <v>тек пени</v>
          </cell>
        </row>
        <row r="155">
          <cell r="B155" t="str">
            <v>В-12014/КЛ.Транш - 2</v>
          </cell>
          <cell r="C155" t="str">
            <v>пени</v>
          </cell>
        </row>
        <row r="156">
          <cell r="B156" t="str">
            <v>В-12014/КЛ.Транш - 1</v>
          </cell>
          <cell r="C156" t="str">
            <v>пени</v>
          </cell>
        </row>
        <row r="157">
          <cell r="B157" t="str">
            <v>В-23325/АЗ</v>
          </cell>
          <cell r="C157" t="str">
            <v>1/2%, пени</v>
          </cell>
        </row>
        <row r="158">
          <cell r="B158" t="str">
            <v>В-23339/АЗ</v>
          </cell>
          <cell r="C158" t="str">
            <v>1/2%, пени</v>
          </cell>
        </row>
        <row r="159">
          <cell r="B159" t="str">
            <v>В-14529/КЛ.Транш - 1</v>
          </cell>
          <cell r="C159" t="str">
            <v>2/3%, пени</v>
          </cell>
        </row>
        <row r="160">
          <cell r="B160" t="str">
            <v>В-25229/АЗ</v>
          </cell>
          <cell r="C160" t="str">
            <v>тек пени</v>
          </cell>
        </row>
        <row r="161">
          <cell r="B161" t="str">
            <v>В-01175/АЗ</v>
          </cell>
          <cell r="C161" t="str">
            <v>пени</v>
          </cell>
        </row>
        <row r="162">
          <cell r="B162" t="str">
            <v>В-25071/КЛ.Транш - 1</v>
          </cell>
          <cell r="C162" t="str">
            <v>тек пени</v>
          </cell>
        </row>
        <row r="163">
          <cell r="B163" t="str">
            <v>В-03259/КЛ.Транш - 1</v>
          </cell>
          <cell r="C163" t="str">
            <v>тек пени</v>
          </cell>
        </row>
        <row r="164">
          <cell r="B164" t="str">
            <v>В-01148/АЗ</v>
          </cell>
          <cell r="C164" t="str">
            <v>пени</v>
          </cell>
        </row>
        <row r="165">
          <cell r="B165" t="str">
            <v>В-12401/КЛ.Транш - 1</v>
          </cell>
          <cell r="C165" t="str">
            <v>тек пени</v>
          </cell>
        </row>
        <row r="166">
          <cell r="B166" t="str">
            <v>В-12401/КЛ.Транш - 2</v>
          </cell>
          <cell r="C166" t="str">
            <v>тек пени</v>
          </cell>
        </row>
        <row r="167">
          <cell r="B167" t="str">
            <v>В-01051/АЗ</v>
          </cell>
          <cell r="C167" t="str">
            <v>тек пени</v>
          </cell>
        </row>
        <row r="168">
          <cell r="B168" t="str">
            <v>В-01050/АЗ</v>
          </cell>
          <cell r="C168" t="str">
            <v>тек пени</v>
          </cell>
        </row>
        <row r="169">
          <cell r="B169" t="str">
            <v>В-00951/АЗ</v>
          </cell>
          <cell r="C169" t="str">
            <v>1/2%, пени</v>
          </cell>
        </row>
        <row r="170">
          <cell r="B170" t="str">
            <v>Т-01931/АЗ_Т-20211028/Ц</v>
          </cell>
          <cell r="C170" t="str">
            <v>1/2%, пени</v>
          </cell>
        </row>
        <row r="171">
          <cell r="B171" t="str">
            <v>В-01163/АЗ</v>
          </cell>
          <cell r="C171" t="str">
            <v>тек пени</v>
          </cell>
        </row>
        <row r="172">
          <cell r="B172" t="str">
            <v>В-22026/КЛ.Транш - 1</v>
          </cell>
          <cell r="C172" t="str">
            <v>1/3%, пени</v>
          </cell>
        </row>
        <row r="173">
          <cell r="B173" t="str">
            <v>В-00017/КЛ.Транш - 2</v>
          </cell>
          <cell r="C173" t="str">
            <v>1/2%, пени</v>
          </cell>
        </row>
        <row r="174">
          <cell r="B174" t="str">
            <v>В-00017/КЛ.Транш - 3</v>
          </cell>
          <cell r="C174" t="str">
            <v>тек пени</v>
          </cell>
        </row>
        <row r="175">
          <cell r="B175" t="str">
            <v>В-15560/КЛ.Транш - 1</v>
          </cell>
          <cell r="C175" t="str">
            <v>тек пени</v>
          </cell>
        </row>
        <row r="176">
          <cell r="B176" t="str">
            <v>В-12410/КЛ.Транш - 1</v>
          </cell>
          <cell r="C176" t="str">
            <v>2/3%, пени</v>
          </cell>
        </row>
        <row r="177">
          <cell r="B177" t="str">
            <v>В-07147/КЛ.Транш - 2</v>
          </cell>
          <cell r="C177" t="str">
            <v>2/3%, пени</v>
          </cell>
        </row>
        <row r="178">
          <cell r="B178" t="str">
            <v>В-07147/КЛ.Транш - 1</v>
          </cell>
          <cell r="C178" t="str">
            <v>2/3%, пени</v>
          </cell>
        </row>
        <row r="179">
          <cell r="B179" t="str">
            <v>В-12080/КЛ.Транш - 1</v>
          </cell>
          <cell r="C179" t="str">
            <v>тек пени</v>
          </cell>
        </row>
        <row r="180">
          <cell r="B180" t="str">
            <v>В-03359/КЛ.Транш - 5</v>
          </cell>
          <cell r="C180" t="str">
            <v>тек пени</v>
          </cell>
        </row>
        <row r="181">
          <cell r="B181" t="str">
            <v>В-00137/АЗ</v>
          </cell>
          <cell r="C181" t="str">
            <v>2/3%, пени</v>
          </cell>
        </row>
        <row r="182">
          <cell r="B182" t="str">
            <v>В-00763/АЗ</v>
          </cell>
          <cell r="C182" t="str">
            <v>2/3%, пени</v>
          </cell>
        </row>
        <row r="183">
          <cell r="B183" t="str">
            <v>В-02707/КЛ.Транш - 1</v>
          </cell>
          <cell r="C183" t="str">
            <v>1/2%, пени</v>
          </cell>
        </row>
        <row r="184">
          <cell r="B184" t="str">
            <v>В-16023/КЛ.Транш - 1</v>
          </cell>
          <cell r="C184" t="str">
            <v>тек пени</v>
          </cell>
        </row>
        <row r="185">
          <cell r="B185" t="str">
            <v>В-15074/КЛ.Транш - 1</v>
          </cell>
          <cell r="C185" t="str">
            <v>тек пени</v>
          </cell>
        </row>
        <row r="186">
          <cell r="B186" t="str">
            <v>В-18036/КЛ.Транш - 1</v>
          </cell>
          <cell r="C186" t="str">
            <v>тек пени</v>
          </cell>
        </row>
        <row r="187">
          <cell r="B187" t="str">
            <v>В-20766/КЛ.Транш - 1</v>
          </cell>
          <cell r="C187" t="str">
            <v>тек пени</v>
          </cell>
        </row>
        <row r="188">
          <cell r="B188" t="str">
            <v>В-15822/КЛ.Транш - 1</v>
          </cell>
          <cell r="C188" t="str">
            <v>тек пени</v>
          </cell>
        </row>
        <row r="189">
          <cell r="B189" t="str">
            <v>В-20193/КЛ.Транш - 1</v>
          </cell>
          <cell r="C189" t="str">
            <v>тек пени</v>
          </cell>
        </row>
        <row r="190">
          <cell r="B190" t="str">
            <v>В-00461/АЗ</v>
          </cell>
          <cell r="C190" t="str">
            <v>тек пени</v>
          </cell>
        </row>
        <row r="191">
          <cell r="B191" t="str">
            <v>В-17506/КЛ.Транш - 1</v>
          </cell>
          <cell r="C191" t="str">
            <v>тек пени</v>
          </cell>
        </row>
        <row r="192">
          <cell r="B192" t="str">
            <v>Т-01914/АЗ_Т-20211028/Ц</v>
          </cell>
          <cell r="C192" t="str">
            <v>1/2%, пени</v>
          </cell>
        </row>
        <row r="193">
          <cell r="B193" t="str">
            <v>В-13254/КЛ.Транш - 1</v>
          </cell>
          <cell r="C193" t="str">
            <v>тек пени</v>
          </cell>
        </row>
        <row r="194">
          <cell r="B194" t="str">
            <v>В-10934/КЛ.Транш - 1</v>
          </cell>
          <cell r="C194" t="str">
            <v>1/2%, пени</v>
          </cell>
        </row>
        <row r="195">
          <cell r="B195" t="str">
            <v>В-14247/КЛ.Транш - 2</v>
          </cell>
          <cell r="C195" t="str">
            <v>тек пени</v>
          </cell>
        </row>
        <row r="196">
          <cell r="B196" t="str">
            <v>В-01665/КЛ.Транш - 5</v>
          </cell>
          <cell r="C196" t="str">
            <v>тек пени</v>
          </cell>
        </row>
        <row r="197">
          <cell r="B197" t="str">
            <v>В-19655/КЛ.Транш - 1</v>
          </cell>
          <cell r="C197" t="str">
            <v>тек пени</v>
          </cell>
        </row>
        <row r="198">
          <cell r="B198" t="str">
            <v>В-16229/КЛ.Транш - 1</v>
          </cell>
          <cell r="C198" t="str">
            <v>тек пени</v>
          </cell>
        </row>
        <row r="199">
          <cell r="B199" t="str">
            <v>В-21137/КЛ.Транш - 1</v>
          </cell>
          <cell r="C199" t="str">
            <v>пени</v>
          </cell>
        </row>
        <row r="200">
          <cell r="B200" t="str">
            <v>В-17708/КЛ.Транш - 1</v>
          </cell>
          <cell r="C200" t="str">
            <v>1/2%, пени</v>
          </cell>
        </row>
        <row r="201">
          <cell r="B201" t="str">
            <v>В-10012/КЭ.Транш - 1</v>
          </cell>
          <cell r="C201" t="str">
            <v>тек пени</v>
          </cell>
        </row>
        <row r="202">
          <cell r="B202" t="str">
            <v>В-22673/КЛ.Транш - 1</v>
          </cell>
          <cell r="C202" t="str">
            <v>тек пени</v>
          </cell>
        </row>
        <row r="203">
          <cell r="B203" t="str">
            <v>В-17805/КЛ.Транш - 2</v>
          </cell>
          <cell r="C203" t="str">
            <v>пени</v>
          </cell>
        </row>
        <row r="204">
          <cell r="B204" t="str">
            <v>В-12246/КЛ.Транш - 1</v>
          </cell>
          <cell r="C204" t="str">
            <v>тек пени</v>
          </cell>
        </row>
        <row r="205">
          <cell r="B205" t="str">
            <v>В-01692/КЛ.Транш - 1</v>
          </cell>
          <cell r="C205" t="str">
            <v>тек пени</v>
          </cell>
        </row>
        <row r="206">
          <cell r="B206" t="str">
            <v>В-13336/КЛ.Транш - 2</v>
          </cell>
          <cell r="C206" t="str">
            <v>тек пени</v>
          </cell>
        </row>
        <row r="207">
          <cell r="B207" t="str">
            <v>В-12670/КЛ.Транш - 1</v>
          </cell>
          <cell r="C207" t="str">
            <v>тек пени</v>
          </cell>
        </row>
        <row r="208">
          <cell r="B208" t="str">
            <v>В-22822/КЛ.Транш - 1</v>
          </cell>
          <cell r="C208" t="str">
            <v>тек пени</v>
          </cell>
        </row>
        <row r="209">
          <cell r="B209" t="str">
            <v>В-19354/КЛ.Транш - 1</v>
          </cell>
          <cell r="C209" t="str">
            <v>тек пени</v>
          </cell>
        </row>
        <row r="210">
          <cell r="B210" t="str">
            <v>В-22137/КЛ.Транш - 1</v>
          </cell>
          <cell r="C210" t="str">
            <v>1/2%, пени</v>
          </cell>
        </row>
        <row r="211">
          <cell r="B211" t="str">
            <v>В-18334/КЛ.Транш - 1</v>
          </cell>
          <cell r="C211" t="str">
            <v>тек пени</v>
          </cell>
        </row>
        <row r="212">
          <cell r="B212" t="str">
            <v>А-05360/АЗ</v>
          </cell>
          <cell r="C212" t="str">
            <v>тек пени</v>
          </cell>
        </row>
        <row r="213">
          <cell r="B213" t="str">
            <v>В-25131/КЛ.Транш - 1</v>
          </cell>
          <cell r="C213" t="str">
            <v>тек пени</v>
          </cell>
        </row>
        <row r="214">
          <cell r="B214" t="str">
            <v>В-24642/АЗ</v>
          </cell>
          <cell r="C214" t="str">
            <v>тек пени</v>
          </cell>
        </row>
        <row r="215">
          <cell r="B215" t="str">
            <v>В-19526/КЛ.Транш - 1</v>
          </cell>
          <cell r="C215" t="str">
            <v>тек пени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КО"/>
    </sheetNames>
    <sheetDataSet>
      <sheetData sheetId="0">
        <row r="1">
          <cell r="A1" t="str">
            <v>В-10050/КЛ</v>
          </cell>
        </row>
        <row r="2">
          <cell r="A2" t="str">
            <v>В-28436/АЗ</v>
          </cell>
        </row>
        <row r="3">
          <cell r="A3" t="str">
            <v>В-01174/АЗ</v>
          </cell>
        </row>
        <row r="4">
          <cell r="A4" t="str">
            <v>В-20952/КЛ</v>
          </cell>
        </row>
        <row r="5">
          <cell r="A5" t="str">
            <v>В-27914/КЛ</v>
          </cell>
        </row>
        <row r="6">
          <cell r="A6" t="str">
            <v>В-28587/КЛ</v>
          </cell>
        </row>
        <row r="7">
          <cell r="A7" t="str">
            <v>В-21872/КЛ</v>
          </cell>
        </row>
        <row r="8">
          <cell r="A8" t="str">
            <v>В-08644/КЛ</v>
          </cell>
        </row>
        <row r="9">
          <cell r="A9" t="str">
            <v>В-12943/КЛ</v>
          </cell>
        </row>
        <row r="10">
          <cell r="A10" t="str">
            <v>В-25824/КЛ</v>
          </cell>
        </row>
        <row r="11">
          <cell r="A11" t="str">
            <v>В-00052/КЭ</v>
          </cell>
        </row>
        <row r="12">
          <cell r="A12" t="str">
            <v>В-26114/КЛ</v>
          </cell>
        </row>
        <row r="13">
          <cell r="A13" t="str">
            <v>В-26664/КЛ</v>
          </cell>
        </row>
        <row r="14">
          <cell r="A14" t="str">
            <v>В-10014/КЭ</v>
          </cell>
        </row>
        <row r="15">
          <cell r="A15" t="str">
            <v>В-02583/КЛ</v>
          </cell>
        </row>
        <row r="16">
          <cell r="A16" t="str">
            <v>В-27049/АЗ</v>
          </cell>
        </row>
        <row r="17">
          <cell r="A17" t="str">
            <v>В-17318/КЛ</v>
          </cell>
        </row>
        <row r="18">
          <cell r="A18" t="str">
            <v>В-25052/КЛ</v>
          </cell>
        </row>
        <row r="19">
          <cell r="A19" t="str">
            <v>В-21137/КЛ</v>
          </cell>
        </row>
        <row r="20">
          <cell r="A20" t="str">
            <v>В-25865/КЛ</v>
          </cell>
        </row>
        <row r="21">
          <cell r="A21" t="str">
            <v>В-25306/КЛ</v>
          </cell>
        </row>
        <row r="22">
          <cell r="A22" t="str">
            <v>В-03300/КЛ</v>
          </cell>
        </row>
        <row r="23">
          <cell r="A23" t="str">
            <v>В-27410/КЛ</v>
          </cell>
        </row>
        <row r="24">
          <cell r="A24" t="str">
            <v>В-00030/КЭ</v>
          </cell>
        </row>
        <row r="25">
          <cell r="A25" t="str">
            <v>В-19346/КЛ</v>
          </cell>
        </row>
        <row r="26">
          <cell r="A26" t="str">
            <v>В-19684/КЛ</v>
          </cell>
        </row>
        <row r="27">
          <cell r="A27" t="str">
            <v>В-20731/КЛ</v>
          </cell>
        </row>
        <row r="28">
          <cell r="A28" t="str">
            <v>В-18141/КЛ</v>
          </cell>
        </row>
        <row r="29">
          <cell r="A29" t="str">
            <v>В-30007/КЭ</v>
          </cell>
        </row>
        <row r="30">
          <cell r="A30" t="str">
            <v>В-03450/КЛ</v>
          </cell>
        </row>
        <row r="31">
          <cell r="A31" t="str">
            <v>В-16728/КЛ</v>
          </cell>
        </row>
        <row r="32">
          <cell r="A32" t="str">
            <v>В-01203/АЗ</v>
          </cell>
        </row>
        <row r="33">
          <cell r="A33" t="str">
            <v>В-28252/КЛ</v>
          </cell>
        </row>
        <row r="34">
          <cell r="A34" t="str">
            <v>В-19104/КЛ</v>
          </cell>
        </row>
        <row r="35">
          <cell r="A35" t="str">
            <v>В-27753/КЛ</v>
          </cell>
        </row>
        <row r="36">
          <cell r="A36" t="str">
            <v>В-27843/КЛ</v>
          </cell>
        </row>
        <row r="37">
          <cell r="A37" t="str">
            <v>В-18631/КЛ</v>
          </cell>
        </row>
        <row r="38">
          <cell r="A38" t="str">
            <v>В-10039/КЛ</v>
          </cell>
        </row>
        <row r="39">
          <cell r="A39" t="str">
            <v>В-00634/АЗ</v>
          </cell>
        </row>
        <row r="40">
          <cell r="A40" t="str">
            <v>В-28274/КЛ</v>
          </cell>
        </row>
        <row r="41">
          <cell r="A41" t="str">
            <v>В-20140/КЛ</v>
          </cell>
        </row>
        <row r="42">
          <cell r="A42" t="str">
            <v>В-04333/КЛ</v>
          </cell>
        </row>
        <row r="43">
          <cell r="A43" t="str">
            <v>В-26170/КЛ</v>
          </cell>
        </row>
        <row r="44">
          <cell r="A44" t="str">
            <v>В-06818/КЛ</v>
          </cell>
        </row>
        <row r="45">
          <cell r="A45" t="str">
            <v>В-25950/КЛ</v>
          </cell>
        </row>
        <row r="46">
          <cell r="A46" t="str">
            <v>В-25530/КЛ</v>
          </cell>
        </row>
        <row r="47">
          <cell r="A47" t="str">
            <v>В-01013/КЛ</v>
          </cell>
        </row>
        <row r="48">
          <cell r="A48" t="str">
            <v>В-28090/АЗ</v>
          </cell>
        </row>
        <row r="49">
          <cell r="A49" t="str">
            <v>В-27334/КЛ</v>
          </cell>
        </row>
        <row r="50">
          <cell r="A50" t="str">
            <v>В-16261/КЛ</v>
          </cell>
        </row>
        <row r="51">
          <cell r="A51" t="str">
            <v>В-28159/КЛ</v>
          </cell>
        </row>
        <row r="52">
          <cell r="A52" t="str">
            <v>В-27835/КЛ</v>
          </cell>
        </row>
        <row r="53">
          <cell r="A53" t="str">
            <v>В-19597/КЛ</v>
          </cell>
        </row>
        <row r="54">
          <cell r="A54" t="str">
            <v>В-26816/КЛ</v>
          </cell>
        </row>
        <row r="55">
          <cell r="A55" t="str">
            <v>В-14818/КЛ</v>
          </cell>
        </row>
        <row r="56">
          <cell r="A56" t="str">
            <v>В-24493/КЛ</v>
          </cell>
        </row>
        <row r="57">
          <cell r="A57" t="str">
            <v>В-21731/КЛ</v>
          </cell>
        </row>
        <row r="58">
          <cell r="A58" t="str">
            <v>В-28393/КЛ</v>
          </cell>
        </row>
        <row r="59">
          <cell r="A59" t="str">
            <v>В-20251/КЛ</v>
          </cell>
        </row>
        <row r="60">
          <cell r="A60" t="str">
            <v>В-23410/КЛ</v>
          </cell>
        </row>
        <row r="61">
          <cell r="A61" t="str">
            <v>В-18909/КЛ</v>
          </cell>
        </row>
        <row r="62">
          <cell r="A62" t="str">
            <v>В-10020/КЭ</v>
          </cell>
        </row>
        <row r="63">
          <cell r="A63" t="str">
            <v>В-05402/КЛ</v>
          </cell>
        </row>
        <row r="64">
          <cell r="A64" t="str">
            <v>В-17417/КЛ</v>
          </cell>
        </row>
        <row r="65">
          <cell r="A65" t="str">
            <v>В-12113/КЛ</v>
          </cell>
        </row>
        <row r="66">
          <cell r="A66" t="str">
            <v>В-26949/КЛ</v>
          </cell>
        </row>
        <row r="67">
          <cell r="A67" t="str">
            <v>В-24385/КЛ</v>
          </cell>
        </row>
        <row r="68">
          <cell r="A68" t="str">
            <v>В-30005/КЭ</v>
          </cell>
        </row>
        <row r="69">
          <cell r="A69" t="str">
            <v>В-01180/АЗ</v>
          </cell>
        </row>
        <row r="70">
          <cell r="A70" t="str">
            <v>Т-01885/АЗ</v>
          </cell>
        </row>
        <row r="71">
          <cell r="A71" t="str">
            <v>В-00063/КЭ</v>
          </cell>
        </row>
        <row r="72">
          <cell r="A72" t="str">
            <v>В-28224/КЛ</v>
          </cell>
        </row>
        <row r="73">
          <cell r="A73" t="str">
            <v>В-14546/КЛ</v>
          </cell>
        </row>
        <row r="74">
          <cell r="A74" t="str">
            <v>В-19897/КЛ</v>
          </cell>
        </row>
        <row r="75">
          <cell r="A75" t="str">
            <v>В-18548/КЛ</v>
          </cell>
        </row>
        <row r="76">
          <cell r="A76" t="str">
            <v>В-20180/КЛ</v>
          </cell>
        </row>
        <row r="77">
          <cell r="A77" t="str">
            <v>В-23776/КЛ</v>
          </cell>
        </row>
        <row r="78">
          <cell r="A78" t="str">
            <v>В-26649/АЗ</v>
          </cell>
        </row>
        <row r="79">
          <cell r="A79" t="str">
            <v>В-26651/АЗ</v>
          </cell>
        </row>
        <row r="80">
          <cell r="A80" t="str">
            <v>В-23074/КЛ</v>
          </cell>
        </row>
        <row r="81">
          <cell r="A81" t="str">
            <v>В-28872/КЛ</v>
          </cell>
        </row>
        <row r="82">
          <cell r="A82" t="str">
            <v>В-21972/КЛ</v>
          </cell>
        </row>
        <row r="83">
          <cell r="A83" t="str">
            <v>В-25792/КЛ</v>
          </cell>
        </row>
        <row r="84">
          <cell r="A84" t="str">
            <v>В-20118/КЛ</v>
          </cell>
        </row>
        <row r="85">
          <cell r="A85" t="str">
            <v>В-26450/АЗ</v>
          </cell>
        </row>
        <row r="86">
          <cell r="A86" t="str">
            <v>В-10025/КЭ</v>
          </cell>
        </row>
        <row r="87">
          <cell r="A87" t="str">
            <v>В-10008/КЭ</v>
          </cell>
        </row>
        <row r="88">
          <cell r="A88" t="str">
            <v>В-10024/КЭ</v>
          </cell>
        </row>
        <row r="89">
          <cell r="A89" t="str">
            <v>В-26449/АЗ</v>
          </cell>
        </row>
        <row r="90">
          <cell r="A90" t="str">
            <v>В-24308/КЛ</v>
          </cell>
        </row>
        <row r="91">
          <cell r="A91" t="str">
            <v>В-27855/КЛ</v>
          </cell>
        </row>
        <row r="92">
          <cell r="A92" t="str">
            <v>В-08393/КЛ</v>
          </cell>
        </row>
        <row r="93">
          <cell r="A93" t="str">
            <v>В-19425/КЛ</v>
          </cell>
        </row>
        <row r="94">
          <cell r="A94" t="str">
            <v>В-18569/КЛ</v>
          </cell>
        </row>
        <row r="95">
          <cell r="A95" t="str">
            <v>В-01217/АЗ</v>
          </cell>
        </row>
        <row r="96">
          <cell r="A96" t="str">
            <v>В-04724/КЛ</v>
          </cell>
        </row>
        <row r="97">
          <cell r="A97" t="str">
            <v>В-30001/КЭ</v>
          </cell>
        </row>
        <row r="98">
          <cell r="A98" t="str">
            <v>В-19093/КЛ</v>
          </cell>
        </row>
        <row r="99">
          <cell r="A99" t="str">
            <v>В-11630/КЛ</v>
          </cell>
        </row>
        <row r="100">
          <cell r="A100" t="str">
            <v>В-21630/КЛ</v>
          </cell>
        </row>
        <row r="101">
          <cell r="A101" t="str">
            <v>В-11050/КЛ</v>
          </cell>
        </row>
        <row r="102">
          <cell r="A102" t="str">
            <v>В-09174/КЛ</v>
          </cell>
        </row>
        <row r="103">
          <cell r="A103" t="str">
            <v>В-10141/КЛ</v>
          </cell>
        </row>
        <row r="104">
          <cell r="A104" t="str">
            <v>В-07877/КЛ</v>
          </cell>
        </row>
        <row r="105">
          <cell r="A105" t="str">
            <v>В-01113/АЗ</v>
          </cell>
        </row>
        <row r="106">
          <cell r="A106" t="str">
            <v>В-12818/КЛ</v>
          </cell>
        </row>
        <row r="107">
          <cell r="A107" t="str">
            <v>В-28694/КЛ</v>
          </cell>
        </row>
        <row r="108">
          <cell r="A108" t="str">
            <v>В-27251/КЛ</v>
          </cell>
        </row>
        <row r="109">
          <cell r="A109" t="str">
            <v>В-13740/КЛ</v>
          </cell>
        </row>
        <row r="110">
          <cell r="A110" t="str">
            <v>В-15451/КЛ</v>
          </cell>
        </row>
        <row r="111">
          <cell r="A111" t="str">
            <v>В-18164/КЛ</v>
          </cell>
        </row>
        <row r="112">
          <cell r="A112" t="str">
            <v>В-00075/КЭ</v>
          </cell>
        </row>
        <row r="113">
          <cell r="A113" t="str">
            <v>В-26005/АЗ</v>
          </cell>
        </row>
        <row r="114">
          <cell r="A114" t="str">
            <v>В-20921/КЛ</v>
          </cell>
        </row>
        <row r="115">
          <cell r="A115" t="str">
            <v>В-13336/КЛ</v>
          </cell>
        </row>
        <row r="116">
          <cell r="A116" t="str">
            <v>В-15778/КЛ</v>
          </cell>
        </row>
        <row r="117">
          <cell r="A117" t="str">
            <v>В-17853/КЛ</v>
          </cell>
        </row>
        <row r="118">
          <cell r="A118" t="str">
            <v>В-19862/КЛ</v>
          </cell>
        </row>
        <row r="119">
          <cell r="A119" t="str">
            <v>В-07072/КЛ</v>
          </cell>
        </row>
        <row r="120">
          <cell r="A120" t="str">
            <v>В-05105/КЛ</v>
          </cell>
        </row>
        <row r="121">
          <cell r="A121" t="str">
            <v>В-23919/КЛ</v>
          </cell>
        </row>
        <row r="122">
          <cell r="A122" t="str">
            <v>В-19227/КЛ</v>
          </cell>
        </row>
        <row r="123">
          <cell r="A123" t="str">
            <v>В-18586/КЛ</v>
          </cell>
        </row>
        <row r="124">
          <cell r="A124" t="str">
            <v>В-12670/КЛ</v>
          </cell>
        </row>
        <row r="125">
          <cell r="A125" t="str">
            <v>В-18334/КЛ</v>
          </cell>
        </row>
        <row r="126">
          <cell r="A126" t="str">
            <v>В-27438/АЗ</v>
          </cell>
        </row>
        <row r="127">
          <cell r="A127" t="str">
            <v>В-28471/КЛ</v>
          </cell>
        </row>
        <row r="128">
          <cell r="A128" t="str">
            <v>В-01051/АЗ</v>
          </cell>
        </row>
        <row r="129">
          <cell r="A129" t="str">
            <v>В-28684/КЛ</v>
          </cell>
        </row>
        <row r="130">
          <cell r="A130" t="str">
            <v>В-28655/КЛ</v>
          </cell>
        </row>
        <row r="131">
          <cell r="A131" t="str">
            <v>В-25466/АЗ</v>
          </cell>
        </row>
        <row r="132">
          <cell r="A132" t="str">
            <v>В-20210/КЛ</v>
          </cell>
        </row>
        <row r="133">
          <cell r="A133" t="str">
            <v>В-23897/КЛ</v>
          </cell>
        </row>
        <row r="134">
          <cell r="A134" t="str">
            <v>В-22996/КЛ</v>
          </cell>
        </row>
        <row r="135">
          <cell r="A135" t="str">
            <v>В-15881/КЛ</v>
          </cell>
        </row>
        <row r="136">
          <cell r="A136" t="str">
            <v>В-18851/КЛ</v>
          </cell>
        </row>
        <row r="137">
          <cell r="A137" t="str">
            <v>В-28383/КЛ</v>
          </cell>
        </row>
        <row r="138">
          <cell r="A138" t="str">
            <v>В-27256/КЛ</v>
          </cell>
        </row>
        <row r="139">
          <cell r="A139" t="str">
            <v>В-21666/КЛ</v>
          </cell>
        </row>
        <row r="140">
          <cell r="A140" t="str">
            <v>В-01207/АЗ</v>
          </cell>
        </row>
        <row r="141">
          <cell r="A141" t="str">
            <v>В-20458/КЛ</v>
          </cell>
        </row>
        <row r="142">
          <cell r="A142" t="str">
            <v>В-20172/КЛ</v>
          </cell>
        </row>
        <row r="143">
          <cell r="A143" t="str">
            <v>В-05256/КЛ</v>
          </cell>
        </row>
        <row r="144">
          <cell r="A144" t="str">
            <v>В-18890/КЛ</v>
          </cell>
        </row>
        <row r="145">
          <cell r="A145" t="str">
            <v>В-25687/АЗ</v>
          </cell>
        </row>
        <row r="146">
          <cell r="A146" t="str">
            <v>В-19179/КЛ</v>
          </cell>
        </row>
        <row r="147">
          <cell r="A147" t="str">
            <v>В-07729/КЛ</v>
          </cell>
        </row>
        <row r="148">
          <cell r="A148" t="str">
            <v>В-29072/КЛ</v>
          </cell>
        </row>
        <row r="149">
          <cell r="A149" t="str">
            <v>В-16541/КЛ</v>
          </cell>
        </row>
        <row r="150">
          <cell r="A150" t="str">
            <v>В-24336/КЛ</v>
          </cell>
        </row>
        <row r="151">
          <cell r="A151" t="str">
            <v>В-25529/КЛ</v>
          </cell>
        </row>
        <row r="152">
          <cell r="A152" t="str">
            <v>В-26093/КЛ</v>
          </cell>
        </row>
        <row r="153">
          <cell r="A153" t="str">
            <v>В-21175/КЛ</v>
          </cell>
        </row>
        <row r="154">
          <cell r="A154" t="str">
            <v>В-16432/КЛ</v>
          </cell>
        </row>
        <row r="155">
          <cell r="A155" t="str">
            <v>В-27878/АЗ</v>
          </cell>
        </row>
        <row r="156">
          <cell r="A156" t="str">
            <v>В-27848/АЗ</v>
          </cell>
        </row>
        <row r="157">
          <cell r="A157" t="str">
            <v>В-14633/КЛ</v>
          </cell>
        </row>
        <row r="158">
          <cell r="A158" t="str">
            <v>В-17506/КЛ</v>
          </cell>
        </row>
        <row r="159">
          <cell r="A159" t="str">
            <v>В-03359/КЛ</v>
          </cell>
        </row>
        <row r="160">
          <cell r="A160" t="str">
            <v>В-00239/КЛ</v>
          </cell>
        </row>
        <row r="161">
          <cell r="A161" t="str">
            <v>В-18438/КЛ</v>
          </cell>
        </row>
        <row r="162">
          <cell r="A162" t="str">
            <v>В-26474/КЛ</v>
          </cell>
        </row>
        <row r="163">
          <cell r="A163" t="str">
            <v>В-20787/КЛ</v>
          </cell>
        </row>
        <row r="164">
          <cell r="A164" t="str">
            <v>В-17199/КЛ</v>
          </cell>
        </row>
        <row r="165">
          <cell r="A165" t="str">
            <v>В-27105/КЛ</v>
          </cell>
        </row>
        <row r="166">
          <cell r="A166" t="str">
            <v>В-28544/КЛ</v>
          </cell>
        </row>
        <row r="167">
          <cell r="A167" t="str">
            <v>В-14860/КЛ</v>
          </cell>
        </row>
        <row r="168">
          <cell r="A168" t="str">
            <v>В-27416/АЗ</v>
          </cell>
        </row>
        <row r="169">
          <cell r="A169" t="str">
            <v>В-15393/КЛ</v>
          </cell>
        </row>
        <row r="170">
          <cell r="A170" t="str">
            <v>В-01148/АЗ</v>
          </cell>
        </row>
        <row r="171">
          <cell r="A171" t="str">
            <v>В-01147/АЗ</v>
          </cell>
        </row>
        <row r="172">
          <cell r="A172" t="str">
            <v>В-27050/АЗ</v>
          </cell>
        </row>
        <row r="173">
          <cell r="A173" t="str">
            <v>В-17824/КЛ</v>
          </cell>
        </row>
        <row r="174">
          <cell r="A174" t="str">
            <v>В-17752/КЛ</v>
          </cell>
        </row>
        <row r="175">
          <cell r="A175" t="str">
            <v>В-25806/КЛ</v>
          </cell>
        </row>
        <row r="176">
          <cell r="A176" t="str">
            <v>В-20218/КЛ</v>
          </cell>
        </row>
        <row r="177">
          <cell r="A177" t="str">
            <v>В-20032/КЛ</v>
          </cell>
        </row>
        <row r="178">
          <cell r="A178" t="str">
            <v>В-19451/КЛ</v>
          </cell>
        </row>
        <row r="179">
          <cell r="A179" t="str">
            <v>В-15163/КЛ</v>
          </cell>
        </row>
        <row r="180">
          <cell r="A180" t="str">
            <v>В-25367/АЗ</v>
          </cell>
        </row>
        <row r="181">
          <cell r="A181" t="str">
            <v>В-25370/АЗ</v>
          </cell>
        </row>
        <row r="182">
          <cell r="A182" t="str">
            <v>В-25304/АЗ</v>
          </cell>
        </row>
        <row r="183">
          <cell r="A183" t="str">
            <v>В-23242/КЛ</v>
          </cell>
        </row>
        <row r="184">
          <cell r="A184" t="str">
            <v>В-25513/КЛ</v>
          </cell>
        </row>
        <row r="185">
          <cell r="A185" t="str">
            <v>В-26776/КЛ</v>
          </cell>
        </row>
        <row r="186">
          <cell r="A186" t="str">
            <v>В-27747/КЛ</v>
          </cell>
        </row>
        <row r="187">
          <cell r="A187" t="str">
            <v>В-24261/КЛ</v>
          </cell>
        </row>
        <row r="188">
          <cell r="A188" t="str">
            <v>В-21075/КЛ</v>
          </cell>
        </row>
        <row r="189">
          <cell r="A189" t="str">
            <v>В-01098/АЗ</v>
          </cell>
        </row>
        <row r="190">
          <cell r="A190" t="str">
            <v>В-00017/КЛ</v>
          </cell>
        </row>
        <row r="191">
          <cell r="A191" t="str">
            <v>В-22057/КЛ</v>
          </cell>
        </row>
        <row r="192">
          <cell r="A192" t="str">
            <v>В-14544/КЛ</v>
          </cell>
        </row>
        <row r="193">
          <cell r="A193" t="str">
            <v>В-27521/КЛ</v>
          </cell>
        </row>
        <row r="194">
          <cell r="A194" t="str">
            <v>В-14907/КЛ</v>
          </cell>
        </row>
        <row r="195">
          <cell r="A195" t="str">
            <v>В-19526/КЛ</v>
          </cell>
        </row>
        <row r="196">
          <cell r="A196" t="str">
            <v>В-24927/КЛ</v>
          </cell>
        </row>
        <row r="197">
          <cell r="A197" t="str">
            <v>В-23712/КЛ</v>
          </cell>
        </row>
        <row r="198">
          <cell r="A198" t="str">
            <v>В-00473/КЛ</v>
          </cell>
        </row>
        <row r="199">
          <cell r="A199" t="str">
            <v>В-17106/КЛ</v>
          </cell>
        </row>
        <row r="200">
          <cell r="A200" t="str">
            <v>В-11534/КЛ</v>
          </cell>
        </row>
        <row r="201">
          <cell r="A201" t="str">
            <v>В-24878/КЛ</v>
          </cell>
        </row>
        <row r="202">
          <cell r="A202" t="str">
            <v>В-08745/КЛ</v>
          </cell>
        </row>
        <row r="203">
          <cell r="A203" t="str">
            <v>В-24823/КЛ</v>
          </cell>
        </row>
        <row r="204">
          <cell r="A204" t="str">
            <v>В-22627/КЛ</v>
          </cell>
        </row>
        <row r="205">
          <cell r="A205" t="str">
            <v>В-06035/КЛ</v>
          </cell>
        </row>
        <row r="206">
          <cell r="A206" t="str">
            <v>В-21574/КЛ</v>
          </cell>
        </row>
        <row r="207">
          <cell r="A207" t="str">
            <v>В-20200/КЛ</v>
          </cell>
        </row>
        <row r="208">
          <cell r="A208" t="str">
            <v>В-20490/КЛ</v>
          </cell>
        </row>
        <row r="209">
          <cell r="A209" t="str">
            <v>В-00077/КЭ</v>
          </cell>
        </row>
        <row r="210">
          <cell r="A210" t="str">
            <v>В-11162/КЛ</v>
          </cell>
        </row>
        <row r="211">
          <cell r="A211" t="str">
            <v>В-14196/КЛ</v>
          </cell>
        </row>
        <row r="212">
          <cell r="A212" t="str">
            <v>В-18757/КЛ</v>
          </cell>
        </row>
        <row r="213">
          <cell r="A213" t="str">
            <v>В-14178/КЛ</v>
          </cell>
        </row>
        <row r="214">
          <cell r="A214" t="str">
            <v>В-17934/КЛ</v>
          </cell>
        </row>
        <row r="215">
          <cell r="A215" t="str">
            <v>В-27980/КЛ</v>
          </cell>
        </row>
        <row r="216">
          <cell r="A216" t="str">
            <v>В-15532/КЛ</v>
          </cell>
        </row>
        <row r="217">
          <cell r="A217" t="str">
            <v>В-12279/КЛ</v>
          </cell>
        </row>
        <row r="218">
          <cell r="A218" t="str">
            <v>В-09795/КЛ</v>
          </cell>
        </row>
        <row r="219">
          <cell r="A219" t="str">
            <v>В-17788/КЛ</v>
          </cell>
        </row>
        <row r="220">
          <cell r="A220" t="str">
            <v>В-20060/КЛ</v>
          </cell>
        </row>
        <row r="221">
          <cell r="A221" t="str">
            <v>В-28329/КЛ</v>
          </cell>
        </row>
        <row r="222">
          <cell r="A222" t="str">
            <v>В-25457/КЛ</v>
          </cell>
        </row>
        <row r="223">
          <cell r="A223" t="str">
            <v>В-21048/КЛ</v>
          </cell>
        </row>
        <row r="224">
          <cell r="A224" t="str">
            <v>В-16959/КЛ</v>
          </cell>
        </row>
        <row r="225">
          <cell r="A225" t="str">
            <v>В-22538/КЛ</v>
          </cell>
        </row>
        <row r="226">
          <cell r="A226" t="str">
            <v>В-15560/КЛ</v>
          </cell>
        </row>
        <row r="227">
          <cell r="A227" t="str">
            <v>В-00068/КЭ</v>
          </cell>
        </row>
        <row r="228">
          <cell r="A228" t="str">
            <v>В-00070/КЭ</v>
          </cell>
        </row>
        <row r="229">
          <cell r="A229" t="str">
            <v>В-25302/КЛ</v>
          </cell>
        </row>
        <row r="230">
          <cell r="A230" t="str">
            <v>В-27434/КЛ</v>
          </cell>
        </row>
        <row r="231">
          <cell r="A231" t="str">
            <v>В-05654/КЛ</v>
          </cell>
        </row>
        <row r="232">
          <cell r="A232" t="str">
            <v>В-20855/КЛ</v>
          </cell>
        </row>
        <row r="233">
          <cell r="A233" t="str">
            <v>В-24021/КЛ</v>
          </cell>
        </row>
        <row r="234">
          <cell r="A234" t="str">
            <v>В-18370/КЛ</v>
          </cell>
        </row>
        <row r="235">
          <cell r="A235" t="str">
            <v>В-01061/АЗ</v>
          </cell>
        </row>
        <row r="236">
          <cell r="A236" t="str">
            <v>В-04210/КЛ</v>
          </cell>
        </row>
        <row r="237">
          <cell r="A237" t="str">
            <v>В-22728/КЛ</v>
          </cell>
        </row>
        <row r="238">
          <cell r="A238" t="str">
            <v>В-16023/КЛ</v>
          </cell>
        </row>
        <row r="239">
          <cell r="A239" t="str">
            <v>В-21079/КЛ</v>
          </cell>
        </row>
        <row r="240">
          <cell r="A240" t="str">
            <v>В-17051/КЛ</v>
          </cell>
        </row>
        <row r="241">
          <cell r="A241" t="str">
            <v>В-21847/КЛ</v>
          </cell>
        </row>
        <row r="242">
          <cell r="A242" t="str">
            <v>В-11407/КЛ</v>
          </cell>
        </row>
        <row r="243">
          <cell r="A243" t="str">
            <v>В-26247/КЛ</v>
          </cell>
        </row>
        <row r="244">
          <cell r="A244" t="str">
            <v>В-26242/КЛ</v>
          </cell>
        </row>
        <row r="245">
          <cell r="A245" t="str">
            <v>В-27006/КЛ</v>
          </cell>
        </row>
        <row r="246">
          <cell r="A246" t="str">
            <v>В-12368/КЛ</v>
          </cell>
        </row>
        <row r="247">
          <cell r="A247" t="str">
            <v>В-01202/АЗ</v>
          </cell>
        </row>
        <row r="248">
          <cell r="A248" t="str">
            <v>В-08918/КЛ</v>
          </cell>
        </row>
        <row r="249">
          <cell r="A249" t="str">
            <v>В-02154/КЛ</v>
          </cell>
        </row>
        <row r="250">
          <cell r="A250" t="str">
            <v>В-10934/КЛ</v>
          </cell>
        </row>
        <row r="251">
          <cell r="A251" t="str">
            <v>В-25747/КЛ</v>
          </cell>
        </row>
        <row r="252">
          <cell r="A252" t="str">
            <v>В-22352/АЗ</v>
          </cell>
        </row>
        <row r="253">
          <cell r="A253" t="str">
            <v>В-12391/КЛ</v>
          </cell>
        </row>
        <row r="254">
          <cell r="A254" t="str">
            <v>В-21208/КЛ</v>
          </cell>
        </row>
        <row r="255">
          <cell r="A255" t="str">
            <v>В-17687/КЛ</v>
          </cell>
        </row>
        <row r="256">
          <cell r="A256" t="str">
            <v>В-12427/КЛ</v>
          </cell>
        </row>
        <row r="257">
          <cell r="A257" t="str">
            <v>В-22897/КЛ</v>
          </cell>
        </row>
        <row r="258">
          <cell r="A258" t="str">
            <v>В-13254/КЛ</v>
          </cell>
        </row>
        <row r="259">
          <cell r="A259" t="str">
            <v>В-01692/КЛ</v>
          </cell>
        </row>
        <row r="260">
          <cell r="A260" t="str">
            <v>В-03974/КЛ</v>
          </cell>
        </row>
        <row r="261">
          <cell r="A261" t="str">
            <v>В-11825/КЛ</v>
          </cell>
        </row>
        <row r="262">
          <cell r="A262" t="str">
            <v>В-21040/КЛ</v>
          </cell>
        </row>
        <row r="263">
          <cell r="A263" t="str">
            <v>В-10012/КЭ</v>
          </cell>
        </row>
        <row r="264">
          <cell r="A264" t="str">
            <v>В-13104/КЛ</v>
          </cell>
        </row>
        <row r="265">
          <cell r="A265" t="str">
            <v>В-19655/КЛ</v>
          </cell>
        </row>
        <row r="266">
          <cell r="A266" t="str">
            <v>В-21858/КЛ</v>
          </cell>
        </row>
        <row r="267">
          <cell r="A267" t="str">
            <v>В-12401/КЛ</v>
          </cell>
        </row>
        <row r="268">
          <cell r="A268" t="str">
            <v>В-17153/КЛ</v>
          </cell>
        </row>
        <row r="269">
          <cell r="A269" t="str">
            <v>В-09890/КЛ</v>
          </cell>
        </row>
        <row r="270">
          <cell r="A270" t="str">
            <v>Т-10006/КЭ_Т-20211028/Ц</v>
          </cell>
        </row>
        <row r="271">
          <cell r="A271" t="str">
            <v>В-23840/КЛ</v>
          </cell>
        </row>
        <row r="272">
          <cell r="A272" t="str">
            <v>В-12483/КЛ</v>
          </cell>
        </row>
        <row r="273">
          <cell r="A273" t="str">
            <v>В-11334/КЛ</v>
          </cell>
        </row>
        <row r="274">
          <cell r="A274" t="str">
            <v>В-01107/АЗ</v>
          </cell>
        </row>
        <row r="275">
          <cell r="A275" t="str">
            <v>В-09213/КЛ</v>
          </cell>
        </row>
        <row r="276">
          <cell r="A276" t="str">
            <v>В-12246/КЛ</v>
          </cell>
        </row>
        <row r="277">
          <cell r="A277" t="str">
            <v>В-20437/КЛ</v>
          </cell>
        </row>
        <row r="278">
          <cell r="A278" t="str">
            <v>В-17062/КЛ</v>
          </cell>
        </row>
        <row r="279">
          <cell r="A279" t="str">
            <v>В-25131/КЛ</v>
          </cell>
        </row>
        <row r="280">
          <cell r="A280" t="str">
            <v>В-00439/КЛ</v>
          </cell>
        </row>
        <row r="281">
          <cell r="A281" t="str">
            <v>В-00145/КЛ</v>
          </cell>
        </row>
        <row r="282">
          <cell r="A282" t="str">
            <v>В-23633/КЛ</v>
          </cell>
        </row>
        <row r="283">
          <cell r="A283" t="str">
            <v>В-20497/КЛ</v>
          </cell>
        </row>
        <row r="284">
          <cell r="A284" t="str">
            <v>В-17805/КЛ</v>
          </cell>
        </row>
        <row r="285">
          <cell r="A285" t="str">
            <v>В-21454/КЛ</v>
          </cell>
        </row>
        <row r="286">
          <cell r="A286" t="str">
            <v>В-01898/КЛ</v>
          </cell>
        </row>
        <row r="287">
          <cell r="A287" t="str">
            <v>В-15750/КЛ</v>
          </cell>
        </row>
        <row r="288">
          <cell r="A288" t="str">
            <v>В-01200/АЗ</v>
          </cell>
        </row>
        <row r="289">
          <cell r="A289" t="str">
            <v>В-22026/КЛ</v>
          </cell>
        </row>
        <row r="290">
          <cell r="A290" t="str">
            <v>В-22026/КЛ</v>
          </cell>
        </row>
        <row r="291">
          <cell r="A291" t="str">
            <v>В-24267/КЛ</v>
          </cell>
        </row>
        <row r="292">
          <cell r="A292" t="str">
            <v>В-01175/АЗ</v>
          </cell>
        </row>
        <row r="293">
          <cell r="A293" t="str">
            <v>В-00039/КЭ</v>
          </cell>
        </row>
        <row r="294">
          <cell r="A294" t="str">
            <v>В-18654/КЛ</v>
          </cell>
        </row>
        <row r="295">
          <cell r="A295" t="str">
            <v>В-30009/КЭ</v>
          </cell>
        </row>
        <row r="296">
          <cell r="A296" t="str">
            <v>В-18366/КЛ</v>
          </cell>
        </row>
        <row r="297">
          <cell r="A297" t="str">
            <v>В-22426/КЛ</v>
          </cell>
        </row>
        <row r="298">
          <cell r="A298" t="str">
            <v>В-02707/КЛ</v>
          </cell>
        </row>
        <row r="299">
          <cell r="A299" t="str">
            <v>В-20046/КЛ</v>
          </cell>
        </row>
        <row r="300">
          <cell r="A300" t="str">
            <v>В-20546/КЛ</v>
          </cell>
        </row>
        <row r="301">
          <cell r="A301" t="str">
            <v>В-22833/КЛ</v>
          </cell>
        </row>
        <row r="302">
          <cell r="A302" t="str">
            <v>В-24989/АЗ</v>
          </cell>
        </row>
        <row r="303">
          <cell r="A303" t="str">
            <v>В-24642/АЗ</v>
          </cell>
        </row>
        <row r="304">
          <cell r="A304" t="str">
            <v>В-17073/КЛ</v>
          </cell>
        </row>
        <row r="305">
          <cell r="A305" t="str">
            <v>Т-01914/АЗ_Т-20211028/Ц</v>
          </cell>
        </row>
        <row r="306">
          <cell r="A306" t="str">
            <v>В-15200/КЛ</v>
          </cell>
        </row>
        <row r="307">
          <cell r="A307" t="str">
            <v>В-17708/КЛ</v>
          </cell>
        </row>
        <row r="308">
          <cell r="A308" t="str">
            <v>В-13219/КЛ</v>
          </cell>
        </row>
        <row r="309">
          <cell r="A309" t="str">
            <v>В-24072/АЗ</v>
          </cell>
        </row>
        <row r="310">
          <cell r="A310" t="str">
            <v>В-23045/КЛ</v>
          </cell>
        </row>
        <row r="311">
          <cell r="A311" t="str">
            <v>Т-01931/АЗ_Т-20211028/Ц</v>
          </cell>
        </row>
        <row r="312">
          <cell r="A312" t="str">
            <v>В-00951/АЗ</v>
          </cell>
        </row>
        <row r="313">
          <cell r="A313" t="str">
            <v>В-15165/КЛ</v>
          </cell>
        </row>
        <row r="314">
          <cell r="A314" t="str">
            <v>В-21146/КЛ</v>
          </cell>
        </row>
        <row r="315">
          <cell r="A315" t="str">
            <v>В-23325/АЗ</v>
          </cell>
        </row>
        <row r="316">
          <cell r="A316" t="str">
            <v>В-23339/АЗ</v>
          </cell>
        </row>
        <row r="317">
          <cell r="A317" t="str">
            <v>В-00021/КЭ</v>
          </cell>
        </row>
        <row r="318">
          <cell r="A318" t="str">
            <v>В-17362/КЛ</v>
          </cell>
        </row>
        <row r="319">
          <cell r="A319" t="str">
            <v>В-21269/КЛ</v>
          </cell>
        </row>
        <row r="320">
          <cell r="A320" t="str">
            <v>В-22642/КЛ</v>
          </cell>
        </row>
        <row r="321">
          <cell r="A321" t="str">
            <v>В-01159/АЗ</v>
          </cell>
        </row>
        <row r="322">
          <cell r="A322" t="str">
            <v>В-11595/КЛ</v>
          </cell>
        </row>
        <row r="323">
          <cell r="A323" t="str">
            <v>В-08148/КЛ</v>
          </cell>
        </row>
        <row r="324">
          <cell r="A324" t="str">
            <v>В-09725/КЛ</v>
          </cell>
        </row>
        <row r="325">
          <cell r="A325" t="str">
            <v>В-15822/КЛ</v>
          </cell>
        </row>
        <row r="326">
          <cell r="A326" t="str">
            <v>В-15908/КЛ</v>
          </cell>
        </row>
        <row r="327">
          <cell r="A327" t="str">
            <v>В-20766/КЛ</v>
          </cell>
        </row>
        <row r="328">
          <cell r="A328" t="str">
            <v>В-13136/КЛ</v>
          </cell>
        </row>
        <row r="329">
          <cell r="A329" t="str">
            <v>В-14529/КЛ</v>
          </cell>
        </row>
        <row r="330">
          <cell r="A330" t="str">
            <v>В-01179/АЗ</v>
          </cell>
        </row>
        <row r="331">
          <cell r="A331" t="str">
            <v>В-17030/КЛ</v>
          </cell>
        </row>
        <row r="332">
          <cell r="A332" t="str">
            <v>В-07147/КЛ</v>
          </cell>
        </row>
        <row r="333">
          <cell r="A333" t="str">
            <v>В-12410/КЛ</v>
          </cell>
        </row>
        <row r="334">
          <cell r="A334" t="str">
            <v>В-00137/АЗ</v>
          </cell>
        </row>
        <row r="335">
          <cell r="A335" t="str">
            <v>В-00034/КЭ</v>
          </cell>
        </row>
        <row r="336">
          <cell r="A336" t="str">
            <v>В-14335/КЛ</v>
          </cell>
        </row>
        <row r="337">
          <cell r="A337" t="str">
            <v>В-00553/КЛ</v>
          </cell>
        </row>
        <row r="338">
          <cell r="A338" t="str">
            <v>В-18163/КЛ</v>
          </cell>
        </row>
        <row r="339">
          <cell r="A339" t="str">
            <v>В-22436/АЗ</v>
          </cell>
        </row>
        <row r="340">
          <cell r="A340" t="str">
            <v>В-22434/АЗ</v>
          </cell>
        </row>
        <row r="341">
          <cell r="A341" t="str">
            <v>В-22201/КЛ</v>
          </cell>
        </row>
        <row r="342">
          <cell r="A342" t="str">
            <v>В-22173/КЛ</v>
          </cell>
        </row>
        <row r="343">
          <cell r="A343" t="str">
            <v>Т-01893/АЗ_Т-20211028/Ц</v>
          </cell>
        </row>
        <row r="344">
          <cell r="A344" t="str">
            <v>В-02961/КЛ</v>
          </cell>
        </row>
        <row r="345">
          <cell r="A345" t="str">
            <v>В-24983/КЛ</v>
          </cell>
        </row>
        <row r="346">
          <cell r="A346" t="str">
            <v>В-13051/КЛ</v>
          </cell>
        </row>
        <row r="347">
          <cell r="A347" t="str">
            <v>В-16757/КЛ</v>
          </cell>
        </row>
        <row r="348">
          <cell r="A348" t="str">
            <v>В-16757/КЛ</v>
          </cell>
        </row>
        <row r="349">
          <cell r="A349" t="str">
            <v>В-15085/КЛ</v>
          </cell>
        </row>
        <row r="350">
          <cell r="A350" t="str">
            <v>В-12551/КЛ</v>
          </cell>
        </row>
        <row r="351">
          <cell r="A351" t="str">
            <v>В-11946/КЛ</v>
          </cell>
        </row>
        <row r="352">
          <cell r="A352" t="str">
            <v>В-19349/КЛ</v>
          </cell>
        </row>
        <row r="353">
          <cell r="A353" t="str">
            <v>В-20442/КЛ</v>
          </cell>
        </row>
        <row r="354">
          <cell r="A354" t="str">
            <v>В-00772/АЗ</v>
          </cell>
        </row>
        <row r="355">
          <cell r="A355" t="str">
            <v>В-18008/КЛ</v>
          </cell>
        </row>
        <row r="356">
          <cell r="A356" t="str">
            <v>В-01216/КЛ</v>
          </cell>
        </row>
        <row r="357">
          <cell r="A357" t="str">
            <v>В-04229/КЛ</v>
          </cell>
        </row>
        <row r="358">
          <cell r="A358" t="str">
            <v>В-14005/КЛ</v>
          </cell>
        </row>
        <row r="359">
          <cell r="A359" t="str">
            <v>В-00708/АЗ</v>
          </cell>
        </row>
        <row r="360">
          <cell r="A360" t="str">
            <v>В-01252/КЛ</v>
          </cell>
        </row>
        <row r="361">
          <cell r="A361" t="str">
            <v>В-22238/КЛ</v>
          </cell>
        </row>
        <row r="362">
          <cell r="A362" t="str">
            <v>В-14310/КЛ</v>
          </cell>
        </row>
        <row r="363">
          <cell r="A363" t="str">
            <v>В-21019/КЛ</v>
          </cell>
        </row>
        <row r="364">
          <cell r="A364" t="str">
            <v>В-00806/АЗ</v>
          </cell>
        </row>
        <row r="365">
          <cell r="A365" t="str">
            <v>В-00733/АЗ</v>
          </cell>
        </row>
        <row r="366">
          <cell r="A366" t="str">
            <v>В-00496/АЗ</v>
          </cell>
        </row>
        <row r="367">
          <cell r="A367" t="str">
            <v>В-19791/КЛ</v>
          </cell>
        </row>
        <row r="368">
          <cell r="A368" t="str">
            <v>В-13264/КЛ</v>
          </cell>
        </row>
        <row r="369">
          <cell r="A369" t="str">
            <v>В-08064/КЛ</v>
          </cell>
        </row>
        <row r="370">
          <cell r="A370" t="str">
            <v>В-17315/КЛ</v>
          </cell>
        </row>
        <row r="371">
          <cell r="A371" t="str">
            <v>В-20300/КЛ</v>
          </cell>
        </row>
        <row r="372">
          <cell r="A372" t="str">
            <v>В-11934/КЛ</v>
          </cell>
        </row>
        <row r="373">
          <cell r="A373" t="str">
            <v>В-14453/КЛ</v>
          </cell>
        </row>
        <row r="374">
          <cell r="A374" t="str">
            <v>В-10123/КЛ</v>
          </cell>
        </row>
        <row r="375">
          <cell r="A375" t="str">
            <v>В-17167/КЛ</v>
          </cell>
        </row>
        <row r="376">
          <cell r="A376" t="str">
            <v>В-12548/КЛ</v>
          </cell>
        </row>
        <row r="377">
          <cell r="A377" t="str">
            <v>В-20703/КЛ</v>
          </cell>
        </row>
        <row r="378">
          <cell r="A378" t="str">
            <v>В-01271/КЛ</v>
          </cell>
        </row>
        <row r="379">
          <cell r="A379" t="str">
            <v>В-12484/КЛ</v>
          </cell>
        </row>
        <row r="380">
          <cell r="A380" t="str">
            <v>В-09292/КЛ</v>
          </cell>
        </row>
        <row r="381">
          <cell r="A381" t="str">
            <v>В-07717/КЛ</v>
          </cell>
        </row>
        <row r="382">
          <cell r="A382" t="str">
            <v>В-08065/КЛ</v>
          </cell>
        </row>
        <row r="383">
          <cell r="A383" t="str">
            <v>В-20635/КЛ</v>
          </cell>
        </row>
        <row r="384">
          <cell r="A384" t="str">
            <v xml:space="preserve">В-00918/АЗ </v>
          </cell>
        </row>
        <row r="385">
          <cell r="A385" t="str">
            <v>В-03938/КЛ</v>
          </cell>
        </row>
        <row r="386">
          <cell r="A386" t="str">
            <v>В-08603/КЛ</v>
          </cell>
        </row>
        <row r="387">
          <cell r="A387" t="str">
            <v>В-17852/КЛ</v>
          </cell>
        </row>
        <row r="388">
          <cell r="A388" t="str">
            <v>В-00612/АЗ</v>
          </cell>
        </row>
        <row r="389">
          <cell r="A389" t="str">
            <v>В-13507/КЛ</v>
          </cell>
        </row>
        <row r="390">
          <cell r="A390" t="str">
            <v>В-15412/КЛ</v>
          </cell>
        </row>
        <row r="391">
          <cell r="A391" t="str">
            <v>В-00178/КЛ</v>
          </cell>
        </row>
        <row r="392">
          <cell r="A392" t="str">
            <v>В-19846/КЛ</v>
          </cell>
        </row>
        <row r="393">
          <cell r="A393" t="str">
            <v>В-15330/КЛ</v>
          </cell>
        </row>
        <row r="394">
          <cell r="A394" t="str">
            <v>В-19766/КЛ</v>
          </cell>
        </row>
        <row r="395">
          <cell r="A395" t="str">
            <v>А-05082/АЗ</v>
          </cell>
        </row>
        <row r="396">
          <cell r="A396" t="str">
            <v>В-17201/КЛ</v>
          </cell>
        </row>
        <row r="397">
          <cell r="A397" t="str">
            <v>В-07411/КЛ</v>
          </cell>
        </row>
        <row r="398">
          <cell r="A398" t="str">
            <v>В-18538/КЛ</v>
          </cell>
        </row>
        <row r="399">
          <cell r="A399" t="str">
            <v>В-16861/КЛ</v>
          </cell>
        </row>
        <row r="400">
          <cell r="A400" t="str">
            <v>В-08391/КЛ</v>
          </cell>
        </row>
        <row r="401">
          <cell r="A401" t="str">
            <v>В-08361/КЛ</v>
          </cell>
        </row>
        <row r="402">
          <cell r="A402" t="str">
            <v>В-12675/КЛ</v>
          </cell>
        </row>
        <row r="403">
          <cell r="A403" t="str">
            <v>В-00023/КЭ</v>
          </cell>
        </row>
        <row r="404">
          <cell r="A404" t="str">
            <v>В-18167/КЛ</v>
          </cell>
        </row>
        <row r="405">
          <cell r="A405" t="str">
            <v>В-00012/КЭ</v>
          </cell>
        </row>
        <row r="406">
          <cell r="A406" t="str">
            <v>В-11932/КЛ</v>
          </cell>
        </row>
        <row r="407">
          <cell r="A407" t="str">
            <v>В-19329/КЛ</v>
          </cell>
        </row>
        <row r="408">
          <cell r="A408" t="str">
            <v>В-00339/АЗ</v>
          </cell>
        </row>
        <row r="409">
          <cell r="A409" t="str">
            <v>В-15222/КЛ</v>
          </cell>
        </row>
        <row r="410">
          <cell r="A410" t="str">
            <v>Т-00008/КЭ</v>
          </cell>
        </row>
        <row r="411">
          <cell r="A411" t="str">
            <v>В-13629/КЛ</v>
          </cell>
        </row>
        <row r="412">
          <cell r="A412" t="str">
            <v>В-01172/АЗ</v>
          </cell>
        </row>
        <row r="413">
          <cell r="A413" t="str">
            <v>В-01171/АЗ</v>
          </cell>
        </row>
        <row r="414">
          <cell r="A414" t="str">
            <v>В-15448/КЛ</v>
          </cell>
        </row>
        <row r="415">
          <cell r="A415" t="str">
            <v>В-04293/КЛ</v>
          </cell>
        </row>
        <row r="416">
          <cell r="A416" t="str">
            <v>В-11521/КЛ</v>
          </cell>
        </row>
        <row r="417">
          <cell r="A417" t="str">
            <v>В-18791/КЛ</v>
          </cell>
        </row>
        <row r="418">
          <cell r="A418" t="str">
            <v>В-19097/КЛ</v>
          </cell>
        </row>
        <row r="419">
          <cell r="A419" t="str">
            <v>В-19025/КЛ</v>
          </cell>
        </row>
        <row r="420">
          <cell r="A420" t="str">
            <v>В-18983/КЛ</v>
          </cell>
        </row>
        <row r="421">
          <cell r="A421" t="str">
            <v>В-18237/КЛ</v>
          </cell>
        </row>
        <row r="422">
          <cell r="A422" t="str">
            <v>В-05425/КЛ</v>
          </cell>
        </row>
        <row r="423">
          <cell r="A423" t="str">
            <v>В-11186/КЛ</v>
          </cell>
        </row>
        <row r="424">
          <cell r="A424" t="str">
            <v>В-19132/КЛ</v>
          </cell>
        </row>
        <row r="425">
          <cell r="A425" t="str">
            <v>В-04096/КЛ</v>
          </cell>
        </row>
        <row r="426">
          <cell r="A426" t="str">
            <v>Т-00038/БЭ</v>
          </cell>
        </row>
        <row r="427">
          <cell r="A427" t="str">
            <v>А-00063/БЭ</v>
          </cell>
        </row>
        <row r="428">
          <cell r="A428" t="str">
            <v>В-17625/КЛ</v>
          </cell>
        </row>
        <row r="429">
          <cell r="A429" t="str">
            <v>В-13070/КЛ</v>
          </cell>
        </row>
        <row r="430">
          <cell r="A430" t="str">
            <v>В-07384/КЛ</v>
          </cell>
        </row>
        <row r="431">
          <cell r="A431" t="str">
            <v>В-16915/КЛ</v>
          </cell>
        </row>
        <row r="432">
          <cell r="A432" t="str">
            <v>В-15583/КЛ</v>
          </cell>
        </row>
        <row r="433">
          <cell r="A433" t="str">
            <v>В-13042/КЛ</v>
          </cell>
        </row>
        <row r="434">
          <cell r="A434" t="str">
            <v>В-08288/КЛ</v>
          </cell>
        </row>
        <row r="435">
          <cell r="A435" t="str">
            <v>В-17043/КЛ</v>
          </cell>
        </row>
        <row r="436">
          <cell r="A436" t="str">
            <v>В-21219/КЛ</v>
          </cell>
        </row>
        <row r="437">
          <cell r="A437" t="str">
            <v>В-18055/КЛ</v>
          </cell>
        </row>
        <row r="438">
          <cell r="A438" t="str">
            <v>В-18216/КЛ</v>
          </cell>
        </row>
        <row r="439">
          <cell r="A439" t="str">
            <v>В-17075/КЛ</v>
          </cell>
        </row>
        <row r="440">
          <cell r="A440" t="str">
            <v>Т-01878/АЗ</v>
          </cell>
        </row>
        <row r="441">
          <cell r="A441" t="str">
            <v>В-18171/КЛ</v>
          </cell>
        </row>
        <row r="442">
          <cell r="A442" t="str">
            <v>В-10278/КЛ</v>
          </cell>
        </row>
        <row r="443">
          <cell r="A443" t="str">
            <v>В-01104/АЗ</v>
          </cell>
        </row>
        <row r="444">
          <cell r="A444" t="str">
            <v>В-17242/КЛ</v>
          </cell>
        </row>
        <row r="445">
          <cell r="A445" t="str">
            <v>А-10122/КЭ</v>
          </cell>
        </row>
        <row r="446">
          <cell r="A446" t="str">
            <v>В-00508/АЗ</v>
          </cell>
        </row>
        <row r="447">
          <cell r="A447" t="str">
            <v>В-17724/КЛ</v>
          </cell>
        </row>
        <row r="448">
          <cell r="A448" t="str">
            <v>В-00963/АЗ</v>
          </cell>
        </row>
        <row r="449">
          <cell r="A449" t="str">
            <v>А-05463/АЗ</v>
          </cell>
        </row>
        <row r="450">
          <cell r="A450" t="str">
            <v>Т-01935/АЗ</v>
          </cell>
        </row>
        <row r="451">
          <cell r="A451" t="str">
            <v>А-04639/АЗ</v>
          </cell>
        </row>
        <row r="452">
          <cell r="A452" t="str">
            <v>В-10433/КЛ</v>
          </cell>
        </row>
        <row r="453">
          <cell r="A453" t="str">
            <v>В-13669/КЛ</v>
          </cell>
        </row>
        <row r="454">
          <cell r="A454" t="str">
            <v>В-12380/КЛ</v>
          </cell>
        </row>
        <row r="455">
          <cell r="A455" t="str">
            <v>В-10638/КЛ</v>
          </cell>
        </row>
        <row r="456">
          <cell r="A456" t="str">
            <v>В-17533/КЛ</v>
          </cell>
        </row>
        <row r="457">
          <cell r="A457" t="str">
            <v>В-11733/КЛ</v>
          </cell>
        </row>
        <row r="458">
          <cell r="A458" t="str">
            <v>В-01176/АЗ</v>
          </cell>
        </row>
        <row r="459">
          <cell r="A459" t="str">
            <v>В-17940/КЛ</v>
          </cell>
        </row>
        <row r="460">
          <cell r="A460" t="str">
            <v>В-01092/КЛ</v>
          </cell>
        </row>
        <row r="461">
          <cell r="A461" t="str">
            <v>В-00319/КЛ</v>
          </cell>
        </row>
        <row r="462">
          <cell r="A462" t="str">
            <v>В-16186/КЛ</v>
          </cell>
        </row>
        <row r="463">
          <cell r="A463" t="str">
            <v>В-09916/КЛ</v>
          </cell>
        </row>
        <row r="464">
          <cell r="A464" t="str">
            <v>В-16877/КЛ</v>
          </cell>
        </row>
        <row r="465">
          <cell r="A465" t="str">
            <v>В-16777/КЛ</v>
          </cell>
        </row>
        <row r="466">
          <cell r="A466" t="str">
            <v>В-09302/КЛ</v>
          </cell>
        </row>
        <row r="467">
          <cell r="A467" t="str">
            <v>В-03324/КЛ</v>
          </cell>
        </row>
        <row r="468">
          <cell r="A468" t="str">
            <v>В-16457/КЛ</v>
          </cell>
        </row>
        <row r="469">
          <cell r="A469" t="str">
            <v>В-00011/КЭ</v>
          </cell>
        </row>
        <row r="470">
          <cell r="A470" t="str">
            <v>В-01131/АЗ</v>
          </cell>
        </row>
        <row r="471">
          <cell r="A471" t="str">
            <v>В-14484/КЛ</v>
          </cell>
        </row>
        <row r="472">
          <cell r="A472" t="str">
            <v>В-14621/КЛ</v>
          </cell>
        </row>
        <row r="473">
          <cell r="A473" t="str">
            <v>В-10013/КЭ</v>
          </cell>
        </row>
        <row r="474">
          <cell r="A474" t="str">
            <v>В-11861/КЛ</v>
          </cell>
        </row>
        <row r="475">
          <cell r="A475" t="str">
            <v>В-15156/КЛ</v>
          </cell>
        </row>
        <row r="476">
          <cell r="A476" t="str">
            <v>В-11824/КЛ</v>
          </cell>
        </row>
        <row r="477">
          <cell r="A477" t="str">
            <v>В-01084/АЗ</v>
          </cell>
        </row>
        <row r="478">
          <cell r="A478" t="str">
            <v>В-01085/АЗ</v>
          </cell>
        </row>
        <row r="479">
          <cell r="A479" t="str">
            <v>В-02690/КЛ</v>
          </cell>
        </row>
        <row r="480">
          <cell r="A480" t="str">
            <v>В-16441/КЛ</v>
          </cell>
        </row>
        <row r="481">
          <cell r="A481" t="str">
            <v>Т-10005/КЭ</v>
          </cell>
        </row>
        <row r="482">
          <cell r="A482" t="str">
            <v>В-01110/АЗ</v>
          </cell>
        </row>
        <row r="483">
          <cell r="A483" t="str">
            <v>В-00022/КЭ</v>
          </cell>
        </row>
        <row r="484">
          <cell r="A484" t="str">
            <v>А-00458/КЭ</v>
          </cell>
        </row>
        <row r="485">
          <cell r="A485" t="str">
            <v>В-00370/АЗ</v>
          </cell>
        </row>
        <row r="486">
          <cell r="A486" t="str">
            <v>В-18929/КЛ</v>
          </cell>
        </row>
        <row r="487">
          <cell r="A487" t="str">
            <v>В-12894/КЛ</v>
          </cell>
        </row>
        <row r="488">
          <cell r="A488" t="str">
            <v>В-00881/АЗ</v>
          </cell>
        </row>
        <row r="489">
          <cell r="A489" t="str">
            <v>В-09247/КЛ</v>
          </cell>
        </row>
        <row r="490">
          <cell r="A490" t="str">
            <v>В-12042/КЛ</v>
          </cell>
        </row>
        <row r="491">
          <cell r="A491" t="str">
            <v>В-00359/КЛ</v>
          </cell>
        </row>
        <row r="492">
          <cell r="A492" t="str">
            <v>А-00009/ИЗ</v>
          </cell>
        </row>
        <row r="493">
          <cell r="A493" t="str">
            <v>В-02777/КЛ</v>
          </cell>
        </row>
        <row r="494">
          <cell r="A494" t="str">
            <v>В-14727/КЛ</v>
          </cell>
        </row>
        <row r="495">
          <cell r="A495" t="str">
            <v>В-11333/КЛ</v>
          </cell>
        </row>
        <row r="496">
          <cell r="A496" t="str">
            <v>В-16873/КЛ</v>
          </cell>
        </row>
        <row r="497">
          <cell r="A497" t="str">
            <v>В-17494/КЛ</v>
          </cell>
        </row>
        <row r="498">
          <cell r="A498" t="str">
            <v>В-14569/КЛ</v>
          </cell>
        </row>
        <row r="499">
          <cell r="A499" t="str">
            <v>В-13600/КЛ</v>
          </cell>
        </row>
        <row r="500">
          <cell r="A500" t="str">
            <v>В-03392/КЛ</v>
          </cell>
        </row>
        <row r="501">
          <cell r="A501" t="str">
            <v>В-12294/КЛ</v>
          </cell>
        </row>
        <row r="502">
          <cell r="A502" t="str">
            <v>В-07544/КЛ</v>
          </cell>
        </row>
        <row r="503">
          <cell r="A503" t="str">
            <v>В-11307/КЛ</v>
          </cell>
        </row>
        <row r="504">
          <cell r="A504" t="str">
            <v>В-05009/КЛ</v>
          </cell>
        </row>
        <row r="505">
          <cell r="A505" t="str">
            <v>А-00404/КЭ</v>
          </cell>
        </row>
        <row r="506">
          <cell r="A506" t="str">
            <v>В-03040/КЛ</v>
          </cell>
        </row>
        <row r="507">
          <cell r="A507" t="str">
            <v>В-00884/АЗ</v>
          </cell>
        </row>
        <row r="508">
          <cell r="A508" t="str">
            <v>В-01109/АЗ</v>
          </cell>
        </row>
        <row r="509">
          <cell r="A509" t="str">
            <v>В-01099/АЗ</v>
          </cell>
        </row>
        <row r="510">
          <cell r="A510" t="str">
            <v>В-11523/КЛ</v>
          </cell>
        </row>
        <row r="511">
          <cell r="A511" t="str">
            <v>В-13177/КЛ</v>
          </cell>
        </row>
        <row r="512">
          <cell r="A512" t="str">
            <v>В-00992/АЗ</v>
          </cell>
        </row>
        <row r="513">
          <cell r="A513" t="str">
            <v>В-07008/КЛ</v>
          </cell>
        </row>
        <row r="514">
          <cell r="A514" t="str">
            <v>В-13625/КЛ</v>
          </cell>
        </row>
        <row r="515">
          <cell r="A515" t="str">
            <v>В-09290/КЛ</v>
          </cell>
        </row>
        <row r="516">
          <cell r="A516" t="str">
            <v>В-12741/КЛ</v>
          </cell>
        </row>
        <row r="517">
          <cell r="A517" t="str">
            <v>В-09513/КЛ</v>
          </cell>
        </row>
        <row r="518">
          <cell r="A518" t="str">
            <v>В-00988/АЗ</v>
          </cell>
        </row>
        <row r="519">
          <cell r="A519" t="str">
            <v>В-00687/АЗ</v>
          </cell>
        </row>
        <row r="520">
          <cell r="A520" t="str">
            <v>В-11190/КЛ</v>
          </cell>
        </row>
        <row r="521">
          <cell r="A521" t="str">
            <v>В-15171/КЛ</v>
          </cell>
        </row>
        <row r="522">
          <cell r="A522" t="str">
            <v>В-01046/АЗ</v>
          </cell>
        </row>
        <row r="523">
          <cell r="A523" t="str">
            <v>В-13544/КЛ</v>
          </cell>
        </row>
        <row r="524">
          <cell r="A524" t="str">
            <v>В-12016/КЛ</v>
          </cell>
        </row>
        <row r="525">
          <cell r="A525" t="str">
            <v>В-01647/КЛ</v>
          </cell>
        </row>
        <row r="526">
          <cell r="A526" t="str">
            <v>Т-00002/КЭ</v>
          </cell>
        </row>
        <row r="527">
          <cell r="A527" t="str">
            <v>В-00808/АЗ</v>
          </cell>
        </row>
        <row r="528">
          <cell r="A528" t="str">
            <v>В-00737/АЗ</v>
          </cell>
        </row>
        <row r="529">
          <cell r="A529" t="str">
            <v>В-05401/КЛ</v>
          </cell>
        </row>
        <row r="530">
          <cell r="A530" t="str">
            <v>В-01102/АЗ</v>
          </cell>
        </row>
        <row r="531">
          <cell r="A531" t="str">
            <v>В-14944/КЛ</v>
          </cell>
        </row>
        <row r="532">
          <cell r="A532" t="str">
            <v>В-08626/КЛ</v>
          </cell>
        </row>
        <row r="533">
          <cell r="A533" t="str">
            <v>В-07971/КЛ</v>
          </cell>
        </row>
        <row r="534">
          <cell r="A534" t="str">
            <v>В-14029/КЛ</v>
          </cell>
        </row>
        <row r="535">
          <cell r="A535" t="str">
            <v>В-03197/КЛ</v>
          </cell>
        </row>
        <row r="536">
          <cell r="A536" t="str">
            <v>В-11533/КЛ</v>
          </cell>
        </row>
        <row r="537">
          <cell r="A537" t="str">
            <v>Т-01922/АЗ</v>
          </cell>
        </row>
        <row r="538">
          <cell r="A538" t="str">
            <v>В-08822/КЛ</v>
          </cell>
        </row>
        <row r="539">
          <cell r="A539" t="str">
            <v>В-13886/КЛ</v>
          </cell>
        </row>
        <row r="540">
          <cell r="A540" t="str">
            <v>В-13297/КЛ</v>
          </cell>
        </row>
        <row r="541">
          <cell r="A541" t="str">
            <v>В-12631/КЛ</v>
          </cell>
        </row>
        <row r="542">
          <cell r="A542" t="str">
            <v>В-09948/КЛ</v>
          </cell>
        </row>
        <row r="543">
          <cell r="A543" t="str">
            <v>В-08584/КЛ</v>
          </cell>
        </row>
        <row r="544">
          <cell r="A544" t="str">
            <v>В-13719/КЛ</v>
          </cell>
        </row>
        <row r="545">
          <cell r="A545" t="str">
            <v>Т-01867/АЗ</v>
          </cell>
        </row>
        <row r="546">
          <cell r="A546" t="str">
            <v>В-02090/КЛ</v>
          </cell>
        </row>
        <row r="547">
          <cell r="A547" t="str">
            <v>В-00854/АЗ</v>
          </cell>
        </row>
        <row r="548">
          <cell r="A548" t="str">
            <v>В-00980/АЗ</v>
          </cell>
        </row>
        <row r="549">
          <cell r="A549" t="str">
            <v>В-11085/КЛ</v>
          </cell>
        </row>
        <row r="550">
          <cell r="A550" t="str">
            <v>В-00967/АЗ</v>
          </cell>
        </row>
        <row r="551">
          <cell r="A551" t="str">
            <v>В-12372/КЛ</v>
          </cell>
        </row>
        <row r="552">
          <cell r="A552" t="str">
            <v>В-06092/КЛ</v>
          </cell>
        </row>
        <row r="553">
          <cell r="A553" t="str">
            <v>В-10890/КЛ</v>
          </cell>
        </row>
        <row r="554">
          <cell r="A554" t="str">
            <v>В-30003/КЭ</v>
          </cell>
        </row>
        <row r="555">
          <cell r="A555" t="str">
            <v>Т-01675/АЗ</v>
          </cell>
        </row>
        <row r="556">
          <cell r="A556" t="str">
            <v>А-04839/АЗ</v>
          </cell>
        </row>
        <row r="557">
          <cell r="A557" t="str">
            <v>В-01119/АЗ</v>
          </cell>
        </row>
        <row r="558">
          <cell r="A558" t="str">
            <v>В-01120/АЗ</v>
          </cell>
        </row>
        <row r="559">
          <cell r="A559" t="str">
            <v>В-12163/КЛ</v>
          </cell>
        </row>
        <row r="560">
          <cell r="A560" t="str">
            <v>В-11967/КЛ</v>
          </cell>
        </row>
        <row r="561">
          <cell r="A561" t="str">
            <v>В-09649/КЛ</v>
          </cell>
        </row>
        <row r="562">
          <cell r="A562" t="str">
            <v>В-11892/КЛ</v>
          </cell>
        </row>
        <row r="563">
          <cell r="A563" t="str">
            <v>В-13055/КЛ</v>
          </cell>
        </row>
        <row r="564">
          <cell r="A564" t="str">
            <v>В-11280/КЛ</v>
          </cell>
        </row>
        <row r="565">
          <cell r="A565" t="str">
            <v>А-00467/КЭ</v>
          </cell>
        </row>
        <row r="566">
          <cell r="A566" t="str">
            <v>А-10100/КЭ</v>
          </cell>
        </row>
        <row r="567">
          <cell r="A567" t="str">
            <v>А-05455/АЗ</v>
          </cell>
        </row>
        <row r="568">
          <cell r="A568" t="str">
            <v>В-06186/КЛ</v>
          </cell>
        </row>
        <row r="569">
          <cell r="A569" t="str">
            <v>В-03585/КЛ</v>
          </cell>
        </row>
        <row r="570">
          <cell r="A570" t="str">
            <v>В-10492/КЛ</v>
          </cell>
        </row>
        <row r="571">
          <cell r="A571" t="str">
            <v>В-08189/КЛ</v>
          </cell>
        </row>
        <row r="572">
          <cell r="A572" t="str">
            <v>Т-01835/АЗ</v>
          </cell>
        </row>
        <row r="573">
          <cell r="A573" t="str">
            <v>В-06379/КЛ</v>
          </cell>
        </row>
        <row r="574">
          <cell r="A574" t="str">
            <v>Т-00004/КЭ</v>
          </cell>
        </row>
        <row r="575">
          <cell r="A575" t="str">
            <v>В-03629/КЛ</v>
          </cell>
        </row>
        <row r="576">
          <cell r="A576" t="str">
            <v>В-08942/КЛ</v>
          </cell>
        </row>
        <row r="577">
          <cell r="A577" t="str">
            <v>Т-01899/АЗ</v>
          </cell>
        </row>
        <row r="578">
          <cell r="A578" t="str">
            <v>В-11653/КЛ</v>
          </cell>
        </row>
        <row r="579">
          <cell r="A579" t="str">
            <v>В-12167/КЛ</v>
          </cell>
        </row>
        <row r="580">
          <cell r="A580" t="str">
            <v>В-09961/КЛ</v>
          </cell>
        </row>
        <row r="581">
          <cell r="A581" t="str">
            <v>В-12000/КЛ</v>
          </cell>
        </row>
        <row r="582">
          <cell r="A582" t="str">
            <v>А-00446/КЭ</v>
          </cell>
        </row>
        <row r="583">
          <cell r="A583" t="str">
            <v xml:space="preserve">А-05271/АЗ </v>
          </cell>
        </row>
        <row r="584">
          <cell r="A584" t="str">
            <v>В-02902/КЛ</v>
          </cell>
        </row>
        <row r="585">
          <cell r="A585" t="str">
            <v>В-00714/КЛ</v>
          </cell>
        </row>
        <row r="586">
          <cell r="A586" t="str">
            <v>В-07275/КЛ</v>
          </cell>
        </row>
        <row r="587">
          <cell r="A587" t="str">
            <v>А-10096/КЭ</v>
          </cell>
        </row>
        <row r="588">
          <cell r="A588" t="str">
            <v>В-11882/КЛ</v>
          </cell>
        </row>
        <row r="589">
          <cell r="A589" t="str">
            <v>В-09695/КЛ</v>
          </cell>
        </row>
        <row r="590">
          <cell r="A590" t="str">
            <v>В-12216/КЛ</v>
          </cell>
        </row>
        <row r="591">
          <cell r="A591" t="str">
            <v>В-13025/КЛ</v>
          </cell>
        </row>
        <row r="592">
          <cell r="A592" t="str">
            <v>В-02376/КЛ</v>
          </cell>
        </row>
        <row r="593">
          <cell r="A593" t="str">
            <v>В-10703/КЛ</v>
          </cell>
        </row>
        <row r="594">
          <cell r="A594" t="str">
            <v>В-03074/КЛ</v>
          </cell>
        </row>
        <row r="595">
          <cell r="A595" t="str">
            <v xml:space="preserve">Т-01869/АЗ </v>
          </cell>
        </row>
        <row r="596">
          <cell r="A596" t="str">
            <v>В-12614/КЛ</v>
          </cell>
        </row>
        <row r="597">
          <cell r="A597" t="str">
            <v>В-11713/КЛ</v>
          </cell>
        </row>
        <row r="598">
          <cell r="A598" t="str">
            <v>В-03811/КЛ</v>
          </cell>
        </row>
        <row r="599">
          <cell r="A599" t="str">
            <v>В-11603/КЛ</v>
          </cell>
        </row>
        <row r="600">
          <cell r="A600" t="str">
            <v>А-04848/АЗ</v>
          </cell>
        </row>
        <row r="601">
          <cell r="A601" t="str">
            <v>В-11162/КЛ</v>
          </cell>
        </row>
        <row r="602">
          <cell r="A602" t="str">
            <v>Т-01681/АЗ</v>
          </cell>
        </row>
        <row r="603">
          <cell r="A603" t="str">
            <v>А-03533/АЗ</v>
          </cell>
        </row>
        <row r="604">
          <cell r="A604" t="str">
            <v>В-12535/КЛ</v>
          </cell>
        </row>
        <row r="605">
          <cell r="A605" t="str">
            <v>В-08251/КЛ</v>
          </cell>
        </row>
        <row r="606">
          <cell r="A606" t="str">
            <v>В-09288/КЛ</v>
          </cell>
        </row>
        <row r="607">
          <cell r="A607" t="str">
            <v>В-09241/КЛ</v>
          </cell>
        </row>
        <row r="608">
          <cell r="A608" t="str">
            <v>В-03541/КЛ</v>
          </cell>
        </row>
        <row r="609">
          <cell r="A609" t="str">
            <v>Т-01875/АЗ</v>
          </cell>
        </row>
        <row r="610">
          <cell r="A610" t="str">
            <v>В-10010/КЭ</v>
          </cell>
        </row>
        <row r="611">
          <cell r="A611" t="str">
            <v>В-02641/КЛ</v>
          </cell>
        </row>
        <row r="612">
          <cell r="A612" t="str">
            <v>А-04955/АЗ</v>
          </cell>
        </row>
        <row r="613">
          <cell r="A613" t="str">
            <v>В-05135/КЛ</v>
          </cell>
        </row>
        <row r="614">
          <cell r="A614" t="str">
            <v>В-01875/КЛ</v>
          </cell>
        </row>
        <row r="615">
          <cell r="A615" t="str">
            <v>В-08629/КЛ</v>
          </cell>
        </row>
        <row r="616">
          <cell r="A616" t="str">
            <v>В-06852/КЛ</v>
          </cell>
        </row>
        <row r="617">
          <cell r="A617" t="str">
            <v>В-00839/КЛ</v>
          </cell>
        </row>
        <row r="618">
          <cell r="A618" t="str">
            <v>В-00317/АЗ</v>
          </cell>
        </row>
        <row r="619">
          <cell r="A619" t="str">
            <v>В-08416/КЛ</v>
          </cell>
        </row>
        <row r="620">
          <cell r="A620" t="str">
            <v>В-05187/КЛ</v>
          </cell>
        </row>
        <row r="621">
          <cell r="A621" t="str">
            <v>В-03869/КЛ</v>
          </cell>
        </row>
        <row r="622">
          <cell r="A622" t="str">
            <v>В-04620/КЛ</v>
          </cell>
        </row>
        <row r="623">
          <cell r="A623" t="str">
            <v>В-00568/АЗ</v>
          </cell>
        </row>
        <row r="624">
          <cell r="A624" t="str">
            <v>Т-01876/АЗ</v>
          </cell>
        </row>
        <row r="625">
          <cell r="A625" t="str">
            <v>В-06682/КЛ</v>
          </cell>
        </row>
        <row r="626">
          <cell r="A626" t="str">
            <v>В-00447/АЗ</v>
          </cell>
        </row>
        <row r="627">
          <cell r="A627" t="str">
            <v>В-09037/КЛ</v>
          </cell>
        </row>
        <row r="628">
          <cell r="A628" t="str">
            <v>Т-10003/КЭ</v>
          </cell>
        </row>
        <row r="629">
          <cell r="A629" t="str">
            <v>В-06955/КЛ</v>
          </cell>
        </row>
        <row r="630">
          <cell r="A630" t="str">
            <v>В-01388/КЛ</v>
          </cell>
        </row>
        <row r="631">
          <cell r="A631" t="str">
            <v>В-00540/КЛ</v>
          </cell>
        </row>
        <row r="632">
          <cell r="A632" t="str">
            <v>В-09805/КЛ</v>
          </cell>
        </row>
        <row r="633">
          <cell r="A633" t="str">
            <v>В-03473/КЛ</v>
          </cell>
        </row>
        <row r="634">
          <cell r="A634" t="str">
            <v>В-09625/КЛ</v>
          </cell>
        </row>
        <row r="635">
          <cell r="A635" t="str">
            <v>А-04827/АЗ</v>
          </cell>
        </row>
        <row r="636">
          <cell r="A636" t="str">
            <v>В-00790/АЗ</v>
          </cell>
        </row>
        <row r="637">
          <cell r="A637" t="str">
            <v>В-00923/АЗ</v>
          </cell>
        </row>
        <row r="638">
          <cell r="A638" t="str">
            <v>В-00858/АЗ</v>
          </cell>
        </row>
        <row r="639">
          <cell r="A639" t="str">
            <v>В-03039/КЛ</v>
          </cell>
        </row>
        <row r="640">
          <cell r="A640" t="str">
            <v>А-05370/АЗ</v>
          </cell>
        </row>
        <row r="641">
          <cell r="A641" t="str">
            <v>В-00730/АЗ</v>
          </cell>
        </row>
        <row r="642">
          <cell r="A642" t="str">
            <v>В-07444/КЛ</v>
          </cell>
        </row>
        <row r="643">
          <cell r="A643" t="str">
            <v>В-00817/АЗ</v>
          </cell>
        </row>
        <row r="644">
          <cell r="A644" t="str">
            <v>А-05439/АЗ</v>
          </cell>
        </row>
        <row r="645">
          <cell r="A645" t="str">
            <v>Т-01850/АЗ</v>
          </cell>
        </row>
        <row r="646">
          <cell r="A646" t="str">
            <v>Т-01497/АЗ</v>
          </cell>
        </row>
        <row r="647">
          <cell r="A647" t="str">
            <v>А-03947/АЗ</v>
          </cell>
        </row>
        <row r="648">
          <cell r="A648" t="str">
            <v>В-01552/КЛ</v>
          </cell>
        </row>
        <row r="649">
          <cell r="A649" t="str">
            <v>А-05105/АЗ</v>
          </cell>
        </row>
        <row r="650">
          <cell r="A650" t="str">
            <v>Т-01866/АЗ</v>
          </cell>
        </row>
        <row r="651">
          <cell r="A651" t="str">
            <v>В-09250/КЛ</v>
          </cell>
        </row>
        <row r="652">
          <cell r="A652" t="str">
            <v>В-01020/АЗ</v>
          </cell>
        </row>
        <row r="653">
          <cell r="A653" t="str">
            <v>В-04162/КЛ</v>
          </cell>
        </row>
        <row r="654">
          <cell r="A654" t="str">
            <v>А-00466/КЭ</v>
          </cell>
        </row>
        <row r="655">
          <cell r="A655" t="str">
            <v>А-00418/КЭ</v>
          </cell>
        </row>
        <row r="656">
          <cell r="A656" t="str">
            <v>В-07632/КЛ</v>
          </cell>
        </row>
        <row r="657">
          <cell r="A657" t="str">
            <v>В-03631/КЛ</v>
          </cell>
        </row>
        <row r="658">
          <cell r="A658" t="str">
            <v>В-07328/КЛ</v>
          </cell>
        </row>
        <row r="659">
          <cell r="A659" t="str">
            <v>А-05447/АЗ</v>
          </cell>
        </row>
        <row r="660">
          <cell r="A660" t="str">
            <v>В-00885/АЗ</v>
          </cell>
        </row>
        <row r="661">
          <cell r="A661" t="str">
            <v>В-00321/АЗ</v>
          </cell>
        </row>
        <row r="662">
          <cell r="A662" t="str">
            <v>В-05772/КЛ</v>
          </cell>
        </row>
        <row r="663">
          <cell r="A663" t="str">
            <v xml:space="preserve">В-00982/АЗ </v>
          </cell>
        </row>
        <row r="664">
          <cell r="A664" t="str">
            <v>В-01482/КЛ</v>
          </cell>
        </row>
        <row r="665">
          <cell r="A665" t="str">
            <v>В-03383/КЛ</v>
          </cell>
        </row>
        <row r="666">
          <cell r="A666" t="str">
            <v>В-02402/КЛ</v>
          </cell>
        </row>
        <row r="667">
          <cell r="A667" t="str">
            <v>В-07706/КЛ</v>
          </cell>
        </row>
        <row r="668">
          <cell r="A668" t="str">
            <v>Т-01747/АЗ</v>
          </cell>
        </row>
        <row r="669">
          <cell r="A669" t="str">
            <v>А-05164/АЗ</v>
          </cell>
        </row>
        <row r="670">
          <cell r="A670" t="str">
            <v>В-03071/КЛ</v>
          </cell>
        </row>
        <row r="671">
          <cell r="A671" t="str">
            <v>А-00395/КЭ</v>
          </cell>
        </row>
        <row r="672">
          <cell r="A672" t="str">
            <v>В-00051/КЛ</v>
          </cell>
        </row>
        <row r="673">
          <cell r="A673" t="str">
            <v>В-00365/АЗ</v>
          </cell>
        </row>
        <row r="674">
          <cell r="A674" t="str">
            <v>В-00079/КЛ</v>
          </cell>
        </row>
        <row r="675">
          <cell r="A675" t="str">
            <v>В-00324/АЗ</v>
          </cell>
        </row>
        <row r="676">
          <cell r="A676" t="str">
            <v>В-01086/КЛ</v>
          </cell>
        </row>
        <row r="677">
          <cell r="A677" t="str">
            <v>В-00088/АЗ</v>
          </cell>
        </row>
        <row r="678">
          <cell r="A678" t="str">
            <v>В-01417/КЛ</v>
          </cell>
        </row>
        <row r="679">
          <cell r="A679" t="str">
            <v>А-04614/АЗ</v>
          </cell>
        </row>
        <row r="680">
          <cell r="A680" t="str">
            <v>В-04809/КЛ</v>
          </cell>
        </row>
        <row r="681">
          <cell r="A681" t="str">
            <v>В-00003/КЭ</v>
          </cell>
        </row>
        <row r="682">
          <cell r="A682" t="str">
            <v>Т-01752/АЗ</v>
          </cell>
        </row>
        <row r="683">
          <cell r="A683" t="str">
            <v>А-05182/АЗ</v>
          </cell>
        </row>
        <row r="684">
          <cell r="A684" t="str">
            <v>Т-00001/КЭ</v>
          </cell>
        </row>
        <row r="685">
          <cell r="A685" t="str">
            <v>В-08204/КЛ</v>
          </cell>
        </row>
        <row r="686">
          <cell r="A686" t="str">
            <v>В-01174/КЛ</v>
          </cell>
        </row>
        <row r="687">
          <cell r="A687" t="str">
            <v>В-00872/АЗ</v>
          </cell>
        </row>
        <row r="688">
          <cell r="A688" t="str">
            <v>В-00866/АЗ</v>
          </cell>
        </row>
        <row r="689">
          <cell r="A689" t="str">
            <v>В-00449/КЛ</v>
          </cell>
        </row>
        <row r="690">
          <cell r="A690" t="str">
            <v>В-00438/КЛ</v>
          </cell>
        </row>
        <row r="691">
          <cell r="A691" t="str">
            <v>В-03907/КЛ</v>
          </cell>
        </row>
        <row r="692">
          <cell r="A692" t="str">
            <v>В-00425/КЛ</v>
          </cell>
        </row>
        <row r="693">
          <cell r="A693" t="str">
            <v>Т-01865/АЗ</v>
          </cell>
        </row>
        <row r="694">
          <cell r="A694" t="str">
            <v>В-02644/КЛ</v>
          </cell>
        </row>
        <row r="695">
          <cell r="A695" t="str">
            <v>Т-01862/АЗ</v>
          </cell>
        </row>
        <row r="696">
          <cell r="A696" t="str">
            <v>В-00899/АЗ</v>
          </cell>
        </row>
        <row r="697">
          <cell r="A697" t="str">
            <v>В-00824/АЗ</v>
          </cell>
        </row>
        <row r="698">
          <cell r="A698" t="str">
            <v>А-00053/БЭ</v>
          </cell>
        </row>
        <row r="699">
          <cell r="A699" t="str">
            <v>А-04119/АЗ</v>
          </cell>
        </row>
        <row r="700">
          <cell r="A700" t="str">
            <v>А-04328/АЗ</v>
          </cell>
        </row>
        <row r="701">
          <cell r="A701" t="str">
            <v>Т-00030/БЭ</v>
          </cell>
        </row>
        <row r="702">
          <cell r="A702" t="str">
            <v>А-00051/БЭ</v>
          </cell>
        </row>
        <row r="703">
          <cell r="A703" t="str">
            <v>В-00788/АЗ</v>
          </cell>
        </row>
        <row r="704">
          <cell r="A704" t="str">
            <v>А-03565/АЗ</v>
          </cell>
        </row>
        <row r="705">
          <cell r="A705" t="str">
            <v>Т-01404/АЗ</v>
          </cell>
        </row>
        <row r="706">
          <cell r="A706" t="str">
            <v>В-00883/АЗ</v>
          </cell>
        </row>
        <row r="707">
          <cell r="A707" t="str">
            <v>В-02944/КЛ</v>
          </cell>
        </row>
        <row r="708">
          <cell r="A708" t="str">
            <v>В-01072/КЛ</v>
          </cell>
        </row>
        <row r="709">
          <cell r="A709" t="str">
            <v>В-03615/КЛ</v>
          </cell>
        </row>
        <row r="710">
          <cell r="A710" t="str">
            <v xml:space="preserve">А-00386/КЭ </v>
          </cell>
        </row>
        <row r="711">
          <cell r="A711" t="str">
            <v>В-01526/КЛ</v>
          </cell>
        </row>
        <row r="712">
          <cell r="A712" t="str">
            <v>В-00932/АЗ</v>
          </cell>
        </row>
        <row r="713">
          <cell r="A713" t="str">
            <v xml:space="preserve">В-00608/АЗ </v>
          </cell>
        </row>
        <row r="714">
          <cell r="A714" t="str">
            <v xml:space="preserve">Т-01722/АЗ </v>
          </cell>
        </row>
        <row r="715">
          <cell r="A715" t="str">
            <v>В-02026/КЛ</v>
          </cell>
        </row>
        <row r="716">
          <cell r="A716" t="str">
            <v>В-03672/КЛ</v>
          </cell>
        </row>
        <row r="717">
          <cell r="A717" t="str">
            <v>Т-01797/АЗ</v>
          </cell>
        </row>
        <row r="718">
          <cell r="A718" t="str">
            <v>А-05332/АЗ</v>
          </cell>
        </row>
        <row r="719">
          <cell r="A719" t="str">
            <v>В-01422/КЛ</v>
          </cell>
        </row>
        <row r="720">
          <cell r="A720" t="str">
            <v>В-00478/КЛ</v>
          </cell>
        </row>
        <row r="721">
          <cell r="A721" t="str">
            <v>В-00256/КЛ</v>
          </cell>
        </row>
        <row r="722">
          <cell r="A722" t="str">
            <v>В-00603/КЛ</v>
          </cell>
        </row>
        <row r="723">
          <cell r="A723" t="str">
            <v>Т-01798/АЗ</v>
          </cell>
        </row>
        <row r="724">
          <cell r="A724" t="str">
            <v>А-05334/АЗ</v>
          </cell>
        </row>
        <row r="725">
          <cell r="A725" t="str">
            <v>В-08042/КЛ</v>
          </cell>
        </row>
        <row r="726">
          <cell r="A726" t="str">
            <v>В-07240/КЛ</v>
          </cell>
        </row>
        <row r="727">
          <cell r="A727" t="str">
            <v>В-05290/КЛ</v>
          </cell>
        </row>
        <row r="728">
          <cell r="A728" t="str">
            <v>В-00662/АЗ</v>
          </cell>
        </row>
        <row r="729">
          <cell r="A729" t="str">
            <v>В-03277/КЛ</v>
          </cell>
        </row>
        <row r="730">
          <cell r="A730" t="str">
            <v>В-00774/АЗ</v>
          </cell>
        </row>
        <row r="731">
          <cell r="A731" t="str">
            <v>В-00673/АЗ</v>
          </cell>
        </row>
        <row r="732">
          <cell r="A732" t="str">
            <v>Т-01809/АЗ</v>
          </cell>
        </row>
        <row r="733">
          <cell r="A733" t="str">
            <v>В-03114/КЛ</v>
          </cell>
        </row>
        <row r="734">
          <cell r="A734" t="str">
            <v>В-00593/АЗ</v>
          </cell>
        </row>
        <row r="735">
          <cell r="A735" t="str">
            <v>А-05009/АЗ</v>
          </cell>
        </row>
        <row r="736">
          <cell r="A736" t="str">
            <v>А-00328/КЭ</v>
          </cell>
        </row>
        <row r="737">
          <cell r="A737" t="str">
            <v>В-00183/КЛ</v>
          </cell>
        </row>
        <row r="738">
          <cell r="A738" t="str">
            <v>В-03846/КЛ</v>
          </cell>
        </row>
        <row r="739">
          <cell r="A739" t="str">
            <v>А-05166/АЗ</v>
          </cell>
        </row>
        <row r="740">
          <cell r="A740" t="str">
            <v>В-00573/АЗ</v>
          </cell>
        </row>
        <row r="741">
          <cell r="A741" t="str">
            <v>А-10099/КЭ</v>
          </cell>
        </row>
        <row r="742">
          <cell r="A742" t="str">
            <v>А-10098/КЭ</v>
          </cell>
        </row>
        <row r="743">
          <cell r="A743" t="str">
            <v>В-01642/КЛ</v>
          </cell>
        </row>
        <row r="744">
          <cell r="A744" t="str">
            <v>В-01035/КЛ</v>
          </cell>
        </row>
        <row r="745">
          <cell r="A745" t="str">
            <v>А-04171/АЗ</v>
          </cell>
        </row>
        <row r="746">
          <cell r="A746" t="str">
            <v>Т-01841/АЗ_Т-20200626/Ц</v>
          </cell>
        </row>
        <row r="747">
          <cell r="A747" t="str">
            <v>В-00884/КЛ</v>
          </cell>
        </row>
        <row r="748">
          <cell r="A748" t="str">
            <v>В-00762/АЗ</v>
          </cell>
        </row>
        <row r="749">
          <cell r="A749" t="str">
            <v>В-00581/АЗ</v>
          </cell>
        </row>
        <row r="750">
          <cell r="A750" t="str">
            <v>В-03129/КЛ</v>
          </cell>
        </row>
        <row r="751">
          <cell r="A751" t="str">
            <v>В-01987/КЛ</v>
          </cell>
        </row>
        <row r="752">
          <cell r="A752" t="str">
            <v>В-00565/АЗ</v>
          </cell>
        </row>
        <row r="753">
          <cell r="A753" t="str">
            <v>В-00547/АЗ</v>
          </cell>
        </row>
        <row r="754">
          <cell r="A754" t="str">
            <v>В-02186/КЛ</v>
          </cell>
        </row>
        <row r="755">
          <cell r="A755" t="str">
            <v>Т-01612/АЗ</v>
          </cell>
        </row>
        <row r="756">
          <cell r="A756" t="str">
            <v>А-04501/АЗ</v>
          </cell>
        </row>
        <row r="757">
          <cell r="A757" t="str">
            <v>В-00648/АЗ</v>
          </cell>
        </row>
        <row r="758">
          <cell r="A758" t="str">
            <v>В-01227/КЛ</v>
          </cell>
        </row>
        <row r="759">
          <cell r="A759" t="str">
            <v>В-00927/АЗ</v>
          </cell>
        </row>
        <row r="760">
          <cell r="A760" t="str">
            <v>В-00614/АЗ</v>
          </cell>
        </row>
        <row r="761">
          <cell r="A761" t="str">
            <v>В-00911/АЗ</v>
          </cell>
        </row>
        <row r="762">
          <cell r="A762" t="str">
            <v>А-00403/КЭ</v>
          </cell>
        </row>
        <row r="763">
          <cell r="A763" t="str">
            <v>А-00343/КЭ</v>
          </cell>
        </row>
        <row r="764">
          <cell r="A764" t="str">
            <v>В-00557/АЗ</v>
          </cell>
        </row>
        <row r="765">
          <cell r="A765" t="str">
            <v>Т-01631/АЗ</v>
          </cell>
        </row>
        <row r="766">
          <cell r="A766" t="str">
            <v>А-04628/АЗ</v>
          </cell>
        </row>
        <row r="767">
          <cell r="A767" t="str">
            <v>В-03463/КЛ</v>
          </cell>
        </row>
        <row r="768">
          <cell r="A768" t="str">
            <v>В-03741/КЛ</v>
          </cell>
        </row>
        <row r="769">
          <cell r="A769" t="str">
            <v>В-00819/АЗ</v>
          </cell>
        </row>
        <row r="770">
          <cell r="A770" t="str">
            <v>А-04793/АЗ</v>
          </cell>
        </row>
        <row r="771">
          <cell r="A771" t="str">
            <v>В-00840/АЗ</v>
          </cell>
        </row>
        <row r="772">
          <cell r="A772" t="str">
            <v>А-10092/КЭ</v>
          </cell>
        </row>
        <row r="773">
          <cell r="A773" t="str">
            <v>В-00710/АЗ</v>
          </cell>
        </row>
        <row r="774">
          <cell r="A774" t="str">
            <v>В-01319/КЛ</v>
          </cell>
        </row>
        <row r="775">
          <cell r="A775" t="str">
            <v>В-00635/АЗ</v>
          </cell>
        </row>
        <row r="776">
          <cell r="A776" t="str">
            <v>А-00429/КЭ</v>
          </cell>
        </row>
        <row r="777">
          <cell r="A777" t="str">
            <v>В-03749/КЛ</v>
          </cell>
        </row>
        <row r="778">
          <cell r="A778" t="str">
            <v>В-03155/КЛ</v>
          </cell>
        </row>
        <row r="779">
          <cell r="A779" t="str">
            <v>В-01428/КЛ</v>
          </cell>
        </row>
        <row r="780">
          <cell r="A780" t="str">
            <v>В-00553/АЗ</v>
          </cell>
        </row>
        <row r="781">
          <cell r="A781" t="str">
            <v>В-00847/АЗ</v>
          </cell>
        </row>
        <row r="782">
          <cell r="A782" t="str">
            <v>В-00610/АЗ</v>
          </cell>
        </row>
        <row r="783">
          <cell r="A783" t="str">
            <v>В-03738/КЛ</v>
          </cell>
        </row>
        <row r="784">
          <cell r="A784" t="str">
            <v>В-00046/АЗ</v>
          </cell>
        </row>
        <row r="785">
          <cell r="A785" t="str">
            <v>В-02105/КЛ</v>
          </cell>
        </row>
        <row r="786">
          <cell r="A786" t="str">
            <v>В-03543/КЛ</v>
          </cell>
        </row>
        <row r="787">
          <cell r="A787" t="str">
            <v>В-00254/АЗ</v>
          </cell>
        </row>
        <row r="788">
          <cell r="A788" t="str">
            <v>В-04357/КЛ</v>
          </cell>
        </row>
        <row r="789">
          <cell r="A789" t="str">
            <v>В-02500/КЛ</v>
          </cell>
        </row>
        <row r="790">
          <cell r="A790" t="str">
            <v>В-00219/АЗ</v>
          </cell>
        </row>
        <row r="791">
          <cell r="A791" t="str">
            <v>В-00291/АЗ</v>
          </cell>
        </row>
        <row r="792">
          <cell r="A792" t="str">
            <v>В-00726/АЗ</v>
          </cell>
        </row>
        <row r="793">
          <cell r="A793" t="str">
            <v>В-04159/КЛ</v>
          </cell>
        </row>
        <row r="794">
          <cell r="A794" t="str">
            <v>А-00366/КЭ</v>
          </cell>
        </row>
        <row r="795">
          <cell r="A795" t="str">
            <v>А-00327/КЭ</v>
          </cell>
        </row>
        <row r="796">
          <cell r="A796" t="str">
            <v>А-04751/АЗ</v>
          </cell>
        </row>
        <row r="797">
          <cell r="A797" t="str">
            <v>В-03414/КЛ</v>
          </cell>
        </row>
        <row r="798">
          <cell r="A798" t="str">
            <v>В-00272/АЗ</v>
          </cell>
        </row>
        <row r="799">
          <cell r="A799" t="str">
            <v>В-00507/АЗ</v>
          </cell>
        </row>
        <row r="800">
          <cell r="A800" t="str">
            <v>В-03858/КЛ</v>
          </cell>
        </row>
        <row r="801">
          <cell r="A801" t="str">
            <v>В-03960/КЛ</v>
          </cell>
        </row>
        <row r="802">
          <cell r="A802" t="str">
            <v>В-00237/АЗ</v>
          </cell>
        </row>
        <row r="803">
          <cell r="A803" t="str">
            <v>В-03465/КЛ</v>
          </cell>
        </row>
        <row r="804">
          <cell r="A804" t="str">
            <v>В-00566/АЗ</v>
          </cell>
        </row>
        <row r="805">
          <cell r="A805" t="str">
            <v>В-00683/КЛ</v>
          </cell>
        </row>
        <row r="806">
          <cell r="A806" t="str">
            <v>А-10026/БЭ</v>
          </cell>
        </row>
        <row r="807">
          <cell r="A807" t="str">
            <v>В-03758/КЛ</v>
          </cell>
        </row>
        <row r="808">
          <cell r="A808" t="str">
            <v>В-03899/КЛ</v>
          </cell>
        </row>
        <row r="809">
          <cell r="A809" t="str">
            <v>В-00887/АЗ</v>
          </cell>
        </row>
        <row r="810">
          <cell r="A810" t="str">
            <v>В-00835/АЗ</v>
          </cell>
        </row>
        <row r="811">
          <cell r="A811" t="str">
            <v>В-00833/АЗ</v>
          </cell>
        </row>
        <row r="812">
          <cell r="A812" t="str">
            <v>В-00832/АЗ</v>
          </cell>
        </row>
        <row r="813">
          <cell r="A813" t="str">
            <v>В-03686/КЛ</v>
          </cell>
        </row>
        <row r="814">
          <cell r="A814" t="str">
            <v>В-00836/АЗ</v>
          </cell>
        </row>
        <row r="815">
          <cell r="A815" t="str">
            <v>В-00338/АЗ</v>
          </cell>
        </row>
        <row r="816">
          <cell r="A816" t="str">
            <v>В-03413/КЛ</v>
          </cell>
        </row>
        <row r="817">
          <cell r="A817" t="str">
            <v>В-01345/КЛ</v>
          </cell>
        </row>
        <row r="818">
          <cell r="A818" t="str">
            <v>В-00766/АЗ</v>
          </cell>
        </row>
        <row r="819">
          <cell r="A819" t="str">
            <v>А-05291/АЗ</v>
          </cell>
        </row>
        <row r="820">
          <cell r="A820" t="str">
            <v>Т-01847/АЗ</v>
          </cell>
        </row>
        <row r="821">
          <cell r="A821" t="str">
            <v>В-01220/КЛ</v>
          </cell>
        </row>
        <row r="822">
          <cell r="A822" t="str">
            <v>В-00789/АЗ</v>
          </cell>
        </row>
        <row r="823">
          <cell r="A823" t="str">
            <v>А-05431/АЗ</v>
          </cell>
        </row>
        <row r="824">
          <cell r="A824" t="str">
            <v>В-01911/КЛ</v>
          </cell>
        </row>
        <row r="825">
          <cell r="A825" t="str">
            <v>В-00407/АЗ</v>
          </cell>
        </row>
        <row r="826">
          <cell r="A826" t="str">
            <v>В-00690/АЗ</v>
          </cell>
        </row>
        <row r="827">
          <cell r="A827" t="str">
            <v>В-00693/АЗ</v>
          </cell>
        </row>
        <row r="828">
          <cell r="A828" t="str">
            <v>В-00302/КЛ</v>
          </cell>
        </row>
        <row r="829">
          <cell r="A829" t="str">
            <v>А-10066/КЭ</v>
          </cell>
        </row>
        <row r="830">
          <cell r="A830" t="str">
            <v>В-00538/АЗ</v>
          </cell>
        </row>
        <row r="831">
          <cell r="A831" t="str">
            <v>А-04413/АЗ</v>
          </cell>
        </row>
        <row r="832">
          <cell r="A832" t="str">
            <v>Т-01677/АЗ</v>
          </cell>
        </row>
        <row r="833">
          <cell r="A833" t="str">
            <v>Т-01843/АЗ</v>
          </cell>
        </row>
        <row r="834">
          <cell r="A834" t="str">
            <v>А-04356/АЗ</v>
          </cell>
        </row>
        <row r="835">
          <cell r="A835" t="str">
            <v>А-05421/АЗ</v>
          </cell>
        </row>
        <row r="836">
          <cell r="A836" t="str">
            <v>В-00702/АЗ</v>
          </cell>
        </row>
        <row r="837">
          <cell r="A837" t="str">
            <v>А-05088/АЗ</v>
          </cell>
        </row>
        <row r="838">
          <cell r="A838" t="str">
            <v>В-00118/КЛ</v>
          </cell>
        </row>
        <row r="839">
          <cell r="A839" t="str">
            <v>А-30005/КЭ</v>
          </cell>
        </row>
        <row r="840">
          <cell r="A840" t="str">
            <v>В-00865/АЗ</v>
          </cell>
        </row>
        <row r="841">
          <cell r="A841" t="str">
            <v>В-00575/АЗ</v>
          </cell>
        </row>
        <row r="842">
          <cell r="A842" t="str">
            <v>В-03206/КЛ</v>
          </cell>
        </row>
        <row r="843">
          <cell r="A843" t="str">
            <v>В-00818/АЗ</v>
          </cell>
        </row>
        <row r="844">
          <cell r="A844" t="str">
            <v>А-10045/КЭ</v>
          </cell>
        </row>
        <row r="845">
          <cell r="A845" t="str">
            <v>В-01509/КЛ</v>
          </cell>
        </row>
        <row r="846">
          <cell r="A846" t="str">
            <v>В-00706/АЗ</v>
          </cell>
        </row>
        <row r="847">
          <cell r="A847" t="str">
            <v>В-00609/АЗ</v>
          </cell>
        </row>
        <row r="848">
          <cell r="A848" t="str">
            <v>А-05411/АЗ</v>
          </cell>
        </row>
        <row r="849">
          <cell r="A849" t="str">
            <v>А-04223/АЗ</v>
          </cell>
        </row>
        <row r="850">
          <cell r="A850" t="str">
            <v>В-02255/КЛ</v>
          </cell>
        </row>
        <row r="851">
          <cell r="A851" t="str">
            <v>В-01713/КЛ</v>
          </cell>
        </row>
        <row r="852">
          <cell r="A852" t="str">
            <v>В-01562/КЛ</v>
          </cell>
        </row>
        <row r="853">
          <cell r="A853" t="str">
            <v>В-00249/АЗ</v>
          </cell>
        </row>
        <row r="854">
          <cell r="A854" t="str">
            <v>В-01768/КЛ</v>
          </cell>
        </row>
        <row r="855">
          <cell r="A855" t="str">
            <v>В-01925/КЛ</v>
          </cell>
        </row>
        <row r="856">
          <cell r="A856" t="str">
            <v>В-01528/КЛ</v>
          </cell>
        </row>
        <row r="857">
          <cell r="A857" t="str">
            <v>А-10102/КЭ</v>
          </cell>
        </row>
        <row r="858">
          <cell r="A858" t="str">
            <v>А-05193/АЗ</v>
          </cell>
        </row>
        <row r="859">
          <cell r="A859" t="str">
            <v>В-00598/АЗ</v>
          </cell>
        </row>
        <row r="860">
          <cell r="A860" t="str">
            <v>В-01710/КЛ</v>
          </cell>
        </row>
        <row r="861">
          <cell r="A861" t="str">
            <v>В-00660/АЗ</v>
          </cell>
        </row>
        <row r="862">
          <cell r="A862" t="str">
            <v>А-00058/БЭ</v>
          </cell>
        </row>
        <row r="863">
          <cell r="A863" t="str">
            <v>В-00399/АЗ</v>
          </cell>
        </row>
        <row r="864">
          <cell r="A864" t="str">
            <v>В-00489/КЛ</v>
          </cell>
        </row>
        <row r="865">
          <cell r="A865" t="str">
            <v>А-00049/БЭ</v>
          </cell>
        </row>
        <row r="866">
          <cell r="A866" t="str">
            <v>В-01175/КЛ</v>
          </cell>
        </row>
        <row r="867">
          <cell r="A867" t="str">
            <v>А-00435/КЭ</v>
          </cell>
        </row>
        <row r="868">
          <cell r="A868" t="str">
            <v>А-04670/АЗ</v>
          </cell>
        </row>
        <row r="869">
          <cell r="A869" t="str">
            <v>В-00678/КЛ</v>
          </cell>
        </row>
        <row r="870">
          <cell r="A870" t="str">
            <v>А-05132/АЗ</v>
          </cell>
        </row>
        <row r="871">
          <cell r="A871" t="str">
            <v>В-00820/АЗ</v>
          </cell>
        </row>
        <row r="872">
          <cell r="A872" t="str">
            <v>В-00823/АЗ</v>
          </cell>
        </row>
        <row r="873">
          <cell r="A873" t="str">
            <v>В-00559/АЗ</v>
          </cell>
        </row>
        <row r="874">
          <cell r="A874" t="str">
            <v>А-05372/АЗ</v>
          </cell>
        </row>
        <row r="875">
          <cell r="A875" t="str">
            <v>А-05305/АЗ</v>
          </cell>
        </row>
        <row r="876">
          <cell r="A876" t="str">
            <v>В-02110/КЛ</v>
          </cell>
        </row>
        <row r="877">
          <cell r="A877" t="str">
            <v>А-00255/КЭ</v>
          </cell>
        </row>
        <row r="878">
          <cell r="A878" t="str">
            <v>В-00233/КЛ</v>
          </cell>
        </row>
        <row r="879">
          <cell r="A879" t="str">
            <v>В-00085/АЗ</v>
          </cell>
        </row>
        <row r="880">
          <cell r="A880" t="str">
            <v>А-00433/КЭ</v>
          </cell>
        </row>
        <row r="881">
          <cell r="A881" t="str">
            <v>В-00727/АЗ</v>
          </cell>
        </row>
        <row r="882">
          <cell r="A882" t="str">
            <v>В-00562/АЗ</v>
          </cell>
        </row>
        <row r="883">
          <cell r="A883" t="str">
            <v>А-05435/АЗ</v>
          </cell>
        </row>
        <row r="884">
          <cell r="A884" t="str">
            <v>Т-01790/АЗ</v>
          </cell>
        </row>
        <row r="885">
          <cell r="A885" t="str">
            <v>Каверин Владимир Геннадьевич</v>
          </cell>
        </row>
        <row r="886">
          <cell r="A886" t="str">
            <v>А-05231/АЗ</v>
          </cell>
        </row>
        <row r="887">
          <cell r="A887" t="str">
            <v>В-00948/КЛ</v>
          </cell>
        </row>
        <row r="888">
          <cell r="A888" t="str">
            <v>В-00233/АЗ</v>
          </cell>
        </row>
        <row r="889">
          <cell r="A889" t="str">
            <v>В-01375/КЛ</v>
          </cell>
        </row>
        <row r="890">
          <cell r="A890" t="str">
            <v>В-00586/АЗ</v>
          </cell>
        </row>
        <row r="891">
          <cell r="A891" t="str">
            <v>В-01448/КЛ</v>
          </cell>
        </row>
        <row r="892">
          <cell r="A892" t="str">
            <v>А-00347/КЭ</v>
          </cell>
        </row>
        <row r="893">
          <cell r="A893" t="str">
            <v>А-05157/АЗ</v>
          </cell>
        </row>
        <row r="894">
          <cell r="A894" t="str">
            <v>В-00838/АЗ</v>
          </cell>
        </row>
        <row r="895">
          <cell r="A895" t="str">
            <v>В-00837/АЗ</v>
          </cell>
        </row>
        <row r="896">
          <cell r="A896" t="str">
            <v>В-00522/АЗ</v>
          </cell>
        </row>
        <row r="897">
          <cell r="A897" t="str">
            <v>В-01371/КЛ</v>
          </cell>
        </row>
        <row r="898">
          <cell r="A898" t="str">
            <v>Т-01670/АЗ</v>
          </cell>
        </row>
        <row r="899">
          <cell r="A899" t="str">
            <v>А-04787/АЗ</v>
          </cell>
        </row>
        <row r="900">
          <cell r="A900" t="str">
            <v>В-00038/АЗ</v>
          </cell>
        </row>
        <row r="901">
          <cell r="A901" t="str">
            <v>А-05101/АЗ</v>
          </cell>
        </row>
        <row r="902">
          <cell r="A902" t="str">
            <v>В-00497/АЗ</v>
          </cell>
        </row>
        <row r="903">
          <cell r="A903" t="str">
            <v>А-10090/КЭ</v>
          </cell>
        </row>
        <row r="904">
          <cell r="A904" t="str">
            <v>А-05170/АЗ</v>
          </cell>
        </row>
        <row r="905">
          <cell r="A905" t="str">
            <v>В-00286/АЗ</v>
          </cell>
        </row>
        <row r="906">
          <cell r="A906" t="str">
            <v>А-05337/АЗ</v>
          </cell>
        </row>
        <row r="907">
          <cell r="A907" t="str">
            <v>В-00264/АЗ</v>
          </cell>
        </row>
        <row r="908">
          <cell r="A908" t="str">
            <v>В-00643/АЗ</v>
          </cell>
        </row>
        <row r="909">
          <cell r="A909" t="str">
            <v>В-00650/АЗ</v>
          </cell>
        </row>
        <row r="910">
          <cell r="A910" t="str">
            <v>В-01023/КЛ</v>
          </cell>
        </row>
        <row r="911">
          <cell r="A911" t="str">
            <v>В-00094/КЛ</v>
          </cell>
        </row>
        <row r="912">
          <cell r="A912" t="str">
            <v>В-01055/КЛ</v>
          </cell>
        </row>
        <row r="913">
          <cell r="A913" t="str">
            <v>В-00339/КЛ</v>
          </cell>
        </row>
        <row r="914">
          <cell r="A914" t="str">
            <v>В-00489/АЗ</v>
          </cell>
        </row>
        <row r="915">
          <cell r="A915" t="str">
            <v>В-00223/КЛ</v>
          </cell>
        </row>
        <row r="916">
          <cell r="A916" t="str">
            <v>В-00986/КЛ</v>
          </cell>
        </row>
        <row r="917">
          <cell r="A917" t="str">
            <v>В-00182/КЛ</v>
          </cell>
        </row>
        <row r="918">
          <cell r="A918" t="str">
            <v>А-05225/АЗ</v>
          </cell>
        </row>
        <row r="919">
          <cell r="A919" t="str">
            <v>В-00617/АЗ</v>
          </cell>
        </row>
        <row r="920">
          <cell r="A920" t="str">
            <v>А-03641/АЗ</v>
          </cell>
        </row>
        <row r="921">
          <cell r="A921" t="str">
            <v>В-00391/АЗ</v>
          </cell>
        </row>
        <row r="922">
          <cell r="A922" t="str">
            <v>А-00389/КЭ</v>
          </cell>
        </row>
        <row r="923">
          <cell r="A923" t="str">
            <v>А-00309/КЭ</v>
          </cell>
        </row>
        <row r="924">
          <cell r="A924" t="str">
            <v>А-00281/КЭ</v>
          </cell>
        </row>
        <row r="925">
          <cell r="A925" t="str">
            <v>А-05282/АЗ</v>
          </cell>
        </row>
        <row r="926">
          <cell r="A926" t="str">
            <v>В-00103/КЛ</v>
          </cell>
        </row>
        <row r="927">
          <cell r="A927" t="str">
            <v>А-04397/АЗ</v>
          </cell>
        </row>
        <row r="928">
          <cell r="A928" t="str">
            <v>В-00463/КЛ</v>
          </cell>
        </row>
        <row r="929">
          <cell r="A929" t="str">
            <v>В-00536/АЗ</v>
          </cell>
        </row>
        <row r="930">
          <cell r="A930" t="str">
            <v>В-00514/АЗ</v>
          </cell>
        </row>
        <row r="931">
          <cell r="A931" t="str">
            <v>А-05139/АЗ</v>
          </cell>
        </row>
        <row r="932">
          <cell r="A932" t="str">
            <v>А-00410/КЭ</v>
          </cell>
        </row>
        <row r="933">
          <cell r="A933" t="str">
            <v>В-00428/АЗ</v>
          </cell>
        </row>
        <row r="934">
          <cell r="A934" t="str">
            <v>В-00395/АЗ</v>
          </cell>
        </row>
        <row r="935">
          <cell r="A935" t="str">
            <v>А-04742/АЗ</v>
          </cell>
        </row>
        <row r="936">
          <cell r="A936" t="str">
            <v>А-05338/АЗ</v>
          </cell>
        </row>
        <row r="937">
          <cell r="A937" t="str">
            <v>В-00450/АЗ</v>
          </cell>
        </row>
        <row r="938">
          <cell r="A938" t="str">
            <v>В-00175/АЗ</v>
          </cell>
        </row>
        <row r="939">
          <cell r="A939" t="str">
            <v>В-00263/АЗ</v>
          </cell>
        </row>
        <row r="940">
          <cell r="A940" t="str">
            <v>В-00638/АЗ</v>
          </cell>
        </row>
        <row r="941">
          <cell r="A941" t="str">
            <v>В-00622/АЗ</v>
          </cell>
        </row>
        <row r="942">
          <cell r="A942" t="str">
            <v>А-10024/БЭ</v>
          </cell>
        </row>
        <row r="943">
          <cell r="A943" t="str">
            <v>В-00947/КЛ</v>
          </cell>
        </row>
        <row r="944">
          <cell r="A944" t="str">
            <v>А-05349/АЗ</v>
          </cell>
        </row>
        <row r="945">
          <cell r="A945" t="str">
            <v>В-00079/АЗ</v>
          </cell>
        </row>
        <row r="946">
          <cell r="A946" t="str">
            <v>В-00404/АЗ</v>
          </cell>
        </row>
        <row r="947">
          <cell r="A947" t="str">
            <v>А-05308/АЗ</v>
          </cell>
        </row>
        <row r="948">
          <cell r="A948" t="str">
            <v>В-00411/АЗ</v>
          </cell>
        </row>
        <row r="949">
          <cell r="A949" t="str">
            <v>В-00592/АЗ</v>
          </cell>
        </row>
        <row r="950">
          <cell r="A950" t="str">
            <v>В-00204/АЗ</v>
          </cell>
        </row>
        <row r="951">
          <cell r="A951" t="str">
            <v>В-00271/АЗ</v>
          </cell>
        </row>
        <row r="952">
          <cell r="A952" t="str">
            <v>В-00360/АЗ</v>
          </cell>
        </row>
        <row r="953">
          <cell r="A953" t="str">
            <v>А-04984/АЗ</v>
          </cell>
        </row>
        <row r="954">
          <cell r="A954" t="str">
            <v>Т-01705/АЗ</v>
          </cell>
        </row>
        <row r="955">
          <cell r="A955" t="str">
            <v>Т-01499/АЗ</v>
          </cell>
        </row>
        <row r="956">
          <cell r="A956" t="str">
            <v>А-03951/АЗ</v>
          </cell>
        </row>
        <row r="957">
          <cell r="A957" t="str">
            <v>В-00020/АЗ</v>
          </cell>
        </row>
        <row r="958">
          <cell r="A958" t="str">
            <v>А-04220/АЗ</v>
          </cell>
        </row>
        <row r="959">
          <cell r="A959" t="str">
            <v>В-00320/КЛ</v>
          </cell>
        </row>
        <row r="960">
          <cell r="A960" t="str">
            <v>А-05165/АЗ</v>
          </cell>
        </row>
        <row r="961">
          <cell r="A961" t="str">
            <v>И-00141/АЗ</v>
          </cell>
        </row>
        <row r="962">
          <cell r="A962" t="str">
            <v>А-30002/КЭ</v>
          </cell>
        </row>
        <row r="963">
          <cell r="A963" t="str">
            <v>А-10036/КЭ</v>
          </cell>
        </row>
        <row r="964">
          <cell r="A964" t="str">
            <v>А-05380/АЗ</v>
          </cell>
        </row>
        <row r="965">
          <cell r="A965" t="str">
            <v>Т-01820/АЗ</v>
          </cell>
        </row>
        <row r="966">
          <cell r="A966" t="str">
            <v>В-00457/АЗ</v>
          </cell>
        </row>
        <row r="967">
          <cell r="A967" t="str">
            <v>Т-01799/АЗ</v>
          </cell>
        </row>
        <row r="968">
          <cell r="A968" t="str">
            <v>В-00147/АЗ</v>
          </cell>
        </row>
        <row r="969">
          <cell r="A969" t="str">
            <v>А-05110/АЗ</v>
          </cell>
        </row>
        <row r="970">
          <cell r="A970" t="str">
            <v>А-04950/АЗ</v>
          </cell>
        </row>
        <row r="971">
          <cell r="A971" t="str">
            <v>А-05076/АЗ</v>
          </cell>
        </row>
        <row r="972">
          <cell r="A972" t="str">
            <v>В-00617/КЛ</v>
          </cell>
        </row>
        <row r="973">
          <cell r="A973" t="str">
            <v>В-00141/АЗ</v>
          </cell>
        </row>
        <row r="974">
          <cell r="A974" t="str">
            <v>В-00469/АЗ</v>
          </cell>
        </row>
        <row r="975">
          <cell r="A975" t="str">
            <v>В-00467/АЗ</v>
          </cell>
        </row>
        <row r="976">
          <cell r="A976" t="str">
            <v>В-00267/КЛ</v>
          </cell>
        </row>
        <row r="977">
          <cell r="A977" t="str">
            <v>В-00357/АЗ</v>
          </cell>
        </row>
        <row r="978">
          <cell r="A978" t="str">
            <v>Т-01774/АЗ</v>
          </cell>
        </row>
        <row r="979">
          <cell r="A979" t="str">
            <v>В-00398/АЗ</v>
          </cell>
        </row>
        <row r="980">
          <cell r="A980" t="str">
            <v>Т-01725/АЗ</v>
          </cell>
        </row>
        <row r="981">
          <cell r="A981" t="str">
            <v>А-05377/АЗ</v>
          </cell>
        </row>
        <row r="982">
          <cell r="A982" t="str">
            <v>В-00434/АЗ</v>
          </cell>
        </row>
        <row r="983">
          <cell r="A983" t="str">
            <v>А-04901/АЗ</v>
          </cell>
        </row>
        <row r="984">
          <cell r="A984" t="str">
            <v>А-05245/АЗ</v>
          </cell>
        </row>
        <row r="985">
          <cell r="A985" t="str">
            <v>В-00043/КЛ</v>
          </cell>
        </row>
        <row r="986">
          <cell r="A986" t="str">
            <v>В-00201/АЗ</v>
          </cell>
        </row>
        <row r="987">
          <cell r="A987" t="str">
            <v>А-04910/АЗ</v>
          </cell>
        </row>
        <row r="988">
          <cell r="A988" t="str">
            <v>А-10039/КЭ</v>
          </cell>
        </row>
        <row r="989">
          <cell r="A989" t="str">
            <v>А-00363/КЭ</v>
          </cell>
        </row>
        <row r="990">
          <cell r="A990" t="str">
            <v>А-05178/АЗ</v>
          </cell>
        </row>
        <row r="991">
          <cell r="A991" t="str">
            <v>Т-01750/АЗ</v>
          </cell>
        </row>
        <row r="992">
          <cell r="A992" t="str">
            <v>А-00375/КЭ</v>
          </cell>
        </row>
        <row r="993">
          <cell r="A993" t="str">
            <v>В-00763/КЛ</v>
          </cell>
        </row>
        <row r="994">
          <cell r="A994" t="str">
            <v>А-00257/КЭ</v>
          </cell>
        </row>
        <row r="995">
          <cell r="A995" t="str">
            <v>В-00275/АЗ</v>
          </cell>
        </row>
        <row r="996">
          <cell r="A996" t="str">
            <v>В-00326/АЗ</v>
          </cell>
        </row>
        <row r="997">
          <cell r="A997" t="str">
            <v>В-00169/АЗ</v>
          </cell>
        </row>
        <row r="998">
          <cell r="A998" t="str">
            <v>А-04018/АЗ</v>
          </cell>
        </row>
        <row r="999">
          <cell r="A999" t="str">
            <v>А-04641/АЗ</v>
          </cell>
        </row>
        <row r="1000">
          <cell r="A1000" t="str">
            <v>В-00135/АЗ</v>
          </cell>
        </row>
        <row r="1001">
          <cell r="A1001" t="str">
            <v>А-04404/АЗ</v>
          </cell>
        </row>
        <row r="1002">
          <cell r="A1002" t="str">
            <v>А-03870/АЗ</v>
          </cell>
        </row>
        <row r="1003">
          <cell r="A1003" t="str">
            <v>В-00039/АЗ</v>
          </cell>
        </row>
        <row r="1004">
          <cell r="A1004" t="str">
            <v>А-10032/КЭ</v>
          </cell>
        </row>
        <row r="1005">
          <cell r="A1005" t="str">
            <v>Т-01540/АЗ</v>
          </cell>
        </row>
        <row r="1006">
          <cell r="A1006" t="str">
            <v>А-04160/АЗ</v>
          </cell>
        </row>
        <row r="1007">
          <cell r="A1007" t="str">
            <v>В-00100/АЗ</v>
          </cell>
        </row>
        <row r="1008">
          <cell r="A1008" t="str">
            <v>В-00308/АЗ</v>
          </cell>
        </row>
        <row r="1009">
          <cell r="A1009" t="str">
            <v>А-04953/АЗ</v>
          </cell>
        </row>
        <row r="1010">
          <cell r="A1010" t="str">
            <v>А-00357/КЭ</v>
          </cell>
        </row>
        <row r="1011">
          <cell r="A1011" t="str">
            <v>В-00040/АЗ</v>
          </cell>
        </row>
        <row r="1012">
          <cell r="A1012" t="str">
            <v>Т-01646/АЗ</v>
          </cell>
        </row>
        <row r="1013">
          <cell r="A1013" t="str">
            <v>А-04684/АЗ</v>
          </cell>
        </row>
        <row r="1014">
          <cell r="A1014" t="str">
            <v>А-04958/АЗ</v>
          </cell>
        </row>
        <row r="1015">
          <cell r="A1015" t="str">
            <v>А-04914/АЗ</v>
          </cell>
        </row>
        <row r="1016">
          <cell r="A1016" t="str">
            <v>Т-01718/АЗ</v>
          </cell>
        </row>
        <row r="1017">
          <cell r="A1017" t="str">
            <v>А-04943/АЗ</v>
          </cell>
        </row>
        <row r="1018">
          <cell r="A1018" t="str">
            <v>Т-01706/АЗ</v>
          </cell>
        </row>
        <row r="1019">
          <cell r="A1019" t="str">
            <v>А-04674/АЗ</v>
          </cell>
        </row>
        <row r="1020">
          <cell r="A1020" t="str">
            <v>В-00041/АЗ</v>
          </cell>
        </row>
        <row r="1021">
          <cell r="A1021" t="str">
            <v>Т-01610/АЗ</v>
          </cell>
        </row>
        <row r="1022">
          <cell r="A1022" t="str">
            <v>А-04490/АЗ</v>
          </cell>
        </row>
        <row r="1023">
          <cell r="A1023" t="str">
            <v>В-00151/АЗ</v>
          </cell>
        </row>
        <row r="1024">
          <cell r="A1024" t="str">
            <v>В-00161/АЗ</v>
          </cell>
        </row>
        <row r="1025">
          <cell r="A1025" t="str">
            <v>А-05138/АЗ</v>
          </cell>
        </row>
        <row r="1026">
          <cell r="A1026" t="str">
            <v>А-05130/АЗ</v>
          </cell>
        </row>
        <row r="1027">
          <cell r="A1027" t="str">
            <v>В-00018/АЗ</v>
          </cell>
        </row>
        <row r="1028">
          <cell r="A1028" t="str">
            <v>А-10020/КЭ</v>
          </cell>
        </row>
        <row r="1029">
          <cell r="A1029" t="str">
            <v>В-00065/АЗ</v>
          </cell>
        </row>
        <row r="1030">
          <cell r="A1030" t="str">
            <v>И-00154/АЗ</v>
          </cell>
        </row>
        <row r="1031">
          <cell r="A1031" t="str">
            <v>В-00073/АЗ</v>
          </cell>
        </row>
        <row r="1032">
          <cell r="A1032" t="str">
            <v>А-10087/КЭ</v>
          </cell>
        </row>
        <row r="1033">
          <cell r="A1033" t="str">
            <v>А-05335/АЗ</v>
          </cell>
        </row>
        <row r="1034">
          <cell r="A1034" t="str">
            <v>В-00243/АЗ</v>
          </cell>
        </row>
        <row r="1035">
          <cell r="A1035" t="str">
            <v>А-05100/АЗ</v>
          </cell>
        </row>
        <row r="1036">
          <cell r="A1036" t="str">
            <v>А-05159/АЗ</v>
          </cell>
        </row>
        <row r="1037">
          <cell r="A1037" t="str">
            <v>А-05031/АЗ</v>
          </cell>
        </row>
        <row r="1038">
          <cell r="A1038" t="str">
            <v>А-04601/АЗ</v>
          </cell>
        </row>
        <row r="1039">
          <cell r="A1039" t="str">
            <v>В-00052/АЗ</v>
          </cell>
        </row>
        <row r="1040">
          <cell r="A1040" t="str">
            <v>А-03933/АЗ</v>
          </cell>
        </row>
        <row r="1041">
          <cell r="A1041" t="str">
            <v>А-04868/АЗ</v>
          </cell>
        </row>
        <row r="1042">
          <cell r="A1042" t="str">
            <v>А-04352/АЗ</v>
          </cell>
        </row>
        <row r="1043">
          <cell r="A1043" t="str">
            <v>А-05137/АЗ</v>
          </cell>
        </row>
        <row r="1044">
          <cell r="A1044" t="str">
            <v>А-04802/АЗ</v>
          </cell>
        </row>
        <row r="1045">
          <cell r="A1045" t="str">
            <v>Т-01805/АЗ</v>
          </cell>
        </row>
        <row r="1046">
          <cell r="A1046" t="str">
            <v>А-05346/АЗ</v>
          </cell>
        </row>
        <row r="1047">
          <cell r="A1047" t="str">
            <v>А-00268/КЭ</v>
          </cell>
        </row>
        <row r="1048">
          <cell r="A1048" t="str">
            <v>А-10063/КЭ</v>
          </cell>
        </row>
        <row r="1049">
          <cell r="A1049" t="str">
            <v>А-05123/АЗ</v>
          </cell>
        </row>
        <row r="1050">
          <cell r="A1050" t="str">
            <v>А-05230/АЗ</v>
          </cell>
        </row>
        <row r="1051">
          <cell r="A1051" t="str">
            <v>И-00163/АЗ</v>
          </cell>
        </row>
        <row r="1052">
          <cell r="A1052" t="str">
            <v>Т-01642/АЗ</v>
          </cell>
        </row>
        <row r="1053">
          <cell r="A1053" t="str">
            <v>А-04668/АЗ</v>
          </cell>
        </row>
        <row r="1054">
          <cell r="A1054" t="str">
            <v>А-05208/АЗ</v>
          </cell>
        </row>
        <row r="1055">
          <cell r="A1055" t="str">
            <v>Т-01758/АЗ</v>
          </cell>
        </row>
        <row r="1056">
          <cell r="A1056" t="str">
            <v>А-04925/АЗ</v>
          </cell>
        </row>
        <row r="1057">
          <cell r="A1057" t="str">
            <v>А-05074/АЗ</v>
          </cell>
        </row>
        <row r="1058">
          <cell r="A1058" t="str">
            <v>Т-01720/АЗ</v>
          </cell>
        </row>
        <row r="1059">
          <cell r="A1059" t="str">
            <v>Т-01524/АЗ</v>
          </cell>
        </row>
        <row r="1060">
          <cell r="A1060" t="str">
            <v>А-04089/АЗ</v>
          </cell>
        </row>
        <row r="1061">
          <cell r="A1061" t="str">
            <v>А-04323/АЗ</v>
          </cell>
        </row>
        <row r="1062">
          <cell r="A1062" t="str">
            <v>А-05195/АЗ</v>
          </cell>
        </row>
        <row r="1063">
          <cell r="A1063" t="str">
            <v>Т-01754/АЗ</v>
          </cell>
        </row>
        <row r="1064">
          <cell r="A1064" t="str">
            <v>А-04735/АЗ</v>
          </cell>
        </row>
        <row r="1065">
          <cell r="A1065" t="str">
            <v>И-00170/АЗ</v>
          </cell>
        </row>
        <row r="1066">
          <cell r="A1066" t="str">
            <v>А-05073/АЗ</v>
          </cell>
        </row>
        <row r="1067">
          <cell r="A1067" t="str">
            <v>А-04962/АЗ</v>
          </cell>
        </row>
        <row r="1068">
          <cell r="A1068" t="str">
            <v>А-04842/АЗ</v>
          </cell>
        </row>
        <row r="1069">
          <cell r="A1069" t="str">
            <v>А-05198/АЗ</v>
          </cell>
        </row>
        <row r="1070">
          <cell r="A1070" t="str">
            <v>А-04593/АЗ</v>
          </cell>
        </row>
        <row r="1071">
          <cell r="A1071" t="str">
            <v>А-10019/БЭ</v>
          </cell>
        </row>
        <row r="1072">
          <cell r="A1072" t="str">
            <v>А-00019/ИЗ</v>
          </cell>
        </row>
        <row r="1073">
          <cell r="A1073" t="str">
            <v>А-04818/АЗ</v>
          </cell>
        </row>
        <row r="1074">
          <cell r="A1074" t="str">
            <v>А-04193/АЗ</v>
          </cell>
        </row>
        <row r="1075">
          <cell r="A1075" t="str">
            <v>А-04805/АЗ</v>
          </cell>
        </row>
        <row r="1076">
          <cell r="A1076" t="str">
            <v>А-05087/АЗ</v>
          </cell>
        </row>
        <row r="1077">
          <cell r="A1077" t="str">
            <v>Т-01724/АЗ</v>
          </cell>
        </row>
        <row r="1078">
          <cell r="A1078" t="str">
            <v>А-04676/АЗ</v>
          </cell>
        </row>
        <row r="1079">
          <cell r="A1079" t="str">
            <v>Т-10005/БЭ</v>
          </cell>
        </row>
        <row r="1080">
          <cell r="A1080" t="str">
            <v>И-00097/АЗ</v>
          </cell>
        </row>
        <row r="1081">
          <cell r="A1081" t="str">
            <v>А-05048/АЗ</v>
          </cell>
        </row>
        <row r="1082">
          <cell r="A1082" t="str">
            <v>Т-01716/АЗ</v>
          </cell>
        </row>
        <row r="1083">
          <cell r="A1083" t="str">
            <v>А-05114/АЗ</v>
          </cell>
        </row>
        <row r="1084">
          <cell r="A1084" t="str">
            <v>А-04070/АЗ</v>
          </cell>
        </row>
        <row r="1085">
          <cell r="A1085" t="str">
            <v>А-04535/АЗ</v>
          </cell>
        </row>
        <row r="1086">
          <cell r="A1086" t="str">
            <v>Т-01707/АЗ</v>
          </cell>
        </row>
        <row r="1087">
          <cell r="A1087" t="str">
            <v>А-30001/КЭ</v>
          </cell>
        </row>
        <row r="1088">
          <cell r="A1088" t="str">
            <v>А-04237/АЗ</v>
          </cell>
        </row>
        <row r="1089">
          <cell r="A1089" t="str">
            <v>А-04329/АЗ</v>
          </cell>
        </row>
        <row r="1090">
          <cell r="A1090" t="str">
            <v>Т-01775/АЗ</v>
          </cell>
        </row>
        <row r="1091">
          <cell r="A1091" t="str">
            <v>А-05285/АЗ</v>
          </cell>
        </row>
        <row r="1092">
          <cell r="A1092" t="str">
            <v>А-00217/КЭ</v>
          </cell>
        </row>
        <row r="1093">
          <cell r="A1093" t="str">
            <v>Т-01672/АЗ</v>
          </cell>
        </row>
        <row r="1094">
          <cell r="A1094" t="str">
            <v>А-04027/АЗ</v>
          </cell>
        </row>
        <row r="1095">
          <cell r="A1095" t="str">
            <v>А-04829/АЗ</v>
          </cell>
        </row>
        <row r="1096">
          <cell r="A1096" t="str">
            <v>А-00346/КЭ</v>
          </cell>
        </row>
        <row r="1097">
          <cell r="A1097" t="str">
            <v>А-10050/КЭ</v>
          </cell>
        </row>
        <row r="1098">
          <cell r="A1098" t="str">
            <v>А-00229/КЭ</v>
          </cell>
        </row>
        <row r="1099">
          <cell r="A1099" t="str">
            <v>Т-01572/АЗ</v>
          </cell>
        </row>
        <row r="1100">
          <cell r="A1100" t="str">
            <v>Т-01571/АЗ</v>
          </cell>
        </row>
        <row r="1101">
          <cell r="A1101" t="str">
            <v>А-04281/АЗ</v>
          </cell>
        </row>
        <row r="1102">
          <cell r="A1102" t="str">
            <v>А-04282/АЗ</v>
          </cell>
        </row>
        <row r="1103">
          <cell r="A1103" t="str">
            <v>А-05006/АЗ</v>
          </cell>
        </row>
        <row r="1104">
          <cell r="A1104" t="str">
            <v>А-05160/АЗ</v>
          </cell>
        </row>
        <row r="1105">
          <cell r="A1105" t="str">
            <v>А-04815/АЗ</v>
          </cell>
        </row>
        <row r="1106">
          <cell r="A1106" t="str">
            <v>А-05030/АЗ</v>
          </cell>
        </row>
        <row r="1107">
          <cell r="A1107" t="str">
            <v>А-04701/АЗ</v>
          </cell>
        </row>
        <row r="1108">
          <cell r="A1108" t="str">
            <v>А-04499/АЗ</v>
          </cell>
        </row>
        <row r="1109">
          <cell r="A1109" t="str">
            <v>Т-01611/АЗ</v>
          </cell>
        </row>
        <row r="1110">
          <cell r="A1110" t="str">
            <v>А-04801/АЗ</v>
          </cell>
        </row>
        <row r="1111">
          <cell r="A1111" t="str">
            <v>А-10001/КЭ</v>
          </cell>
        </row>
        <row r="1112">
          <cell r="A1112" t="str">
            <v>А-00274/КЭ</v>
          </cell>
        </row>
        <row r="1113">
          <cell r="A1113" t="str">
            <v>А-04942/АЗ</v>
          </cell>
        </row>
        <row r="1114">
          <cell r="A1114" t="str">
            <v>А-04594/АЗ</v>
          </cell>
        </row>
        <row r="1115">
          <cell r="A1115" t="str">
            <v>А-04167/АЗ</v>
          </cell>
        </row>
        <row r="1116">
          <cell r="A1116" t="str">
            <v>А-04789/АЗ</v>
          </cell>
        </row>
        <row r="1117">
          <cell r="A1117" t="str">
            <v>А-03837/АЗ</v>
          </cell>
        </row>
        <row r="1118">
          <cell r="A1118" t="str">
            <v>А-04236/АЗ</v>
          </cell>
        </row>
        <row r="1119">
          <cell r="A1119" t="str">
            <v>А-04538/АЗ</v>
          </cell>
        </row>
        <row r="1120">
          <cell r="A1120" t="str">
            <v>Т-10002/БЭ</v>
          </cell>
        </row>
        <row r="1121">
          <cell r="A1121" t="str">
            <v>Т-01607/АЗ</v>
          </cell>
        </row>
        <row r="1122">
          <cell r="A1122" t="str">
            <v>А-04355/АЗ</v>
          </cell>
        </row>
        <row r="1123">
          <cell r="A1123" t="str">
            <v>А-04470/АЗ</v>
          </cell>
        </row>
        <row r="1124">
          <cell r="A1124" t="str">
            <v>А-00352/КЭ</v>
          </cell>
        </row>
        <row r="1125">
          <cell r="A1125" t="str">
            <v>А-04681/АЗ</v>
          </cell>
        </row>
        <row r="1126">
          <cell r="A1126" t="str">
            <v>А-04680/АЗ</v>
          </cell>
        </row>
        <row r="1127">
          <cell r="A1127" t="str">
            <v>А-04132/АЗ</v>
          </cell>
        </row>
        <row r="1128">
          <cell r="A1128" t="str">
            <v>А-04888/АЗ</v>
          </cell>
        </row>
        <row r="1129">
          <cell r="A1129" t="str">
            <v>А-03926/АЗ</v>
          </cell>
        </row>
        <row r="1130">
          <cell r="A1130" t="str">
            <v>А-10037/КЭ</v>
          </cell>
        </row>
        <row r="1131">
          <cell r="A1131" t="str">
            <v>А-00305/КЭ</v>
          </cell>
        </row>
        <row r="1132">
          <cell r="A1132" t="str">
            <v>А-04658/АЗ</v>
          </cell>
        </row>
        <row r="1133">
          <cell r="A1133" t="str">
            <v>А-04541/АЗ</v>
          </cell>
        </row>
        <row r="1134">
          <cell r="A1134" t="str">
            <v>Т-01457/АЗ</v>
          </cell>
        </row>
        <row r="1135">
          <cell r="A1135" t="str">
            <v>А-03753/АЗ</v>
          </cell>
        </row>
        <row r="1136">
          <cell r="A1136" t="str">
            <v>А-04117/АЗ</v>
          </cell>
        </row>
        <row r="1137">
          <cell r="A1137" t="str">
            <v>А-04003/АЗ</v>
          </cell>
        </row>
        <row r="1138">
          <cell r="A1138" t="str">
            <v>А-04695/АЗ</v>
          </cell>
        </row>
        <row r="1139">
          <cell r="A1139" t="str">
            <v>И-00125/АЗ</v>
          </cell>
        </row>
        <row r="1140">
          <cell r="A1140" t="str">
            <v>А-04669/АЗ</v>
          </cell>
        </row>
        <row r="1141">
          <cell r="A1141" t="str">
            <v>Т-01643/АЗ</v>
          </cell>
        </row>
        <row r="1142">
          <cell r="A1142" t="str">
            <v>Т-01539/АЗ</v>
          </cell>
        </row>
        <row r="1143">
          <cell r="A1143" t="str">
            <v>А-04156/АЗ</v>
          </cell>
        </row>
        <row r="1144">
          <cell r="A1144" t="str">
            <v>А-04015/АЗ</v>
          </cell>
        </row>
        <row r="1145">
          <cell r="A1145" t="str">
            <v>Т-01510/АЗ</v>
          </cell>
        </row>
        <row r="1146">
          <cell r="A1146" t="str">
            <v>А-00294/КЭ</v>
          </cell>
        </row>
        <row r="1147">
          <cell r="A1147" t="str">
            <v>А-10034/КЭ</v>
          </cell>
        </row>
        <row r="1148">
          <cell r="A1148" t="str">
            <v>А-03749/АЗ</v>
          </cell>
        </row>
        <row r="1149">
          <cell r="A1149" t="str">
            <v>А-03788/АЗ</v>
          </cell>
        </row>
        <row r="1150">
          <cell r="A1150" t="str">
            <v>А-04617/АЗ</v>
          </cell>
        </row>
        <row r="1151">
          <cell r="A1151" t="str">
            <v>А-04771/АЗ</v>
          </cell>
        </row>
        <row r="1152">
          <cell r="A1152" t="str">
            <v>А-03750/АЗ</v>
          </cell>
        </row>
        <row r="1153">
          <cell r="A1153" t="str">
            <v>А-04158/АЗ</v>
          </cell>
        </row>
        <row r="1154">
          <cell r="A1154" t="str">
            <v>А-10016/БЭ</v>
          </cell>
        </row>
        <row r="1155">
          <cell r="A1155" t="str">
            <v>А-03591/АЗ</v>
          </cell>
        </row>
        <row r="1156">
          <cell r="A1156" t="str">
            <v>А-00035/БЭ</v>
          </cell>
        </row>
        <row r="1157">
          <cell r="A1157" t="str">
            <v>А-04548/АЗ</v>
          </cell>
        </row>
        <row r="1158">
          <cell r="A1158" t="str">
            <v>А-00259/КЭ</v>
          </cell>
        </row>
        <row r="1159">
          <cell r="A1159" t="str">
            <v>А-10061/КЭ</v>
          </cell>
        </row>
        <row r="1160">
          <cell r="A1160" t="str">
            <v>А-03768/АЗ</v>
          </cell>
        </row>
        <row r="1161">
          <cell r="A1161" t="str">
            <v>А-10041/КЭ</v>
          </cell>
        </row>
        <row r="1162">
          <cell r="A1162" t="str">
            <v>А-03934/АЗ</v>
          </cell>
        </row>
        <row r="1163">
          <cell r="A1163" t="str">
            <v>А-04173/АЗ</v>
          </cell>
        </row>
        <row r="1164">
          <cell r="A1164" t="str">
            <v>А-03942/АЗ</v>
          </cell>
        </row>
        <row r="1165">
          <cell r="A1165" t="str">
            <v>А-03756/АЗ</v>
          </cell>
        </row>
        <row r="1166">
          <cell r="A1166" t="str">
            <v>А-10047/КЭ</v>
          </cell>
        </row>
        <row r="1167">
          <cell r="A1167" t="str">
            <v>А-04384/АЗ</v>
          </cell>
        </row>
        <row r="1168">
          <cell r="A1168" t="str">
            <v>А-04382/АЗ</v>
          </cell>
        </row>
        <row r="1169">
          <cell r="A1169" t="str">
            <v>А-04275/АЗ</v>
          </cell>
        </row>
        <row r="1170">
          <cell r="A1170" t="str">
            <v>А-04341/АЗ</v>
          </cell>
        </row>
        <row r="1171">
          <cell r="A1171" t="str">
            <v>Т-01585/АЗ</v>
          </cell>
        </row>
        <row r="1172">
          <cell r="A1172" t="str">
            <v>А-04464/АЗ</v>
          </cell>
        </row>
        <row r="1173">
          <cell r="A1173" t="str">
            <v>А-03853/АЗ</v>
          </cell>
        </row>
        <row r="1174">
          <cell r="A1174" t="str">
            <v>А-04151/АЗ</v>
          </cell>
        </row>
        <row r="1175">
          <cell r="A1175" t="str">
            <v>А-03918/АЗ</v>
          </cell>
        </row>
        <row r="1176">
          <cell r="A1176" t="str">
            <v>А-10017/КЭ</v>
          </cell>
        </row>
        <row r="1177">
          <cell r="A1177" t="str">
            <v>А-03511/АЗ</v>
          </cell>
        </row>
        <row r="1178">
          <cell r="A1178" t="str">
            <v>А-00242/КЭ</v>
          </cell>
        </row>
        <row r="1179">
          <cell r="A1179" t="str">
            <v>А-10048/КЭ</v>
          </cell>
        </row>
        <row r="1180">
          <cell r="A1180" t="str">
            <v>А-04206/АЗ</v>
          </cell>
        </row>
        <row r="1181">
          <cell r="A1181" t="str">
            <v>А-00314/КЭ</v>
          </cell>
        </row>
        <row r="1182">
          <cell r="A1182" t="str">
            <v>А-00211/КЭ</v>
          </cell>
        </row>
        <row r="1183">
          <cell r="A1183" t="str">
            <v>А-00165/КЭ</v>
          </cell>
        </row>
        <row r="1184">
          <cell r="A1184" t="str">
            <v>А-04028/АЗ</v>
          </cell>
        </row>
        <row r="1185">
          <cell r="A1185" t="str">
            <v>И-00119/АЗ</v>
          </cell>
        </row>
        <row r="1186">
          <cell r="A1186" t="str">
            <v>А-03544/АЗ</v>
          </cell>
        </row>
        <row r="1187">
          <cell r="A1187" t="str">
            <v>Т-01396/АЗ</v>
          </cell>
        </row>
        <row r="1188">
          <cell r="A1188" t="str">
            <v>А-00006/ИЗ</v>
          </cell>
        </row>
        <row r="1189">
          <cell r="A1189" t="str">
            <v>А-04092/АЗ</v>
          </cell>
        </row>
        <row r="1190">
          <cell r="A1190" t="str">
            <v>А-00230/КЭ</v>
          </cell>
        </row>
        <row r="1191">
          <cell r="A1191" t="str">
            <v>А-10010/БЭ</v>
          </cell>
        </row>
        <row r="1192">
          <cell r="A1192" t="str">
            <v>А-04022/АЗ</v>
          </cell>
        </row>
        <row r="1193">
          <cell r="A1193" t="str">
            <v>А-03980/АЗ</v>
          </cell>
        </row>
        <row r="1194">
          <cell r="A1194" t="str">
            <v>А-04096/АЗ</v>
          </cell>
        </row>
        <row r="1195">
          <cell r="A1195" t="str">
            <v>А-04088/АЗ</v>
          </cell>
        </row>
        <row r="1196">
          <cell r="A1196" t="str">
            <v>А-00169/КЭ</v>
          </cell>
        </row>
        <row r="1197">
          <cell r="A1197" t="str">
            <v>А-00247/КЭ</v>
          </cell>
        </row>
        <row r="1198">
          <cell r="A1198" t="str">
            <v>А-00084/КЭ</v>
          </cell>
        </row>
        <row r="1199">
          <cell r="A1199" t="str">
            <v>А-00254/КЭ</v>
          </cell>
        </row>
        <row r="1200">
          <cell r="A1200" t="str">
            <v>А-00001/БЭ</v>
          </cell>
        </row>
        <row r="1201">
          <cell r="A1201" t="str">
            <v>А-04412/АЗ</v>
          </cell>
        </row>
        <row r="1202">
          <cell r="A1202" t="str">
            <v>Т-01596/АЗ</v>
          </cell>
        </row>
        <row r="1203">
          <cell r="A1203" t="str">
            <v>А-03766/АЗ</v>
          </cell>
        </row>
        <row r="1204">
          <cell r="A1204" t="str">
            <v>А-00029/БЭ</v>
          </cell>
        </row>
        <row r="1205">
          <cell r="A1205" t="str">
            <v>А-04056/АЗ</v>
          </cell>
        </row>
        <row r="1206">
          <cell r="A1206" t="str">
            <v>А-00262/КЭ</v>
          </cell>
        </row>
        <row r="1207">
          <cell r="A1207" t="str">
            <v>Т-10003/БЭ</v>
          </cell>
        </row>
        <row r="1208">
          <cell r="A1208" t="str">
            <v>А-03925/АЗ</v>
          </cell>
        </row>
        <row r="1209">
          <cell r="A1209" t="str">
            <v>А-03444/АЗ</v>
          </cell>
        </row>
        <row r="1210">
          <cell r="A1210" t="str">
            <v>А-00293/КЭ</v>
          </cell>
        </row>
        <row r="1211">
          <cell r="A1211" t="str">
            <v>А-02682/АЗ</v>
          </cell>
        </row>
        <row r="1212">
          <cell r="A1212" t="str">
            <v>А-03792/АЗ</v>
          </cell>
        </row>
        <row r="1213">
          <cell r="A1213" t="str">
            <v>А-03814/АЗ</v>
          </cell>
        </row>
        <row r="1214">
          <cell r="A1214" t="str">
            <v>А-00034/БЭ</v>
          </cell>
        </row>
        <row r="1215">
          <cell r="A1215" t="str">
            <v>А-03822/АЗ</v>
          </cell>
        </row>
        <row r="1216">
          <cell r="A1216" t="str">
            <v>А-03507/АЗ</v>
          </cell>
        </row>
        <row r="1217">
          <cell r="A1217" t="str">
            <v>А-00236/КЭ</v>
          </cell>
        </row>
        <row r="1218">
          <cell r="A1218" t="str">
            <v>А-10004/КЭ</v>
          </cell>
        </row>
        <row r="1219">
          <cell r="A1219" t="str">
            <v>А-10035/КЭ</v>
          </cell>
        </row>
        <row r="1220">
          <cell r="A1220" t="str">
            <v>А-00130/КЭ</v>
          </cell>
        </row>
        <row r="1221">
          <cell r="A1221" t="str">
            <v>А-03437/АЗ</v>
          </cell>
        </row>
        <row r="1222">
          <cell r="A1222" t="str">
            <v>А-00263/КЭ</v>
          </cell>
        </row>
        <row r="1223">
          <cell r="A1223" t="str">
            <v>А-03599/АЗ</v>
          </cell>
        </row>
        <row r="1224">
          <cell r="A1224" t="str">
            <v>А-00289/КЭ</v>
          </cell>
        </row>
        <row r="1225">
          <cell r="A1225" t="str">
            <v>А-03137/АЗ</v>
          </cell>
        </row>
        <row r="1226">
          <cell r="A1226" t="str">
            <v>А-00273/КЭ</v>
          </cell>
        </row>
        <row r="1227">
          <cell r="A1227" t="str">
            <v>А-02821/АЗ</v>
          </cell>
        </row>
        <row r="1228">
          <cell r="A1228" t="str">
            <v>А-00238/КЭ</v>
          </cell>
        </row>
        <row r="1229">
          <cell r="A1229" t="str">
            <v>Т-01236/АЗ</v>
          </cell>
        </row>
        <row r="1230">
          <cell r="A1230" t="str">
            <v>А-02936/АЗ</v>
          </cell>
        </row>
        <row r="1231">
          <cell r="A1231" t="str">
            <v>И-00042/АЗ</v>
          </cell>
        </row>
        <row r="1232">
          <cell r="A1232" t="str">
            <v>А-00160/КЭ</v>
          </cell>
        </row>
        <row r="1233">
          <cell r="A1233" t="str">
            <v>А-00221/КЭ</v>
          </cell>
        </row>
        <row r="1234">
          <cell r="A1234" t="str">
            <v>А-03237/АЗ</v>
          </cell>
        </row>
        <row r="1235">
          <cell r="A1235" t="str">
            <v>А-10007/КЭ</v>
          </cell>
        </row>
        <row r="1236">
          <cell r="A1236" t="str">
            <v>А-20003/КЭ</v>
          </cell>
        </row>
        <row r="1237">
          <cell r="A1237" t="str">
            <v>А-00210/КЭ</v>
          </cell>
        </row>
        <row r="1238">
          <cell r="A1238" t="str">
            <v>А-03342/АЗ</v>
          </cell>
        </row>
        <row r="1239">
          <cell r="A1239" t="str">
            <v>А-00195/КЭ</v>
          </cell>
        </row>
        <row r="1240">
          <cell r="A1240" t="str">
            <v>Т-01078/АЗ</v>
          </cell>
        </row>
        <row r="1241">
          <cell r="A1241" t="str">
            <v>А-00245/КЭ</v>
          </cell>
        </row>
        <row r="1242">
          <cell r="A1242" t="str">
            <v>А-00192/КЭ</v>
          </cell>
        </row>
        <row r="1243">
          <cell r="A1243" t="str">
            <v>А-02655/АЗ</v>
          </cell>
        </row>
        <row r="1244">
          <cell r="A1244" t="str">
            <v>А-02957/АЗ</v>
          </cell>
        </row>
        <row r="1245">
          <cell r="A1245" t="str">
            <v>А-10005/КЭ</v>
          </cell>
        </row>
        <row r="1246">
          <cell r="A1246" t="str">
            <v>А-03153/АЗ</v>
          </cell>
        </row>
        <row r="1247">
          <cell r="A1247" t="str">
            <v>А-00107/КЭ</v>
          </cell>
        </row>
        <row r="1248">
          <cell r="A1248" t="str">
            <v>А-00149/КЭ</v>
          </cell>
        </row>
        <row r="1249">
          <cell r="A1249" t="str">
            <v>А-03093/АЗ</v>
          </cell>
        </row>
        <row r="1250">
          <cell r="A1250" t="str">
            <v>Т-01284/АЗ</v>
          </cell>
        </row>
        <row r="1251">
          <cell r="A1251" t="str">
            <v>А-00183/КЭ</v>
          </cell>
        </row>
        <row r="1252">
          <cell r="A1252" t="str">
            <v>А-00224/КЭ</v>
          </cell>
        </row>
        <row r="1253">
          <cell r="A1253" t="str">
            <v>А-02772/АЗ</v>
          </cell>
        </row>
        <row r="1254">
          <cell r="A1254" t="str">
            <v>А-02656/АЗ</v>
          </cell>
        </row>
        <row r="1255">
          <cell r="A1255" t="str">
            <v>А-00094/КЭ</v>
          </cell>
        </row>
        <row r="1256">
          <cell r="A1256" t="str">
            <v>А-10003/КЭ</v>
          </cell>
        </row>
        <row r="1257">
          <cell r="A1257" t="str">
            <v>А-00147/КЭ</v>
          </cell>
        </row>
        <row r="1258">
          <cell r="A1258" t="str">
            <v>А-02524/АЗ</v>
          </cell>
        </row>
        <row r="1259">
          <cell r="A1259" t="str">
            <v>А-02939/АЗ</v>
          </cell>
        </row>
        <row r="1260">
          <cell r="A1260" t="str">
            <v>Т-01238/АЗ</v>
          </cell>
        </row>
        <row r="1261">
          <cell r="A1261" t="str">
            <v>А-02937/АЗ</v>
          </cell>
        </row>
        <row r="1262">
          <cell r="A1262" t="str">
            <v>А-00109/КЭ</v>
          </cell>
        </row>
        <row r="1263">
          <cell r="A1263" t="str">
            <v>А-00095/КЭ</v>
          </cell>
        </row>
        <row r="1264">
          <cell r="A1264" t="str">
            <v>А-02635/АЗ</v>
          </cell>
        </row>
        <row r="1265">
          <cell r="A1265" t="str">
            <v>А-02488/АЗ</v>
          </cell>
        </row>
        <row r="1266">
          <cell r="A1266" t="str">
            <v>А-00161/КЭ</v>
          </cell>
        </row>
        <row r="1267">
          <cell r="A1267" t="str">
            <v>Т-01186/АЗ</v>
          </cell>
        </row>
        <row r="1268">
          <cell r="A1268" t="str">
            <v>А-02792/АЗ</v>
          </cell>
        </row>
        <row r="1269">
          <cell r="A1269" t="str">
            <v>А-00074/КЭ</v>
          </cell>
        </row>
        <row r="1270">
          <cell r="A1270" t="str">
            <v>А-02646/АЗ</v>
          </cell>
        </row>
        <row r="1271">
          <cell r="A1271" t="str">
            <v>А-00002/ИЗ</v>
          </cell>
        </row>
        <row r="1272">
          <cell r="A1272" t="str">
            <v>А-00116/КЭ</v>
          </cell>
        </row>
        <row r="1273">
          <cell r="A1273" t="str">
            <v>А-00102/КЭ</v>
          </cell>
        </row>
        <row r="1274">
          <cell r="A1274" t="str">
            <v>А-02257/АЗ</v>
          </cell>
        </row>
        <row r="1275">
          <cell r="A1275" t="str">
            <v>А-02120/АЗ</v>
          </cell>
        </row>
        <row r="1276">
          <cell r="A1276" t="str">
            <v>А-00100/КЭ</v>
          </cell>
        </row>
        <row r="1277">
          <cell r="A1277" t="str">
            <v>А-00088/КЭ</v>
          </cell>
        </row>
        <row r="1278">
          <cell r="A1278" t="str">
            <v>А-00115/КЭ</v>
          </cell>
        </row>
        <row r="1279">
          <cell r="A1279" t="str">
            <v>А-00046/КЭ</v>
          </cell>
        </row>
        <row r="1280">
          <cell r="A1280" t="str">
            <v>А-01738/АЗ</v>
          </cell>
        </row>
        <row r="1281">
          <cell r="A1281" t="str">
            <v>А-00064/КЭ</v>
          </cell>
        </row>
        <row r="1282">
          <cell r="A1282" t="str">
            <v>А-00108/КЭ</v>
          </cell>
        </row>
        <row r="1283">
          <cell r="A1283" t="str">
            <v>Т-00769/АЗ</v>
          </cell>
        </row>
        <row r="1284">
          <cell r="A1284" t="str">
            <v>А-00058/КЭ</v>
          </cell>
        </row>
        <row r="1285">
          <cell r="A1285" t="str">
            <v>Т-00883/АЗ</v>
          </cell>
        </row>
        <row r="1286">
          <cell r="A1286" t="str">
            <v>А-00078/КЭ</v>
          </cell>
        </row>
        <row r="1287">
          <cell r="A1287" t="str">
            <v>А-00087/КЭ</v>
          </cell>
        </row>
        <row r="1288">
          <cell r="A1288" t="str">
            <v>А-00101/КЭ</v>
          </cell>
        </row>
        <row r="1289">
          <cell r="A1289" t="str">
            <v>А-00089/КЭ</v>
          </cell>
        </row>
        <row r="1290">
          <cell r="A1290" t="str">
            <v>А-00082/КЭ</v>
          </cell>
        </row>
        <row r="1291">
          <cell r="A1291" t="str">
            <v>А-00103/КЭ</v>
          </cell>
        </row>
        <row r="1292">
          <cell r="A1292" t="str">
            <v>А-02114/АЗ</v>
          </cell>
        </row>
        <row r="1293">
          <cell r="A1293" t="str">
            <v>Т-00820/АЗ</v>
          </cell>
        </row>
        <row r="1294">
          <cell r="A1294" t="str">
            <v>А-00059/КЭ</v>
          </cell>
        </row>
        <row r="1295">
          <cell r="A1295" t="str">
            <v>А-01665/АЗ</v>
          </cell>
        </row>
        <row r="1296">
          <cell r="A1296" t="str">
            <v>А-01984/АЗ</v>
          </cell>
        </row>
        <row r="1297">
          <cell r="A1297" t="str">
            <v>А-00096/КЭ</v>
          </cell>
        </row>
        <row r="1298">
          <cell r="A1298" t="str">
            <v>А-00030/КЭ</v>
          </cell>
        </row>
        <row r="1299">
          <cell r="A1299" t="str">
            <v>А-00062/КЭ</v>
          </cell>
        </row>
        <row r="1300">
          <cell r="A1300" t="str">
            <v>А-00018/КЭ</v>
          </cell>
        </row>
        <row r="1301">
          <cell r="A1301" t="str">
            <v>А-00086/КЭ</v>
          </cell>
        </row>
        <row r="1302">
          <cell r="A1302" t="str">
            <v>Т-00837/АЗ</v>
          </cell>
        </row>
        <row r="1303">
          <cell r="A1303" t="str">
            <v>А-01872/АЗ</v>
          </cell>
        </row>
        <row r="1304">
          <cell r="A1304" t="str">
            <v>А-00065/КЭ</v>
          </cell>
        </row>
        <row r="1305">
          <cell r="A1305" t="str">
            <v>А-01607/АЗ</v>
          </cell>
        </row>
        <row r="1306">
          <cell r="A1306" t="str">
            <v>А-00016/КЭ</v>
          </cell>
        </row>
        <row r="1307">
          <cell r="A1307" t="str">
            <v>А-00004/КЭ</v>
          </cell>
        </row>
        <row r="1308">
          <cell r="A1308" t="str">
            <v>А-00028/КЭ</v>
          </cell>
        </row>
        <row r="1309">
          <cell r="A1309" t="str">
            <v>А-00010/КЭ</v>
          </cell>
        </row>
        <row r="1310">
          <cell r="A1310" t="str">
            <v>Т-00462/АЗ</v>
          </cell>
        </row>
        <row r="1311">
          <cell r="A1311" t="str">
            <v>А-01775/АЗ</v>
          </cell>
        </row>
        <row r="1312">
          <cell r="A1312" t="str">
            <v>А-00014/КЭ</v>
          </cell>
        </row>
        <row r="1313">
          <cell r="A1313" t="str">
            <v>А-00015/КЭ</v>
          </cell>
        </row>
        <row r="1314">
          <cell r="A1314" t="str">
            <v>А-01652/АЗ</v>
          </cell>
        </row>
        <row r="1315">
          <cell r="A1315" t="str">
            <v>Т-00638/АЗ</v>
          </cell>
        </row>
        <row r="1316">
          <cell r="A1316" t="str">
            <v>А-00007/КЭ</v>
          </cell>
        </row>
        <row r="1317">
          <cell r="A1317" t="str">
            <v>А-01193/АЗ</v>
          </cell>
        </row>
        <row r="1318">
          <cell r="A1318" t="str">
            <v>А-00008/КЭ</v>
          </cell>
        </row>
        <row r="1319">
          <cell r="A1319" t="str">
            <v>А-00009/КЭ</v>
          </cell>
        </row>
        <row r="1320">
          <cell r="A1320" t="str">
            <v>А-00029/КЭ</v>
          </cell>
        </row>
        <row r="1321">
          <cell r="A1321" t="str">
            <v>А-00001/КЭ</v>
          </cell>
        </row>
        <row r="1322">
          <cell r="A1322" t="str">
            <v>А-00026/КЭ</v>
          </cell>
        </row>
        <row r="1323">
          <cell r="A1323" t="str">
            <v>А-01830/АЗ</v>
          </cell>
        </row>
        <row r="1324">
          <cell r="A1324" t="str">
            <v>А-01489/АЗ</v>
          </cell>
        </row>
        <row r="1325">
          <cell r="A1325" t="str">
            <v>А-01600/АЗ</v>
          </cell>
        </row>
        <row r="1326">
          <cell r="A1326" t="str">
            <v>Т-00360/АЗ</v>
          </cell>
        </row>
        <row r="1327">
          <cell r="A1327" t="str">
            <v>А-01251/АЗ</v>
          </cell>
        </row>
        <row r="1328">
          <cell r="A1328" t="str">
            <v>А-01405/АЗ</v>
          </cell>
        </row>
        <row r="1329">
          <cell r="A1329" t="str">
            <v>А-01147/АЗ</v>
          </cell>
        </row>
        <row r="1330">
          <cell r="A1330" t="str">
            <v>Т-00511/АЗ</v>
          </cell>
        </row>
        <row r="1331">
          <cell r="A1331" t="str">
            <v>А-01265/АЗ</v>
          </cell>
        </row>
        <row r="1332">
          <cell r="A1332" t="str">
            <v>Т-00353/АЗ</v>
          </cell>
        </row>
        <row r="1333">
          <cell r="A1333" t="str">
            <v>А-01097/АЗ</v>
          </cell>
        </row>
        <row r="1334">
          <cell r="A1334" t="str">
            <v>А-00874/АЗ</v>
          </cell>
        </row>
        <row r="1335">
          <cell r="A1335" t="str">
            <v>А-01379/АЗ</v>
          </cell>
        </row>
        <row r="1336">
          <cell r="A1336" t="str">
            <v>Т-00310/АЗ</v>
          </cell>
        </row>
        <row r="1337">
          <cell r="A1337" t="str">
            <v>А-01087/АЗ</v>
          </cell>
        </row>
        <row r="1338">
          <cell r="A1338" t="str">
            <v>А-01206/АЗ</v>
          </cell>
        </row>
        <row r="1339">
          <cell r="A1339" t="str">
            <v>А-01000/АЗ</v>
          </cell>
        </row>
        <row r="1340">
          <cell r="A1340" t="str">
            <v>А-00781/АЗ</v>
          </cell>
        </row>
        <row r="1341">
          <cell r="A1341" t="str">
            <v>А-01262/АЗ</v>
          </cell>
        </row>
        <row r="1342">
          <cell r="A1342" t="str">
            <v>А-01007/АЗ</v>
          </cell>
        </row>
        <row r="1343">
          <cell r="A1343" t="str">
            <v>А-01126/АЗ</v>
          </cell>
        </row>
        <row r="1344">
          <cell r="A1344" t="str">
            <v>Т-00193/АЗ</v>
          </cell>
        </row>
        <row r="1345">
          <cell r="A1345" t="str">
            <v>Т-00362/АЗ</v>
          </cell>
        </row>
        <row r="1346">
          <cell r="A1346" t="str">
            <v>А-00999/АЗ</v>
          </cell>
        </row>
        <row r="1347">
          <cell r="A1347" t="str">
            <v>А-01043/АЗ</v>
          </cell>
        </row>
        <row r="1348">
          <cell r="A1348" t="str">
            <v>Т-00395/АЗ</v>
          </cell>
        </row>
        <row r="1349">
          <cell r="A1349" t="str">
            <v>А-00714/АЗ</v>
          </cell>
        </row>
        <row r="1350">
          <cell r="A1350" t="str">
            <v>А-01001/АЗ</v>
          </cell>
        </row>
        <row r="1351">
          <cell r="A1351" t="str">
            <v>А-00934/АЗ</v>
          </cell>
        </row>
        <row r="1352">
          <cell r="A1352" t="str">
            <v>А-00953/АЗ</v>
          </cell>
        </row>
        <row r="1353">
          <cell r="A1353" t="str">
            <v>Т-00486/АЗ</v>
          </cell>
        </row>
        <row r="1354">
          <cell r="A1354" t="str">
            <v>А-00969/АЗ</v>
          </cell>
        </row>
        <row r="1355">
          <cell r="A1355" t="str">
            <v>Т-00060/АЗ</v>
          </cell>
        </row>
        <row r="1356">
          <cell r="A1356" t="str">
            <v>Т-00377/АЗ</v>
          </cell>
        </row>
        <row r="1357">
          <cell r="A1357" t="str">
            <v>Т-00286/АЗ</v>
          </cell>
        </row>
        <row r="1358">
          <cell r="A1358" t="str">
            <v>Т-00435/АЗ</v>
          </cell>
        </row>
        <row r="1359">
          <cell r="A1359" t="str">
            <v>А-00750/АЗ</v>
          </cell>
        </row>
        <row r="1360">
          <cell r="A1360" t="str">
            <v>А-00717/АЗ</v>
          </cell>
        </row>
        <row r="1361">
          <cell r="A1361" t="str">
            <v>А-00587/АЗ</v>
          </cell>
        </row>
        <row r="1362">
          <cell r="A1362" t="str">
            <v>Т-00282/АЗ</v>
          </cell>
        </row>
        <row r="1363">
          <cell r="A1363" t="str">
            <v>Т-00428/АЗ</v>
          </cell>
        </row>
        <row r="1364">
          <cell r="A1364" t="str">
            <v>Т-00344/АЗ</v>
          </cell>
        </row>
        <row r="1365">
          <cell r="A1365" t="str">
            <v>Т-00283/АЗ</v>
          </cell>
        </row>
        <row r="1366">
          <cell r="A1366" t="str">
            <v>А-00616/АЗ</v>
          </cell>
        </row>
        <row r="1367">
          <cell r="A1367" t="str">
            <v>Т-00375/АЗ</v>
          </cell>
        </row>
        <row r="1368">
          <cell r="A1368" t="str">
            <v>А-00492/АЗ</v>
          </cell>
        </row>
        <row r="1369">
          <cell r="A1369" t="str">
            <v>Т-00069/АЗ</v>
          </cell>
        </row>
        <row r="1370">
          <cell r="A1370" t="str">
            <v>Т-00108/АЗ</v>
          </cell>
        </row>
        <row r="1371">
          <cell r="A1371" t="str">
            <v>А-00597/АЗ</v>
          </cell>
        </row>
        <row r="1372">
          <cell r="A1372" t="str">
            <v>А-00559/АЗ</v>
          </cell>
        </row>
        <row r="1373">
          <cell r="A1373" t="str">
            <v>А-00285/АЗ</v>
          </cell>
        </row>
        <row r="1374">
          <cell r="A1374" t="str">
            <v>А-00103/АЗ</v>
          </cell>
        </row>
        <row r="1375">
          <cell r="A1375" t="str">
            <v>А-00241/АЗ</v>
          </cell>
        </row>
        <row r="1376">
          <cell r="A1376" t="str">
            <v>А-00036/АЗ</v>
          </cell>
        </row>
        <row r="1377">
          <cell r="A1377" t="str">
            <v>00049/АЗ</v>
          </cell>
        </row>
        <row r="1378">
          <cell r="A1378" t="str">
            <v>00141/АЗ</v>
          </cell>
        </row>
        <row r="1379">
          <cell r="A1379" t="str">
            <v>00071/АЗ</v>
          </cell>
        </row>
        <row r="1380">
          <cell r="A1380" t="str">
            <v>А-00091/АЗ</v>
          </cell>
        </row>
        <row r="1381">
          <cell r="A1381" t="str">
            <v>00096/АЗ</v>
          </cell>
        </row>
        <row r="1382">
          <cell r="A1382" t="str">
            <v>00157/АЗ</v>
          </cell>
        </row>
        <row r="1383">
          <cell r="A1383" t="str">
            <v>00055/АЗ</v>
          </cell>
        </row>
        <row r="1384">
          <cell r="A1384" t="str">
            <v>00232/АЗ</v>
          </cell>
        </row>
        <row r="1385">
          <cell r="A1385" t="str">
            <v>А-00022/АЗ</v>
          </cell>
        </row>
        <row r="1386">
          <cell r="A1386" t="str">
            <v>А-00090/АЗ</v>
          </cell>
        </row>
        <row r="1387">
          <cell r="A1387" t="str">
            <v>00151/АЗ</v>
          </cell>
        </row>
        <row r="1388">
          <cell r="A1388" t="str">
            <v>00202/АЗ</v>
          </cell>
        </row>
        <row r="1389">
          <cell r="A1389" t="str">
            <v>00324/АЗ</v>
          </cell>
        </row>
        <row r="1390">
          <cell r="A1390" t="str">
            <v>00168/АЗ</v>
          </cell>
        </row>
        <row r="1391">
          <cell r="A1391" t="str">
            <v>00116/АЗ</v>
          </cell>
        </row>
        <row r="1392">
          <cell r="A1392" t="str">
            <v>А-00052/АЗ</v>
          </cell>
        </row>
        <row r="1393">
          <cell r="A1393" t="str">
            <v>А-00029/АЗ</v>
          </cell>
        </row>
        <row r="1394">
          <cell r="A1394" t="str">
            <v>00292/АЗ</v>
          </cell>
        </row>
        <row r="1395">
          <cell r="A1395" t="str">
            <v>00252/АЗ</v>
          </cell>
        </row>
        <row r="1396">
          <cell r="A1396" t="str">
            <v>00184/АЗ</v>
          </cell>
        </row>
        <row r="1397">
          <cell r="A1397" t="str">
            <v>А-00110/АЗ</v>
          </cell>
        </row>
        <row r="1398">
          <cell r="A1398" t="str">
            <v>00020/АЗ</v>
          </cell>
        </row>
        <row r="1399">
          <cell r="A1399" t="str">
            <v>00346/АЗ</v>
          </cell>
        </row>
        <row r="1400">
          <cell r="A1400" t="str">
            <v>00414/АЗ</v>
          </cell>
        </row>
        <row r="1401">
          <cell r="A1401" t="str">
            <v>00222/АЗ</v>
          </cell>
        </row>
        <row r="1402">
          <cell r="A1402" t="str">
            <v>00301/АЗ</v>
          </cell>
        </row>
        <row r="1403">
          <cell r="A1403" t="str">
            <v>00284/АЗ</v>
          </cell>
        </row>
        <row r="1404">
          <cell r="A1404" t="str">
            <v>А-00067/АЗ</v>
          </cell>
        </row>
        <row r="1405">
          <cell r="A1405" t="str">
            <v>00331/АЗ</v>
          </cell>
        </row>
        <row r="1406">
          <cell r="A1406" t="str">
            <v>А-00020/АЗ</v>
          </cell>
        </row>
        <row r="1407">
          <cell r="A1407" t="str">
            <v>А-00100/АЗ</v>
          </cell>
        </row>
        <row r="1408">
          <cell r="A1408" t="str">
            <v>В-20109/КЛ</v>
          </cell>
        </row>
        <row r="1409">
          <cell r="A1409" t="str">
            <v>В-22100/КЛ</v>
          </cell>
        </row>
        <row r="1410">
          <cell r="A1410" t="str">
            <v>В-18022/КЛ</v>
          </cell>
        </row>
        <row r="1411">
          <cell r="A1411" t="str">
            <v>Т-01893/АЗ</v>
          </cell>
        </row>
        <row r="1412">
          <cell r="A1412" t="str">
            <v>В-17458/КЛ</v>
          </cell>
        </row>
        <row r="1413">
          <cell r="A1413" t="str">
            <v>В-19901/КЛ</v>
          </cell>
        </row>
        <row r="1414">
          <cell r="A1414" t="str">
            <v>В-02691/КЛ</v>
          </cell>
        </row>
        <row r="1415">
          <cell r="A1415" t="str">
            <v>В-15465/КЛ</v>
          </cell>
        </row>
        <row r="1416">
          <cell r="A1416" t="str">
            <v>Т-01869/АЗ</v>
          </cell>
        </row>
        <row r="1417">
          <cell r="A1417" t="str">
            <v>В-09421/КЛ</v>
          </cell>
        </row>
        <row r="1418">
          <cell r="A1418" t="str">
            <v>Т-01722/АЗ</v>
          </cell>
        </row>
        <row r="1419">
          <cell r="A1419" t="str">
            <v>В-00232/КЛ</v>
          </cell>
        </row>
        <row r="1420">
          <cell r="A1420" t="str">
            <v>В-00313/АЗ</v>
          </cell>
        </row>
        <row r="1421">
          <cell r="A1421" t="str">
            <v>А-05271/АЗ</v>
          </cell>
        </row>
        <row r="1422">
          <cell r="A1422" t="str">
            <v>А-02706/АЗ</v>
          </cell>
        </row>
        <row r="1423">
          <cell r="A1423" t="str">
            <v>В-24012/КЛ</v>
          </cell>
        </row>
        <row r="1424">
          <cell r="A1424" t="str">
            <v>Т-10006/КЭ</v>
          </cell>
        </row>
        <row r="1425">
          <cell r="A1425" t="str">
            <v>Т-01914/АЗ</v>
          </cell>
        </row>
        <row r="1426">
          <cell r="A1426" t="str">
            <v>В-04682/КЛ</v>
          </cell>
        </row>
        <row r="1427">
          <cell r="A1427" t="str">
            <v>А-00386/КЭ</v>
          </cell>
        </row>
        <row r="1428">
          <cell r="A1428" t="str">
            <v>В-24350/КЛ</v>
          </cell>
        </row>
        <row r="1429">
          <cell r="A1429" t="str">
            <v>В-00918/АЗ</v>
          </cell>
        </row>
        <row r="1430">
          <cell r="A1430" t="str">
            <v>В-13638/КЛ</v>
          </cell>
        </row>
        <row r="1431">
          <cell r="A1431" t="str">
            <v>В-12435/КЛ</v>
          </cell>
        </row>
        <row r="1432">
          <cell r="A1432" t="str">
            <v>В-00982/АЗ</v>
          </cell>
        </row>
        <row r="1433">
          <cell r="A1433" t="str">
            <v>В-00608/АЗ</v>
          </cell>
        </row>
        <row r="1434">
          <cell r="A1434" t="str">
            <v>В-00477/АЗ</v>
          </cell>
        </row>
        <row r="1435">
          <cell r="A1435" t="str">
            <v>А-00332/КЭ</v>
          </cell>
        </row>
        <row r="1436">
          <cell r="A1436" t="str">
            <v>В-00022/КЭ</v>
          </cell>
        </row>
        <row r="1437">
          <cell r="A1437" t="str">
            <v>А-00458/КЭ</v>
          </cell>
        </row>
        <row r="1438">
          <cell r="A1438" t="str">
            <v>В-14232/КЛ</v>
          </cell>
        </row>
        <row r="1439">
          <cell r="A1439" t="str">
            <v>А-04984/АЗ</v>
          </cell>
        </row>
        <row r="1440">
          <cell r="A1440" t="str">
            <v>В-00702/АЗ</v>
          </cell>
        </row>
        <row r="1441">
          <cell r="A1441" t="str">
            <v>Т-01775/АЗ</v>
          </cell>
        </row>
        <row r="1442">
          <cell r="A1442" t="str">
            <v>В-28684/КЛ</v>
          </cell>
        </row>
        <row r="1443">
          <cell r="A1443" t="str">
            <v>В-28684/КЛ</v>
          </cell>
        </row>
        <row r="1444">
          <cell r="A1444" t="str">
            <v>В-12427/КЛ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150"/>
  <sheetViews>
    <sheetView tabSelected="1" workbookViewId="0">
      <selection activeCell="D12" sqref="D12"/>
    </sheetView>
  </sheetViews>
  <sheetFormatPr defaultRowHeight="15" x14ac:dyDescent="0.25"/>
  <cols>
    <col min="1" max="1" width="23.5703125" bestFit="1" customWidth="1"/>
    <col min="2" max="2" width="10.140625" style="5" customWidth="1"/>
    <col min="3" max="3" width="12.42578125" style="46" bestFit="1" customWidth="1"/>
    <col min="4" max="4" width="38.140625" bestFit="1" customWidth="1"/>
    <col min="5" max="5" width="25.140625" customWidth="1"/>
    <col min="6" max="6" width="13.85546875" customWidth="1"/>
    <col min="7" max="7" width="8.85546875" customWidth="1"/>
    <col min="8" max="8" width="10" customWidth="1"/>
    <col min="9" max="9" width="11.7109375" bestFit="1" customWidth="1"/>
    <col min="10" max="10" width="6.42578125" bestFit="1" customWidth="1"/>
  </cols>
  <sheetData>
    <row r="1" spans="1:10" ht="15.75" thickBot="1" x14ac:dyDescent="0.3">
      <c r="A1" s="38" t="s">
        <v>27</v>
      </c>
      <c r="B1" s="39" t="s">
        <v>25</v>
      </c>
      <c r="C1" s="45" t="s">
        <v>0</v>
      </c>
      <c r="D1" s="40" t="s">
        <v>1</v>
      </c>
      <c r="E1" s="40" t="s">
        <v>2</v>
      </c>
      <c r="F1" s="38" t="s">
        <v>3</v>
      </c>
      <c r="G1" s="35" t="s">
        <v>4</v>
      </c>
      <c r="H1" s="35" t="s">
        <v>6</v>
      </c>
      <c r="I1" s="36" t="s">
        <v>26</v>
      </c>
      <c r="J1" s="37" t="s">
        <v>29</v>
      </c>
    </row>
    <row r="2" spans="1:10" ht="15.75" thickBot="1" x14ac:dyDescent="0.3">
      <c r="A2" s="43" t="s">
        <v>45</v>
      </c>
      <c r="B2" s="44">
        <v>45190</v>
      </c>
      <c r="C2" s="49">
        <v>583612.74</v>
      </c>
      <c r="D2" s="41" t="s">
        <v>44</v>
      </c>
      <c r="E2" s="41" t="s">
        <v>43</v>
      </c>
      <c r="F2" s="41"/>
      <c r="G2" s="41"/>
      <c r="H2" s="41"/>
      <c r="I2" s="41" t="str">
        <f>IFERROR(IF(B2&gt;[1]Лист1!$E$2,"акция кончилась",IF(VLOOKUP(A2,[1]Лист1!$B:$B,1,0)&lt;&gt;"",VLOOKUP(A2,[1]Лист1!$B:$C,2,0),"")),"")</f>
        <v>акция кончилась</v>
      </c>
      <c r="J2" s="42" t="str">
        <f>IFERROR(IF(VLOOKUP(LEFT(A2,10),[2]Лист1!$A:$A,1,0)&lt;&gt;"","КО"),"")</f>
        <v/>
      </c>
    </row>
    <row r="3" spans="1:10" x14ac:dyDescent="0.25">
      <c r="C3"/>
    </row>
    <row r="4" spans="1:10" x14ac:dyDescent="0.25">
      <c r="C4"/>
    </row>
    <row r="5" spans="1:10" x14ac:dyDescent="0.25">
      <c r="C5"/>
    </row>
    <row r="6" spans="1:10" x14ac:dyDescent="0.25">
      <c r="C6"/>
    </row>
    <row r="7" spans="1:10" x14ac:dyDescent="0.25">
      <c r="C7"/>
    </row>
    <row r="8" spans="1:10" x14ac:dyDescent="0.25">
      <c r="C8"/>
    </row>
    <row r="9" spans="1:10" x14ac:dyDescent="0.25">
      <c r="C9"/>
    </row>
    <row r="10" spans="1:10" x14ac:dyDescent="0.25">
      <c r="C10"/>
    </row>
    <row r="11" spans="1:10" x14ac:dyDescent="0.25">
      <c r="C11"/>
    </row>
    <row r="12" spans="1:10" x14ac:dyDescent="0.25">
      <c r="C12"/>
    </row>
    <row r="13" spans="1:10" x14ac:dyDescent="0.25">
      <c r="C13"/>
    </row>
    <row r="14" spans="1:10" x14ac:dyDescent="0.25">
      <c r="C14"/>
    </row>
    <row r="15" spans="1:10" x14ac:dyDescent="0.25">
      <c r="C15"/>
    </row>
    <row r="16" spans="1:10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  <row r="45" spans="3:3" x14ac:dyDescent="0.25">
      <c r="C45"/>
    </row>
    <row r="46" spans="3:3" x14ac:dyDescent="0.25">
      <c r="C46"/>
    </row>
    <row r="47" spans="3:3" x14ac:dyDescent="0.25">
      <c r="C47"/>
    </row>
    <row r="48" spans="3:3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</sheetData>
  <sortState xmlns:xlrd2="http://schemas.microsoft.com/office/spreadsheetml/2017/richdata2" ref="A3:I13">
    <sortCondition descending="1" ref="D1:D13"/>
  </sortState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74F624-66EB-4214-96AD-CF89AC2FD3DC}">
          <x14:formula1>
            <xm:f>xforms!$K$1:$K$10</xm:f>
          </x14:formula1>
          <xm:sqref>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0D3B7-4C72-477F-82E6-0F868CB073DC}">
  <sheetPr codeName="Лист2"/>
  <dimension ref="A1"/>
  <sheetViews>
    <sheetView workbookViewId="0">
      <selection sqref="A1:E50"/>
    </sheetView>
  </sheetViews>
  <sheetFormatPr defaultRowHeight="15" x14ac:dyDescent="0.25"/>
  <cols>
    <col min="52" max="52" width="19.7109375" customWidth="1"/>
    <col min="53" max="53" width="31.42578125" customWidth="1"/>
    <col min="54" max="55" width="25.7109375" customWidth="1"/>
    <col min="56" max="56" width="31.42578125" customWidth="1"/>
    <col min="57" max="57" width="17.28515625" customWidth="1"/>
    <col min="58" max="58" width="17.42578125" customWidth="1"/>
    <col min="59" max="59" width="25.7109375" customWidth="1"/>
    <col min="60" max="60" width="16.42578125" customWidth="1"/>
    <col min="61" max="61" width="31" customWidth="1"/>
    <col min="62" max="62" width="28.85546875" customWidth="1"/>
    <col min="63" max="63" width="11.85546875" customWidth="1"/>
    <col min="64" max="64" width="33" customWidth="1"/>
    <col min="308" max="308" width="19.7109375" customWidth="1"/>
    <col min="309" max="309" width="31.42578125" customWidth="1"/>
    <col min="310" max="311" width="25.7109375" customWidth="1"/>
    <col min="312" max="312" width="31.42578125" customWidth="1"/>
    <col min="313" max="313" width="17.28515625" customWidth="1"/>
    <col min="314" max="314" width="17.42578125" customWidth="1"/>
    <col min="315" max="315" width="25.7109375" customWidth="1"/>
    <col min="316" max="316" width="16.42578125" customWidth="1"/>
    <col min="317" max="317" width="31" customWidth="1"/>
    <col min="318" max="318" width="28.85546875" customWidth="1"/>
    <col min="319" max="319" width="11.85546875" customWidth="1"/>
    <col min="320" max="320" width="33" customWidth="1"/>
    <col min="564" max="564" width="19.7109375" customWidth="1"/>
    <col min="565" max="565" width="31.42578125" customWidth="1"/>
    <col min="566" max="567" width="25.7109375" customWidth="1"/>
    <col min="568" max="568" width="31.42578125" customWidth="1"/>
    <col min="569" max="569" width="17.28515625" customWidth="1"/>
    <col min="570" max="570" width="17.42578125" customWidth="1"/>
    <col min="571" max="571" width="25.7109375" customWidth="1"/>
    <col min="572" max="572" width="16.42578125" customWidth="1"/>
    <col min="573" max="573" width="31" customWidth="1"/>
    <col min="574" max="574" width="28.85546875" customWidth="1"/>
    <col min="575" max="575" width="11.85546875" customWidth="1"/>
    <col min="576" max="576" width="33" customWidth="1"/>
    <col min="820" max="820" width="19.7109375" customWidth="1"/>
    <col min="821" max="821" width="31.42578125" customWidth="1"/>
    <col min="822" max="823" width="25.7109375" customWidth="1"/>
    <col min="824" max="824" width="31.42578125" customWidth="1"/>
    <col min="825" max="825" width="17.28515625" customWidth="1"/>
    <col min="826" max="826" width="17.42578125" customWidth="1"/>
    <col min="827" max="827" width="25.7109375" customWidth="1"/>
    <col min="828" max="828" width="16.42578125" customWidth="1"/>
    <col min="829" max="829" width="31" customWidth="1"/>
    <col min="830" max="830" width="28.85546875" customWidth="1"/>
    <col min="831" max="831" width="11.85546875" customWidth="1"/>
    <col min="832" max="832" width="33" customWidth="1"/>
    <col min="1076" max="1076" width="19.7109375" customWidth="1"/>
    <col min="1077" max="1077" width="31.42578125" customWidth="1"/>
    <col min="1078" max="1079" width="25.7109375" customWidth="1"/>
    <col min="1080" max="1080" width="31.42578125" customWidth="1"/>
    <col min="1081" max="1081" width="17.28515625" customWidth="1"/>
    <col min="1082" max="1082" width="17.42578125" customWidth="1"/>
    <col min="1083" max="1083" width="25.7109375" customWidth="1"/>
    <col min="1084" max="1084" width="16.42578125" customWidth="1"/>
    <col min="1085" max="1085" width="31" customWidth="1"/>
    <col min="1086" max="1086" width="28.85546875" customWidth="1"/>
    <col min="1087" max="1087" width="11.85546875" customWidth="1"/>
    <col min="1088" max="1088" width="33" customWidth="1"/>
    <col min="1332" max="1332" width="19.7109375" customWidth="1"/>
    <col min="1333" max="1333" width="31.42578125" customWidth="1"/>
    <col min="1334" max="1335" width="25.7109375" customWidth="1"/>
    <col min="1336" max="1336" width="31.42578125" customWidth="1"/>
    <col min="1337" max="1337" width="17.28515625" customWidth="1"/>
    <col min="1338" max="1338" width="17.42578125" customWidth="1"/>
    <col min="1339" max="1339" width="25.7109375" customWidth="1"/>
    <col min="1340" max="1340" width="16.42578125" customWidth="1"/>
    <col min="1341" max="1341" width="31" customWidth="1"/>
    <col min="1342" max="1342" width="28.85546875" customWidth="1"/>
    <col min="1343" max="1343" width="11.85546875" customWidth="1"/>
    <col min="1344" max="1344" width="33" customWidth="1"/>
    <col min="1588" max="1588" width="19.7109375" customWidth="1"/>
    <col min="1589" max="1589" width="31.42578125" customWidth="1"/>
    <col min="1590" max="1591" width="25.7109375" customWidth="1"/>
    <col min="1592" max="1592" width="31.42578125" customWidth="1"/>
    <col min="1593" max="1593" width="17.28515625" customWidth="1"/>
    <col min="1594" max="1594" width="17.42578125" customWidth="1"/>
    <col min="1595" max="1595" width="25.7109375" customWidth="1"/>
    <col min="1596" max="1596" width="16.42578125" customWidth="1"/>
    <col min="1597" max="1597" width="31" customWidth="1"/>
    <col min="1598" max="1598" width="28.85546875" customWidth="1"/>
    <col min="1599" max="1599" width="11.85546875" customWidth="1"/>
    <col min="1600" max="1600" width="33" customWidth="1"/>
    <col min="1844" max="1844" width="19.7109375" customWidth="1"/>
    <col min="1845" max="1845" width="31.42578125" customWidth="1"/>
    <col min="1846" max="1847" width="25.7109375" customWidth="1"/>
    <col min="1848" max="1848" width="31.42578125" customWidth="1"/>
    <col min="1849" max="1849" width="17.28515625" customWidth="1"/>
    <col min="1850" max="1850" width="17.42578125" customWidth="1"/>
    <col min="1851" max="1851" width="25.7109375" customWidth="1"/>
    <col min="1852" max="1852" width="16.42578125" customWidth="1"/>
    <col min="1853" max="1853" width="31" customWidth="1"/>
    <col min="1854" max="1854" width="28.85546875" customWidth="1"/>
    <col min="1855" max="1855" width="11.85546875" customWidth="1"/>
    <col min="1856" max="1856" width="33" customWidth="1"/>
    <col min="2100" max="2100" width="19.7109375" customWidth="1"/>
    <col min="2101" max="2101" width="31.42578125" customWidth="1"/>
    <col min="2102" max="2103" width="25.7109375" customWidth="1"/>
    <col min="2104" max="2104" width="31.42578125" customWidth="1"/>
    <col min="2105" max="2105" width="17.28515625" customWidth="1"/>
    <col min="2106" max="2106" width="17.42578125" customWidth="1"/>
    <col min="2107" max="2107" width="25.7109375" customWidth="1"/>
    <col min="2108" max="2108" width="16.42578125" customWidth="1"/>
    <col min="2109" max="2109" width="31" customWidth="1"/>
    <col min="2110" max="2110" width="28.85546875" customWidth="1"/>
    <col min="2111" max="2111" width="11.85546875" customWidth="1"/>
    <col min="2112" max="2112" width="33" customWidth="1"/>
    <col min="2356" max="2356" width="19.7109375" customWidth="1"/>
    <col min="2357" max="2357" width="31.42578125" customWidth="1"/>
    <col min="2358" max="2359" width="25.7109375" customWidth="1"/>
    <col min="2360" max="2360" width="31.42578125" customWidth="1"/>
    <col min="2361" max="2361" width="17.28515625" customWidth="1"/>
    <col min="2362" max="2362" width="17.42578125" customWidth="1"/>
    <col min="2363" max="2363" width="25.7109375" customWidth="1"/>
    <col min="2364" max="2364" width="16.42578125" customWidth="1"/>
    <col min="2365" max="2365" width="31" customWidth="1"/>
    <col min="2366" max="2366" width="28.85546875" customWidth="1"/>
    <col min="2367" max="2367" width="11.85546875" customWidth="1"/>
    <col min="2368" max="2368" width="33" customWidth="1"/>
    <col min="2612" max="2612" width="19.7109375" customWidth="1"/>
    <col min="2613" max="2613" width="31.42578125" customWidth="1"/>
    <col min="2614" max="2615" width="25.7109375" customWidth="1"/>
    <col min="2616" max="2616" width="31.42578125" customWidth="1"/>
    <col min="2617" max="2617" width="17.28515625" customWidth="1"/>
    <col min="2618" max="2618" width="17.42578125" customWidth="1"/>
    <col min="2619" max="2619" width="25.7109375" customWidth="1"/>
    <col min="2620" max="2620" width="16.42578125" customWidth="1"/>
    <col min="2621" max="2621" width="31" customWidth="1"/>
    <col min="2622" max="2622" width="28.85546875" customWidth="1"/>
    <col min="2623" max="2623" width="11.85546875" customWidth="1"/>
    <col min="2624" max="2624" width="33" customWidth="1"/>
    <col min="2868" max="2868" width="19.7109375" customWidth="1"/>
    <col min="2869" max="2869" width="31.42578125" customWidth="1"/>
    <col min="2870" max="2871" width="25.7109375" customWidth="1"/>
    <col min="2872" max="2872" width="31.42578125" customWidth="1"/>
    <col min="2873" max="2873" width="17.28515625" customWidth="1"/>
    <col min="2874" max="2874" width="17.42578125" customWidth="1"/>
    <col min="2875" max="2875" width="25.7109375" customWidth="1"/>
    <col min="2876" max="2876" width="16.42578125" customWidth="1"/>
    <col min="2877" max="2877" width="31" customWidth="1"/>
    <col min="2878" max="2878" width="28.85546875" customWidth="1"/>
    <col min="2879" max="2879" width="11.85546875" customWidth="1"/>
    <col min="2880" max="2880" width="33" customWidth="1"/>
    <col min="3124" max="3124" width="19.7109375" customWidth="1"/>
    <col min="3125" max="3125" width="31.42578125" customWidth="1"/>
    <col min="3126" max="3127" width="25.7109375" customWidth="1"/>
    <col min="3128" max="3128" width="31.42578125" customWidth="1"/>
    <col min="3129" max="3129" width="17.28515625" customWidth="1"/>
    <col min="3130" max="3130" width="17.42578125" customWidth="1"/>
    <col min="3131" max="3131" width="25.7109375" customWidth="1"/>
    <col min="3132" max="3132" width="16.42578125" customWidth="1"/>
    <col min="3133" max="3133" width="31" customWidth="1"/>
    <col min="3134" max="3134" width="28.85546875" customWidth="1"/>
    <col min="3135" max="3135" width="11.85546875" customWidth="1"/>
    <col min="3136" max="3136" width="33" customWidth="1"/>
    <col min="3380" max="3380" width="19.7109375" customWidth="1"/>
    <col min="3381" max="3381" width="31.42578125" customWidth="1"/>
    <col min="3382" max="3383" width="25.7109375" customWidth="1"/>
    <col min="3384" max="3384" width="31.42578125" customWidth="1"/>
    <col min="3385" max="3385" width="17.28515625" customWidth="1"/>
    <col min="3386" max="3386" width="17.42578125" customWidth="1"/>
    <col min="3387" max="3387" width="25.7109375" customWidth="1"/>
    <col min="3388" max="3388" width="16.42578125" customWidth="1"/>
    <col min="3389" max="3389" width="31" customWidth="1"/>
    <col min="3390" max="3390" width="28.85546875" customWidth="1"/>
    <col min="3391" max="3391" width="11.85546875" customWidth="1"/>
    <col min="3392" max="3392" width="33" customWidth="1"/>
    <col min="3636" max="3636" width="19.7109375" customWidth="1"/>
    <col min="3637" max="3637" width="31.42578125" customWidth="1"/>
    <col min="3638" max="3639" width="25.7109375" customWidth="1"/>
    <col min="3640" max="3640" width="31.42578125" customWidth="1"/>
    <col min="3641" max="3641" width="17.28515625" customWidth="1"/>
    <col min="3642" max="3642" width="17.42578125" customWidth="1"/>
    <col min="3643" max="3643" width="25.7109375" customWidth="1"/>
    <col min="3644" max="3644" width="16.42578125" customWidth="1"/>
    <col min="3645" max="3645" width="31" customWidth="1"/>
    <col min="3646" max="3646" width="28.85546875" customWidth="1"/>
    <col min="3647" max="3647" width="11.85546875" customWidth="1"/>
    <col min="3648" max="3648" width="33" customWidth="1"/>
    <col min="3892" max="3892" width="19.7109375" customWidth="1"/>
    <col min="3893" max="3893" width="31.42578125" customWidth="1"/>
    <col min="3894" max="3895" width="25.7109375" customWidth="1"/>
    <col min="3896" max="3896" width="31.42578125" customWidth="1"/>
    <col min="3897" max="3897" width="17.28515625" customWidth="1"/>
    <col min="3898" max="3898" width="17.42578125" customWidth="1"/>
    <col min="3899" max="3899" width="25.7109375" customWidth="1"/>
    <col min="3900" max="3900" width="16.42578125" customWidth="1"/>
    <col min="3901" max="3901" width="31" customWidth="1"/>
    <col min="3902" max="3902" width="28.85546875" customWidth="1"/>
    <col min="3903" max="3903" width="11.85546875" customWidth="1"/>
    <col min="3904" max="3904" width="33" customWidth="1"/>
    <col min="4148" max="4148" width="19.7109375" customWidth="1"/>
    <col min="4149" max="4149" width="31.42578125" customWidth="1"/>
    <col min="4150" max="4151" width="25.7109375" customWidth="1"/>
    <col min="4152" max="4152" width="31.42578125" customWidth="1"/>
    <col min="4153" max="4153" width="17.28515625" customWidth="1"/>
    <col min="4154" max="4154" width="17.42578125" customWidth="1"/>
    <col min="4155" max="4155" width="25.7109375" customWidth="1"/>
    <col min="4156" max="4156" width="16.42578125" customWidth="1"/>
    <col min="4157" max="4157" width="31" customWidth="1"/>
    <col min="4158" max="4158" width="28.85546875" customWidth="1"/>
    <col min="4159" max="4159" width="11.85546875" customWidth="1"/>
    <col min="4160" max="4160" width="33" customWidth="1"/>
    <col min="4404" max="4404" width="19.7109375" customWidth="1"/>
    <col min="4405" max="4405" width="31.42578125" customWidth="1"/>
    <col min="4406" max="4407" width="25.7109375" customWidth="1"/>
    <col min="4408" max="4408" width="31.42578125" customWidth="1"/>
    <col min="4409" max="4409" width="17.28515625" customWidth="1"/>
    <col min="4410" max="4410" width="17.42578125" customWidth="1"/>
    <col min="4411" max="4411" width="25.7109375" customWidth="1"/>
    <col min="4412" max="4412" width="16.42578125" customWidth="1"/>
    <col min="4413" max="4413" width="31" customWidth="1"/>
    <col min="4414" max="4414" width="28.85546875" customWidth="1"/>
    <col min="4415" max="4415" width="11.85546875" customWidth="1"/>
    <col min="4416" max="4416" width="33" customWidth="1"/>
    <col min="4660" max="4660" width="19.7109375" customWidth="1"/>
    <col min="4661" max="4661" width="31.42578125" customWidth="1"/>
    <col min="4662" max="4663" width="25.7109375" customWidth="1"/>
    <col min="4664" max="4664" width="31.42578125" customWidth="1"/>
    <col min="4665" max="4665" width="17.28515625" customWidth="1"/>
    <col min="4666" max="4666" width="17.42578125" customWidth="1"/>
    <col min="4667" max="4667" width="25.7109375" customWidth="1"/>
    <col min="4668" max="4668" width="16.42578125" customWidth="1"/>
    <col min="4669" max="4669" width="31" customWidth="1"/>
    <col min="4670" max="4670" width="28.85546875" customWidth="1"/>
    <col min="4671" max="4671" width="11.85546875" customWidth="1"/>
    <col min="4672" max="4672" width="33" customWidth="1"/>
    <col min="4916" max="4916" width="19.7109375" customWidth="1"/>
    <col min="4917" max="4917" width="31.42578125" customWidth="1"/>
    <col min="4918" max="4919" width="25.7109375" customWidth="1"/>
    <col min="4920" max="4920" width="31.42578125" customWidth="1"/>
    <col min="4921" max="4921" width="17.28515625" customWidth="1"/>
    <col min="4922" max="4922" width="17.42578125" customWidth="1"/>
    <col min="4923" max="4923" width="25.7109375" customWidth="1"/>
    <col min="4924" max="4924" width="16.42578125" customWidth="1"/>
    <col min="4925" max="4925" width="31" customWidth="1"/>
    <col min="4926" max="4926" width="28.85546875" customWidth="1"/>
    <col min="4927" max="4927" width="11.85546875" customWidth="1"/>
    <col min="4928" max="4928" width="33" customWidth="1"/>
    <col min="5172" max="5172" width="19.7109375" customWidth="1"/>
    <col min="5173" max="5173" width="31.42578125" customWidth="1"/>
    <col min="5174" max="5175" width="25.7109375" customWidth="1"/>
    <col min="5176" max="5176" width="31.42578125" customWidth="1"/>
    <col min="5177" max="5177" width="17.28515625" customWidth="1"/>
    <col min="5178" max="5178" width="17.42578125" customWidth="1"/>
    <col min="5179" max="5179" width="25.7109375" customWidth="1"/>
    <col min="5180" max="5180" width="16.42578125" customWidth="1"/>
    <col min="5181" max="5181" width="31" customWidth="1"/>
    <col min="5182" max="5182" width="28.85546875" customWidth="1"/>
    <col min="5183" max="5183" width="11.85546875" customWidth="1"/>
    <col min="5184" max="5184" width="33" customWidth="1"/>
    <col min="5428" max="5428" width="19.7109375" customWidth="1"/>
    <col min="5429" max="5429" width="31.42578125" customWidth="1"/>
    <col min="5430" max="5431" width="25.7109375" customWidth="1"/>
    <col min="5432" max="5432" width="31.42578125" customWidth="1"/>
    <col min="5433" max="5433" width="17.28515625" customWidth="1"/>
    <col min="5434" max="5434" width="17.42578125" customWidth="1"/>
    <col min="5435" max="5435" width="25.7109375" customWidth="1"/>
    <col min="5436" max="5436" width="16.42578125" customWidth="1"/>
    <col min="5437" max="5437" width="31" customWidth="1"/>
    <col min="5438" max="5438" width="28.85546875" customWidth="1"/>
    <col min="5439" max="5439" width="11.85546875" customWidth="1"/>
    <col min="5440" max="5440" width="33" customWidth="1"/>
    <col min="5684" max="5684" width="19.7109375" customWidth="1"/>
    <col min="5685" max="5685" width="31.42578125" customWidth="1"/>
    <col min="5686" max="5687" width="25.7109375" customWidth="1"/>
    <col min="5688" max="5688" width="31.42578125" customWidth="1"/>
    <col min="5689" max="5689" width="17.28515625" customWidth="1"/>
    <col min="5690" max="5690" width="17.42578125" customWidth="1"/>
    <col min="5691" max="5691" width="25.7109375" customWidth="1"/>
    <col min="5692" max="5692" width="16.42578125" customWidth="1"/>
    <col min="5693" max="5693" width="31" customWidth="1"/>
    <col min="5694" max="5694" width="28.85546875" customWidth="1"/>
    <col min="5695" max="5695" width="11.85546875" customWidth="1"/>
    <col min="5696" max="5696" width="33" customWidth="1"/>
    <col min="5940" max="5940" width="19.7109375" customWidth="1"/>
    <col min="5941" max="5941" width="31.42578125" customWidth="1"/>
    <col min="5942" max="5943" width="25.7109375" customWidth="1"/>
    <col min="5944" max="5944" width="31.42578125" customWidth="1"/>
    <col min="5945" max="5945" width="17.28515625" customWidth="1"/>
    <col min="5946" max="5946" width="17.42578125" customWidth="1"/>
    <col min="5947" max="5947" width="25.7109375" customWidth="1"/>
    <col min="5948" max="5948" width="16.42578125" customWidth="1"/>
    <col min="5949" max="5949" width="31" customWidth="1"/>
    <col min="5950" max="5950" width="28.85546875" customWidth="1"/>
    <col min="5951" max="5951" width="11.85546875" customWidth="1"/>
    <col min="5952" max="5952" width="33" customWidth="1"/>
    <col min="6196" max="6196" width="19.7109375" customWidth="1"/>
    <col min="6197" max="6197" width="31.42578125" customWidth="1"/>
    <col min="6198" max="6199" width="25.7109375" customWidth="1"/>
    <col min="6200" max="6200" width="31.42578125" customWidth="1"/>
    <col min="6201" max="6201" width="17.28515625" customWidth="1"/>
    <col min="6202" max="6202" width="17.42578125" customWidth="1"/>
    <col min="6203" max="6203" width="25.7109375" customWidth="1"/>
    <col min="6204" max="6204" width="16.42578125" customWidth="1"/>
    <col min="6205" max="6205" width="31" customWidth="1"/>
    <col min="6206" max="6206" width="28.85546875" customWidth="1"/>
    <col min="6207" max="6207" width="11.85546875" customWidth="1"/>
    <col min="6208" max="6208" width="33" customWidth="1"/>
    <col min="6452" max="6452" width="19.7109375" customWidth="1"/>
    <col min="6453" max="6453" width="31.42578125" customWidth="1"/>
    <col min="6454" max="6455" width="25.7109375" customWidth="1"/>
    <col min="6456" max="6456" width="31.42578125" customWidth="1"/>
    <col min="6457" max="6457" width="17.28515625" customWidth="1"/>
    <col min="6458" max="6458" width="17.42578125" customWidth="1"/>
    <col min="6459" max="6459" width="25.7109375" customWidth="1"/>
    <col min="6460" max="6460" width="16.42578125" customWidth="1"/>
    <col min="6461" max="6461" width="31" customWidth="1"/>
    <col min="6462" max="6462" width="28.85546875" customWidth="1"/>
    <col min="6463" max="6463" width="11.85546875" customWidth="1"/>
    <col min="6464" max="6464" width="33" customWidth="1"/>
    <col min="6708" max="6708" width="19.7109375" customWidth="1"/>
    <col min="6709" max="6709" width="31.42578125" customWidth="1"/>
    <col min="6710" max="6711" width="25.7109375" customWidth="1"/>
    <col min="6712" max="6712" width="31.42578125" customWidth="1"/>
    <col min="6713" max="6713" width="17.28515625" customWidth="1"/>
    <col min="6714" max="6714" width="17.42578125" customWidth="1"/>
    <col min="6715" max="6715" width="25.7109375" customWidth="1"/>
    <col min="6716" max="6716" width="16.42578125" customWidth="1"/>
    <col min="6717" max="6717" width="31" customWidth="1"/>
    <col min="6718" max="6718" width="28.85546875" customWidth="1"/>
    <col min="6719" max="6719" width="11.85546875" customWidth="1"/>
    <col min="6720" max="6720" width="33" customWidth="1"/>
    <col min="6964" max="6964" width="19.7109375" customWidth="1"/>
    <col min="6965" max="6965" width="31.42578125" customWidth="1"/>
    <col min="6966" max="6967" width="25.7109375" customWidth="1"/>
    <col min="6968" max="6968" width="31.42578125" customWidth="1"/>
    <col min="6969" max="6969" width="17.28515625" customWidth="1"/>
    <col min="6970" max="6970" width="17.42578125" customWidth="1"/>
    <col min="6971" max="6971" width="25.7109375" customWidth="1"/>
    <col min="6972" max="6972" width="16.42578125" customWidth="1"/>
    <col min="6973" max="6973" width="31" customWidth="1"/>
    <col min="6974" max="6974" width="28.85546875" customWidth="1"/>
    <col min="6975" max="6975" width="11.85546875" customWidth="1"/>
    <col min="6976" max="6976" width="33" customWidth="1"/>
    <col min="7220" max="7220" width="19.7109375" customWidth="1"/>
    <col min="7221" max="7221" width="31.42578125" customWidth="1"/>
    <col min="7222" max="7223" width="25.7109375" customWidth="1"/>
    <col min="7224" max="7224" width="31.42578125" customWidth="1"/>
    <col min="7225" max="7225" width="17.28515625" customWidth="1"/>
    <col min="7226" max="7226" width="17.42578125" customWidth="1"/>
    <col min="7227" max="7227" width="25.7109375" customWidth="1"/>
    <col min="7228" max="7228" width="16.42578125" customWidth="1"/>
    <col min="7229" max="7229" width="31" customWidth="1"/>
    <col min="7230" max="7230" width="28.85546875" customWidth="1"/>
    <col min="7231" max="7231" width="11.85546875" customWidth="1"/>
    <col min="7232" max="7232" width="33" customWidth="1"/>
    <col min="7476" max="7476" width="19.7109375" customWidth="1"/>
    <col min="7477" max="7477" width="31.42578125" customWidth="1"/>
    <col min="7478" max="7479" width="25.7109375" customWidth="1"/>
    <col min="7480" max="7480" width="31.42578125" customWidth="1"/>
    <col min="7481" max="7481" width="17.28515625" customWidth="1"/>
    <col min="7482" max="7482" width="17.42578125" customWidth="1"/>
    <col min="7483" max="7483" width="25.7109375" customWidth="1"/>
    <col min="7484" max="7484" width="16.42578125" customWidth="1"/>
    <col min="7485" max="7485" width="31" customWidth="1"/>
    <col min="7486" max="7486" width="28.85546875" customWidth="1"/>
    <col min="7487" max="7487" width="11.85546875" customWidth="1"/>
    <col min="7488" max="7488" width="33" customWidth="1"/>
    <col min="7732" max="7732" width="19.7109375" customWidth="1"/>
    <col min="7733" max="7733" width="31.42578125" customWidth="1"/>
    <col min="7734" max="7735" width="25.7109375" customWidth="1"/>
    <col min="7736" max="7736" width="31.42578125" customWidth="1"/>
    <col min="7737" max="7737" width="17.28515625" customWidth="1"/>
    <col min="7738" max="7738" width="17.42578125" customWidth="1"/>
    <col min="7739" max="7739" width="25.7109375" customWidth="1"/>
    <col min="7740" max="7740" width="16.42578125" customWidth="1"/>
    <col min="7741" max="7741" width="31" customWidth="1"/>
    <col min="7742" max="7742" width="28.85546875" customWidth="1"/>
    <col min="7743" max="7743" width="11.85546875" customWidth="1"/>
    <col min="7744" max="7744" width="33" customWidth="1"/>
    <col min="7988" max="7988" width="19.7109375" customWidth="1"/>
    <col min="7989" max="7989" width="31.42578125" customWidth="1"/>
    <col min="7990" max="7991" width="25.7109375" customWidth="1"/>
    <col min="7992" max="7992" width="31.42578125" customWidth="1"/>
    <col min="7993" max="7993" width="17.28515625" customWidth="1"/>
    <col min="7994" max="7994" width="17.42578125" customWidth="1"/>
    <col min="7995" max="7995" width="25.7109375" customWidth="1"/>
    <col min="7996" max="7996" width="16.42578125" customWidth="1"/>
    <col min="7997" max="7997" width="31" customWidth="1"/>
    <col min="7998" max="7998" width="28.85546875" customWidth="1"/>
    <col min="7999" max="7999" width="11.85546875" customWidth="1"/>
    <col min="8000" max="8000" width="33" customWidth="1"/>
    <col min="8244" max="8244" width="19.7109375" customWidth="1"/>
    <col min="8245" max="8245" width="31.42578125" customWidth="1"/>
    <col min="8246" max="8247" width="25.7109375" customWidth="1"/>
    <col min="8248" max="8248" width="31.42578125" customWidth="1"/>
    <col min="8249" max="8249" width="17.28515625" customWidth="1"/>
    <col min="8250" max="8250" width="17.42578125" customWidth="1"/>
    <col min="8251" max="8251" width="25.7109375" customWidth="1"/>
    <col min="8252" max="8252" width="16.42578125" customWidth="1"/>
    <col min="8253" max="8253" width="31" customWidth="1"/>
    <col min="8254" max="8254" width="28.85546875" customWidth="1"/>
    <col min="8255" max="8255" width="11.85546875" customWidth="1"/>
    <col min="8256" max="8256" width="33" customWidth="1"/>
    <col min="8500" max="8500" width="19.7109375" customWidth="1"/>
    <col min="8501" max="8501" width="31.42578125" customWidth="1"/>
    <col min="8502" max="8503" width="25.7109375" customWidth="1"/>
    <col min="8504" max="8504" width="31.42578125" customWidth="1"/>
    <col min="8505" max="8505" width="17.28515625" customWidth="1"/>
    <col min="8506" max="8506" width="17.42578125" customWidth="1"/>
    <col min="8507" max="8507" width="25.7109375" customWidth="1"/>
    <col min="8508" max="8508" width="16.42578125" customWidth="1"/>
    <col min="8509" max="8509" width="31" customWidth="1"/>
    <col min="8510" max="8510" width="28.85546875" customWidth="1"/>
    <col min="8511" max="8511" width="11.85546875" customWidth="1"/>
    <col min="8512" max="8512" width="33" customWidth="1"/>
    <col min="8756" max="8756" width="19.7109375" customWidth="1"/>
    <col min="8757" max="8757" width="31.42578125" customWidth="1"/>
    <col min="8758" max="8759" width="25.7109375" customWidth="1"/>
    <col min="8760" max="8760" width="31.42578125" customWidth="1"/>
    <col min="8761" max="8761" width="17.28515625" customWidth="1"/>
    <col min="8762" max="8762" width="17.42578125" customWidth="1"/>
    <col min="8763" max="8763" width="25.7109375" customWidth="1"/>
    <col min="8764" max="8764" width="16.42578125" customWidth="1"/>
    <col min="8765" max="8765" width="31" customWidth="1"/>
    <col min="8766" max="8766" width="28.85546875" customWidth="1"/>
    <col min="8767" max="8767" width="11.85546875" customWidth="1"/>
    <col min="8768" max="8768" width="33" customWidth="1"/>
    <col min="9012" max="9012" width="19.7109375" customWidth="1"/>
    <col min="9013" max="9013" width="31.42578125" customWidth="1"/>
    <col min="9014" max="9015" width="25.7109375" customWidth="1"/>
    <col min="9016" max="9016" width="31.42578125" customWidth="1"/>
    <col min="9017" max="9017" width="17.28515625" customWidth="1"/>
    <col min="9018" max="9018" width="17.42578125" customWidth="1"/>
    <col min="9019" max="9019" width="25.7109375" customWidth="1"/>
    <col min="9020" max="9020" width="16.42578125" customWidth="1"/>
    <col min="9021" max="9021" width="31" customWidth="1"/>
    <col min="9022" max="9022" width="28.85546875" customWidth="1"/>
    <col min="9023" max="9023" width="11.85546875" customWidth="1"/>
    <col min="9024" max="9024" width="33" customWidth="1"/>
    <col min="9268" max="9268" width="19.7109375" customWidth="1"/>
    <col min="9269" max="9269" width="31.42578125" customWidth="1"/>
    <col min="9270" max="9271" width="25.7109375" customWidth="1"/>
    <col min="9272" max="9272" width="31.42578125" customWidth="1"/>
    <col min="9273" max="9273" width="17.28515625" customWidth="1"/>
    <col min="9274" max="9274" width="17.42578125" customWidth="1"/>
    <col min="9275" max="9275" width="25.7109375" customWidth="1"/>
    <col min="9276" max="9276" width="16.42578125" customWidth="1"/>
    <col min="9277" max="9277" width="31" customWidth="1"/>
    <col min="9278" max="9278" width="28.85546875" customWidth="1"/>
    <col min="9279" max="9279" width="11.85546875" customWidth="1"/>
    <col min="9280" max="9280" width="33" customWidth="1"/>
    <col min="9524" max="9524" width="19.7109375" customWidth="1"/>
    <col min="9525" max="9525" width="31.42578125" customWidth="1"/>
    <col min="9526" max="9527" width="25.7109375" customWidth="1"/>
    <col min="9528" max="9528" width="31.42578125" customWidth="1"/>
    <col min="9529" max="9529" width="17.28515625" customWidth="1"/>
    <col min="9530" max="9530" width="17.42578125" customWidth="1"/>
    <col min="9531" max="9531" width="25.7109375" customWidth="1"/>
    <col min="9532" max="9532" width="16.42578125" customWidth="1"/>
    <col min="9533" max="9533" width="31" customWidth="1"/>
    <col min="9534" max="9534" width="28.85546875" customWidth="1"/>
    <col min="9535" max="9535" width="11.85546875" customWidth="1"/>
    <col min="9536" max="9536" width="33" customWidth="1"/>
    <col min="9780" max="9780" width="19.7109375" customWidth="1"/>
    <col min="9781" max="9781" width="31.42578125" customWidth="1"/>
    <col min="9782" max="9783" width="25.7109375" customWidth="1"/>
    <col min="9784" max="9784" width="31.42578125" customWidth="1"/>
    <col min="9785" max="9785" width="17.28515625" customWidth="1"/>
    <col min="9786" max="9786" width="17.42578125" customWidth="1"/>
    <col min="9787" max="9787" width="25.7109375" customWidth="1"/>
    <col min="9788" max="9788" width="16.42578125" customWidth="1"/>
    <col min="9789" max="9789" width="31" customWidth="1"/>
    <col min="9790" max="9790" width="28.85546875" customWidth="1"/>
    <col min="9791" max="9791" width="11.85546875" customWidth="1"/>
    <col min="9792" max="9792" width="33" customWidth="1"/>
    <col min="10036" max="10036" width="19.7109375" customWidth="1"/>
    <col min="10037" max="10037" width="31.42578125" customWidth="1"/>
    <col min="10038" max="10039" width="25.7109375" customWidth="1"/>
    <col min="10040" max="10040" width="31.42578125" customWidth="1"/>
    <col min="10041" max="10041" width="17.28515625" customWidth="1"/>
    <col min="10042" max="10042" width="17.42578125" customWidth="1"/>
    <col min="10043" max="10043" width="25.7109375" customWidth="1"/>
    <col min="10044" max="10044" width="16.42578125" customWidth="1"/>
    <col min="10045" max="10045" width="31" customWidth="1"/>
    <col min="10046" max="10046" width="28.85546875" customWidth="1"/>
    <col min="10047" max="10047" width="11.85546875" customWidth="1"/>
    <col min="10048" max="10048" width="33" customWidth="1"/>
    <col min="10292" max="10292" width="19.7109375" customWidth="1"/>
    <col min="10293" max="10293" width="31.42578125" customWidth="1"/>
    <col min="10294" max="10295" width="25.7109375" customWidth="1"/>
    <col min="10296" max="10296" width="31.42578125" customWidth="1"/>
    <col min="10297" max="10297" width="17.28515625" customWidth="1"/>
    <col min="10298" max="10298" width="17.42578125" customWidth="1"/>
    <col min="10299" max="10299" width="25.7109375" customWidth="1"/>
    <col min="10300" max="10300" width="16.42578125" customWidth="1"/>
    <col min="10301" max="10301" width="31" customWidth="1"/>
    <col min="10302" max="10302" width="28.85546875" customWidth="1"/>
    <col min="10303" max="10303" width="11.85546875" customWidth="1"/>
    <col min="10304" max="10304" width="33" customWidth="1"/>
    <col min="10548" max="10548" width="19.7109375" customWidth="1"/>
    <col min="10549" max="10549" width="31.42578125" customWidth="1"/>
    <col min="10550" max="10551" width="25.7109375" customWidth="1"/>
    <col min="10552" max="10552" width="31.42578125" customWidth="1"/>
    <col min="10553" max="10553" width="17.28515625" customWidth="1"/>
    <col min="10554" max="10554" width="17.42578125" customWidth="1"/>
    <col min="10555" max="10555" width="25.7109375" customWidth="1"/>
    <col min="10556" max="10556" width="16.42578125" customWidth="1"/>
    <col min="10557" max="10557" width="31" customWidth="1"/>
    <col min="10558" max="10558" width="28.85546875" customWidth="1"/>
    <col min="10559" max="10559" width="11.85546875" customWidth="1"/>
    <col min="10560" max="10560" width="33" customWidth="1"/>
    <col min="10804" max="10804" width="19.7109375" customWidth="1"/>
    <col min="10805" max="10805" width="31.42578125" customWidth="1"/>
    <col min="10806" max="10807" width="25.7109375" customWidth="1"/>
    <col min="10808" max="10808" width="31.42578125" customWidth="1"/>
    <col min="10809" max="10809" width="17.28515625" customWidth="1"/>
    <col min="10810" max="10810" width="17.42578125" customWidth="1"/>
    <col min="10811" max="10811" width="25.7109375" customWidth="1"/>
    <col min="10812" max="10812" width="16.42578125" customWidth="1"/>
    <col min="10813" max="10813" width="31" customWidth="1"/>
    <col min="10814" max="10814" width="28.85546875" customWidth="1"/>
    <col min="10815" max="10815" width="11.85546875" customWidth="1"/>
    <col min="10816" max="10816" width="33" customWidth="1"/>
    <col min="11060" max="11060" width="19.7109375" customWidth="1"/>
    <col min="11061" max="11061" width="31.42578125" customWidth="1"/>
    <col min="11062" max="11063" width="25.7109375" customWidth="1"/>
    <col min="11064" max="11064" width="31.42578125" customWidth="1"/>
    <col min="11065" max="11065" width="17.28515625" customWidth="1"/>
    <col min="11066" max="11066" width="17.42578125" customWidth="1"/>
    <col min="11067" max="11067" width="25.7109375" customWidth="1"/>
    <col min="11068" max="11068" width="16.42578125" customWidth="1"/>
    <col min="11069" max="11069" width="31" customWidth="1"/>
    <col min="11070" max="11070" width="28.85546875" customWidth="1"/>
    <col min="11071" max="11071" width="11.85546875" customWidth="1"/>
    <col min="11072" max="11072" width="33" customWidth="1"/>
    <col min="11316" max="11316" width="19.7109375" customWidth="1"/>
    <col min="11317" max="11317" width="31.42578125" customWidth="1"/>
    <col min="11318" max="11319" width="25.7109375" customWidth="1"/>
    <col min="11320" max="11320" width="31.42578125" customWidth="1"/>
    <col min="11321" max="11321" width="17.28515625" customWidth="1"/>
    <col min="11322" max="11322" width="17.42578125" customWidth="1"/>
    <col min="11323" max="11323" width="25.7109375" customWidth="1"/>
    <col min="11324" max="11324" width="16.42578125" customWidth="1"/>
    <col min="11325" max="11325" width="31" customWidth="1"/>
    <col min="11326" max="11326" width="28.85546875" customWidth="1"/>
    <col min="11327" max="11327" width="11.85546875" customWidth="1"/>
    <col min="11328" max="11328" width="33" customWidth="1"/>
    <col min="11572" max="11572" width="19.7109375" customWidth="1"/>
    <col min="11573" max="11573" width="31.42578125" customWidth="1"/>
    <col min="11574" max="11575" width="25.7109375" customWidth="1"/>
    <col min="11576" max="11576" width="31.42578125" customWidth="1"/>
    <col min="11577" max="11577" width="17.28515625" customWidth="1"/>
    <col min="11578" max="11578" width="17.42578125" customWidth="1"/>
    <col min="11579" max="11579" width="25.7109375" customWidth="1"/>
    <col min="11580" max="11580" width="16.42578125" customWidth="1"/>
    <col min="11581" max="11581" width="31" customWidth="1"/>
    <col min="11582" max="11582" width="28.85546875" customWidth="1"/>
    <col min="11583" max="11583" width="11.85546875" customWidth="1"/>
    <col min="11584" max="11584" width="33" customWidth="1"/>
    <col min="11828" max="11828" width="19.7109375" customWidth="1"/>
    <col min="11829" max="11829" width="31.42578125" customWidth="1"/>
    <col min="11830" max="11831" width="25.7109375" customWidth="1"/>
    <col min="11832" max="11832" width="31.42578125" customWidth="1"/>
    <col min="11833" max="11833" width="17.28515625" customWidth="1"/>
    <col min="11834" max="11834" width="17.42578125" customWidth="1"/>
    <col min="11835" max="11835" width="25.7109375" customWidth="1"/>
    <col min="11836" max="11836" width="16.42578125" customWidth="1"/>
    <col min="11837" max="11837" width="31" customWidth="1"/>
    <col min="11838" max="11838" width="28.85546875" customWidth="1"/>
    <col min="11839" max="11839" width="11.85546875" customWidth="1"/>
    <col min="11840" max="11840" width="33" customWidth="1"/>
    <col min="12084" max="12084" width="19.7109375" customWidth="1"/>
    <col min="12085" max="12085" width="31.42578125" customWidth="1"/>
    <col min="12086" max="12087" width="25.7109375" customWidth="1"/>
    <col min="12088" max="12088" width="31.42578125" customWidth="1"/>
    <col min="12089" max="12089" width="17.28515625" customWidth="1"/>
    <col min="12090" max="12090" width="17.42578125" customWidth="1"/>
    <col min="12091" max="12091" width="25.7109375" customWidth="1"/>
    <col min="12092" max="12092" width="16.42578125" customWidth="1"/>
    <col min="12093" max="12093" width="31" customWidth="1"/>
    <col min="12094" max="12094" width="28.85546875" customWidth="1"/>
    <col min="12095" max="12095" width="11.85546875" customWidth="1"/>
    <col min="12096" max="12096" width="33" customWidth="1"/>
    <col min="12340" max="12340" width="19.7109375" customWidth="1"/>
    <col min="12341" max="12341" width="31.42578125" customWidth="1"/>
    <col min="12342" max="12343" width="25.7109375" customWidth="1"/>
    <col min="12344" max="12344" width="31.42578125" customWidth="1"/>
    <col min="12345" max="12345" width="17.28515625" customWidth="1"/>
    <col min="12346" max="12346" width="17.42578125" customWidth="1"/>
    <col min="12347" max="12347" width="25.7109375" customWidth="1"/>
    <col min="12348" max="12348" width="16.42578125" customWidth="1"/>
    <col min="12349" max="12349" width="31" customWidth="1"/>
    <col min="12350" max="12350" width="28.85546875" customWidth="1"/>
    <col min="12351" max="12351" width="11.85546875" customWidth="1"/>
    <col min="12352" max="12352" width="33" customWidth="1"/>
    <col min="12596" max="12596" width="19.7109375" customWidth="1"/>
    <col min="12597" max="12597" width="31.42578125" customWidth="1"/>
    <col min="12598" max="12599" width="25.7109375" customWidth="1"/>
    <col min="12600" max="12600" width="31.42578125" customWidth="1"/>
    <col min="12601" max="12601" width="17.28515625" customWidth="1"/>
    <col min="12602" max="12602" width="17.42578125" customWidth="1"/>
    <col min="12603" max="12603" width="25.7109375" customWidth="1"/>
    <col min="12604" max="12604" width="16.42578125" customWidth="1"/>
    <col min="12605" max="12605" width="31" customWidth="1"/>
    <col min="12606" max="12606" width="28.85546875" customWidth="1"/>
    <col min="12607" max="12607" width="11.85546875" customWidth="1"/>
    <col min="12608" max="12608" width="33" customWidth="1"/>
    <col min="12852" max="12852" width="19.7109375" customWidth="1"/>
    <col min="12853" max="12853" width="31.42578125" customWidth="1"/>
    <col min="12854" max="12855" width="25.7109375" customWidth="1"/>
    <col min="12856" max="12856" width="31.42578125" customWidth="1"/>
    <col min="12857" max="12857" width="17.28515625" customWidth="1"/>
    <col min="12858" max="12858" width="17.42578125" customWidth="1"/>
    <col min="12859" max="12859" width="25.7109375" customWidth="1"/>
    <col min="12860" max="12860" width="16.42578125" customWidth="1"/>
    <col min="12861" max="12861" width="31" customWidth="1"/>
    <col min="12862" max="12862" width="28.85546875" customWidth="1"/>
    <col min="12863" max="12863" width="11.85546875" customWidth="1"/>
    <col min="12864" max="12864" width="33" customWidth="1"/>
    <col min="13108" max="13108" width="19.7109375" customWidth="1"/>
    <col min="13109" max="13109" width="31.42578125" customWidth="1"/>
    <col min="13110" max="13111" width="25.7109375" customWidth="1"/>
    <col min="13112" max="13112" width="31.42578125" customWidth="1"/>
    <col min="13113" max="13113" width="17.28515625" customWidth="1"/>
    <col min="13114" max="13114" width="17.42578125" customWidth="1"/>
    <col min="13115" max="13115" width="25.7109375" customWidth="1"/>
    <col min="13116" max="13116" width="16.42578125" customWidth="1"/>
    <col min="13117" max="13117" width="31" customWidth="1"/>
    <col min="13118" max="13118" width="28.85546875" customWidth="1"/>
    <col min="13119" max="13119" width="11.85546875" customWidth="1"/>
    <col min="13120" max="13120" width="33" customWidth="1"/>
    <col min="13364" max="13364" width="19.7109375" customWidth="1"/>
    <col min="13365" max="13365" width="31.42578125" customWidth="1"/>
    <col min="13366" max="13367" width="25.7109375" customWidth="1"/>
    <col min="13368" max="13368" width="31.42578125" customWidth="1"/>
    <col min="13369" max="13369" width="17.28515625" customWidth="1"/>
    <col min="13370" max="13370" width="17.42578125" customWidth="1"/>
    <col min="13371" max="13371" width="25.7109375" customWidth="1"/>
    <col min="13372" max="13372" width="16.42578125" customWidth="1"/>
    <col min="13373" max="13373" width="31" customWidth="1"/>
    <col min="13374" max="13374" width="28.85546875" customWidth="1"/>
    <col min="13375" max="13375" width="11.85546875" customWidth="1"/>
    <col min="13376" max="13376" width="33" customWidth="1"/>
    <col min="13620" max="13620" width="19.7109375" customWidth="1"/>
    <col min="13621" max="13621" width="31.42578125" customWidth="1"/>
    <col min="13622" max="13623" width="25.7109375" customWidth="1"/>
    <col min="13624" max="13624" width="31.42578125" customWidth="1"/>
    <col min="13625" max="13625" width="17.28515625" customWidth="1"/>
    <col min="13626" max="13626" width="17.42578125" customWidth="1"/>
    <col min="13627" max="13627" width="25.7109375" customWidth="1"/>
    <col min="13628" max="13628" width="16.42578125" customWidth="1"/>
    <col min="13629" max="13629" width="31" customWidth="1"/>
    <col min="13630" max="13630" width="28.85546875" customWidth="1"/>
    <col min="13631" max="13631" width="11.85546875" customWidth="1"/>
    <col min="13632" max="13632" width="33" customWidth="1"/>
    <col min="13876" max="13876" width="19.7109375" customWidth="1"/>
    <col min="13877" max="13877" width="31.42578125" customWidth="1"/>
    <col min="13878" max="13879" width="25.7109375" customWidth="1"/>
    <col min="13880" max="13880" width="31.42578125" customWidth="1"/>
    <col min="13881" max="13881" width="17.28515625" customWidth="1"/>
    <col min="13882" max="13882" width="17.42578125" customWidth="1"/>
    <col min="13883" max="13883" width="25.7109375" customWidth="1"/>
    <col min="13884" max="13884" width="16.42578125" customWidth="1"/>
    <col min="13885" max="13885" width="31" customWidth="1"/>
    <col min="13886" max="13886" width="28.85546875" customWidth="1"/>
    <col min="13887" max="13887" width="11.85546875" customWidth="1"/>
    <col min="13888" max="13888" width="33" customWidth="1"/>
    <col min="14132" max="14132" width="19.7109375" customWidth="1"/>
    <col min="14133" max="14133" width="31.42578125" customWidth="1"/>
    <col min="14134" max="14135" width="25.7109375" customWidth="1"/>
    <col min="14136" max="14136" width="31.42578125" customWidth="1"/>
    <col min="14137" max="14137" width="17.28515625" customWidth="1"/>
    <col min="14138" max="14138" width="17.42578125" customWidth="1"/>
    <col min="14139" max="14139" width="25.7109375" customWidth="1"/>
    <col min="14140" max="14140" width="16.42578125" customWidth="1"/>
    <col min="14141" max="14141" width="31" customWidth="1"/>
    <col min="14142" max="14142" width="28.85546875" customWidth="1"/>
    <col min="14143" max="14143" width="11.85546875" customWidth="1"/>
    <col min="14144" max="14144" width="33" customWidth="1"/>
    <col min="14388" max="14388" width="19.7109375" customWidth="1"/>
    <col min="14389" max="14389" width="31.42578125" customWidth="1"/>
    <col min="14390" max="14391" width="25.7109375" customWidth="1"/>
    <col min="14392" max="14392" width="31.42578125" customWidth="1"/>
    <col min="14393" max="14393" width="17.28515625" customWidth="1"/>
    <col min="14394" max="14394" width="17.42578125" customWidth="1"/>
    <col min="14395" max="14395" width="25.7109375" customWidth="1"/>
    <col min="14396" max="14396" width="16.42578125" customWidth="1"/>
    <col min="14397" max="14397" width="31" customWidth="1"/>
    <col min="14398" max="14398" width="28.85546875" customWidth="1"/>
    <col min="14399" max="14399" width="11.85546875" customWidth="1"/>
    <col min="14400" max="14400" width="33" customWidth="1"/>
    <col min="14644" max="14644" width="19.7109375" customWidth="1"/>
    <col min="14645" max="14645" width="31.42578125" customWidth="1"/>
    <col min="14646" max="14647" width="25.7109375" customWidth="1"/>
    <col min="14648" max="14648" width="31.42578125" customWidth="1"/>
    <col min="14649" max="14649" width="17.28515625" customWidth="1"/>
    <col min="14650" max="14650" width="17.42578125" customWidth="1"/>
    <col min="14651" max="14651" width="25.7109375" customWidth="1"/>
    <col min="14652" max="14652" width="16.42578125" customWidth="1"/>
    <col min="14653" max="14653" width="31" customWidth="1"/>
    <col min="14654" max="14654" width="28.85546875" customWidth="1"/>
    <col min="14655" max="14655" width="11.85546875" customWidth="1"/>
    <col min="14656" max="14656" width="33" customWidth="1"/>
    <col min="14900" max="14900" width="19.7109375" customWidth="1"/>
    <col min="14901" max="14901" width="31.42578125" customWidth="1"/>
    <col min="14902" max="14903" width="25.7109375" customWidth="1"/>
    <col min="14904" max="14904" width="31.42578125" customWidth="1"/>
    <col min="14905" max="14905" width="17.28515625" customWidth="1"/>
    <col min="14906" max="14906" width="17.42578125" customWidth="1"/>
    <col min="14907" max="14907" width="25.7109375" customWidth="1"/>
    <col min="14908" max="14908" width="16.42578125" customWidth="1"/>
    <col min="14909" max="14909" width="31" customWidth="1"/>
    <col min="14910" max="14910" width="28.85546875" customWidth="1"/>
    <col min="14911" max="14911" width="11.85546875" customWidth="1"/>
    <col min="14912" max="14912" width="33" customWidth="1"/>
    <col min="15156" max="15156" width="19.7109375" customWidth="1"/>
    <col min="15157" max="15157" width="31.42578125" customWidth="1"/>
    <col min="15158" max="15159" width="25.7109375" customWidth="1"/>
    <col min="15160" max="15160" width="31.42578125" customWidth="1"/>
    <col min="15161" max="15161" width="17.28515625" customWidth="1"/>
    <col min="15162" max="15162" width="17.42578125" customWidth="1"/>
    <col min="15163" max="15163" width="25.7109375" customWidth="1"/>
    <col min="15164" max="15164" width="16.42578125" customWidth="1"/>
    <col min="15165" max="15165" width="31" customWidth="1"/>
    <col min="15166" max="15166" width="28.85546875" customWidth="1"/>
    <col min="15167" max="15167" width="11.85546875" customWidth="1"/>
    <col min="15168" max="15168" width="33" customWidth="1"/>
    <col min="15412" max="15412" width="19.7109375" customWidth="1"/>
    <col min="15413" max="15413" width="31.42578125" customWidth="1"/>
    <col min="15414" max="15415" width="25.7109375" customWidth="1"/>
    <col min="15416" max="15416" width="31.42578125" customWidth="1"/>
    <col min="15417" max="15417" width="17.28515625" customWidth="1"/>
    <col min="15418" max="15418" width="17.42578125" customWidth="1"/>
    <col min="15419" max="15419" width="25.7109375" customWidth="1"/>
    <col min="15420" max="15420" width="16.42578125" customWidth="1"/>
    <col min="15421" max="15421" width="31" customWidth="1"/>
    <col min="15422" max="15422" width="28.85546875" customWidth="1"/>
    <col min="15423" max="15423" width="11.85546875" customWidth="1"/>
    <col min="15424" max="15424" width="33" customWidth="1"/>
    <col min="15668" max="15668" width="19.7109375" customWidth="1"/>
    <col min="15669" max="15669" width="31.42578125" customWidth="1"/>
    <col min="15670" max="15671" width="25.7109375" customWidth="1"/>
    <col min="15672" max="15672" width="31.42578125" customWidth="1"/>
    <col min="15673" max="15673" width="17.28515625" customWidth="1"/>
    <col min="15674" max="15674" width="17.42578125" customWidth="1"/>
    <col min="15675" max="15675" width="25.7109375" customWidth="1"/>
    <col min="15676" max="15676" width="16.42578125" customWidth="1"/>
    <col min="15677" max="15677" width="31" customWidth="1"/>
    <col min="15678" max="15678" width="28.85546875" customWidth="1"/>
    <col min="15679" max="15679" width="11.85546875" customWidth="1"/>
    <col min="15680" max="15680" width="33" customWidth="1"/>
  </cols>
  <sheetData/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ECE12-426F-497B-9BC0-967FCD5B99E7}">
  <sheetPr codeName="Лист5"/>
  <dimension ref="A1:O61"/>
  <sheetViews>
    <sheetView workbookViewId="0">
      <pane xSplit="4" ySplit="6" topLeftCell="E40" activePane="bottomRight" state="frozen"/>
      <selection pane="topRight" activeCell="E1" sqref="E1"/>
      <selection pane="bottomLeft" activeCell="A7" sqref="A7"/>
      <selection pane="bottomRight" activeCell="V49" sqref="V49"/>
    </sheetView>
  </sheetViews>
  <sheetFormatPr defaultRowHeight="15" x14ac:dyDescent="0.25"/>
  <cols>
    <col min="1" max="1" width="12" bestFit="1" customWidth="1"/>
    <col min="8" max="8" width="10.140625" bestFit="1" customWidth="1"/>
    <col min="10" max="10" width="10.85546875" bestFit="1" customWidth="1"/>
    <col min="11" max="11" width="12" bestFit="1" customWidth="1"/>
    <col min="12" max="12" width="10.140625" bestFit="1" customWidth="1"/>
    <col min="13" max="13" width="10.85546875" bestFit="1" customWidth="1"/>
    <col min="14" max="14" width="11.7109375" bestFit="1" customWidth="1"/>
  </cols>
  <sheetData>
    <row r="1" spans="1:15" ht="15.75" x14ac:dyDescent="0.25">
      <c r="A1" s="17" t="s">
        <v>30</v>
      </c>
      <c r="B1" s="18">
        <f>COUNTA(Contact!D:D)-1</f>
        <v>1</v>
      </c>
      <c r="C1" s="19" t="s">
        <v>31</v>
      </c>
      <c r="D1" s="20"/>
      <c r="H1" s="29" t="s">
        <v>38</v>
      </c>
      <c r="I1" s="29" t="s">
        <v>30</v>
      </c>
      <c r="J1" s="29" t="s">
        <v>32</v>
      </c>
      <c r="K1" s="29" t="s">
        <v>39</v>
      </c>
      <c r="L1" s="29" t="s">
        <v>34</v>
      </c>
      <c r="M1" s="29" t="s">
        <v>40</v>
      </c>
      <c r="N1" s="29" t="s">
        <v>37</v>
      </c>
    </row>
    <row r="2" spans="1:15" x14ac:dyDescent="0.25">
      <c r="A2" s="21" t="s">
        <v>32</v>
      </c>
      <c r="B2" s="16">
        <f>COUNTIF(Contact!E:E,"Просрочка погашена")</f>
        <v>0</v>
      </c>
      <c r="C2" s="22">
        <f>B2/B1</f>
        <v>0</v>
      </c>
      <c r="D2" s="23"/>
      <c r="H2" s="30">
        <v>44119</v>
      </c>
      <c r="I2" s="16">
        <v>1</v>
      </c>
      <c r="J2" s="27">
        <v>1</v>
      </c>
      <c r="K2" s="27">
        <v>0</v>
      </c>
      <c r="L2" s="27">
        <v>0</v>
      </c>
      <c r="M2" s="27">
        <v>0</v>
      </c>
      <c r="N2" s="27">
        <v>0</v>
      </c>
      <c r="O2">
        <f>WEEKDAY(H2,2)</f>
        <v>4</v>
      </c>
    </row>
    <row r="3" spans="1:15" x14ac:dyDescent="0.25">
      <c r="A3" s="21" t="s">
        <v>33</v>
      </c>
      <c r="B3" s="16">
        <f>COUNTIF(Contact!E:E,"Частичная оплата (проср.)")</f>
        <v>0</v>
      </c>
      <c r="C3" s="22">
        <f>B3/B1</f>
        <v>0</v>
      </c>
      <c r="D3" s="23"/>
      <c r="H3" s="30">
        <v>44123</v>
      </c>
      <c r="I3" s="16">
        <v>1</v>
      </c>
      <c r="J3" s="27">
        <v>1</v>
      </c>
      <c r="K3" s="27">
        <v>0</v>
      </c>
      <c r="L3" s="27">
        <v>0</v>
      </c>
      <c r="M3" s="27">
        <v>0</v>
      </c>
      <c r="N3" s="27">
        <v>0</v>
      </c>
      <c r="O3">
        <f t="shared" ref="O3:O61" si="0">WEEKDAY(H3,2)</f>
        <v>1</v>
      </c>
    </row>
    <row r="4" spans="1:15" x14ac:dyDescent="0.25">
      <c r="A4" s="24" t="s">
        <v>34</v>
      </c>
      <c r="B4" s="16">
        <f>COUNTIF(Contact!E:E,"Оплата в срок")</f>
        <v>0</v>
      </c>
      <c r="C4" s="25">
        <f>B4/B1</f>
        <v>0</v>
      </c>
      <c r="D4" s="23"/>
      <c r="H4" s="30">
        <v>44131</v>
      </c>
      <c r="I4" s="16">
        <v>1</v>
      </c>
      <c r="J4" s="27">
        <v>1</v>
      </c>
      <c r="K4" s="27">
        <v>0</v>
      </c>
      <c r="L4" s="27">
        <v>0</v>
      </c>
      <c r="M4" s="27">
        <v>0</v>
      </c>
      <c r="N4" s="27">
        <v>1</v>
      </c>
      <c r="O4">
        <f t="shared" si="0"/>
        <v>2</v>
      </c>
    </row>
    <row r="5" spans="1:15" x14ac:dyDescent="0.25">
      <c r="A5" s="26" t="s">
        <v>35</v>
      </c>
      <c r="B5" s="16">
        <f>SUM(Contact!O:O)</f>
        <v>0</v>
      </c>
      <c r="C5" s="27">
        <f>B5/B1</f>
        <v>0</v>
      </c>
      <c r="D5" s="28" t="s">
        <v>36</v>
      </c>
      <c r="H5" s="30">
        <v>44144</v>
      </c>
      <c r="I5" s="16">
        <v>1</v>
      </c>
      <c r="J5" s="27">
        <v>1</v>
      </c>
      <c r="K5" s="27">
        <v>0</v>
      </c>
      <c r="L5" s="27">
        <v>0</v>
      </c>
      <c r="M5" s="27">
        <v>0</v>
      </c>
      <c r="N5" s="27">
        <v>0</v>
      </c>
      <c r="O5">
        <f t="shared" si="0"/>
        <v>1</v>
      </c>
    </row>
    <row r="6" spans="1:15" x14ac:dyDescent="0.25">
      <c r="A6" s="26" t="s">
        <v>37</v>
      </c>
      <c r="B6" s="16">
        <f>SUM(Contact!N:N)</f>
        <v>0</v>
      </c>
      <c r="C6" s="27">
        <f>B6/B1</f>
        <v>0</v>
      </c>
      <c r="D6" s="27" t="str">
        <f>IFERROR(B6/B5,"0,00%")</f>
        <v>0,00%</v>
      </c>
      <c r="H6" s="32">
        <v>44147</v>
      </c>
      <c r="I6" s="33">
        <v>1</v>
      </c>
      <c r="J6" s="34">
        <v>0</v>
      </c>
      <c r="K6" s="34">
        <v>0</v>
      </c>
      <c r="L6" s="34">
        <v>1</v>
      </c>
      <c r="M6" s="34">
        <v>0</v>
      </c>
      <c r="N6" s="34">
        <v>0</v>
      </c>
      <c r="O6">
        <f t="shared" si="0"/>
        <v>4</v>
      </c>
    </row>
    <row r="7" spans="1:15" x14ac:dyDescent="0.25">
      <c r="H7" s="32">
        <v>44152</v>
      </c>
      <c r="I7" s="33">
        <v>1</v>
      </c>
      <c r="J7" s="34">
        <v>0</v>
      </c>
      <c r="K7" s="34">
        <v>0</v>
      </c>
      <c r="L7" s="34">
        <v>1</v>
      </c>
      <c r="M7" s="34">
        <v>0</v>
      </c>
      <c r="N7" s="34">
        <v>0</v>
      </c>
      <c r="O7">
        <f t="shared" si="0"/>
        <v>2</v>
      </c>
    </row>
    <row r="8" spans="1:15" x14ac:dyDescent="0.25">
      <c r="H8" s="32">
        <v>44172</v>
      </c>
      <c r="I8" s="33">
        <v>1</v>
      </c>
      <c r="J8" s="34">
        <v>0</v>
      </c>
      <c r="K8" s="34">
        <v>1</v>
      </c>
      <c r="L8" s="34">
        <v>0</v>
      </c>
      <c r="M8" s="34">
        <v>0</v>
      </c>
      <c r="N8" s="34">
        <v>0</v>
      </c>
      <c r="O8">
        <f t="shared" si="0"/>
        <v>1</v>
      </c>
    </row>
    <row r="9" spans="1:15" x14ac:dyDescent="0.25">
      <c r="H9" s="32">
        <v>44175</v>
      </c>
      <c r="I9" s="33">
        <v>1</v>
      </c>
      <c r="J9" s="34">
        <v>1</v>
      </c>
      <c r="K9" s="34">
        <v>0</v>
      </c>
      <c r="L9" s="34">
        <v>0</v>
      </c>
      <c r="M9" s="34">
        <v>0</v>
      </c>
      <c r="N9" s="34">
        <v>0</v>
      </c>
      <c r="O9">
        <f t="shared" si="0"/>
        <v>4</v>
      </c>
    </row>
    <row r="10" spans="1:15" x14ac:dyDescent="0.25">
      <c r="H10" s="32">
        <v>44177</v>
      </c>
      <c r="I10" s="33">
        <v>1</v>
      </c>
      <c r="J10" s="34">
        <v>0</v>
      </c>
      <c r="K10" s="34">
        <v>0</v>
      </c>
      <c r="L10" s="34">
        <v>1</v>
      </c>
      <c r="M10" s="34">
        <v>0</v>
      </c>
      <c r="N10" s="34">
        <v>0</v>
      </c>
      <c r="O10">
        <f t="shared" si="0"/>
        <v>6</v>
      </c>
    </row>
    <row r="11" spans="1:15" x14ac:dyDescent="0.25">
      <c r="H11" s="32">
        <v>44179</v>
      </c>
      <c r="I11" s="33">
        <v>1</v>
      </c>
      <c r="J11" s="34">
        <v>0</v>
      </c>
      <c r="K11" s="34">
        <v>0</v>
      </c>
      <c r="L11" s="34">
        <v>1</v>
      </c>
      <c r="M11" s="34">
        <v>0</v>
      </c>
      <c r="N11" s="34">
        <v>0</v>
      </c>
      <c r="O11">
        <f t="shared" si="0"/>
        <v>1</v>
      </c>
    </row>
    <row r="12" spans="1:15" x14ac:dyDescent="0.25">
      <c r="H12" s="32">
        <v>44182</v>
      </c>
      <c r="I12" s="33">
        <v>2</v>
      </c>
      <c r="J12" s="34">
        <v>0</v>
      </c>
      <c r="K12" s="34">
        <v>0</v>
      </c>
      <c r="L12" s="34">
        <v>1</v>
      </c>
      <c r="M12" s="34">
        <v>0</v>
      </c>
      <c r="N12" s="34">
        <v>0</v>
      </c>
      <c r="O12">
        <f t="shared" si="0"/>
        <v>4</v>
      </c>
    </row>
    <row r="13" spans="1:15" x14ac:dyDescent="0.25">
      <c r="H13" s="32">
        <v>44209</v>
      </c>
      <c r="I13" s="33">
        <v>1</v>
      </c>
      <c r="J13" s="34">
        <v>0</v>
      </c>
      <c r="K13" s="34">
        <v>0</v>
      </c>
      <c r="L13" s="34">
        <v>1</v>
      </c>
      <c r="M13" s="34">
        <v>0</v>
      </c>
      <c r="N13" s="34">
        <v>0</v>
      </c>
      <c r="O13">
        <f t="shared" si="0"/>
        <v>3</v>
      </c>
    </row>
    <row r="14" spans="1:15" x14ac:dyDescent="0.25">
      <c r="H14" s="32">
        <v>44213</v>
      </c>
      <c r="I14" s="33">
        <v>1</v>
      </c>
      <c r="J14" s="34">
        <v>0</v>
      </c>
      <c r="K14" s="34">
        <v>0</v>
      </c>
      <c r="L14" s="34">
        <v>1</v>
      </c>
      <c r="M14" s="34">
        <v>0</v>
      </c>
      <c r="N14" s="34">
        <v>0</v>
      </c>
      <c r="O14">
        <f t="shared" si="0"/>
        <v>7</v>
      </c>
    </row>
    <row r="15" spans="1:15" x14ac:dyDescent="0.25">
      <c r="H15" s="32">
        <v>44214</v>
      </c>
      <c r="I15" s="33">
        <v>1</v>
      </c>
      <c r="J15" s="34">
        <v>0</v>
      </c>
      <c r="K15" s="34">
        <v>0</v>
      </c>
      <c r="L15" s="34">
        <v>1</v>
      </c>
      <c r="M15" s="34">
        <v>0</v>
      </c>
      <c r="N15" s="34">
        <v>0</v>
      </c>
      <c r="O15">
        <f t="shared" si="0"/>
        <v>1</v>
      </c>
    </row>
    <row r="16" spans="1:15" x14ac:dyDescent="0.25">
      <c r="H16" s="32">
        <v>44238</v>
      </c>
      <c r="I16" s="33">
        <v>1</v>
      </c>
      <c r="J16" s="34">
        <v>1</v>
      </c>
      <c r="K16" s="34">
        <v>0</v>
      </c>
      <c r="L16" s="34">
        <v>0</v>
      </c>
      <c r="M16" s="34">
        <v>0</v>
      </c>
      <c r="N16" s="34">
        <v>0</v>
      </c>
      <c r="O16">
        <f t="shared" si="0"/>
        <v>4</v>
      </c>
    </row>
    <row r="17" spans="8:15" x14ac:dyDescent="0.25">
      <c r="H17" s="32">
        <v>44240</v>
      </c>
      <c r="I17" s="33">
        <v>1</v>
      </c>
      <c r="J17" s="34">
        <v>0</v>
      </c>
      <c r="K17" s="34">
        <v>0</v>
      </c>
      <c r="L17" s="34">
        <v>1</v>
      </c>
      <c r="M17" s="34">
        <v>0</v>
      </c>
      <c r="N17" s="34">
        <v>0</v>
      </c>
      <c r="O17">
        <f t="shared" si="0"/>
        <v>6</v>
      </c>
    </row>
    <row r="18" spans="8:15" x14ac:dyDescent="0.25">
      <c r="H18" s="32">
        <v>44245</v>
      </c>
      <c r="I18" s="33">
        <v>2</v>
      </c>
      <c r="J18" s="34">
        <v>0</v>
      </c>
      <c r="K18" s="34">
        <v>0</v>
      </c>
      <c r="L18" s="34">
        <v>0.5</v>
      </c>
      <c r="M18" s="34">
        <v>0</v>
      </c>
      <c r="N18" s="34">
        <v>0</v>
      </c>
      <c r="O18">
        <f t="shared" si="0"/>
        <v>4</v>
      </c>
    </row>
    <row r="19" spans="8:15" x14ac:dyDescent="0.25">
      <c r="H19" s="32">
        <v>44256</v>
      </c>
      <c r="I19" s="33">
        <v>1</v>
      </c>
      <c r="J19" s="34">
        <v>0</v>
      </c>
      <c r="K19" s="34">
        <v>1</v>
      </c>
      <c r="L19" s="34">
        <v>0</v>
      </c>
      <c r="M19" s="34">
        <v>0</v>
      </c>
      <c r="N19" s="34">
        <v>0</v>
      </c>
      <c r="O19">
        <f t="shared" si="0"/>
        <v>1</v>
      </c>
    </row>
    <row r="20" spans="8:15" x14ac:dyDescent="0.25">
      <c r="H20" s="32">
        <v>44258</v>
      </c>
      <c r="I20" s="33">
        <v>2</v>
      </c>
      <c r="J20" s="34">
        <v>0.5</v>
      </c>
      <c r="K20" s="34">
        <v>0.5</v>
      </c>
      <c r="L20" s="34">
        <v>0</v>
      </c>
      <c r="M20" s="34">
        <v>0</v>
      </c>
      <c r="N20" s="34">
        <v>0</v>
      </c>
      <c r="O20">
        <f t="shared" si="0"/>
        <v>3</v>
      </c>
    </row>
    <row r="21" spans="8:15" x14ac:dyDescent="0.25">
      <c r="H21" s="32">
        <v>44260</v>
      </c>
      <c r="I21" s="33">
        <v>1</v>
      </c>
      <c r="J21" s="34">
        <v>1</v>
      </c>
      <c r="K21" s="34">
        <v>0</v>
      </c>
      <c r="L21" s="34">
        <v>0</v>
      </c>
      <c r="M21" s="34">
        <v>0</v>
      </c>
      <c r="N21" s="34">
        <v>0</v>
      </c>
      <c r="O21">
        <f t="shared" ref="O21" si="1">WEEKDAY(H21,2)</f>
        <v>5</v>
      </c>
    </row>
    <row r="22" spans="8:15" x14ac:dyDescent="0.25">
      <c r="H22" s="32">
        <v>44262</v>
      </c>
      <c r="I22" s="33">
        <v>1</v>
      </c>
      <c r="J22" s="34">
        <v>1</v>
      </c>
      <c r="K22" s="34">
        <v>0</v>
      </c>
      <c r="L22" s="34">
        <v>0</v>
      </c>
      <c r="M22" s="34">
        <v>0</v>
      </c>
      <c r="N22" s="34">
        <v>0</v>
      </c>
      <c r="O22">
        <f t="shared" si="0"/>
        <v>7</v>
      </c>
    </row>
    <row r="23" spans="8:15" ht="16.5" customHeight="1" x14ac:dyDescent="0.25">
      <c r="H23" s="32">
        <v>44267</v>
      </c>
      <c r="I23" s="33">
        <v>1</v>
      </c>
      <c r="J23" s="34">
        <v>0</v>
      </c>
      <c r="K23" s="34">
        <v>0</v>
      </c>
      <c r="L23" s="34">
        <v>1</v>
      </c>
      <c r="M23" s="34">
        <v>0</v>
      </c>
      <c r="N23" s="34">
        <v>0</v>
      </c>
      <c r="O23">
        <f t="shared" si="0"/>
        <v>5</v>
      </c>
    </row>
    <row r="24" spans="8:15" x14ac:dyDescent="0.25">
      <c r="H24" s="32">
        <v>44273</v>
      </c>
      <c r="I24" s="33">
        <v>2</v>
      </c>
      <c r="J24" s="34">
        <v>0.5</v>
      </c>
      <c r="K24" s="34">
        <v>0</v>
      </c>
      <c r="L24" s="34">
        <v>0.5</v>
      </c>
      <c r="M24" s="34">
        <v>0</v>
      </c>
      <c r="N24" s="34">
        <v>0</v>
      </c>
      <c r="O24">
        <f t="shared" si="0"/>
        <v>4</v>
      </c>
    </row>
    <row r="25" spans="8:15" x14ac:dyDescent="0.25">
      <c r="H25" s="32">
        <v>44277</v>
      </c>
      <c r="I25" s="33">
        <v>1</v>
      </c>
      <c r="J25" s="34">
        <v>1</v>
      </c>
      <c r="K25" s="34">
        <v>0</v>
      </c>
      <c r="L25" s="34">
        <v>0</v>
      </c>
      <c r="M25" s="34">
        <v>0</v>
      </c>
      <c r="N25" s="34">
        <v>0</v>
      </c>
      <c r="O25">
        <f t="shared" si="0"/>
        <v>1</v>
      </c>
    </row>
    <row r="26" spans="8:15" x14ac:dyDescent="0.25">
      <c r="H26" s="32">
        <v>44284</v>
      </c>
      <c r="I26" s="33">
        <v>1</v>
      </c>
      <c r="J26" s="34">
        <v>1</v>
      </c>
      <c r="K26" s="34">
        <v>0</v>
      </c>
      <c r="L26" s="34">
        <v>0</v>
      </c>
      <c r="M26" s="34">
        <v>0</v>
      </c>
      <c r="N26" s="34">
        <v>0</v>
      </c>
      <c r="O26">
        <f t="shared" si="0"/>
        <v>1</v>
      </c>
    </row>
    <row r="27" spans="8:15" x14ac:dyDescent="0.25">
      <c r="H27" s="33"/>
      <c r="I27" s="33"/>
      <c r="J27" s="33"/>
      <c r="K27" s="33"/>
      <c r="L27" s="33"/>
      <c r="M27" s="33"/>
      <c r="N27" s="33"/>
      <c r="O27">
        <f t="shared" si="0"/>
        <v>6</v>
      </c>
    </row>
    <row r="28" spans="8:15" x14ac:dyDescent="0.25">
      <c r="H28" s="32">
        <v>44307</v>
      </c>
      <c r="I28" s="33">
        <v>1</v>
      </c>
      <c r="J28" s="34">
        <v>1</v>
      </c>
      <c r="K28" s="34">
        <v>0</v>
      </c>
      <c r="L28" s="34">
        <v>0</v>
      </c>
      <c r="M28" s="34">
        <v>0</v>
      </c>
      <c r="N28" s="34">
        <v>0</v>
      </c>
      <c r="O28">
        <f t="shared" si="0"/>
        <v>3</v>
      </c>
    </row>
    <row r="29" spans="8:15" x14ac:dyDescent="0.25">
      <c r="H29" s="32">
        <v>44310</v>
      </c>
      <c r="I29" s="33">
        <v>1</v>
      </c>
      <c r="J29" s="34">
        <v>1</v>
      </c>
      <c r="K29" s="34">
        <v>0</v>
      </c>
      <c r="L29" s="34">
        <v>0</v>
      </c>
      <c r="M29" s="34">
        <v>0</v>
      </c>
      <c r="N29" s="34">
        <v>0</v>
      </c>
      <c r="O29">
        <f t="shared" si="0"/>
        <v>6</v>
      </c>
    </row>
    <row r="30" spans="8:15" x14ac:dyDescent="0.25">
      <c r="H30" s="32">
        <v>44312</v>
      </c>
      <c r="I30" s="33">
        <v>1</v>
      </c>
      <c r="J30" s="34">
        <v>0</v>
      </c>
      <c r="K30" s="34">
        <v>1</v>
      </c>
      <c r="L30" s="34">
        <v>0</v>
      </c>
      <c r="M30" s="34">
        <v>0</v>
      </c>
      <c r="N30" s="34">
        <v>0</v>
      </c>
      <c r="O30">
        <f t="shared" si="0"/>
        <v>1</v>
      </c>
    </row>
    <row r="31" spans="8:15" x14ac:dyDescent="0.25">
      <c r="H31" s="32">
        <v>44313</v>
      </c>
      <c r="I31" s="33">
        <v>1</v>
      </c>
      <c r="J31" s="34">
        <v>1</v>
      </c>
      <c r="K31" s="34">
        <v>0</v>
      </c>
      <c r="L31" s="34">
        <v>0</v>
      </c>
      <c r="M31" s="34">
        <v>0</v>
      </c>
      <c r="N31" s="34">
        <v>0</v>
      </c>
      <c r="O31">
        <f t="shared" si="0"/>
        <v>2</v>
      </c>
    </row>
    <row r="32" spans="8:15" x14ac:dyDescent="0.25">
      <c r="H32" s="32">
        <v>44314</v>
      </c>
      <c r="I32" s="33">
        <v>1</v>
      </c>
      <c r="J32" s="34">
        <v>1</v>
      </c>
      <c r="K32" s="34">
        <v>0</v>
      </c>
      <c r="L32" s="34">
        <v>0</v>
      </c>
      <c r="M32" s="34">
        <v>0</v>
      </c>
      <c r="N32" s="34">
        <v>0</v>
      </c>
      <c r="O32">
        <f t="shared" si="0"/>
        <v>3</v>
      </c>
    </row>
    <row r="33" spans="8:15" x14ac:dyDescent="0.25">
      <c r="H33" s="32">
        <v>44323</v>
      </c>
      <c r="I33" s="33">
        <v>1</v>
      </c>
      <c r="J33" s="34">
        <v>0</v>
      </c>
      <c r="K33" s="34">
        <v>1</v>
      </c>
      <c r="L33" s="34">
        <v>0</v>
      </c>
      <c r="M33" s="34">
        <v>0</v>
      </c>
      <c r="N33" s="34">
        <v>0</v>
      </c>
      <c r="O33">
        <f t="shared" si="0"/>
        <v>5</v>
      </c>
    </row>
    <row r="34" spans="8:15" x14ac:dyDescent="0.25">
      <c r="H34" s="32">
        <v>44363</v>
      </c>
      <c r="I34" s="33">
        <v>1</v>
      </c>
      <c r="J34" s="34">
        <v>1</v>
      </c>
      <c r="K34" s="34">
        <v>0</v>
      </c>
      <c r="L34" s="34">
        <v>0</v>
      </c>
      <c r="M34" s="34">
        <v>0</v>
      </c>
      <c r="N34" s="34">
        <v>0</v>
      </c>
      <c r="O34">
        <f t="shared" si="0"/>
        <v>3</v>
      </c>
    </row>
    <row r="35" spans="8:15" x14ac:dyDescent="0.25">
      <c r="H35" s="32">
        <v>44364</v>
      </c>
      <c r="I35" s="33">
        <v>1</v>
      </c>
      <c r="J35" s="34">
        <v>1</v>
      </c>
      <c r="K35" s="34">
        <v>0</v>
      </c>
      <c r="L35" s="34">
        <v>0</v>
      </c>
      <c r="M35" s="34">
        <v>0</v>
      </c>
      <c r="N35" s="34">
        <v>0</v>
      </c>
      <c r="O35">
        <f t="shared" si="0"/>
        <v>4</v>
      </c>
    </row>
    <row r="36" spans="8:15" x14ac:dyDescent="0.25">
      <c r="H36" s="32">
        <v>44377</v>
      </c>
      <c r="I36" s="33">
        <v>1</v>
      </c>
      <c r="J36" s="34">
        <v>1</v>
      </c>
      <c r="K36" s="34">
        <v>0</v>
      </c>
      <c r="L36" s="34">
        <v>0</v>
      </c>
      <c r="M36" s="34">
        <v>1</v>
      </c>
      <c r="N36" s="34">
        <v>1</v>
      </c>
      <c r="O36">
        <f t="shared" si="0"/>
        <v>3</v>
      </c>
    </row>
    <row r="37" spans="8:15" x14ac:dyDescent="0.25">
      <c r="H37" s="32">
        <v>44386</v>
      </c>
      <c r="I37" s="33">
        <v>1</v>
      </c>
      <c r="J37" s="34">
        <v>1</v>
      </c>
      <c r="K37" s="34">
        <v>0</v>
      </c>
      <c r="L37" s="34">
        <v>0</v>
      </c>
      <c r="M37" s="34">
        <v>0</v>
      </c>
      <c r="N37" s="34">
        <v>0</v>
      </c>
      <c r="O37">
        <f t="shared" si="0"/>
        <v>5</v>
      </c>
    </row>
    <row r="38" spans="8:15" x14ac:dyDescent="0.25">
      <c r="H38" s="32">
        <v>44393</v>
      </c>
      <c r="I38" s="33">
        <v>1</v>
      </c>
      <c r="J38" s="34">
        <v>1</v>
      </c>
      <c r="K38" s="34">
        <v>0</v>
      </c>
      <c r="L38" s="34">
        <v>0</v>
      </c>
      <c r="M38" s="34">
        <v>1</v>
      </c>
      <c r="N38" s="34">
        <v>1</v>
      </c>
      <c r="O38">
        <f t="shared" si="0"/>
        <v>5</v>
      </c>
    </row>
    <row r="39" spans="8:15" x14ac:dyDescent="0.25">
      <c r="H39" s="32">
        <v>44410</v>
      </c>
      <c r="I39" s="33">
        <v>1</v>
      </c>
      <c r="J39" s="34">
        <v>1</v>
      </c>
      <c r="K39" s="34">
        <v>0</v>
      </c>
      <c r="L39" s="34">
        <v>0</v>
      </c>
      <c r="M39" s="34">
        <v>0</v>
      </c>
      <c r="N39" s="34">
        <v>0</v>
      </c>
      <c r="O39">
        <f t="shared" si="0"/>
        <v>1</v>
      </c>
    </row>
    <row r="40" spans="8:15" x14ac:dyDescent="0.25">
      <c r="H40" s="32">
        <v>44435</v>
      </c>
      <c r="I40" s="33">
        <v>1</v>
      </c>
      <c r="J40" s="34">
        <v>1</v>
      </c>
      <c r="K40" s="34">
        <v>0</v>
      </c>
      <c r="L40" s="34">
        <v>0</v>
      </c>
      <c r="M40" s="34">
        <v>1</v>
      </c>
      <c r="N40" s="34">
        <v>1</v>
      </c>
      <c r="O40">
        <f t="shared" si="0"/>
        <v>5</v>
      </c>
    </row>
    <row r="41" spans="8:15" x14ac:dyDescent="0.25">
      <c r="H41" s="32">
        <v>44452</v>
      </c>
      <c r="I41" s="33">
        <v>1</v>
      </c>
      <c r="J41" s="34">
        <v>0</v>
      </c>
      <c r="K41" s="34">
        <v>0</v>
      </c>
      <c r="L41" s="34">
        <v>1</v>
      </c>
      <c r="M41" s="34">
        <v>0</v>
      </c>
      <c r="N41" s="34">
        <v>0</v>
      </c>
      <c r="O41">
        <f t="shared" si="0"/>
        <v>1</v>
      </c>
    </row>
    <row r="42" spans="8:15" x14ac:dyDescent="0.25">
      <c r="H42" s="32">
        <v>44470</v>
      </c>
      <c r="I42" s="33">
        <v>1</v>
      </c>
      <c r="J42" s="34">
        <v>1</v>
      </c>
      <c r="K42" s="34">
        <v>0</v>
      </c>
      <c r="L42" s="34">
        <v>0</v>
      </c>
      <c r="M42" s="34">
        <v>0</v>
      </c>
      <c r="N42" s="34">
        <v>0</v>
      </c>
      <c r="O42">
        <f t="shared" si="0"/>
        <v>5</v>
      </c>
    </row>
    <row r="43" spans="8:15" x14ac:dyDescent="0.25">
      <c r="H43" s="32">
        <v>44517</v>
      </c>
      <c r="I43" s="33">
        <v>1</v>
      </c>
      <c r="J43" s="34">
        <v>0</v>
      </c>
      <c r="K43" s="34">
        <v>0</v>
      </c>
      <c r="L43" s="34">
        <v>1</v>
      </c>
      <c r="M43" s="34">
        <v>0</v>
      </c>
      <c r="N43" s="34">
        <v>0</v>
      </c>
      <c r="O43">
        <f t="shared" si="0"/>
        <v>3</v>
      </c>
    </row>
    <row r="44" spans="8:15" x14ac:dyDescent="0.25">
      <c r="H44" s="32">
        <v>44519</v>
      </c>
      <c r="I44" s="33">
        <v>1</v>
      </c>
      <c r="J44" s="34">
        <v>1</v>
      </c>
      <c r="K44" s="34">
        <v>0</v>
      </c>
      <c r="L44" s="34">
        <v>0</v>
      </c>
      <c r="M44" s="34">
        <v>0</v>
      </c>
      <c r="N44" s="34">
        <v>0</v>
      </c>
      <c r="O44">
        <f t="shared" si="0"/>
        <v>5</v>
      </c>
    </row>
    <row r="45" spans="8:15" x14ac:dyDescent="0.25">
      <c r="H45" s="32">
        <v>44550</v>
      </c>
      <c r="I45" s="33">
        <v>1</v>
      </c>
      <c r="J45" s="34">
        <v>0</v>
      </c>
      <c r="K45" s="34">
        <v>0</v>
      </c>
      <c r="L45" s="34">
        <v>1</v>
      </c>
      <c r="M45" s="34">
        <v>0</v>
      </c>
      <c r="N45" s="34">
        <v>0</v>
      </c>
      <c r="O45">
        <f t="shared" si="0"/>
        <v>1</v>
      </c>
    </row>
    <row r="46" spans="8:15" x14ac:dyDescent="0.25">
      <c r="H46" s="32">
        <v>44578</v>
      </c>
      <c r="I46" s="33">
        <v>1</v>
      </c>
      <c r="J46" s="34">
        <v>0</v>
      </c>
      <c r="K46" s="34">
        <v>0</v>
      </c>
      <c r="L46" s="34">
        <v>1</v>
      </c>
      <c r="M46" s="34">
        <v>0</v>
      </c>
      <c r="N46" s="34">
        <v>0</v>
      </c>
      <c r="O46">
        <f t="shared" si="0"/>
        <v>1</v>
      </c>
    </row>
    <row r="47" spans="8:15" x14ac:dyDescent="0.25">
      <c r="H47" s="32">
        <v>44582</v>
      </c>
      <c r="I47" s="33">
        <v>1</v>
      </c>
      <c r="J47" s="34">
        <v>1</v>
      </c>
      <c r="K47" s="34">
        <v>0</v>
      </c>
      <c r="L47" s="34">
        <v>0</v>
      </c>
      <c r="M47" s="34">
        <v>0</v>
      </c>
      <c r="N47" s="34">
        <v>0</v>
      </c>
      <c r="O47">
        <f t="shared" si="0"/>
        <v>5</v>
      </c>
    </row>
    <row r="48" spans="8:15" x14ac:dyDescent="0.25">
      <c r="H48" s="32">
        <v>44585</v>
      </c>
      <c r="I48" s="33">
        <v>1</v>
      </c>
      <c r="J48" s="34">
        <v>0</v>
      </c>
      <c r="K48" s="34">
        <v>0</v>
      </c>
      <c r="L48" s="34">
        <v>1</v>
      </c>
      <c r="M48" s="34">
        <v>0</v>
      </c>
      <c r="N48" s="34">
        <v>0</v>
      </c>
      <c r="O48">
        <f t="shared" si="0"/>
        <v>1</v>
      </c>
    </row>
    <row r="49" spans="8:15" x14ac:dyDescent="0.25">
      <c r="H49" s="32">
        <v>44588</v>
      </c>
      <c r="I49" s="33">
        <v>1</v>
      </c>
      <c r="J49" s="34">
        <v>0</v>
      </c>
      <c r="K49" s="34">
        <v>0</v>
      </c>
      <c r="L49" s="34">
        <v>1</v>
      </c>
      <c r="M49" s="34">
        <v>0</v>
      </c>
      <c r="N49" s="34">
        <v>0</v>
      </c>
      <c r="O49">
        <f t="shared" si="0"/>
        <v>4</v>
      </c>
    </row>
    <row r="50" spans="8:15" x14ac:dyDescent="0.25">
      <c r="H50" s="32">
        <v>44609</v>
      </c>
      <c r="I50" s="33">
        <v>2</v>
      </c>
      <c r="J50" s="34">
        <v>0</v>
      </c>
      <c r="K50" s="34">
        <v>0</v>
      </c>
      <c r="L50" s="34">
        <v>1</v>
      </c>
      <c r="M50" s="34">
        <v>0</v>
      </c>
      <c r="N50" s="34">
        <v>0</v>
      </c>
      <c r="O50">
        <f t="shared" si="0"/>
        <v>4</v>
      </c>
    </row>
    <row r="51" spans="8:15" x14ac:dyDescent="0.25">
      <c r="H51" s="32">
        <v>44620</v>
      </c>
      <c r="I51" s="33">
        <v>1</v>
      </c>
      <c r="J51" s="34">
        <v>1</v>
      </c>
      <c r="K51" s="34">
        <v>0</v>
      </c>
      <c r="L51" s="34">
        <v>0</v>
      </c>
      <c r="M51" s="34">
        <v>0</v>
      </c>
      <c r="N51" s="34">
        <v>0</v>
      </c>
      <c r="O51">
        <f t="shared" si="0"/>
        <v>1</v>
      </c>
    </row>
    <row r="52" spans="8:15" x14ac:dyDescent="0.25">
      <c r="H52" s="32">
        <v>44667</v>
      </c>
      <c r="I52" s="33">
        <v>1</v>
      </c>
      <c r="J52" s="34">
        <v>0</v>
      </c>
      <c r="K52" s="34">
        <v>0</v>
      </c>
      <c r="L52" s="34">
        <v>0</v>
      </c>
      <c r="M52" s="34">
        <v>0</v>
      </c>
      <c r="N52" s="34">
        <v>0</v>
      </c>
      <c r="O52">
        <f t="shared" si="0"/>
        <v>6</v>
      </c>
    </row>
    <row r="53" spans="8:15" x14ac:dyDescent="0.25">
      <c r="H53" s="32">
        <v>44669</v>
      </c>
      <c r="I53" s="33">
        <v>1</v>
      </c>
      <c r="J53" s="34">
        <v>0</v>
      </c>
      <c r="K53" s="34">
        <v>0</v>
      </c>
      <c r="L53" s="34">
        <v>1</v>
      </c>
      <c r="M53" s="34">
        <v>0</v>
      </c>
      <c r="N53" s="34">
        <v>0</v>
      </c>
      <c r="O53">
        <f t="shared" si="0"/>
        <v>1</v>
      </c>
    </row>
    <row r="54" spans="8:15" x14ac:dyDescent="0.25">
      <c r="H54" s="32">
        <v>44698</v>
      </c>
      <c r="I54" s="33">
        <v>1</v>
      </c>
      <c r="J54" s="34">
        <v>0</v>
      </c>
      <c r="K54" s="34">
        <v>0</v>
      </c>
      <c r="L54" s="34">
        <v>1</v>
      </c>
      <c r="M54" s="34">
        <v>0</v>
      </c>
      <c r="N54" s="34">
        <v>0</v>
      </c>
      <c r="O54">
        <f t="shared" si="0"/>
        <v>2</v>
      </c>
    </row>
    <row r="55" spans="8:15" x14ac:dyDescent="0.25">
      <c r="H55" s="32">
        <v>44767</v>
      </c>
      <c r="I55" s="33">
        <v>1</v>
      </c>
      <c r="J55" s="34">
        <v>1</v>
      </c>
      <c r="K55" s="34">
        <v>0</v>
      </c>
      <c r="L55" s="34">
        <v>0</v>
      </c>
      <c r="M55" s="34">
        <v>0</v>
      </c>
      <c r="N55" s="34">
        <v>0</v>
      </c>
      <c r="O55">
        <f t="shared" si="0"/>
        <v>1</v>
      </c>
    </row>
    <row r="56" spans="8:15" x14ac:dyDescent="0.25">
      <c r="H56" s="32">
        <v>44798</v>
      </c>
      <c r="I56" s="33">
        <v>1</v>
      </c>
      <c r="J56" s="34">
        <v>1</v>
      </c>
      <c r="K56" s="34">
        <v>0</v>
      </c>
      <c r="L56" s="34">
        <v>0</v>
      </c>
      <c r="M56" s="34">
        <v>0</v>
      </c>
      <c r="N56" s="34">
        <v>0</v>
      </c>
      <c r="O56">
        <f t="shared" si="0"/>
        <v>4</v>
      </c>
    </row>
    <row r="57" spans="8:15" x14ac:dyDescent="0.25">
      <c r="H57" s="32">
        <v>44830</v>
      </c>
      <c r="I57" s="33">
        <v>1</v>
      </c>
      <c r="J57" s="34">
        <v>1</v>
      </c>
      <c r="K57" s="34">
        <v>0</v>
      </c>
      <c r="L57" s="34">
        <v>0</v>
      </c>
      <c r="M57" s="34">
        <v>0</v>
      </c>
      <c r="N57" s="34">
        <v>0</v>
      </c>
      <c r="O57">
        <f t="shared" si="0"/>
        <v>1</v>
      </c>
    </row>
    <row r="58" spans="8:15" x14ac:dyDescent="0.25">
      <c r="H58" s="32">
        <v>44859</v>
      </c>
      <c r="I58" s="33">
        <v>1</v>
      </c>
      <c r="J58" s="34">
        <v>1</v>
      </c>
      <c r="K58" s="34">
        <v>0</v>
      </c>
      <c r="L58" s="34">
        <v>0</v>
      </c>
      <c r="M58" s="34">
        <v>0</v>
      </c>
      <c r="N58" s="34">
        <v>0</v>
      </c>
      <c r="O58">
        <f t="shared" si="0"/>
        <v>2</v>
      </c>
    </row>
    <row r="59" spans="8:15" x14ac:dyDescent="0.25">
      <c r="H59" s="32">
        <v>44889</v>
      </c>
      <c r="I59" s="33">
        <v>1</v>
      </c>
      <c r="J59" s="34">
        <v>0</v>
      </c>
      <c r="K59" s="34">
        <v>0</v>
      </c>
      <c r="L59" s="34">
        <v>1</v>
      </c>
      <c r="M59" s="34">
        <v>0</v>
      </c>
      <c r="N59" s="34">
        <v>0</v>
      </c>
      <c r="O59">
        <f t="shared" si="0"/>
        <v>4</v>
      </c>
    </row>
    <row r="60" spans="8:15" x14ac:dyDescent="0.25">
      <c r="H60" s="5">
        <v>44657</v>
      </c>
      <c r="I60" s="47">
        <v>1</v>
      </c>
      <c r="J60" s="48">
        <v>1</v>
      </c>
      <c r="K60" s="48">
        <v>0</v>
      </c>
      <c r="L60" s="48">
        <v>0</v>
      </c>
      <c r="M60" s="48">
        <v>0</v>
      </c>
      <c r="N60" s="48">
        <v>0</v>
      </c>
      <c r="O60">
        <f t="shared" si="0"/>
        <v>3</v>
      </c>
    </row>
    <row r="61" spans="8:15" x14ac:dyDescent="0.25">
      <c r="H61" s="5">
        <v>45162</v>
      </c>
      <c r="I61" s="47">
        <v>1</v>
      </c>
      <c r="J61" s="48">
        <v>1</v>
      </c>
      <c r="K61" s="48">
        <v>0</v>
      </c>
      <c r="L61" s="48">
        <v>0</v>
      </c>
      <c r="M61" s="48">
        <v>0</v>
      </c>
      <c r="N61" s="48">
        <v>0</v>
      </c>
      <c r="O61">
        <f t="shared" si="0"/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923E1-3BCB-4720-A5BF-78A43D7B5758}">
  <sheetPr codeName="Лист4"/>
  <dimension ref="A2:A15"/>
  <sheetViews>
    <sheetView workbookViewId="0"/>
  </sheetViews>
  <sheetFormatPr defaultRowHeight="15" x14ac:dyDescent="0.25"/>
  <sheetData>
    <row r="2" spans="1:1" x14ac:dyDescent="0.25">
      <c r="A2" s="15" t="s">
        <v>41</v>
      </c>
    </row>
    <row r="4" spans="1:1" x14ac:dyDescent="0.25">
      <c r="A4" s="14"/>
    </row>
    <row r="5" spans="1:1" x14ac:dyDescent="0.25">
      <c r="A5" s="14"/>
    </row>
    <row r="15" spans="1:1" x14ac:dyDescent="0.25">
      <c r="A15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351A-E1DB-42E3-8404-556791353204}">
  <sheetPr codeName="Лист3"/>
  <dimension ref="A1:AA26"/>
  <sheetViews>
    <sheetView workbookViewId="0">
      <selection activeCell="K9" sqref="K9"/>
    </sheetView>
  </sheetViews>
  <sheetFormatPr defaultRowHeight="15" x14ac:dyDescent="0.25"/>
  <cols>
    <col min="17" max="17" width="10.140625" bestFit="1" customWidth="1"/>
  </cols>
  <sheetData>
    <row r="1" spans="1:27" x14ac:dyDescent="0.25">
      <c r="A1" t="s">
        <v>11</v>
      </c>
      <c r="K1" s="1" t="s">
        <v>12</v>
      </c>
      <c r="N1" t="s">
        <v>13</v>
      </c>
      <c r="O1" s="12"/>
      <c r="Q1" s="7" t="s">
        <v>28</v>
      </c>
      <c r="R1" s="7" t="s">
        <v>27</v>
      </c>
      <c r="S1" s="8" t="s">
        <v>25</v>
      </c>
      <c r="T1" s="9" t="s">
        <v>0</v>
      </c>
      <c r="U1" s="10" t="s">
        <v>1</v>
      </c>
      <c r="V1" s="10" t="s">
        <v>2</v>
      </c>
      <c r="W1" s="9" t="s">
        <v>3</v>
      </c>
      <c r="X1" s="9" t="s">
        <v>4</v>
      </c>
      <c r="Y1" s="9" t="s">
        <v>5</v>
      </c>
      <c r="Z1" s="9" t="s">
        <v>6</v>
      </c>
      <c r="AA1" s="11" t="s">
        <v>26</v>
      </c>
    </row>
    <row r="2" spans="1:27" x14ac:dyDescent="0.25">
      <c r="A2" t="s">
        <v>14</v>
      </c>
      <c r="K2" s="31" t="s">
        <v>8</v>
      </c>
      <c r="N2" t="s">
        <v>15</v>
      </c>
    </row>
    <row r="3" spans="1:27" x14ac:dyDescent="0.25">
      <c r="A3" t="s">
        <v>16</v>
      </c>
      <c r="K3" s="31" t="s">
        <v>42</v>
      </c>
      <c r="N3" t="s">
        <v>17</v>
      </c>
    </row>
    <row r="4" spans="1:27" x14ac:dyDescent="0.25">
      <c r="A4" s="3" t="s">
        <v>18</v>
      </c>
      <c r="K4" s="31" t="s">
        <v>9</v>
      </c>
      <c r="N4" t="s">
        <v>20</v>
      </c>
    </row>
    <row r="5" spans="1:27" x14ac:dyDescent="0.25">
      <c r="A5" s="3" t="s">
        <v>21</v>
      </c>
      <c r="K5" s="31" t="s">
        <v>23</v>
      </c>
    </row>
    <row r="6" spans="1:27" x14ac:dyDescent="0.25">
      <c r="A6" s="3" t="s">
        <v>22</v>
      </c>
      <c r="K6" s="31" t="s">
        <v>43</v>
      </c>
    </row>
    <row r="7" spans="1:27" x14ac:dyDescent="0.25">
      <c r="K7" s="31" t="s">
        <v>7</v>
      </c>
    </row>
    <row r="8" spans="1:27" x14ac:dyDescent="0.25">
      <c r="K8" s="31" t="s">
        <v>19</v>
      </c>
    </row>
    <row r="9" spans="1:27" x14ac:dyDescent="0.25">
      <c r="A9" s="3"/>
      <c r="K9" s="2" t="s">
        <v>10</v>
      </c>
    </row>
    <row r="10" spans="1:27" x14ac:dyDescent="0.25">
      <c r="A10" s="13"/>
      <c r="C10" s="4"/>
      <c r="K10" s="1" t="s">
        <v>24</v>
      </c>
    </row>
    <row r="11" spans="1:27" x14ac:dyDescent="0.25">
      <c r="K11" s="2"/>
    </row>
    <row r="12" spans="1:27" x14ac:dyDescent="0.25">
      <c r="K12" s="2"/>
    </row>
    <row r="13" spans="1:27" x14ac:dyDescent="0.25">
      <c r="K13" s="2"/>
    </row>
    <row r="14" spans="1:27" x14ac:dyDescent="0.25">
      <c r="A14" s="12"/>
      <c r="K14" s="2"/>
    </row>
    <row r="15" spans="1:27" x14ac:dyDescent="0.25">
      <c r="A15" s="12"/>
      <c r="K15" s="2"/>
    </row>
    <row r="16" spans="1:27" x14ac:dyDescent="0.25">
      <c r="A16" s="12"/>
      <c r="K16" s="2"/>
    </row>
    <row r="17" spans="1:11" x14ac:dyDescent="0.25">
      <c r="A17" s="12"/>
      <c r="K17" s="1"/>
    </row>
    <row r="18" spans="1:11" x14ac:dyDescent="0.25">
      <c r="K18" s="2"/>
    </row>
    <row r="19" spans="1:11" x14ac:dyDescent="0.25">
      <c r="K19" s="2"/>
    </row>
    <row r="20" spans="1:11" x14ac:dyDescent="0.25">
      <c r="C20" t="str">
        <f>IF(AND(N19="неизвестный договор",O19="транш не обнаружен"),"неизвестный договор",IF(AND(N19&lt;&gt;"неизвестный договор",O19&lt;&gt;"транш не обнаружен"),N19&amp;"."&amp;O19,N19))</f>
        <v>.</v>
      </c>
    </row>
    <row r="24" spans="1:11" x14ac:dyDescent="0.25">
      <c r="A24" s="3"/>
    </row>
    <row r="25" spans="1:11" x14ac:dyDescent="0.25">
      <c r="A25" s="3"/>
    </row>
    <row r="26" spans="1:11" x14ac:dyDescent="0.25">
      <c r="A26" s="3"/>
    </row>
  </sheetData>
  <conditionalFormatting sqref="Q1:R1">
    <cfRule type="duplicateValues" dxfId="3" priority="1"/>
    <cfRule type="expression" dxfId="2" priority="2">
      <formula>IF(Z1="100% Пени + 1/2 ПП",1,0)</formula>
    </cfRule>
    <cfRule type="expression" dxfId="1" priority="3">
      <formula>IF(Z1="100% Пени + 1/3 ПП",1,0)</formula>
    </cfRule>
    <cfRule type="expression" dxfId="0" priority="4">
      <formula>IF(Z1="100% Пени (ВП)",1,0)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Contact</vt:lpstr>
      <vt:lpstr>выписка</vt:lpstr>
      <vt:lpstr>стат</vt:lpstr>
      <vt:lpstr>удаляем</vt:lpstr>
      <vt:lpstr>xforms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Кваско Сергей Михайлович</cp:lastModifiedBy>
  <cp:lastPrinted>2020-10-06T15:36:43Z</cp:lastPrinted>
  <dcterms:created xsi:type="dcterms:W3CDTF">2015-06-05T18:19:34Z</dcterms:created>
  <dcterms:modified xsi:type="dcterms:W3CDTF">2023-09-22T08:29:39Z</dcterms:modified>
</cp:coreProperties>
</file>
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filterPrivacy="1" codeName="ЭтаКнига" defaultThemeVersion="124226"/>
  <xr:revisionPtr revIDLastSave="0" documentId="13_ncr:1_{25C67D71-904C-4B96-BFBE-1FDCDB1FEE5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A" sheetId="27" r:id="rId1"/>
    <sheet name="НЕТ WA " sheetId="28" r:id="rId2"/>
    <sheet name="xforms" sheetId="15" r:id="rId3"/>
    <sheet name="photo" sheetId="29" r:id="rId4"/>
    <sheet name="тесты" sheetId="25" r:id="rId5"/>
  </sheets>
  <definedNames>
    <definedName name="адрес">#REF!</definedName>
    <definedName name="ВАдоп1">#REF!</definedName>
    <definedName name="ВАдоп2">#REF!</definedName>
    <definedName name="ВАдоп3">#REF!</definedName>
    <definedName name="ВАпродл">#REF!</definedName>
    <definedName name="выгода">#REF!</definedName>
    <definedName name="действ2">#REF!</definedName>
    <definedName name="действДО">#REF!</definedName>
    <definedName name="договор">#REF!</definedName>
    <definedName name="ДОдоп">#REF!</definedName>
    <definedName name="ИО">#REF!</definedName>
    <definedName name="лого">#REF!</definedName>
    <definedName name="Меил_до">#REF!</definedName>
    <definedName name="МеилТема1">#REF!</definedName>
    <definedName name="МеилТема2">#REF!</definedName>
    <definedName name="оплата">#REF!</definedName>
    <definedName name="перСтр">#REF!</definedName>
    <definedName name="Приветствие">#REF!</definedName>
    <definedName name="СМС_до">#REF!</definedName>
    <definedName name="СМСшапка">#REF!</definedName>
    <definedName name="текстЧ1">#REF!</definedName>
    <definedName name="текстЧ2">#REF!</definedName>
    <definedName name="Шапка">#REF!</definedName>
  </definedNames>
  <calcPr calcId="181029" calcMode="manual"/>
</workbook>
</file>

<file path=xl/calcChain.xml><?xml version="1.0" encoding="utf-8"?>
<calcChain xmlns="http://schemas.openxmlformats.org/spreadsheetml/2006/main">
  <c r="J3" i="27" l="1"/>
  <c r="J4" i="27"/>
  <c r="J5" i="27"/>
  <c r="J6" i="27"/>
  <c r="J7" i="27"/>
  <c r="J2" i="27"/>
  <c r="G3" i="27"/>
  <c r="H3" i="27"/>
  <c r="G4" i="27"/>
  <c r="H4" i="27"/>
  <c r="G5" i="27"/>
  <c r="H5" i="27"/>
  <c r="G6" i="27"/>
  <c r="H6" i="27"/>
  <c r="G7" i="27"/>
  <c r="H7" i="27"/>
  <c r="H2" i="27"/>
  <c r="G2" i="27"/>
  <c r="B86" i="15" l="1"/>
  <c r="B87" i="15"/>
</calcChain>
</file>

<file path=xl/sharedStrings.xml><?xml version="1.0" encoding="utf-8"?>
<sst xmlns="http://schemas.openxmlformats.org/spreadsheetml/2006/main" count="115" uniqueCount="115">
  <si>
    <t>=ЕСЛИОШИБКА(ЕСЛИ(ВПР(D2;[Сергей.xlsm]Лист!$B:$J;9;0)&lt;&gt;"оплачено";"Актуально";"Не актуально");"Не актуально")</t>
  </si>
  <si>
    <t>=B4&amp;","&amp;" "&amp;"погасите просрочку до 30 июня, а мы простим"&amp;" "&amp;D4*100&amp;"%"&amp;" "&amp;"текущих пеней."&amp;" "&amp;"Об оформлении прощения уточните у своего менеджера по тел.: 88005558346. Системы кредитования «Взаимно»."</t>
  </si>
  <si>
    <t>=B4&amp;","&amp;" "&amp;"успейте воспользоваться акцией о прощении части задолженности, погасите задолженность в течение 4 дней и мы простим"&amp;" "&amp;D4*100&amp;"%"&amp;" "&amp;"текущих пеней."&amp;" "&amp;"Об оформлении прощения уточните у своего менеджера по тел.: 88005558346. Системы кредитования «Взаимно»."</t>
  </si>
  <si>
    <t>=B4&amp;","&amp;" "&amp;"имея намерения урегулировать ситуацию в добровольном порядке, мы подготовили для Вас заключительное предложение о прощении существенной части долга!"&amp;" "&amp;"Предложение предусматривает 100% прощения текущей неустойки и до половины начисленных процентов, при полном погашении займа. Предложение действует до 28.02.2018."&amp;" "&amp;"Об оформлении прощения уточните у своего менеджера по тел.: 88005558346. Системы кредитования «Взаимно»."</t>
  </si>
  <si>
    <t>=ЕСЛИ(I5&gt;90;(90-H5)+$L$1;$M$1)</t>
  </si>
  <si>
    <t>=B2&amp;","&amp;" "&amp;"погасите просрочку до " &amp; P2 &amp; " июля, а мы простим"&amp;" "&amp;D2*100&amp;"%"&amp;" "&amp;"текущих пеней."&amp;" "&amp;"Об оформлении прощения уточните у своего менеджера по тел.: 88005558346. Системы кредитования «Взаимно»."</t>
  </si>
  <si>
    <t>'=ЕСЛИОШИБКА(ЕСЛИ(И(ВПР(ЛЕВСИМВ(C2;10);'CRM (П)'!C:C;1;0)&lt;&gt;0;C2&lt;&gt;0);"есть";"");"")</t>
  </si>
  <si>
    <t>'=ВПР(ЛЕВСИМВ(C2;10);заемщ!B:D;3;0)</t>
  </si>
  <si>
    <t>'=ЕСЛИОШИБКА(ВПР(ЛЕВСИМВ(C2;10);поруч.!A:C;3;0);"")</t>
  </si>
  <si>
    <t>'=ЕСЛИ(ДЛСТР(D2)&lt;&gt;11;"проверить номер";D2)</t>
  </si>
  <si>
    <t>'="Прощаем пени, акция до 31.05.2020! "&amp;B2&amp;", предложение действует в случае погашения просроченного основного долга и процентов по договору "&amp;C2&amp;". Ранее достигнутые договоренности остаются в силе. Системы кредитования «Взаимно». Тел: 8-800-555-83-46."</t>
  </si>
  <si>
    <t>'="ПРОЩАЕМ ВСЕ ПЕНИ И 1/2 ПРОСРОЧЕННЫХ ПРОЦЕНТОВ, АКЦИЯ ДО 31.05.2020! "&amp;B2&amp;", предложение действует в случае погашения просроченного основного долга и 1/2 процентов по договору "&amp;C2&amp;". Системы кредитования «Взаимно». Тел: 8-800-555-83-46."</t>
  </si>
  <si>
    <t>=ЕСЛИОШИБКА(ВПР(ЛЕВСИМВ(C2;10);заемщ!B:D;3;0);ВПР(C2;заемщ!B:D;3;0))</t>
  </si>
  <si>
    <t>'=ЕСЛИОШИБКА(ВПР(ЛЕВСИМВ(C2;10);заемщ!B:D;3;0);ВПР(C2;заемщ!B:D;3;0))</t>
  </si>
  <si>
    <t>=ЕСЛИОШИБКА(ЕСЛИ(ВПР(ЛЕВСИМВ(C2;10);заемщ!B:D;3;0)="";ВПР(ЛЕВСИМВ(C2;10);заемщ!B:E;4;0);ВПР(ЛЕВСИМВ(C2;10);заемщ!B:D;3;0));ВПР(A2;заемщ!A:D;4;0))</t>
  </si>
  <si>
    <t>'=$H$2&amp;" "&amp;B2&amp;", погасите просроченную задолженность по договору "&amp;C2&amp;" до "&amp;ТЕКСТ($K$2;"ДД.ММ.ГГГГ")&amp;" (включительно), а Кредитор простит "&amp;$J$2&amp;"! Системы кредитовая «Взаимно». Тел.:88005558346."</t>
  </si>
  <si>
    <t>=I2&amp;" "&amp;B2&amp;", погасите просроченную задолженность по договору "&amp;C2&amp;" до "&amp;ТЕКСТ(interface!$B$4;"ДД.ММ.ГГГГ")&amp;" (включительно), а "&amp;J2&amp;" простит "&amp;interface!$A$4&amp;"! Системы кредитовая «Взаимно». Тел.:88005558346."</t>
  </si>
  <si>
    <t>классика</t>
  </si>
  <si>
    <t>АППП</t>
  </si>
  <si>
    <t>ПИ</t>
  </si>
  <si>
    <t>'=ЕСЛИ(F2="";"Заполни столбцы F и H";ЕСЛИ(НЕ(ЕОШ(ПОИСК("БЭ";F2)&lt;&gt;0));"Кредитор";ЕСЛИ(НЕ(ЕОШ(ПОИСК("АЗ";F2)&lt;&gt;0));"Кредитор";"Займодавец")))</t>
  </si>
  <si>
    <t xml:space="preserve"> =ЕСЛИОШИБКА(ЕСЛИ(И(C2&lt;&gt;"";ВПР(C2;'\\192.168.81.12\share\Отдел сопровождения кредитования\Работа с просрочкой\2020\[20m11_Prosrochka_new_1.xlsm]26'!$B:$B;1;0)&lt;&gt;"");"просрочник";"");"вышел из просрочки")</t>
  </si>
  <si>
    <t xml:space="preserve"> =ВПР(C2;'[из 1С.xlsm]РП (расш)'!$A:$K;11;0)</t>
  </si>
  <si>
    <t xml:space="preserve"> =ВПР(C2;'[из 1С.xlsm]РП (расш)'!$A:$K;10;0)/2</t>
  </si>
  <si>
    <t xml:space="preserve"> =ЕСЛИОШИБКА(ЕСЛИ(ВПР(C2;'[20m12_Prosrochka_new_1.xlsm]7'!$B:$D;3;0)&gt;79;"11.12.2020";"18.12.2020");"11.12.2020")</t>
  </si>
  <si>
    <t xml:space="preserve"> =ОКРВВЕРХ.МАТ(ВПР(C2;'\\192.168.81.12\share\Отдел сопровождения кредитования\Работа с просрочкой\КСМ\подвал\[из 1С.xlsm]РП (расш)'!$A:$K;11;0))</t>
  </si>
  <si>
    <t xml:space="preserve"> =ЕСЛИОШИБКА(ЕСЛИ(ВПР(C2;оплата!A:A;1;0)&lt;&gt;1;"💰");"")</t>
  </si>
  <si>
    <t xml:space="preserve"> =ЕСЛИОШИБКА(ПСТР(A2;НАЙТИ(" ";A2;1)+1;НАЙТИ(" ";A2;НАЙТИ(" ";A2;1)+1)-НАЙТИ(" ";A2;1)-1);ПРАВСИМВ(A2;ДЛСТР(A2)-НАЙТИ(" ";A2)))</t>
  </si>
  <si>
    <t xml:space="preserve"> =ЕСЛИ(ОКРВВЕРХ.МАТ(ВПР(C2;'\\192.168.81.12\share\Отдел сопровождения кредитования\Работа с просрочкой\КСМ\подвал\[из 1С.xlsm]РП (расш)'!$A:$K;11;0))&gt;1000;"Ваша выгода: "&amp;РУБЛЬ(ОКРВВЕРХ.МАТ(ВПР(C2;'\\192.168.81.12\share\Отдел сопровождения кредитования\Работа с просрочкой\КСМ\подвал\[из 1С.xlsm]РП (расш)'!$A:$K;11;0));)&amp;". Расчёт выполнен на 28.01.2021г. ";"")</t>
  </si>
  <si>
    <t>пени</t>
  </si>
  <si>
    <t>1/3% + пени</t>
  </si>
  <si>
    <t xml:space="preserve"> =ЕСЛИ(ЛЕВСИМВ(B2;1)="В";" МФК «ВЗАИМНО»."; "Системы кредитования «ВЗАИМНО».")</t>
  </si>
  <si>
    <t xml:space="preserve"> =ЕСЛИОШИБКА(ЕСЛИ(ВПР(ЛЕВСИМВ(B2;10);'\\data\share\Отдел сопровождения кредитования\Работа с просрочкой\КСМ\подвал\[КО.xlsx]Лист1'!$A:$A;1;0)&lt;&gt;"";"👎");"👍")</t>
  </si>
  <si>
    <t xml:space="preserve"> =ЕСЛИОШИБКА(ЕСЛИ(ВПР(B2;[КО.xlsx]Лист1!$A:$A;1;0)&lt;&gt;"";"👎");"👍")</t>
  </si>
  <si>
    <t xml:space="preserve"> =РУБЛЬ(ОКРВВЕРХ.МАТ(СУММ(ВПР(B2;'[из 1С.xlsm]РП (расш)'!$A:$K;9;0)/3;ВПР(B2;'[из 1С.xlsm]РП (расш)'!$A:$K;11;0)));0)</t>
  </si>
  <si>
    <t xml:space="preserve"> =РУБЛЬ(ОКРВВЕРХ.МАТ(СУММ(ВПР(B2;'[из 1С.xlsm]РП (расш)'!$A:$K;9;0)*0,67;ВПР(B2;'[из 1С.xlsm]РП (расш)'!$A:$K;8;0)));0)</t>
  </si>
  <si>
    <t xml:space="preserve"> =ЕСЛИ(K2&gt;1000;". Ваша выгода: "&amp;РУБЛЬ(K2;0)&amp;". "&amp;M2;". "&amp;M2)</t>
  </si>
  <si>
    <t xml:space="preserve"> =ЕСЛИ('[из 1С.xlsm]акция'!$L2=3;"❗СПИСАНИЕ ЧАСТИ ДОЛГА⏰"&amp;F2&amp;", до 31.10.2021 оплатите "&amp;РУБЛЬ(K2;0)&amp;" по Договору № "&amp;B2&amp;", а "&amp;L2&amp;" спишет 1/2 просроченных процентов и пени"&amp;N2;ЕСЛИ('[из 1С.xlsm]акция'!$L2=2;"❗СПИСАНИЕ ЧАСТИ ДОЛГА⏰"&amp;F2&amp;", до 31.10.2021 оплатите "&amp;РУБЛЬ(K2;0)&amp;" по Договору № "&amp;B2&amp;", а "&amp;L2&amp;" спишет 1/3 просроченных процентов и пени"&amp;N2;"❗СПИСАНИЕ ПЕНИ⏰"&amp;F2&amp;", до 31.10.2021 оплатите "&amp;РУБЛЬ(K2;0)&amp;" по Договору № "&amp;B2&amp;", а "&amp;L2&amp;" спишет текущую неустойку"&amp;N2))</t>
  </si>
  <si>
    <t xml:space="preserve"> =ЕСЛИ('\\192.168.81.12\share\Отдел сопровождения кредитования\Работа с просрочкой\КСМ\подвал\[из 1С.xlsm]акция'!$L2=3;Текст!$A$49&amp;"СПИСАНИЕ ЧАСТИ ДОЛГА"&amp;Текст!$B$49&amp;Пени!F2&amp;", до "&amp;ТЕКСТ(interface!$B$4;"ДД.ММ.ГГГГ")&amp;" оплатите "&amp;РУБЛЬ(Пени!K2;0)&amp;" по Договору № "&amp;Пени!B2&amp;", а "&amp;Пени!L2&amp;" спишет 1/2 просроченных процентов и пени"&amp;Пени!N2;ЕСЛИ('\\192.168.81.12\share\Отдел сопровождения кредитования\Работа с просрочкой\КСМ\подвал\[из 1С.xlsm]акция'!$L2=2;Текст!$A$49&amp;"СПИСАНИЕ ЧАСТИ ДОЛГА"&amp;Текст!$B$49&amp;Пени!F2&amp;", до 31.10.2021 оплатите "&amp;РУБЛЬ(Пени!K2;0)&amp;" по Договору № "&amp;Пени!B2&amp;", а "&amp;Пени!L2&amp;" спишет 1/3 просроченных процентов и пени"&amp;Пени!N2;Текст!$A$49&amp;"СПИСАНИЕ ПЕНИ"&amp;Текст!$B$49&amp;Пени!F2&amp;", до 31.10.2021 оплатите "&amp;РУБЛЬ(Пени!K2;0)&amp;" по Договору № "&amp;Пени!B2&amp;", а "&amp;Пени!L2&amp;" спишет текущую неустойку"&amp;Пени!N2))</t>
  </si>
  <si>
    <t>email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</si>
  <si>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пени"&amp;"&lt;br&gt;&lt;strong&gt;"&amp;ПОДСТАВИТЬ(Пени!N2;"МФК «ВЗАИМНО».";"")&amp;Текст!$A$76;ЕСЛИ('\\192.168.81.12\share\Отдел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пени"&amp;ПОДСТАВИТЬ(Пени!N2;"МФК «ВЗАИМНО».";"")&amp;Текст!$A$76;Текст!$A$75&amp;Пени!E2&amp;",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неустойку"&amp;ПОДСТАВИТЬ(Пени!N2;"МФК «ВЗАИМНО».";"")&amp;Текст!$A$76))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</si>
  <si>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пени."&amp;"&lt;br&gt;&lt;strong&gt;"&amp;ПОДСТАВИТЬ(Пени!N2;".МФК «ВЗАИМНО».";"")&amp;Текст!$A$76;ЕСЛИ('\\192.168.81.12\share\Отдел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пени."&amp;"&lt;br&gt;&lt;strong&gt;"&amp;ПОДСТАВИТЬ(Пени!N2;".МФК «ВЗАИМНО».";"")&amp;Текст!$A$76;Текст!$A$75&amp;Пени!E2&amp;",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неустойку."&amp;"&lt;br&gt;&lt;strong&gt;"&amp;ПОДСТАВИТЬ(Пени!N2;".МФК «ВЗАИМНО».";"")&amp;Текст!$A$76))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</si>
  <si>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пени."&amp;"&lt;br&gt;&lt;strong&gt;Ваша выгода: "&amp;ТЕКСТ(Пени!J2;"## ##")&amp;" руб.&lt;/strong&gt;"&amp;Текст!$A$76;ЕСЛИ('\\192.168.81.12\share\Отдел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пени."&amp;"&lt;br&gt;&lt;strong&gt;Ваша выгода: "&amp;ТЕКСТ(Пени!J2;"## ##")&amp;" руб.&lt;/strong&gt;"&amp;Текст!$A$76;Текст!$A$75&amp;Пени!E2&amp;",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неустойку."&amp;"&lt;br&gt;&lt;strong&gt;Ваша выгода: "&amp;ТЕКСТ(Пени!J2;"## ##")&amp;" руб.&lt;/strong&gt;"&amp;Текст!$A$76))</t>
  </si>
  <si>
    <t xml:space="preserve"> =ЕСЛИ('[из 1С.xlsm]акция'!$L2=3;Текст!$A$49&amp;"СПИСАНИЕ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1/2 просроченных процентов и пени"&amp;N2;ЕСЛИ(И('[из 1С.xlsm]акция'!$L2=2;'[из 1С.xlsm]акция'!$N2="да");Текст!$A$49&amp;"СПИСАНИЕ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1/3 просроченных процентов и пени"&amp;N2;ЕСЛИ('[из 1С.xlsm]акция'!$L2=2;Текст!$A$49&amp;"СПИСАНИЕ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1/3 просроченных процентов и текущую неустойку"&amp;N2;Текст!$A$49&amp;"СПИСАНИЕ ПЕНИ"&amp;Текст!$B$49&amp;F2&amp;", до "&amp;ТЕКСТ(interface!$C$1;"ДД.ММ.ГГГГ")&amp;" оплатите "&amp;РУБЛЬ(K2;0)&amp;" по Договору № "&amp;B2&amp;", а "&amp;L2&amp;" спишет текущую неустойку"&amp;N2)))</t>
  </si>
  <si>
    <t xml:space="preserve"> =ЕСЛИ('[из 1С.xlsm]акция'!$L2=3;Текст!$A$75&amp;Пени!E2&amp;", добрый день. &lt;br&gt;&lt;br&gt; До "&amp;ТЕКСТ(interface!$C$1;"ДД.ММ.ГГГГ")&amp;" оплатите "&amp;ТЕКСТ(Пени!K2;"## ##")&amp;" по Договору № "&amp;Пени!B2&amp;", а "&amp;Пени!L2&amp;" спишет 1/2 просроченных процентов и пени."&amp;ЕСЛИ(Пени!J2&gt;=1000;"&lt;br&gt;&lt;strong&gt;Ваша выгода: "&amp;ТЕКСТ(Пени!J2;"## ##")&amp;" руб.&lt;/strong&gt;";"")&amp;Текст!$A$76;ЕСЛИ(И('[из 1С.xlsm]акция'!$L2=2;'[из 1С.xlsm]акция'!$N2="да");Текст!$A$75&amp;Пени!E2&amp;", добрый день. &lt;br&gt;&lt;br&gt; До "&amp;ТЕКСТ(interface!$C$1;"ДД.ММ.ГГГГ")&amp;" оплатите "&amp;ТЕКСТ(Пени!K2;"## ##")&amp;" по Договору № "&amp;Пени!B2&amp;", а "&amp;Пени!L2&amp;" спишет 1/3 просроченных процентов и пени."&amp;ЕСЛИ(Пени!J2&gt;=1000;"&lt;br&gt;&lt;strong&gt;Ваша выгода: "&amp;ТЕКСТ(Пени!J2;"## ##")&amp;" руб.&lt;/strong&gt;";"");ЕСЛИ('[из 1С.xlsm]акция'!$L2=2;Текст!$A$75&amp;Пени!E2&amp;", добрый день. &lt;br&gt;&lt;br&gt; До "&amp;ТЕКСТ(interface!$C$1;"ДД.ММ.ГГГГ")&amp;"  оплатите "&amp;ТЕКСТ(Пени!K2;"## ##")&amp;" по Договору № "&amp;Пени!B2&amp;", а "&amp;Пени!L2&amp;" спишет 1/3 просроченных процентов и текущую неустойку."&amp;ЕСЛИ(Пени!J2&gt;=1000;"&lt;br&gt;&lt;strong&gt;Ваша выгода: "&amp;ТЕКСТ(Пени!J2;"## ##")&amp;" руб.&lt;/strong&gt;";"")&amp;Текст!$A$76;Текст!$A$75&amp;Пени!E2&amp;",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неустойку."&amp;ЕСЛИ(Пени!J2&gt;=1000;"&lt;br&gt;&lt;strong&gt;Ваша выгода: "&amp;ТЕКСТ(Пени!J2;"## ##")&amp;" руб.&lt;/strong&gt;";"")&amp;Текст!$A$76)))</t>
  </si>
  <si>
    <t xml:space="preserve"> =Текст!$A$75&amp;Пени!E44&amp;", добрый день. &lt;br&gt;&lt;br&gt; Внесите два платежа, по Договору "&amp;Пени!B44&amp;", а мы простим 1/3% и ВСЕ пени! &lt;br&gt;&lt;strong&gt;Акция действует при внесении оплаты до наступления даты очередного платежа.&lt;/strong&gt;"&amp;Текст!$A$76</t>
  </si>
  <si>
    <t xml:space="preserve"> =Текст!$C$49&amp;"прощаеМся с долгами! "&amp;F44&amp;", внесите два платежа, по Договору "&amp;B44&amp;", а мы простим 1/3% и ВСЕ пени! Акция действует при внесении оплаты до наступления даты очередного платежа."</t>
  </si>
  <si>
    <t xml:space="preserve"> =ЕСЛИ(ВПР(B2;'[из 1С.xlsm]акция'!$B:$L;11;0)=3;"1/2% и пени";ЕСЛИ(И(ВПР(B2;'[из 1С.xlsm]акция'!$B:$L;11;0)=2;ВПР(B2;'[из 1С.xlsm]акция'!$B:$N;13;0)="да");"1/3% и пени";ЕСЛИ(ВПР(B2;'[из 1С.xlsm]акция'!$B:$L;11;0)=2;"1/3% и тек пени";ЕСЛИ(И(ВПР(B2;'[из 1С.xlsm]акция'!$B:$L;11;0)=1;ВПР(B2;'[из 1С.xlsm]акция'!$B:$N;13;0)="да");"пени";ЕСЛИ(ВПР(B2;'[из 1С.xlsm]акция'!$B:$L;11;0)=1;"тек пени";"свой вариант")))))</t>
  </si>
  <si>
    <t xml:space="preserve"> =interface!$A$5&amp;F2&amp;", "&amp;interface!C1&amp;" оплатите "&amp;РУБЛЬ(K2;0)&amp;" по Договору № "&amp;B2&amp;", а "&amp;L2&amp;" "&amp;P2&amp;N2</t>
  </si>
  <si>
    <t xml:space="preserve"> =Текст!$A$75&amp;Пени!E2&amp;", добрый день. &lt;br&gt;&lt;br&gt;"&amp;interface!$F$2&amp;" "&amp;ТЕКСТ(K2;"## ##")&amp;" по Договору № "&amp;Пени!B2&amp;", а "&amp;Пени!L2&amp;" "&amp;Пени!P2&amp;".&lt;br&gt;&lt;strong&gt;Ваша выгода: "&amp;ТЕКСТ(Пени!J2;"## ##")&amp;" руб.&lt;/strong&gt;"&amp;Текст!$A$76</t>
  </si>
  <si>
    <t xml:space="preserve"> =interface!$A$5&amp;F2&amp;", "&amp;interface!$A$2&amp;" "&amp;РУБЛЬ(K2;0)&amp;" по Договору № "&amp;B2&amp;", а "&amp;L2&amp;" "&amp;P2&amp;N2</t>
  </si>
  <si>
    <t xml:space="preserve"> =ЕСЛИ(ВПР(B2;'\\192.168.81.12\share\Отдел сопровождения кредитования\Работа с просрочкой\КСМ\подвал\[из 1С.xlsm]акция'!$B:$L;11;0)=3;"спишет 1/2 просроченных процентов и пени";ЕСЛИ(И(ВПР(B2;'\\192.168.81.12\share\Отдел сопровождения кредитования\Работа с просрочкой\КСМ\подвал\[из 1С.xlsm]акция'!$B:$L;11;0)=2;ВПР(B2;'\\192.168.81.12\share\Отдел сопровождения кредитования\Работа с просрочкой\КСМ\подвал\[из 1С.xlsm]акция'!$B:$N;13;0)="да");"спишет 1/3 просроченных процентов и пени";ЕСЛИ(ВПР(B2;'\\192.168.81.12\share\Отдел сопровождения кредитования\Работа с просрочкой\КСМ\подвал\[из 1С.xlsm]акция'!$B:$L;11;0)=2;"спишет 1/3 просроченных процентов и текущую неустойку";ЕСЛИ(И(ВПР(B2;'\\192.168.81.12\share\Отдел сопровождения кредитования\Работа с просрочкой\КСМ\подвал\[из 1С.xlsm]акция'!$B:$L;11;0)=1;ВПР(B2;'\\192.168.81.12\share\Отдел сопровождения кредитования\Работа с просрочкой\КСМ\подвал\[из 1С.xlsm]акция'!$B:$N;13;0)="да");"спишет все пени";ЕСЛИ(ВПР(B2;'\\192.168.81.12\share\Отдел сопровождения кредитования\Работа с просрочкой\КСМ\подвал\[из 1С.xlsm]акция'!$B:$L;11;0)=1;"текущую неустойку";interface!$A$8)))))</t>
  </si>
  <si>
    <t>WA</t>
  </si>
  <si>
    <t xml:space="preserve"> =ЕСЛИ(ВПР(Пени!B2;'\\192.168.81.12\share\Отдел сопровождения кредитования\Работа с просрочкой\КСМ\подвал\[из 1С.xlsm]акция'!$B:$L;11;0)=3;"списание 1/2 просроченных процентов и всех пеней,";ЕСЛИ(И(ВПР(Пени!B2;'\\192.168.81.12\share\Отдел сопровождения кредитования\Работа с просрочкой\КСМ\подвал\[из 1С.xlsm]акция'!$B:$L;11;0)=2;ВПР(Пени!B2;'\\192.168.81.12\share\Отдел сопровождения кредитования\Работа с просрочкой\КСМ\подвал\[из 1С.xlsm]акция'!$B:$N;13;0)="да");"списание 1/3 просроченных процентов и всех пеней,";ЕСЛИ(ВПР(Пени!B2;'\\192.168.81.12\share\Отдел сопровождения кредитования\Работа с просрочкой\КСМ\подвал\[из 1С.xlsm]акция'!$B:$L;11;0)=2;"списание 1/3 просроченных процентов и текущей неустойки";ЕСЛИ(И(ВПР(Пени!B2;'\\192.168.81.12\share\Отдел сопровождения кредитования\Работа с просрочкой\КСМ\подвал\[из 1С.xlsm]акция'!$B:$L;11;0)=1;ВПР(B2;'\\192.168.81.12\share\Отдел сопровождения кредитования\Работа с просрочкой\КСМ\подвал\[из 1С.xlsm]акция'!$B:$N;13;0)="да");"спиние всех пеней,";ЕСЛИ(ВПР(Пени!B2;'\\192.168.81.12\share\Отдел сопровождения кредитования\Работа с просрочкой\КСМ\подвал\[из 1С.xlsm]акция'!$B:$L;11;0)=1;"текущей неустойки,";interface!$K$11)))))</t>
  </si>
  <si>
    <t xml:space="preserve"> =interface!$K$5&amp;СИМВОЛ(10)&amp;"_"&amp;Пени!F2&amp;interface!$K$11&amp;"_"&amp;СИМВОЛ(10)&amp;"_"&amp;interface!$K$8&amp;"_"&amp;СИМВОЛ(10)&amp;"_"&amp;interface!$K$14&amp;J1&amp;interface!$K$17&amp;РУБЛЬ(Пени!K2;0)&amp;interface!$K$2&amp;"_"&amp;СИМВОЛ(10)&amp;"*"&amp;"Вы экономите: "&amp;РУБЛЬ(Пени!J2;0)&amp;"*"</t>
  </si>
  <si>
    <t xml:space="preserve"> =ЕСЛИОШИБКА(ВПР(B2;'[БД.xlsm]тел(заем)'!$B:$F;5;0);ЕСЛИ(ВПР(ЛЕВСИМВ(B2;10);'[БД.xlsm]тел(заем)'!$B:$F;5;0)&lt;&gt;"";ВПР(ЛЕВСИМВ(B2;10);'[БД.xlsm]тел(заем)'!$B:$F;5;0);ВПР(ЛЕВСИМВ(B2;10);'[БД.xlsm]тел(заем)'!$B:$D;3;0)))</t>
  </si>
  <si>
    <t xml:space="preserve"> =ЕСЛИОШИБКА(ВПР(ЛЕВСИМВ(B2;10);'\\192.168.81.12\share\Отдел сопровождения кредитования\Работа с просрочкой\КСМ\подвал\[БД.xlsm]тел(пор)'!$A:$C;3;0);"")</t>
  </si>
  <si>
    <t xml:space="preserve"> =ЕСЛИОШИБКА(ВПР(ЛЕВСИМВ(B2;10);'\\192.168.81.12\share\Отдел сопровождения кредитования\Работа с просрочкой\КСМ\подвал\[БД.xlsm]тел(пор)'!$A:$B;2;0);"")</t>
  </si>
  <si>
    <t xml:space="preserve"> =ЕСЛИОШИБКА(ВПР(ЛЕВСИМВ(B2;10);'\\192.168.81.12\share\Отдел сопровождения кредитования\Работа с просрочкой\КСМ\подвал\[БД.xlsm]адреса'!$B:$J;9;0);ВПР(B2;'\\192.168.81.12\share\Отдел сопровождения кредитования\Работа с просрочкой\КСМ\подвал\[БД.xlsm]адреса'!$B:$J;9;0))</t>
  </si>
  <si>
    <t xml:space="preserve"> =interface!$K$5&amp;СИМВОЛ(10)&amp;"_"&amp;Пени!E2&amp;interface!$K$11&amp;"_"&amp;СИМВОЛ(10)&amp;"_"&amp;interface!$K$8&amp;"_"&amp;СИМВОЛ(10)&amp;"_"&amp;interface!$K$14&amp;J1&amp;interface!$K$17&amp;РУБЛЬ(Пени!K2;0)&amp;interface!$K$2&amp;"_"&amp;СИМВОЛ(10)&amp;ЕСЛИ(Пени!J2&gt;=1000;"*Вы экономите: "&amp;РУБЛЬ(Пени!J2;0)&amp;"*";"")</t>
  </si>
  <si>
    <t xml:space="preserve"> =ЕСЛИОШИБКА(ЕСЛИ(ВПР(ЛЕВСИМВ(B2;10);'[БД.xlsm]тел(заем)'!$B:$F;5;0);ВПР(ЛЕВСИМВ(B2;10);'[БД.xlsm]тел(заем)'!$B:$F;5;0);ВПР(ЛЕВСИМВ(B2;10);'[БД.xlsm]тел(заем)'!$B:$D;3;0));ВПР(B2;'[БД.xlsm]тел(заем)'!$B:$F;5;0))</t>
  </si>
  <si>
    <t xml:space="preserve"> =ЕСЛИ(ВПР(Пени!B123;'[из 1С.xlsm]акция'!$B:$L;11;0)=4;"списание 2/3 просроченных процентов и всех пеней,";ЕСЛИ(ВПР(Пени!B123;'[из 1С.xlsm]акция'!$B:$L;11;0)=3;"списание 1/2 просроченных процентов и всех пеней,";ЕСЛИ(И(ВПР(Пени!B123;'[из 1С.xlsm]акция'!$B:$L;11;0)=2;ВПР(Пени!B123;'[из 1С.xlsm]акция'!$B:$N;13;0)="да");"списание 1/3 просроченных процентов и всех пеней,";ЕСЛИ(ВПР(Пени!B123;'[из 1С.xlsm]акция'!$B:$L;11;0)=2;"списание 1/3 просроченных процентов и текущей неустойки";ЕСЛИ(И(ВПР(Пени!B123;'[из 1С.xlsm]акция'!$B:$L;11;0)=1;ВПР(B2;'[из 1С.xlsm]акция'!$B:$N;13;0)="да");"списание всех пеней,";ЕСЛИ(ВПР(Пени!B123;'[из 1С.xlsm]акция'!$B:$L;11;0)=1;"текущей неустойки,";interface!$K$20))))))</t>
  </si>
  <si>
    <t xml:space="preserve"> =interface!$K$8&amp;СИМВОЛ(10)&amp;Пени!E141&amp;interface!$K$11&amp;СИМВОЛ(10)&amp;interface!$K$14&amp;J1&amp;interface!$K$17&amp;РУБЛЬ(Пени!K141;0)&amp;" по Договору "&amp;Пени!B141&amp;interface!$K$2&amp;СИМВОЛ(10)&amp;ЕСЛИ(Пени!J141&gt;=1000;"*Вы экономите: "&amp;РУБЛЬ(Пени!J141;0)&amp;"*";"")&amp;СИМВОЛ(10)&amp;"Если, Вам интересно данное предложение, укажите точную дату погашения задолженности, в пределах 4 дней."&amp;СИМВОЛ(10)&amp;"В рамках лояльности и снижения финансовой нагрузки, мы делаем разовое предложение, успейте воспользоваться и войти в график платежей."&amp;СИМВОЛ(10)&amp;"ООО «МФК «ВЗАИМНО»"</t>
  </si>
  <si>
    <t xml:space="preserve"> =ЕСЛИОШИБКА(ЕСЛИ(ВПР(ПСТР(C2;2;3)+0;тесты!A:A;1;0);"мегафон");"")</t>
  </si>
  <si>
    <t xml:space="preserve"> =ЕСЛИОШИБКА(ЕСЛИ(ВПР(ПСТР(C1;2;3)+0;тесты!A:A;1;0);"мегафон");"")</t>
  </si>
  <si>
    <t xml:space="preserve"> =ЕСЛИ(M1="Н";Шапка;ВАпродл)&amp;перСтр&amp;ИО&amp;Приветствие&amp;текстЧ1&amp;J1&amp;текстЧ2&amp;РУБЛЬ(оплата;0)&amp;" по Договору "&amp;Пени!B2&amp;действДО&amp;ЕСЛИ(выгода&gt;=1000;перСтр&amp;"*Вы экономите: "&amp;РУБЛЬ(выгода;0)&amp;"*";"")&amp;ЕСЛИ(ВАдоп1="";"";перСтр&amp;ВАдоп1&amp;ЕСЛИ(ДОдоп="";"";ДОдоп))&amp;ЕСЛИ(ВАдоп2="";"";перСтр&amp;ВАдоп2)&amp;" "&amp;ВПР(ЛЕВСИМВ(B1;10);[БД.xlsm]залог!$B:$C;2;0)&amp;" г.в. "&amp;ВАдоп3&amp; РУБЛЬ(ВПР(ЛЕВСИМВ(B1;10);[БД.xlsm]залог!$B:$E;4;0);0)&amp;"."&amp;перСтр&amp;"ООО «МФК «ВЗАИМНО»"</t>
  </si>
  <si>
    <t>СПИСЫВАЕМ ПРОЦЕНТЫ
*Вы экономите: 42 731 ₽*
Оксана Ярославовна, предложение предусматривает списание 1/2 просроченных процентов и все пени, при оплате 36 688 ₽ по Договору В-22627/КЛ.Транш - 1, до 23.05.2022!
В рамках лояльности и снижения финансовой нагрузки, успейте воспользоваться и войти в график платежей. Либо, предоставить предмет залога,  VOLKSWAGEN POLO, 2017 г.в. Залоговая стоимость предмета залога согласована Сторонами в размере 490 000 ₽.
ООО «МФК «ВЗАИМНО»</t>
  </si>
  <si>
    <t xml:space="preserve"> =ЕСЛИ(M1="Н";Шапка;ВАпродл)&amp;ЕСЛИ(выгода&gt;=1000;перСтр&amp;"*Вы экономите: "&amp;РУБЛЬ(выгода;0)&amp;"*";"")&amp;перСтр&amp;ИО&amp;Приветствие&amp;текстЧ1&amp;J1&amp;текстЧ2&amp;РУБЛЬ(оплата;0)&amp;" по Договору "&amp;Пени!B2&amp;действДО&amp;ЕСЛИ(ВАдоп1="";"";перСтр&amp;ВАдоп1&amp;ЕСЛИ(ДОдоп="";"";ДОдоп))&amp;ЕСЛИ(ВАдоп2="";"";перСтр&amp;ВАдоп2)&amp;" "&amp;ВПР(ЛЕВСИМВ(B1;10);[БД.xlsm]залог!$B:$C;2;0)&amp;" г.в. "&amp;ВАдоп3&amp; РУБЛЬ(ВПР(ЛЕВСИМВ(B1;10);[БД.xlsm]залог!$B:$E;4;0);0)&amp;"."&amp;перСтр&amp;"ООО «МФК «ВЗАИМНО»"</t>
  </si>
  <si>
    <t>ФИО</t>
  </si>
  <si>
    <t>Номер договора</t>
  </si>
  <si>
    <t>Дней до платежа</t>
  </si>
  <si>
    <t>Сумма платежа</t>
  </si>
  <si>
    <t>Баланс</t>
  </si>
  <si>
    <t>Телефоны</t>
  </si>
  <si>
    <t>=--ЕСЛИ(ЯЧЕЙКА("формат";A1)="G"; ПОДСТАВИТЬ(A1;".";","); ТЕКСТ(A1;"М,ГГГГ"))</t>
  </si>
  <si>
    <t>WhatsApp</t>
  </si>
  <si>
    <t>Новоселов Сергей Владимирович</t>
  </si>
  <si>
    <t>В-19548/КЛ.Транш-1</t>
  </si>
  <si>
    <t>отправка</t>
  </si>
  <si>
    <t>Борисов Андрей Сергеевич</t>
  </si>
  <si>
    <t>В-14198/КЛ.Транш-1</t>
  </si>
  <si>
    <t>Цинская Ольга Игоревна</t>
  </si>
  <si>
    <t>В-27049/АЗ</t>
  </si>
  <si>
    <t>Янишевская Анна Сергеевна</t>
  </si>
  <si>
    <t>В-14291/КЛ.Транш-7</t>
  </si>
  <si>
    <t>Терехов Андрей Анатольевич</t>
  </si>
  <si>
    <t>В-20035/КЛ.Транш-1</t>
  </si>
  <si>
    <t>Ангелов Алексей Славов</t>
  </si>
  <si>
    <t>В-11782/КЛ.Транш-1</t>
  </si>
  <si>
    <t>Васильева Ирина Александровна</t>
  </si>
  <si>
    <t>В-24956/КЛ.Транш-1</t>
  </si>
  <si>
    <t>Ахмедов Магомедрасул Камаладинович</t>
  </si>
  <si>
    <t>В-26422/КЛ.Транш-1</t>
  </si>
  <si>
    <t>Загорулько Алексей Сергеевич</t>
  </si>
  <si>
    <t>В-26517/КЛ.Транш-1</t>
  </si>
  <si>
    <t>Сывороткин Сергей Валентинович</t>
  </si>
  <si>
    <t>В-23979/КЛ.Транш-1</t>
  </si>
  <si>
    <t>afro555@yandex.ru</t>
  </si>
  <si>
    <t>'="*🎄 С НОВЫМ ГОДОМ 🎆*"&amp;"%0A"&amp;"_Желаем Вам Благополучия в 2024!_"&amp;"%0A%0A"&amp;ПРАВСИМВ(A2;ДЛСТР(A2)-ПОИСК(" ";A2))&amp;", Здравствуйте!"&amp;"%0A"&amp;ТЕКСТ(C2;"ДД.ММ.ГГГГ")&amp;" дата ежемесячного платежа, подробности в Вашем личном кабинете https://www.mfovzaimno.ru/login."&amp;"%0A"&amp;"Просим произвести оплату своевременно и в полном объеме."&amp;"%0A%0A"&amp;ЕСЛИ(ПРАВСИМВ(B2;1)="Ц";"ООО КА «АЭК»";"_ООО «ВЗАИМНО»_")&amp;"%0A"&amp;"_тел.: +74957834836_"&amp;"%0A"&amp;ЕСЛИ(ПРАВСИМВ(B2;1)="Ц";"";"_https://www.mfovzaimno.ru_")&amp;"%0A%0A"&amp;"*при возникновении трудностей с доступом в личный кабинет используйте замещающий домен https://mfo-vzaimno.ru/login/.*"</t>
  </si>
  <si>
    <t>Савельев Станислав Валентинович</t>
  </si>
  <si>
    <t>В-08454/КЛ.Транш-1_В-21082023/Ц</t>
  </si>
  <si>
    <t>Валеев Рамиль Равилович</t>
  </si>
  <si>
    <t>В-11716/КЛ.Транш-1_В-21082023/Ц</t>
  </si>
  <si>
    <t>Хлебников Владимир Витальевич</t>
  </si>
  <si>
    <t>В-16057/КЛ.Транш-6_В-21082023/Ц</t>
  </si>
  <si>
    <t>Хоминец Владимир Владимирович</t>
  </si>
  <si>
    <t>В-10474/КЛ.Транш-4_В-21082023/Ц</t>
  </si>
  <si>
    <t>Егоян Вард Баласанович</t>
  </si>
  <si>
    <t>В-01038/АЗ_В-21082023/Ц</t>
  </si>
  <si>
    <t>Белоусов Валерий Владиславович</t>
  </si>
  <si>
    <t>В-25922/КЛ.Транш-1_В-21082023/Ц</t>
  </si>
  <si>
    <t>Зотов Дмитрий Анатольевич</t>
  </si>
  <si>
    <t>В-23555/КЛ.Транш-1_В-21082023/Ц</t>
  </si>
  <si>
    <t>Юсупов Альберт Гиннатуллаевич</t>
  </si>
  <si>
    <t>В-28235/АЗ_В-21082023/Ц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</si>
</sst>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quotePrefix="1"/>
    <xf numFmtId="0" fontId="6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2" borderId="0" xfId="0" applyFill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/>
    <xf numFmtId="0" fontId="6" fillId="0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314325</xdr:colOff>
      <xdr:row>11</xdr:row>
      <xdr:rowOff>47625</xdr:rowOff>
    </xdr:to>
    <xdr:pic>
      <xdr:nvPicPr>
        <xdr:cNvPr id="4" name="KiwiLogo" descr="QIWI-Кошелек">
          <a:extLst>
            <a:ext uri="{FF2B5EF4-FFF2-40B4-BE49-F238E27FC236}">
              <a16:creationId xmlns:a16="http://schemas.microsoft.com/office/drawing/2014/main" id="{50CCFD7D-65EC-A58F-F270-218BA489B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43125" cy="2143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5A26-2801-4DFB-A3FC-E206F02DC2E3}">
  <sheetPr codeName="Лист1"/>
  <dimension ref="A1:J7"/>
  <sheetViews>
    <sheetView tabSelected="1" zoomScaleNormal="100" workbookViewId="0">
      <selection activeCell="R16" sqref="R16"/>
    </sheetView>
  </sheetViews>
  <sheetFormatPr defaultRowHeight="15" x14ac:dyDescent="0.25"/>
  <cols>
    <col min="1" max="16384" width="9.140625" style="10"/>
  </cols>
  <sheetData>
    <row r="1" spans="1:10" x14ac:dyDescent="0.25">
      <c r="A1" s="10" t="s">
        <v>68</v>
      </c>
      <c r="B1" s="10" t="s">
        <v>69</v>
      </c>
      <c r="C1" s="10" t="s">
        <v>70</v>
      </c>
      <c r="D1" s="10" t="s">
        <v>71</v>
      </c>
      <c r="E1" s="10" t="s">
        <v>72</v>
      </c>
      <c r="F1" s="10" t="s">
        <v>73</v>
      </c>
      <c r="H1" s="11" t="s">
        <v>78</v>
      </c>
      <c r="J1" s="11" t="s">
        <v>75</v>
      </c>
    </row>
    <row r="2" spans="1:10" s="7" customFormat="1" x14ac:dyDescent="0.25">
      <c r="A2" s="7" t="s">
        <v>103</v>
      </c>
      <c r="B2" s="7" t="s">
        <v>104</v>
      </c>
      <c r="C2" s="7">
        <v>0</v>
      </c>
      <c r="D2" s="7">
        <v>28547.77</v>
      </c>
      <c r="E2" s="7">
        <v>0</v>
      </c>
      <c r="F2" s="7">
        <v>79608889082</v>
      </c>
      <c r="G2" s="7">
        <f>IF((E2-D2)&lt;0,D2,"оплачено")</f>
        <v>28547.77</v>
      </c>
      <c r="H2" s="7" t="str">
        <f ca="1">IF(WEEKDAY(TODAY(),2)=5,"ДА",IF(C2=0,"ДА","НЕТ"))</f>
        <v>ДА</v>
      </c>
      <c r="J2" s="7" t="str">
        <f ca="1">IF(C2=0,"*наступила дата ежемесячного платежа*",IF(C2=1,"*завтра дата ежемесячного платежа*","*послезавтра дата ежемесячного платежа*"))&amp;"%0A%0A"&amp;RIGHT(A2,LEN(A2)-SEARCH(" ",A2))&amp;", Здравствуйте!"&amp;"%0A"&amp;IF(C2=0,"Сегодня дата ежемесячного платежа, подробности в Вашем личном кабинете https://www.mfovzaimno.ru/login.",IF(C2=1,TEXT(TODAY()+1,"ДД.ММ.ГГГГ")&amp;" дата ежемесячного платежа, подробности в Вашем личном кабинете https://www.mfovzaimno.ru/login.",IF(C2=2,TEXT(TODAY()+2,"ДД.ММ.ГГГГ")&amp;" дата ежемесячного платежа, подробности в Вашем личном кабинете https://www.mfovzaimno.ru/login.")))&amp;"%0A"&amp;"Просим произвести оплату своевременно и в полном объеме."&amp;"%0A%0A"&amp;IF(RIGHT(B2,1)="Ц","ООО КА «АЭК»","_ООО «ВЗАИМНО»_")&amp;"%0A"&amp;"_тел.: +74957834836_"&amp;"%0A"&amp;IF(RIGHT(B2,1)="Ц","","_https://www.mfovzaimno.ru_")&amp;"%0A%0A"&amp;"*при возникновении трудностей с доступом в личный кабинет используйте замещающий домен https://mfo-vzaimno.ru/login/.*"</f>
        <v>*наступила дата ежемесячного платежа*%0A%0AВладимир Витальевич, Здравствуйте!%0AСегодня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домен https://mfo-vzaimno.ru/login/.*</v>
      </c>
    </row>
    <row r="3" spans="1:10" x14ac:dyDescent="0.25">
      <c r="A3" s="10" t="s">
        <v>105</v>
      </c>
      <c r="B3" s="10" t="s">
        <v>106</v>
      </c>
      <c r="C3" s="10">
        <v>1</v>
      </c>
      <c r="D3" s="10">
        <v>16595.53</v>
      </c>
      <c r="E3" s="10">
        <v>0</v>
      </c>
      <c r="F3" s="10">
        <v>79155979456</v>
      </c>
      <c r="G3" s="10">
        <f t="shared" ref="G3:G7" si="0">IF((E3-D3)&lt;0,D3,"оплачено")</f>
        <v>16595.53</v>
      </c>
      <c r="H3" s="10" t="str">
        <f t="shared" ref="H3:H7" ca="1" si="1">IF(WEEKDAY(TODAY(),2)=5,"ДА",IF(C3=0,"ДА","НЕТ"))</f>
        <v>НЕТ</v>
      </c>
      <c r="J3" s="10" t="str">
        <f t="shared" ref="J3:J7" ca="1" si="2">IF(C3=0,"*наступила дата ежемесячного платежа*",IF(C3=1,"*завтра дата ежемесячного платежа*","*послезавтра дата ежемесячного платежа*"))&amp;"%0A%0A"&amp;RIGHT(A3,LEN(A3)-SEARCH(" ",A3))&amp;", Здравствуйте!"&amp;"%0A"&amp;IF(C3=0,"Сегодня дата ежемесячного платежа, подробности в Вашем личном кабинете https://www.mfovzaimno.ru/login.",IF(C3=1,TEXT(TODAY()+1,"ДД.ММ.ГГГГ")&amp;" дата ежемесячного платежа, подробности в Вашем личном кабинете https://www.mfovzaimno.ru/login.",IF(C3=2,TEXT(TODAY()+2,"ДД.ММ.ГГГГ")&amp;" дата ежемесячного платежа, подробности в Вашем личном кабинете https://www.mfovzaimno.ru/login.")))&amp;"%0A"&amp;"Просим произвести оплату своевременно и в полном объеме."&amp;"%0A%0A"&amp;IF(RIGHT(B3,1)="Ц","ООО КА «АЭК»","_ООО «ВЗАИМНО»_")&amp;"%0A"&amp;"_тел.: +74957834836_"&amp;"%0A"&amp;IF(RIGHT(B3,1)="Ц","","_https://www.mfovzaimno.ru_")&amp;"%0A%0A"&amp;"*при возникновении трудностей с доступом в личный кабинет используйте замещающий домен https://mfo-vzaimno.ru/login/.*"</f>
        <v>*завтра дата ежемесячного платежа*%0A%0AВладимир Владимирович, Здравствуйте!%0A12.07.2024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домен https://mfo-vzaimno.ru/login/.*</v>
      </c>
    </row>
    <row r="4" spans="1:10" x14ac:dyDescent="0.25">
      <c r="A4" s="10" t="s">
        <v>107</v>
      </c>
      <c r="B4" s="10" t="s">
        <v>108</v>
      </c>
      <c r="C4" s="10">
        <v>1</v>
      </c>
      <c r="D4" s="10">
        <v>64629.7</v>
      </c>
      <c r="E4" s="10">
        <v>0</v>
      </c>
      <c r="F4" s="10">
        <v>79032135256</v>
      </c>
      <c r="G4" s="10">
        <f t="shared" si="0"/>
        <v>64629.7</v>
      </c>
      <c r="H4" s="10" t="str">
        <f t="shared" ca="1" si="1"/>
        <v>НЕТ</v>
      </c>
      <c r="J4" s="10" t="str">
        <f t="shared" ca="1" si="2"/>
        <v>*завтра дата ежемесячного платежа*%0A%0AВард Баласанович, Здравствуйте!%0A12.07.2024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домен https://mfo-vzaimno.ru/login/.*</v>
      </c>
    </row>
    <row r="5" spans="1:10" x14ac:dyDescent="0.25">
      <c r="A5" s="10" t="s">
        <v>109</v>
      </c>
      <c r="B5" s="10" t="s">
        <v>110</v>
      </c>
      <c r="C5" s="10">
        <v>2</v>
      </c>
      <c r="D5" s="10">
        <v>7275.35</v>
      </c>
      <c r="E5" s="10">
        <v>396.66</v>
      </c>
      <c r="F5" s="10">
        <v>79184991950</v>
      </c>
      <c r="G5" s="10">
        <f t="shared" si="0"/>
        <v>7275.35</v>
      </c>
      <c r="H5" s="10" t="str">
        <f t="shared" ca="1" si="1"/>
        <v>НЕТ</v>
      </c>
      <c r="J5" s="10" t="str">
        <f t="shared" ca="1" si="2"/>
        <v>*послезавтра дата ежемесячного платежа*%0A%0AВалерий Владиславович, Здравствуйте!%0A13.07.2024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домен https://mfo-vzaimno.ru/login/.*</v>
      </c>
    </row>
    <row r="6" spans="1:10" x14ac:dyDescent="0.25">
      <c r="A6" s="10" t="s">
        <v>111</v>
      </c>
      <c r="B6" s="10" t="s">
        <v>112</v>
      </c>
      <c r="C6" s="10">
        <v>2</v>
      </c>
      <c r="D6" s="10">
        <v>43398.11</v>
      </c>
      <c r="E6" s="10">
        <v>0</v>
      </c>
      <c r="F6" s="10">
        <v>79156605620</v>
      </c>
      <c r="G6" s="10">
        <f t="shared" si="0"/>
        <v>43398.11</v>
      </c>
      <c r="H6" s="10" t="str">
        <f t="shared" ca="1" si="1"/>
        <v>НЕТ</v>
      </c>
      <c r="J6" s="10" t="str">
        <f t="shared" ca="1" si="2"/>
        <v>*послезавтра дата ежемесячного платежа*%0A%0AДмитрий Анатольевич, Здравствуйте!%0A13.07.2024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домен https://mfo-vzaimno.ru/login/.*</v>
      </c>
    </row>
    <row r="7" spans="1:10" x14ac:dyDescent="0.25">
      <c r="A7" s="10" t="s">
        <v>113</v>
      </c>
      <c r="B7" s="10" t="s">
        <v>114</v>
      </c>
      <c r="C7" s="10">
        <v>2</v>
      </c>
      <c r="D7" s="10">
        <v>12756.77</v>
      </c>
      <c r="E7" s="10">
        <v>0</v>
      </c>
      <c r="F7" s="10">
        <v>79030156177</v>
      </c>
      <c r="G7" s="10">
        <f t="shared" si="0"/>
        <v>12756.77</v>
      </c>
      <c r="H7" s="10" t="str">
        <f t="shared" ca="1" si="1"/>
        <v>НЕТ</v>
      </c>
      <c r="J7" s="10" t="str">
        <f t="shared" ca="1" si="2"/>
        <v>*послезавтра дата ежемесячного платежа*%0A%0AАльберт Гиннатуллаевич, Здравствуйте!%0A13.07.2024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домен https://mfo-vzaimno.ru/login/.*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4E70A-76B3-467B-9193-BDAFDC91E06B}">
  <sheetPr codeName="Лист2"/>
  <dimension ref="A1:G12"/>
  <sheetViews>
    <sheetView workbookViewId="0">
      <selection activeCell="A14" sqref="A14"/>
    </sheetView>
  </sheetViews>
  <sheetFormatPr defaultRowHeight="15" x14ac:dyDescent="0.25"/>
  <cols>
    <col min="1" max="1" width="32.42578125" bestFit="1" customWidth="1"/>
    <col min="2" max="2" width="19.5703125" bestFit="1" customWidth="1"/>
    <col min="4" max="4" width="9" bestFit="1" customWidth="1"/>
    <col min="6" max="6" width="12" bestFit="1" customWidth="1"/>
  </cols>
  <sheetData>
    <row r="1" spans="1:7" x14ac:dyDescent="0.25">
      <c r="A1" t="s">
        <v>76</v>
      </c>
      <c r="B1" t="s">
        <v>77</v>
      </c>
      <c r="C1">
        <v>0</v>
      </c>
      <c r="D1">
        <v>27558.16</v>
      </c>
      <c r="E1">
        <v>0</v>
      </c>
      <c r="F1">
        <v>79504835179</v>
      </c>
    </row>
    <row r="2" spans="1:7" x14ac:dyDescent="0.25">
      <c r="A2" t="s">
        <v>79</v>
      </c>
      <c r="B2" t="s">
        <v>80</v>
      </c>
      <c r="C2">
        <v>0</v>
      </c>
      <c r="D2">
        <v>24415.3</v>
      </c>
      <c r="E2">
        <v>0</v>
      </c>
      <c r="F2">
        <v>79261353076</v>
      </c>
    </row>
    <row r="3" spans="1:7" x14ac:dyDescent="0.25">
      <c r="A3" t="s">
        <v>81</v>
      </c>
      <c r="B3" t="s">
        <v>82</v>
      </c>
      <c r="C3">
        <v>1</v>
      </c>
      <c r="D3">
        <v>19060.78</v>
      </c>
      <c r="E3">
        <v>0</v>
      </c>
      <c r="F3">
        <v>79096806806</v>
      </c>
    </row>
    <row r="4" spans="1:7" x14ac:dyDescent="0.25">
      <c r="A4" t="s">
        <v>83</v>
      </c>
      <c r="B4" t="s">
        <v>84</v>
      </c>
      <c r="C4">
        <v>2</v>
      </c>
      <c r="D4">
        <v>3543.79</v>
      </c>
      <c r="E4">
        <v>0</v>
      </c>
      <c r="F4">
        <v>79859500766</v>
      </c>
    </row>
    <row r="5" spans="1:7" x14ac:dyDescent="0.25">
      <c r="A5" t="s">
        <v>85</v>
      </c>
      <c r="B5" t="s">
        <v>86</v>
      </c>
      <c r="C5">
        <v>2</v>
      </c>
      <c r="D5">
        <v>640.47</v>
      </c>
      <c r="E5">
        <v>0</v>
      </c>
      <c r="F5">
        <v>79104401148</v>
      </c>
    </row>
    <row r="6" spans="1:7" x14ac:dyDescent="0.25">
      <c r="A6" t="s">
        <v>87</v>
      </c>
      <c r="B6" t="s">
        <v>88</v>
      </c>
      <c r="C6">
        <v>1</v>
      </c>
      <c r="D6">
        <v>12987.34</v>
      </c>
      <c r="E6">
        <v>0</v>
      </c>
      <c r="F6">
        <v>79392222275</v>
      </c>
    </row>
    <row r="7" spans="1:7" x14ac:dyDescent="0.25">
      <c r="A7" t="s">
        <v>89</v>
      </c>
      <c r="B7" t="s">
        <v>90</v>
      </c>
      <c r="C7">
        <v>2</v>
      </c>
      <c r="D7">
        <v>17008.79</v>
      </c>
      <c r="E7">
        <v>0</v>
      </c>
      <c r="F7">
        <v>79873055995</v>
      </c>
    </row>
    <row r="8" spans="1:7" x14ac:dyDescent="0.25">
      <c r="A8" t="s">
        <v>91</v>
      </c>
      <c r="B8" t="s">
        <v>92</v>
      </c>
      <c r="C8">
        <v>0</v>
      </c>
      <c r="D8">
        <v>41342.53</v>
      </c>
      <c r="E8">
        <v>1.1940999999999999</v>
      </c>
      <c r="F8">
        <v>79861111103</v>
      </c>
    </row>
    <row r="9" spans="1:7" x14ac:dyDescent="0.25">
      <c r="A9" t="s">
        <v>93</v>
      </c>
      <c r="B9" t="s">
        <v>94</v>
      </c>
      <c r="C9">
        <v>0</v>
      </c>
      <c r="D9">
        <v>9104.7999999999993</v>
      </c>
      <c r="E9">
        <v>0</v>
      </c>
      <c r="F9">
        <v>79654586720</v>
      </c>
    </row>
    <row r="10" spans="1:7" x14ac:dyDescent="0.25">
      <c r="A10" t="s">
        <v>95</v>
      </c>
      <c r="B10" t="s">
        <v>96</v>
      </c>
      <c r="C10">
        <v>0</v>
      </c>
      <c r="D10">
        <v>14139.63</v>
      </c>
      <c r="E10">
        <v>3251.38</v>
      </c>
      <c r="F10">
        <v>79616120056</v>
      </c>
      <c r="G10" t="s">
        <v>97</v>
      </c>
    </row>
    <row r="11" spans="1:7" x14ac:dyDescent="0.25">
      <c r="A11" t="s">
        <v>99</v>
      </c>
      <c r="B11" t="s">
        <v>100</v>
      </c>
      <c r="C11">
        <v>0</v>
      </c>
      <c r="D11">
        <v>3333.55</v>
      </c>
      <c r="E11">
        <v>0</v>
      </c>
      <c r="F11">
        <v>79779410734</v>
      </c>
    </row>
    <row r="12" spans="1:7" x14ac:dyDescent="0.25">
      <c r="A12" t="s">
        <v>101</v>
      </c>
      <c r="B12" t="s">
        <v>102</v>
      </c>
      <c r="C12">
        <v>2</v>
      </c>
      <c r="D12">
        <v>6462.97</v>
      </c>
      <c r="E12">
        <v>0.01</v>
      </c>
      <c r="F12">
        <v>79178736594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39EE-5DE4-4AEF-88FA-A82E1CF890AA}">
  <sheetPr codeName="Лист6"/>
  <dimension ref="A1:Z93"/>
  <sheetViews>
    <sheetView topLeftCell="A79" workbookViewId="0">
      <selection activeCell="D100" sqref="D100"/>
    </sheetView>
  </sheetViews>
  <sheetFormatPr defaultRowHeight="15" x14ac:dyDescent="0.25"/>
  <cols>
    <col min="1" max="1" width="14.7109375" customWidth="1"/>
  </cols>
  <sheetData>
    <row r="1" spans="1:26" x14ac:dyDescent="0.25">
      <c r="A1" t="s">
        <v>7</v>
      </c>
      <c r="F1" s="2" t="s">
        <v>55</v>
      </c>
    </row>
    <row r="2" spans="1:26" x14ac:dyDescent="0.25">
      <c r="A2" t="s">
        <v>8</v>
      </c>
      <c r="F2" s="2" t="s">
        <v>56</v>
      </c>
      <c r="G2" s="2" t="s">
        <v>57</v>
      </c>
    </row>
    <row r="3" spans="1:26" x14ac:dyDescent="0.25">
      <c r="A3" t="s">
        <v>9</v>
      </c>
      <c r="F3" s="2" t="s">
        <v>58</v>
      </c>
    </row>
    <row r="4" spans="1:26" x14ac:dyDescent="0.25">
      <c r="A4" t="s">
        <v>10</v>
      </c>
    </row>
    <row r="5" spans="1:26" x14ac:dyDescent="0.25">
      <c r="A5" t="s">
        <v>11</v>
      </c>
    </row>
    <row r="6" spans="1:26" x14ac:dyDescent="0.25">
      <c r="A6" t="s">
        <v>13</v>
      </c>
    </row>
    <row r="9" spans="1:26" x14ac:dyDescent="0.25">
      <c r="A9" s="1" t="s">
        <v>12</v>
      </c>
    </row>
    <row r="10" spans="1:26" x14ac:dyDescent="0.25">
      <c r="A10" s="1" t="s">
        <v>14</v>
      </c>
      <c r="Z10" t="s">
        <v>17</v>
      </c>
    </row>
    <row r="11" spans="1:26" x14ac:dyDescent="0.25">
      <c r="A11" t="s">
        <v>15</v>
      </c>
      <c r="Z11" t="s">
        <v>18</v>
      </c>
    </row>
    <row r="12" spans="1:26" x14ac:dyDescent="0.25">
      <c r="A12" s="1" t="s">
        <v>16</v>
      </c>
      <c r="Z12" t="s">
        <v>19</v>
      </c>
    </row>
    <row r="15" spans="1:26" x14ac:dyDescent="0.25">
      <c r="A15" t="s">
        <v>20</v>
      </c>
    </row>
    <row r="17" spans="1:3" x14ac:dyDescent="0.25">
      <c r="A17" t="s">
        <v>4</v>
      </c>
    </row>
    <row r="18" spans="1:3" x14ac:dyDescent="0.25">
      <c r="A18" s="2" t="s">
        <v>26</v>
      </c>
    </row>
    <row r="19" spans="1:3" x14ac:dyDescent="0.25">
      <c r="A19" t="s">
        <v>6</v>
      </c>
    </row>
    <row r="21" spans="1:3" x14ac:dyDescent="0.25">
      <c r="A21" s="1" t="s">
        <v>0</v>
      </c>
    </row>
    <row r="23" spans="1:3" x14ac:dyDescent="0.25">
      <c r="A23" t="s">
        <v>1</v>
      </c>
    </row>
    <row r="24" spans="1:3" x14ac:dyDescent="0.25">
      <c r="A24" t="s">
        <v>2</v>
      </c>
    </row>
    <row r="25" spans="1:3" x14ac:dyDescent="0.25">
      <c r="A25" t="s">
        <v>3</v>
      </c>
    </row>
    <row r="26" spans="1:3" x14ac:dyDescent="0.25">
      <c r="A26" s="1" t="s">
        <v>5</v>
      </c>
    </row>
    <row r="28" spans="1:3" x14ac:dyDescent="0.25">
      <c r="A28" t="s">
        <v>21</v>
      </c>
    </row>
    <row r="29" spans="1:3" x14ac:dyDescent="0.25">
      <c r="A29" t="s">
        <v>23</v>
      </c>
      <c r="B29" t="s">
        <v>22</v>
      </c>
    </row>
    <row r="30" spans="1:3" x14ac:dyDescent="0.25">
      <c r="A30" t="s">
        <v>24</v>
      </c>
    </row>
    <row r="31" spans="1:3" x14ac:dyDescent="0.25">
      <c r="A31" s="2" t="s">
        <v>34</v>
      </c>
      <c r="B31" s="2" t="s">
        <v>35</v>
      </c>
      <c r="C31" t="s">
        <v>30</v>
      </c>
    </row>
    <row r="33" spans="1:2" x14ac:dyDescent="0.25">
      <c r="A33" t="s">
        <v>25</v>
      </c>
    </row>
    <row r="34" spans="1:2" x14ac:dyDescent="0.25">
      <c r="A34" s="3" t="s">
        <v>28</v>
      </c>
      <c r="B34" t="s">
        <v>29</v>
      </c>
    </row>
    <row r="35" spans="1:2" x14ac:dyDescent="0.25">
      <c r="A35" s="2"/>
    </row>
    <row r="37" spans="1:2" x14ac:dyDescent="0.25">
      <c r="A37" s="4" t="s">
        <v>33</v>
      </c>
    </row>
    <row r="39" spans="1:2" x14ac:dyDescent="0.25">
      <c r="A39" t="s">
        <v>27</v>
      </c>
    </row>
    <row r="41" spans="1:2" x14ac:dyDescent="0.25">
      <c r="A41" s="2" t="s">
        <v>31</v>
      </c>
    </row>
    <row r="42" spans="1:2" x14ac:dyDescent="0.25">
      <c r="A42" s="2" t="s">
        <v>32</v>
      </c>
    </row>
    <row r="44" spans="1:2" x14ac:dyDescent="0.25">
      <c r="A44" s="2" t="s">
        <v>36</v>
      </c>
    </row>
    <row r="45" spans="1:2" x14ac:dyDescent="0.25">
      <c r="A45" s="6" t="s">
        <v>43</v>
      </c>
    </row>
    <row r="47" spans="1:2" x14ac:dyDescent="0.25">
      <c r="A47" s="6" t="s">
        <v>47</v>
      </c>
    </row>
    <row r="48" spans="1:2" x14ac:dyDescent="0.25">
      <c r="A48" s="2" t="s">
        <v>50</v>
      </c>
    </row>
    <row r="49" spans="1:4" x14ac:dyDescent="0.25">
      <c r="A49" s="2" t="s">
        <v>51</v>
      </c>
    </row>
    <row r="51" spans="1:4" x14ac:dyDescent="0.25">
      <c r="A51" s="2" t="s">
        <v>60</v>
      </c>
    </row>
    <row r="54" spans="1:4" x14ac:dyDescent="0.25">
      <c r="A54" s="8" t="s">
        <v>39</v>
      </c>
      <c r="B54" s="8"/>
      <c r="C54" s="8"/>
      <c r="D54" s="8"/>
    </row>
    <row r="56" spans="1:4" x14ac:dyDescent="0.25">
      <c r="A56" t="s">
        <v>37</v>
      </c>
    </row>
    <row r="57" spans="1:4" x14ac:dyDescent="0.25">
      <c r="A57" t="s">
        <v>38</v>
      </c>
    </row>
    <row r="58" spans="1:4" x14ac:dyDescent="0.25">
      <c r="A58" t="s">
        <v>40</v>
      </c>
    </row>
    <row r="59" spans="1:4" x14ac:dyDescent="0.25">
      <c r="A59" t="s">
        <v>41</v>
      </c>
    </row>
    <row r="60" spans="1:4" x14ac:dyDescent="0.25">
      <c r="A60" s="5" t="s">
        <v>42</v>
      </c>
    </row>
    <row r="61" spans="1:4" x14ac:dyDescent="0.25">
      <c r="A61" s="6" t="s">
        <v>44</v>
      </c>
    </row>
    <row r="64" spans="1:4" x14ac:dyDescent="0.25">
      <c r="A64" t="s">
        <v>45</v>
      </c>
    </row>
    <row r="66" spans="1:4" x14ac:dyDescent="0.25">
      <c r="A66" t="s">
        <v>46</v>
      </c>
    </row>
    <row r="69" spans="1:4" x14ac:dyDescent="0.25">
      <c r="A69" t="s">
        <v>48</v>
      </c>
    </row>
    <row r="71" spans="1:4" x14ac:dyDescent="0.25">
      <c r="A71" s="2" t="s">
        <v>49</v>
      </c>
    </row>
    <row r="74" spans="1:4" ht="15.75" x14ac:dyDescent="0.25">
      <c r="A74" s="9" t="s">
        <v>52</v>
      </c>
      <c r="B74" s="9"/>
      <c r="C74" s="9"/>
      <c r="D74" s="9"/>
    </row>
    <row r="76" spans="1:4" x14ac:dyDescent="0.25">
      <c r="A76" s="2" t="s">
        <v>54</v>
      </c>
    </row>
    <row r="78" spans="1:4" x14ac:dyDescent="0.25">
      <c r="A78" s="2" t="s">
        <v>53</v>
      </c>
    </row>
    <row r="79" spans="1:4" x14ac:dyDescent="0.25">
      <c r="A79" t="s">
        <v>59</v>
      </c>
    </row>
    <row r="82" spans="1:2" x14ac:dyDescent="0.25">
      <c r="A82" t="s">
        <v>61</v>
      </c>
    </row>
    <row r="84" spans="1:2" x14ac:dyDescent="0.25">
      <c r="A84" t="s">
        <v>62</v>
      </c>
    </row>
    <row r="86" spans="1:2" x14ac:dyDescent="0.25">
      <c r="A86" t="s">
        <v>63</v>
      </c>
      <c r="B86" t="str">
        <f>IFERROR(IF(VLOOKUP(MID(C2,2,3)+0,тесты!A:A,1,0),"мегафон"),"")</f>
        <v/>
      </c>
    </row>
    <row r="87" spans="1:2" x14ac:dyDescent="0.25">
      <c r="A87" t="s">
        <v>64</v>
      </c>
      <c r="B87" t="str">
        <f>IFERROR(IF(VLOOKUP(MID(C2,2,3)+0,тесты!A:A,1,0),"мегафон"),"")</f>
        <v/>
      </c>
    </row>
    <row r="89" spans="1:2" x14ac:dyDescent="0.25">
      <c r="A89" s="2" t="s">
        <v>65</v>
      </c>
    </row>
    <row r="90" spans="1:2" x14ac:dyDescent="0.25">
      <c r="A90" s="2" t="s">
        <v>67</v>
      </c>
      <c r="B90" t="s">
        <v>66</v>
      </c>
    </row>
    <row r="92" spans="1:2" x14ac:dyDescent="0.25">
      <c r="A92" t="s">
        <v>74</v>
      </c>
    </row>
    <row r="93" spans="1:2" x14ac:dyDescent="0.25">
      <c r="A93" t="s">
        <v>98</v>
      </c>
    </row>
  </sheetData>
  <mergeCells count="2">
    <mergeCell ref="A54:D54"/>
    <mergeCell ref="A74:D74"/>
  </mergeCells>
  <pageMargins left="0.7" right="0.7" top="0.75" bottom="0.75" header="0.3" footer="0.3"/>
  <pageSetup paperSize="9" orientation="portrait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C5DD8-0C40-47C4-AF92-E64193447D3C}">
  <sheetPr codeName="Лист3"/>
  <dimension ref="A1"/>
  <sheetViews>
    <sheetView workbookViewId="0">
      <selection activeCell="L14" sqref="L1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CA26-D8FD-444E-90A0-E6D175240628}">
  <sheetPr codeName="Лист11"/>
  <dimension ref="A1:A25"/>
  <sheetViews>
    <sheetView workbookViewId="0">
      <selection activeCell="I20" sqref="I20"/>
    </sheetView>
  </sheetViews>
  <sheetFormatPr defaultRowHeight="15" x14ac:dyDescent="0.25"/>
  <sheetData>
    <row r="1" spans="1:1" x14ac:dyDescent="0.25">
      <c r="A1">
        <v>902</v>
      </c>
    </row>
    <row r="2" spans="1:1" x14ac:dyDescent="0.25">
      <c r="A2">
        <v>904</v>
      </c>
    </row>
    <row r="3" spans="1:1" x14ac:dyDescent="0.25">
      <c r="A3">
        <v>908</v>
      </c>
    </row>
    <row r="4" spans="1:1" x14ac:dyDescent="0.25">
      <c r="A4">
        <v>920</v>
      </c>
    </row>
    <row r="5" spans="1:1" x14ac:dyDescent="0.25">
      <c r="A5">
        <v>921</v>
      </c>
    </row>
    <row r="6" spans="1:1" x14ac:dyDescent="0.25">
      <c r="A6">
        <v>922</v>
      </c>
    </row>
    <row r="7" spans="1:1" x14ac:dyDescent="0.25">
      <c r="A7">
        <v>923</v>
      </c>
    </row>
    <row r="8" spans="1:1" x14ac:dyDescent="0.25">
      <c r="A8">
        <v>924</v>
      </c>
    </row>
    <row r="9" spans="1:1" x14ac:dyDescent="0.25">
      <c r="A9">
        <v>925</v>
      </c>
    </row>
    <row r="10" spans="1:1" x14ac:dyDescent="0.25">
      <c r="A10">
        <v>926</v>
      </c>
    </row>
    <row r="11" spans="1:1" x14ac:dyDescent="0.25">
      <c r="A11">
        <v>927</v>
      </c>
    </row>
    <row r="12" spans="1:1" x14ac:dyDescent="0.25">
      <c r="A12">
        <v>928</v>
      </c>
    </row>
    <row r="13" spans="1:1" x14ac:dyDescent="0.25">
      <c r="A13">
        <v>929</v>
      </c>
    </row>
    <row r="14" spans="1:1" x14ac:dyDescent="0.25">
      <c r="A14">
        <v>930</v>
      </c>
    </row>
    <row r="15" spans="1:1" x14ac:dyDescent="0.25">
      <c r="A15">
        <v>931</v>
      </c>
    </row>
    <row r="16" spans="1:1" x14ac:dyDescent="0.25">
      <c r="A16">
        <v>932</v>
      </c>
    </row>
    <row r="17" spans="1:1" x14ac:dyDescent="0.25">
      <c r="A17">
        <v>933</v>
      </c>
    </row>
    <row r="18" spans="1:1" x14ac:dyDescent="0.25">
      <c r="A18">
        <v>934</v>
      </c>
    </row>
    <row r="19" spans="1:1" x14ac:dyDescent="0.25">
      <c r="A19">
        <v>936</v>
      </c>
    </row>
    <row r="20" spans="1:1" x14ac:dyDescent="0.25">
      <c r="A20">
        <v>937</v>
      </c>
    </row>
    <row r="21" spans="1:1" x14ac:dyDescent="0.25">
      <c r="A21">
        <v>938</v>
      </c>
    </row>
    <row r="22" spans="1:1" x14ac:dyDescent="0.25">
      <c r="A22">
        <v>939</v>
      </c>
    </row>
    <row r="23" spans="1:1" x14ac:dyDescent="0.25">
      <c r="A23">
        <v>950</v>
      </c>
    </row>
    <row r="24" spans="1:1" x14ac:dyDescent="0.25">
      <c r="A24">
        <v>951</v>
      </c>
    </row>
    <row r="25" spans="1:1" x14ac:dyDescent="0.25">
      <c r="A25">
        <v>999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E0D97-4BED-45E2-941B-D1099F215F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WA</vt:lpstr>
      <vt:lpstr>НЕТ WA </vt:lpstr>
      <vt:lpstr>xforms</vt:lpstr>
      <vt:lpstr>photo</vt:lpstr>
      <vt:lpstr>тесты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2024-07-11T13:20:47Z</dcterms:modified>
</cp:coreProperties>
</file>
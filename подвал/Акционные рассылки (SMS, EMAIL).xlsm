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filterPrivacy="1" updateLinks="always" codeName="ЭтаКнига" defaultThemeVersion="124226"/>
  <xr:revisionPtr revIDLastSave="0" documentId="13_ncr:1_{0D3468E3-25EC-4DEB-8BD8-50894D5DE9D0}" xr6:coauthVersionLast="47" xr6:coauthVersionMax="47" xr10:uidLastSave="{00000000-0000-0000-0000-000000000000}"/>
  <bookViews>
    <workbookView xWindow="-120" yWindow="-120" windowWidth="24240" windowHeight="13140" activeTab="3" xr2:uid="{00000000-000D-0000-FFFF-FFFF00000000}"/>
  </bookViews>
  <sheets>
    <sheet name="Пени" sheetId="1" r:id="rId1"/>
    <sheet name="Email" sheetId="20" r:id="rId2"/>
    <sheet name="WA" sheetId="23" r:id="rId3"/>
    <sheet name="WA sender" sheetId="27" r:id="rId4"/>
    <sheet name="interface" sheetId="22" r:id="rId5"/>
    <sheet name="не звоним" sheetId="16" r:id="rId6"/>
    <sheet name="оплата" sheetId="17" r:id="rId7"/>
    <sheet name="Текст" sheetId="3" r:id="rId8"/>
    <sheet name="тесты" sheetId="25" r:id="rId9"/>
    <sheet name="доп email" sheetId="26" r:id="rId10"/>
    <sheet name="xforms" sheetId="15" r:id="rId11"/>
  </sheets>
  <externalReferences>
    <externalReference r:id="rId12"/>
    <externalReference r:id="rId13"/>
  </externalReferences>
  <definedNames>
    <definedName name="_xlnm._FilterDatabase" localSheetId="1" hidden="1">Email!$A$1:$A$137</definedName>
    <definedName name="_xlnm._FilterDatabase" localSheetId="0" hidden="1">Пени!$A$1:$O$261</definedName>
    <definedName name="_xlnm._FilterDatabase" localSheetId="7" hidden="1">Текст!#REF!</definedName>
    <definedName name="адрес">Текст!$A$76</definedName>
    <definedName name="ВАдоп1">interface!$K$20</definedName>
    <definedName name="ВАдоп2">interface!$K$23</definedName>
    <definedName name="ВАдоп3">interface!$K$29</definedName>
    <definedName name="ВАпродл">interface!$K$26</definedName>
    <definedName name="выгода">Пени!G2</definedName>
    <definedName name="действ2">interface!$P$17</definedName>
    <definedName name="действДО">interface!$K$2</definedName>
    <definedName name="договор" localSheetId="3">'WA sender'!XFC1</definedName>
    <definedName name="договор">WA!XFC1</definedName>
    <definedName name="ДОдоп">interface!$P$14</definedName>
    <definedName name="ИО">Пени!B2</definedName>
    <definedName name="лого">Текст!$A$75</definedName>
    <definedName name="Меил_до">interface!$F$2</definedName>
    <definedName name="МеилТема1">interface!$F$8</definedName>
    <definedName name="МеилТема2">interface!$F$16</definedName>
    <definedName name="оплата">Пени!H2</definedName>
    <definedName name="перСтр">Текст!$S$75</definedName>
    <definedName name="перстр2">"""%0A"""</definedName>
    <definedName name="Приветствие">interface!$K$11</definedName>
    <definedName name="СМС_до">interface!$A$2</definedName>
    <definedName name="СМСшапка">interface!$A$5</definedName>
    <definedName name="текстЧ1">interface!$K$14</definedName>
    <definedName name="текстЧ2">interface!$K$17</definedName>
    <definedName name="Шапка">interface!$K$8</definedName>
  </definedNames>
  <calcPr calcId="181029"/>
</workbook>
</file>

<file path=xl/calcChain.xml><?xml version="1.0" encoding="utf-8"?>
<calcChain xmlns="http://schemas.openxmlformats.org/spreadsheetml/2006/main">
  <c r="E2" i="27" l="1"/>
  <c r="E3" i="27"/>
  <c r="E4" i="27"/>
  <c r="E5" i="27"/>
  <c r="E6" i="27"/>
  <c r="E7" i="27"/>
  <c r="E8" i="27"/>
  <c r="E9" i="27"/>
  <c r="E10" i="27"/>
  <c r="E11" i="27"/>
  <c r="E12" i="27"/>
  <c r="E13" i="27"/>
  <c r="E14" i="27"/>
  <c r="E15" i="27"/>
  <c r="E16" i="27"/>
  <c r="E1" i="27"/>
  <c r="E5" i="20"/>
  <c r="B5" i="20"/>
  <c r="B6" i="20"/>
  <c r="E6" i="20"/>
  <c r="E2" i="20"/>
  <c r="E3" i="20"/>
  <c r="E4" i="20"/>
  <c r="E7" i="20"/>
  <c r="E8" i="20"/>
  <c r="E9" i="20"/>
  <c r="E10" i="20"/>
  <c r="E11" i="20"/>
  <c r="E12" i="20"/>
  <c r="E13" i="20"/>
  <c r="E14" i="20"/>
  <c r="E15" i="20"/>
  <c r="E16" i="20"/>
  <c r="E17" i="20"/>
  <c r="B2" i="20"/>
  <c r="B3" i="20"/>
  <c r="B4" i="20"/>
  <c r="B7" i="20"/>
  <c r="B8" i="20"/>
  <c r="B9" i="20"/>
  <c r="B10" i="20"/>
  <c r="B11" i="20"/>
  <c r="B12" i="20"/>
  <c r="B13" i="20"/>
  <c r="B14" i="20"/>
  <c r="B15" i="20"/>
  <c r="B16" i="20"/>
  <c r="B17" i="20"/>
  <c r="E1" i="20"/>
  <c r="B1" i="20"/>
  <c r="C3" i="1"/>
  <c r="E3" i="1"/>
  <c r="F3" i="1"/>
  <c r="G3" i="1"/>
  <c r="H3" i="1"/>
  <c r="I3" i="1"/>
  <c r="L3" i="1"/>
  <c r="M3" i="1"/>
  <c r="N3" i="1" s="1"/>
  <c r="O3" i="1"/>
  <c r="Q3" i="1"/>
  <c r="P3" i="1" s="1"/>
  <c r="C2" i="20" s="1"/>
  <c r="R3" i="1"/>
  <c r="S3" i="1"/>
  <c r="C4" i="1"/>
  <c r="E4" i="1"/>
  <c r="F4" i="1"/>
  <c r="G4" i="1"/>
  <c r="H4" i="1"/>
  <c r="I4" i="1"/>
  <c r="L4" i="1"/>
  <c r="M4" i="1"/>
  <c r="N4" i="1"/>
  <c r="O4" i="1"/>
  <c r="Q4" i="1"/>
  <c r="R4" i="1"/>
  <c r="S4" i="1"/>
  <c r="C5" i="1"/>
  <c r="E5" i="1"/>
  <c r="F5" i="1"/>
  <c r="G5" i="1"/>
  <c r="H5" i="1"/>
  <c r="I5" i="1"/>
  <c r="L5" i="1"/>
  <c r="M5" i="1"/>
  <c r="N5" i="1" s="1"/>
  <c r="O5" i="1"/>
  <c r="Q5" i="1"/>
  <c r="R5" i="1"/>
  <c r="S5" i="1"/>
  <c r="C6" i="1"/>
  <c r="E6" i="1"/>
  <c r="F6" i="1"/>
  <c r="G6" i="1"/>
  <c r="H6" i="1"/>
  <c r="I6" i="1"/>
  <c r="L6" i="1"/>
  <c r="M6" i="1"/>
  <c r="N6" i="1" s="1"/>
  <c r="O6" i="1"/>
  <c r="Q6" i="1"/>
  <c r="R6" i="1"/>
  <c r="S6" i="1"/>
  <c r="C7" i="1"/>
  <c r="E7" i="1"/>
  <c r="F7" i="1"/>
  <c r="G7" i="1"/>
  <c r="H7" i="1"/>
  <c r="I7" i="1"/>
  <c r="L7" i="1"/>
  <c r="M7" i="1"/>
  <c r="N7" i="1"/>
  <c r="O7" i="1"/>
  <c r="Q7" i="1"/>
  <c r="R7" i="1"/>
  <c r="S7" i="1"/>
  <c r="C8" i="1"/>
  <c r="E8" i="1"/>
  <c r="F8" i="1"/>
  <c r="G8" i="1"/>
  <c r="H8" i="1"/>
  <c r="I8" i="1"/>
  <c r="L8" i="1"/>
  <c r="M8" i="1"/>
  <c r="N8" i="1"/>
  <c r="O8" i="1"/>
  <c r="Q8" i="1"/>
  <c r="R8" i="1"/>
  <c r="P8" i="1" s="1"/>
  <c r="C8" i="20" s="1"/>
  <c r="S8" i="1"/>
  <c r="C9" i="1"/>
  <c r="S9" i="1" s="1"/>
  <c r="E9" i="1"/>
  <c r="F9" i="1"/>
  <c r="G9" i="1"/>
  <c r="H9" i="1"/>
  <c r="I9" i="1"/>
  <c r="L9" i="1"/>
  <c r="M9" i="1"/>
  <c r="N9" i="1" s="1"/>
  <c r="O9" i="1"/>
  <c r="Q9" i="1"/>
  <c r="R9" i="1"/>
  <c r="C10" i="1"/>
  <c r="E10" i="1"/>
  <c r="F10" i="1"/>
  <c r="G10" i="1"/>
  <c r="H10" i="1"/>
  <c r="I10" i="1"/>
  <c r="L10" i="1"/>
  <c r="M10" i="1"/>
  <c r="N10" i="1"/>
  <c r="O10" i="1"/>
  <c r="Q10" i="1"/>
  <c r="P10" i="1" s="1"/>
  <c r="C10" i="20" s="1"/>
  <c r="R10" i="1"/>
  <c r="S10" i="1"/>
  <c r="C11" i="1"/>
  <c r="E11" i="1"/>
  <c r="F11" i="1"/>
  <c r="G11" i="1"/>
  <c r="H11" i="1"/>
  <c r="I11" i="1"/>
  <c r="L11" i="1"/>
  <c r="M11" i="1"/>
  <c r="N11" i="1"/>
  <c r="O11" i="1"/>
  <c r="Q11" i="1"/>
  <c r="R11" i="1"/>
  <c r="P11" i="1" s="1"/>
  <c r="D11" i="1" s="1"/>
  <c r="S11" i="1"/>
  <c r="C12" i="1"/>
  <c r="S12" i="1" s="1"/>
  <c r="E12" i="1"/>
  <c r="F12" i="1"/>
  <c r="G12" i="1"/>
  <c r="H12" i="1"/>
  <c r="I12" i="1"/>
  <c r="L12" i="1"/>
  <c r="M12" i="1"/>
  <c r="N12" i="1" s="1"/>
  <c r="O12" i="1"/>
  <c r="Q12" i="1"/>
  <c r="P12" i="1" s="1"/>
  <c r="C12" i="20" s="1"/>
  <c r="R12" i="1"/>
  <c r="C13" i="1"/>
  <c r="S13" i="1" s="1"/>
  <c r="E13" i="1"/>
  <c r="F13" i="1"/>
  <c r="G13" i="1"/>
  <c r="H13" i="1"/>
  <c r="I13" i="1"/>
  <c r="L13" i="1"/>
  <c r="M13" i="1"/>
  <c r="N13" i="1" s="1"/>
  <c r="O13" i="1"/>
  <c r="Q13" i="1"/>
  <c r="R13" i="1"/>
  <c r="C14" i="1"/>
  <c r="E14" i="1"/>
  <c r="F14" i="1"/>
  <c r="G14" i="1"/>
  <c r="H14" i="1"/>
  <c r="I14" i="1"/>
  <c r="L14" i="1"/>
  <c r="M14" i="1"/>
  <c r="N14" i="1"/>
  <c r="O14" i="1"/>
  <c r="Q14" i="1"/>
  <c r="R14" i="1"/>
  <c r="S14" i="1"/>
  <c r="C15" i="1"/>
  <c r="E15" i="1"/>
  <c r="F15" i="1"/>
  <c r="G15" i="1"/>
  <c r="H15" i="1"/>
  <c r="I15" i="1"/>
  <c r="L15" i="1"/>
  <c r="M15" i="1"/>
  <c r="N15" i="1" s="1"/>
  <c r="O15" i="1"/>
  <c r="Q15" i="1"/>
  <c r="P15" i="1" s="1"/>
  <c r="C15" i="20" s="1"/>
  <c r="R15" i="1"/>
  <c r="S15" i="1"/>
  <c r="C16" i="1"/>
  <c r="S16" i="1" s="1"/>
  <c r="E16" i="1"/>
  <c r="F16" i="1"/>
  <c r="G16" i="1"/>
  <c r="H16" i="1"/>
  <c r="I16" i="1"/>
  <c r="L16" i="1"/>
  <c r="M16" i="1"/>
  <c r="N16" i="1" s="1"/>
  <c r="O16" i="1"/>
  <c r="Q16" i="1"/>
  <c r="R16" i="1"/>
  <c r="C17" i="1"/>
  <c r="E17" i="1"/>
  <c r="F17" i="1"/>
  <c r="G17" i="1"/>
  <c r="H17" i="1"/>
  <c r="I17" i="1"/>
  <c r="L17" i="1"/>
  <c r="M17" i="1"/>
  <c r="N17" i="1"/>
  <c r="O17" i="1"/>
  <c r="Q17" i="1"/>
  <c r="R17" i="1"/>
  <c r="S17" i="1"/>
  <c r="R2" i="1"/>
  <c r="Q2" i="1"/>
  <c r="O2" i="1"/>
  <c r="N2" i="1"/>
  <c r="M2" i="1"/>
  <c r="L2" i="1"/>
  <c r="I2" i="1"/>
  <c r="H2" i="1"/>
  <c r="G2" i="1"/>
  <c r="F2" i="1"/>
  <c r="E2" i="1"/>
  <c r="C2" i="1"/>
  <c r="S2" i="1" s="1"/>
  <c r="P9" i="1" l="1"/>
  <c r="C9" i="20" s="1"/>
  <c r="D8" i="1"/>
  <c r="C11" i="20"/>
  <c r="P17" i="1"/>
  <c r="P16" i="1"/>
  <c r="C16" i="20" s="1"/>
  <c r="D12" i="1"/>
  <c r="P7" i="1"/>
  <c r="P14" i="1"/>
  <c r="C14" i="20" s="1"/>
  <c r="P13" i="1"/>
  <c r="C13" i="20" s="1"/>
  <c r="P6" i="1"/>
  <c r="C6" i="20" s="1"/>
  <c r="P5" i="1"/>
  <c r="P4" i="1"/>
  <c r="C3" i="20" s="1"/>
  <c r="D15" i="1"/>
  <c r="D14" i="1"/>
  <c r="D10" i="1"/>
  <c r="D6" i="1"/>
  <c r="D5" i="1"/>
  <c r="D13" i="1"/>
  <c r="D4" i="1"/>
  <c r="D3" i="1"/>
  <c r="D9" i="1"/>
  <c r="D16" i="1"/>
  <c r="P2" i="1"/>
  <c r="C1" i="20" s="1"/>
  <c r="D2" i="1"/>
  <c r="D17" i="1" l="1"/>
  <c r="C17" i="20"/>
  <c r="C5" i="20"/>
  <c r="C4" i="20"/>
  <c r="D7" i="1"/>
  <c r="C7" i="20"/>
  <c r="E2" i="23"/>
  <c r="E3" i="23"/>
  <c r="E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E29" i="23"/>
  <c r="E30" i="23"/>
  <c r="E31" i="23"/>
  <c r="E32" i="23"/>
  <c r="E33" i="23"/>
  <c r="E34" i="23"/>
  <c r="E35" i="23"/>
  <c r="E36" i="23"/>
  <c r="E1" i="23"/>
  <c r="T12" i="1"/>
  <c r="V12" i="1" s="1"/>
  <c r="S18" i="1"/>
  <c r="Q18" i="1"/>
  <c r="R18" i="1"/>
  <c r="S19" i="1"/>
  <c r="Q19" i="1"/>
  <c r="R19" i="1"/>
  <c r="S20" i="1"/>
  <c r="Q20" i="1"/>
  <c r="R20" i="1"/>
  <c r="S21" i="1"/>
  <c r="Q21" i="1"/>
  <c r="R21" i="1"/>
  <c r="Q22" i="1"/>
  <c r="R22" i="1"/>
  <c r="S22" i="1"/>
  <c r="S23" i="1"/>
  <c r="Q23" i="1"/>
  <c r="R23" i="1"/>
  <c r="Q24" i="1"/>
  <c r="R24" i="1"/>
  <c r="S24" i="1"/>
  <c r="S25" i="1"/>
  <c r="Q25" i="1"/>
  <c r="R25" i="1"/>
  <c r="S26" i="1"/>
  <c r="Q26" i="1"/>
  <c r="R26" i="1"/>
  <c r="S27" i="1"/>
  <c r="Q27" i="1"/>
  <c r="R27" i="1"/>
  <c r="S28" i="1"/>
  <c r="Q28" i="1"/>
  <c r="R28" i="1"/>
  <c r="S29" i="1"/>
  <c r="Q29" i="1"/>
  <c r="R29" i="1"/>
  <c r="S30" i="1"/>
  <c r="Q30" i="1"/>
  <c r="R30" i="1"/>
  <c r="S31" i="1"/>
  <c r="Q31" i="1"/>
  <c r="R31" i="1"/>
  <c r="S32" i="1"/>
  <c r="Q32" i="1"/>
  <c r="R32" i="1"/>
  <c r="S33" i="1"/>
  <c r="Q33" i="1"/>
  <c r="R33" i="1"/>
  <c r="Q34" i="1"/>
  <c r="R34" i="1"/>
  <c r="S34" i="1"/>
  <c r="S35" i="1"/>
  <c r="Q35" i="1"/>
  <c r="R35" i="1"/>
  <c r="S36" i="1"/>
  <c r="Q36" i="1"/>
  <c r="R36" i="1"/>
  <c r="Q37" i="1"/>
  <c r="R37" i="1"/>
  <c r="S37" i="1"/>
  <c r="P32" i="1" l="1"/>
  <c r="P19" i="1"/>
  <c r="P22" i="1"/>
  <c r="P26" i="1"/>
  <c r="P18" i="1"/>
  <c r="P31" i="1"/>
  <c r="P35" i="1"/>
  <c r="P27" i="1"/>
  <c r="P30" i="1"/>
  <c r="P34" i="1"/>
  <c r="P28" i="1"/>
  <c r="P21" i="1"/>
  <c r="P33" i="1"/>
  <c r="P20" i="1"/>
  <c r="P25" i="1"/>
  <c r="P37" i="1"/>
  <c r="P36" i="1"/>
  <c r="P29" i="1"/>
  <c r="P24" i="1"/>
  <c r="P23" i="1"/>
  <c r="T30" i="1" l="1"/>
  <c r="V30" i="1" s="1"/>
  <c r="T3" i="1" l="1"/>
  <c r="T4" i="1"/>
  <c r="T5" i="1"/>
  <c r="T6" i="1"/>
  <c r="T7" i="1"/>
  <c r="T8" i="1"/>
  <c r="T9" i="1"/>
  <c r="T10" i="1"/>
  <c r="T11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1" i="1"/>
  <c r="T32" i="1"/>
  <c r="T33" i="1"/>
  <c r="T34" i="1"/>
  <c r="T35" i="1"/>
  <c r="T36" i="1"/>
  <c r="T37" i="1"/>
  <c r="T2" i="1"/>
  <c r="V34" i="1" l="1"/>
  <c r="V36" i="1" l="1"/>
  <c r="V33" i="1" l="1"/>
  <c r="V20" i="1"/>
  <c r="V23" i="1"/>
  <c r="V10" i="1"/>
  <c r="V19" i="1" l="1"/>
  <c r="V35" i="1" l="1"/>
  <c r="V5" i="1"/>
  <c r="V3" i="1"/>
  <c r="V4" i="1" l="1"/>
  <c r="V6" i="1"/>
  <c r="V7" i="1"/>
  <c r="V8" i="1"/>
  <c r="V9" i="1"/>
  <c r="V11" i="1"/>
  <c r="V13" i="1"/>
  <c r="V14" i="1"/>
  <c r="V15" i="1"/>
  <c r="V16" i="1"/>
  <c r="V17" i="1"/>
  <c r="V18" i="1"/>
  <c r="V21" i="1"/>
  <c r="V22" i="1"/>
  <c r="V24" i="1"/>
  <c r="V25" i="1"/>
  <c r="V26" i="1"/>
  <c r="V27" i="1"/>
  <c r="V28" i="1"/>
  <c r="V29" i="1"/>
  <c r="V31" i="1"/>
  <c r="V32" i="1"/>
  <c r="V37" i="1"/>
  <c r="V2" i="1"/>
  <c r="B86" i="15" l="1"/>
  <c r="B87" i="15"/>
  <c r="S75" i="3" l="1"/>
  <c r="A48" i="3" l="1"/>
</calcChain>
</file>

<file path=xl/sharedStrings.xml><?xml version="1.0" encoding="utf-8"?>
<sst xmlns="http://schemas.openxmlformats.org/spreadsheetml/2006/main" count="580" uniqueCount="432">
  <si>
    <t>Договор</t>
  </si>
  <si>
    <t>Контакты</t>
  </si>
  <si>
    <t>ИО</t>
  </si>
  <si>
    <t>пеней</t>
  </si>
  <si>
    <t>%</t>
  </si>
  <si>
    <t>погасите просрочку до 31 мая, а мы простим</t>
  </si>
  <si>
    <t>успейте воспользоваться акцией о прощении пени, погасите задолженность в течение 3 дней и мы простим  текущей неустойки!</t>
  </si>
  <si>
    <t>Об оформлении прощения уточните у своего менеджера по тел.: 84957834836. Системы кредитования "Взаимно".</t>
  </si>
  <si>
    <t>=ЕСЛИОШИБКА(ЕСЛИ(ВПР(D2;[Сергей.xlsm]Лист!$B:$J;9;0)&lt;&gt;"оплачено";"Актуально";"Не актуально");"Не актуально")</t>
  </si>
  <si>
    <t>=B4&amp;","&amp;" "&amp;"погасите просрочку до 30 июня, а мы простим"&amp;" "&amp;D4*100&amp;"%"&amp;" "&amp;"текущих пеней."&amp;" "&amp;"Об оформлении прощения уточните у своего менеджера по тел.: 88005558346. Системы кредитования «Взаимно»."</t>
  </si>
  <si>
    <t>=B4&amp;","&amp;" "&amp;"успейте воспользоваться акцией о прощении части задолженности, погасите задолженность в течение 4 дней и мы простим"&amp;" "&amp;D4*100&amp;"%"&amp;" "&amp;"текущих пеней."&amp;" "&amp;"Об оформлении прощения уточните у своего менеджера по тел.: 88005558346. Системы кредитования «Взаимно»."</t>
  </si>
  <si>
    <t>=B4&amp;","&amp;" "&amp;"имея намерения урегулировать ситуацию в добровольном порядке, мы подготовили для Вас заключительное предложение о прощении существенной части долга!"&amp;" "&amp;"Предложение предусматривает 100% прощения текущей неустойки и до половины начисленных процентов, при полном погашении займа. Предложение действует до 28.02.2018."&amp;" "&amp;"Об оформлении прощения уточните у своего менеджера по тел.: 88005558346. Системы кредитования «Взаимно»."</t>
  </si>
  <si>
    <t>=ЕСЛИ(I5&gt;90;(90-H5)+$L$1;$M$1)</t>
  </si>
  <si>
    <t>=B2&amp;","&amp;" "&amp;"погасите просрочку до " &amp; P2 &amp; " июля, а мы простим"&amp;" "&amp;D2*100&amp;"%"&amp;" "&amp;"текущих пеней."&amp;" "&amp;"Об оформлении прощения уточните у своего менеджера по тел.: 88005558346. Системы кредитования «Взаимно»."</t>
  </si>
  <si>
    <t>напоминаем, что в случае погашения просроченной задолженности в срок до 22.11.2019, вам будет прощено 100% текущих пеней! Все подробности, Вы можете узнать, связавшись с нашими специалистами. Системы кредитования «Взаимно». Тел.: 8-800-555-83-46.</t>
  </si>
  <si>
    <t>напоминаем, что в случае погашения просроченной задолженности в срок до 22.11.2019, вам будет прощено 100% текущих пеней и 1/3 просроченных процентов! Все подробности, Вы можете узнать, связавшись с нашими специалистами. Системы кредитования «Взаимно». Тел.: 8-800-555-83-46.</t>
  </si>
  <si>
    <t>погасите просрочку до 30.11.2019, а мы простим 100% текущих пеней. Все подробности, Вы можете узнать, связавшись с нашими специалистами. Системы кредитования «Взаимно». Тел.: 8-800-555-83-46.</t>
  </si>
  <si>
    <t>погасите просрочку до 30.11.2019, а мы простим 100% текущих пеней и 1/3 просроченных процентов. Все подробности, Вы можете узнать, связавшись с нашими специалистами. Системы кредитования «Взаимно». Тел.: 8-800-555-83-46.</t>
  </si>
  <si>
    <t>'=ЕСЛИОШИБКА(ЕСЛИ(И(ВПР(ЛЕВСИМВ(C2;10);'CRM (П)'!C:C;1;0)&lt;&gt;0;C2&lt;&gt;0);"есть";"");"")</t>
  </si>
  <si>
    <t>'=ВПР(ЛЕВСИМВ(C2;10);заемщ!B:D;3;0)</t>
  </si>
  <si>
    <t>'=ЕСЛИОШИБКА(ВПР(ЛЕВСИМВ(C2;10);поруч.!A:C;3;0);"")</t>
  </si>
  <si>
    <t>'=ЕСЛИ(ДЛСТР(D2)&lt;&gt;11;"проверить номер";D2)</t>
  </si>
  <si>
    <t>'="Прощаем пени, акция до 31.05.2020! "&amp;B2&amp;", предложение действует в случае погашения просроченного основного долга и процентов по договору "&amp;C2&amp;". Ранее достигнутые договоренности остаются в силе. Системы кредитования «Взаимно». Тел: 8-800-555-83-46."</t>
  </si>
  <si>
    <t>'="ПРОЩАЕМ ВСЕ ПЕНИ И 1/2 ПРОСРОЧЕННЫХ ПРОЦЕНТОВ, АКЦИЯ ДО 31.05.2020! "&amp;B2&amp;", предложение действует в случае погашения просроченного основного долга и 1/2 процентов по договору "&amp;C2&amp;". Системы кредитования «Взаимно». Тел: 8-800-555-83-46."</t>
  </si>
  <si>
    <t>="Прощаем часть долга! "&amp;B2&amp;", воспользуйтесь индивидуальным предложением о прощении части долга по договору "&amp;C2&amp;". Погасите 1/3 просроченных процентов до 30.06.2020  для возврата в график платежей. Подробные условия по тел.: 8-800-555-83-46. Системы кредитования «Взаимно»."</t>
  </si>
  <si>
    <t>="Прощаем пени! "&amp;B2&amp;", погасите просроченную задолженность по договору "&amp;C2&amp;" до 31.05.2020, а мы простим 100% пени. Системы кредитовая «Взаимно». Тел.:88005558346."</t>
  </si>
  <si>
    <t>текущие пени</t>
  </si>
  <si>
    <t>все пени</t>
  </si>
  <si>
    <t>1/3 просроченных % и все пени</t>
  </si>
  <si>
    <t>1/2 просроченных % и все пени</t>
  </si>
  <si>
    <t>=ЕСЛИОШИБКА(ВПР(ЛЕВСИМВ(C2;10);заемщ!B:D;3;0);ВПР(C2;заемщ!B:D;3;0))</t>
  </si>
  <si>
    <t>'=ЕСЛИОШИБКА(ВПР(ЛЕВСИМВ(C2;10);заемщ!B:D;3;0);ВПР(C2;заемщ!B:D;3;0))</t>
  </si>
  <si>
    <t>=ЕСЛИОШИБКА(ЕСЛИ(ВПР(ЛЕВСИМВ(C2;10);заемщ!B:D;3;0)="";ВПР(ЛЕВСИМВ(C2;10);заемщ!B:E;4;0);ВПР(ЛЕВСИМВ(C2;10);заемщ!B:D;3;0));ВПР(A2;заемщ!A:D;4;0))</t>
  </si>
  <si>
    <t>1/2 просроченных % и текущие пени</t>
  </si>
  <si>
    <t>Прощаем пени!</t>
  </si>
  <si>
    <t>Заключительное предложение!</t>
  </si>
  <si>
    <t>Повторное предложение!</t>
  </si>
  <si>
    <t>'=$H$2&amp;" "&amp;B2&amp;", погасите просроченную задолженность по договору "&amp;C2&amp;" до "&amp;ТЕКСТ($K$2;"ДД.ММ.ГГГГ")&amp;" (включительно), а Кредитор простит "&amp;$J$2&amp;"! Системы кредитовая «Взаимно». Тел.:88005558346."</t>
  </si>
  <si>
    <t xml:space="preserve">1. Акция «Прощение пени» продолжается! Условия просты, спишем текущие пени по договору В-ххххх/КЛ при погашении просроченной задолженности до 30.09.2020. </t>
  </si>
  <si>
    <t>2. Пени исчезают! ИО, погасите просроченную задолженность 25.09.2020 по договору В-ххххх/КЛ, а мы аннулируем текущие пени.  </t>
  </si>
  <si>
    <t>Акция «Прощение пени» продолжается!</t>
  </si>
  <si>
    <t>Пени исчезают!</t>
  </si>
  <si>
    <t>=I2&amp;" "&amp;B2&amp;", погасите просроченную задолженность по договору "&amp;C2&amp;" до "&amp;ТЕКСТ(interface!$B$4;"ДД.ММ.ГГГГ")&amp;" (включительно), а "&amp;J2&amp;" простит "&amp;interface!$A$4&amp;"! Системы кредитовая «Взаимно». Тел.:88005558346."</t>
  </si>
  <si>
    <t>классика</t>
  </si>
  <si>
    <t>АППП</t>
  </si>
  <si>
    <t>ПИ</t>
  </si>
  <si>
    <t>Закройте займ выгодно!</t>
  </si>
  <si>
    <t>Системы кредитования «Взаимно». Тел.:88005558346.</t>
  </si>
  <si>
    <t>Закройте займ выгодно! Андрей Сергеевич, Кредитор готов простить 1/2 процентов и неустойку, в случае погашения займа В-00621/АЗ до 25.10.2020 (включительно). Подробности у наших специалистов. Системы кредитования «Взаимно». Тел.:88005558346.</t>
  </si>
  <si>
    <t>'=ЕСЛИ(F2="";"Заполни столбцы F и H";ЕСЛИ(НЕ(ЕОШ(ПОИСК("БЭ";F2)&lt;&gt;0));"Кредитор";ЕСЛИ(НЕ(ЕОШ(ПОИСК("АЗ";F2)&lt;&gt;0));"Кредитор";"Займодавец")))</t>
  </si>
  <si>
    <t>тек пени</t>
  </si>
  <si>
    <t>тек пени повт</t>
  </si>
  <si>
    <t>тек пени альт</t>
  </si>
  <si>
    <t>1/2% пени</t>
  </si>
  <si>
    <t>Списание пени!</t>
  </si>
  <si>
    <t>пени (сегодня)</t>
  </si>
  <si>
    <t xml:space="preserve"> =ЕСЛИОШИБКА(ЕСЛИ(И(C2&lt;&gt;"";ВПР(C2;'\\192.168.81.12\share\Отдел сопровождения кредитования\Работа с просрочкой\2020\[20m11_Prosrochka_new_1.xlsm]26'!$B:$B;1;0)&lt;&gt;"");"просрочник";"");"вышел из просрочки")</t>
  </si>
  <si>
    <t xml:space="preserve"> (СЕГОДНЯ)</t>
  </si>
  <si>
    <t xml:space="preserve"> (включительно)</t>
  </si>
  <si>
    <t>пени (сегодня) альт</t>
  </si>
  <si>
    <t>="Акция «Прощение пени» продолжается! Условия просты, спишем текущие пени по договору "&amp;C2&amp;" при погашении просроченной задолженности до "&amp;ТЕКСТ(interface!$B$4;"ДД.ММ.ГГГГ")&amp;" (включительно). "&amp;Текст!$A$9</t>
  </si>
  <si>
    <t>=I2&amp;" "&amp;B2&amp;", погасите просроченную задолженность "&amp;ТЕКСТ(interface!$B$4;"ДД.ММ.ГГГГ")&amp;" (включительно)"&amp;" по договору "&amp;C2&amp;", а мы аннулируем текущие пени. "&amp;Текст!$A$9</t>
  </si>
  <si>
    <t>=I2&amp;" "&amp;B2&amp;", "&amp;J2&amp; " спишет 1/2 процентов и неустойку, в случае погашения займа "&amp;C2&amp;" до "&amp;ТЕКСТ(interface!$B$4;"ДД.ММ.ГГГГ")&amp;" (включительно). Закройте займ выгодно! Подробности у наших специалистов. "&amp; Текст!$A$9</t>
  </si>
  <si>
    <t xml:space="preserve"> простит </t>
  </si>
  <si>
    <t xml:space="preserve"> спишет </t>
  </si>
  <si>
    <t xml:space="preserve"> аннулирует </t>
  </si>
  <si>
    <t xml:space="preserve"> =interface!$A$2&amp;" "&amp;B2&amp;", погасите просроченную задолженность по Договору № "&amp;C2&amp;" до "&amp;ТЕКСТ(interface!$B$4;"ДД.ММ.ГГГГ")&amp;interface!$A$6&amp;", а "&amp;I2&amp;interface!$A$8&amp;interface!$A$4&amp;"! "&amp; Текст!$A$9</t>
  </si>
  <si>
    <t xml:space="preserve"> =I2&amp;" "&amp;B2&amp;", погасите просроченную задолженность по договору "&amp;C2&amp;" "&amp;ТЕКСТ(interface!$B$4;"ДД.ММ.ГГГГ")&amp;" (СЕГОДНЯ), а "&amp;I2&amp;" простит "&amp;interface!$A$4&amp;"! "&amp; Текст!$A$9</t>
  </si>
  <si>
    <t xml:space="preserve"> =interface!$A$2&amp;" "&amp;B2&amp;", "&amp;interface!$B$6&amp;" погасите просроченную задолженность по Договору № "&amp;C2&amp;", а "&amp;I2&amp;interface!$A$8&amp;interface!$A$4&amp;"! "&amp; Текст!$A$9</t>
  </si>
  <si>
    <t xml:space="preserve"> ="Списание пени, акция продлена! "&amp;B2&amp;", погасите просроченную задолженность 30.11.2020 по Договору № "&amp;C2&amp;", а "&amp;I2&amp;interface!$A$8&amp;interface!$A$4&amp;"! "&amp; Текст!$A$9</t>
  </si>
  <si>
    <t xml:space="preserve"> ="Списание пени, акция продлена! "&amp;B2&amp;" не упустите выгоду, погасите просроченную задолженность 30.11.2020 по Договору № "&amp;C2&amp;", а "&amp;I2&amp;interface!$A$8&amp;interface!$A$4&amp;"! "&amp; Текст!$A$9</t>
  </si>
  <si>
    <t xml:space="preserve"> =ВПР(C2;'[из 1С.xlsm]РП (расш)'!$A:$K;11;0)</t>
  </si>
  <si>
    <t xml:space="preserve"> =РУБЛЬ(K2+L2)&amp;", ваша выгода! " &amp;B2&amp;" до 18.12.2020 (включительно) не упустите возможность, погасить Займ № "&amp;C2&amp;" на максимально выгодных условиях! "&amp; Текст!$A$9</t>
  </si>
  <si>
    <t xml:space="preserve"> =ВПР(C2;'[из 1С.xlsm]РП (расш)'!$A:$K;10;0)/2</t>
  </si>
  <si>
    <t xml:space="preserve"> ="Аннулируем проценты и пени! "&amp;B5&amp;", Вы погашаете только основной долг и 1/2 процентов. Ваша выгода "&amp;РУБЛЬ(K5+L5)&amp;". Акция действует при погашении задолженности по Договору № "&amp;C5&amp;" до 18.12.2020 (включительно). Системы кредитования «Взаимно». Тел.: 88005558346."</t>
  </si>
  <si>
    <t xml:space="preserve"> ="Ваша выгода "&amp;РУБЛЬ(K6+L6)&amp;"! Аннулируем проценты и пени! "&amp;B6&amp;", Вы погашаете только основной долг и 1/2 процентов. Акция действует при погашении задолженности по Договору № "&amp;C6&amp;" до 18.12.2020 (включительно). Системы кредитования «Взаимно». Тел.: 88005558346."</t>
  </si>
  <si>
    <t xml:space="preserve"> =ЕСЛИОШИБКА(ЕСЛИ(ВПР(C2;'[20m12_Prosrochka_new_1.xlsm]7'!$B:$D;3;0)&gt;79;"11.12.2020";"18.12.2020");"11.12.2020")</t>
  </si>
  <si>
    <t>Прощение</t>
  </si>
  <si>
    <t xml:space="preserve"> =ОКРВВЕРХ.МАТ(ВПР(C2;'\\192.168.81.12\share\Отдел сопровождения кредитования\Работа с просрочкой\КСМ\подвал\[из 1С.xlsm]РП (расш)'!$A:$K;11;0))</t>
  </si>
  <si>
    <t xml:space="preserve"> ="🎄💰Прощение "&amp;РУБЛЬ(K2;0)&amp;"!  "&amp;B2&amp;",  напоминаем, сегодня (25.12.2020) последний день акции, погасите просроченную задолженность по Договору № "&amp;C2&amp;", а "&amp;I2&amp;" аннулирует пени. Системы кредитования «Взаимно»."</t>
  </si>
  <si>
    <t xml:space="preserve"> ="🎄💰Списываем "&amp;РУБЛЬ(K2;0)&amp;"!  "&amp;I2&amp;" аннулирует пени! "&amp;B2&amp;",  акция действует при погашении просроченной задолженности по Договору № "&amp;C2&amp;", до 30.12.2020 (включительно). Расчет произведен на 28.12.2020. Системы кредитования «Взаимно»."</t>
  </si>
  <si>
    <t xml:space="preserve"> ="🎁Списываем "&amp;РУБЛЬ(K2;0)&amp;".  Новогоднее прощение задолженнности! "&amp;B2&amp;", Вы оплачиваете "&amp;РУБЛЬ(L2;0)&amp;" по Договору № "&amp;C2&amp;", и возвращаетесь в График платежей, акция действует до 30.12.2020 (включительно). Расчет произведен на 28.12.2020. Системы кредитования «Взаимно»."</t>
  </si>
  <si>
    <t xml:space="preserve"> ="🎁Списываем "&amp;РУБЛЬ(K2;0)&amp;". Не упустите выгоду! "&amp;B2&amp;", напоминаем сегодня (30.12.2020), последний день акции. Вы оплачиваете "&amp;РУБЛЬ(L2;0)&amp;" по Договору № "&amp;C2&amp;", и возвращаетесь в График платежей, .Системы кредитования «Взаимно»."</t>
  </si>
  <si>
    <t>1/2% + пени сегодня</t>
  </si>
  <si>
    <t xml:space="preserve"> ="🎁Только сегодня пени = 0 руб! "&amp;B2&amp;", мы продлили акцию еще на один день, погасите просроченную задолженность по Договору № "&amp;C2&amp;", а "&amp;I2&amp;" аннулирует пени. Ваша выгода "&amp;РУБЛЬ(K2;2)&amp;" .Системы кредитования «Взаимно»."</t>
  </si>
  <si>
    <t xml:space="preserve"> ="💸Только два дня пени = 0 руб! "&amp;B2&amp;", погасите просроченную задолженность по Договору № "&amp;C2&amp;" до 22.01.2021 (включительно), а "&amp;I2&amp;" аннулирует пени. Ваша экономия "&amp;РУБЛЬ(K2;0)&amp;" . Системы кредитования «Взаимно»."</t>
  </si>
  <si>
    <t xml:space="preserve"> =ЕСЛИОШИБКА(ЕСЛИ(ВПР(C2;оплата!A:A;1;0)&lt;&gt;1;"💰");"")</t>
  </si>
  <si>
    <t xml:space="preserve"> =ЕСЛИОШИБКА(ПСТР(A2;НАЙТИ(" ";A2;1)+1;НАЙТИ(" ";A2;НАЙТИ(" ";A2;1)+1)-НАЙТИ(" ";A2;1)-1);ПРАВСИМВ(A2;ДЛСТР(A2)-НАЙТИ(" ";A2)))</t>
  </si>
  <si>
    <t>Имя</t>
  </si>
  <si>
    <t xml:space="preserve"> =ЕСЛИ(ОКРВВЕРХ.МАТ(ВПР(C2;'\\192.168.81.12\share\Отдел сопровождения кредитования\Работа с просрочкой\КСМ\подвал\[из 1С.xlsm]РП (расш)'!$A:$K;11;0))&gt;1000;"Ваша выгода: "&amp;РУБЛЬ(ОКРВВЕРХ.МАТ(ВПР(C2;'\\192.168.81.12\share\Отдел сопровождения кредитования\Работа с просрочкой\КСМ\подвал\[из 1С.xlsm]РП (расш)'!$A:$K;11;0));)&amp;". Расчёт выполнен на 28.01.2021г. ";"")</t>
  </si>
  <si>
    <t>пени</t>
  </si>
  <si>
    <t>1/3% + пени</t>
  </si>
  <si>
    <t xml:space="preserve"> ="❗списываем часть долга❗"&amp;J2&amp;", совершите платеж в размере "&amp;L2&amp;" по Договору № "&amp;C2&amp;" до 30.01.2021 (включительно), а "&amp;I2&amp;" простит 1/3% и пени. Ваша выгода: "&amp;K2&amp;". *Расчет выполнен на 28.01.2021г. Системы кредитования «Взаимно»."</t>
  </si>
  <si>
    <t xml:space="preserve"> ="❗ПЕНИ = 0❗"&amp;J2&amp;", погасите просроченную задолженность по Договору № "&amp;C2&amp;" до 27.02.2021 (включительно), а "&amp;I2&amp;" спишет неустойку, начисленную за просрочку последнего ежемесячного платежа. Системы кредитования «Взаимно»."</t>
  </si>
  <si>
    <t xml:space="preserve"> ="❗"&amp;B2&amp;", расторжение Договора"&amp;"❗"&amp;" Вам было выставлено Требование о полном досрочном погашении Договора займа № "&amp;C2&amp;"! "&amp;I2&amp;" требует погасить займ, либо предоставить предмет залога для внесудебной реализации, в срок до 12.03.2021 г. В рамках заключительного предложения, "&amp;I2&amp;" предоставляет Вам возможность погасить Займ на максимально выгодных условиях, предложение предусматривает списание долга в части 1/2 процентов и пени. Системы кредитования «Взаимно»."</t>
  </si>
  <si>
    <t xml:space="preserve"> ="✉"&amp;J2&amp;", сегодня"&amp;"✉"&amp;" Вернитесь в График платежей с выгодой "&amp;K2&amp;". Сегодня (12.03.2021г.) оплатите "&amp;L2&amp;" по Договору займа № "&amp;C2&amp;", а "&amp;I2&amp;" спишет 1/3 просроченных % и пени, просроченная задолженность будет погашена. Предложение действует также при реструктуризации займа. Системы кредитования «Взаимно»."</t>
  </si>
  <si>
    <t xml:space="preserve"> ="❗Срок предложения истекает.❗"&amp;J2&amp;", напоминаем, что сегодня (19.03.2021г.) последний день действия предложения. Не упустите выгоду, погасите просроченную задолженность по Договору № "&amp;C2&amp;", и "&amp;I2&amp;" спишет текущую неустойку. Системы кредитования «Взаимно»."</t>
  </si>
  <si>
    <t>ТЕК ПЕНИ</t>
  </si>
  <si>
    <t>ТЕК ПЕНИ СЕГОДНЯ</t>
  </si>
  <si>
    <t xml:space="preserve"> ="❗ПЕНИ = 0❗"&amp;J2&amp;", погасите просроченные основной долг и проценты по Договору № "&amp;B2&amp;", в срок до 31.03.2021 (включительно), а "&amp;I2&amp;" спишет текущую неустойку. Не упустите выгоду! Системы кредитования «Взаимно»."</t>
  </si>
  <si>
    <t xml:space="preserve"> ="❗списываем часть долга❗"&amp;J113&amp;", совершите платеж в размере "&amp;L113&amp;" по Договору № "&amp;B113&amp;" до 31.03.2021 (включительно), а "&amp;I113&amp;" аннулирует 1/3 просроченных процентов и все непогашенные пени. Ваша выгода: "&amp;K113&amp;". *Расчет выполнен на "&amp;ТЕКСТ(СЕГОДНЯ();"ДД.ММ.ГГГГ")&amp;" г. Системы кредитования «Взаимно»."</t>
  </si>
  <si>
    <t xml:space="preserve"> =ЕСЛИ(ЛЕВСИМВ(B2;1)="В";" МФК «ВЗАИМНО»."; "Системы кредитования «ВЗАИМНО».")</t>
  </si>
  <si>
    <t xml:space="preserve"> =ЕСЛИОШИБКА(ЕСЛИ(ВПР(ЛЕВСИМВ(B2;10);'\\data\share\Отдел сопровождения кредитования\Работа с просрочкой\КСМ\подвал\[КО.xlsx]Лист1'!$A:$A;1;0)&lt;&gt;"";"👎");"👍")</t>
  </si>
  <si>
    <t xml:space="preserve"> =ЕСЛИОШИБКА(ЕСЛИ(ВПР(B2;[КО.xlsx]Лист1!$A:$A;1;0)&lt;&gt;"";"👎");"👍")</t>
  </si>
  <si>
    <t xml:space="preserve"> ="❗ПРОЩАЕМ ПЕНИ❗"&amp;J2&amp;", погасите просроченные основной долг и проценты по Договору № "&amp;B2&amp;", в срок до 24.04.2021, а "&amp;I2&amp;" спишет текущую неустойку. "&amp;M2</t>
  </si>
  <si>
    <t xml:space="preserve"> ="❗СПИСАНИЕ НЕУСТОЙКИ❗"&amp;J2&amp;", не упустите выгоду! Сегодня (31.03.2021) погасите просроченные основной долг и проценты по Договору № "&amp;B2&amp;", и "&amp;I2&amp;" спишет текущую неустойку."&amp;M2</t>
  </si>
  <si>
    <t xml:space="preserve"> ="❗СПИСЫВАЕМ ЧАСТЬ ДОЛГА❗"&amp;J2&amp;", оплатите только просроченные основоной долг и 2/3 процентов по Договору № "&amp;B2&amp;" до 31.05.2021, а "&amp;I2&amp;" спишет остальную часть просроченной задолженности. "&amp;M2</t>
  </si>
  <si>
    <t xml:space="preserve"> =РУБЛЬ(ОКРВВЕРХ.МАТ(СУММ(ВПР(B2;'[из 1С.xlsm]РП (расш)'!$A:$K;9;0)/3;ВПР(B2;'[из 1С.xlsm]РП (расш)'!$A:$K;11;0)));0)</t>
  </si>
  <si>
    <t xml:space="preserve"> =РУБЛЬ(ОКРВВЕРХ.МАТ(СУММ(ВПР(B2;'[из 1С.xlsm]РП (расш)'!$A:$K;9;0)*0,67;ВПР(B2;'[из 1С.xlsm]РП (расш)'!$A:$K;8;0)));0)</t>
  </si>
  <si>
    <t xml:space="preserve"> =ЕСЛИ(P2="new";"❗СПИСАНИЕ НЕУСТОЙКИ❗"&amp;J2&amp;", не упустите выгоду! Сегодня (28.05.2021) погасите просроченные основной долг и проценты по Договору № "&amp;B2&amp;", и "&amp;I2&amp;" спишет текущую неустойку."&amp;M2;"НЕ УСПЕЛИ ОПЛАТИТЬ❓" &amp;J2&amp;", для Вас мы продлили предложение! Сегодня (28.05.2021) погасите просроченные основной долг и проценты по Договору № "&amp;B2&amp;", и "&amp;I2&amp;" спишет текущую неустойку."&amp;M2)</t>
  </si>
  <si>
    <t>new+pre</t>
  </si>
  <si>
    <t xml:space="preserve"> ="❗СПИСЫВАЕМ ЧАСТЬ ДОЛГА❗"&amp;J2&amp;", оплатите "&amp;L2&amp;" (просроченные основной долг и 2/3 процентов) по Договору № "&amp;B2&amp;" до 31.05.2021, а "&amp;I2&amp;" спишет остальную часть просроченной задолженности. Ваша выгода: "&amp;K2&amp;". "&amp;M2</t>
  </si>
  <si>
    <t xml:space="preserve"> ="❗СПИСЫВАЕМ ЧАСТЬ ДОЛГА❗"&amp;J2&amp;", исполните свои обязательства по договору "&amp;B2&amp;" максимально выгодно! Вы экономите до  "&amp;K2&amp;" при оплате до 25.06.2021 г. Подобности по телефону 88005558346. "&amp;M2</t>
  </si>
  <si>
    <t xml:space="preserve">new </t>
  </si>
  <si>
    <t xml:space="preserve"> ="❗СПИСАНИЕ ПЕНИ❗"&amp;J2&amp;", до 30.07.2021 оплатите "&amp;РУБЛЬ(L2;0)&amp;" по Договору № "&amp;B2&amp;", а "&amp;I2&amp;" спишет текущую неустойку"&amp;O2</t>
  </si>
  <si>
    <t xml:space="preserve"> =ЕСЛИ(K2&gt;1000;". Ваша выгода: "&amp;РУБЛЬ(K2;0)&amp;". "&amp;M2;". "&amp;M2)</t>
  </si>
  <si>
    <t xml:space="preserve"> ="⏰ПРОЩЕНИЕ ПЕНИ⏰"&amp;J2&amp;", "&amp;I2&amp;" продлил срок действия предложения! Сегодня (31.07.2021) оплатите "&amp;РУБЛЬ(L2;0)&amp;" по Договору № "&amp;B2&amp;", а "&amp;I2&amp;" спишет текущую неустойку"&amp;O2</t>
  </si>
  <si>
    <t>один день (продление)</t>
  </si>
  <si>
    <t xml:space="preserve"> ="❗ЗАКЛЮЧИТЕЛЬНОЕ ПРЕДЛОЖЕНИЕ⏰"&amp;J2&amp;", оплатите "&amp;РУБЛЬ(L2;0)&amp;" до 15.08.2021, для выхода из просрочки по Договору "&amp;B2&amp;". Ваша выгода "&amp;РУБЛЬ(K2;0)&amp;". Подробности по телефону 88005558346."</t>
  </si>
  <si>
    <t xml:space="preserve"> ="❗ПРОЩЕНИЕ ЧАСТИ ДОЛГА⏰"&amp;J5&amp;", оплатите "&amp;РУБЛЬ(L5;0)&amp;" до 20.08.2021, для выхода из просрочки по Договору "&amp;B5&amp;". Ваша выгода "&amp;РУБЛЬ(K5;0)&amp;". Подробности по телефону 88005558346."</t>
  </si>
  <si>
    <t>Иванов Евгений Владимирович</t>
  </si>
  <si>
    <t>далее</t>
  </si>
  <si>
    <t>Заемщик</t>
  </si>
  <si>
    <t>Текст</t>
  </si>
  <si>
    <t>ПлСег</t>
  </si>
  <si>
    <t>ПорТел</t>
  </si>
  <si>
    <t>ПорФио</t>
  </si>
  <si>
    <t>К Оплате</t>
  </si>
  <si>
    <t>Кред/Займ</t>
  </si>
  <si>
    <t>ВЗ/ост</t>
  </si>
  <si>
    <t>Выгода</t>
  </si>
  <si>
    <t xml:space="preserve"> =ЕСЛИ('[из 1С.xlsm]акция'!$L2=3;"❗СПИСАНИЕ ЧАСТИ ДОЛГА⏰"&amp;F2&amp;", до 31.10.2021 оплатите "&amp;РУБЛЬ(K2;0)&amp;" по Договору № "&amp;B2&amp;", а "&amp;L2&amp;" спишет 1/2 просроченных процентов и пени"&amp;N2;ЕСЛИ('[из 1С.xlsm]акция'!$L2=2;"❗СПИСАНИЕ ЧАСТИ ДОЛГА⏰"&amp;F2&amp;", до 31.10.2021 оплатите "&amp;РУБЛЬ(K2;0)&amp;" по Договору № "&amp;B2&amp;", а "&amp;L2&amp;" спишет 1/3 просроченных процентов и пени"&amp;N2;"❗СПИСАНИЕ ПЕНИ⏰"&amp;F2&amp;", до 31.10.2021 оплатите "&amp;РУБЛЬ(K2;0)&amp;" по Договору № "&amp;B2&amp;", а "&amp;L2&amp;" спишет текущую неустойку"&amp;N2))</t>
  </si>
  <si>
    <t>❗</t>
  </si>
  <si>
    <t>⏰</t>
  </si>
  <si>
    <t>Время</t>
  </si>
  <si>
    <t>&lt;center&gt;&lt;img src=https://imgbb.su/images/2021/11/17/b5bc8f9d84f3e7a21f080f6b12170490.png&gt;&lt;/center&gt;&lt;br&gt;&lt;br&gt;&lt;br&gt;</t>
  </si>
  <si>
    <t>действует до</t>
  </si>
  <si>
    <t xml:space="preserve"> =ЕСЛИ('\\192.168.81.12\share\Отдел сопровождения кредитования\Работа с просрочкой\КСМ\подвал\[из 1С.xlsm]акция'!$L2=3;Текст!$A$49&amp;"СПИСАНИЕ ЧАСТИ ДОЛГА"&amp;Текст!$B$49&amp;Пени!F2&amp;", до "&amp;ТЕКСТ(interface!$B$4;"ДД.ММ.ГГГГ")&amp;" оплатите "&amp;РУБЛЬ(Пени!K2;0)&amp;" по Договору № "&amp;Пени!B2&amp;", а "&amp;Пени!L2&amp;" спишет 1/2 просроченных процентов и пени"&amp;Пени!N2;ЕСЛИ('\\192.168.81.12\share\Отдел сопровождения кредитования\Работа с просрочкой\КСМ\подвал\[из 1С.xlsm]акция'!$L2=2;Текст!$A$49&amp;"СПИСАНИЕ ЧАСТИ ДОЛГА"&amp;Текст!$B$49&amp;Пени!F2&amp;", до 31.10.2021 оплатите "&amp;РУБЛЬ(Пени!K2;0)&amp;" по Договору № "&amp;Пени!B2&amp;", а "&amp;Пени!L2&amp;" спишет 1/3 просроченных процентов и пени"&amp;Пени!N2;Текст!$A$49&amp;"СПИСАНИЕ ПЕНИ"&amp;Текст!$B$49&amp;Пени!F2&amp;", до 31.10.2021 оплатите "&amp;РУБЛЬ(Пени!K2;0)&amp;" по Договору № "&amp;Пени!B2&amp;", а "&amp;Пени!L2&amp;" спишет текущую неустойку"&amp;Пени!N2))</t>
  </si>
  <si>
    <t>email</t>
  </si>
  <si>
    <t xml:space="preserve"> =ЕСЛИ('\\192.168.81.12\share\Отдел сопровождения кредитования\Работа с просрочкой\КСМ\подвал\[из 1С.xlsm]акция'!$L2=3;Текст!$A$75&amp;Пени!E2&amp;", добрый день. &lt;br&gt;&lt;br&gt; До "&amp;ТЕКСТ(interface!$C$1;"ДД.ММ.ГГГГ")&amp;" оплатите "&amp;РУБЛЬ(Пени!K2;0)&amp;" по Договору № "&amp;Пени!B2&amp;", а "&amp;Пени!L2&amp;" спишет 1/2 просроченных процентов и пени"&amp;"&lt;br&gt;&lt;strong&gt;"&amp;ПОДСТАВИТЬ(Пени!N2;"МФК «ВЗАИМНО».";"")&amp;Текст!$A$76;ЕСЛИ('\\192.168.81.12\share\Отдел сопровождения кредитования\Работа с просрочкой\КСМ\подвал\[из 1С.xlsm]акция'!$L2=2;Текст!$A$75&amp;Пени!E2&amp;", добрый день. &lt;br&gt;&lt;br&gt; До "&amp;ТЕКСТ(interface!$C$1;"ДД.ММ.ГГГГ")&amp;" оплатите "&amp;" по Договору № "&amp;Пени!B2&amp;", а "&amp;Пени!L2&amp;" спишет 1/3 просроченных процентов и пени"&amp;ПОДСТАВИТЬ(Пени!N2;"МФК «ВЗАИМНО».";"")&amp;Текст!$A$76;Текст!$A$75&amp;Пени!E2&amp;", добрый день. &lt;br&gt;&lt;br&gt; До "&amp;ТЕКСТ(interface!$C$1;"ДД.ММ.ГГГГ")&amp;" оплатите "&amp;" по Договору № "&amp;Пени!B2&amp;", а "&amp;Пени!L2&amp;" спишет текущую неустойку"&amp;ПОДСТАВИТЬ(Пени!N2;"МФК «ВЗАИМНО».";"")&amp;Текст!$A$76))</t>
  </si>
  <si>
    <t xml:space="preserve"> =ЕСЛИ('\\192.168.81.12\share\Отдел сопровождения кредитования\Работа с просрочкой\КСМ\подвал\[из 1С.xlsm]акция'!$L2=3;Текст!$A$75&amp;Пени!E2&amp;", добрый день. &lt;br&gt;&lt;br&gt; До "&amp;ТЕКСТ(interface!$C$1;"ДД.ММ.ГГГГ")&amp;" оплатите "&amp;РУБЛЬ(Пени!K2;0)&amp;" по Договору № "&amp;Пени!B2&amp;", а "&amp;Пени!L2&amp;" спишет 1/2 просроченных процентов и пени."&amp;"&lt;br&gt;&lt;strong&gt;"&amp;ПОДСТАВИТЬ(Пени!N2;".МФК «ВЗАИМНО».";"")&amp;Текст!$A$76;ЕСЛИ('\\192.168.81.12\share\Отдел сопровождения кредитования\Работа с просрочкой\КСМ\подвал\[из 1С.xlsm]акция'!$L2=2;Текст!$A$75&amp;Пени!E2&amp;", добрый день. &lt;br&gt;&lt;br&gt; До "&amp;ТЕКСТ(interface!$C$1;"ДД.ММ.ГГГГ")&amp;" оплатите "&amp;" по Договору № "&amp;Пени!B2&amp;", а "&amp;Пени!L2&amp;" спишет 1/3 просроченных процентов и пени."&amp;"&lt;br&gt;&lt;strong&gt;"&amp;ПОДСТАВИТЬ(Пени!N2;".МФК «ВЗАИМНО».";"")&amp;Текст!$A$76;Текст!$A$75&amp;Пени!E2&amp;", добрый день. &lt;br&gt;&lt;br&gt; До "&amp;ТЕКСТ(interface!$C$1;"ДД.ММ.ГГГГ")&amp;" оплатите "&amp;" по Договору № "&amp;Пени!B2&amp;", а "&amp;Пени!L2&amp;" спишет текущую неустойку."&amp;"&lt;br&gt;&lt;strong&gt;"&amp;ПОДСТАВИТЬ(Пени!N2;".МФК «ВЗАИМНО».";"")&amp;Текст!$A$76))</t>
  </si>
  <si>
    <t xml:space="preserve"> =ЕСЛИ('\\192.168.81.12\share\Отдел сопровождения кредитования\Работа с просрочкой\КСМ\подвал\[из 1С.xlsm]акция'!$L2=3;Текст!$A$75&amp;Пени!E2&amp;", добрый день. &lt;br&gt;&lt;br&gt; До "&amp;ТЕКСТ(interface!$C$1;"ДД.ММ.ГГГГ")&amp;" оплатите "&amp;РУБЛЬ(Пени!K2;0)&amp;" по Договору № "&amp;Пени!B2&amp;", а "&amp;Пени!L2&amp;" спишет 1/2 просроченных процентов и пени."&amp;"&lt;br&gt;&lt;strong&gt;Ваша выгода: "&amp;ТЕКСТ(Пени!J2;"## ##")&amp;" руб.&lt;/strong&gt;"&amp;Текст!$A$76;ЕСЛИ('\\192.168.81.12\share\Отдел сопровождения кредитования\Работа с просрочкой\КСМ\подвал\[из 1С.xlsm]акция'!$L2=2;Текст!$A$75&amp;Пени!E2&amp;", добрый день. &lt;br&gt;&lt;br&gt; До "&amp;ТЕКСТ(interface!$C$1;"ДД.ММ.ГГГГ")&amp;" оплатите "&amp;" по Договору № "&amp;Пени!B2&amp;", а "&amp;Пени!L2&amp;" спишет 1/3 просроченных процентов и пени."&amp;"&lt;br&gt;&lt;strong&gt;Ваша выгода: "&amp;ТЕКСТ(Пени!J2;"## ##")&amp;" руб.&lt;/strong&gt;"&amp;Текст!$A$76;Текст!$A$75&amp;Пени!E2&amp;", добрый день. &lt;br&gt;&lt;br&gt; До "&amp;ТЕКСТ(interface!$C$1;"ДД.ММ.ГГГГ")&amp;" оплатите "&amp;" по Договору № "&amp;Пени!B2&amp;", а "&amp;Пени!L2&amp;" спишет текущую неустойку."&amp;"&lt;br&gt;&lt;strong&gt;Ваша выгода: "&amp;ТЕКСТ(Пени!J2;"## ##")&amp;" руб.&lt;/strong&gt;"&amp;Текст!$A$76))</t>
  </si>
  <si>
    <t xml:space="preserve"> =ЕСЛИ('[из 1С.xlsm]акция'!$L2=3;Текст!$A$49&amp;"СПИСАНИЕ ЧАСТИ ДОЛГА"&amp;Текст!$B$49&amp;F2&amp;", до "&amp;ТЕКСТ(interface!$C$1;"ДД.ММ.ГГГГ")&amp;" оплатите "&amp;РУБЛЬ(K2;0)&amp;" по Договору № "&amp;B2&amp;", а "&amp;L2&amp;" спишет 1/2 просроченных процентов и пени"&amp;N2;ЕСЛИ(И('[из 1С.xlsm]акция'!$L2=2;'[из 1С.xlsm]акция'!$N2="да");Текст!$A$49&amp;"СПИСАНИЕ ЧАСТИ ДОЛГА"&amp;Текст!$B$49&amp;F2&amp;", до "&amp;ТЕКСТ(interface!$C$1;"ДД.ММ.ГГГГ")&amp;" оплатите "&amp;РУБЛЬ(K2;0)&amp;" по Договору № "&amp;B2&amp;", а "&amp;L2&amp;" спишет 1/3 просроченных процентов и пени"&amp;N2;ЕСЛИ('[из 1С.xlsm]акция'!$L2=2;Текст!$A$49&amp;"СПИСАНИЕ ЧАСТИ ДОЛГА"&amp;Текст!$B$49&amp;F2&amp;", до "&amp;ТЕКСТ(interface!$C$1;"ДД.ММ.ГГГГ")&amp;" оплатите "&amp;РУБЛЬ(K2;0)&amp;" по Договору № "&amp;B2&amp;", а "&amp;L2&amp;" спишет 1/3 просроченных процентов и текущую неустойку"&amp;N2;Текст!$A$49&amp;"СПИСАНИЕ ПЕНИ"&amp;Текст!$B$49&amp;F2&amp;", до "&amp;ТЕКСТ(interface!$C$1;"ДД.ММ.ГГГГ")&amp;" оплатите "&amp;РУБЛЬ(K2;0)&amp;" по Договору № "&amp;B2&amp;", а "&amp;L2&amp;" спишет текущую неустойку"&amp;N2)))</t>
  </si>
  <si>
    <t xml:space="preserve"> =ЕСЛИ('[из 1С.xlsm]акция'!$L2=3;Текст!$A$75&amp;Пени!E2&amp;", добрый день. &lt;br&gt;&lt;br&gt; До "&amp;ТЕКСТ(interface!$C$1;"ДД.ММ.ГГГГ")&amp;" оплатите "&amp;ТЕКСТ(Пени!K2;"## ##")&amp;" по Договору № "&amp;Пени!B2&amp;", а "&amp;Пени!L2&amp;" спишет 1/2 просроченных процентов и пени."&amp;ЕСЛИ(Пени!J2&gt;=1000;"&lt;br&gt;&lt;strong&gt;Ваша выгода: "&amp;ТЕКСТ(Пени!J2;"## ##")&amp;" руб.&lt;/strong&gt;";"")&amp;Текст!$A$76;ЕСЛИ(И('[из 1С.xlsm]акция'!$L2=2;'[из 1С.xlsm]акция'!$N2="да");Текст!$A$75&amp;Пени!E2&amp;", добрый день. &lt;br&gt;&lt;br&gt; До "&amp;ТЕКСТ(interface!$C$1;"ДД.ММ.ГГГГ")&amp;" оплатите "&amp;ТЕКСТ(Пени!K2;"## ##")&amp;" по Договору № "&amp;Пени!B2&amp;", а "&amp;Пени!L2&amp;" спишет 1/3 просроченных процентов и пени."&amp;ЕСЛИ(Пени!J2&gt;=1000;"&lt;br&gt;&lt;strong&gt;Ваша выгода: "&amp;ТЕКСТ(Пени!J2;"## ##")&amp;" руб.&lt;/strong&gt;";"");ЕСЛИ('[из 1С.xlsm]акция'!$L2=2;Текст!$A$75&amp;Пени!E2&amp;", добрый день. &lt;br&gt;&lt;br&gt; До "&amp;ТЕКСТ(interface!$C$1;"ДД.ММ.ГГГГ")&amp;"  оплатите "&amp;ТЕКСТ(Пени!K2;"## ##")&amp;" по Договору № "&amp;Пени!B2&amp;", а "&amp;Пени!L2&amp;" спишет 1/3 просроченных процентов и текущую неустойку."&amp;ЕСЛИ(Пени!J2&gt;=1000;"&lt;br&gt;&lt;strong&gt;Ваша выгода: "&amp;ТЕКСТ(Пени!J2;"## ##")&amp;" руб.&lt;/strong&gt;";"")&amp;Текст!$A$76;Текст!$A$75&amp;Пени!E2&amp;", добрый день. &lt;br&gt;&lt;br&gt; До "&amp;ТЕКСТ(interface!$C$1;"ДД.ММ.ГГГГ")&amp;" оплатите "&amp;" по Договору № "&amp;Пени!B2&amp;", а "&amp;Пени!L2&amp;" спишет текущую неустойку."&amp;ЕСЛИ(Пени!J2&gt;=1000;"&lt;br&gt;&lt;strong&gt;Ваша выгода: "&amp;ТЕКСТ(Пени!J2;"## ##")&amp;" руб.&lt;/strong&gt;";"")&amp;Текст!$A$76)))</t>
  </si>
  <si>
    <t>⬅ SMS</t>
  </si>
  <si>
    <t>⬅EMAIL</t>
  </si>
  <si>
    <t>🎁</t>
  </si>
  <si>
    <t xml:space="preserve"> =Текст!$A$75&amp;Пени!E44&amp;", добрый день. &lt;br&gt;&lt;br&gt; Внесите два платежа, по Договору "&amp;Пени!B44&amp;", а мы простим 1/3% и ВСЕ пени! &lt;br&gt;&lt;strong&gt;Акция действует при внесении оплаты до наступления даты очередного платежа.&lt;/strong&gt;"&amp;Текст!$A$76</t>
  </si>
  <si>
    <t xml:space="preserve"> =Текст!$C$49&amp;"прощаеМся с долгами! "&amp;F44&amp;", внесите два платежа, по Договору "&amp;B44&amp;", а мы простим 1/3% и ВСЕ пени! Акция действует при внесении оплаты до наступления даты очередного платежа."</t>
  </si>
  <si>
    <t>прощаеМся с долгами!</t>
  </si>
  <si>
    <t>Категория</t>
  </si>
  <si>
    <t xml:space="preserve"> =ЕСЛИ(ВПР(B2;'[из 1С.xlsm]акция'!$B:$L;11;0)=3;"1/2% и пени";ЕСЛИ(И(ВПР(B2;'[из 1С.xlsm]акция'!$B:$L;11;0)=2;ВПР(B2;'[из 1С.xlsm]акция'!$B:$N;13;0)="да");"1/3% и пени";ЕСЛИ(ВПР(B2;'[из 1С.xlsm]акция'!$B:$L;11;0)=2;"1/3% и тек пени";ЕСЛИ(И(ВПР(B2;'[из 1С.xlsm]акция'!$B:$L;11;0)=1;ВПР(B2;'[из 1С.xlsm]акция'!$B:$N;13;0)="да");"пени";ЕСЛИ(ВПР(B2;'[из 1С.xlsm]акция'!$B:$L;11;0)=1;"тек пени";"свой вариант")))))</t>
  </si>
  <si>
    <t>Приветствие</t>
  </si>
  <si>
    <t xml:space="preserve"> =interface!$A$5&amp;F2&amp;", "&amp;interface!C1&amp;" оплатите "&amp;РУБЛЬ(K2;0)&amp;" по Договору № "&amp;B2&amp;", а "&amp;L2&amp;" "&amp;P2&amp;N2</t>
  </si>
  <si>
    <t>⏰СПИСАНИЕ ЧАСТИ ДОЛГА❗</t>
  </si>
  <si>
    <t>❗СПИСАНИЕ ПЕНИ⏰</t>
  </si>
  <si>
    <t xml:space="preserve">🎁прощаеМся с долгами! </t>
  </si>
  <si>
    <t>Свой вариант</t>
  </si>
  <si>
    <t>Какой-то текст</t>
  </si>
  <si>
    <t>⬅ЛОГОТИП</t>
  </si>
  <si>
    <t>⬅АДРЕС</t>
  </si>
  <si>
    <t>ТЕМА</t>
  </si>
  <si>
    <t xml:space="preserve"> =Текст!$A$75&amp;Пени!E2&amp;", добрый день. &lt;br&gt;&lt;br&gt;"&amp;interface!$F$2&amp;" "&amp;ТЕКСТ(K2;"## ##")&amp;" по Договору № "&amp;Пени!B2&amp;", а "&amp;Пени!L2&amp;" "&amp;Пени!P2&amp;".&lt;br&gt;&lt;strong&gt;Ваша выгода: "&amp;ТЕКСТ(Пени!J2;"## ##")&amp;" руб.&lt;/strong&gt;"&amp;Текст!$A$76</t>
  </si>
  <si>
    <t xml:space="preserve"> =interface!$A$5&amp;F2&amp;", "&amp;interface!$A$2&amp;" "&amp;РУБЛЬ(K2;0)&amp;" по Договору № "&amp;B2&amp;", а "&amp;L2&amp;" "&amp;P2&amp;N2</t>
  </si>
  <si>
    <t xml:space="preserve"> =ЕСЛИ(ВПР(B2;'\\192.168.81.12\share\Отдел сопровождения кредитования\Работа с просрочкой\КСМ\подвал\[из 1С.xlsm]акция'!$B:$L;11;0)=3;"спишет 1/2 просроченных процентов и пени";ЕСЛИ(И(ВПР(B2;'\\192.168.81.12\share\Отдел сопровождения кредитования\Работа с просрочкой\КСМ\подвал\[из 1С.xlsm]акция'!$B:$L;11;0)=2;ВПР(B2;'\\192.168.81.12\share\Отдел сопровождения кредитования\Работа с просрочкой\КСМ\подвал\[из 1С.xlsm]акция'!$B:$N;13;0)="да");"спишет 1/3 просроченных процентов и пени";ЕСЛИ(ВПР(B2;'\\192.168.81.12\share\Отдел сопровождения кредитования\Работа с просрочкой\КСМ\подвал\[из 1С.xlsm]акция'!$B:$L;11;0)=2;"спишет 1/3 просроченных процентов и текущую неустойку";ЕСЛИ(И(ВПР(B2;'\\192.168.81.12\share\Отдел сопровождения кредитования\Работа с просрочкой\КСМ\подвал\[из 1С.xlsm]акция'!$B:$L;11;0)=1;ВПР(B2;'\\192.168.81.12\share\Отдел сопровождения кредитования\Работа с просрочкой\КСМ\подвал\[из 1С.xlsm]акция'!$B:$N;13;0)="да");"спишет все пени";ЕСЛИ(ВПР(B2;'\\192.168.81.12\share\Отдел сопровождения кредитования\Работа с просрочкой\КСМ\подвал\[из 1С.xlsm]акция'!$B:$L;11;0)=1;"текущую неустойку";interface!$A$8)))))</t>
  </si>
  <si>
    <t>СПИСАНИЕ ЧАСТИ ДОЛГА!</t>
  </si>
  <si>
    <t>ПРОЩЕНИЕ ПЕНИ!</t>
  </si>
  <si>
    <t>WA</t>
  </si>
  <si>
    <t>⬅WA</t>
  </si>
  <si>
    <t>СИМВОЛ</t>
  </si>
  <si>
    <t>Вам индивидуальное предложение о прощении части долга!</t>
  </si>
  <si>
    <t>Списание части долга!</t>
  </si>
  <si>
    <t xml:space="preserve"> =ЕСЛИ(ВПР(Пени!B2;'\\192.168.81.12\share\Отдел сопровождения кредитования\Работа с просрочкой\КСМ\подвал\[из 1С.xlsm]акция'!$B:$L;11;0)=3;"списание 1/2 просроченных процентов и всех пеней,";ЕСЛИ(И(ВПР(Пени!B2;'\\192.168.81.12\share\Отдел сопровождения кредитования\Работа с просрочкой\КСМ\подвал\[из 1С.xlsm]акция'!$B:$L;11;0)=2;ВПР(Пени!B2;'\\192.168.81.12\share\Отдел сопровождения кредитования\Работа с просрочкой\КСМ\подвал\[из 1С.xlsm]акция'!$B:$N;13;0)="да");"списание 1/3 просроченных процентов и всех пеней,";ЕСЛИ(ВПР(Пени!B2;'\\192.168.81.12\share\Отдел сопровождения кредитования\Работа с просрочкой\КСМ\подвал\[из 1С.xlsm]акция'!$B:$L;11;0)=2;"списание 1/3 просроченных процентов и текущей неустойки";ЕСЛИ(И(ВПР(Пени!B2;'\\192.168.81.12\share\Отдел сопровождения кредитования\Работа с просрочкой\КСМ\подвал\[из 1С.xlsm]акция'!$B:$L;11;0)=1;ВПР(B2;'\\192.168.81.12\share\Отдел сопровождения кредитования\Работа с просрочкой\КСМ\подвал\[из 1С.xlsm]акция'!$B:$N;13;0)="да");"спиние всех пеней,";ЕСЛИ(ВПР(Пени!B2;'\\192.168.81.12\share\Отдел сопровождения кредитования\Работа с просрочкой\КСМ\подвал\[из 1С.xlsm]акция'!$B:$L;11;0)=1;"текущей неустойки,";interface!$K$11)))))</t>
  </si>
  <si>
    <t>текстЧ1</t>
  </si>
  <si>
    <t xml:space="preserve">Предложение предусматривает </t>
  </si>
  <si>
    <t>текстЧ2</t>
  </si>
  <si>
    <t>дополнительно</t>
  </si>
  <si>
    <t>, Здравствуйте!</t>
  </si>
  <si>
    <t>, добрый день.</t>
  </si>
  <si>
    <t xml:space="preserve"> =interface!$K$5&amp;СИМВОЛ(10)&amp;"_"&amp;Пени!F2&amp;interface!$K$11&amp;"_"&amp;СИМВОЛ(10)&amp;"_"&amp;interface!$K$8&amp;"_"&amp;СИМВОЛ(10)&amp;"_"&amp;interface!$K$14&amp;J1&amp;interface!$K$17&amp;РУБЛЬ(Пени!K2;0)&amp;interface!$K$2&amp;"_"&amp;СИМВОЛ(10)&amp;"*"&amp;"Вы экономите: "&amp;РУБЛЬ(Пени!J2;0)&amp;"*"</t>
  </si>
  <si>
    <t xml:space="preserve"> в случае внесения платежа в размере </t>
  </si>
  <si>
    <t xml:space="preserve"> при оплате </t>
  </si>
  <si>
    <t xml:space="preserve"> =ЕСЛИОШИБКА(ВПР(B2;'[БД.xlsm]тел(заем)'!$B:$F;5;0);ЕСЛИ(ВПР(ЛЕВСИМВ(B2;10);'[БД.xlsm]тел(заем)'!$B:$F;5;0)&lt;&gt;"";ВПР(ЛЕВСИМВ(B2;10);'[БД.xlsm]тел(заем)'!$B:$F;5;0);ВПР(ЛЕВСИМВ(B2;10);'[БД.xlsm]тел(заем)'!$B:$D;3;0)))</t>
  </si>
  <si>
    <t xml:space="preserve"> =ЕСЛИОШИБКА(ВПР(ЛЕВСИМВ(B2;10);'\\192.168.81.12\share\Отдел сопровождения кредитования\Работа с просрочкой\КСМ\подвал\[БД.xlsm]тел(пор)'!$A:$C;3;0);"")</t>
  </si>
  <si>
    <t xml:space="preserve"> =ЕСЛИОШИБКА(ВПР(ЛЕВСИМВ(B2;10);'\\192.168.81.12\share\Отдел сопровождения кредитования\Работа с просрочкой\КСМ\подвал\[БД.xlsm]тел(пор)'!$A:$B;2;0);"")</t>
  </si>
  <si>
    <t xml:space="preserve"> =ЕСЛИОШИБКА(ВПР(ЛЕВСИМВ(B2;10);'\\192.168.81.12\share\Отдел сопровождения кредитования\Работа с просрочкой\КСМ\подвал\[БД.xlsm]адреса'!$B:$J;9;0);ВПР(B2;'\\192.168.81.12\share\Отдел сопровождения кредитования\Работа с просрочкой\КСМ\подвал\[БД.xlsm]адреса'!$B:$J;9;0))</t>
  </si>
  <si>
    <t xml:space="preserve"> =interface!$K$5&amp;СИМВОЛ(10)&amp;"_"&amp;Пени!E2&amp;interface!$K$11&amp;"_"&amp;СИМВОЛ(10)&amp;"_"&amp;interface!$K$8&amp;"_"&amp;СИМВОЛ(10)&amp;"_"&amp;interface!$K$14&amp;J1&amp;interface!$K$17&amp;РУБЛЬ(Пени!K2;0)&amp;interface!$K$2&amp;"_"&amp;СИМВОЛ(10)&amp;ЕСЛИ(Пени!J2&gt;=1000;"*Вы экономите: "&amp;РУБЛЬ(Пени!J2;0)&amp;"*";"")</t>
  </si>
  <si>
    <t xml:space="preserve">Наш 🎁 Вам! Прощение части долга. </t>
  </si>
  <si>
    <t>Наш подарок Вам! Прощение части долга</t>
  </si>
  <si>
    <t>🎄</t>
  </si>
  <si>
    <t>Наш 🎁 Вам! Прощение части долга.</t>
  </si>
  <si>
    <t xml:space="preserve"> =ЕСЛИОШИБКА(ЕСЛИ(ВПР(ЛЕВСИМВ(B2;10);'[БД.xlsm]тел(заем)'!$B:$F;5;0);ВПР(ЛЕВСИМВ(B2;10);'[БД.xlsm]тел(заем)'!$B:$F;5;0);ВПР(ЛЕВСИМВ(B2;10);'[БД.xlsm]тел(заем)'!$B:$D;3;0));ВПР(B2;'[БД.xlsm]тел(заем)'!$B:$F;5;0))</t>
  </si>
  <si>
    <t>действует до (2)</t>
  </si>
  <si>
    <t>до 30.12.2021 оплатите</t>
  </si>
  <si>
    <t xml:space="preserve">🎁 НОВОГОДНЕЕ СПИСАНИЕ! </t>
  </si>
  <si>
    <t>!!!НОВОГОДНЕЕ СПИСАНИЕ!!!</t>
  </si>
  <si>
    <t xml:space="preserve"> =ЕСЛИ(ВПР(Пени!B123;'[из 1С.xlsm]акция'!$B:$L;11;0)=4;"списание 2/3 просроченных процентов и всех пеней,";ЕСЛИ(ВПР(Пени!B123;'[из 1С.xlsm]акция'!$B:$L;11;0)=3;"списание 1/2 просроченных процентов и всех пеней,";ЕСЛИ(И(ВПР(Пени!B123;'[из 1С.xlsm]акция'!$B:$L;11;0)=2;ВПР(Пени!B123;'[из 1С.xlsm]акция'!$B:$N;13;0)="да");"списание 1/3 просроченных процентов и всех пеней,";ЕСЛИ(ВПР(Пени!B123;'[из 1С.xlsm]акция'!$B:$L;11;0)=2;"списание 1/3 просроченных процентов и текущей неустойки";ЕСЛИ(И(ВПР(Пени!B123;'[из 1С.xlsm]акция'!$B:$L;11;0)=1;ВПР(B2;'[из 1С.xlsm]акция'!$B:$N;13;0)="да");"списание всех пеней,";ЕСЛИ(ВПР(Пени!B123;'[из 1С.xlsm]акция'!$B:$L;11;0)=1;"текущей неустойки,";interface!$K$20))))))</t>
  </si>
  <si>
    <t xml:space="preserve"> =interface!$K$8&amp;СИМВОЛ(10)&amp;Пени!E141&amp;interface!$K$11&amp;СИМВОЛ(10)&amp;interface!$K$14&amp;J1&amp;interface!$K$17&amp;РУБЛЬ(Пени!K141;0)&amp;" по Договору "&amp;Пени!B141&amp;interface!$K$2&amp;СИМВОЛ(10)&amp;ЕСЛИ(Пени!J141&gt;=1000;"*Вы экономите: "&amp;РУБЛЬ(Пени!J141;0)&amp;"*";"")&amp;СИМВОЛ(10)&amp;"Если, Вам интересно данное предложение, укажите точную дату погашения задолженности, в пределах 4 дней."&amp;СИМВОЛ(10)&amp;"В рамках лояльности и снижения финансовой нагрузки, мы делаем разовое предложение, успейте воспользоваться и войти в график платежей."&amp;СИМВОЛ(10)&amp;"ООО «МФК «ВЗАИМНО»"</t>
  </si>
  <si>
    <t xml:space="preserve">, предложение предусматривает </t>
  </si>
  <si>
    <t>? % ?</t>
  </si>
  <si>
    <t>? Пени ?</t>
  </si>
  <si>
    <t>РАЗНОЕ</t>
  </si>
  <si>
    <t>⬅общее</t>
  </si>
  <si>
    <t>какой-то текст</t>
  </si>
  <si>
    <t xml:space="preserve"> какой-то текст</t>
  </si>
  <si>
    <t>*Списание части долга!*</t>
  </si>
  <si>
    <t xml:space="preserve"> списание </t>
  </si>
  <si>
    <t xml:space="preserve"> прощение </t>
  </si>
  <si>
    <t xml:space="preserve">, при оплате </t>
  </si>
  <si>
    <t>⬅ ПЕРЕНОС</t>
  </si>
  <si>
    <t>продление</t>
  </si>
  <si>
    <t>Если, Вам интересно данное предложение, укажите точную дату погашения задолженности, в пределах 4 дней.</t>
  </si>
  <si>
    <t xml:space="preserve">Предложение действует до </t>
  </si>
  <si>
    <t>ВАдоп1</t>
  </si>
  <si>
    <t>ВАдоп2</t>
  </si>
  <si>
    <t>ДОдоп</t>
  </si>
  <si>
    <t>В рамках лояльности и снижения финансовой нагрузки, мы делаем разовое предложение, успейте воспользоваться и войти в график платежей.</t>
  </si>
  <si>
    <t>*Предложение обновлено!*</t>
  </si>
  <si>
    <t>*Акция продлена!*</t>
  </si>
  <si>
    <t>В рамках лояльности и снижения финансовой нагрузки, успейте воспользоваться и войти в график платежей.</t>
  </si>
  <si>
    <t xml:space="preserve">СПИСАНИЕ ЧАСТИ ДОЛГА! </t>
  </si>
  <si>
    <t>действие</t>
  </si>
  <si>
    <t>действие2</t>
  </si>
  <si>
    <t>ТЕМА2</t>
  </si>
  <si>
    <t>ПРЕДЛОЖЕНИЕ ОБНОВЛЕНО!</t>
  </si>
  <si>
    <t xml:space="preserve">ПРОЩЕНИЕ ПЕНИ! </t>
  </si>
  <si>
    <t>*Прощение пени!*</t>
  </si>
  <si>
    <t xml:space="preserve"> =ЕСЛИОШИБКА(ЕСЛИ(ВПР(ПСТР(C2;2;3)+0;тесты!A:A;1;0);"мегафон");"")</t>
  </si>
  <si>
    <t>оператор</t>
  </si>
  <si>
    <t>Срок предложения до 30.04.2022, оплатите</t>
  </si>
  <si>
    <t xml:space="preserve"> =ЕСЛИОШИБКА(ЕСЛИ(ВПР(ПСТР(C1;2;3)+0;тесты!A:A;1;0);"мегафон");"")</t>
  </si>
  <si>
    <t xml:space="preserve">В рамках лояльности и снижения финансовой нагрузки, успейте воспользоваться и войти в график платежей. Либо, предоставить предмет залога, </t>
  </si>
  <si>
    <t>ВАдоп3</t>
  </si>
  <si>
    <t xml:space="preserve">Залоговая стоимость предмета залога согласована Сторонами в размере </t>
  </si>
  <si>
    <t xml:space="preserve"> =ЕСЛИ(M1="Н";Шапка;ВАпродл)&amp;перСтр&amp;ИО&amp;Приветствие&amp;текстЧ1&amp;J1&amp;текстЧ2&amp;РУБЛЬ(оплата;0)&amp;" по Договору "&amp;Пени!B2&amp;действДО&amp;ЕСЛИ(выгода&gt;=1000;перСтр&amp;"*Вы экономите: "&amp;РУБЛЬ(выгода;0)&amp;"*";"")&amp;ЕСЛИ(ВАдоп1="";"";перСтр&amp;ВАдоп1&amp;ЕСЛИ(ДОдоп="";"";ДОдоп))&amp;ЕСЛИ(ВАдоп2="";"";перСтр&amp;ВАдоп2)&amp;" "&amp;ВПР(ЛЕВСИМВ(B1;10);[БД.xlsm]залог!$B:$C;2;0)&amp;" г.в. "&amp;ВАдоп3&amp; РУБЛЬ(ВПР(ЛЕВСИМВ(B1;10);[БД.xlsm]залог!$B:$E;4;0);0)&amp;"."&amp;перСтр&amp;"ООО «МФК «ВЗАИМНО»"</t>
  </si>
  <si>
    <t>СПИСЫВАЕМ ПРОЦЕНТЫ
*Вы экономите: 42 731 ₽*
Оксана Ярославовна, предложение предусматривает списание 1/2 просроченных процентов и все пени, при оплате 36 688 ₽ по Договору В-22627/КЛ.Транш - 1, до 23.05.2022!
В рамках лояльности и снижения финансовой нагрузки, успейте воспользоваться и войти в график платежей. Либо, предоставить предмет залога,  VOLKSWAGEN POLO, 2017 г.в. Залоговая стоимость предмета залога согласована Сторонами в размере 490 000 ₽.
ООО «МФК «ВЗАИМНО»</t>
  </si>
  <si>
    <t xml:space="preserve"> =ЕСЛИ(M1="Н";Шапка;ВАпродл)&amp;ЕСЛИ(выгода&gt;=1000;перСтр&amp;"*Вы экономите: "&amp;РУБЛЬ(выгода;0)&amp;"*";"")&amp;перСтр&amp;ИО&amp;Приветствие&amp;текстЧ1&amp;J1&amp;текстЧ2&amp;РУБЛЬ(оплата;0)&amp;" по Договору "&amp;Пени!B2&amp;действДО&amp;ЕСЛИ(ВАдоп1="";"";перСтр&amp;ВАдоп1&amp;ЕСЛИ(ДОдоп="";"";ДОдоп))&amp;ЕСЛИ(ВАдоп2="";"";перСтр&amp;ВАдоп2)&amp;" "&amp;ВПР(ЛЕВСИМВ(B1;10);[БД.xlsm]залог!$B:$C;2;0)&amp;" г.в. "&amp;ВАдоп3&amp; РУБЛЬ(ВПР(ЛЕВСИМВ(B1;10);[БД.xlsm]залог!$B:$E;4;0);0)&amp;"."&amp;перСтр&amp;"ООО «МФК «ВЗАИМНО»"</t>
  </si>
  <si>
    <t>СПИСЫВАЕМ ПРОЦЕНТЫ!</t>
  </si>
  <si>
    <t>Петров Денис Александрович</t>
  </si>
  <si>
    <t>ПорФИО</t>
  </si>
  <si>
    <t>&lt;center&gt;&lt;br&gt;&lt;br&gt;&lt;br&gt;&lt;em&gt;Системы кредитования «Взаимно»&lt;br&gt;123290, г. Москва, туп 1-й Магистральный, д. 11 стр. 10, пом. 1, ком. 2.&lt;br&gt;www.mfovzaimno.ru&lt;br&gt;+7 (495) 783 48 36, 8 (800) 555 83 46 (для регионов)&lt;/em&gt;&lt;/center&gt;</t>
  </si>
  <si>
    <t>Заключительное предсудебное предложение!</t>
  </si>
  <si>
    <t>Павлов Вячеслав Игоревич</t>
  </si>
  <si>
    <t>В-23370/КЛ.Транш - 2</t>
  </si>
  <si>
    <t>Крюков Сергей Викторович</t>
  </si>
  <si>
    <t>А-05392/АЗ</t>
  </si>
  <si>
    <t>Т-01827/АЗ_Т-20211028/Ц</t>
  </si>
  <si>
    <t>Кузьмичев Иван Сергеевич</t>
  </si>
  <si>
    <t>Тихонова Ирина Анатольевна</t>
  </si>
  <si>
    <t>В-03300/КЛ.Транш - 1</t>
  </si>
  <si>
    <t>В-20731/КЛ.Транш - 1</t>
  </si>
  <si>
    <t>Хадиев Фанис Рафисович</t>
  </si>
  <si>
    <t>В-20731/КЛ.Транш - 4</t>
  </si>
  <si>
    <t>Мокрицкий Константин Александрович</t>
  </si>
  <si>
    <t>В-22052/КЛ.Транш - 2</t>
  </si>
  <si>
    <t>Киселев Александр Максимович</t>
  </si>
  <si>
    <t>В-19346/КЛ.Транш - 2</t>
  </si>
  <si>
    <t>Порог</t>
  </si>
  <si>
    <t xml:space="preserve">Заключительное предсудебное предложение! </t>
  </si>
  <si>
    <t xml:space="preserve"> =ЕСЛИ(ВПР(B2;'[из 1С.xlsm]акция'!$B:$C;2;0)&gt;interface!A15;interface!A8;СМСшапка)&amp;F2&amp;", "&amp;СМС_до&amp;" "&amp;РУБЛЬ(K2;0)&amp;" по Договору "&amp;B2&amp;", а "&amp;L2&amp;" "&amp;P2&amp;N2</t>
  </si>
  <si>
    <t>Действует при РК</t>
  </si>
  <si>
    <t>да</t>
  </si>
  <si>
    <t>нет</t>
  </si>
  <si>
    <t xml:space="preserve">🎄 НОВОГОДНЕЕ СПИСАНИЕ! </t>
  </si>
  <si>
    <t>Приветствие2</t>
  </si>
  <si>
    <t>что-то</t>
  </si>
  <si>
    <t>Предложение 1</t>
  </si>
  <si>
    <t>Продление 2</t>
  </si>
  <si>
    <t>Предложение 2</t>
  </si>
  <si>
    <t>*Заключительное предсудебное предложение*</t>
  </si>
  <si>
    <t>Предложение 3</t>
  </si>
  <si>
    <t>В-22052/КЛ.Транш - 1</t>
  </si>
  <si>
    <t>Байрамов Сабир Вагифович</t>
  </si>
  <si>
    <t>В-21137/КЛ.Транш - 1</t>
  </si>
  <si>
    <t>Павлюк Татьяна Николаевна</t>
  </si>
  <si>
    <t>В-17747/КЛ.Транш - 1</t>
  </si>
  <si>
    <t>Шаулов Шаул Рамбомович</t>
  </si>
  <si>
    <t>В-06345/КЛ.Транш - 1</t>
  </si>
  <si>
    <t>Сапунов Дмитрий Владимирович</t>
  </si>
  <si>
    <t>В-01188/АЗ</t>
  </si>
  <si>
    <t>В-20731/КЛ.Транш - 5</t>
  </si>
  <si>
    <t>В-12574/КЛ.Транш - 1</t>
  </si>
  <si>
    <t>В-14816/КЛ.Транш - 6</t>
  </si>
  <si>
    <t>В-19346/КЛ.Транш - 3</t>
  </si>
  <si>
    <t>Королёв Сергей Николаевич</t>
  </si>
  <si>
    <t>В-18141/КЛ.Транш - 1</t>
  </si>
  <si>
    <t>Алешкевич Алексей Викторович</t>
  </si>
  <si>
    <t>Бунаков Алексей Вячеславович</t>
  </si>
  <si>
    <t>В-27410/КЛ.Транш - 1</t>
  </si>
  <si>
    <t>Дробот Роман Вячеславович</t>
  </si>
  <si>
    <t>В-12943/КЛ.Транш - 1</t>
  </si>
  <si>
    <t>В-14816/КЛ.Транш - 4</t>
  </si>
  <si>
    <t>Савчук Елена Александровна</t>
  </si>
  <si>
    <t>В-21872/КЛ.Транш - 1</t>
  </si>
  <si>
    <t>Загорулько Алексей Сергеевич</t>
  </si>
  <si>
    <t>В-26517/КЛ.Транш - 1</t>
  </si>
  <si>
    <t>В-02583/КЛ.Транш - 6</t>
  </si>
  <si>
    <t>В-17916/КЛ.Транш - 1</t>
  </si>
  <si>
    <t>В-12574/КЛ.Транш - 2</t>
  </si>
  <si>
    <t>В-16057/КЛ.Транш - 6</t>
  </si>
  <si>
    <t>Сидоренко Надежда Алексеевна</t>
  </si>
  <si>
    <t>В-25306/КЛ.Транш - 1</t>
  </si>
  <si>
    <t>В-27730/АЗ</t>
  </si>
  <si>
    <t>Саакян Людвик Геворгович</t>
  </si>
  <si>
    <t>В-06992/КЛ.Транш - 1</t>
  </si>
  <si>
    <t>Белорыбкин Михаил Васильевич</t>
  </si>
  <si>
    <t>В-19684/КЛ.Транш - 1</t>
  </si>
  <si>
    <t>В-14816/КЛ.Транш - 5</t>
  </si>
  <si>
    <t>Жирнов Игорь Владимирович</t>
  </si>
  <si>
    <t>В-08644/КЛ.Транш - 1</t>
  </si>
  <si>
    <t>В-14816/КЛ.Транш - 7</t>
  </si>
  <si>
    <t>Смирнов Игорь Александрович</t>
  </si>
  <si>
    <t>В-24580/КЛ.Транш - 1</t>
  </si>
  <si>
    <t>Романов Евгений Юрьевич</t>
  </si>
  <si>
    <t>В-00955/АЗ</t>
  </si>
  <si>
    <t>Набойченко Юлия Александровна</t>
  </si>
  <si>
    <t>В-25865/КЛ.Транш - 1</t>
  </si>
  <si>
    <t>Рамазанов Абакар Рамазанович</t>
  </si>
  <si>
    <t>Яковлев Борис Викторович</t>
  </si>
  <si>
    <t>В-25824/КЛ.Транш - 1</t>
  </si>
  <si>
    <t>А-04950/АЗ</t>
  </si>
  <si>
    <t>А-02/ВЗМ/Транш 6</t>
  </si>
  <si>
    <t>В-17232/КЛ.Транш - 1</t>
  </si>
  <si>
    <t>В-28501/КЛ</t>
  </si>
  <si>
    <t>В-01055/АЗ</t>
  </si>
  <si>
    <t>В-23104/КЛ.Транш - 1</t>
  </si>
  <si>
    <t>В-23555/КЛ.Транш - 2</t>
  </si>
  <si>
    <t>В-25351/КЛ</t>
  </si>
  <si>
    <t>В-25351/КЛ.Транш - 1</t>
  </si>
  <si>
    <t>В-05253/КЛ.Транш - 4</t>
  </si>
  <si>
    <t>В-13640/КЛ</t>
  </si>
  <si>
    <t>В-13640/КЛ.Транш - 1</t>
  </si>
  <si>
    <t>В-21321/КЛ.Транш - 1</t>
  </si>
  <si>
    <t>В-02125/КЛ.Транш - 2</t>
  </si>
  <si>
    <t>В-21094/КЛ.Транш - 1</t>
  </si>
  <si>
    <t>В-26827/КЛ.Транш - 1</t>
  </si>
  <si>
    <t>В-22101/КЛ.Транш - 1</t>
  </si>
  <si>
    <t>В-14920/КЛ.Транш - 1</t>
  </si>
  <si>
    <t>Меликян Эдуард Борисович</t>
  </si>
  <si>
    <t xml:space="preserve"> =ЕСЛИ(ВПР(Пени!B2;'C:\Users\s.kvasko\Desktop\акция\[из 1С.xlsm]акция'!$B:$L;11;0)=1;interface!$K$8;ЕСЛИ(ВПР(Пени!B2;'C:\Users\s.kvasko\Desktop\акция\[из 1С.xlsm]акция'!$B:$C;2;0)&gt;interface!$A$15;interface!$K$36;interface!$K$33))&amp;ЕСЛИ(выгода&gt;=1000;"%0A"&amp;"*Вы экономите: "&amp;РУБЛЬ(выгода;0)&amp;"*";"")&amp;"%0A"&amp;ИО&amp;Приветствие&amp;текстЧ1&amp;J1&amp;текстЧ2&amp;РУБЛЬ(оплата;0)&amp;" по Договору "&amp;Пени!B2&amp;действДО&amp;ЕСЛИ(ВАдоп1="";"";"%0A"&amp;ВАдоп1&amp;ЕСЛИ(ДОдоп="";"";ДОдоп))&amp;ЕСЛИ(ВАдоп2="";"";"%0A"&amp;ВАдоп2)&amp;" "&amp;ЕСЛИ(ВАдоп3&gt;"";ВПР(ЛЕВСИМВ(B1;10);'\\192.168.81.12\share\Отдел сопровождения кредитования\Работа с просрочкой\КСМ\подвал\[БД.xlsm]залог'!$B:$C;2;0)&amp;" г.в. "&amp;ВАдоп3&amp; РУБЛЬ(ВПР(ЛЕВСИМВ(B1;10);'\\192.168.81.12\share\Отдел сопровождения кредитования\Работа с просрочкой\КСМ\подвал\[БД.xlsm]залог'!$B:$E;4;0);0)&amp;".";"")&amp;"%0A"&amp;ЕСЛИ(interface!$A$18="да";"*Предложение действует также при реструктуризации займа*";"")&amp;"%0A"&amp;"_ООО «МКК «ВЗАИМНО»_"</t>
  </si>
  <si>
    <t>*Списание части долга!*%0A*Вы экономите: 7 697 ₽*%0AВячеслав Игоревич, предложение предусматривает списание 1/3 просроченных процентов и все пени, при оплате 13 679 ₽ по Договору В-12574/КЛ.Транш - 2,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</si>
  <si>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*Списание части долга!*%0A*Вы экономите: 21 242 ₽*%0AИван Сергеевич, предложение предусматривает списание 1/3 просроченных процентов и все пени, при оплате 36 015 ₽ по Договору В-20731/КЛ.Транш - 1,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</si>
  <si>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*Списание части долга!*%0A*Вы экономите: 10 591 ₽*%0AИван Сергеевич, предложение предусматривает списание 1/3 просроченных процентов и все пени, при оплате 14 593 ₽ по Договору В-20731/КЛ.Транш - 4,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</si>
  <si>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*Списание части долга!*%0A*Вы экономите: 5 314 ₽*%0AАлександр Максимович, предложение предусматривает списание 1/3 просроченных процентов и все пени, при оплате 7 722 ₽ по Договору В-19346/КЛ.Транш - 2,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</si>
  <si>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пени!*%0A*Вы экономите: 2 323 ₽*%0AИван Сергеевич, предложение предусматривает списание все пени, при оплате 14 200 ₽ по Договору В-20731/КЛ.Транш - 5,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</si>
  <si>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пени!*%0A*Вы экономите: 1 809 ₽*%0AВячеслав Игоревич, предложение предусматривает списание все пени, при оплате 9 846 ₽ по Договору В-12574/КЛ.Транш - 1,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</si>
  <si>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пени!*%0AФанис Рафисович, предложение предусматривает списание все пени, при оплате 4 521 ₽ по Договору В-14816/КЛ.Транш - 6,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</si>
  <si>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пени!*%0A*Вы экономите: 4 233 ₽*%0AАлександр Максимович, предложение предусматривает списание все пени, при оплате 19 459 ₽ по Договору В-19346/КЛ.Транш - 3,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</si>
  <si>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пени!*%0A*Вы экономите: 4 816 ₽*%0AСергей Николаевич, предложение предусматривает списание все пени, при оплате 23 282 ₽ по Договору В-18141/КЛ.Транш - 1,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</si>
  <si>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пени!*%0AАлексей Вячеславович, предложение предусматривает списание все пени, при оплате 71 557 ₽ по Договору В-27410/КЛ.Транш - 1,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</si>
  <si>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пени!*%0A*Вы экономите: 8 355 ₽*%0AЛюдвик Геворгович, предложение предусматривает списание все пени, при оплате 67 388 ₽ по Договору В-06992/КЛ.Транш - 1,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</si>
  <si>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пени!*%0A*Вы экономите: 8 355 ₽*%0AЭдуард Борисович, предложение предусматривает списание все пени, при оплате 67 388 ₽ по Договору В-06992/КЛ.Транш - 1,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</si>
  <si>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пени!*%0A*Вы экономите: 4 728 ₽*%0AРоман Вячеславович, предложение предусматривает списание все пени, при оплате 46 329 ₽ по Договору В-12943/КЛ.Транш - 1,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</si>
  <si>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пени!*%0AФанис Рафисович, предложение предусматривает списание все пени, при оплате 8 404 ₽ по Договору В-14816/КЛ.Транш - 4,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</si>
  <si>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пени!*%0A*Вы экономите: 8 026 ₽*%0AЕлена Александровна, предложение предусматривает списание все пени, при оплате 108 754 ₽ по Договору В-21872/КЛ.Транш - 1,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</si>
  <si>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пени!*%0A*Вы экономите: 2 026 ₽*%0AИрина Анатольевна, предложение предусматривает списание все пени, при оплате 61 435 ₽ по Договору В-03300/КЛ.Транш - 1,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</si>
  <si>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пени!*%0A*Вы экономите: 2 405 ₽*%0AАлексей Сергеевич, предложение предусматривает списание все пени, при оплате 18 288 ₽ по Договору В-26517/КЛ.Транш - 1,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</si>
  <si>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пени!*%0A*Вы экономите: 4 464 ₽*%0AАлексей Викторович, предложение предусматривает списание все пени, при оплате 11 743 ₽ по Договору В-23370/КЛ.Транш - 2,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</si>
  <si>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пени!*%0AСергей Викторович, предложение предусматривает списание все пени, при оплате 32 095 ₽ по Договору А-05392/АЗ,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</si>
  <si>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пени!*%0AСергей Викторович, предложение предусматривает списание все пени, при оплате 32 095 ₽ по Договору Т-01827/АЗ_Т-20211028/Ц,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</si>
  <si>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пени!*%0A*Вы экономите: 4 366 ₽*%0AМихаил Васильевич, предложение предусматривает списание все пени, при оплате 27 762 ₽ по Договору В-19684/КЛ.Транш - 1,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</si>
  <si>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пени!*%0AФанис Рафисович, предложение предусматривает списание все пени, при оплате 7 545 ₽ по Договору В-14816/КЛ.Транш - 5,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</si>
  <si>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пени!*%0A*Вы экономите: 2 386 ₽*%0AИгорь Владимирович, предложение предусматривает списание все пени, при оплате 6 569 ₽ по Договору В-08644/КЛ.Транш - 1,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</si>
  <si>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пени!*%0AФанис Рафисович, предложение предусматривает списание все пени, при оплате 6 279 ₽ по Договору В-14816/КЛ.Транш - 7,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</si>
  <si>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пени!*%0A*Вы экономите: 1 269 ₽*%0AКонстантин Александрович, предложение предусматривает списание все пени, при оплате 11 932 ₽ по Договору В-22052/КЛ.Транш - 2,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</si>
  <si>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пени!*%0A*Вы экономите: 10 300 ₽*%0AНадежда Алексеевна, предложение предусматривает списание все пени, при оплате 101 239 ₽ по Договору В-25306/КЛ.Транш - 1,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</si>
  <si>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пени!*%0A*Вы экономите: 5 696 ₽*%0AИгорь Александрович, предложение предусматривает списание все пени, при оплате 27 738 ₽ по Договору В-24580/КЛ.Транш - 1,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</si>
  <si>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пени!*%0A*Вы экономите: 3 990 ₽*%0AЕвгений Юрьевич, предложение предусматривает списание все пени, при оплате 46 221 ₽ по Договору В-00955/АЗ,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</si>
  <si>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пени!*%0A*Вы экономите: 5 656 ₽*%0AЮлия Александровна, предложение предусматривает списание все пени, при оплате 33 191 ₽ по Договору В-25865/КЛ.Транш - 1,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</si>
  <si>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пени!*%0A*Вы экономите: 1 611 ₽*%0AАбакар Рамазанович, предложение предусматривает списание все пени, при оплате 9 993 ₽ по Договору В-17916/КЛ.Транш - 1,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</si>
  <si>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пени!*%0A*Вы экономите: 10 894 ₽*%0AБорис Викторович, предложение предусматривает списание все пени, при оплате 14 730 ₽ по Договору В-25824/КЛ.Транш - 1,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</si>
  <si>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пени!*%0A*Вы экономите: 1 088 ₽*%0AКонстантин Александрович, предложение предусматривает списание все пени, при оплате 17 432 ₽ по Договору В-22052/КЛ.Транш - 1,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</si>
  <si>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пени!*%0AСабир Вагифович, предложение предусматривает списание все пени, при оплате 5 840 ₽ по Договору В-21137/КЛ.Транш - 1,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</si>
  <si>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пени!*%0A*Вы экономите: 2 192 ₽*%0AТатьяна Николаевна, предложение предусматривает списание все пени, при оплате 11 854 ₽ по Договору В-17747/КЛ.Транш - 1,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</si>
  <si>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пени!*%0A*Вы экономите: 1 236 ₽*%0AШаул Рамбомович, предложение предусматривает списание все пени, при оплате 10 772 ₽ по Договору В-06345/КЛ.Транш - 1,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</si>
  <si>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*Прощение пени!*%0AДмитрий Владимирович, предложение предусматривает списание все пени, при оплате 8 869 ₽ по Договору В-01188/АЗ, до 31.01.2023!%0AВ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займа*%0A_ООО «МКК «ВЗАИМНО»_</t>
  </si>
  <si>
    <t>ДА</t>
  </si>
  <si>
    <t>НЕТ</t>
  </si>
  <si>
    <t>def_buron2@mail.ru</t>
  </si>
  <si>
    <t>89184037119@mail.ru</t>
  </si>
  <si>
    <t>yuliya-nabojchenko@yandex.ru</t>
  </si>
  <si>
    <t>sabir_bayramov_93@mail.ru</t>
  </si>
  <si>
    <t>Никулкин Андрей Викторович</t>
  </si>
  <si>
    <t>В-24247/КЛ.Транш - 1</t>
  </si>
  <si>
    <t>Левченков Георгий Михайлович</t>
  </si>
  <si>
    <t>В-28436/АЗ</t>
  </si>
  <si>
    <t>Журавлёв Денис Сергеевич</t>
  </si>
  <si>
    <t>В-25052/КЛ.Транш - 1</t>
  </si>
  <si>
    <t>Аракелян Михаил Герасимович</t>
  </si>
  <si>
    <t>В-21973/КЛ.Транш - 1</t>
  </si>
  <si>
    <t>Цинская Ольга Игоревна</t>
  </si>
  <si>
    <t>В-27049/АЗ</t>
  </si>
  <si>
    <t>Лемкин Николай Иванович</t>
  </si>
  <si>
    <t>В-26664/КЛ.Транш - 1</t>
  </si>
  <si>
    <t>Адамов Николай Олегович</t>
  </si>
  <si>
    <t>В-04727/КЛ.Транш - 1</t>
  </si>
  <si>
    <t>Годуйко Николай Николаевич</t>
  </si>
  <si>
    <t>В-27315/КЛ.Транш - 1</t>
  </si>
  <si>
    <t>Корнилова Наталия Владимировна</t>
  </si>
  <si>
    <t>В-18496/КЛ.Транш - 1</t>
  </si>
  <si>
    <t>до 24.03.2023 (включительно), оплатите</t>
  </si>
  <si>
    <t>До 24.03.2023 (включительно), оплатите</t>
  </si>
  <si>
    <t>, до 24.03.2023 (включительно)!</t>
  </si>
  <si>
    <t>yakovlevbv@techstroy.su</t>
  </si>
  <si>
    <t>svetach777@gmail.com</t>
  </si>
  <si>
    <t>Andrey.nikylki@inbox.ru</t>
  </si>
  <si>
    <t>Levaenkovgeorguy@gmail.com</t>
  </si>
  <si>
    <t>deniszhuravlyev80@gmail.com</t>
  </si>
  <si>
    <t>arakelyan15@mail.ru</t>
  </si>
  <si>
    <t>olga_tsin@bk.ru</t>
  </si>
  <si>
    <t>nikolaylemkin0771@gmail.com</t>
  </si>
  <si>
    <t>adam_n@list.ru</t>
  </si>
  <si>
    <t>nikolj.godujko@gmail.com</t>
  </si>
  <si>
    <t>natalinail1219@gmail.com</t>
  </si>
  <si>
    <t>shaulovshaul2019@yandex.ru</t>
  </si>
  <si>
    <t>logist_lider-m@mail.ru</t>
  </si>
  <si>
    <t>*Списание части долга!*%0A*Вы экономите: 80 611 ₽*%0A%0AНадежда Алексеевна, предложение предусматривает списание 1/3 просроченных процентов и все пени, при оплате 109 295 ₽ по Договору В-25306/КЛ.Транш - 1, до 24.03.2023 (включительно)!%0AВ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займа*%0A%0A_ООО «МКК «ВЗАИМНО»_</t>
  </si>
  <si>
    <t>*Списание части долга!*%0A*Вы экономите: 48 042 ₽*%0A%0AЮлия Александровна, предложение предусматривает списание 1/3 просроченных процентов и все пени, при оплате 72 788 ₽ по Договору В-25865/КЛ.Транш - 1, до 24.03.2023 (включительно)!%0AВ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займа*%0A%0A_ООО «МКК «ВЗАИМНО»_</t>
  </si>
  <si>
    <t>*Списание части долга!*%0A*Вы экономите: 16 316 ₽*%0A%0AБорис Викторович, предложение предусматривает списание 1/3 просроченных процентов и все пени, при оплате 22 994 ₽ по Договору В-25824/КЛ.Транш - 1, до 24.03.2023 (включительно)!%0AВ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займа*%0A%0A_ООО «МКК «ВЗАИМНО»_</t>
  </si>
  <si>
    <t>*Списание части долга!*%0A*Вы экономите: 4 436 ₽*%0A%0AСабир Вагифович, предложение предусматривает списание 1/3 просроченных процентов и все пени, при оплате 11 219 ₽ по Договору В-21137/КЛ.Транш - 1, до 24.03.2023 (включительно)!%0AВ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займа*%0A%0A_ООО «МКК «ВЗАИМНО»_</t>
  </si>
  <si>
    <t>*Списание части долга!*%0A*Вы экономите: 6 863 ₽*%0A%0AШаул Рамбомович, предложение предусматривает списание 1/3 просроченных процентов и все пени, при оплате 18 159 ₽ по Договору В-06345/КЛ.Транш - 1, до 24.03.2023 (включительно)!%0AВ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займа*%0A%0A_ООО «МКК «ВЗАИМНО»_</t>
  </si>
  <si>
    <t>*Списание части долга!*%0A*Вы экономите: 13 109 ₽*%0A%0AРоман Вячеславович, предложение предусматривает списание 1/3 просроченных процентов и все пени, при оплате 35 738 ₽ по Договору В-12943/КЛ.Транш - 1, до 24.03.2023 (включительно)!%0AВ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займа*%0A%0A_ООО «МКК «ВЗАИМНО»_</t>
  </si>
  <si>
    <t>*Списание части долга!*%0A*Вы экономите: 19 368 ₽*%0A%0AАндрей Викторович, предложение предусматривает списание 1/3 просроченных процентов и все пени, при оплате 29 506 ₽ по Договору В-24247/КЛ.Транш - 1, до 24.03.2023 (включительно)!%0AВ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займа*%0A%0A_ООО «МКК «ВЗАИМНО»_</t>
  </si>
  <si>
    <t>*Списание части долга!*%0A*Вы экономите: 19 305 ₽*%0A%0AГеоргий Михайлович, предложение предусматривает списание 1/3 просроченных процентов и все пени, при оплате 43 853 ₽ по Договору В-28436/АЗ, до 24.03.2023 (включительно)!%0AВ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займа*%0A%0A_ООО «МКК «ВЗАИМНО»_</t>
  </si>
  <si>
    <t>*Списание части долга!*%0A*Вы экономите: 39 566 ₽*%0A%0AДенис Сергеевич, предложение предусматривает списание 1/3 просроченных процентов и все пени, при оплате 44 646 ₽ по Договору В-25052/КЛ.Транш - 1, до 24.03.2023 (включительно)!%0AВ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займа*%0A%0A_ООО «МКК «ВЗАИМНО»_</t>
  </si>
  <si>
    <t>*Списание части долга!*%0A*Вы экономите: 27 887 ₽*%0A%0AМихаил Герасимович, предложение предусматривает списание 1/3 просроченных процентов и все пени, при оплате 53 578 ₽ по Договору В-21973/КЛ.Транш - 1, до 24.03.2023 (включительно)!%0AВ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займа*%0A%0A_ООО «МКК «ВЗАИМНО»_</t>
  </si>
  <si>
    <t>*Списание части долга!*%0A*Вы экономите: 11 261 ₽*%0A%0AОльга Игоревна, предложение предусматривает списание 1/3 просроченных процентов и все пени, при оплате 27 562 ₽ по Договору В-27049/АЗ, до 24.03.2023 (включительно)!%0AВ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займа*%0A%0A_ООО «МКК «ВЗАИМНО»_</t>
  </si>
  <si>
    <t>*Списание части долга!*%0A*Вы экономите: 1 115 ₽*%0A%0AВячеслав Игоревич, предложение предусматривает списание все пени, при оплате 6 101 ₽ по Договору В-12574/КЛ.Транш - 2, до 24.03.2023 (включительно)!%0AВ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займа*%0A%0A_ООО «МКК «ВЗАИМНО»_</t>
  </si>
  <si>
    <t>*Списание части долга!*%0A*Вы экономите: 6 198 ₽*%0A%0AНиколай Иванович, предложение предусматривает списание все пени, при оплате 13 106 ₽ по Договору В-26664/КЛ.Транш - 1, до 24.03.2023 (включительно)!%0AВ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займа*%0A%0A_ООО «МКК «ВЗАИМНО»_</t>
  </si>
  <si>
    <t>*Списание части долга!*%0A%0AНиколай Олегович, предложение предусматривает списание все пени, при оплате 33 574 ₽ по Договору В-04727/КЛ.Транш - 1, до 24.03.2023 (включительно)!%0AВ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займа*%0A%0A_ООО «МКК «ВЗАИМНО»_</t>
  </si>
  <si>
    <t>*Списание части долга!*%0A%0AНиколай Николаевич, предложение предусматривает списание все пени, при оплате 8 340 ₽ по Договору В-27315/КЛ.Транш - 1, до 24.03.2023 (включительно)!%0AВ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займа*%0A%0A_ООО «МКК «ВЗАИМНО»_</t>
  </si>
  <si>
    <t>*Списание части долга!*%0A*Вы экономите: 1 473 ₽*%0A%0AНаталия Владимировна, предложение предусматривает списание все пени, при оплате 11 988 ₽ по Договору В-18496/КЛ.Транш - 1, до 24.03.2023 (включительно)!%0AВ рамках лояльности и снижения финансовой нагрузки, мы делаем разовое предложение, успейте воспользоваться и войти в график платежей. %0A*Предложение действует также при реструктуризации займа*%0A%0A_ООО «МКК «ВЗАИМНО»_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</si>
</sst>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6" fillId="0" borderId="0" xfId="0" applyFont="1"/>
    <xf numFmtId="0" fontId="0" fillId="0" borderId="0" xfId="0" quotePrefix="1"/>
    <xf numFmtId="0" fontId="7" fillId="2" borderId="1" xfId="0" applyFont="1" applyFill="1" applyBorder="1" applyAlignment="1">
      <alignment horizontal="center"/>
    </xf>
    <xf numFmtId="0" fontId="8" fillId="0" borderId="0" xfId="0" applyFont="1"/>
    <xf numFmtId="0" fontId="5" fillId="0" borderId="0" xfId="0" applyFont="1"/>
    <xf numFmtId="0" fontId="4" fillId="0" borderId="0" xfId="0" applyFont="1"/>
    <xf numFmtId="0" fontId="3" fillId="0" borderId="0" xfId="0" applyFont="1"/>
    <xf numFmtId="0" fontId="10" fillId="2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7" fillId="2" borderId="1" xfId="0" applyFont="1" applyFill="1" applyBorder="1" applyAlignment="1">
      <alignment horizontal="center" wrapText="1"/>
    </xf>
    <xf numFmtId="14" fontId="0" fillId="0" borderId="0" xfId="0" applyNumberFormat="1"/>
    <xf numFmtId="0" fontId="2" fillId="0" borderId="0" xfId="0" applyFont="1"/>
    <xf numFmtId="14" fontId="7" fillId="0" borderId="1" xfId="0" applyNumberFormat="1" applyFont="1" applyBorder="1"/>
    <xf numFmtId="14" fontId="7" fillId="0" borderId="0" xfId="0" applyNumberFormat="1" applyFont="1"/>
    <xf numFmtId="14" fontId="7" fillId="0" borderId="5" xfId="0" applyNumberFormat="1" applyFont="1" applyBorder="1"/>
    <xf numFmtId="0" fontId="0" fillId="0" borderId="6" xfId="0" applyBorder="1"/>
    <xf numFmtId="0" fontId="0" fillId="0" borderId="5" xfId="0" applyBorder="1"/>
    <xf numFmtId="0" fontId="7" fillId="0" borderId="3" xfId="0" applyFont="1" applyBorder="1" applyAlignment="1">
      <alignment horizontal="left" vertical="center"/>
    </xf>
    <xf numFmtId="0" fontId="0" fillId="0" borderId="4" xfId="0" applyBorder="1"/>
    <xf numFmtId="0" fontId="1" fillId="0" borderId="0" xfId="0" applyFont="1"/>
    <xf numFmtId="0" fontId="10" fillId="2" borderId="9" xfId="0" applyFont="1" applyFill="1" applyBorder="1" applyAlignment="1">
      <alignment horizontal="center"/>
    </xf>
    <xf numFmtId="0" fontId="7" fillId="0" borderId="0" xfId="0" applyFont="1"/>
    <xf numFmtId="0" fontId="12" fillId="0" borderId="0" xfId="0" applyFont="1"/>
    <xf numFmtId="0" fontId="0" fillId="0" borderId="2" xfId="0" applyBorder="1"/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ill="1"/>
    <xf numFmtId="0" fontId="0" fillId="3" borderId="0" xfId="0" applyFill="1"/>
  </cellXfs>
  <cellStyles count="1">
    <cellStyle name="Обычный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50985</xdr:colOff>
      <xdr:row>0</xdr:row>
      <xdr:rowOff>0</xdr:rowOff>
    </xdr:from>
    <xdr:to>
      <xdr:col>8</xdr:col>
      <xdr:colOff>558614</xdr:colOff>
      <xdr:row>5</xdr:row>
      <xdr:rowOff>73037</xdr:rowOff>
    </xdr:to>
    <xdr:sp macro="[0]!ONEC_clear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49B2F5E5-DFDB-4B0B-8873-FC5B35D17F70}"/>
            </a:ext>
          </a:extLst>
        </xdr:cNvPr>
        <xdr:cNvSpPr/>
      </xdr:nvSpPr>
      <xdr:spPr>
        <a:xfrm>
          <a:off x="4394385" y="0"/>
          <a:ext cx="1117229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🧹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41;&#1044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0;&#1079;%201&#105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ел(заем)"/>
      <sheetName val="тел(заемРасш)"/>
      <sheetName val="email(заем)"/>
      <sheetName val="тел(пор)"/>
      <sheetName val="email(пор)"/>
      <sheetName val="дог-займ"/>
      <sheetName val="адреса"/>
      <sheetName val="ЧасПоя"/>
      <sheetName val="МСП"/>
      <sheetName val="залог"/>
      <sheetName val="xforms"/>
    </sheetNames>
    <sheetDataSet>
      <sheetData sheetId="0">
        <row r="1">
          <cell r="B1" t="str">
            <v>Займ предоставленный.Номер договора</v>
          </cell>
          <cell r="C1" t="str">
            <v>Телефон домашний</v>
          </cell>
          <cell r="D1" t="str">
            <v>Телефон мобильный</v>
          </cell>
          <cell r="E1" t="str">
            <v>Мобильный телефон (2)</v>
          </cell>
          <cell r="F1" t="str">
            <v>Личный кабинет (Физические лица)</v>
          </cell>
        </row>
        <row r="2">
          <cell r="B2" t="str">
            <v>Т-10003/КЭ_Т-20211028/Ц</v>
          </cell>
        </row>
        <row r="3">
          <cell r="B3" t="str">
            <v>В-20940/КЛ.Транш - 1</v>
          </cell>
          <cell r="D3">
            <v>79658884555</v>
          </cell>
          <cell r="F3">
            <v>79658884555</v>
          </cell>
        </row>
        <row r="4">
          <cell r="B4" t="str">
            <v>В-26054/КЛ.Транш - 4</v>
          </cell>
          <cell r="D4">
            <v>79265916535</v>
          </cell>
          <cell r="F4">
            <v>79265916535</v>
          </cell>
        </row>
        <row r="5">
          <cell r="B5" t="str">
            <v>В-26054/КЛ.Транш - 1</v>
          </cell>
          <cell r="D5">
            <v>79265916535</v>
          </cell>
          <cell r="F5">
            <v>79265916535</v>
          </cell>
        </row>
        <row r="6">
          <cell r="B6" t="str">
            <v>В-26054/КЛ.Транш - 2</v>
          </cell>
          <cell r="D6">
            <v>79265916535</v>
          </cell>
          <cell r="F6">
            <v>79265916535</v>
          </cell>
        </row>
        <row r="7">
          <cell r="B7" t="str">
            <v>В-28360/КЛ.Транш - 1</v>
          </cell>
          <cell r="D7">
            <v>79254074074</v>
          </cell>
        </row>
        <row r="8">
          <cell r="B8" t="str">
            <v>В-01204/АЗ</v>
          </cell>
          <cell r="D8">
            <v>89260797820</v>
          </cell>
          <cell r="F8">
            <v>79260797820</v>
          </cell>
        </row>
        <row r="9">
          <cell r="B9" t="str">
            <v>В-24257/АЗ</v>
          </cell>
          <cell r="D9">
            <v>89260797820</v>
          </cell>
          <cell r="F9">
            <v>79260797820</v>
          </cell>
        </row>
        <row r="10">
          <cell r="B10" t="str">
            <v>В-19549/КЛ.Транш - 1</v>
          </cell>
          <cell r="D10">
            <v>79110281881</v>
          </cell>
          <cell r="F10">
            <v>79110281881</v>
          </cell>
        </row>
        <row r="11">
          <cell r="B11" t="str">
            <v>В-28383/КЛ.Транш - 1</v>
          </cell>
          <cell r="D11">
            <v>79655911940</v>
          </cell>
        </row>
        <row r="12">
          <cell r="B12" t="str">
            <v>В-08251/КЛ.Транш - 1</v>
          </cell>
          <cell r="D12">
            <v>89182111772</v>
          </cell>
          <cell r="F12">
            <v>79182111772</v>
          </cell>
        </row>
        <row r="13">
          <cell r="B13" t="str">
            <v>В-11521/КЛ.Транш - 1</v>
          </cell>
          <cell r="D13">
            <v>79872423129</v>
          </cell>
          <cell r="F13">
            <v>79872423129</v>
          </cell>
        </row>
        <row r="14">
          <cell r="B14" t="str">
            <v>В-01192/АЗ</v>
          </cell>
          <cell r="D14">
            <v>89096285971</v>
          </cell>
          <cell r="F14">
            <v>79096285971</v>
          </cell>
        </row>
        <row r="15">
          <cell r="B15" t="str">
            <v>В-00116/КЛ.Транш - 4</v>
          </cell>
          <cell r="D15">
            <v>89057756992</v>
          </cell>
          <cell r="F15">
            <v>79057756992</v>
          </cell>
        </row>
        <row r="16">
          <cell r="B16" t="str">
            <v>В-25132/КЛ.Транш - 1</v>
          </cell>
          <cell r="D16">
            <v>89057756992</v>
          </cell>
          <cell r="F16">
            <v>79057756992</v>
          </cell>
        </row>
        <row r="17">
          <cell r="B17" t="str">
            <v>В-25132/КЛ.Транш - 2</v>
          </cell>
          <cell r="D17">
            <v>89057756992</v>
          </cell>
          <cell r="F17">
            <v>79057756992</v>
          </cell>
        </row>
        <row r="18">
          <cell r="B18" t="str">
            <v>В-03960/КЛ.Транш - 1_В-20211230/Ц</v>
          </cell>
          <cell r="D18">
            <v>79856839982</v>
          </cell>
          <cell r="F18">
            <v>79856839982</v>
          </cell>
        </row>
        <row r="19">
          <cell r="B19" t="str">
            <v>В-09625/КЛ.Транш - 1</v>
          </cell>
          <cell r="D19">
            <v>79787145838</v>
          </cell>
          <cell r="F19">
            <v>79787145838</v>
          </cell>
        </row>
        <row r="20">
          <cell r="B20" t="str">
            <v>В-00172/КЛ.Транш - 1</v>
          </cell>
          <cell r="D20">
            <v>79647779397</v>
          </cell>
          <cell r="F20">
            <v>79647779397</v>
          </cell>
        </row>
        <row r="21">
          <cell r="B21" t="str">
            <v>В-08416/КЛ.Транш - 1</v>
          </cell>
          <cell r="D21">
            <v>79114003384</v>
          </cell>
          <cell r="F21">
            <v>79114003384</v>
          </cell>
        </row>
        <row r="22">
          <cell r="B22" t="str">
            <v>А-04275/АЗ</v>
          </cell>
          <cell r="D22">
            <v>79853095796</v>
          </cell>
          <cell r="E22">
            <v>79853095796</v>
          </cell>
        </row>
        <row r="23">
          <cell r="B23" t="str">
            <v>Т-01875/АЗ_Т-20211028/Ц</v>
          </cell>
          <cell r="D23">
            <v>79645325344</v>
          </cell>
          <cell r="E23">
            <v>79645325344</v>
          </cell>
          <cell r="F23">
            <v>79645325344</v>
          </cell>
        </row>
        <row r="24">
          <cell r="B24" t="str">
            <v>В-02064/КЛ.Транш - 3</v>
          </cell>
          <cell r="D24">
            <v>79015017090</v>
          </cell>
          <cell r="F24">
            <v>79015017090</v>
          </cell>
        </row>
        <row r="25">
          <cell r="B25" t="str">
            <v>В-02064/КЛ.Транш - 2</v>
          </cell>
          <cell r="D25">
            <v>79015017090</v>
          </cell>
          <cell r="F25">
            <v>79015017090</v>
          </cell>
        </row>
        <row r="26">
          <cell r="B26" t="str">
            <v>В-02064/КЛ.Транш - 4</v>
          </cell>
          <cell r="D26">
            <v>79015017090</v>
          </cell>
          <cell r="F26">
            <v>79015017090</v>
          </cell>
        </row>
        <row r="27">
          <cell r="B27" t="str">
            <v>В-00046/АЗ</v>
          </cell>
          <cell r="C27">
            <v>89034513999</v>
          </cell>
          <cell r="D27">
            <v>89268240461</v>
          </cell>
          <cell r="F27">
            <v>79268240461</v>
          </cell>
        </row>
        <row r="28">
          <cell r="B28" t="str">
            <v>В-19526/КЛ.Транш - 1</v>
          </cell>
          <cell r="D28">
            <v>79777711739</v>
          </cell>
          <cell r="E28">
            <v>79685887023</v>
          </cell>
          <cell r="F28">
            <v>79777711739</v>
          </cell>
        </row>
        <row r="29">
          <cell r="B29" t="str">
            <v>В-00033/КЭ.Транш - 1</v>
          </cell>
        </row>
        <row r="30">
          <cell r="B30" t="str">
            <v>В-00033/КЭ.Транш - 2</v>
          </cell>
        </row>
        <row r="31">
          <cell r="B31" t="str">
            <v>В-09974/КЛ.Транш - 2</v>
          </cell>
          <cell r="D31">
            <v>79615412222</v>
          </cell>
          <cell r="F31">
            <v>79615412222</v>
          </cell>
        </row>
        <row r="32">
          <cell r="B32" t="str">
            <v>В-18791/КЛ.Транш - 1</v>
          </cell>
          <cell r="D32">
            <v>79307087581</v>
          </cell>
          <cell r="F32">
            <v>79307087581</v>
          </cell>
        </row>
        <row r="33">
          <cell r="B33" t="str">
            <v>В-25003/КЛ.Транш - 2</v>
          </cell>
          <cell r="D33">
            <v>79995894101</v>
          </cell>
          <cell r="F33">
            <v>79995894101</v>
          </cell>
        </row>
        <row r="34">
          <cell r="B34" t="str">
            <v>В-25003/КЛ.Транш - 3</v>
          </cell>
          <cell r="D34">
            <v>79995894101</v>
          </cell>
          <cell r="F34">
            <v>79995894101</v>
          </cell>
        </row>
        <row r="35">
          <cell r="B35" t="str">
            <v>В-25003/КЛ.Транш - 1</v>
          </cell>
          <cell r="D35">
            <v>79995894101</v>
          </cell>
          <cell r="F35">
            <v>79995894101</v>
          </cell>
        </row>
        <row r="36">
          <cell r="B36" t="str">
            <v>Т-01886/АЗ_Т-20211028/Ц</v>
          </cell>
          <cell r="C36">
            <v>74991492111</v>
          </cell>
          <cell r="D36">
            <v>79653933606</v>
          </cell>
          <cell r="E36">
            <v>79653933606</v>
          </cell>
          <cell r="F36">
            <v>79653933606</v>
          </cell>
        </row>
        <row r="37">
          <cell r="B37" t="str">
            <v>В-12789/КЛ.Транш - 1</v>
          </cell>
          <cell r="D37">
            <v>89035312601</v>
          </cell>
          <cell r="F37">
            <v>79035312601</v>
          </cell>
        </row>
        <row r="38">
          <cell r="B38" t="str">
            <v>В-14482/КЛ.Транш - 1</v>
          </cell>
          <cell r="D38">
            <v>79647724385</v>
          </cell>
          <cell r="F38">
            <v>79647724385</v>
          </cell>
        </row>
        <row r="39">
          <cell r="B39" t="str">
            <v>Т-01675/АЗ_Т-20210903/Ц</v>
          </cell>
          <cell r="D39">
            <v>79119621549</v>
          </cell>
          <cell r="E39">
            <v>79119621549</v>
          </cell>
          <cell r="F39">
            <v>79119621549</v>
          </cell>
        </row>
        <row r="40">
          <cell r="B40" t="str">
            <v>А-04839/АЗ_А-20210903/Ц</v>
          </cell>
          <cell r="D40">
            <v>79119621549</v>
          </cell>
          <cell r="E40">
            <v>79119621549</v>
          </cell>
          <cell r="F40">
            <v>79119621549</v>
          </cell>
        </row>
        <row r="41">
          <cell r="B41" t="str">
            <v>В-30005/КЭ.Транш - 1</v>
          </cell>
        </row>
        <row r="42">
          <cell r="B42" t="str">
            <v>В-24642/АЗ</v>
          </cell>
          <cell r="D42">
            <v>79380282288</v>
          </cell>
          <cell r="F42">
            <v>79380282288</v>
          </cell>
        </row>
        <row r="43">
          <cell r="B43" t="str">
            <v>В-04727/КЛ.Транш - 1</v>
          </cell>
          <cell r="D43" t="str">
            <v>79217569433, 79123055641</v>
          </cell>
          <cell r="F43">
            <v>79217569433</v>
          </cell>
        </row>
        <row r="44">
          <cell r="B44" t="str">
            <v>В-03599/КЛ.Транш - 1</v>
          </cell>
          <cell r="D44">
            <v>79169407050</v>
          </cell>
          <cell r="F44">
            <v>79169407050</v>
          </cell>
        </row>
        <row r="45">
          <cell r="B45" t="str">
            <v>В-21938/КЛ.Транш - 1</v>
          </cell>
          <cell r="D45">
            <v>79266140916</v>
          </cell>
          <cell r="F45">
            <v>79266140916</v>
          </cell>
        </row>
        <row r="46">
          <cell r="B46" t="str">
            <v>В-21938/КЛ.Транш - 3</v>
          </cell>
          <cell r="D46">
            <v>79266140916</v>
          </cell>
          <cell r="F46">
            <v>79266140916</v>
          </cell>
        </row>
        <row r="47">
          <cell r="B47" t="str">
            <v>В-21938/КЛ.Транш - 2</v>
          </cell>
          <cell r="D47">
            <v>79266140916</v>
          </cell>
          <cell r="F47">
            <v>79266140916</v>
          </cell>
        </row>
        <row r="48">
          <cell r="B48" t="str">
            <v>В-00079/КЛ.Транш - 2</v>
          </cell>
          <cell r="D48">
            <v>79998431105</v>
          </cell>
          <cell r="F48">
            <v>79998431105</v>
          </cell>
        </row>
        <row r="49">
          <cell r="B49" t="str">
            <v>В-10841/КЛ.Транш - 1</v>
          </cell>
          <cell r="D49">
            <v>79899072129</v>
          </cell>
          <cell r="F49">
            <v>79899072129</v>
          </cell>
        </row>
        <row r="50">
          <cell r="B50" t="str">
            <v>В-01211/АЗ</v>
          </cell>
          <cell r="D50">
            <v>89661239595</v>
          </cell>
          <cell r="F50">
            <v>79661239595</v>
          </cell>
        </row>
        <row r="51">
          <cell r="B51" t="str">
            <v>В-01035/КЛ.Транш - 1_В-20211230/Ц</v>
          </cell>
          <cell r="D51">
            <v>79250377827</v>
          </cell>
          <cell r="F51">
            <v>79250377827</v>
          </cell>
        </row>
        <row r="52">
          <cell r="B52" t="str">
            <v>В-25131/КЛ.Транш - 1</v>
          </cell>
          <cell r="D52">
            <v>79185287135</v>
          </cell>
          <cell r="F52">
            <v>79185287135</v>
          </cell>
        </row>
        <row r="53">
          <cell r="B53" t="str">
            <v>В-22453/АЗ</v>
          </cell>
          <cell r="D53">
            <v>89035459004</v>
          </cell>
          <cell r="F53">
            <v>79035459004</v>
          </cell>
        </row>
        <row r="54">
          <cell r="B54" t="str">
            <v>В-01271/КЛ.Транш - 4_В-20211230/Ц</v>
          </cell>
          <cell r="D54">
            <v>89015596383</v>
          </cell>
          <cell r="E54">
            <v>89680000101</v>
          </cell>
          <cell r="F54">
            <v>79015596383</v>
          </cell>
        </row>
        <row r="55">
          <cell r="B55" t="str">
            <v>В-01271/КЛ.Транш - 3_В-20211230/Ц</v>
          </cell>
          <cell r="D55">
            <v>89015596383</v>
          </cell>
          <cell r="E55">
            <v>89680000101</v>
          </cell>
          <cell r="F55">
            <v>79015596383</v>
          </cell>
        </row>
        <row r="56">
          <cell r="B56" t="str">
            <v>В-01271/КЛ.Транш - 6_В-20211230/Ц</v>
          </cell>
          <cell r="D56">
            <v>89015596383</v>
          </cell>
          <cell r="E56">
            <v>89680000101</v>
          </cell>
          <cell r="F56">
            <v>79015596383</v>
          </cell>
        </row>
        <row r="57">
          <cell r="B57" t="str">
            <v>В-01271/КЛ.Транш - 5_В-20211230/Ц</v>
          </cell>
          <cell r="D57">
            <v>89015596383</v>
          </cell>
          <cell r="E57">
            <v>89680000101</v>
          </cell>
          <cell r="F57">
            <v>79015596383</v>
          </cell>
        </row>
        <row r="58">
          <cell r="B58" t="str">
            <v>В-15412/КЛ.Транш - 1_В-20211230/Ц</v>
          </cell>
          <cell r="D58">
            <v>79055809480</v>
          </cell>
          <cell r="F58">
            <v>79055809480</v>
          </cell>
        </row>
        <row r="59">
          <cell r="B59" t="str">
            <v>А-05360/АЗ</v>
          </cell>
          <cell r="D59">
            <v>79684184978</v>
          </cell>
          <cell r="E59">
            <v>79684184978</v>
          </cell>
          <cell r="F59">
            <v>79684184978</v>
          </cell>
        </row>
        <row r="60">
          <cell r="B60" t="str">
            <v>В-18334/КЛ.Транш - 1</v>
          </cell>
          <cell r="D60">
            <v>79259185883</v>
          </cell>
          <cell r="F60">
            <v>79259185883</v>
          </cell>
        </row>
        <row r="61">
          <cell r="B61" t="str">
            <v>В-27391/КЛ.Транш - 1</v>
          </cell>
          <cell r="D61">
            <v>79152989899</v>
          </cell>
        </row>
        <row r="62">
          <cell r="B62" t="str">
            <v>В-15235/КЛ.Транш - 3</v>
          </cell>
          <cell r="D62">
            <v>79258022020</v>
          </cell>
          <cell r="F62">
            <v>79258022020</v>
          </cell>
        </row>
        <row r="63">
          <cell r="B63" t="str">
            <v>В-19354/КЛ.Транш - 1</v>
          </cell>
          <cell r="D63">
            <v>79774206754</v>
          </cell>
          <cell r="F63">
            <v>79774206754</v>
          </cell>
        </row>
        <row r="64">
          <cell r="B64" t="str">
            <v>В-01122/КЛ.Транш - 4</v>
          </cell>
          <cell r="D64">
            <v>79647020965</v>
          </cell>
          <cell r="F64">
            <v>79647020965</v>
          </cell>
        </row>
        <row r="65">
          <cell r="B65" t="str">
            <v>В-01122/КЛ.Транш - 3</v>
          </cell>
          <cell r="D65">
            <v>79647020965</v>
          </cell>
          <cell r="F65">
            <v>79647020965</v>
          </cell>
        </row>
        <row r="66">
          <cell r="B66" t="str">
            <v>В-26128/АЗ</v>
          </cell>
          <cell r="D66">
            <v>79671714603</v>
          </cell>
          <cell r="F66">
            <v>79671714603</v>
          </cell>
        </row>
        <row r="67">
          <cell r="B67" t="str">
            <v>В-12519/КЛ.Транш - 2</v>
          </cell>
          <cell r="D67">
            <v>89159781947</v>
          </cell>
          <cell r="F67">
            <v>79159781947</v>
          </cell>
        </row>
        <row r="68">
          <cell r="B68" t="str">
            <v>В-12519/КЛ.Транш - 3</v>
          </cell>
          <cell r="D68">
            <v>89159781947</v>
          </cell>
          <cell r="F68">
            <v>79159781947</v>
          </cell>
        </row>
        <row r="69">
          <cell r="B69" t="str">
            <v>В-00538/АЗ</v>
          </cell>
          <cell r="D69">
            <v>89816981215</v>
          </cell>
          <cell r="F69">
            <v>79816981215</v>
          </cell>
        </row>
        <row r="70">
          <cell r="B70" t="str">
            <v>В-24336/КЛ.Транш - 1</v>
          </cell>
          <cell r="D70">
            <v>79992078749</v>
          </cell>
          <cell r="F70">
            <v>79992078749</v>
          </cell>
        </row>
        <row r="71">
          <cell r="B71" t="str">
            <v>В-24336/КЛ.Транш - 2</v>
          </cell>
          <cell r="D71">
            <v>79992078749</v>
          </cell>
          <cell r="F71">
            <v>79992078749</v>
          </cell>
        </row>
        <row r="72">
          <cell r="B72" t="str">
            <v>В-24336/КЛ.Транш - 4</v>
          </cell>
          <cell r="D72">
            <v>79992078749</v>
          </cell>
          <cell r="F72">
            <v>79992078749</v>
          </cell>
        </row>
        <row r="73">
          <cell r="B73" t="str">
            <v>В-24336/КЛ.Транш - 3</v>
          </cell>
          <cell r="D73">
            <v>79992078749</v>
          </cell>
          <cell r="F73">
            <v>79992078749</v>
          </cell>
        </row>
        <row r="74">
          <cell r="B74" t="str">
            <v>В-05105/КЛ.Транш - 1</v>
          </cell>
          <cell r="D74">
            <v>79817208331</v>
          </cell>
          <cell r="E74">
            <v>79817208331</v>
          </cell>
          <cell r="F74">
            <v>79817208331</v>
          </cell>
        </row>
        <row r="75">
          <cell r="B75" t="str">
            <v>А-04668/АЗ_Т-20200626/Ц</v>
          </cell>
          <cell r="D75">
            <v>79857663443</v>
          </cell>
          <cell r="E75">
            <v>79857663443</v>
          </cell>
        </row>
        <row r="76">
          <cell r="B76" t="str">
            <v>Т-01642/АЗ_Т-20200626/Ц</v>
          </cell>
          <cell r="D76">
            <v>79857663443</v>
          </cell>
          <cell r="E76">
            <v>79857663443</v>
          </cell>
        </row>
        <row r="77">
          <cell r="B77" t="str">
            <v>В-02623/КЛ.Транш - 5</v>
          </cell>
          <cell r="D77">
            <v>79651499800</v>
          </cell>
          <cell r="F77">
            <v>79858362124</v>
          </cell>
        </row>
        <row r="78">
          <cell r="B78" t="str">
            <v>В-02623/КЛ.Транш - 7</v>
          </cell>
          <cell r="D78">
            <v>79651499800</v>
          </cell>
          <cell r="F78">
            <v>79858362124</v>
          </cell>
        </row>
        <row r="79">
          <cell r="B79" t="str">
            <v>В-11085/КЛ.Транш - 1</v>
          </cell>
          <cell r="D79">
            <v>79533334984</v>
          </cell>
          <cell r="F79">
            <v>79533334984</v>
          </cell>
        </row>
        <row r="80">
          <cell r="B80" t="str">
            <v>В-23370/КЛ.Транш - 1</v>
          </cell>
          <cell r="D80">
            <v>79620558324</v>
          </cell>
          <cell r="F80">
            <v>79620558324</v>
          </cell>
        </row>
        <row r="81">
          <cell r="B81" t="str">
            <v>В-23370/КЛ.Транш - 2</v>
          </cell>
          <cell r="D81">
            <v>79620558324</v>
          </cell>
          <cell r="F81">
            <v>79620558324</v>
          </cell>
        </row>
        <row r="82">
          <cell r="B82" t="str">
            <v>В-27251/КЛ.Транш - 1</v>
          </cell>
          <cell r="D82">
            <v>79173144583</v>
          </cell>
          <cell r="F82">
            <v>79173144583</v>
          </cell>
        </row>
        <row r="83">
          <cell r="B83" t="str">
            <v>В-27261/КЛ.Транш - 1</v>
          </cell>
          <cell r="D83">
            <v>79166358080</v>
          </cell>
          <cell r="F83">
            <v>79166358080</v>
          </cell>
        </row>
        <row r="84">
          <cell r="B84" t="str">
            <v>В-27261/КЛ.Транш - 3</v>
          </cell>
          <cell r="D84">
            <v>79166358080</v>
          </cell>
          <cell r="F84">
            <v>79166358080</v>
          </cell>
        </row>
        <row r="85">
          <cell r="B85" t="str">
            <v>В-27261/КЛ.Транш - 2</v>
          </cell>
          <cell r="D85">
            <v>79166358080</v>
          </cell>
          <cell r="F85">
            <v>79166358080</v>
          </cell>
        </row>
        <row r="86">
          <cell r="B86" t="str">
            <v>В-12675/КЛ.Транш - 1_В-20211230/Ц</v>
          </cell>
          <cell r="D86">
            <v>79647204074</v>
          </cell>
          <cell r="F86">
            <v>79647204074</v>
          </cell>
        </row>
        <row r="87">
          <cell r="B87" t="str">
            <v>В-12675/КЛ.Транш - 2_В-20211230/Ц</v>
          </cell>
          <cell r="D87">
            <v>79647204074</v>
          </cell>
          <cell r="F87">
            <v>79647204074</v>
          </cell>
        </row>
        <row r="88">
          <cell r="B88" t="str">
            <v>В-12675/КЛ.Транш - 3_В-20211230/Ц</v>
          </cell>
          <cell r="D88">
            <v>79647204074</v>
          </cell>
          <cell r="F88">
            <v>79647204074</v>
          </cell>
        </row>
        <row r="89">
          <cell r="B89" t="str">
            <v>В-12670/КЛ.Транш - 2</v>
          </cell>
          <cell r="D89">
            <v>79647177060</v>
          </cell>
          <cell r="F89">
            <v>79647177060</v>
          </cell>
        </row>
        <row r="90">
          <cell r="B90" t="str">
            <v>В-17825/КЛ.Транш - 1</v>
          </cell>
          <cell r="D90">
            <v>79088274256</v>
          </cell>
          <cell r="F90">
            <v>79088274256</v>
          </cell>
        </row>
        <row r="91">
          <cell r="B91" t="str">
            <v>В-00428/АЗ</v>
          </cell>
          <cell r="D91">
            <v>79057420923</v>
          </cell>
          <cell r="F91">
            <v>79057420923</v>
          </cell>
        </row>
        <row r="92">
          <cell r="B92" t="str">
            <v>В-00900/КЛ.Транш - 1</v>
          </cell>
          <cell r="C92">
            <v>84955169124</v>
          </cell>
          <cell r="D92">
            <v>89060888688</v>
          </cell>
          <cell r="F92">
            <v>79060888688</v>
          </cell>
        </row>
        <row r="93">
          <cell r="B93" t="str">
            <v>В-00900/КЛ.Транш - 2</v>
          </cell>
          <cell r="C93">
            <v>84955169124</v>
          </cell>
          <cell r="D93">
            <v>89060888688</v>
          </cell>
          <cell r="F93">
            <v>79060888688</v>
          </cell>
        </row>
        <row r="94">
          <cell r="B94" t="str">
            <v>В-27864/КЛ.Транш - 1</v>
          </cell>
          <cell r="D94">
            <v>79052568888</v>
          </cell>
        </row>
        <row r="95">
          <cell r="B95" t="str">
            <v>В-07430/КЛ.Транш - 1</v>
          </cell>
          <cell r="D95">
            <v>89263503990</v>
          </cell>
          <cell r="F95">
            <v>79263503990</v>
          </cell>
        </row>
        <row r="96">
          <cell r="B96" t="str">
            <v>В-07963/КЛ.Транш - 1</v>
          </cell>
          <cell r="D96">
            <v>89056956259</v>
          </cell>
          <cell r="F96">
            <v>79056956259</v>
          </cell>
        </row>
        <row r="97">
          <cell r="B97" t="str">
            <v>В-13336/КЛ.Транш - 1</v>
          </cell>
          <cell r="D97">
            <v>79154897142</v>
          </cell>
          <cell r="F97">
            <v>79154897142</v>
          </cell>
        </row>
        <row r="98">
          <cell r="B98" t="str">
            <v>В-13336/КЛ.Транш - 2</v>
          </cell>
          <cell r="D98">
            <v>79154897142</v>
          </cell>
          <cell r="F98">
            <v>79154897142</v>
          </cell>
        </row>
        <row r="99">
          <cell r="B99" t="str">
            <v>В-00393/АЗ</v>
          </cell>
          <cell r="D99">
            <v>79154111561</v>
          </cell>
          <cell r="F99">
            <v>79154111561</v>
          </cell>
        </row>
        <row r="100">
          <cell r="B100" t="str">
            <v>А-00328/КЭ.Транш - 1</v>
          </cell>
        </row>
        <row r="101">
          <cell r="B101" t="str">
            <v>В-18890/КЛ.Транш - 1</v>
          </cell>
          <cell r="D101">
            <v>79263972100</v>
          </cell>
          <cell r="F101">
            <v>79263972100</v>
          </cell>
        </row>
        <row r="102">
          <cell r="B102" t="str">
            <v>В-23634/КЛ.Транш - 7</v>
          </cell>
          <cell r="D102">
            <v>79295715778</v>
          </cell>
          <cell r="F102">
            <v>79295715778</v>
          </cell>
        </row>
        <row r="103">
          <cell r="B103" t="str">
            <v>В-23634/КЛ.Транш - 8</v>
          </cell>
          <cell r="D103">
            <v>79295715778</v>
          </cell>
          <cell r="F103">
            <v>79295715778</v>
          </cell>
        </row>
        <row r="104">
          <cell r="B104" t="str">
            <v>В-23634/КЛ.Транш - 4</v>
          </cell>
          <cell r="D104">
            <v>79295715778</v>
          </cell>
          <cell r="F104">
            <v>79295715778</v>
          </cell>
        </row>
        <row r="105">
          <cell r="B105" t="str">
            <v>В-23634/КЛ.Транш - 6</v>
          </cell>
          <cell r="D105">
            <v>79295715778</v>
          </cell>
          <cell r="F105">
            <v>79295715778</v>
          </cell>
        </row>
        <row r="106">
          <cell r="B106" t="str">
            <v>В-23634/КЛ.Транш - 3</v>
          </cell>
          <cell r="D106">
            <v>79295715778</v>
          </cell>
          <cell r="F106">
            <v>79295715778</v>
          </cell>
        </row>
        <row r="107">
          <cell r="B107" t="str">
            <v>В-27332/КЛ.Транш - 1</v>
          </cell>
          <cell r="D107">
            <v>79151747376</v>
          </cell>
          <cell r="F107">
            <v>79151747376</v>
          </cell>
        </row>
        <row r="108">
          <cell r="B108" t="str">
            <v>В-24374/КЛ.Транш - 1</v>
          </cell>
          <cell r="D108">
            <v>79996051996</v>
          </cell>
          <cell r="F108">
            <v>79996051996</v>
          </cell>
        </row>
        <row r="109">
          <cell r="B109" t="str">
            <v>В-14860/КЛ.Транш - 1</v>
          </cell>
          <cell r="D109">
            <v>79154624804</v>
          </cell>
          <cell r="F109">
            <v>79154624804</v>
          </cell>
        </row>
        <row r="110">
          <cell r="B110" t="str">
            <v>В-27564/АЗ</v>
          </cell>
          <cell r="C110">
            <v>74951583627</v>
          </cell>
          <cell r="D110">
            <v>79037906960</v>
          </cell>
          <cell r="E110">
            <v>79037906960</v>
          </cell>
          <cell r="F110">
            <v>79037906960</v>
          </cell>
        </row>
        <row r="111">
          <cell r="B111" t="str">
            <v>В-27557/КЛ.Транш - 1</v>
          </cell>
          <cell r="C111">
            <v>74991583627</v>
          </cell>
          <cell r="D111">
            <v>79160538081</v>
          </cell>
          <cell r="F111">
            <v>79160538081</v>
          </cell>
        </row>
        <row r="112">
          <cell r="B112" t="str">
            <v>В-22241/КЛ.Транш - 1</v>
          </cell>
          <cell r="D112">
            <v>89021639695</v>
          </cell>
          <cell r="F112">
            <v>79021639695</v>
          </cell>
        </row>
        <row r="113">
          <cell r="B113" t="str">
            <v>В-00038/АЗ</v>
          </cell>
          <cell r="D113">
            <v>89587777888</v>
          </cell>
          <cell r="F113">
            <v>79587777888</v>
          </cell>
        </row>
        <row r="114">
          <cell r="B114" t="str">
            <v>В-11782/КЛ.Транш - 1</v>
          </cell>
          <cell r="C114">
            <v>79392222275</v>
          </cell>
          <cell r="D114">
            <v>79180454955</v>
          </cell>
          <cell r="F114">
            <v>79392222275</v>
          </cell>
        </row>
        <row r="115">
          <cell r="B115" t="str">
            <v>В-02100/КЛ.Транш - 4</v>
          </cell>
          <cell r="D115">
            <v>79266499523</v>
          </cell>
          <cell r="F115">
            <v>79266499523</v>
          </cell>
        </row>
        <row r="116">
          <cell r="B116" t="str">
            <v>В-02100/КЛ.Транш - 5</v>
          </cell>
          <cell r="D116">
            <v>79266499523</v>
          </cell>
          <cell r="F116">
            <v>79266499523</v>
          </cell>
        </row>
        <row r="117">
          <cell r="B117" t="str">
            <v>В-01086/КЛ.Транш - 1</v>
          </cell>
          <cell r="D117">
            <v>89653612744</v>
          </cell>
          <cell r="F117">
            <v>79653612744</v>
          </cell>
        </row>
        <row r="118">
          <cell r="B118" t="str">
            <v>В-22601/КЛ.Транш - 1</v>
          </cell>
          <cell r="C118">
            <v>89298010070</v>
          </cell>
          <cell r="D118">
            <v>89296211485</v>
          </cell>
          <cell r="F118">
            <v>79298010070</v>
          </cell>
        </row>
        <row r="119">
          <cell r="B119" t="str">
            <v>В-13048/КЛ.Транш - 1</v>
          </cell>
          <cell r="D119">
            <v>79261264094</v>
          </cell>
          <cell r="F119">
            <v>79261264094</v>
          </cell>
        </row>
        <row r="120">
          <cell r="B120" t="str">
            <v>В-17318/КЛ.Транш - 1</v>
          </cell>
          <cell r="D120">
            <v>79827501106</v>
          </cell>
          <cell r="F120">
            <v>79827501106</v>
          </cell>
        </row>
        <row r="121">
          <cell r="B121" t="str">
            <v>В-28497/КЛ.Транш - 1</v>
          </cell>
          <cell r="D121">
            <v>89288446218</v>
          </cell>
          <cell r="F121">
            <v>79288446218</v>
          </cell>
        </row>
        <row r="122">
          <cell r="B122" t="str">
            <v>В-28655/КЛ.Транш - 1</v>
          </cell>
          <cell r="D122">
            <v>89260452980</v>
          </cell>
          <cell r="F122">
            <v>79260452980</v>
          </cell>
        </row>
        <row r="123">
          <cell r="B123" t="str">
            <v>В-01692/КЛ.Транш - 1_В-20211230/Ц</v>
          </cell>
          <cell r="C123">
            <v>74956452312</v>
          </cell>
          <cell r="D123">
            <v>79268880472</v>
          </cell>
          <cell r="F123">
            <v>79268880472</v>
          </cell>
        </row>
        <row r="124">
          <cell r="B124" t="str">
            <v>В-01692/КЛ.Транш - 2_В-20211230/Ц</v>
          </cell>
          <cell r="C124">
            <v>74956452312</v>
          </cell>
          <cell r="D124">
            <v>79268880472</v>
          </cell>
          <cell r="F124">
            <v>79268880472</v>
          </cell>
        </row>
        <row r="125">
          <cell r="B125" t="str">
            <v>В-12246/КЛ.Транш - 1_В-20211230/Ц</v>
          </cell>
          <cell r="C125">
            <v>78125719316</v>
          </cell>
          <cell r="D125">
            <v>79313615194</v>
          </cell>
          <cell r="F125">
            <v>79313615194</v>
          </cell>
        </row>
        <row r="126">
          <cell r="B126" t="str">
            <v>В-14569/КЛ.Транш - 1_А-20210929/Ц</v>
          </cell>
          <cell r="D126">
            <v>79999681438</v>
          </cell>
          <cell r="F126">
            <v>79999681438</v>
          </cell>
        </row>
        <row r="127">
          <cell r="B127" t="str">
            <v>А-03591/АЗ</v>
          </cell>
          <cell r="D127">
            <v>79516642918</v>
          </cell>
          <cell r="E127">
            <v>79516642918</v>
          </cell>
          <cell r="F127">
            <v>79516642918</v>
          </cell>
        </row>
        <row r="128">
          <cell r="B128" t="str">
            <v>В-14907/КЛ.Транш - 1</v>
          </cell>
          <cell r="D128">
            <v>79006315919</v>
          </cell>
          <cell r="F128">
            <v>79006315919</v>
          </cell>
        </row>
        <row r="129">
          <cell r="B129" t="str">
            <v>В-14907/КЛ.Транш - 2</v>
          </cell>
          <cell r="D129">
            <v>79006315919</v>
          </cell>
          <cell r="F129">
            <v>79006315919</v>
          </cell>
        </row>
        <row r="130">
          <cell r="B130" t="str">
            <v>В-17805/КЛ.Транш - 2_В-20211230/Ц</v>
          </cell>
          <cell r="D130">
            <v>79771435088</v>
          </cell>
          <cell r="F130">
            <v>79771435088</v>
          </cell>
        </row>
        <row r="131">
          <cell r="B131" t="str">
            <v>В-17805/КЛ.Транш - 1_В-20211230/Ц</v>
          </cell>
          <cell r="D131">
            <v>79771435088</v>
          </cell>
          <cell r="F131">
            <v>79771435088</v>
          </cell>
        </row>
        <row r="132">
          <cell r="B132" t="str">
            <v>В-17805/КЛ.Транш - 3_В-20211230/Ц</v>
          </cell>
          <cell r="D132">
            <v>79771435088</v>
          </cell>
          <cell r="F132">
            <v>79771435088</v>
          </cell>
        </row>
        <row r="133">
          <cell r="B133" t="str">
            <v>В-06419/КЛ.Транш - 1</v>
          </cell>
          <cell r="D133">
            <v>79615012246</v>
          </cell>
          <cell r="F133">
            <v>79615012246</v>
          </cell>
        </row>
        <row r="134">
          <cell r="B134" t="str">
            <v>В-28694/КЛ.Транш - 1</v>
          </cell>
          <cell r="D134">
            <v>89898338400</v>
          </cell>
          <cell r="F134">
            <v>79898338400</v>
          </cell>
        </row>
        <row r="135">
          <cell r="B135" t="str">
            <v>В-21973/КЛ.Транш - 1</v>
          </cell>
          <cell r="D135">
            <v>79034212400</v>
          </cell>
          <cell r="F135">
            <v>79104212400</v>
          </cell>
        </row>
        <row r="136">
          <cell r="B136" t="str">
            <v>В-21781/КЛ.Транш - 1</v>
          </cell>
          <cell r="D136">
            <v>89052130429</v>
          </cell>
          <cell r="F136">
            <v>79052130429</v>
          </cell>
        </row>
        <row r="137">
          <cell r="B137" t="str">
            <v>В-16224/КЛ.Транш - 1</v>
          </cell>
          <cell r="D137">
            <v>79153246736</v>
          </cell>
          <cell r="E137">
            <v>79857339203</v>
          </cell>
          <cell r="F137">
            <v>79153246736</v>
          </cell>
        </row>
        <row r="138">
          <cell r="B138" t="str">
            <v>В-02255/КЛ.Транш - 1</v>
          </cell>
          <cell r="D138">
            <v>89264762000</v>
          </cell>
          <cell r="F138">
            <v>79264762000</v>
          </cell>
        </row>
        <row r="139">
          <cell r="B139" t="str">
            <v>В-25806/КЛ.Транш - 1</v>
          </cell>
          <cell r="D139">
            <v>79777619786</v>
          </cell>
          <cell r="F139">
            <v>79777619786</v>
          </cell>
        </row>
        <row r="140">
          <cell r="B140" t="str">
            <v>В-10012/КЭ.Транш - 1_В-20211230/Ц</v>
          </cell>
        </row>
        <row r="141">
          <cell r="B141" t="str">
            <v>А-05413/АЗ</v>
          </cell>
          <cell r="D141">
            <v>79181202611</v>
          </cell>
          <cell r="E141">
            <v>79181202611</v>
          </cell>
          <cell r="F141">
            <v>79181202611</v>
          </cell>
        </row>
        <row r="142">
          <cell r="B142" t="str">
            <v>В-24859/АЗ</v>
          </cell>
          <cell r="D142">
            <v>79788815545</v>
          </cell>
        </row>
        <row r="143">
          <cell r="B143" t="str">
            <v>В-10789/КЛ.Транш - 1</v>
          </cell>
          <cell r="D143">
            <v>79257950235</v>
          </cell>
          <cell r="F143">
            <v>79257950235</v>
          </cell>
        </row>
        <row r="144">
          <cell r="B144" t="str">
            <v>В-14453/КЛ.Транш - 1</v>
          </cell>
          <cell r="D144">
            <v>79193953286</v>
          </cell>
          <cell r="F144">
            <v>79193953286</v>
          </cell>
        </row>
        <row r="145">
          <cell r="B145" t="str">
            <v>В-10020/КЭ.Транш - 1</v>
          </cell>
        </row>
        <row r="146">
          <cell r="B146" t="str">
            <v>В-09172/КЛ.Транш - 1</v>
          </cell>
          <cell r="D146">
            <v>89774974812</v>
          </cell>
          <cell r="F146">
            <v>79774974812</v>
          </cell>
        </row>
        <row r="147">
          <cell r="B147" t="str">
            <v>В-00346/АЗ</v>
          </cell>
          <cell r="D147">
            <v>89264845959</v>
          </cell>
          <cell r="F147">
            <v>79264845959</v>
          </cell>
        </row>
        <row r="148">
          <cell r="B148" t="str">
            <v>В-08288/КЛ.Транш - 2</v>
          </cell>
          <cell r="D148">
            <v>79099829612</v>
          </cell>
          <cell r="F148">
            <v>79099829612</v>
          </cell>
        </row>
        <row r="149">
          <cell r="B149" t="str">
            <v>В-08537/КЛ.Транш - 1</v>
          </cell>
          <cell r="D149">
            <v>79852797978</v>
          </cell>
          <cell r="F149">
            <v>79852797978</v>
          </cell>
        </row>
        <row r="150">
          <cell r="B150" t="str">
            <v>В-08537/КЛ.Транш - 2</v>
          </cell>
          <cell r="D150">
            <v>79852797978</v>
          </cell>
          <cell r="F150">
            <v>79852797978</v>
          </cell>
        </row>
        <row r="151">
          <cell r="B151" t="str">
            <v>В-16186/КЛ.Транш - 1</v>
          </cell>
          <cell r="D151">
            <v>79384486566</v>
          </cell>
          <cell r="F151">
            <v>79384486566</v>
          </cell>
        </row>
        <row r="152">
          <cell r="B152" t="str">
            <v>В-01172/АЗ</v>
          </cell>
          <cell r="D152">
            <v>79604944224</v>
          </cell>
          <cell r="F152">
            <v>79604944224</v>
          </cell>
        </row>
        <row r="153">
          <cell r="B153" t="str">
            <v>В-23229/КЛ.Транш - 1</v>
          </cell>
          <cell r="C153">
            <v>84992031346</v>
          </cell>
          <cell r="D153">
            <v>89671880888</v>
          </cell>
          <cell r="F153">
            <v>79671880888</v>
          </cell>
        </row>
        <row r="154">
          <cell r="B154" t="str">
            <v>В-23229/КЛ.Транш - 2</v>
          </cell>
          <cell r="C154">
            <v>84992031346</v>
          </cell>
          <cell r="D154">
            <v>89671880888</v>
          </cell>
          <cell r="F154">
            <v>79671880888</v>
          </cell>
        </row>
        <row r="155">
          <cell r="B155" t="str">
            <v>В-08361/КЛ.Транш - 1_В-20211230/Ц</v>
          </cell>
          <cell r="D155">
            <v>79164059403</v>
          </cell>
          <cell r="F155">
            <v>79164059403</v>
          </cell>
        </row>
        <row r="156">
          <cell r="B156" t="str">
            <v>В-10204/КЛ.Транш - 1</v>
          </cell>
          <cell r="D156">
            <v>79129455795</v>
          </cell>
          <cell r="F156">
            <v>79129455795</v>
          </cell>
        </row>
        <row r="157">
          <cell r="B157" t="str">
            <v>В-01428/КЛ.Транш - 1</v>
          </cell>
          <cell r="D157">
            <v>79038969450</v>
          </cell>
          <cell r="F157">
            <v>79038969450</v>
          </cell>
        </row>
        <row r="158">
          <cell r="B158" t="str">
            <v>В-01428/КЛ.Транш - 2</v>
          </cell>
          <cell r="D158">
            <v>79038969450</v>
          </cell>
          <cell r="F158">
            <v>79038969450</v>
          </cell>
        </row>
        <row r="159">
          <cell r="B159" t="str">
            <v>В-26422/КЛ.Транш - 1</v>
          </cell>
          <cell r="D159">
            <v>79861111103</v>
          </cell>
        </row>
        <row r="160">
          <cell r="B160" t="str">
            <v>В-25581/КЛ.Транш - 1</v>
          </cell>
          <cell r="D160">
            <v>79297934561</v>
          </cell>
          <cell r="F160">
            <v>79297934561</v>
          </cell>
        </row>
        <row r="161">
          <cell r="B161" t="str">
            <v>В-21253/КЛ.Транш - 1</v>
          </cell>
          <cell r="D161">
            <v>79223224806</v>
          </cell>
          <cell r="F161">
            <v>79223224806</v>
          </cell>
        </row>
        <row r="162">
          <cell r="B162" t="str">
            <v>В-21079/КЛ.Транш - 1</v>
          </cell>
          <cell r="D162">
            <v>79174166442</v>
          </cell>
          <cell r="F162">
            <v>79174166442</v>
          </cell>
        </row>
        <row r="163">
          <cell r="B163" t="str">
            <v>Т-01705/АЗ_Т-20200626/Ц</v>
          </cell>
          <cell r="D163">
            <v>79169999550</v>
          </cell>
          <cell r="E163">
            <v>79169999550</v>
          </cell>
        </row>
        <row r="164">
          <cell r="B164" t="str">
            <v>А-04984/АЗ_Т-20200626/Ц</v>
          </cell>
          <cell r="D164">
            <v>79169999550</v>
          </cell>
          <cell r="E164">
            <v>79169999550</v>
          </cell>
        </row>
        <row r="165">
          <cell r="B165" t="str">
            <v>В-19736/КЛ.Транш - 1</v>
          </cell>
          <cell r="D165">
            <v>79032711853</v>
          </cell>
          <cell r="E165">
            <v>79999999991</v>
          </cell>
          <cell r="F165">
            <v>79032711853</v>
          </cell>
        </row>
        <row r="166">
          <cell r="B166" t="str">
            <v>В-15465/КЛ.Транш - 1_В-20211230/Ц</v>
          </cell>
          <cell r="D166">
            <v>79898394443</v>
          </cell>
          <cell r="F166">
            <v>79898394443</v>
          </cell>
        </row>
        <row r="167">
          <cell r="B167" t="str">
            <v>В-23072/КЛ.Транш - 1</v>
          </cell>
          <cell r="D167">
            <v>79852269001</v>
          </cell>
          <cell r="F167">
            <v>79852269001</v>
          </cell>
        </row>
        <row r="168">
          <cell r="B168" t="str">
            <v>В-00004/КЛ.Транш - 1</v>
          </cell>
          <cell r="D168">
            <v>89032337191</v>
          </cell>
          <cell r="F168">
            <v>79032337191</v>
          </cell>
        </row>
        <row r="169">
          <cell r="B169" t="str">
            <v>В-24121/КЛ.Транш - 2</v>
          </cell>
          <cell r="D169">
            <v>79854114106</v>
          </cell>
          <cell r="F169">
            <v>79854114106</v>
          </cell>
        </row>
        <row r="170">
          <cell r="B170" t="str">
            <v>В-24121/КЛ.Транш - 1</v>
          </cell>
          <cell r="D170">
            <v>79854114106</v>
          </cell>
          <cell r="F170">
            <v>79854114106</v>
          </cell>
        </row>
        <row r="171">
          <cell r="B171" t="str">
            <v>В-08393/КЛ.Транш - 1</v>
          </cell>
          <cell r="D171">
            <v>79991055035</v>
          </cell>
          <cell r="F171">
            <v>79991055035</v>
          </cell>
        </row>
        <row r="172">
          <cell r="B172" t="str">
            <v>В-17708/КЛ.Транш - 1_В-20211230/Ц</v>
          </cell>
          <cell r="D172">
            <v>79004754576</v>
          </cell>
          <cell r="F172">
            <v>79004754576</v>
          </cell>
        </row>
        <row r="173">
          <cell r="B173" t="str">
            <v>А-05138/АЗ</v>
          </cell>
          <cell r="D173">
            <v>79030953342</v>
          </cell>
          <cell r="E173">
            <v>79030953342</v>
          </cell>
        </row>
        <row r="174">
          <cell r="B174" t="str">
            <v>В-15908/КЛ.Транш - 1</v>
          </cell>
          <cell r="D174">
            <v>79529124124</v>
          </cell>
          <cell r="F174">
            <v>79529124124</v>
          </cell>
        </row>
        <row r="175">
          <cell r="B175" t="str">
            <v>В-21137/КЛ.Транш - 1</v>
          </cell>
          <cell r="D175">
            <v>79013396636</v>
          </cell>
          <cell r="F175">
            <v>79013396636</v>
          </cell>
        </row>
        <row r="176">
          <cell r="B176" t="str">
            <v>В-22173/КЛ.Транш - 1_В-20211230/Ц</v>
          </cell>
          <cell r="D176">
            <v>79627567943</v>
          </cell>
          <cell r="F176">
            <v>79627567943</v>
          </cell>
        </row>
        <row r="177">
          <cell r="B177" t="str">
            <v>В-26197/КЛ.Транш - 1</v>
          </cell>
          <cell r="D177">
            <v>89619438260</v>
          </cell>
          <cell r="F177">
            <v>79619438260</v>
          </cell>
        </row>
        <row r="178">
          <cell r="B178" t="str">
            <v>В-26197/КЛ.Транш - 2</v>
          </cell>
          <cell r="D178">
            <v>89619438260</v>
          </cell>
          <cell r="F178">
            <v>79619438260</v>
          </cell>
        </row>
        <row r="179">
          <cell r="B179" t="str">
            <v>В-25792/КЛ.Транш - 1</v>
          </cell>
          <cell r="D179">
            <v>79302928808</v>
          </cell>
          <cell r="F179">
            <v>79302928808</v>
          </cell>
        </row>
        <row r="180">
          <cell r="B180" t="str">
            <v>В-25792/КЛ.Транш - 2</v>
          </cell>
          <cell r="D180">
            <v>79302928808</v>
          </cell>
          <cell r="F180">
            <v>79302928808</v>
          </cell>
        </row>
        <row r="181">
          <cell r="B181" t="str">
            <v>В-09206/КЛ.Транш - 1</v>
          </cell>
          <cell r="D181">
            <v>79184390308</v>
          </cell>
          <cell r="F181">
            <v>79184390308</v>
          </cell>
        </row>
        <row r="182">
          <cell r="B182" t="str">
            <v>В-15261/КЛ.Транш - 1</v>
          </cell>
          <cell r="D182">
            <v>79672543796</v>
          </cell>
          <cell r="F182">
            <v>79672543796</v>
          </cell>
        </row>
        <row r="183">
          <cell r="B183" t="str">
            <v>В-15261/КЛ.Транш - 2</v>
          </cell>
          <cell r="D183">
            <v>79672543796</v>
          </cell>
          <cell r="F183">
            <v>79672543796</v>
          </cell>
        </row>
        <row r="184">
          <cell r="B184" t="str">
            <v>В-00648/АЗ</v>
          </cell>
          <cell r="D184">
            <v>89181067474</v>
          </cell>
          <cell r="F184">
            <v>79181067474</v>
          </cell>
        </row>
        <row r="185">
          <cell r="B185" t="str">
            <v>В-23136/АЗ</v>
          </cell>
          <cell r="D185">
            <v>79629534579</v>
          </cell>
          <cell r="F185">
            <v>79629534579</v>
          </cell>
        </row>
        <row r="186">
          <cell r="B186" t="str">
            <v>В-26110/АЗ</v>
          </cell>
          <cell r="D186">
            <v>79629534579</v>
          </cell>
          <cell r="F186">
            <v>79629534579</v>
          </cell>
        </row>
        <row r="187">
          <cell r="B187" t="str">
            <v>В-19093/КЛ.Транш - 1</v>
          </cell>
          <cell r="D187">
            <v>79112208586</v>
          </cell>
          <cell r="F187">
            <v>79112208586</v>
          </cell>
        </row>
        <row r="188">
          <cell r="B188" t="str">
            <v>В-09916/КЛ.Транш - 1</v>
          </cell>
          <cell r="D188">
            <v>79262788314</v>
          </cell>
          <cell r="F188">
            <v>79262788314</v>
          </cell>
        </row>
        <row r="189">
          <cell r="B189" t="str">
            <v>В-03541/КЛ.Транш - 1</v>
          </cell>
          <cell r="D189">
            <v>79998273097</v>
          </cell>
          <cell r="F189">
            <v>79998273097</v>
          </cell>
        </row>
        <row r="190">
          <cell r="B190" t="str">
            <v>В-09086/КЛ.Транш - 1</v>
          </cell>
          <cell r="D190">
            <v>79522496649</v>
          </cell>
          <cell r="F190">
            <v>79522496649</v>
          </cell>
        </row>
        <row r="191">
          <cell r="B191" t="str">
            <v>В-09086/КЛ.Транш - 2</v>
          </cell>
          <cell r="D191">
            <v>79522496649</v>
          </cell>
          <cell r="F191">
            <v>79522496649</v>
          </cell>
        </row>
        <row r="192">
          <cell r="B192" t="str">
            <v>В-09086/КЛ.Транш - 3</v>
          </cell>
          <cell r="D192">
            <v>79522496649</v>
          </cell>
          <cell r="F192">
            <v>79522496649</v>
          </cell>
        </row>
        <row r="193">
          <cell r="B193" t="str">
            <v>В-00319/КЛ.Транш - 2</v>
          </cell>
          <cell r="D193">
            <v>79055070028</v>
          </cell>
          <cell r="F193">
            <v>79055070028</v>
          </cell>
        </row>
        <row r="194">
          <cell r="B194" t="str">
            <v>В-27587/АЗ</v>
          </cell>
          <cell r="D194">
            <v>79180826731</v>
          </cell>
        </row>
        <row r="195">
          <cell r="B195" t="str">
            <v>В-10041/КЛ.Транш - 4</v>
          </cell>
          <cell r="D195">
            <v>79185583434</v>
          </cell>
          <cell r="F195">
            <v>79185583434</v>
          </cell>
        </row>
        <row r="196">
          <cell r="B196" t="str">
            <v>В-10041/КЛ.Транш - 3</v>
          </cell>
          <cell r="D196">
            <v>79185583434</v>
          </cell>
          <cell r="F196">
            <v>79185583434</v>
          </cell>
        </row>
        <row r="197">
          <cell r="B197" t="str">
            <v>В-10041/КЛ.Транш - 2</v>
          </cell>
          <cell r="D197">
            <v>79185583434</v>
          </cell>
          <cell r="F197">
            <v>79185583434</v>
          </cell>
        </row>
        <row r="198">
          <cell r="B198" t="str">
            <v>В-01174/АЗ</v>
          </cell>
          <cell r="D198">
            <v>79213003297</v>
          </cell>
          <cell r="F198">
            <v>79213003297</v>
          </cell>
        </row>
        <row r="199">
          <cell r="B199" t="str">
            <v>В-25499/АЗ</v>
          </cell>
          <cell r="D199">
            <v>89099000911</v>
          </cell>
          <cell r="F199">
            <v>79099000911</v>
          </cell>
        </row>
        <row r="200">
          <cell r="B200" t="str">
            <v>В-00614/АЗ</v>
          </cell>
          <cell r="D200">
            <v>89186655116</v>
          </cell>
          <cell r="F200">
            <v>79186655116</v>
          </cell>
        </row>
        <row r="201">
          <cell r="B201" t="str">
            <v>В-00772/АЗ</v>
          </cell>
          <cell r="D201">
            <v>79645995184</v>
          </cell>
          <cell r="F201">
            <v>79645995184</v>
          </cell>
        </row>
        <row r="202">
          <cell r="B202" t="str">
            <v>В-00840/АЗ</v>
          </cell>
          <cell r="D202">
            <v>89251502107</v>
          </cell>
          <cell r="F202">
            <v>79251502107</v>
          </cell>
        </row>
        <row r="203">
          <cell r="B203" t="str">
            <v>В-00947/КЛ.Транш - 1</v>
          </cell>
          <cell r="D203">
            <v>79653312353</v>
          </cell>
          <cell r="F203">
            <v>79653312353</v>
          </cell>
        </row>
        <row r="204">
          <cell r="B204" t="str">
            <v>В-06215/КЛ.Транш - 1</v>
          </cell>
          <cell r="D204">
            <v>79671743590</v>
          </cell>
          <cell r="F204">
            <v>79671743590</v>
          </cell>
        </row>
        <row r="205">
          <cell r="B205" t="str">
            <v>Т-01805/АЗ_Т-20211028/Ц</v>
          </cell>
          <cell r="D205">
            <v>79062888444</v>
          </cell>
          <cell r="E205">
            <v>79062888444</v>
          </cell>
          <cell r="F205">
            <v>79062888444</v>
          </cell>
        </row>
        <row r="206">
          <cell r="B206" t="str">
            <v>В-00313/АЗ_Т-20211028/Ц</v>
          </cell>
          <cell r="D206">
            <v>79062888444</v>
          </cell>
          <cell r="E206">
            <v>79062888444</v>
          </cell>
          <cell r="F206">
            <v>79062888444</v>
          </cell>
        </row>
        <row r="207">
          <cell r="B207" t="str">
            <v>А-05346/АЗ_Т-20211028/Ц</v>
          </cell>
          <cell r="D207">
            <v>79062888444</v>
          </cell>
          <cell r="E207">
            <v>79062888444</v>
          </cell>
          <cell r="F207">
            <v>79062888444</v>
          </cell>
        </row>
        <row r="208">
          <cell r="B208" t="str">
            <v>В-00970/АЗ</v>
          </cell>
          <cell r="C208">
            <v>78135411266</v>
          </cell>
          <cell r="D208" t="str">
            <v>79119677172, 79110354575</v>
          </cell>
          <cell r="F208">
            <v>79119677172</v>
          </cell>
        </row>
        <row r="209">
          <cell r="B209" t="str">
            <v>В-19655/КЛ.Транш - 1</v>
          </cell>
          <cell r="D209">
            <v>79375342111</v>
          </cell>
          <cell r="F209">
            <v>79375342111</v>
          </cell>
        </row>
        <row r="210">
          <cell r="B210" t="str">
            <v>В-17232/КЛ.Транш - 1</v>
          </cell>
          <cell r="D210">
            <v>79223681955</v>
          </cell>
          <cell r="F210">
            <v>79223681955</v>
          </cell>
        </row>
        <row r="211">
          <cell r="B211" t="str">
            <v>В-23509/КЛ.Транш - 1</v>
          </cell>
          <cell r="D211">
            <v>89058318150</v>
          </cell>
          <cell r="F211">
            <v>79058318150</v>
          </cell>
        </row>
        <row r="212">
          <cell r="B212" t="str">
            <v>В-23509/КЛ.Транш - 2</v>
          </cell>
          <cell r="D212">
            <v>89058318150</v>
          </cell>
          <cell r="F212">
            <v>79058318150</v>
          </cell>
        </row>
        <row r="213">
          <cell r="B213" t="str">
            <v>В-04724/КЛ.Транш - 3</v>
          </cell>
          <cell r="D213">
            <v>79183323932</v>
          </cell>
          <cell r="F213">
            <v>79183323932</v>
          </cell>
        </row>
        <row r="214">
          <cell r="B214" t="str">
            <v>В-22163/КЛ.Транш - 1</v>
          </cell>
          <cell r="D214">
            <v>79780081478</v>
          </cell>
          <cell r="F214">
            <v>79780081478</v>
          </cell>
        </row>
        <row r="215">
          <cell r="B215" t="str">
            <v>В-09725/КЛ.Транш - 1</v>
          </cell>
          <cell r="D215">
            <v>79184490218</v>
          </cell>
          <cell r="F215">
            <v>79184490218</v>
          </cell>
        </row>
        <row r="216">
          <cell r="B216" t="str">
            <v>В-27260/АЗ</v>
          </cell>
          <cell r="D216">
            <v>7927273865</v>
          </cell>
        </row>
        <row r="217">
          <cell r="B217" t="str">
            <v>В-00806/АЗ_В-20211230/Ц</v>
          </cell>
          <cell r="D217">
            <v>89857777525</v>
          </cell>
          <cell r="F217">
            <v>79857777525</v>
          </cell>
        </row>
        <row r="218">
          <cell r="B218" t="str">
            <v>В-08212/КЛ.Транш - 7</v>
          </cell>
          <cell r="D218">
            <v>79186271220</v>
          </cell>
          <cell r="F218">
            <v>79186271220</v>
          </cell>
        </row>
        <row r="219">
          <cell r="B219" t="str">
            <v>В-08212/КЛ.Транш - 6</v>
          </cell>
          <cell r="D219">
            <v>79186271220</v>
          </cell>
          <cell r="F219">
            <v>79186271220</v>
          </cell>
        </row>
        <row r="220">
          <cell r="B220" t="str">
            <v>В-08212/КЛ.Транш - 4</v>
          </cell>
          <cell r="D220">
            <v>79186271220</v>
          </cell>
          <cell r="F220">
            <v>79186271220</v>
          </cell>
        </row>
        <row r="221">
          <cell r="B221" t="str">
            <v>В-08212/КЛ.Транш - 5</v>
          </cell>
          <cell r="D221">
            <v>79186271220</v>
          </cell>
          <cell r="F221">
            <v>79186271220</v>
          </cell>
        </row>
        <row r="222">
          <cell r="B222" t="str">
            <v>В-00942/АЗ</v>
          </cell>
          <cell r="C222">
            <v>74954304918</v>
          </cell>
          <cell r="D222" t="str">
            <v>89099391969, 89150126184</v>
          </cell>
          <cell r="F222">
            <v>79099391969</v>
          </cell>
        </row>
        <row r="223">
          <cell r="B223" t="str">
            <v>А-05459/АЗ</v>
          </cell>
          <cell r="C223">
            <v>74954304918</v>
          </cell>
          <cell r="D223" t="str">
            <v>89099391969, 89150126184</v>
          </cell>
          <cell r="F223">
            <v>79099391969</v>
          </cell>
        </row>
        <row r="224">
          <cell r="B224" t="str">
            <v>В-24140/АЗ</v>
          </cell>
          <cell r="C224">
            <v>74954304918</v>
          </cell>
          <cell r="D224" t="str">
            <v>89099391969, 89150126184</v>
          </cell>
          <cell r="F224">
            <v>79099391969</v>
          </cell>
        </row>
        <row r="225">
          <cell r="B225" t="str">
            <v>В-21795/КЛ.Транш - 1</v>
          </cell>
          <cell r="D225">
            <v>89771172294</v>
          </cell>
          <cell r="F225">
            <v>79771172294</v>
          </cell>
        </row>
        <row r="226">
          <cell r="B226" t="str">
            <v>В-15838/КЛ.Транш - 1</v>
          </cell>
          <cell r="D226">
            <v>79057749493</v>
          </cell>
          <cell r="F226">
            <v>79057749493</v>
          </cell>
        </row>
        <row r="227">
          <cell r="B227" t="str">
            <v>В-15838/КЛ.Транш - 2</v>
          </cell>
          <cell r="D227">
            <v>79057749493</v>
          </cell>
          <cell r="F227">
            <v>79057749493</v>
          </cell>
        </row>
        <row r="228">
          <cell r="B228" t="str">
            <v>В-17458/КЛ.Транш - 1_В-20211230/Ц</v>
          </cell>
          <cell r="D228">
            <v>79182351977</v>
          </cell>
          <cell r="F228">
            <v>79182351977</v>
          </cell>
        </row>
        <row r="229">
          <cell r="B229" t="str">
            <v>В-14254/КЛ.Транш - 1</v>
          </cell>
          <cell r="D229">
            <v>79637714181</v>
          </cell>
          <cell r="F229">
            <v>79637714181</v>
          </cell>
        </row>
        <row r="230">
          <cell r="B230" t="str">
            <v>В-19684/КЛ.Транш - 1</v>
          </cell>
          <cell r="D230">
            <v>79641320395</v>
          </cell>
          <cell r="F230">
            <v>79641320395</v>
          </cell>
        </row>
        <row r="231">
          <cell r="B231" t="str">
            <v>В-25922/КЛ.Транш - 1</v>
          </cell>
          <cell r="D231">
            <v>89184991950</v>
          </cell>
          <cell r="F231">
            <v>79184991950</v>
          </cell>
        </row>
        <row r="232">
          <cell r="B232" t="str">
            <v>В-25922/КЛ.Транш - 2</v>
          </cell>
          <cell r="D232">
            <v>89184991950</v>
          </cell>
          <cell r="F232">
            <v>79184991950</v>
          </cell>
        </row>
        <row r="233">
          <cell r="B233" t="str">
            <v>В-16357/КЛ.Транш - 2</v>
          </cell>
          <cell r="D233">
            <v>79168148833</v>
          </cell>
          <cell r="F233">
            <v>79168148833</v>
          </cell>
        </row>
        <row r="234">
          <cell r="B234" t="str">
            <v>В-00948/КЛ.Транш - 1</v>
          </cell>
          <cell r="D234">
            <v>89818488965</v>
          </cell>
          <cell r="F234">
            <v>79818488965</v>
          </cell>
        </row>
        <row r="235">
          <cell r="B235" t="str">
            <v>В-00820/АЗ</v>
          </cell>
          <cell r="D235">
            <v>89628712731</v>
          </cell>
          <cell r="F235">
            <v>79628712731</v>
          </cell>
        </row>
        <row r="236">
          <cell r="B236" t="str">
            <v>В-22677/КЛ.Транш - 1</v>
          </cell>
          <cell r="D236">
            <v>79283012353</v>
          </cell>
          <cell r="F236">
            <v>79283012353</v>
          </cell>
        </row>
        <row r="237">
          <cell r="B237" t="str">
            <v>В-10934/КЛ.Транш - 2_В-20211230/Ц</v>
          </cell>
          <cell r="D237">
            <v>79969318786</v>
          </cell>
          <cell r="F237">
            <v>79969318786</v>
          </cell>
        </row>
        <row r="238">
          <cell r="B238" t="str">
            <v>В-10934/КЛ.Транш - 1_В-20211230/Ц</v>
          </cell>
          <cell r="D238">
            <v>79969318786</v>
          </cell>
          <cell r="F238">
            <v>79969318786</v>
          </cell>
        </row>
        <row r="239">
          <cell r="B239" t="str">
            <v>В-11934/КЛ.Транш - 4</v>
          </cell>
          <cell r="E239">
            <v>89167875038</v>
          </cell>
          <cell r="F239">
            <v>79167875038</v>
          </cell>
        </row>
        <row r="240">
          <cell r="B240" t="str">
            <v>В-11934/КЛ.Транш - 2</v>
          </cell>
          <cell r="E240">
            <v>89167875038</v>
          </cell>
          <cell r="F240">
            <v>79167875038</v>
          </cell>
        </row>
        <row r="241">
          <cell r="B241" t="str">
            <v>В-11162/КЛ.Транш - 1</v>
          </cell>
          <cell r="D241">
            <v>79500463011</v>
          </cell>
          <cell r="F241">
            <v>79500463011</v>
          </cell>
        </row>
        <row r="242">
          <cell r="B242" t="str">
            <v>В-18050/КЛ.Транш - 1</v>
          </cell>
          <cell r="D242">
            <v>79897485085</v>
          </cell>
          <cell r="F242">
            <v>79897485085</v>
          </cell>
        </row>
        <row r="243">
          <cell r="B243" t="str">
            <v>В-18050/КЛ.Транш - 2</v>
          </cell>
          <cell r="D243">
            <v>79897485085</v>
          </cell>
          <cell r="F243">
            <v>79897485085</v>
          </cell>
        </row>
        <row r="244">
          <cell r="B244" t="str">
            <v>В-13254/КЛ.Транш - 1_В-20211230/Ц</v>
          </cell>
          <cell r="D244">
            <v>79219431758</v>
          </cell>
          <cell r="F244">
            <v>79219431758</v>
          </cell>
        </row>
        <row r="245">
          <cell r="B245" t="str">
            <v>В-00068/КЭ.Транш - 1</v>
          </cell>
        </row>
        <row r="246">
          <cell r="B246" t="str">
            <v>В-25705/КЛ.Транш - 1</v>
          </cell>
          <cell r="D246">
            <v>79258884802</v>
          </cell>
          <cell r="F246">
            <v>79258884802</v>
          </cell>
        </row>
        <row r="247">
          <cell r="B247" t="str">
            <v>В-23881/КЛ.Транш - 1</v>
          </cell>
          <cell r="D247">
            <v>79135623869</v>
          </cell>
          <cell r="F247">
            <v>79135623869</v>
          </cell>
        </row>
        <row r="248">
          <cell r="B248" t="str">
            <v>В-23881/КЛ.Транш - 2</v>
          </cell>
          <cell r="D248">
            <v>79135623869</v>
          </cell>
          <cell r="F248">
            <v>79135623869</v>
          </cell>
        </row>
        <row r="249">
          <cell r="B249" t="str">
            <v>В-01024/АЗ</v>
          </cell>
          <cell r="D249">
            <v>79153045444</v>
          </cell>
          <cell r="F249">
            <v>79153045444</v>
          </cell>
        </row>
        <row r="250">
          <cell r="B250" t="str">
            <v>Т-01914/АЗ_Т-20211028/Ц</v>
          </cell>
          <cell r="C250">
            <v>74953728726</v>
          </cell>
          <cell r="D250">
            <v>79163131538</v>
          </cell>
          <cell r="F250">
            <v>79163131538</v>
          </cell>
        </row>
        <row r="251">
          <cell r="B251" t="str">
            <v>В-00974/АЗ</v>
          </cell>
          <cell r="C251">
            <v>84957100015</v>
          </cell>
          <cell r="D251">
            <v>89057199949</v>
          </cell>
          <cell r="F251">
            <v>79057199949</v>
          </cell>
        </row>
        <row r="252">
          <cell r="B252" t="str">
            <v>В-14005/КЛ.Транш - 1</v>
          </cell>
          <cell r="D252">
            <v>89534579822</v>
          </cell>
          <cell r="F252">
            <v>79534579822</v>
          </cell>
        </row>
        <row r="253">
          <cell r="B253" t="str">
            <v>В-14005/КЛ.Транш - 2</v>
          </cell>
          <cell r="D253">
            <v>89534579822</v>
          </cell>
          <cell r="F253">
            <v>79534579822</v>
          </cell>
        </row>
        <row r="254">
          <cell r="B254" t="str">
            <v>В-14005/КЛ.Транш - 3</v>
          </cell>
          <cell r="D254">
            <v>89534579822</v>
          </cell>
          <cell r="F254">
            <v>79534579822</v>
          </cell>
        </row>
        <row r="255">
          <cell r="B255" t="str">
            <v>В-25548/КЛ.Транш - 1</v>
          </cell>
          <cell r="D255">
            <v>79832020677</v>
          </cell>
          <cell r="F255">
            <v>79832020677</v>
          </cell>
        </row>
        <row r="256">
          <cell r="B256" t="str">
            <v>А-05082/АЗ</v>
          </cell>
          <cell r="D256">
            <v>79213756164</v>
          </cell>
          <cell r="E256">
            <v>79213756164</v>
          </cell>
          <cell r="F256">
            <v>79312590644</v>
          </cell>
        </row>
        <row r="257">
          <cell r="B257" t="str">
            <v>В-17506/КЛ.Транш - 1</v>
          </cell>
          <cell r="D257">
            <v>79165491616</v>
          </cell>
          <cell r="F257">
            <v>79165491616</v>
          </cell>
        </row>
        <row r="258">
          <cell r="B258" t="str">
            <v>В-22763/КЛ.Транш - 1</v>
          </cell>
          <cell r="D258">
            <v>79675332806</v>
          </cell>
          <cell r="F258">
            <v>79675332806</v>
          </cell>
        </row>
        <row r="259">
          <cell r="B259" t="str">
            <v>В-18370/КЛ.Транш - 1</v>
          </cell>
          <cell r="D259">
            <v>79652302644</v>
          </cell>
          <cell r="F259">
            <v>79652302644</v>
          </cell>
        </row>
        <row r="260">
          <cell r="B260" t="str">
            <v>В-00708/АЗ</v>
          </cell>
          <cell r="C260">
            <v>79615943904</v>
          </cell>
          <cell r="D260">
            <v>79282740144</v>
          </cell>
          <cell r="F260">
            <v>79615943904</v>
          </cell>
        </row>
        <row r="261">
          <cell r="B261" t="str">
            <v>В-18536/КЛ.Транш - 1</v>
          </cell>
          <cell r="D261">
            <v>79036307914</v>
          </cell>
          <cell r="F261">
            <v>79036307914</v>
          </cell>
        </row>
        <row r="262">
          <cell r="B262" t="str">
            <v>А-04793/АЗ</v>
          </cell>
          <cell r="C262">
            <v>79036668542</v>
          </cell>
          <cell r="D262">
            <v>79689309989</v>
          </cell>
          <cell r="E262">
            <v>79689309989</v>
          </cell>
        </row>
        <row r="263">
          <cell r="B263" t="str">
            <v>В-12853/КЛ.Транш - 5</v>
          </cell>
          <cell r="D263">
            <v>89167970100</v>
          </cell>
          <cell r="F263">
            <v>79167970100</v>
          </cell>
        </row>
        <row r="264">
          <cell r="B264" t="str">
            <v>В-12853/КЛ.Транш - 6</v>
          </cell>
          <cell r="D264">
            <v>89167970100</v>
          </cell>
          <cell r="F264">
            <v>79167970100</v>
          </cell>
        </row>
        <row r="265">
          <cell r="B265" t="str">
            <v>В-03629/КЛ.Транш - 1</v>
          </cell>
          <cell r="D265">
            <v>79671222197</v>
          </cell>
          <cell r="F265">
            <v>79671222197</v>
          </cell>
        </row>
        <row r="266">
          <cell r="B266" t="str">
            <v>В-22451/АЗ</v>
          </cell>
          <cell r="C266">
            <v>84957513369</v>
          </cell>
          <cell r="D266" t="str">
            <v>89857647438, 89104858500</v>
          </cell>
          <cell r="F266">
            <v>79857647438</v>
          </cell>
        </row>
        <row r="267">
          <cell r="B267" t="str">
            <v>В-25659/КЛ.Транш - 1</v>
          </cell>
          <cell r="D267">
            <v>79525901132</v>
          </cell>
          <cell r="E267">
            <v>79005980224</v>
          </cell>
          <cell r="F267">
            <v>79525901132</v>
          </cell>
        </row>
        <row r="268">
          <cell r="B268" t="str">
            <v>В-25659/КЛ.Транш - 2</v>
          </cell>
          <cell r="D268">
            <v>79525901132</v>
          </cell>
          <cell r="E268">
            <v>79005980224</v>
          </cell>
          <cell r="F268">
            <v>79525901132</v>
          </cell>
        </row>
        <row r="269">
          <cell r="B269" t="str">
            <v>В-28062/КЛ.Транш - 1</v>
          </cell>
          <cell r="D269">
            <v>79255497874</v>
          </cell>
        </row>
        <row r="270">
          <cell r="B270" t="str">
            <v>В-21523/КЛ.Транш - 1</v>
          </cell>
          <cell r="C270">
            <v>84994978617</v>
          </cell>
          <cell r="D270">
            <v>89671182255</v>
          </cell>
          <cell r="F270">
            <v>79671182255</v>
          </cell>
        </row>
        <row r="271">
          <cell r="B271" t="str">
            <v>В-21523/КЛ.Транш - 2</v>
          </cell>
          <cell r="C271">
            <v>84994978617</v>
          </cell>
          <cell r="D271">
            <v>89671182255</v>
          </cell>
          <cell r="F271">
            <v>79671182255</v>
          </cell>
        </row>
        <row r="272">
          <cell r="B272" t="str">
            <v>В-14198/КЛ.Транш - 1</v>
          </cell>
          <cell r="D272">
            <v>79261353076</v>
          </cell>
          <cell r="F272">
            <v>79261353076</v>
          </cell>
        </row>
        <row r="273">
          <cell r="B273" t="str">
            <v>А-02635/АЗ</v>
          </cell>
          <cell r="C273">
            <v>79261673888</v>
          </cell>
          <cell r="D273">
            <v>79261673888</v>
          </cell>
          <cell r="E273">
            <v>79261673888</v>
          </cell>
          <cell r="F273">
            <v>79858186888</v>
          </cell>
        </row>
        <row r="274">
          <cell r="B274" t="str">
            <v>В-00461/АЗ</v>
          </cell>
          <cell r="D274">
            <v>89164758181</v>
          </cell>
          <cell r="F274">
            <v>79164758181</v>
          </cell>
        </row>
        <row r="275">
          <cell r="B275" t="str">
            <v>В-11477/КЛ.Транш - 1</v>
          </cell>
          <cell r="D275">
            <v>79629993747</v>
          </cell>
          <cell r="F275">
            <v>79629993747</v>
          </cell>
        </row>
        <row r="276">
          <cell r="B276" t="str">
            <v>В-11477/КЛ.Транш - 3</v>
          </cell>
          <cell r="D276">
            <v>79629993747</v>
          </cell>
          <cell r="F276">
            <v>79629993747</v>
          </cell>
        </row>
        <row r="277">
          <cell r="B277" t="str">
            <v>В-01201/АЗ</v>
          </cell>
          <cell r="D277">
            <v>79099671156</v>
          </cell>
          <cell r="F277">
            <v>79099671156</v>
          </cell>
        </row>
        <row r="278">
          <cell r="B278" t="str">
            <v>В-16983/КЛ.Транш - 1</v>
          </cell>
          <cell r="D278">
            <v>79313599363</v>
          </cell>
          <cell r="E278">
            <v>78889571103</v>
          </cell>
        </row>
        <row r="279">
          <cell r="B279" t="str">
            <v>В-16983/КЛ.Транш - 2</v>
          </cell>
          <cell r="D279">
            <v>79313599363</v>
          </cell>
          <cell r="E279">
            <v>78889571103</v>
          </cell>
        </row>
        <row r="280">
          <cell r="B280" t="str">
            <v>В-24710/АЗ</v>
          </cell>
          <cell r="D280">
            <v>79181817533</v>
          </cell>
          <cell r="F280">
            <v>79181817533</v>
          </cell>
        </row>
        <row r="281">
          <cell r="B281" t="str">
            <v>В-24691/АЗ</v>
          </cell>
          <cell r="D281">
            <v>79882475444</v>
          </cell>
          <cell r="F281">
            <v>79882475444</v>
          </cell>
        </row>
        <row r="282">
          <cell r="B282" t="str">
            <v>В-14915/КЛ.Транш - 5</v>
          </cell>
          <cell r="D282">
            <v>79373435931</v>
          </cell>
          <cell r="F282">
            <v>79373435931</v>
          </cell>
        </row>
        <row r="283">
          <cell r="B283" t="str">
            <v>В-27410/КЛ.Транш - 1</v>
          </cell>
          <cell r="D283">
            <v>79654272020</v>
          </cell>
          <cell r="F283">
            <v>79654272020</v>
          </cell>
        </row>
        <row r="284">
          <cell r="B284" t="str">
            <v>В-20193/КЛ.Транш - 1</v>
          </cell>
          <cell r="D284">
            <v>79160973288</v>
          </cell>
          <cell r="F284">
            <v>79160973288</v>
          </cell>
        </row>
        <row r="285">
          <cell r="B285" t="str">
            <v>В-19179/КЛ.Транш - 1</v>
          </cell>
          <cell r="D285">
            <v>79158023383</v>
          </cell>
          <cell r="E285">
            <v>79532951339</v>
          </cell>
          <cell r="F285">
            <v>79158023383</v>
          </cell>
        </row>
        <row r="286">
          <cell r="B286" t="str">
            <v>В-19179/КЛ.Транш - 2</v>
          </cell>
          <cell r="D286">
            <v>79158023383</v>
          </cell>
          <cell r="E286">
            <v>79532951339</v>
          </cell>
          <cell r="F286">
            <v>79158023383</v>
          </cell>
        </row>
        <row r="287">
          <cell r="B287" t="str">
            <v>В-00923/АЗ</v>
          </cell>
          <cell r="C287">
            <v>74959248434</v>
          </cell>
          <cell r="D287">
            <v>79175659463</v>
          </cell>
          <cell r="F287">
            <v>79175659463</v>
          </cell>
        </row>
        <row r="288">
          <cell r="B288" t="str">
            <v>В-26733/КЛ.Транш - 1</v>
          </cell>
          <cell r="D288">
            <v>79253310307</v>
          </cell>
          <cell r="F288">
            <v>79253310307</v>
          </cell>
        </row>
        <row r="289">
          <cell r="B289" t="str">
            <v>В-23458/КЛ.Транш - 5</v>
          </cell>
          <cell r="D289">
            <v>89818595242</v>
          </cell>
          <cell r="E289">
            <v>79818595242</v>
          </cell>
          <cell r="F289">
            <v>79818595242</v>
          </cell>
        </row>
        <row r="290">
          <cell r="B290" t="str">
            <v>В-27050/АЗ</v>
          </cell>
          <cell r="D290">
            <v>79204038222</v>
          </cell>
        </row>
        <row r="291">
          <cell r="B291" t="str">
            <v>В-02644/КЛ.Транш - 1_В-20211230/Ц</v>
          </cell>
          <cell r="D291">
            <v>79818402754</v>
          </cell>
          <cell r="F291">
            <v>79818402754</v>
          </cell>
        </row>
        <row r="292">
          <cell r="B292" t="str">
            <v>В-00730/АЗ</v>
          </cell>
          <cell r="D292">
            <v>89261551735</v>
          </cell>
          <cell r="F292">
            <v>79261551735</v>
          </cell>
        </row>
        <row r="293">
          <cell r="B293" t="str">
            <v>В-11603/КЛ.Транш - 1</v>
          </cell>
          <cell r="D293">
            <v>79217947356</v>
          </cell>
          <cell r="F293">
            <v>79217947356</v>
          </cell>
        </row>
        <row r="294">
          <cell r="B294" t="str">
            <v>В-00023/КЭ.Транш - 1</v>
          </cell>
        </row>
        <row r="295">
          <cell r="B295" t="str">
            <v>В-11716/КЛ.Транш - 1</v>
          </cell>
          <cell r="D295">
            <v>79178736594</v>
          </cell>
          <cell r="F295">
            <v>79178736594</v>
          </cell>
        </row>
        <row r="296">
          <cell r="B296" t="str">
            <v>В-27006/КЛ.Транш - 1</v>
          </cell>
          <cell r="D296">
            <v>79637534949</v>
          </cell>
          <cell r="F296">
            <v>79637534949</v>
          </cell>
        </row>
        <row r="297">
          <cell r="B297" t="str">
            <v>В-14944/КЛ.Транш - 2</v>
          </cell>
          <cell r="D297">
            <v>79255006562</v>
          </cell>
          <cell r="F297">
            <v>79255006562</v>
          </cell>
        </row>
        <row r="298">
          <cell r="B298" t="str">
            <v>В-14944/КЛ.Транш - 3</v>
          </cell>
          <cell r="D298">
            <v>79255006562</v>
          </cell>
          <cell r="F298">
            <v>79255006562</v>
          </cell>
        </row>
        <row r="299">
          <cell r="B299" t="str">
            <v>В-14944/КЛ.Транш - 1</v>
          </cell>
          <cell r="D299">
            <v>79255006562</v>
          </cell>
          <cell r="F299">
            <v>79255006562</v>
          </cell>
        </row>
        <row r="300">
          <cell r="B300" t="str">
            <v>В-08584/КЛ.Транш - 3_В-20211230/Ц</v>
          </cell>
          <cell r="C300">
            <v>84991285478</v>
          </cell>
          <cell r="D300">
            <v>89150135838</v>
          </cell>
          <cell r="F300">
            <v>79150135838</v>
          </cell>
        </row>
        <row r="301">
          <cell r="B301" t="str">
            <v>В-08584/КЛ.Транш - 2_В-20211230/Ц</v>
          </cell>
          <cell r="C301">
            <v>84991285478</v>
          </cell>
          <cell r="D301">
            <v>89150135838</v>
          </cell>
          <cell r="F301">
            <v>79150135838</v>
          </cell>
        </row>
        <row r="302">
          <cell r="B302" t="str">
            <v>В-08584/КЛ.Транш - 5_В-20211230/Ц</v>
          </cell>
          <cell r="C302">
            <v>84991285478</v>
          </cell>
          <cell r="D302">
            <v>89150135838</v>
          </cell>
          <cell r="F302">
            <v>79150135838</v>
          </cell>
        </row>
        <row r="303">
          <cell r="B303" t="str">
            <v>В-08584/КЛ.Транш - 4_В-20211230/Ц</v>
          </cell>
          <cell r="C303">
            <v>84991285478</v>
          </cell>
          <cell r="D303">
            <v>89150135838</v>
          </cell>
          <cell r="F303">
            <v>79150135838</v>
          </cell>
        </row>
        <row r="304">
          <cell r="B304" t="str">
            <v>В-27835/КЛ.Транш - 2</v>
          </cell>
          <cell r="D304">
            <v>79898099181</v>
          </cell>
          <cell r="F304">
            <v>79898099181</v>
          </cell>
        </row>
        <row r="305">
          <cell r="B305" t="str">
            <v>В-27835/КЛ.Транш - 1</v>
          </cell>
          <cell r="D305">
            <v>79898099181</v>
          </cell>
          <cell r="F305">
            <v>79898099181</v>
          </cell>
        </row>
        <row r="306">
          <cell r="B306" t="str">
            <v>В-01202/АЗ</v>
          </cell>
          <cell r="D306">
            <v>79852579695</v>
          </cell>
        </row>
        <row r="307">
          <cell r="B307" t="str">
            <v>В-25513/КЛ.Транш - 1</v>
          </cell>
          <cell r="D307">
            <v>79951139356</v>
          </cell>
        </row>
        <row r="308">
          <cell r="B308" t="str">
            <v>В-12157/КЛ.Транш - 1</v>
          </cell>
          <cell r="D308">
            <v>79632434004</v>
          </cell>
          <cell r="F308">
            <v>79632434004</v>
          </cell>
        </row>
        <row r="309">
          <cell r="B309" t="str">
            <v>В-20766/КЛ.Транш - 1</v>
          </cell>
          <cell r="D309">
            <v>79620237737</v>
          </cell>
          <cell r="F309">
            <v>79620237737</v>
          </cell>
        </row>
        <row r="310">
          <cell r="B310" t="str">
            <v>В-01175/КЛ.Транш - 1_В-20211230/Ц</v>
          </cell>
          <cell r="C310">
            <v>84992036640</v>
          </cell>
          <cell r="D310">
            <v>89091547030</v>
          </cell>
          <cell r="F310">
            <v>79091547030</v>
          </cell>
        </row>
        <row r="311">
          <cell r="B311" t="str">
            <v>В-24956/КЛ.Транш - 1</v>
          </cell>
          <cell r="D311">
            <v>79873055995</v>
          </cell>
          <cell r="F311">
            <v>79873055995</v>
          </cell>
        </row>
        <row r="312">
          <cell r="B312" t="str">
            <v>В-16796/КЛ.Транш - 2</v>
          </cell>
          <cell r="D312">
            <v>79002935182</v>
          </cell>
        </row>
        <row r="313">
          <cell r="B313" t="str">
            <v>В-27532/КЛ.Транш - 1</v>
          </cell>
          <cell r="D313">
            <v>79688999541</v>
          </cell>
        </row>
        <row r="314">
          <cell r="B314" t="str">
            <v>В-06800/КЛ.Транш - 1</v>
          </cell>
          <cell r="C314">
            <v>74957215699</v>
          </cell>
          <cell r="D314">
            <v>79057379656</v>
          </cell>
          <cell r="F314">
            <v>79057379656</v>
          </cell>
        </row>
        <row r="315">
          <cell r="B315" t="str">
            <v>В-06800/КЛ.Транш - 2</v>
          </cell>
          <cell r="C315">
            <v>74957215699</v>
          </cell>
          <cell r="D315">
            <v>79057379656</v>
          </cell>
          <cell r="F315">
            <v>79057379656</v>
          </cell>
        </row>
        <row r="316">
          <cell r="B316" t="str">
            <v>В-27957/КЛ.Транш - 1</v>
          </cell>
          <cell r="D316">
            <v>79032372436</v>
          </cell>
          <cell r="F316">
            <v>79032372436</v>
          </cell>
        </row>
        <row r="317">
          <cell r="B317" t="str">
            <v>В-15881/КЛ.Транш - 1</v>
          </cell>
          <cell r="D317">
            <v>79100001005</v>
          </cell>
          <cell r="F317">
            <v>79100001005</v>
          </cell>
        </row>
        <row r="318">
          <cell r="B318" t="str">
            <v>В-00722/АЗ</v>
          </cell>
          <cell r="C318">
            <v>74956862106</v>
          </cell>
          <cell r="D318">
            <v>79037832876</v>
          </cell>
          <cell r="F318">
            <v>79037832876</v>
          </cell>
        </row>
        <row r="319">
          <cell r="B319" t="str">
            <v>В-15448/КЛ.Транш - 1_В-20211230/Ц</v>
          </cell>
          <cell r="D319">
            <v>7953104449</v>
          </cell>
          <cell r="F319">
            <v>79531044496</v>
          </cell>
        </row>
        <row r="320">
          <cell r="B320" t="str">
            <v>В-13507/КЛ.Транш - 1</v>
          </cell>
          <cell r="D320">
            <v>89057551169</v>
          </cell>
          <cell r="F320">
            <v>79057551169</v>
          </cell>
        </row>
        <row r="321">
          <cell r="B321" t="str">
            <v>В-02691/КЛ.Транш - 1</v>
          </cell>
          <cell r="D321">
            <v>89680917652</v>
          </cell>
          <cell r="F321">
            <v>79250917656</v>
          </cell>
        </row>
        <row r="322">
          <cell r="B322" t="str">
            <v>В-14906/КЛ.Транш - 3</v>
          </cell>
          <cell r="D322">
            <v>79873680989</v>
          </cell>
          <cell r="F322">
            <v>79873680989</v>
          </cell>
        </row>
        <row r="323">
          <cell r="B323" t="str">
            <v>В-20180/КЛ.Транш - 1</v>
          </cell>
          <cell r="D323">
            <v>79536007128</v>
          </cell>
          <cell r="F323">
            <v>79536007128</v>
          </cell>
        </row>
        <row r="324">
          <cell r="B324" t="str">
            <v>В-26069/АЗ</v>
          </cell>
          <cell r="D324">
            <v>79775292388</v>
          </cell>
          <cell r="F324">
            <v>79775292388</v>
          </cell>
        </row>
        <row r="325">
          <cell r="B325" t="str">
            <v>В-28587/КЛ.Транш - 1</v>
          </cell>
          <cell r="D325">
            <v>79033982593</v>
          </cell>
        </row>
        <row r="326">
          <cell r="B326" t="str">
            <v>В-19446/КЛ.Транш - 4</v>
          </cell>
          <cell r="D326">
            <v>79167565549</v>
          </cell>
          <cell r="F326">
            <v>79167565549</v>
          </cell>
        </row>
        <row r="327">
          <cell r="B327" t="str">
            <v>В-23362/КЛ.Транш - 1</v>
          </cell>
          <cell r="D327">
            <v>79853431147</v>
          </cell>
          <cell r="F327">
            <v>79853431147</v>
          </cell>
        </row>
        <row r="328">
          <cell r="B328" t="str">
            <v>В-23362/КЛ.Транш - 2</v>
          </cell>
          <cell r="D328">
            <v>79853431147</v>
          </cell>
          <cell r="F328">
            <v>79853431147</v>
          </cell>
        </row>
        <row r="329">
          <cell r="B329" t="str">
            <v>В-26203/КЛ.Транш - 1</v>
          </cell>
          <cell r="D329">
            <v>79959974231</v>
          </cell>
          <cell r="F329">
            <v>79959974231</v>
          </cell>
        </row>
        <row r="330">
          <cell r="B330" t="str">
            <v>В-21731/КЛ.Транш - 1</v>
          </cell>
          <cell r="D330">
            <v>89262100201</v>
          </cell>
          <cell r="F330">
            <v>79262100201</v>
          </cell>
        </row>
        <row r="331">
          <cell r="B331" t="str">
            <v>В-21731/КЛ.Транш - 2</v>
          </cell>
          <cell r="D331">
            <v>89262100201</v>
          </cell>
          <cell r="F331">
            <v>79262100201</v>
          </cell>
        </row>
        <row r="332">
          <cell r="B332" t="str">
            <v>В-23242/КЛ.Транш - 1</v>
          </cell>
          <cell r="D332">
            <v>79241777899</v>
          </cell>
          <cell r="F332">
            <v>79241777899</v>
          </cell>
        </row>
        <row r="333">
          <cell r="B333" t="str">
            <v>В-23242/КЛ.Транш - 2</v>
          </cell>
          <cell r="D333">
            <v>79241777899</v>
          </cell>
          <cell r="F333">
            <v>79241777899</v>
          </cell>
        </row>
        <row r="334">
          <cell r="B334" t="str">
            <v>В-13238/КЛ.Транш - 1</v>
          </cell>
          <cell r="D334">
            <v>79258309096</v>
          </cell>
          <cell r="F334">
            <v>79258309096</v>
          </cell>
        </row>
        <row r="335">
          <cell r="B335" t="str">
            <v>В-28501/КЛ.Транш - 1</v>
          </cell>
          <cell r="D335">
            <v>79296069495</v>
          </cell>
        </row>
        <row r="336">
          <cell r="B336" t="str">
            <v>В-28501/КЛ.Транш - 2</v>
          </cell>
          <cell r="D336">
            <v>79296069495</v>
          </cell>
        </row>
        <row r="337">
          <cell r="B337" t="str">
            <v>В-23383/КЛ.Транш - 1</v>
          </cell>
          <cell r="C337">
            <v>84957044277</v>
          </cell>
          <cell r="D337">
            <v>89151714744</v>
          </cell>
          <cell r="F337">
            <v>79151714744</v>
          </cell>
        </row>
        <row r="338">
          <cell r="B338" t="str">
            <v>В-01055/АЗ</v>
          </cell>
          <cell r="D338">
            <v>79288835903</v>
          </cell>
          <cell r="F338">
            <v>79288835903</v>
          </cell>
        </row>
        <row r="339">
          <cell r="B339" t="str">
            <v>В-09037/КЛ.Транш - 1</v>
          </cell>
          <cell r="D339">
            <v>79226439993</v>
          </cell>
          <cell r="F339">
            <v>79226439993</v>
          </cell>
        </row>
        <row r="340">
          <cell r="B340" t="str">
            <v>В-13886/КЛ.Транш - 1</v>
          </cell>
          <cell r="D340">
            <v>89605005696</v>
          </cell>
          <cell r="F340">
            <v>79605005696</v>
          </cell>
        </row>
        <row r="341">
          <cell r="B341" t="str">
            <v>В-07290/КЛ.Транш - 3</v>
          </cell>
          <cell r="C341">
            <v>74953106792</v>
          </cell>
          <cell r="D341">
            <v>79036661667</v>
          </cell>
          <cell r="E341">
            <v>79036661667</v>
          </cell>
          <cell r="F341">
            <v>79036661667</v>
          </cell>
        </row>
        <row r="342">
          <cell r="B342" t="str">
            <v>В-07290/КЛ.Транш - 1</v>
          </cell>
          <cell r="C342">
            <v>74953106792</v>
          </cell>
          <cell r="D342">
            <v>79036661667</v>
          </cell>
          <cell r="E342">
            <v>79036661667</v>
          </cell>
          <cell r="F342">
            <v>79036661667</v>
          </cell>
        </row>
        <row r="343">
          <cell r="B343" t="str">
            <v>В-07290/КЛ.Транш - 2</v>
          </cell>
          <cell r="C343">
            <v>74953106792</v>
          </cell>
          <cell r="D343">
            <v>79036661667</v>
          </cell>
          <cell r="E343">
            <v>79036661667</v>
          </cell>
          <cell r="F343">
            <v>79036661667</v>
          </cell>
        </row>
        <row r="344">
          <cell r="B344" t="str">
            <v>В-16023/КЛ.Транш - 1</v>
          </cell>
          <cell r="D344">
            <v>79150507472</v>
          </cell>
          <cell r="F344">
            <v>79150507472</v>
          </cell>
        </row>
        <row r="345">
          <cell r="B345" t="str">
            <v>В-24071/КЛ.Транш - 1</v>
          </cell>
          <cell r="D345">
            <v>79177570712</v>
          </cell>
          <cell r="E345">
            <v>79272369726</v>
          </cell>
          <cell r="F345">
            <v>79177570712</v>
          </cell>
        </row>
        <row r="346">
          <cell r="B346" t="str">
            <v>В-13005/КЛ.Транш - 2</v>
          </cell>
          <cell r="D346">
            <v>79262665181</v>
          </cell>
          <cell r="F346">
            <v>79262665181</v>
          </cell>
        </row>
        <row r="347">
          <cell r="B347" t="str">
            <v>В-13005/КЛ.Транш - 3</v>
          </cell>
          <cell r="D347">
            <v>79262665181</v>
          </cell>
          <cell r="F347">
            <v>79262665181</v>
          </cell>
        </row>
        <row r="348">
          <cell r="B348" t="str">
            <v>В-14789/КЛ.Транш - 1</v>
          </cell>
          <cell r="D348">
            <v>79266913548</v>
          </cell>
          <cell r="F348">
            <v>79266913548</v>
          </cell>
        </row>
        <row r="349">
          <cell r="B349" t="str">
            <v>В-18600/КЛ.Транш - 1</v>
          </cell>
          <cell r="D349">
            <v>79296012855</v>
          </cell>
        </row>
        <row r="350">
          <cell r="B350" t="str">
            <v>В-18909/КЛ.Транш - 1</v>
          </cell>
          <cell r="D350">
            <v>79851150900</v>
          </cell>
          <cell r="F350">
            <v>79851150900</v>
          </cell>
        </row>
        <row r="351">
          <cell r="B351" t="str">
            <v>В-18909/КЛ.Транш - 3</v>
          </cell>
          <cell r="D351">
            <v>79851150900</v>
          </cell>
          <cell r="F351">
            <v>79851150900</v>
          </cell>
        </row>
        <row r="352">
          <cell r="B352" t="str">
            <v>В-17900/КЛ.Транш - 2</v>
          </cell>
          <cell r="D352">
            <v>79991945540</v>
          </cell>
          <cell r="F352">
            <v>79991945540</v>
          </cell>
        </row>
        <row r="353">
          <cell r="B353" t="str">
            <v>В-17900/КЛ.Транш - 1</v>
          </cell>
          <cell r="D353">
            <v>79991945540</v>
          </cell>
          <cell r="F353">
            <v>79991945540</v>
          </cell>
        </row>
        <row r="354">
          <cell r="B354" t="str">
            <v>В-02707/КЛ.Транш - 1</v>
          </cell>
          <cell r="D354">
            <v>79032317868</v>
          </cell>
          <cell r="F354">
            <v>79032317868</v>
          </cell>
        </row>
        <row r="355">
          <cell r="B355" t="str">
            <v>В-25304/АЗ</v>
          </cell>
          <cell r="D355">
            <v>79260416134</v>
          </cell>
          <cell r="F355">
            <v>79260416134</v>
          </cell>
        </row>
        <row r="356">
          <cell r="B356" t="str">
            <v>В-28961/КЛ.Транш - 1</v>
          </cell>
          <cell r="D356">
            <v>79502023310</v>
          </cell>
        </row>
        <row r="357">
          <cell r="B357" t="str">
            <v>В-28204/КЛ.Транш - 1</v>
          </cell>
          <cell r="D357">
            <v>79169966326</v>
          </cell>
          <cell r="F357">
            <v>79169966326</v>
          </cell>
        </row>
        <row r="358">
          <cell r="B358" t="str">
            <v>В-11186/КЛ.Транш - 1</v>
          </cell>
          <cell r="D358">
            <v>79645188888</v>
          </cell>
          <cell r="F358">
            <v>79645188888</v>
          </cell>
        </row>
        <row r="359">
          <cell r="B359" t="str">
            <v>В-11186/КЛ.Транш - 2</v>
          </cell>
          <cell r="D359">
            <v>79645188888</v>
          </cell>
          <cell r="F359">
            <v>79645188888</v>
          </cell>
        </row>
        <row r="360">
          <cell r="B360" t="str">
            <v>В-17192/КЛ.Транш - 1</v>
          </cell>
          <cell r="D360">
            <v>79946666644</v>
          </cell>
          <cell r="F360">
            <v>79946666644</v>
          </cell>
        </row>
        <row r="361">
          <cell r="B361" t="str">
            <v>В-17192/КЛ.Транш - 2</v>
          </cell>
          <cell r="D361">
            <v>79946666644</v>
          </cell>
          <cell r="F361">
            <v>79946666644</v>
          </cell>
        </row>
        <row r="362">
          <cell r="B362" t="str">
            <v>В-00391/АЗ_В-20211230/Ц</v>
          </cell>
          <cell r="C362">
            <v>74953162432</v>
          </cell>
          <cell r="D362">
            <v>79104231108</v>
          </cell>
          <cell r="F362">
            <v>79104231108</v>
          </cell>
        </row>
        <row r="363">
          <cell r="B363" t="str">
            <v>А-10122/КЭ.Транш - 1</v>
          </cell>
        </row>
        <row r="364">
          <cell r="B364" t="str">
            <v>В-00956/АЗ</v>
          </cell>
          <cell r="D364">
            <v>79104237555</v>
          </cell>
          <cell r="F364">
            <v>79104237555</v>
          </cell>
        </row>
        <row r="365">
          <cell r="B365" t="str">
            <v>В-10141/КЛ.Транш - 1</v>
          </cell>
          <cell r="D365">
            <v>79780741936</v>
          </cell>
          <cell r="F365">
            <v>79780741936</v>
          </cell>
        </row>
        <row r="366">
          <cell r="B366" t="str">
            <v>В-10141/КЛ.Транш - 2</v>
          </cell>
          <cell r="D366">
            <v>79780741936</v>
          </cell>
          <cell r="F366">
            <v>79780741936</v>
          </cell>
        </row>
        <row r="367">
          <cell r="B367" t="str">
            <v>В-00137/АЗ_В-20211230/Ц</v>
          </cell>
          <cell r="D367">
            <v>89052670497</v>
          </cell>
          <cell r="F367">
            <v>79052670497</v>
          </cell>
        </row>
        <row r="368">
          <cell r="B368" t="str">
            <v>В-24546/КЛ.Транш - 4</v>
          </cell>
          <cell r="D368">
            <v>79995551774</v>
          </cell>
          <cell r="F368">
            <v>79995551774</v>
          </cell>
        </row>
        <row r="369">
          <cell r="B369" t="str">
            <v>В-24546/КЛ.Транш - 6</v>
          </cell>
          <cell r="D369">
            <v>79995551774</v>
          </cell>
          <cell r="F369">
            <v>79995551774</v>
          </cell>
        </row>
        <row r="370">
          <cell r="B370" t="str">
            <v>В-24546/КЛ.Транш - 5</v>
          </cell>
          <cell r="D370">
            <v>79995551774</v>
          </cell>
          <cell r="F370">
            <v>79995551774</v>
          </cell>
        </row>
        <row r="371">
          <cell r="B371" t="str">
            <v>В-03359/КЛ.Транш - 5</v>
          </cell>
          <cell r="C371">
            <v>84746437250</v>
          </cell>
          <cell r="D371">
            <v>89192567809</v>
          </cell>
          <cell r="F371">
            <v>79192567809</v>
          </cell>
        </row>
        <row r="372">
          <cell r="B372" t="str">
            <v>В-18305/КЛ.Транш - 3</v>
          </cell>
          <cell r="D372">
            <v>79119379115</v>
          </cell>
          <cell r="F372">
            <v>79119379115</v>
          </cell>
        </row>
        <row r="373">
          <cell r="B373" t="str">
            <v>В-18305/КЛ.Транш - 2</v>
          </cell>
          <cell r="D373">
            <v>79119379115</v>
          </cell>
          <cell r="F373">
            <v>79119379115</v>
          </cell>
        </row>
        <row r="374">
          <cell r="B374" t="str">
            <v>В-18305/КЛ.Транш - 1</v>
          </cell>
          <cell r="D374">
            <v>79119379115</v>
          </cell>
          <cell r="F374">
            <v>79119379115</v>
          </cell>
        </row>
        <row r="375">
          <cell r="B375" t="str">
            <v>В-28089/КЛ.Транш - 1</v>
          </cell>
          <cell r="D375">
            <v>79689820536</v>
          </cell>
        </row>
        <row r="376">
          <cell r="B376" t="str">
            <v>Т-01867/АЗ_Т-20211028/Ц</v>
          </cell>
          <cell r="D376" t="str">
            <v>79217878342, 79819755098</v>
          </cell>
          <cell r="F376">
            <v>79217878342</v>
          </cell>
        </row>
        <row r="377">
          <cell r="B377" t="str">
            <v>В-13177/КЛ.Транш - 1_А-20210929/Ц</v>
          </cell>
          <cell r="D377">
            <v>79964500090</v>
          </cell>
          <cell r="F377">
            <v>79964500090</v>
          </cell>
        </row>
        <row r="378">
          <cell r="B378" t="str">
            <v>В-05009/КЛ.Транш - 1</v>
          </cell>
          <cell r="D378">
            <v>79990446618</v>
          </cell>
          <cell r="E378">
            <v>79990446618</v>
          </cell>
          <cell r="F378">
            <v>79990446618</v>
          </cell>
        </row>
        <row r="379">
          <cell r="B379" t="str">
            <v>В-20155/КЛ.Транш - 1</v>
          </cell>
          <cell r="D379">
            <v>79261630665</v>
          </cell>
          <cell r="F379">
            <v>79261630665</v>
          </cell>
        </row>
        <row r="380">
          <cell r="B380" t="str">
            <v>В-28677/КЛ.Транш - 1</v>
          </cell>
          <cell r="C380">
            <v>84953917739</v>
          </cell>
          <cell r="D380" t="str">
            <v>89774670933, 89099083731</v>
          </cell>
          <cell r="F380">
            <v>79099083731</v>
          </cell>
        </row>
        <row r="381">
          <cell r="B381" t="str">
            <v>В-09010/КЛ.Транш - 1</v>
          </cell>
          <cell r="D381">
            <v>79268848954</v>
          </cell>
          <cell r="E381">
            <v>79268848954</v>
          </cell>
          <cell r="F381">
            <v>79268848954</v>
          </cell>
        </row>
        <row r="382">
          <cell r="B382" t="str">
            <v>В-18171/КЛ.Транш - 1_В-20211230/Ц</v>
          </cell>
          <cell r="D382">
            <v>79194472584</v>
          </cell>
          <cell r="F382">
            <v>79194472584</v>
          </cell>
        </row>
        <row r="383">
          <cell r="B383" t="str">
            <v>В-27729/АЗ</v>
          </cell>
          <cell r="D383">
            <v>79850970609</v>
          </cell>
          <cell r="F383">
            <v>79850970609</v>
          </cell>
        </row>
        <row r="384">
          <cell r="B384" t="str">
            <v>В-27730/АЗ</v>
          </cell>
          <cell r="D384">
            <v>79099878181</v>
          </cell>
          <cell r="F384">
            <v>79099878181</v>
          </cell>
        </row>
        <row r="385">
          <cell r="B385" t="str">
            <v>В-01169/АЗ</v>
          </cell>
          <cell r="D385">
            <v>89686660823</v>
          </cell>
          <cell r="F385">
            <v>79686660823</v>
          </cell>
        </row>
        <row r="386">
          <cell r="B386" t="str">
            <v>В-17494/КЛ.Транш - 1</v>
          </cell>
          <cell r="D386">
            <v>79670913478</v>
          </cell>
          <cell r="F386">
            <v>79670913478</v>
          </cell>
        </row>
        <row r="387">
          <cell r="B387" t="str">
            <v>В-00041/АЗ</v>
          </cell>
          <cell r="D387">
            <v>79226920000</v>
          </cell>
          <cell r="F387">
            <v>79226920000</v>
          </cell>
        </row>
        <row r="388">
          <cell r="B388" t="str">
            <v>В-13297/КЛ.Транш - 1</v>
          </cell>
          <cell r="D388">
            <v>79517616983</v>
          </cell>
          <cell r="F388">
            <v>79517616983</v>
          </cell>
        </row>
        <row r="389">
          <cell r="B389" t="str">
            <v>В-18164/КЛ.Транш - 1</v>
          </cell>
          <cell r="D389">
            <v>79279436825</v>
          </cell>
          <cell r="F389">
            <v>79279436825</v>
          </cell>
        </row>
        <row r="390">
          <cell r="B390" t="str">
            <v>В-11836/КЛ.Транш - 2</v>
          </cell>
          <cell r="E390">
            <v>89199012345</v>
          </cell>
          <cell r="F390">
            <v>79199012345</v>
          </cell>
        </row>
        <row r="391">
          <cell r="B391" t="str">
            <v>А-00386/КЭ.Транш - 1</v>
          </cell>
        </row>
        <row r="392">
          <cell r="B392" t="str">
            <v>В-10021/КЭ.Транш - 1</v>
          </cell>
        </row>
        <row r="393">
          <cell r="B393" t="str">
            <v>В-07147/КЛ.Транш - 2_В-20211230/Ц</v>
          </cell>
          <cell r="D393">
            <v>79017991044</v>
          </cell>
          <cell r="F393">
            <v>79017991044</v>
          </cell>
        </row>
        <row r="394">
          <cell r="B394" t="str">
            <v>В-07147/КЛ.Транш - 1_В-20211230/Ц</v>
          </cell>
          <cell r="D394">
            <v>79017991044</v>
          </cell>
          <cell r="F394">
            <v>79017991044</v>
          </cell>
        </row>
        <row r="395">
          <cell r="B395" t="str">
            <v>В-12410/КЛ.Транш - 1</v>
          </cell>
          <cell r="D395">
            <v>89530237298</v>
          </cell>
          <cell r="F395">
            <v>79530237298</v>
          </cell>
        </row>
        <row r="396">
          <cell r="B396" t="str">
            <v>В-09882/КЛ.Транш - 8</v>
          </cell>
          <cell r="D396">
            <v>79885261920</v>
          </cell>
          <cell r="F396">
            <v>79885261920</v>
          </cell>
        </row>
        <row r="397">
          <cell r="B397" t="str">
            <v>В-09882/КЛ.Транш - 9</v>
          </cell>
          <cell r="D397">
            <v>79885261920</v>
          </cell>
          <cell r="F397">
            <v>79885261920</v>
          </cell>
        </row>
        <row r="398">
          <cell r="B398" t="str">
            <v>В-09882/КЛ.Транш - 10</v>
          </cell>
          <cell r="D398">
            <v>79885261920</v>
          </cell>
          <cell r="F398">
            <v>79885261920</v>
          </cell>
        </row>
        <row r="399">
          <cell r="B399" t="str">
            <v>В-21568/КЛ.Транш - 1</v>
          </cell>
          <cell r="D399">
            <v>79197535350</v>
          </cell>
          <cell r="F399">
            <v>79197535350</v>
          </cell>
        </row>
        <row r="400">
          <cell r="B400" t="str">
            <v>В-00980/АЗ_А-20210929/Ц</v>
          </cell>
          <cell r="D400">
            <v>79219788007</v>
          </cell>
          <cell r="F400">
            <v>79219788007</v>
          </cell>
        </row>
        <row r="401">
          <cell r="B401" t="str">
            <v>В-01216/АЗ</v>
          </cell>
          <cell r="D401">
            <v>89772506866</v>
          </cell>
          <cell r="F401">
            <v>79772506866</v>
          </cell>
        </row>
        <row r="402">
          <cell r="B402" t="str">
            <v>В-27315/КЛ.Транш - 1</v>
          </cell>
          <cell r="D402">
            <v>79113595178</v>
          </cell>
          <cell r="F402">
            <v>79113595178</v>
          </cell>
        </row>
        <row r="403">
          <cell r="B403" t="str">
            <v>В-18983/КЛ.Транш - 1_В-20211230/Ц</v>
          </cell>
          <cell r="D403">
            <v>79081691911</v>
          </cell>
          <cell r="F403">
            <v>79081691911</v>
          </cell>
        </row>
        <row r="404">
          <cell r="B404" t="str">
            <v>А-04404/АЗ</v>
          </cell>
          <cell r="C404">
            <v>74957120821</v>
          </cell>
          <cell r="D404">
            <v>79637101572</v>
          </cell>
          <cell r="E404">
            <v>79637101572</v>
          </cell>
          <cell r="F404">
            <v>79637101572</v>
          </cell>
        </row>
        <row r="405">
          <cell r="B405" t="str">
            <v>А-04070/АЗ</v>
          </cell>
          <cell r="D405" t="str">
            <v>79096904002, 79258487276</v>
          </cell>
          <cell r="E405">
            <v>79096904002</v>
          </cell>
          <cell r="F405">
            <v>79096904002</v>
          </cell>
        </row>
        <row r="406">
          <cell r="B406" t="str">
            <v>А-05114/АЗ</v>
          </cell>
          <cell r="D406" t="str">
            <v>79096904002, 79258487276</v>
          </cell>
          <cell r="E406">
            <v>79096904002</v>
          </cell>
          <cell r="F406">
            <v>79096904002</v>
          </cell>
        </row>
        <row r="407">
          <cell r="B407" t="str">
            <v>В-01072/КЛ.Транш - 1</v>
          </cell>
          <cell r="D407">
            <v>79032413858</v>
          </cell>
          <cell r="F407">
            <v>79032413858</v>
          </cell>
        </row>
        <row r="408">
          <cell r="B408" t="str">
            <v>В-08348/КЛ.Транш - 7</v>
          </cell>
          <cell r="D408">
            <v>79785538206</v>
          </cell>
          <cell r="F408">
            <v>79785538206</v>
          </cell>
        </row>
        <row r="409">
          <cell r="B409" t="str">
            <v>В-00359/КЛ.Транш - 2</v>
          </cell>
          <cell r="D409">
            <v>79267580129</v>
          </cell>
          <cell r="F409">
            <v>79267580129</v>
          </cell>
        </row>
        <row r="410">
          <cell r="B410" t="str">
            <v>В-20166/КЛ.Транш - 1</v>
          </cell>
          <cell r="D410">
            <v>79851565362</v>
          </cell>
          <cell r="F410">
            <v>79851565362</v>
          </cell>
        </row>
        <row r="411">
          <cell r="B411" t="str">
            <v>В-15560/КЛ.Транш - 1</v>
          </cell>
          <cell r="D411">
            <v>79189187170</v>
          </cell>
          <cell r="F411">
            <v>79189187170</v>
          </cell>
        </row>
        <row r="412">
          <cell r="B412" t="str">
            <v>В-18958/КЛ.Транш - 1</v>
          </cell>
          <cell r="D412">
            <v>79054787383</v>
          </cell>
          <cell r="F412">
            <v>79054787383</v>
          </cell>
        </row>
        <row r="413">
          <cell r="B413" t="str">
            <v>В-21630/КЛ.Транш - 1</v>
          </cell>
          <cell r="D413">
            <v>79020475456</v>
          </cell>
          <cell r="F413">
            <v>79020475456</v>
          </cell>
        </row>
        <row r="414">
          <cell r="B414" t="str">
            <v>В-25981/АЗ</v>
          </cell>
          <cell r="D414">
            <v>79312660646</v>
          </cell>
          <cell r="F414">
            <v>79312660646</v>
          </cell>
        </row>
        <row r="415">
          <cell r="B415" t="str">
            <v>В-01182/АЗ</v>
          </cell>
          <cell r="D415">
            <v>79312660646</v>
          </cell>
          <cell r="F415">
            <v>79312660646</v>
          </cell>
        </row>
        <row r="416">
          <cell r="B416" t="str">
            <v>В-23229/АЗ</v>
          </cell>
          <cell r="D416">
            <v>89095704607</v>
          </cell>
          <cell r="F416">
            <v>79095704607</v>
          </cell>
        </row>
        <row r="417">
          <cell r="B417" t="str">
            <v>В-23104/КЛ.Транш - 1</v>
          </cell>
          <cell r="D417">
            <v>89039678570</v>
          </cell>
          <cell r="F417">
            <v>79039678570</v>
          </cell>
        </row>
        <row r="418">
          <cell r="B418" t="str">
            <v>В-24823/КЛ.Транш - 1</v>
          </cell>
          <cell r="D418">
            <v>79186862303</v>
          </cell>
          <cell r="F418">
            <v>79806862303</v>
          </cell>
        </row>
        <row r="419">
          <cell r="B419" t="str">
            <v>В-22699/КЛ.Транш - 1</v>
          </cell>
          <cell r="D419">
            <v>79257780505</v>
          </cell>
        </row>
        <row r="420">
          <cell r="B420" t="str">
            <v>В-00592/АЗ</v>
          </cell>
          <cell r="D420">
            <v>79689060307</v>
          </cell>
          <cell r="F420">
            <v>79689060307</v>
          </cell>
        </row>
        <row r="421">
          <cell r="B421" t="str">
            <v>В-00065/АЗ</v>
          </cell>
          <cell r="D421">
            <v>79296627026</v>
          </cell>
          <cell r="F421">
            <v>79296627026</v>
          </cell>
        </row>
        <row r="422">
          <cell r="B422" t="str">
            <v>В-04967/КЛ.Транш - 4</v>
          </cell>
          <cell r="D422">
            <v>79267172165</v>
          </cell>
          <cell r="F422">
            <v>79267172165</v>
          </cell>
        </row>
        <row r="423">
          <cell r="B423" t="str">
            <v>В-00017/КЛ.Транш - 2</v>
          </cell>
          <cell r="D423">
            <v>89255555113</v>
          </cell>
          <cell r="F423">
            <v>79255555113</v>
          </cell>
        </row>
        <row r="424">
          <cell r="B424" t="str">
            <v>В-00017/КЛ.Транш - 3</v>
          </cell>
          <cell r="D424">
            <v>89255555113</v>
          </cell>
          <cell r="F424">
            <v>79255555113</v>
          </cell>
        </row>
        <row r="425">
          <cell r="B425" t="str">
            <v>А-05165/АЗ_А-20200626/Ц</v>
          </cell>
          <cell r="D425">
            <v>79531567506</v>
          </cell>
          <cell r="E425">
            <v>79531567506</v>
          </cell>
          <cell r="F425">
            <v>79531567506</v>
          </cell>
        </row>
        <row r="426">
          <cell r="B426" t="str">
            <v>В-00837/АЗ</v>
          </cell>
          <cell r="D426">
            <v>79627087474</v>
          </cell>
          <cell r="F426">
            <v>79627090099</v>
          </cell>
        </row>
        <row r="427">
          <cell r="B427" t="str">
            <v>В-00838/АЗ</v>
          </cell>
          <cell r="D427">
            <v>79627087474</v>
          </cell>
          <cell r="F427">
            <v>79627090099</v>
          </cell>
        </row>
        <row r="428">
          <cell r="B428" t="str">
            <v>В-22026/КЛ.Транш - 1_В-20211230/Ц</v>
          </cell>
          <cell r="D428">
            <v>79188891591</v>
          </cell>
          <cell r="F428">
            <v>79188891591</v>
          </cell>
        </row>
        <row r="429">
          <cell r="B429" t="str">
            <v>В-13530/КЛ.Транш - 1</v>
          </cell>
          <cell r="D429">
            <v>79289054735</v>
          </cell>
          <cell r="F429">
            <v>79289054735</v>
          </cell>
        </row>
        <row r="430">
          <cell r="B430" t="str">
            <v>В-13530/КЛ.Транш - 2</v>
          </cell>
          <cell r="D430">
            <v>79289054735</v>
          </cell>
          <cell r="F430">
            <v>79289054735</v>
          </cell>
        </row>
        <row r="431">
          <cell r="B431" t="str">
            <v>В-26474/КЛ.Транш - 1</v>
          </cell>
          <cell r="D431">
            <v>79528209675</v>
          </cell>
        </row>
        <row r="432">
          <cell r="B432" t="str">
            <v>В-00693/АЗ</v>
          </cell>
          <cell r="D432">
            <v>79811676768</v>
          </cell>
          <cell r="F432">
            <v>79811676768</v>
          </cell>
        </row>
        <row r="433">
          <cell r="B433" t="str">
            <v>В-18894/КЛ.Транш - 1</v>
          </cell>
          <cell r="D433">
            <v>79255668462</v>
          </cell>
          <cell r="F433">
            <v>79255668462</v>
          </cell>
        </row>
        <row r="434">
          <cell r="B434" t="str">
            <v>В-02337/КЛ.Транш - 3</v>
          </cell>
          <cell r="C434">
            <v>74954330830</v>
          </cell>
          <cell r="D434">
            <v>79055504528</v>
          </cell>
          <cell r="F434">
            <v>79055504528</v>
          </cell>
        </row>
        <row r="435">
          <cell r="B435" t="str">
            <v>В-02337/КЛ.Транш - 2</v>
          </cell>
          <cell r="C435">
            <v>74954330830</v>
          </cell>
          <cell r="D435">
            <v>79055504528</v>
          </cell>
          <cell r="F435">
            <v>79055504528</v>
          </cell>
        </row>
        <row r="436">
          <cell r="B436" t="str">
            <v>В-02337/КЛ.Транш - 1</v>
          </cell>
          <cell r="C436">
            <v>74954330830</v>
          </cell>
          <cell r="D436">
            <v>79055504528</v>
          </cell>
          <cell r="F436">
            <v>79055504528</v>
          </cell>
        </row>
        <row r="437">
          <cell r="B437" t="str">
            <v>В-00345/АЗ</v>
          </cell>
          <cell r="C437">
            <v>74954330830</v>
          </cell>
          <cell r="D437">
            <v>79629696550</v>
          </cell>
          <cell r="F437">
            <v>79629696550</v>
          </cell>
        </row>
        <row r="438">
          <cell r="B438" t="str">
            <v>В-01074/АЗ</v>
          </cell>
          <cell r="C438">
            <v>74954330830</v>
          </cell>
          <cell r="D438">
            <v>79629696550</v>
          </cell>
          <cell r="F438">
            <v>79629696550</v>
          </cell>
        </row>
        <row r="439">
          <cell r="B439" t="str">
            <v>В-03686/КЛ.Транш - 1_В-20211230/Ц</v>
          </cell>
          <cell r="D439">
            <v>79856621240</v>
          </cell>
          <cell r="F439">
            <v>79856621240</v>
          </cell>
        </row>
        <row r="440">
          <cell r="B440" t="str">
            <v>В-11553/КЛ.Транш - 1</v>
          </cell>
          <cell r="D440">
            <v>79268586463</v>
          </cell>
          <cell r="F440">
            <v>79268586463</v>
          </cell>
        </row>
        <row r="441">
          <cell r="B441" t="str">
            <v>В-12484/КЛ.Транш - 1</v>
          </cell>
          <cell r="D441">
            <v>79221409471</v>
          </cell>
          <cell r="F441">
            <v>79221409471</v>
          </cell>
        </row>
        <row r="442">
          <cell r="B442" t="str">
            <v>В-25530/КЛ.Транш - 1</v>
          </cell>
          <cell r="D442">
            <v>79028711574</v>
          </cell>
          <cell r="F442">
            <v>79028711574</v>
          </cell>
        </row>
        <row r="443">
          <cell r="B443" t="str">
            <v>В-17051/КЛ.Транш - 1</v>
          </cell>
          <cell r="D443">
            <v>79000019313</v>
          </cell>
          <cell r="F443">
            <v>79000019313</v>
          </cell>
        </row>
        <row r="444">
          <cell r="B444" t="str">
            <v>В-25126/КЛ.Транш - 1</v>
          </cell>
          <cell r="D444">
            <v>79379741600</v>
          </cell>
          <cell r="F444">
            <v>79379741600</v>
          </cell>
        </row>
        <row r="445">
          <cell r="B445" t="str">
            <v>В-25126/КЛ.Транш - 2</v>
          </cell>
          <cell r="D445">
            <v>79379741600</v>
          </cell>
          <cell r="F445">
            <v>79379741600</v>
          </cell>
        </row>
        <row r="446">
          <cell r="B446" t="str">
            <v>А-05139/АЗ_А-20200626/Ц</v>
          </cell>
          <cell r="D446" t="str">
            <v>79112345357, 79217572301</v>
          </cell>
          <cell r="E446">
            <v>79112345357</v>
          </cell>
          <cell r="F446">
            <v>79112345357</v>
          </cell>
        </row>
        <row r="447">
          <cell r="B447" t="str">
            <v>В-04162/КЛ.Транш - 1</v>
          </cell>
          <cell r="D447">
            <v>79257820905</v>
          </cell>
          <cell r="F447">
            <v>79257820905</v>
          </cell>
        </row>
        <row r="448">
          <cell r="B448" t="str">
            <v>Т-01931/АЗ_Т-20211028/Ц</v>
          </cell>
          <cell r="D448">
            <v>79602588237</v>
          </cell>
          <cell r="F448">
            <v>79602588237</v>
          </cell>
        </row>
        <row r="449">
          <cell r="B449" t="str">
            <v>В-00951/АЗ_В-20211230/Ц</v>
          </cell>
          <cell r="D449">
            <v>79602588237</v>
          </cell>
          <cell r="F449">
            <v>79602588237</v>
          </cell>
        </row>
        <row r="450">
          <cell r="B450" t="str">
            <v>В-03392/КЛ.Транш - 1</v>
          </cell>
          <cell r="D450">
            <v>89167136953</v>
          </cell>
          <cell r="F450">
            <v>79167136953</v>
          </cell>
        </row>
        <row r="451">
          <cell r="B451" t="str">
            <v>В-00858/АЗ</v>
          </cell>
          <cell r="D451">
            <v>79213673273</v>
          </cell>
          <cell r="F451">
            <v>79213673273</v>
          </cell>
        </row>
        <row r="452">
          <cell r="B452" t="str">
            <v>В-00044/КЭ.Транш - 1</v>
          </cell>
        </row>
        <row r="453">
          <cell r="B453" t="str">
            <v>В-08268/КЛ.Транш - 2</v>
          </cell>
          <cell r="D453">
            <v>79272855894</v>
          </cell>
          <cell r="F453">
            <v>79272855894</v>
          </cell>
        </row>
        <row r="454">
          <cell r="B454" t="str">
            <v>В-11396/КЛ.Транш - 2</v>
          </cell>
          <cell r="D454">
            <v>79852289127</v>
          </cell>
          <cell r="F454">
            <v>79852289127</v>
          </cell>
        </row>
        <row r="455">
          <cell r="B455" t="str">
            <v>В-07411/КЛ.Транш - 1_В-20211230/Ц</v>
          </cell>
          <cell r="C455">
            <v>84999789703</v>
          </cell>
          <cell r="D455">
            <v>89854422722</v>
          </cell>
          <cell r="F455">
            <v>79854422722</v>
          </cell>
        </row>
        <row r="456">
          <cell r="B456" t="str">
            <v>В-07411/КЛ.Транш - 4_В-20211230/Ц</v>
          </cell>
          <cell r="C456">
            <v>84999789703</v>
          </cell>
          <cell r="D456">
            <v>89854422722</v>
          </cell>
          <cell r="F456">
            <v>79854422722</v>
          </cell>
        </row>
        <row r="457">
          <cell r="B457" t="str">
            <v>В-07411/КЛ.Транш - 2_В-20211230/Ц</v>
          </cell>
          <cell r="C457">
            <v>84999789703</v>
          </cell>
          <cell r="D457">
            <v>89854422722</v>
          </cell>
          <cell r="F457">
            <v>79854422722</v>
          </cell>
        </row>
        <row r="458">
          <cell r="B458" t="str">
            <v>В-07411/КЛ.Транш - 3_В-20211230/Ц</v>
          </cell>
          <cell r="C458">
            <v>84999789703</v>
          </cell>
          <cell r="D458">
            <v>89854422722</v>
          </cell>
          <cell r="F458">
            <v>79854422722</v>
          </cell>
        </row>
        <row r="459">
          <cell r="B459" t="str">
            <v>В-07411/КЛ.Транш - 5_В-20211230/Ц</v>
          </cell>
          <cell r="C459">
            <v>84999789703</v>
          </cell>
          <cell r="D459">
            <v>89854422722</v>
          </cell>
          <cell r="F459">
            <v>79854422722</v>
          </cell>
        </row>
        <row r="460">
          <cell r="B460" t="str">
            <v>В-07411/КЛ.Транш - 6_В-20211230/Ц</v>
          </cell>
          <cell r="C460">
            <v>84999789703</v>
          </cell>
          <cell r="D460">
            <v>89854422722</v>
          </cell>
          <cell r="F460">
            <v>79854422722</v>
          </cell>
        </row>
        <row r="461">
          <cell r="B461" t="str">
            <v>В-14728/КЛ.Транш - 8</v>
          </cell>
          <cell r="D461">
            <v>79670036000</v>
          </cell>
          <cell r="F461">
            <v>79670036000</v>
          </cell>
        </row>
        <row r="462">
          <cell r="B462" t="str">
            <v>В-14728/КЛ.Транш - 9</v>
          </cell>
          <cell r="D462">
            <v>79670036000</v>
          </cell>
          <cell r="F462">
            <v>79670036000</v>
          </cell>
        </row>
        <row r="463">
          <cell r="B463" t="str">
            <v>В-14728/КЛ.Транш - 6</v>
          </cell>
          <cell r="D463">
            <v>79670036000</v>
          </cell>
          <cell r="F463">
            <v>79670036000</v>
          </cell>
        </row>
        <row r="464">
          <cell r="B464" t="str">
            <v>В-14728/КЛ.Транш - 7</v>
          </cell>
          <cell r="D464">
            <v>79670036000</v>
          </cell>
          <cell r="F464">
            <v>79670036000</v>
          </cell>
        </row>
        <row r="465">
          <cell r="B465" t="str">
            <v>В-00161/АЗ</v>
          </cell>
          <cell r="C465">
            <v>84999063947</v>
          </cell>
          <cell r="D465">
            <v>89161090060</v>
          </cell>
          <cell r="F465">
            <v>79161090060</v>
          </cell>
        </row>
        <row r="466">
          <cell r="B466" t="str">
            <v>В-25757/КЛ.Транш - 1</v>
          </cell>
          <cell r="D466">
            <v>79913807181</v>
          </cell>
          <cell r="F466">
            <v>79913807181</v>
          </cell>
        </row>
        <row r="467">
          <cell r="B467" t="str">
            <v>В-25640/КЛ.Транш - 1</v>
          </cell>
          <cell r="D467">
            <v>79261434729</v>
          </cell>
          <cell r="F467">
            <v>79261434729</v>
          </cell>
        </row>
        <row r="468">
          <cell r="B468" t="str">
            <v>В-01217/АЗ</v>
          </cell>
          <cell r="C468">
            <v>78125445862</v>
          </cell>
          <cell r="D468">
            <v>89119212562</v>
          </cell>
          <cell r="F468">
            <v>79119212562</v>
          </cell>
        </row>
        <row r="469">
          <cell r="B469" t="str">
            <v>В-20118/КЛ.Транш - 1</v>
          </cell>
          <cell r="D469">
            <v>79271310093</v>
          </cell>
          <cell r="E469">
            <v>79881860636</v>
          </cell>
          <cell r="F469">
            <v>79271310093</v>
          </cell>
        </row>
        <row r="470">
          <cell r="B470" t="str">
            <v>В-18586/КЛ.Транш - 1</v>
          </cell>
          <cell r="D470">
            <v>79154250785</v>
          </cell>
          <cell r="F470">
            <v>79154250785</v>
          </cell>
        </row>
        <row r="471">
          <cell r="B471" t="str">
            <v>В-00496/АЗ</v>
          </cell>
          <cell r="C471">
            <v>74964266361</v>
          </cell>
          <cell r="D471">
            <v>79060330420</v>
          </cell>
          <cell r="E471">
            <v>89057584727</v>
          </cell>
          <cell r="F471">
            <v>79060330420</v>
          </cell>
        </row>
        <row r="472">
          <cell r="B472" t="str">
            <v>В-00497/АЗ</v>
          </cell>
          <cell r="D472">
            <v>79670963535</v>
          </cell>
          <cell r="F472">
            <v>79670963535</v>
          </cell>
        </row>
        <row r="473">
          <cell r="B473" t="str">
            <v>В-27747/КЛ.Транш - 1</v>
          </cell>
          <cell r="D473">
            <v>79011808364</v>
          </cell>
        </row>
        <row r="474">
          <cell r="B474" t="str">
            <v>А-05110/АЗ_А-20200626/Ц</v>
          </cell>
          <cell r="D474">
            <v>79160281047</v>
          </cell>
          <cell r="E474">
            <v>79160281047</v>
          </cell>
        </row>
        <row r="475">
          <cell r="B475" t="str">
            <v>В-00911/АЗ_В-20211230/Ц</v>
          </cell>
          <cell r="D475">
            <v>79250599777</v>
          </cell>
          <cell r="F475">
            <v>79250599777</v>
          </cell>
        </row>
        <row r="476">
          <cell r="B476" t="str">
            <v>В-00927/АЗ_В-20211230/Ц</v>
          </cell>
          <cell r="D476">
            <v>79250599777</v>
          </cell>
          <cell r="F476">
            <v>79250599777</v>
          </cell>
        </row>
        <row r="477">
          <cell r="B477" t="str">
            <v>А-04018/АЗ_А-20200626/Ц</v>
          </cell>
          <cell r="C477">
            <v>78125362375</v>
          </cell>
          <cell r="D477">
            <v>79523954672</v>
          </cell>
          <cell r="E477">
            <v>79523954672</v>
          </cell>
          <cell r="F477">
            <v>79523954672</v>
          </cell>
        </row>
        <row r="478">
          <cell r="B478" t="str">
            <v>В-00581/АЗ</v>
          </cell>
          <cell r="C478">
            <v>74956330012</v>
          </cell>
          <cell r="D478">
            <v>79672695733</v>
          </cell>
          <cell r="F478">
            <v>79672695733</v>
          </cell>
        </row>
        <row r="479">
          <cell r="B479" t="str">
            <v>В-28437/КЛ.Транш - 1</v>
          </cell>
          <cell r="D479">
            <v>79996977662</v>
          </cell>
        </row>
        <row r="480">
          <cell r="B480" t="str">
            <v>В-00431/КЛ.Транш - 1</v>
          </cell>
          <cell r="D480">
            <v>79260559936</v>
          </cell>
          <cell r="F480">
            <v>79260559936</v>
          </cell>
        </row>
        <row r="481">
          <cell r="B481" t="str">
            <v>В-00431/КЛ.Транш - 2</v>
          </cell>
          <cell r="D481">
            <v>79260559936</v>
          </cell>
          <cell r="F481">
            <v>79260559936</v>
          </cell>
        </row>
        <row r="482">
          <cell r="B482" t="str">
            <v>В-12746/КЛ.Транш - 24</v>
          </cell>
          <cell r="D482">
            <v>79259999244</v>
          </cell>
          <cell r="F482">
            <v>79259999244</v>
          </cell>
        </row>
        <row r="483">
          <cell r="B483" t="str">
            <v>В-12746/КЛ.Транш - 7</v>
          </cell>
          <cell r="D483">
            <v>79259999244</v>
          </cell>
          <cell r="F483">
            <v>79259999244</v>
          </cell>
        </row>
        <row r="484">
          <cell r="B484" t="str">
            <v>В-12746/КЛ.Транш - 15</v>
          </cell>
          <cell r="D484">
            <v>79259999244</v>
          </cell>
          <cell r="F484">
            <v>79259999244</v>
          </cell>
        </row>
        <row r="485">
          <cell r="B485" t="str">
            <v>В-12746/КЛ.Транш - 19</v>
          </cell>
          <cell r="D485">
            <v>79259999244</v>
          </cell>
          <cell r="F485">
            <v>79259999244</v>
          </cell>
        </row>
        <row r="486">
          <cell r="B486" t="str">
            <v>В-12746/КЛ.Транш - 23</v>
          </cell>
          <cell r="D486">
            <v>79259999244</v>
          </cell>
          <cell r="F486">
            <v>79259999244</v>
          </cell>
        </row>
        <row r="487">
          <cell r="B487" t="str">
            <v>В-12746/КЛ.Транш - 25</v>
          </cell>
          <cell r="D487">
            <v>79259999244</v>
          </cell>
          <cell r="F487">
            <v>79259999244</v>
          </cell>
        </row>
        <row r="488">
          <cell r="B488" t="str">
            <v>В-12746/КЛ.Транш - 9</v>
          </cell>
          <cell r="D488">
            <v>79259999244</v>
          </cell>
          <cell r="F488">
            <v>79259999244</v>
          </cell>
        </row>
        <row r="489">
          <cell r="B489" t="str">
            <v>В-12746/КЛ.Транш - 10</v>
          </cell>
          <cell r="D489">
            <v>79259999244</v>
          </cell>
          <cell r="F489">
            <v>79259999244</v>
          </cell>
        </row>
        <row r="490">
          <cell r="B490" t="str">
            <v>В-12746/КЛ.Транш - 16</v>
          </cell>
          <cell r="D490">
            <v>79259999244</v>
          </cell>
          <cell r="F490">
            <v>79259999244</v>
          </cell>
        </row>
        <row r="491">
          <cell r="B491" t="str">
            <v>А-03641/АЗ</v>
          </cell>
          <cell r="D491">
            <v>79522711234</v>
          </cell>
          <cell r="E491">
            <v>79522711234</v>
          </cell>
          <cell r="F491">
            <v>79522711234</v>
          </cell>
        </row>
        <row r="492">
          <cell r="B492" t="str">
            <v>В-26290/КЛ.Транш - 1</v>
          </cell>
          <cell r="D492">
            <v>79151876677</v>
          </cell>
          <cell r="F492">
            <v>79151876677</v>
          </cell>
        </row>
        <row r="493">
          <cell r="B493" t="str">
            <v>А-04119/АЗ</v>
          </cell>
          <cell r="D493">
            <v>79998060525</v>
          </cell>
          <cell r="E493">
            <v>79998060525</v>
          </cell>
          <cell r="F493">
            <v>79998060525</v>
          </cell>
        </row>
        <row r="494">
          <cell r="B494" t="str">
            <v>В-17533/КЛ.Транш - 1_В-20211230/Ц</v>
          </cell>
          <cell r="D494">
            <v>79046045670</v>
          </cell>
          <cell r="F494">
            <v>79046045670</v>
          </cell>
        </row>
        <row r="495">
          <cell r="B495" t="str">
            <v>В-00702/АЗ</v>
          </cell>
          <cell r="D495">
            <v>79649401001</v>
          </cell>
          <cell r="E495">
            <v>79649401001</v>
          </cell>
          <cell r="F495">
            <v>79649401001</v>
          </cell>
        </row>
        <row r="496">
          <cell r="B496" t="str">
            <v>Т-01843/АЗ_Т-20200626/Ц</v>
          </cell>
          <cell r="D496">
            <v>79649401001</v>
          </cell>
          <cell r="E496">
            <v>79649401001</v>
          </cell>
          <cell r="F496">
            <v>79649401001</v>
          </cell>
        </row>
        <row r="497">
          <cell r="B497" t="str">
            <v>А-05421/АЗ_А-20200626/Ц</v>
          </cell>
          <cell r="D497">
            <v>79649401001</v>
          </cell>
          <cell r="E497">
            <v>79649401001</v>
          </cell>
          <cell r="F497">
            <v>79649401001</v>
          </cell>
        </row>
        <row r="498">
          <cell r="B498" t="str">
            <v>В-19564/КЛ.Транш - 1</v>
          </cell>
          <cell r="D498">
            <v>79875984452</v>
          </cell>
          <cell r="F498">
            <v>79875984452</v>
          </cell>
        </row>
        <row r="499">
          <cell r="B499" t="str">
            <v>В-19564/КЛ.Транш - 2</v>
          </cell>
          <cell r="D499">
            <v>79875984452</v>
          </cell>
          <cell r="F499">
            <v>79875984452</v>
          </cell>
        </row>
        <row r="500">
          <cell r="B500" t="str">
            <v>В-10909/КЛ.Транш - 1</v>
          </cell>
          <cell r="D500">
            <v>79370745455</v>
          </cell>
          <cell r="F500">
            <v>79370745455</v>
          </cell>
        </row>
        <row r="501">
          <cell r="B501" t="str">
            <v>В-01050/АЗ</v>
          </cell>
          <cell r="D501">
            <v>79181848343</v>
          </cell>
          <cell r="F501">
            <v>79181848343</v>
          </cell>
        </row>
        <row r="502">
          <cell r="B502" t="str">
            <v>В-01051/АЗ</v>
          </cell>
          <cell r="D502">
            <v>79181848343</v>
          </cell>
          <cell r="F502">
            <v>79181848343</v>
          </cell>
        </row>
        <row r="503">
          <cell r="B503" t="str">
            <v>В-12380/КЛ.Транш - 1_В-20211230/Ц</v>
          </cell>
          <cell r="D503">
            <v>89192213172</v>
          </cell>
          <cell r="F503">
            <v>79192213172</v>
          </cell>
        </row>
        <row r="504">
          <cell r="B504" t="str">
            <v>В-13070/КЛ.Транш - 2</v>
          </cell>
          <cell r="D504">
            <v>79292876220</v>
          </cell>
          <cell r="F504">
            <v>79292876220</v>
          </cell>
        </row>
        <row r="505">
          <cell r="B505" t="str">
            <v>В-13070/КЛ.Транш - 3</v>
          </cell>
          <cell r="D505">
            <v>79292876220</v>
          </cell>
          <cell r="F505">
            <v>79292876220</v>
          </cell>
        </row>
        <row r="506">
          <cell r="B506" t="str">
            <v>В-12401/КЛ.Транш - 2</v>
          </cell>
          <cell r="D506" t="str">
            <v>79189250990, 79286682038</v>
          </cell>
          <cell r="F506">
            <v>79189250990</v>
          </cell>
        </row>
        <row r="507">
          <cell r="B507" t="str">
            <v>В-12401/КЛ.Транш - 1</v>
          </cell>
          <cell r="D507" t="str">
            <v>79189250990, 79286682038</v>
          </cell>
          <cell r="F507">
            <v>79189250990</v>
          </cell>
        </row>
        <row r="508">
          <cell r="B508" t="str">
            <v>В-24594/АЗ</v>
          </cell>
          <cell r="D508">
            <v>79889362730</v>
          </cell>
          <cell r="F508">
            <v>79889362730</v>
          </cell>
        </row>
        <row r="509">
          <cell r="B509" t="str">
            <v>В-06481/КЛ.Транш - 7</v>
          </cell>
          <cell r="C509">
            <v>84953144886</v>
          </cell>
          <cell r="D509">
            <v>89166698782</v>
          </cell>
          <cell r="F509">
            <v>79166698782</v>
          </cell>
        </row>
        <row r="510">
          <cell r="B510" t="str">
            <v>В-01148/АЗ</v>
          </cell>
          <cell r="D510">
            <v>79654428428</v>
          </cell>
        </row>
        <row r="511">
          <cell r="B511" t="str">
            <v>В-20300/КЛ.Транш - 1_В-20211230/Ц</v>
          </cell>
          <cell r="D511">
            <v>79604328888</v>
          </cell>
          <cell r="F511">
            <v>79604328888</v>
          </cell>
        </row>
        <row r="512">
          <cell r="B512" t="str">
            <v>В-22409/КЛ.Транш - 1</v>
          </cell>
          <cell r="C512">
            <v>7</v>
          </cell>
          <cell r="D512">
            <v>79243287578</v>
          </cell>
          <cell r="F512">
            <v>79243287578</v>
          </cell>
        </row>
        <row r="513">
          <cell r="B513" t="str">
            <v>В-25367/АЗ</v>
          </cell>
          <cell r="D513">
            <v>79653384337</v>
          </cell>
          <cell r="F513">
            <v>79653384337</v>
          </cell>
        </row>
        <row r="514">
          <cell r="B514" t="str">
            <v>В-12256/КЛ.Транш - 1</v>
          </cell>
          <cell r="D514">
            <v>79040950112</v>
          </cell>
          <cell r="F514">
            <v>79040950112</v>
          </cell>
        </row>
        <row r="515">
          <cell r="B515" t="str">
            <v>В-15163/КЛ.Транш - 1</v>
          </cell>
          <cell r="D515">
            <v>79100000660</v>
          </cell>
          <cell r="F515">
            <v>79100000660</v>
          </cell>
        </row>
        <row r="516">
          <cell r="B516" t="str">
            <v>Т-01890/АЗ_Т-20211028/Ц</v>
          </cell>
          <cell r="D516">
            <v>89689301685</v>
          </cell>
          <cell r="F516">
            <v>79689301685</v>
          </cell>
        </row>
        <row r="517">
          <cell r="B517" t="str">
            <v>А-04742/АЗ</v>
          </cell>
          <cell r="D517">
            <v>79162115502</v>
          </cell>
          <cell r="E517">
            <v>79162115502</v>
          </cell>
        </row>
        <row r="518">
          <cell r="B518" t="str">
            <v>В-16882/КЛ.Транш - 2</v>
          </cell>
          <cell r="D518">
            <v>79773644183</v>
          </cell>
          <cell r="F518">
            <v>79773644183</v>
          </cell>
        </row>
        <row r="519">
          <cell r="B519" t="str">
            <v>В-03259/КЛ.Транш - 1</v>
          </cell>
          <cell r="D519">
            <v>89687969551</v>
          </cell>
          <cell r="F519">
            <v>79687969551</v>
          </cell>
        </row>
        <row r="520">
          <cell r="B520" t="str">
            <v>В-00272/АЗ_В-20211230/Ц</v>
          </cell>
          <cell r="D520">
            <v>89851610177</v>
          </cell>
          <cell r="F520">
            <v>79851610177</v>
          </cell>
        </row>
        <row r="521">
          <cell r="B521" t="str">
            <v>В-07544/КЛ.Транш - 1</v>
          </cell>
          <cell r="D521">
            <v>89771848609</v>
          </cell>
          <cell r="F521">
            <v>79771848609</v>
          </cell>
        </row>
        <row r="522">
          <cell r="B522" t="str">
            <v>В-13719/КЛ.Транш - 1</v>
          </cell>
          <cell r="D522">
            <v>89636517614</v>
          </cell>
          <cell r="F522">
            <v>79636517614</v>
          </cell>
        </row>
        <row r="523">
          <cell r="B523" t="str">
            <v>В-11733/КЛ.Транш - 1_В-20211230/Ц</v>
          </cell>
          <cell r="D523">
            <v>89817820994</v>
          </cell>
          <cell r="F523">
            <v>79817820994</v>
          </cell>
        </row>
        <row r="524">
          <cell r="B524" t="str">
            <v>В-23074/КЛ.Транш - 1</v>
          </cell>
          <cell r="D524">
            <v>89045231800</v>
          </cell>
          <cell r="F524">
            <v>79045231800</v>
          </cell>
        </row>
        <row r="525">
          <cell r="B525" t="str">
            <v>В-24493/КЛ.Транш - 1</v>
          </cell>
          <cell r="D525">
            <v>79807420517</v>
          </cell>
          <cell r="F525">
            <v>79807420517</v>
          </cell>
        </row>
        <row r="526">
          <cell r="B526" t="str">
            <v>В-00077/КЭ.Транш - 1</v>
          </cell>
        </row>
        <row r="527">
          <cell r="B527" t="str">
            <v>В-24934/КЛ.Транш - 3</v>
          </cell>
          <cell r="D527">
            <v>79645851812</v>
          </cell>
          <cell r="F527">
            <v>79645851812</v>
          </cell>
        </row>
        <row r="528">
          <cell r="B528" t="str">
            <v>В-24934/КЛ.Транш - 2</v>
          </cell>
          <cell r="D528">
            <v>79645851812</v>
          </cell>
          <cell r="F528">
            <v>79645851812</v>
          </cell>
        </row>
        <row r="529">
          <cell r="B529" t="str">
            <v>В-24934/КЛ.Транш - 1</v>
          </cell>
          <cell r="D529">
            <v>79645851812</v>
          </cell>
          <cell r="F529">
            <v>79645851812</v>
          </cell>
        </row>
        <row r="530">
          <cell r="B530" t="str">
            <v>В-19715/КЛ.Транш - 1</v>
          </cell>
          <cell r="D530">
            <v>79046461888</v>
          </cell>
          <cell r="F530">
            <v>79046461888</v>
          </cell>
        </row>
        <row r="531">
          <cell r="B531" t="str">
            <v>В-20084/КЛ.Транш - 1</v>
          </cell>
          <cell r="D531">
            <v>79629951331</v>
          </cell>
          <cell r="F531">
            <v>79629951331</v>
          </cell>
        </row>
        <row r="532">
          <cell r="B532" t="str">
            <v>В-12943/КЛ.Транш - 1</v>
          </cell>
          <cell r="D532">
            <v>89270689752</v>
          </cell>
          <cell r="F532">
            <v>79270689752</v>
          </cell>
        </row>
        <row r="533">
          <cell r="B533" t="str">
            <v>В-19897/КЛ.Транш - 1</v>
          </cell>
          <cell r="D533">
            <v>79855607848</v>
          </cell>
          <cell r="F533">
            <v>79855607848</v>
          </cell>
        </row>
        <row r="534">
          <cell r="B534" t="str">
            <v>В-05840/КЛ.Транш - 2</v>
          </cell>
          <cell r="D534">
            <v>79161251076</v>
          </cell>
          <cell r="E534">
            <v>79161251076</v>
          </cell>
          <cell r="F534">
            <v>79161251076</v>
          </cell>
        </row>
        <row r="535">
          <cell r="B535" t="str">
            <v>В-27980/КЛ.Транш - 1</v>
          </cell>
          <cell r="D535">
            <v>79881315422</v>
          </cell>
          <cell r="F535">
            <v>79881315422</v>
          </cell>
        </row>
        <row r="536">
          <cell r="B536" t="str">
            <v>В-14987/КЛ.Транш - 1</v>
          </cell>
          <cell r="D536">
            <v>79822759202</v>
          </cell>
          <cell r="F536">
            <v>79822759202</v>
          </cell>
        </row>
        <row r="537">
          <cell r="B537" t="str">
            <v>В-16067/КЛ.Транш - 1</v>
          </cell>
          <cell r="D537">
            <v>79621334524</v>
          </cell>
          <cell r="F537">
            <v>79621334524</v>
          </cell>
        </row>
        <row r="538">
          <cell r="B538" t="str">
            <v>В-10704/КЛ.Транш - 1</v>
          </cell>
          <cell r="D538">
            <v>79035483254</v>
          </cell>
          <cell r="F538">
            <v>79035483254</v>
          </cell>
        </row>
        <row r="539">
          <cell r="B539" t="str">
            <v>В-10648/КЛ.Транш - 2</v>
          </cell>
          <cell r="D539">
            <v>79955067888</v>
          </cell>
          <cell r="F539">
            <v>79955067888</v>
          </cell>
        </row>
        <row r="540">
          <cell r="B540" t="str">
            <v>В-00233/КЛ.Транш - 1</v>
          </cell>
          <cell r="D540">
            <v>79852928484</v>
          </cell>
          <cell r="F540">
            <v>79852928484</v>
          </cell>
        </row>
        <row r="541">
          <cell r="B541" t="str">
            <v>В-10492/КЛ.Транш - 1</v>
          </cell>
          <cell r="D541">
            <v>79080610858</v>
          </cell>
          <cell r="F541">
            <v>79080610858</v>
          </cell>
        </row>
        <row r="542">
          <cell r="B542" t="str">
            <v>В-01175/АЗ</v>
          </cell>
          <cell r="D542">
            <v>79161179491</v>
          </cell>
          <cell r="F542">
            <v>79161179491</v>
          </cell>
        </row>
        <row r="543">
          <cell r="B543" t="str">
            <v>В-16257/КЛ.Транш - 2</v>
          </cell>
          <cell r="C543">
            <v>84999027819</v>
          </cell>
          <cell r="D543">
            <v>89165460080</v>
          </cell>
          <cell r="F543">
            <v>79019831564</v>
          </cell>
        </row>
        <row r="544">
          <cell r="B544" t="str">
            <v>В-17605/КЛ.Транш - 1</v>
          </cell>
          <cell r="D544">
            <v>79514157455</v>
          </cell>
          <cell r="F544">
            <v>79514157455</v>
          </cell>
        </row>
        <row r="545">
          <cell r="B545" t="str">
            <v>В-28358/КЛ.Транш - 1</v>
          </cell>
          <cell r="D545">
            <v>79035900820</v>
          </cell>
        </row>
        <row r="546">
          <cell r="B546" t="str">
            <v>В-29052/КЛ.Транш - 1</v>
          </cell>
          <cell r="D546">
            <v>79539657046</v>
          </cell>
        </row>
        <row r="547">
          <cell r="B547" t="str">
            <v>В-26251/КЛ.Транш - 1</v>
          </cell>
          <cell r="D547">
            <v>79219092868</v>
          </cell>
          <cell r="F547">
            <v>79219092868</v>
          </cell>
        </row>
        <row r="548">
          <cell r="B548" t="str">
            <v>В-25229/АЗ</v>
          </cell>
          <cell r="D548">
            <v>79602316434</v>
          </cell>
        </row>
        <row r="549">
          <cell r="B549" t="str">
            <v>В-00438/КЛ.Транш - 1</v>
          </cell>
          <cell r="D549">
            <v>79017129658</v>
          </cell>
          <cell r="F549">
            <v>79017129658</v>
          </cell>
        </row>
        <row r="550">
          <cell r="B550" t="str">
            <v>В-00617/КЛ.Транш - 1_Т-20211028/Ц</v>
          </cell>
          <cell r="C550">
            <v>74957530256</v>
          </cell>
          <cell r="D550">
            <v>79037716969</v>
          </cell>
          <cell r="F550">
            <v>79037716969</v>
          </cell>
        </row>
        <row r="551">
          <cell r="B551" t="str">
            <v>В-26477/КЛ.Транш - 1</v>
          </cell>
          <cell r="D551">
            <v>79685452266</v>
          </cell>
        </row>
        <row r="552">
          <cell r="B552" t="str">
            <v>В-01038/АЗ</v>
          </cell>
          <cell r="D552">
            <v>79032135256</v>
          </cell>
          <cell r="E552">
            <v>79032135256</v>
          </cell>
          <cell r="F552">
            <v>79032135256</v>
          </cell>
        </row>
        <row r="553">
          <cell r="B553" t="str">
            <v>В-28549/АЗ</v>
          </cell>
          <cell r="D553">
            <v>89023113609</v>
          </cell>
          <cell r="F553">
            <v>79023113609</v>
          </cell>
        </row>
        <row r="554">
          <cell r="B554" t="str">
            <v>В-28968/АЗ</v>
          </cell>
          <cell r="D554">
            <v>89023113609</v>
          </cell>
          <cell r="F554">
            <v>79023113609</v>
          </cell>
        </row>
        <row r="555">
          <cell r="B555" t="str">
            <v>В-21269/КЛ.Транш - 1_В-20211230/Ц</v>
          </cell>
          <cell r="D555">
            <v>89006503653</v>
          </cell>
          <cell r="F555">
            <v>79006503653</v>
          </cell>
        </row>
        <row r="556">
          <cell r="B556" t="str">
            <v>В-25509/КЛ.Транш - 1</v>
          </cell>
          <cell r="D556">
            <v>79661279090</v>
          </cell>
          <cell r="F556">
            <v>79661279090</v>
          </cell>
        </row>
        <row r="557">
          <cell r="B557" t="str">
            <v>В-01675/КЛ.Транш - 3</v>
          </cell>
          <cell r="D557">
            <v>79661279090</v>
          </cell>
          <cell r="F557">
            <v>79661279090</v>
          </cell>
        </row>
        <row r="558">
          <cell r="B558" t="str">
            <v>В-11447/КЛ.Транш - 1</v>
          </cell>
          <cell r="D558">
            <v>79163455552</v>
          </cell>
          <cell r="F558">
            <v>79163455552</v>
          </cell>
        </row>
        <row r="559">
          <cell r="B559" t="str">
            <v>В-01161/АЗ</v>
          </cell>
          <cell r="D559">
            <v>79260403500</v>
          </cell>
          <cell r="F559">
            <v>79260403500</v>
          </cell>
        </row>
        <row r="560">
          <cell r="B560" t="str">
            <v>В-23655/КЛ.Транш - 3</v>
          </cell>
          <cell r="D560">
            <v>79536694040</v>
          </cell>
          <cell r="F560">
            <v>79536694040</v>
          </cell>
        </row>
        <row r="561">
          <cell r="B561" t="str">
            <v>В-14529/КЛ.Транш - 1_В-20211230/Ц</v>
          </cell>
          <cell r="D561">
            <v>79167185401</v>
          </cell>
          <cell r="F561">
            <v>79167185401</v>
          </cell>
        </row>
        <row r="562">
          <cell r="B562" t="str">
            <v>В-12042/КЛ.Транш - 1</v>
          </cell>
          <cell r="E562">
            <v>79060407129</v>
          </cell>
          <cell r="F562">
            <v>79060407129</v>
          </cell>
        </row>
        <row r="563">
          <cell r="B563" t="str">
            <v>В-19349/КЛ.Транш - 1_В-20211230/Ц</v>
          </cell>
          <cell r="D563">
            <v>79309556325</v>
          </cell>
          <cell r="E563">
            <v>79040021967</v>
          </cell>
          <cell r="F563">
            <v>79309556325</v>
          </cell>
        </row>
        <row r="564">
          <cell r="B564" t="str">
            <v>В-05135/КЛ.Транш - 1</v>
          </cell>
          <cell r="D564">
            <v>79778044852</v>
          </cell>
          <cell r="F564">
            <v>79778044852</v>
          </cell>
        </row>
        <row r="565">
          <cell r="B565" t="str">
            <v>В-01156/АЗ</v>
          </cell>
          <cell r="D565">
            <v>79647780138</v>
          </cell>
          <cell r="F565">
            <v>79647780138</v>
          </cell>
        </row>
        <row r="566">
          <cell r="B566" t="str">
            <v>В-23339/АЗ_В-20211230/Ц</v>
          </cell>
          <cell r="D566">
            <v>79852343377</v>
          </cell>
        </row>
        <row r="567">
          <cell r="B567" t="str">
            <v>В-01015/КЛ.Транш - 3</v>
          </cell>
          <cell r="D567">
            <v>79055511185</v>
          </cell>
          <cell r="F567">
            <v>79055511185</v>
          </cell>
        </row>
        <row r="568">
          <cell r="B568" t="str">
            <v>В-23325/АЗ_В-20211230/Ц</v>
          </cell>
          <cell r="C568">
            <v>74993748109</v>
          </cell>
          <cell r="D568">
            <v>79031346914</v>
          </cell>
        </row>
        <row r="569">
          <cell r="B569" t="str">
            <v>В-19901/КЛ.Транш - 1_В-20211230/Ц</v>
          </cell>
          <cell r="D569">
            <v>79630996834</v>
          </cell>
          <cell r="F569">
            <v>79630996834</v>
          </cell>
        </row>
        <row r="570">
          <cell r="B570" t="str">
            <v>В-00085/АЗ</v>
          </cell>
          <cell r="C570">
            <v>74992304961</v>
          </cell>
          <cell r="D570">
            <v>79036299111</v>
          </cell>
          <cell r="E570">
            <v>79036299111</v>
          </cell>
          <cell r="F570">
            <v>79036299111</v>
          </cell>
        </row>
        <row r="571">
          <cell r="B571" t="str">
            <v>А-05305/АЗ_А-20200626/Ц</v>
          </cell>
          <cell r="C571">
            <v>74992304961</v>
          </cell>
          <cell r="D571">
            <v>79036299111</v>
          </cell>
          <cell r="E571">
            <v>79036299111</v>
          </cell>
          <cell r="F571">
            <v>79036299111</v>
          </cell>
        </row>
        <row r="572">
          <cell r="B572" t="str">
            <v>В-26743/КЛ.Транш - 1</v>
          </cell>
          <cell r="D572">
            <v>79145195995</v>
          </cell>
        </row>
        <row r="573">
          <cell r="B573" t="str">
            <v>В-00183/АЗ</v>
          </cell>
          <cell r="D573">
            <v>79774130804</v>
          </cell>
          <cell r="F573">
            <v>79774130804</v>
          </cell>
        </row>
        <row r="574">
          <cell r="B574" t="str">
            <v>А-04639/АЗ</v>
          </cell>
          <cell r="C574">
            <v>79672271927</v>
          </cell>
          <cell r="D574">
            <v>79104164733</v>
          </cell>
          <cell r="E574">
            <v>79104164733</v>
          </cell>
        </row>
        <row r="575">
          <cell r="B575" t="str">
            <v>В-04159/КЛ.Транш - 1</v>
          </cell>
          <cell r="D575">
            <v>79253754710</v>
          </cell>
          <cell r="F575">
            <v>79253754710</v>
          </cell>
        </row>
        <row r="576">
          <cell r="B576" t="str">
            <v>В-03907/КЛ.Транш - 2</v>
          </cell>
          <cell r="D576">
            <v>79096775510</v>
          </cell>
          <cell r="F576">
            <v>79096775510</v>
          </cell>
        </row>
        <row r="577">
          <cell r="B577" t="str">
            <v>В-09470/КЛ.Транш - 2</v>
          </cell>
          <cell r="D577">
            <v>79602369556</v>
          </cell>
          <cell r="F577">
            <v>79602369556</v>
          </cell>
        </row>
        <row r="578">
          <cell r="B578" t="str">
            <v>В-00411/АЗ</v>
          </cell>
          <cell r="C578">
            <v>74953564947</v>
          </cell>
          <cell r="D578">
            <v>79161465673</v>
          </cell>
          <cell r="F578">
            <v>79161465673</v>
          </cell>
        </row>
        <row r="579">
          <cell r="B579" t="str">
            <v>В-00540/КЛ.Транш - 1</v>
          </cell>
          <cell r="D579">
            <v>79006366087</v>
          </cell>
          <cell r="F579">
            <v>79006366037</v>
          </cell>
        </row>
        <row r="580">
          <cell r="B580" t="str">
            <v>В-12435/КЛ.Транш - 1</v>
          </cell>
          <cell r="D580">
            <v>79533728902</v>
          </cell>
          <cell r="F580">
            <v>79533728902</v>
          </cell>
        </row>
        <row r="581">
          <cell r="B581" t="str">
            <v>В-24798/АЗ</v>
          </cell>
          <cell r="D581">
            <v>79261006026</v>
          </cell>
          <cell r="E581">
            <v>79261006026</v>
          </cell>
          <cell r="F581">
            <v>79261006026</v>
          </cell>
        </row>
        <row r="582">
          <cell r="B582" t="str">
            <v>В-22920/КЛ.Транш - 1</v>
          </cell>
          <cell r="D582">
            <v>79504259973</v>
          </cell>
          <cell r="F582">
            <v>79504259973</v>
          </cell>
        </row>
        <row r="583">
          <cell r="B583" t="str">
            <v>В-00457/АЗ_Т-20211028/Ц</v>
          </cell>
          <cell r="D583">
            <v>79036663133</v>
          </cell>
          <cell r="E583">
            <v>79036663133</v>
          </cell>
          <cell r="F583">
            <v>79036663133</v>
          </cell>
        </row>
        <row r="584">
          <cell r="B584" t="str">
            <v>А-04223/АЗ</v>
          </cell>
          <cell r="C584">
            <v>74965124552</v>
          </cell>
          <cell r="D584">
            <v>79269400595</v>
          </cell>
          <cell r="E584">
            <v>79269400595</v>
          </cell>
        </row>
        <row r="585">
          <cell r="B585" t="str">
            <v>В-20171/КЛ.Транш - 1</v>
          </cell>
          <cell r="D585">
            <v>79536708626</v>
          </cell>
          <cell r="F585">
            <v>79536708626</v>
          </cell>
        </row>
        <row r="586">
          <cell r="B586" t="str">
            <v>В-08644/КЛ.Транш - 1</v>
          </cell>
          <cell r="D586">
            <v>79997159400</v>
          </cell>
          <cell r="F586">
            <v>79997159400</v>
          </cell>
        </row>
        <row r="587">
          <cell r="B587" t="str">
            <v>В-10495/КЛ.Транш - 1</v>
          </cell>
          <cell r="D587">
            <v>79040121789</v>
          </cell>
          <cell r="F587">
            <v>79040121789</v>
          </cell>
        </row>
        <row r="588">
          <cell r="B588" t="str">
            <v>В-27416/АЗ</v>
          </cell>
          <cell r="D588">
            <v>79637560542</v>
          </cell>
        </row>
        <row r="589">
          <cell r="B589" t="str">
            <v>В-16541/КЛ.Транш - 1</v>
          </cell>
          <cell r="D589">
            <v>79256466364</v>
          </cell>
          <cell r="F589">
            <v>79256466364</v>
          </cell>
        </row>
        <row r="590">
          <cell r="B590" t="str">
            <v>В-19597/КЛ.Транш - 6</v>
          </cell>
          <cell r="D590">
            <v>79800046483</v>
          </cell>
          <cell r="F590">
            <v>79800046483</v>
          </cell>
        </row>
        <row r="591">
          <cell r="B591" t="str">
            <v>В-19597/КЛ.Транш - 5</v>
          </cell>
          <cell r="D591">
            <v>79800046483</v>
          </cell>
          <cell r="F591">
            <v>79800046483</v>
          </cell>
        </row>
        <row r="592">
          <cell r="B592" t="str">
            <v>В-19597/КЛ.Транш - 1</v>
          </cell>
          <cell r="D592">
            <v>79800046483</v>
          </cell>
          <cell r="F592">
            <v>79800046483</v>
          </cell>
        </row>
        <row r="593">
          <cell r="B593" t="str">
            <v>В-19597/КЛ.Транш - 3</v>
          </cell>
          <cell r="D593">
            <v>79800046483</v>
          </cell>
          <cell r="F593">
            <v>79800046483</v>
          </cell>
        </row>
        <row r="594">
          <cell r="B594" t="str">
            <v>В-19597/КЛ.Транш - 2</v>
          </cell>
          <cell r="D594">
            <v>79800046483</v>
          </cell>
          <cell r="F594">
            <v>79800046483</v>
          </cell>
        </row>
        <row r="595">
          <cell r="B595" t="str">
            <v>В-19597/КЛ.Транш - 4</v>
          </cell>
          <cell r="D595">
            <v>79800046483</v>
          </cell>
          <cell r="F595">
            <v>79800046483</v>
          </cell>
        </row>
        <row r="596">
          <cell r="B596" t="str">
            <v>В-25052/КЛ.Транш - 1</v>
          </cell>
          <cell r="D596">
            <v>79229271317</v>
          </cell>
          <cell r="F596">
            <v>79229271317</v>
          </cell>
        </row>
        <row r="597">
          <cell r="B597" t="str">
            <v>В-01098/АЗ</v>
          </cell>
          <cell r="D597">
            <v>89055553616</v>
          </cell>
          <cell r="F597">
            <v>79055553616</v>
          </cell>
        </row>
        <row r="598">
          <cell r="B598" t="str">
            <v>В-21208/КЛ.Транш - 1_В-20211230/Ц</v>
          </cell>
          <cell r="D598">
            <v>89067819144</v>
          </cell>
          <cell r="F598">
            <v>79067819144</v>
          </cell>
        </row>
        <row r="599">
          <cell r="B599" t="str">
            <v>В-21208/КЛ.Транш - 2_В-20211230/Ц</v>
          </cell>
          <cell r="D599">
            <v>89067819144</v>
          </cell>
          <cell r="F599">
            <v>79067819144</v>
          </cell>
        </row>
        <row r="600">
          <cell r="B600" t="str">
            <v>В-01179/АЗ_В-20211230/Ц</v>
          </cell>
          <cell r="D600">
            <v>79119863113</v>
          </cell>
          <cell r="F600">
            <v>79119863113</v>
          </cell>
        </row>
        <row r="601">
          <cell r="B601" t="str">
            <v>В-24012/КЛ.Транш - 1</v>
          </cell>
          <cell r="D601">
            <v>89168261965</v>
          </cell>
          <cell r="F601">
            <v>79168261965</v>
          </cell>
        </row>
        <row r="602">
          <cell r="B602" t="str">
            <v>В-15073/КЛ.Транш - 3</v>
          </cell>
          <cell r="C602">
            <v>74964425733</v>
          </cell>
          <cell r="D602">
            <v>79055613931</v>
          </cell>
          <cell r="E602">
            <v>79055613931</v>
          </cell>
          <cell r="F602">
            <v>79055613931</v>
          </cell>
        </row>
        <row r="603">
          <cell r="B603" t="str">
            <v>В-26517/КЛ.Транш - 1</v>
          </cell>
          <cell r="D603">
            <v>79654586720</v>
          </cell>
        </row>
        <row r="604">
          <cell r="B604" t="str">
            <v>В-17962/КЛ.Транш - 1</v>
          </cell>
          <cell r="D604">
            <v>89295634233</v>
          </cell>
          <cell r="F604">
            <v>79295634233</v>
          </cell>
        </row>
        <row r="605">
          <cell r="B605" t="str">
            <v>В-25407/КЛ.Транш - 1</v>
          </cell>
          <cell r="D605">
            <v>79251766003</v>
          </cell>
          <cell r="F605">
            <v>79251766003</v>
          </cell>
        </row>
        <row r="606">
          <cell r="B606" t="str">
            <v>В-04333/КЛ.Транш - 3</v>
          </cell>
          <cell r="D606">
            <v>79031598282</v>
          </cell>
          <cell r="F606">
            <v>79031598282</v>
          </cell>
        </row>
        <row r="607">
          <cell r="B607" t="str">
            <v>В-04333/КЛ.Транш - 8</v>
          </cell>
          <cell r="D607">
            <v>79031598282</v>
          </cell>
          <cell r="F607">
            <v>79031598282</v>
          </cell>
        </row>
        <row r="608">
          <cell r="B608" t="str">
            <v>В-14196/КЛ.Транш - 1</v>
          </cell>
          <cell r="D608">
            <v>79869500103</v>
          </cell>
          <cell r="F608">
            <v>79869500103</v>
          </cell>
        </row>
        <row r="609">
          <cell r="B609" t="str">
            <v>В-24363/КЛ.Транш - 1</v>
          </cell>
          <cell r="D609">
            <v>79091638358</v>
          </cell>
          <cell r="F609">
            <v>79091638358</v>
          </cell>
        </row>
        <row r="610">
          <cell r="B610" t="str">
            <v>В-24363/КЛ.Транш - 2</v>
          </cell>
          <cell r="D610">
            <v>79091638358</v>
          </cell>
          <cell r="F610">
            <v>79091638358</v>
          </cell>
        </row>
        <row r="611">
          <cell r="B611" t="str">
            <v>В-13449/КЛ.Транш - 1</v>
          </cell>
          <cell r="D611">
            <v>79966163228</v>
          </cell>
          <cell r="F611">
            <v>79966163228</v>
          </cell>
        </row>
        <row r="612">
          <cell r="B612" t="str">
            <v>В-22744/КЛ.Транш - 1</v>
          </cell>
          <cell r="D612">
            <v>79517794128</v>
          </cell>
          <cell r="F612">
            <v>79517794128</v>
          </cell>
        </row>
        <row r="613">
          <cell r="B613" t="str">
            <v>В-02641/КЛ.Транш - 1</v>
          </cell>
          <cell r="D613">
            <v>89683369352</v>
          </cell>
          <cell r="E613">
            <v>89777011323</v>
          </cell>
          <cell r="F613">
            <v>79683369352</v>
          </cell>
        </row>
        <row r="614">
          <cell r="B614" t="str">
            <v>В-00872/АЗ</v>
          </cell>
          <cell r="D614">
            <v>79150554143</v>
          </cell>
          <cell r="F614">
            <v>79150554143</v>
          </cell>
        </row>
        <row r="615">
          <cell r="B615" t="str">
            <v>В-00678/КЛ.Транш - 1</v>
          </cell>
          <cell r="D615">
            <v>89031415151</v>
          </cell>
          <cell r="F615">
            <v>79031415151</v>
          </cell>
        </row>
        <row r="616">
          <cell r="B616" t="str">
            <v>В-15330/КЛ.Транш - 1_В-20211230/Ц</v>
          </cell>
          <cell r="D616">
            <v>79661451051</v>
          </cell>
          <cell r="F616">
            <v>79661451051</v>
          </cell>
        </row>
        <row r="617">
          <cell r="B617" t="str">
            <v>В-05064/КЛ.Транш - 1</v>
          </cell>
          <cell r="D617">
            <v>79151771236</v>
          </cell>
          <cell r="F617">
            <v>79151771236</v>
          </cell>
        </row>
        <row r="618">
          <cell r="B618" t="str">
            <v>В-15156/КЛ.Транш - 1_В-20211230/Ц</v>
          </cell>
          <cell r="D618">
            <v>79997503686</v>
          </cell>
          <cell r="F618">
            <v>79997503686</v>
          </cell>
        </row>
        <row r="619">
          <cell r="B619" t="str">
            <v>В-01898/КЛ.Транш - 1</v>
          </cell>
          <cell r="D619">
            <v>79035496858</v>
          </cell>
          <cell r="F619">
            <v>79035496858</v>
          </cell>
        </row>
        <row r="620">
          <cell r="B620" t="str">
            <v>В-11847/КЛ.Транш - 1</v>
          </cell>
          <cell r="C620">
            <v>79109060450</v>
          </cell>
        </row>
        <row r="621">
          <cell r="B621" t="str">
            <v>В-28703/КЛ.Транш - 1</v>
          </cell>
          <cell r="D621">
            <v>89778809927</v>
          </cell>
          <cell r="F621">
            <v>79778809927</v>
          </cell>
        </row>
        <row r="622">
          <cell r="B622" t="str">
            <v>В-00986/КЛ.Транш - 1</v>
          </cell>
          <cell r="D622">
            <v>89060977611</v>
          </cell>
          <cell r="F622">
            <v>79060977611</v>
          </cell>
        </row>
        <row r="623">
          <cell r="B623" t="str">
            <v>В-12912/КЛ.Транш - 1</v>
          </cell>
          <cell r="D623">
            <v>79519086580</v>
          </cell>
          <cell r="F623">
            <v>79519086580</v>
          </cell>
        </row>
        <row r="624">
          <cell r="B624" t="str">
            <v>В-08942/КЛ.Транш - 1</v>
          </cell>
          <cell r="D624">
            <v>79160050904</v>
          </cell>
          <cell r="F624">
            <v>79160050904</v>
          </cell>
        </row>
        <row r="625">
          <cell r="B625" t="str">
            <v>В-00100/АЗ</v>
          </cell>
          <cell r="D625">
            <v>79283343232</v>
          </cell>
          <cell r="F625">
            <v>79283343232</v>
          </cell>
        </row>
        <row r="626">
          <cell r="B626" t="str">
            <v>В-17310/КЛ.Транш - 1</v>
          </cell>
          <cell r="D626">
            <v>79646999991</v>
          </cell>
          <cell r="F626">
            <v>79646999991</v>
          </cell>
        </row>
        <row r="627">
          <cell r="B627" t="str">
            <v>А-04751/АЗ</v>
          </cell>
          <cell r="D627">
            <v>79623634939</v>
          </cell>
          <cell r="E627">
            <v>79623634939</v>
          </cell>
        </row>
        <row r="628">
          <cell r="B628" t="str">
            <v>В-14560/КЛ.Транш - 3</v>
          </cell>
          <cell r="D628">
            <v>79033812771</v>
          </cell>
          <cell r="F628">
            <v>79033812771</v>
          </cell>
        </row>
        <row r="629">
          <cell r="B629" t="str">
            <v>В-14560/КЛ.Транш - 2</v>
          </cell>
          <cell r="D629">
            <v>79033812771</v>
          </cell>
          <cell r="F629">
            <v>79033812771</v>
          </cell>
        </row>
        <row r="630">
          <cell r="B630" t="str">
            <v>В-17167/КЛ.Транш - 1_В-20211230/Ц</v>
          </cell>
          <cell r="D630">
            <v>79284641675</v>
          </cell>
          <cell r="F630">
            <v>79284641675</v>
          </cell>
        </row>
        <row r="631">
          <cell r="B631" t="str">
            <v>В-15831/КЛ.Транш - 1</v>
          </cell>
          <cell r="D631">
            <v>79155238688</v>
          </cell>
          <cell r="F631">
            <v>79155238688</v>
          </cell>
        </row>
        <row r="632">
          <cell r="B632" t="str">
            <v>В-00835/АЗ_В-20211230/Ц</v>
          </cell>
          <cell r="D632">
            <v>89997114444</v>
          </cell>
          <cell r="F632">
            <v>79997114444</v>
          </cell>
        </row>
        <row r="633">
          <cell r="B633" t="str">
            <v>В-00836/АЗ_В-20211230/Ц</v>
          </cell>
          <cell r="D633">
            <v>89997114444</v>
          </cell>
          <cell r="F633">
            <v>79997114444</v>
          </cell>
        </row>
        <row r="634">
          <cell r="B634" t="str">
            <v>В-00832/АЗ_В-20211230/Ц</v>
          </cell>
          <cell r="D634">
            <v>89997114444</v>
          </cell>
          <cell r="F634">
            <v>79997114444</v>
          </cell>
        </row>
        <row r="635">
          <cell r="B635" t="str">
            <v>В-00833/АЗ_В-20211230/Ц</v>
          </cell>
          <cell r="D635">
            <v>89997114444</v>
          </cell>
          <cell r="F635">
            <v>79997114444</v>
          </cell>
        </row>
        <row r="636">
          <cell r="B636" t="str">
            <v>В-24927/КЛ.Транш - 1</v>
          </cell>
          <cell r="D636">
            <v>79092265724</v>
          </cell>
          <cell r="F636">
            <v>79092265724</v>
          </cell>
        </row>
        <row r="637">
          <cell r="B637" t="str">
            <v>В-00953/АЗ</v>
          </cell>
          <cell r="D637">
            <v>79062610803</v>
          </cell>
          <cell r="F637">
            <v>79062610803</v>
          </cell>
        </row>
        <row r="638">
          <cell r="B638" t="str">
            <v>В-15735/КЛ.Транш - 2</v>
          </cell>
          <cell r="D638">
            <v>79102164993</v>
          </cell>
          <cell r="F638">
            <v>79102164993</v>
          </cell>
        </row>
        <row r="639">
          <cell r="B639" t="str">
            <v>В-20713/КЛ.Транш - 1</v>
          </cell>
          <cell r="D639">
            <v>79289571255</v>
          </cell>
          <cell r="E639">
            <v>79281640574</v>
          </cell>
          <cell r="F639">
            <v>79289571255</v>
          </cell>
        </row>
        <row r="640">
          <cell r="B640" t="str">
            <v>В-20713/КЛ.Транш - 2</v>
          </cell>
          <cell r="D640">
            <v>79289571255</v>
          </cell>
          <cell r="E640">
            <v>79281640574</v>
          </cell>
          <cell r="F640">
            <v>79289571255</v>
          </cell>
        </row>
        <row r="641">
          <cell r="B641" t="str">
            <v>В-23840/КЛ.Транш - 1_В-20211230/Ц</v>
          </cell>
          <cell r="D641">
            <v>79011757052</v>
          </cell>
          <cell r="F641">
            <v>79011757052</v>
          </cell>
        </row>
        <row r="642">
          <cell r="B642" t="str">
            <v>В-23555/КЛ.Транш - 1</v>
          </cell>
          <cell r="D642">
            <v>79156605620</v>
          </cell>
          <cell r="F642">
            <v>79156605620</v>
          </cell>
        </row>
        <row r="643">
          <cell r="B643" t="str">
            <v>В-23555/КЛ.Транш - 2</v>
          </cell>
          <cell r="D643">
            <v>79156605620</v>
          </cell>
          <cell r="F643">
            <v>79156605620</v>
          </cell>
        </row>
        <row r="644">
          <cell r="B644" t="str">
            <v>В-06343/КЛ.Транш - 1</v>
          </cell>
          <cell r="D644">
            <v>79035427065</v>
          </cell>
          <cell r="F644">
            <v>79035427065</v>
          </cell>
        </row>
        <row r="645">
          <cell r="B645" t="str">
            <v>В-06343/КЛ.Транш - 2</v>
          </cell>
          <cell r="D645">
            <v>79035427065</v>
          </cell>
          <cell r="F645">
            <v>79035427065</v>
          </cell>
        </row>
        <row r="646">
          <cell r="B646" t="str">
            <v>В-22996/КЛ.Транш - 3</v>
          </cell>
          <cell r="D646">
            <v>89858917170</v>
          </cell>
          <cell r="F646">
            <v>79858917170</v>
          </cell>
        </row>
        <row r="647">
          <cell r="B647" t="str">
            <v>В-22996/КЛ.Транш - 1</v>
          </cell>
          <cell r="D647">
            <v>89858917170</v>
          </cell>
          <cell r="F647">
            <v>79858917170</v>
          </cell>
        </row>
        <row r="648">
          <cell r="B648" t="str">
            <v>В-22996/КЛ.Транш - 4</v>
          </cell>
          <cell r="D648">
            <v>89858917170</v>
          </cell>
          <cell r="F648">
            <v>79858917170</v>
          </cell>
        </row>
        <row r="649">
          <cell r="B649" t="str">
            <v>В-22996/КЛ.Транш - 2</v>
          </cell>
          <cell r="D649">
            <v>89858917170</v>
          </cell>
          <cell r="F649">
            <v>79858917170</v>
          </cell>
        </row>
        <row r="650">
          <cell r="B650" t="str">
            <v>А-04955/АЗ</v>
          </cell>
          <cell r="C650">
            <v>74953724696</v>
          </cell>
          <cell r="D650">
            <v>79859206617</v>
          </cell>
          <cell r="E650">
            <v>79859206617</v>
          </cell>
        </row>
        <row r="651">
          <cell r="B651" t="str">
            <v>В-01634/КЛ.Транш - 4</v>
          </cell>
          <cell r="D651">
            <v>79661280456</v>
          </cell>
          <cell r="F651">
            <v>79661280456</v>
          </cell>
        </row>
        <row r="652">
          <cell r="B652" t="str">
            <v>В-11781/КЛ.Транш - 3</v>
          </cell>
          <cell r="D652">
            <v>89268116094</v>
          </cell>
          <cell r="F652">
            <v>79268116094</v>
          </cell>
        </row>
        <row r="653">
          <cell r="B653" t="str">
            <v>В-24610/КЛ.Транш - 1</v>
          </cell>
          <cell r="D653">
            <v>89672545999</v>
          </cell>
          <cell r="F653">
            <v>79672545999</v>
          </cell>
        </row>
        <row r="654">
          <cell r="B654" t="str">
            <v>В-06092/КЛ.Транш - 1</v>
          </cell>
          <cell r="D654">
            <v>89296335133</v>
          </cell>
          <cell r="F654">
            <v>79296335133</v>
          </cell>
        </row>
        <row r="655">
          <cell r="B655" t="str">
            <v>В-17852/КЛ.Транш - 1_В-20211230/Ц</v>
          </cell>
          <cell r="D655">
            <v>79105261243</v>
          </cell>
          <cell r="F655">
            <v>79105261243</v>
          </cell>
        </row>
        <row r="656">
          <cell r="B656" t="str">
            <v>В-00823/АЗ</v>
          </cell>
          <cell r="D656">
            <v>79214459367</v>
          </cell>
          <cell r="F656">
            <v>79214459367</v>
          </cell>
        </row>
        <row r="657">
          <cell r="B657" t="str">
            <v>В-23782/КЛ.Транш - 4</v>
          </cell>
          <cell r="D657">
            <v>79162049438</v>
          </cell>
          <cell r="F657">
            <v>79162049438</v>
          </cell>
        </row>
        <row r="658">
          <cell r="B658" t="str">
            <v>В-23782/КЛ.Транш - 5</v>
          </cell>
          <cell r="D658">
            <v>79162049438</v>
          </cell>
          <cell r="F658">
            <v>79162049438</v>
          </cell>
        </row>
        <row r="659">
          <cell r="B659" t="str">
            <v>В-03465/КЛ.Транш - 1</v>
          </cell>
          <cell r="D659">
            <v>79384802224</v>
          </cell>
          <cell r="F659">
            <v>79384802224</v>
          </cell>
        </row>
        <row r="660">
          <cell r="B660" t="str">
            <v>В-17095/КЛ.Транш - 1</v>
          </cell>
          <cell r="D660">
            <v>79206859288</v>
          </cell>
          <cell r="F660">
            <v>79206859288</v>
          </cell>
        </row>
        <row r="661">
          <cell r="B661" t="str">
            <v>В-17625/КЛ.Транш - 1_В-20211230/Ц</v>
          </cell>
          <cell r="D661">
            <v>79811123018</v>
          </cell>
          <cell r="F661">
            <v>79811123018</v>
          </cell>
        </row>
        <row r="662">
          <cell r="B662" t="str">
            <v>В-11534/КЛ.Транш - 1</v>
          </cell>
          <cell r="D662">
            <v>79637203035</v>
          </cell>
          <cell r="F662">
            <v>79637203035</v>
          </cell>
        </row>
        <row r="663">
          <cell r="B663" t="str">
            <v>В-11534/КЛ.Транш - 2</v>
          </cell>
          <cell r="D663">
            <v>79637203035</v>
          </cell>
          <cell r="F663">
            <v>79637203035</v>
          </cell>
        </row>
        <row r="664">
          <cell r="B664" t="str">
            <v>А-00063/БЭ</v>
          </cell>
          <cell r="D664">
            <v>79037296324</v>
          </cell>
          <cell r="E664">
            <v>79037296324</v>
          </cell>
          <cell r="F664">
            <v>79037296324</v>
          </cell>
        </row>
        <row r="665">
          <cell r="B665" t="str">
            <v>Т-00038/БЭ_Т-20211028/Ц</v>
          </cell>
          <cell r="D665">
            <v>79037296324</v>
          </cell>
          <cell r="E665">
            <v>79037296324</v>
          </cell>
          <cell r="F665">
            <v>79037296324</v>
          </cell>
        </row>
        <row r="666">
          <cell r="B666" t="str">
            <v>В-18216/КЛ.Транш - 1_В-20211230/Ц</v>
          </cell>
          <cell r="D666">
            <v>79313541669</v>
          </cell>
          <cell r="F666">
            <v>79313541669</v>
          </cell>
        </row>
        <row r="667">
          <cell r="B667" t="str">
            <v>В-17061/КЛ.Транш - 1</v>
          </cell>
          <cell r="D667">
            <v>79033638557</v>
          </cell>
          <cell r="F667">
            <v>79033638557</v>
          </cell>
        </row>
        <row r="668">
          <cell r="B668" t="str">
            <v>Т-01775/АЗ_Т-20200626/Ц</v>
          </cell>
          <cell r="D668">
            <v>79163337170</v>
          </cell>
          <cell r="E668">
            <v>79163337170</v>
          </cell>
          <cell r="F668">
            <v>79163337170</v>
          </cell>
        </row>
        <row r="669">
          <cell r="B669" t="str">
            <v>А-05285/АЗ_Т-20200626/Ц</v>
          </cell>
          <cell r="D669">
            <v>79163337170</v>
          </cell>
          <cell r="E669">
            <v>79163337170</v>
          </cell>
          <cell r="F669">
            <v>79163337170</v>
          </cell>
        </row>
        <row r="670">
          <cell r="B670" t="str">
            <v>В-12551/КЛ.Транш - 1_В-20211230/Ц</v>
          </cell>
          <cell r="D670">
            <v>89123452515</v>
          </cell>
          <cell r="F670">
            <v>79123452515</v>
          </cell>
        </row>
        <row r="671">
          <cell r="B671" t="str">
            <v>В-17362/КЛ.Транш - 1_В-20211230/Ц</v>
          </cell>
          <cell r="D671">
            <v>79034366683</v>
          </cell>
          <cell r="F671">
            <v>79034366683</v>
          </cell>
        </row>
        <row r="672">
          <cell r="B672" t="str">
            <v>В-00972/АЗ</v>
          </cell>
          <cell r="C672">
            <v>84954134290</v>
          </cell>
          <cell r="D672">
            <v>89039650503</v>
          </cell>
          <cell r="F672">
            <v>79039650503</v>
          </cell>
        </row>
        <row r="673">
          <cell r="B673" t="str">
            <v>В-01146/АЗ</v>
          </cell>
          <cell r="C673">
            <v>78124607228</v>
          </cell>
          <cell r="D673">
            <v>79119225906</v>
          </cell>
          <cell r="E673">
            <v>79119225906</v>
          </cell>
          <cell r="F673">
            <v>79119225906</v>
          </cell>
        </row>
        <row r="674">
          <cell r="B674" t="str">
            <v>В-01145/АЗ</v>
          </cell>
          <cell r="D674">
            <v>79213793379</v>
          </cell>
        </row>
        <row r="675">
          <cell r="B675" t="str">
            <v>А-05208/АЗ</v>
          </cell>
          <cell r="D675">
            <v>79881622202</v>
          </cell>
          <cell r="E675">
            <v>79881622202</v>
          </cell>
        </row>
        <row r="676">
          <cell r="B676" t="str">
            <v>Т-01758/АЗ_А-20200626/Ц</v>
          </cell>
          <cell r="D676">
            <v>79881622202</v>
          </cell>
          <cell r="E676">
            <v>79881622202</v>
          </cell>
        </row>
        <row r="677">
          <cell r="B677" t="str">
            <v>В-19662/КЛ.Транш - 1</v>
          </cell>
          <cell r="D677">
            <v>79057510088</v>
          </cell>
          <cell r="F677">
            <v>79057510088</v>
          </cell>
        </row>
        <row r="678">
          <cell r="B678" t="str">
            <v>В-28544/КЛ.Транш - 1</v>
          </cell>
          <cell r="D678">
            <v>79186920208</v>
          </cell>
        </row>
        <row r="679">
          <cell r="B679" t="str">
            <v>В-09203/КЛ.Транш - 1</v>
          </cell>
          <cell r="D679">
            <v>79157355780</v>
          </cell>
          <cell r="F679">
            <v>79157355780</v>
          </cell>
        </row>
        <row r="680">
          <cell r="B680" t="str">
            <v>В-16915/КЛ.Транш - 1_В-20211230/Ц</v>
          </cell>
          <cell r="D680">
            <v>79147072143</v>
          </cell>
          <cell r="F680">
            <v>79147072143</v>
          </cell>
        </row>
        <row r="681">
          <cell r="B681" t="str">
            <v>В-00320/КЛ.Транш - 1</v>
          </cell>
          <cell r="C681">
            <v>84991498866</v>
          </cell>
          <cell r="D681">
            <v>89261613726</v>
          </cell>
          <cell r="F681">
            <v>79261613726</v>
          </cell>
        </row>
        <row r="682">
          <cell r="B682" t="str">
            <v>В-10278/КЛ.Транш - 1</v>
          </cell>
          <cell r="D682">
            <v>79295613402</v>
          </cell>
          <cell r="F682">
            <v>79295613402</v>
          </cell>
        </row>
        <row r="683">
          <cell r="B683" t="str">
            <v>В-25747/КЛ.Транш - 1_В-20211230/Ц</v>
          </cell>
          <cell r="D683">
            <v>79192524444</v>
          </cell>
          <cell r="F683">
            <v>79192524444</v>
          </cell>
        </row>
        <row r="684">
          <cell r="B684" t="str">
            <v>А-10045/КЭ.Транш - 2</v>
          </cell>
          <cell r="D684">
            <v>89643724946</v>
          </cell>
          <cell r="F684">
            <v>79643724946</v>
          </cell>
        </row>
        <row r="685">
          <cell r="B685" t="str">
            <v>А-10061/КЭ.Транш - 1</v>
          </cell>
          <cell r="D685">
            <v>79214407990</v>
          </cell>
          <cell r="F685">
            <v>79214407990</v>
          </cell>
        </row>
        <row r="686">
          <cell r="B686" t="str">
            <v>А-10100/КЭ.Транш - 3</v>
          </cell>
          <cell r="D686">
            <v>79056321557</v>
          </cell>
          <cell r="F686">
            <v>79046321557</v>
          </cell>
        </row>
        <row r="687">
          <cell r="B687" t="str">
            <v>В-00054/КЭ.Транш - 1</v>
          </cell>
          <cell r="C687">
            <v>79166331642</v>
          </cell>
          <cell r="D687">
            <v>79264361146</v>
          </cell>
        </row>
        <row r="688">
          <cell r="B688" t="str">
            <v>В-30007/КЭ.Транш - 1</v>
          </cell>
          <cell r="D688">
            <v>79184334107</v>
          </cell>
        </row>
        <row r="689">
          <cell r="B689" t="str">
            <v>В-30007/КЭ.Транш - 2</v>
          </cell>
          <cell r="D689">
            <v>79184334107</v>
          </cell>
        </row>
        <row r="690">
          <cell r="B690" t="str">
            <v>В-00021/КЭ.Транш - 1_В-20211230/Ц</v>
          </cell>
          <cell r="D690">
            <v>79153880555</v>
          </cell>
          <cell r="F690">
            <v>79153880555</v>
          </cell>
        </row>
        <row r="691">
          <cell r="B691" t="str">
            <v>В-00069/КЭ.Транш - 1</v>
          </cell>
          <cell r="D691">
            <v>79099695252</v>
          </cell>
        </row>
        <row r="692">
          <cell r="B692" t="str">
            <v>В-30001/КЭ.Транш - 1</v>
          </cell>
          <cell r="D692">
            <v>79183323932</v>
          </cell>
          <cell r="F692">
            <v>79183323932</v>
          </cell>
        </row>
        <row r="693">
          <cell r="B693" t="str">
            <v>В-00060/КЭ.Транш - 1</v>
          </cell>
          <cell r="C693">
            <v>74954304918</v>
          </cell>
          <cell r="D693">
            <v>79099391969</v>
          </cell>
        </row>
        <row r="694">
          <cell r="B694" t="str">
            <v>А-10063/КЭ.Транш - 1</v>
          </cell>
          <cell r="D694">
            <v>79213460096</v>
          </cell>
          <cell r="F694">
            <v>79213460096</v>
          </cell>
        </row>
        <row r="695">
          <cell r="B695" t="str">
            <v>Т-10005/КЭ_Т-20211028/Ц</v>
          </cell>
          <cell r="C695">
            <v>78122450263</v>
          </cell>
          <cell r="D695">
            <v>79112545697</v>
          </cell>
          <cell r="F695">
            <v>79112545697</v>
          </cell>
        </row>
        <row r="696">
          <cell r="B696" t="str">
            <v>Т-00004/КЭ_Т-20211028/Ц</v>
          </cell>
          <cell r="D696">
            <v>79671222197</v>
          </cell>
          <cell r="E696">
            <v>79671222197</v>
          </cell>
        </row>
        <row r="697">
          <cell r="B697" t="str">
            <v>А-10087/КЭ.Транш - 1</v>
          </cell>
          <cell r="D697">
            <v>79110946955</v>
          </cell>
          <cell r="F697">
            <v>79110946955</v>
          </cell>
        </row>
        <row r="698">
          <cell r="B698" t="str">
            <v>В-30003/КЭ.Транш - 1</v>
          </cell>
          <cell r="D698">
            <v>79182987033</v>
          </cell>
          <cell r="F698">
            <v>79182987033</v>
          </cell>
        </row>
        <row r="699">
          <cell r="B699" t="str">
            <v>А-00281/КЭ.Транш - 3</v>
          </cell>
          <cell r="C699">
            <v>84956751687</v>
          </cell>
          <cell r="D699">
            <v>89264038833</v>
          </cell>
          <cell r="F699">
            <v>79264038833</v>
          </cell>
        </row>
        <row r="700">
          <cell r="B700" t="str">
            <v>А-00389/КЭ.Транш - 1</v>
          </cell>
          <cell r="C700">
            <v>84956751687</v>
          </cell>
          <cell r="D700">
            <v>89264038833</v>
          </cell>
          <cell r="F700">
            <v>79264038833</v>
          </cell>
        </row>
        <row r="701">
          <cell r="B701" t="str">
            <v>А-00389/КЭ.Транш - 2</v>
          </cell>
          <cell r="C701">
            <v>84956751687</v>
          </cell>
          <cell r="D701">
            <v>89264038833</v>
          </cell>
          <cell r="F701">
            <v>79264038833</v>
          </cell>
        </row>
        <row r="702">
          <cell r="B702" t="str">
            <v>В-00079/КЭ.Транш - 1</v>
          </cell>
          <cell r="D702">
            <v>79197747777</v>
          </cell>
        </row>
        <row r="703">
          <cell r="B703" t="str">
            <v>В-00043/КЭ.Транш - 1</v>
          </cell>
          <cell r="D703">
            <v>79255898029</v>
          </cell>
          <cell r="F703">
            <v>79255898029</v>
          </cell>
        </row>
        <row r="704">
          <cell r="B704" t="str">
            <v>Т-10006/КЭ_Т-20211028/Ц</v>
          </cell>
          <cell r="D704">
            <v>79110063666</v>
          </cell>
          <cell r="F704">
            <v>79110063666</v>
          </cell>
        </row>
        <row r="705">
          <cell r="B705" t="str">
            <v>Т-00008/КЭ_Т-20211028/Ц</v>
          </cell>
          <cell r="C705">
            <v>74955020211</v>
          </cell>
          <cell r="D705">
            <v>79037289950</v>
          </cell>
          <cell r="F705">
            <v>79037289950</v>
          </cell>
        </row>
        <row r="706">
          <cell r="B706" t="str">
            <v>В-00051/КЭ.Транш - 1</v>
          </cell>
          <cell r="D706">
            <v>79256450105</v>
          </cell>
        </row>
        <row r="707">
          <cell r="B707" t="str">
            <v>А-30002/КЭ.Транш - 1</v>
          </cell>
          <cell r="C707">
            <v>89180370897</v>
          </cell>
          <cell r="D707">
            <v>89880827319</v>
          </cell>
        </row>
        <row r="708">
          <cell r="B708" t="str">
            <v>Т-00002/КЭ_Т-20211028/Ц</v>
          </cell>
          <cell r="D708">
            <v>89168153007</v>
          </cell>
          <cell r="F708">
            <v>79168153007</v>
          </cell>
        </row>
        <row r="709">
          <cell r="B709" t="str">
            <v>А-10036/КЭ.Транш - 1</v>
          </cell>
          <cell r="F709">
            <v>79516730527</v>
          </cell>
        </row>
        <row r="710">
          <cell r="B710" t="str">
            <v>Т-00001/КЭ_Т-20211028/Ц</v>
          </cell>
          <cell r="D710">
            <v>89258274885</v>
          </cell>
          <cell r="F710">
            <v>79258274885</v>
          </cell>
        </row>
        <row r="711">
          <cell r="B711" t="str">
            <v>В-00081/КЭ.Транш - 1</v>
          </cell>
          <cell r="D711">
            <v>79623235380</v>
          </cell>
          <cell r="F711">
            <v>79623235380</v>
          </cell>
        </row>
        <row r="712">
          <cell r="B712" t="str">
            <v>А-00314/КЭ.Транш - 1</v>
          </cell>
          <cell r="C712">
            <v>84953038589</v>
          </cell>
          <cell r="D712">
            <v>89037650087</v>
          </cell>
          <cell r="F712">
            <v>79037650087</v>
          </cell>
        </row>
        <row r="713">
          <cell r="B713" t="str">
            <v>А-10066/КЭ.Транш - 4</v>
          </cell>
          <cell r="D713" t="str">
            <v>89117829082, 89216434249</v>
          </cell>
          <cell r="F713">
            <v>79117829082</v>
          </cell>
        </row>
        <row r="714">
          <cell r="B714" t="str">
            <v>А-10066/КЭ.Транш - 2</v>
          </cell>
          <cell r="D714" t="str">
            <v>89117829082, 89216434249</v>
          </cell>
          <cell r="F714">
            <v>79117829082</v>
          </cell>
        </row>
        <row r="715">
          <cell r="B715" t="str">
            <v>А-10066/КЭ.Транш - 3</v>
          </cell>
          <cell r="D715" t="str">
            <v>89117829082, 89216434249</v>
          </cell>
          <cell r="F715">
            <v>79117829082</v>
          </cell>
        </row>
        <row r="716">
          <cell r="B716" t="str">
            <v>В-00063/КЭ.Транш - 3</v>
          </cell>
          <cell r="D716">
            <v>79017013028</v>
          </cell>
        </row>
        <row r="717">
          <cell r="B717" t="str">
            <v>А-00255/КЭ.Транш - 1</v>
          </cell>
          <cell r="D717">
            <v>89258486280</v>
          </cell>
          <cell r="F717">
            <v>79258486280</v>
          </cell>
        </row>
        <row r="718">
          <cell r="B718" t="str">
            <v>А-00309/КЭ.Транш - 1</v>
          </cell>
          <cell r="F718">
            <v>79036772919</v>
          </cell>
        </row>
        <row r="719">
          <cell r="B719" t="str">
            <v>А-00309/КЭ.Транш - 2</v>
          </cell>
          <cell r="F719">
            <v>79036772919</v>
          </cell>
        </row>
        <row r="720">
          <cell r="B720" t="str">
            <v>В-00052/КЭ.Транш - 1</v>
          </cell>
          <cell r="D720">
            <v>79164344394</v>
          </cell>
        </row>
        <row r="721">
          <cell r="B721" t="str">
            <v>В-10025/КЭ.Транш - 1</v>
          </cell>
          <cell r="D721">
            <v>79111440300</v>
          </cell>
        </row>
        <row r="722">
          <cell r="B722" t="str">
            <v>В-30002/КЭ.Транш - 2</v>
          </cell>
          <cell r="D722">
            <v>79183629001</v>
          </cell>
          <cell r="E722">
            <v>89288819932</v>
          </cell>
          <cell r="F722">
            <v>79183629001</v>
          </cell>
        </row>
        <row r="723">
          <cell r="B723" t="str">
            <v>А-30005/КЭ.Транш - 1</v>
          </cell>
          <cell r="D723">
            <v>79061878051</v>
          </cell>
        </row>
        <row r="724">
          <cell r="B724" t="str">
            <v>А-00418/КЭ.Транш - 1</v>
          </cell>
          <cell r="C724">
            <v>74956863875</v>
          </cell>
          <cell r="D724">
            <v>79686805555</v>
          </cell>
          <cell r="F724">
            <v>79686805555</v>
          </cell>
        </row>
        <row r="725">
          <cell r="B725" t="str">
            <v>В-00047/КЭ.Транш - 2</v>
          </cell>
          <cell r="C725">
            <v>7831472777</v>
          </cell>
          <cell r="D725">
            <v>7977722199</v>
          </cell>
          <cell r="F725">
            <v>79777221997</v>
          </cell>
        </row>
        <row r="726">
          <cell r="B726" t="str">
            <v>В-00047/КЭ.Транш - 1</v>
          </cell>
          <cell r="C726">
            <v>7831472777</v>
          </cell>
          <cell r="D726">
            <v>7977722199</v>
          </cell>
          <cell r="F726">
            <v>79777221997</v>
          </cell>
        </row>
        <row r="727">
          <cell r="B727" t="str">
            <v>А-00467/КЭ.Транш - 1</v>
          </cell>
          <cell r="D727">
            <v>79671777722</v>
          </cell>
          <cell r="F727">
            <v>79671777722</v>
          </cell>
        </row>
        <row r="728">
          <cell r="B728" t="str">
            <v>А-00305/КЭ.Транш - 1</v>
          </cell>
          <cell r="F728">
            <v>79651080061</v>
          </cell>
        </row>
        <row r="729">
          <cell r="B729" t="str">
            <v>А-10101/КЭ.Транш - 4</v>
          </cell>
          <cell r="D729">
            <v>79219537332</v>
          </cell>
          <cell r="F729">
            <v>79219537332</v>
          </cell>
        </row>
        <row r="730">
          <cell r="B730" t="str">
            <v>В-10008/КЭ.Транш - 1</v>
          </cell>
          <cell r="D730">
            <v>79219537332</v>
          </cell>
          <cell r="F730">
            <v>79219537332</v>
          </cell>
        </row>
        <row r="731">
          <cell r="B731" t="str">
            <v>В-10008/КЭ.Транш - 3</v>
          </cell>
          <cell r="D731">
            <v>79219537332</v>
          </cell>
          <cell r="F731">
            <v>79219537332</v>
          </cell>
        </row>
        <row r="732">
          <cell r="B732" t="str">
            <v>В-10008/КЭ.Транш - 2</v>
          </cell>
          <cell r="D732">
            <v>79219537332</v>
          </cell>
          <cell r="F732">
            <v>79219537332</v>
          </cell>
        </row>
        <row r="733">
          <cell r="B733" t="str">
            <v>В-10024/КЭ.Транш - 1</v>
          </cell>
          <cell r="D733">
            <v>79219537332</v>
          </cell>
          <cell r="F733">
            <v>79219537332</v>
          </cell>
        </row>
        <row r="734">
          <cell r="B734" t="str">
            <v>В-00032/КЭ.Транш - 14</v>
          </cell>
          <cell r="D734">
            <v>79653030110</v>
          </cell>
          <cell r="F734">
            <v>79653030110</v>
          </cell>
        </row>
        <row r="735">
          <cell r="B735" t="str">
            <v>В-00032/КЭ.Транш - 12</v>
          </cell>
          <cell r="D735">
            <v>79653030110</v>
          </cell>
          <cell r="F735">
            <v>79653030110</v>
          </cell>
        </row>
        <row r="736">
          <cell r="B736" t="str">
            <v>В-00032/КЭ.Транш - 13</v>
          </cell>
          <cell r="D736">
            <v>79653030110</v>
          </cell>
          <cell r="F736">
            <v>79653030110</v>
          </cell>
        </row>
        <row r="737">
          <cell r="B737" t="str">
            <v>В-00032/КЭ.Транш - 11</v>
          </cell>
          <cell r="D737">
            <v>79653030110</v>
          </cell>
          <cell r="F737">
            <v>79653030110</v>
          </cell>
        </row>
        <row r="738">
          <cell r="B738" t="str">
            <v>В-00032/КЭ.Транш - 10</v>
          </cell>
          <cell r="D738">
            <v>79653030110</v>
          </cell>
          <cell r="F738">
            <v>79653030110</v>
          </cell>
        </row>
        <row r="739">
          <cell r="B739" t="str">
            <v>В-00032/КЭ.Транш - 8</v>
          </cell>
          <cell r="D739">
            <v>79653030110</v>
          </cell>
          <cell r="F739">
            <v>79653030110</v>
          </cell>
        </row>
        <row r="740">
          <cell r="B740" t="str">
            <v>А-00404/КЭ.Транш - 1</v>
          </cell>
          <cell r="D740">
            <v>79266552454</v>
          </cell>
        </row>
        <row r="741">
          <cell r="B741" t="str">
            <v>В-00058/КЭ.Транш - 1</v>
          </cell>
          <cell r="C741">
            <v>74991262471</v>
          </cell>
          <cell r="D741">
            <v>79268711354</v>
          </cell>
        </row>
        <row r="742">
          <cell r="B742" t="str">
            <v>А-00161/КЭ.Транш - 1</v>
          </cell>
          <cell r="F742">
            <v>79166461336</v>
          </cell>
        </row>
        <row r="743">
          <cell r="B743" t="str">
            <v>В-00012/КЭ.Транш - 1_В-20211230/Ц</v>
          </cell>
          <cell r="C743">
            <v>84997435488</v>
          </cell>
          <cell r="E743">
            <v>89032215051</v>
          </cell>
          <cell r="F743">
            <v>79032215051</v>
          </cell>
        </row>
        <row r="744">
          <cell r="B744" t="str">
            <v>А-10102/КЭ.Транш - 1</v>
          </cell>
          <cell r="C744">
            <v>78123767854</v>
          </cell>
          <cell r="D744">
            <v>79602570045</v>
          </cell>
          <cell r="F744">
            <v>79602570045</v>
          </cell>
        </row>
        <row r="745">
          <cell r="B745" t="str">
            <v>А-00435/КЭ.Транш - 1</v>
          </cell>
          <cell r="C745">
            <v>84954541093</v>
          </cell>
          <cell r="D745">
            <v>89857664406</v>
          </cell>
          <cell r="F745">
            <v>79857664406</v>
          </cell>
        </row>
        <row r="746">
          <cell r="B746" t="str">
            <v>А-10039/КЭ.Транш - 1</v>
          </cell>
        </row>
        <row r="747">
          <cell r="B747" t="str">
            <v>В-30009/КЭ.Транш - 1_В-20211230/Ц</v>
          </cell>
          <cell r="D747">
            <v>79180796816</v>
          </cell>
        </row>
        <row r="748">
          <cell r="B748" t="str">
            <v>А-10032/КЭ.Транш - 1</v>
          </cell>
          <cell r="C748">
            <v>88124960628</v>
          </cell>
          <cell r="D748">
            <v>79213033777</v>
          </cell>
          <cell r="F748">
            <v>79213033777</v>
          </cell>
        </row>
        <row r="749">
          <cell r="B749" t="str">
            <v>А-10032/КЭ.Транш - 2</v>
          </cell>
          <cell r="C749">
            <v>88124960628</v>
          </cell>
          <cell r="D749">
            <v>79213033777</v>
          </cell>
          <cell r="F749">
            <v>79213033777</v>
          </cell>
        </row>
        <row r="750">
          <cell r="B750" t="str">
            <v>А-00458/КЭ.Транш - 1</v>
          </cell>
          <cell r="C750">
            <v>84957001752</v>
          </cell>
          <cell r="D750">
            <v>89263901989</v>
          </cell>
          <cell r="F750">
            <v>79263901989</v>
          </cell>
        </row>
        <row r="751">
          <cell r="B751" t="str">
            <v>В-00022/КЭ.Транш - 1_А-20210929/Ц</v>
          </cell>
          <cell r="C751">
            <v>84957001752</v>
          </cell>
          <cell r="D751">
            <v>89263901989</v>
          </cell>
          <cell r="F751">
            <v>79263901989</v>
          </cell>
        </row>
        <row r="752">
          <cell r="B752" t="str">
            <v>А-00327/КЭ.Транш - 1</v>
          </cell>
          <cell r="C752">
            <v>84955406056</v>
          </cell>
          <cell r="E752">
            <v>89057463369</v>
          </cell>
          <cell r="F752">
            <v>79057463369</v>
          </cell>
        </row>
        <row r="753">
          <cell r="B753" t="str">
            <v>А-00357/КЭ.Транш - 1</v>
          </cell>
          <cell r="D753" t="str">
            <v>7919101-73-48</v>
          </cell>
          <cell r="F753">
            <v>79191017348</v>
          </cell>
        </row>
        <row r="754">
          <cell r="B754" t="str">
            <v>В-00061/КЭ.Транш - 1</v>
          </cell>
          <cell r="C754">
            <v>74955546921</v>
          </cell>
          <cell r="D754">
            <v>79265834643</v>
          </cell>
          <cell r="F754">
            <v>79265834643</v>
          </cell>
        </row>
        <row r="755">
          <cell r="B755" t="str">
            <v>А-10092/КЭ.Транш - 1</v>
          </cell>
          <cell r="D755">
            <v>79218777612</v>
          </cell>
          <cell r="F755">
            <v>79218777612</v>
          </cell>
        </row>
        <row r="756">
          <cell r="B756" t="str">
            <v>А-10092/КЭ.Транш - 2</v>
          </cell>
          <cell r="D756">
            <v>79218777612</v>
          </cell>
          <cell r="F756">
            <v>79218777612</v>
          </cell>
        </row>
        <row r="757">
          <cell r="B757" t="str">
            <v>А-10092/КЭ.Транш - 3</v>
          </cell>
          <cell r="D757">
            <v>79218777612</v>
          </cell>
          <cell r="F757">
            <v>79218777612</v>
          </cell>
        </row>
        <row r="758">
          <cell r="B758" t="str">
            <v>В-28538/КЛ.Транш - 1</v>
          </cell>
          <cell r="D758">
            <v>89260579191</v>
          </cell>
          <cell r="F758">
            <v>79260579191</v>
          </cell>
        </row>
        <row r="759">
          <cell r="B759" t="str">
            <v>В-20430/КЛ.Транш - 1</v>
          </cell>
          <cell r="D759">
            <v>79803760029</v>
          </cell>
          <cell r="F759">
            <v>79803760029</v>
          </cell>
        </row>
        <row r="760">
          <cell r="B760" t="str">
            <v>В-20787/КЛ.Транш - 1</v>
          </cell>
          <cell r="D760">
            <v>79526609261</v>
          </cell>
          <cell r="F760">
            <v>79526609261</v>
          </cell>
        </row>
        <row r="761">
          <cell r="B761" t="str">
            <v>В-12016/КЛ.Транш - 2</v>
          </cell>
          <cell r="E761">
            <v>79653763822</v>
          </cell>
          <cell r="F761">
            <v>79653763822</v>
          </cell>
        </row>
        <row r="762">
          <cell r="B762" t="str">
            <v>В-12016/КЛ.Транш - 1</v>
          </cell>
          <cell r="E762">
            <v>79653763822</v>
          </cell>
          <cell r="F762">
            <v>79653763822</v>
          </cell>
        </row>
        <row r="763">
          <cell r="B763" t="str">
            <v>В-12016/КЛ.Транш - 3</v>
          </cell>
          <cell r="E763">
            <v>79653763822</v>
          </cell>
          <cell r="F763">
            <v>79653763822</v>
          </cell>
        </row>
        <row r="764">
          <cell r="B764" t="str">
            <v>В-12016/КЛ.Транш - 4</v>
          </cell>
          <cell r="E764">
            <v>79653763822</v>
          </cell>
          <cell r="F764">
            <v>79653763822</v>
          </cell>
        </row>
        <row r="765">
          <cell r="B765" t="str">
            <v>В-00683/КЛ.Транш - 1</v>
          </cell>
          <cell r="D765">
            <v>79055468135</v>
          </cell>
          <cell r="F765">
            <v>79055468135</v>
          </cell>
        </row>
        <row r="766">
          <cell r="B766" t="str">
            <v>В-11407/КЛ.Транш - 1</v>
          </cell>
          <cell r="D766">
            <v>79360039999</v>
          </cell>
          <cell r="E766">
            <v>79258719777</v>
          </cell>
          <cell r="F766">
            <v>79360039999</v>
          </cell>
        </row>
        <row r="767">
          <cell r="B767" t="str">
            <v>В-23978/КЛ.Транш - 1</v>
          </cell>
          <cell r="D767">
            <v>79260945209</v>
          </cell>
          <cell r="F767">
            <v>79260945209</v>
          </cell>
        </row>
        <row r="768">
          <cell r="B768" t="str">
            <v>В-23978/КЛ.Транш - 2</v>
          </cell>
          <cell r="D768">
            <v>79260945209</v>
          </cell>
          <cell r="F768">
            <v>79260945209</v>
          </cell>
        </row>
        <row r="769">
          <cell r="B769" t="str">
            <v>В-22728/КЛ.Транш - 1</v>
          </cell>
          <cell r="D769">
            <v>89246915179</v>
          </cell>
          <cell r="F769">
            <v>79246915179</v>
          </cell>
        </row>
        <row r="770">
          <cell r="B770" t="str">
            <v>В-00477/АЗ</v>
          </cell>
          <cell r="C770">
            <v>74956124088</v>
          </cell>
          <cell r="D770">
            <v>79253915548</v>
          </cell>
          <cell r="F770">
            <v>79253915548</v>
          </cell>
        </row>
        <row r="771">
          <cell r="B771" t="str">
            <v>В-16873/КЛ.Транш - 1</v>
          </cell>
          <cell r="D771">
            <v>79110906632</v>
          </cell>
          <cell r="F771">
            <v>79110906632</v>
          </cell>
        </row>
        <row r="772">
          <cell r="B772" t="str">
            <v>В-00398/АЗ</v>
          </cell>
          <cell r="D772">
            <v>79150774249</v>
          </cell>
          <cell r="F772">
            <v>79686636333</v>
          </cell>
        </row>
        <row r="773">
          <cell r="B773" t="str">
            <v>В-17201/КЛ.Транш - 1</v>
          </cell>
          <cell r="D773">
            <v>79189768183</v>
          </cell>
          <cell r="F773">
            <v>79189768183</v>
          </cell>
        </row>
        <row r="774">
          <cell r="B774" t="str">
            <v>В-17201/КЛ.Транш - 2</v>
          </cell>
          <cell r="D774">
            <v>79189768183</v>
          </cell>
          <cell r="F774">
            <v>79189768183</v>
          </cell>
        </row>
        <row r="775">
          <cell r="B775" t="str">
            <v>В-27630/КЛ.Транш - 1</v>
          </cell>
          <cell r="D775">
            <v>79176862261</v>
          </cell>
        </row>
        <row r="776">
          <cell r="B776" t="str">
            <v>В-00660/АЗ_В-20211230/Ц</v>
          </cell>
          <cell r="D776">
            <v>79507357541</v>
          </cell>
          <cell r="F776">
            <v>79507357541</v>
          </cell>
        </row>
        <row r="777">
          <cell r="B777" t="str">
            <v>В-10509/КЛ.Транш - 1</v>
          </cell>
          <cell r="D777">
            <v>79373458961</v>
          </cell>
          <cell r="F777">
            <v>79373458961</v>
          </cell>
        </row>
        <row r="778">
          <cell r="B778" t="str">
            <v>В-20653/КЛ.Транш - 1</v>
          </cell>
          <cell r="D778">
            <v>79518318177</v>
          </cell>
          <cell r="F778">
            <v>79518318177</v>
          </cell>
        </row>
        <row r="779">
          <cell r="B779" t="str">
            <v>В-00687/АЗ</v>
          </cell>
          <cell r="D779">
            <v>79263078831</v>
          </cell>
          <cell r="E779">
            <v>79263078831</v>
          </cell>
          <cell r="F779">
            <v>79263078831</v>
          </cell>
        </row>
        <row r="780">
          <cell r="B780" t="str">
            <v>В-09250/КЛ.Транш - 1_В-20211230/Ц</v>
          </cell>
          <cell r="D780">
            <v>79520936493</v>
          </cell>
          <cell r="F780">
            <v>79520936493</v>
          </cell>
        </row>
        <row r="781">
          <cell r="B781" t="str">
            <v>В-27855/КЛ.Транш - 1</v>
          </cell>
          <cell r="D781">
            <v>79788555595</v>
          </cell>
          <cell r="F781">
            <v>79788555595</v>
          </cell>
        </row>
        <row r="782">
          <cell r="B782" t="str">
            <v>В-01187/АЗ</v>
          </cell>
          <cell r="D782">
            <v>79882831967</v>
          </cell>
          <cell r="F782">
            <v>79882831967</v>
          </cell>
        </row>
        <row r="783">
          <cell r="B783" t="str">
            <v>В-17067/КЛ.Транш - 1</v>
          </cell>
          <cell r="D783">
            <v>79266208744</v>
          </cell>
          <cell r="F783">
            <v>79266208744</v>
          </cell>
        </row>
        <row r="784">
          <cell r="B784" t="str">
            <v>В-01198/АЗ</v>
          </cell>
          <cell r="C784">
            <v>74997364205</v>
          </cell>
          <cell r="D784">
            <v>79852862217</v>
          </cell>
          <cell r="F784">
            <v>79852862217</v>
          </cell>
        </row>
        <row r="785">
          <cell r="B785" t="str">
            <v>В-25795/АЗ</v>
          </cell>
          <cell r="D785">
            <v>79021615586</v>
          </cell>
          <cell r="F785">
            <v>79161615586</v>
          </cell>
        </row>
        <row r="786">
          <cell r="B786" t="str">
            <v>В-03473/КЛ.Транш - 1</v>
          </cell>
          <cell r="D786">
            <v>89263066332</v>
          </cell>
          <cell r="F786">
            <v>79263066332</v>
          </cell>
        </row>
        <row r="787">
          <cell r="B787" t="str">
            <v>В-01911/КЛ.Транш - 1</v>
          </cell>
          <cell r="D787">
            <v>79096382011</v>
          </cell>
          <cell r="F787">
            <v>79096382011</v>
          </cell>
        </row>
        <row r="788">
          <cell r="B788" t="str">
            <v>В-19846/КЛ.Транш - 1_В-20211230/Ц</v>
          </cell>
          <cell r="D788">
            <v>79775081549</v>
          </cell>
          <cell r="F788">
            <v>79775081549</v>
          </cell>
        </row>
        <row r="789">
          <cell r="B789" t="str">
            <v>В-25687/АЗ</v>
          </cell>
          <cell r="D789">
            <v>79999722055</v>
          </cell>
          <cell r="F789">
            <v>79999722055</v>
          </cell>
        </row>
        <row r="790">
          <cell r="B790" t="str">
            <v>А-00053/БЭ</v>
          </cell>
          <cell r="D790">
            <v>79153179132</v>
          </cell>
          <cell r="E790">
            <v>79153179132</v>
          </cell>
          <cell r="F790">
            <v>79153179132</v>
          </cell>
        </row>
        <row r="791">
          <cell r="B791" t="str">
            <v>А-04328/АЗ</v>
          </cell>
          <cell r="C791">
            <v>74953793636</v>
          </cell>
          <cell r="D791">
            <v>79646415781</v>
          </cell>
          <cell r="E791">
            <v>79646415781</v>
          </cell>
          <cell r="F791">
            <v>79646415781</v>
          </cell>
        </row>
        <row r="792">
          <cell r="B792" t="str">
            <v>Т-00030/БЭ_Т-20211028/Ц</v>
          </cell>
          <cell r="C792">
            <v>74953793636</v>
          </cell>
          <cell r="D792">
            <v>79646415781</v>
          </cell>
          <cell r="E792">
            <v>79646415781</v>
          </cell>
          <cell r="F792">
            <v>79646415781</v>
          </cell>
        </row>
        <row r="793">
          <cell r="B793" t="str">
            <v>А-00051/БЭ</v>
          </cell>
          <cell r="C793">
            <v>74953793636</v>
          </cell>
          <cell r="D793">
            <v>79646415781</v>
          </cell>
          <cell r="E793">
            <v>79646415781</v>
          </cell>
          <cell r="F793">
            <v>79646415781</v>
          </cell>
        </row>
        <row r="794">
          <cell r="B794" t="str">
            <v>В-19766/КЛ.Транш - 1_В-20211230/Ц</v>
          </cell>
          <cell r="D794">
            <v>79211160376</v>
          </cell>
          <cell r="F794">
            <v>79211160376</v>
          </cell>
        </row>
        <row r="795">
          <cell r="B795" t="str">
            <v>В-27038/АЗ</v>
          </cell>
          <cell r="D795">
            <v>79855155844</v>
          </cell>
          <cell r="F795">
            <v>79855155844</v>
          </cell>
        </row>
        <row r="796">
          <cell r="B796" t="str">
            <v>В-24618/АЗ</v>
          </cell>
          <cell r="D796">
            <v>79855155844</v>
          </cell>
          <cell r="F796">
            <v>79855155844</v>
          </cell>
        </row>
        <row r="797">
          <cell r="B797" t="str">
            <v>В-00907/КЛ.Транш - 8</v>
          </cell>
          <cell r="D797">
            <v>79855155844</v>
          </cell>
          <cell r="F797">
            <v>79855155844</v>
          </cell>
        </row>
        <row r="798">
          <cell r="B798" t="str">
            <v>В-00907/КЛ.Транш - 7</v>
          </cell>
          <cell r="D798">
            <v>79855155844</v>
          </cell>
          <cell r="F798">
            <v>79855155844</v>
          </cell>
        </row>
        <row r="799">
          <cell r="B799" t="str">
            <v>В-25494/АЗ</v>
          </cell>
          <cell r="D799">
            <v>79855155844</v>
          </cell>
          <cell r="F799">
            <v>79855155844</v>
          </cell>
        </row>
        <row r="800">
          <cell r="B800" t="str">
            <v>В-15770/КЛ.Транш - 2</v>
          </cell>
          <cell r="D800">
            <v>79104377375</v>
          </cell>
          <cell r="F800">
            <v>79104377375</v>
          </cell>
        </row>
        <row r="801">
          <cell r="B801" t="str">
            <v>В-10001/КЛ.Транш - 1</v>
          </cell>
          <cell r="D801">
            <v>79515067413</v>
          </cell>
          <cell r="F801">
            <v>79515067413</v>
          </cell>
        </row>
        <row r="802">
          <cell r="B802" t="str">
            <v>В-10001/КЛ.Транш - 2</v>
          </cell>
          <cell r="D802">
            <v>79515067413</v>
          </cell>
          <cell r="F802">
            <v>79515067413</v>
          </cell>
        </row>
        <row r="803">
          <cell r="B803" t="str">
            <v>В-10001/КЛ.Транш - 3</v>
          </cell>
          <cell r="D803">
            <v>79515067413</v>
          </cell>
          <cell r="F803">
            <v>79515067413</v>
          </cell>
        </row>
        <row r="804">
          <cell r="B804" t="str">
            <v>А-03853/АЗ</v>
          </cell>
          <cell r="D804">
            <v>79859981646</v>
          </cell>
          <cell r="E804">
            <v>79859981646</v>
          </cell>
          <cell r="F804">
            <v>79859981646</v>
          </cell>
        </row>
        <row r="805">
          <cell r="B805" t="str">
            <v>В-10018/КЭ.Транш - 1</v>
          </cell>
        </row>
        <row r="806">
          <cell r="B806" t="str">
            <v>В-28159/КЛ.Транш - 1</v>
          </cell>
          <cell r="D806">
            <v>79892612951</v>
          </cell>
          <cell r="F806">
            <v>79892612951</v>
          </cell>
        </row>
        <row r="807">
          <cell r="B807" t="str">
            <v>В-13600/КЛ.Транш - 1_В-20211230/Ц</v>
          </cell>
          <cell r="D807">
            <v>79035579777</v>
          </cell>
          <cell r="F807">
            <v>79035579777</v>
          </cell>
        </row>
        <row r="808">
          <cell r="B808" t="str">
            <v>В-17597/КЛ.Транш - 1</v>
          </cell>
          <cell r="D808">
            <v>79002969088</v>
          </cell>
          <cell r="F808">
            <v>79002969088</v>
          </cell>
        </row>
        <row r="809">
          <cell r="B809" t="str">
            <v>В-17597/КЛ.Транш - 2</v>
          </cell>
          <cell r="D809">
            <v>79002969088</v>
          </cell>
          <cell r="F809">
            <v>79002969088</v>
          </cell>
        </row>
        <row r="810">
          <cell r="B810" t="str">
            <v>В-09500/КЛ.Транш - 1</v>
          </cell>
          <cell r="D810">
            <v>79186611695</v>
          </cell>
          <cell r="F810">
            <v>79186611695</v>
          </cell>
        </row>
        <row r="811">
          <cell r="B811" t="str">
            <v>В-11472/КЛ.Транш - 2</v>
          </cell>
          <cell r="D811">
            <v>89787532105</v>
          </cell>
          <cell r="F811">
            <v>79787532105</v>
          </cell>
        </row>
        <row r="812">
          <cell r="B812" t="str">
            <v>В-11472/КЛ.Транш - 3</v>
          </cell>
          <cell r="D812">
            <v>89787532105</v>
          </cell>
          <cell r="F812">
            <v>79787532105</v>
          </cell>
        </row>
        <row r="813">
          <cell r="B813" t="str">
            <v>В-21222/КЛ.Транш - 1</v>
          </cell>
          <cell r="D813">
            <v>79776755972</v>
          </cell>
          <cell r="F813">
            <v>79776755972</v>
          </cell>
        </row>
        <row r="814">
          <cell r="B814" t="str">
            <v>В-22897/КЛ.Транш - 1</v>
          </cell>
          <cell r="D814">
            <v>89067386886</v>
          </cell>
          <cell r="F814">
            <v>79067386886</v>
          </cell>
        </row>
        <row r="815">
          <cell r="B815" t="str">
            <v>В-22434/АЗ_В-20211230/Ц</v>
          </cell>
          <cell r="D815">
            <v>79261450744</v>
          </cell>
          <cell r="F815">
            <v>79261450744</v>
          </cell>
        </row>
        <row r="816">
          <cell r="B816" t="str">
            <v>В-22436/АЗ_В-20211230/Ц</v>
          </cell>
          <cell r="D816">
            <v>79150140495</v>
          </cell>
          <cell r="F816">
            <v>79150140495</v>
          </cell>
        </row>
        <row r="817">
          <cell r="B817" t="str">
            <v>В-14937/КЛ.Транш - 3</v>
          </cell>
          <cell r="D817">
            <v>89851800691</v>
          </cell>
          <cell r="F817">
            <v>79851800691</v>
          </cell>
        </row>
        <row r="818">
          <cell r="B818" t="str">
            <v>В-14937/КЛ.Транш - 2</v>
          </cell>
          <cell r="D818">
            <v>89851800691</v>
          </cell>
          <cell r="F818">
            <v>79851800691</v>
          </cell>
        </row>
        <row r="819">
          <cell r="B819" t="str">
            <v>В-14937/КЛ.Транш - 1</v>
          </cell>
          <cell r="D819">
            <v>89851800691</v>
          </cell>
          <cell r="F819">
            <v>79851800691</v>
          </cell>
        </row>
        <row r="820">
          <cell r="B820" t="str">
            <v>В-14937/КЛ.Транш - 4</v>
          </cell>
          <cell r="D820">
            <v>89851800691</v>
          </cell>
          <cell r="F820">
            <v>79851800691</v>
          </cell>
        </row>
        <row r="821">
          <cell r="B821" t="str">
            <v>В-06453/КЛ.Транш - 4</v>
          </cell>
          <cell r="C821">
            <v>79150742783</v>
          </cell>
          <cell r="D821">
            <v>79652274249</v>
          </cell>
          <cell r="F821">
            <v>79652274249</v>
          </cell>
        </row>
        <row r="822">
          <cell r="B822" t="str">
            <v>В-06453/КЛ.Транш - 3</v>
          </cell>
          <cell r="C822">
            <v>79150742783</v>
          </cell>
          <cell r="D822">
            <v>79652274249</v>
          </cell>
          <cell r="F822">
            <v>79652274249</v>
          </cell>
        </row>
        <row r="823">
          <cell r="B823" t="str">
            <v>В-17106/КЛ.Транш - 1</v>
          </cell>
          <cell r="D823">
            <v>79670001900</v>
          </cell>
          <cell r="F823">
            <v>79670001900</v>
          </cell>
        </row>
        <row r="824">
          <cell r="B824" t="str">
            <v>В-00042/КЭ.Транш - 1</v>
          </cell>
        </row>
        <row r="825">
          <cell r="B825" t="str">
            <v>В-01092/КЛ.Транш - 1</v>
          </cell>
          <cell r="D825">
            <v>79852608668</v>
          </cell>
          <cell r="F825">
            <v>79852608668</v>
          </cell>
        </row>
        <row r="826">
          <cell r="B826" t="str">
            <v>В-18438/КЛ.Транш - 1</v>
          </cell>
          <cell r="D826">
            <v>79189086446</v>
          </cell>
          <cell r="F826">
            <v>79189086446</v>
          </cell>
        </row>
        <row r="827">
          <cell r="B827" t="str">
            <v>В-07877/КЛ.Транш - 15</v>
          </cell>
          <cell r="D827">
            <v>79513421351</v>
          </cell>
          <cell r="F827">
            <v>79513421351</v>
          </cell>
        </row>
        <row r="828">
          <cell r="B828" t="str">
            <v>В-07877/КЛ.Транш - 12</v>
          </cell>
          <cell r="D828">
            <v>79513421351</v>
          </cell>
          <cell r="F828">
            <v>79513421351</v>
          </cell>
        </row>
        <row r="829">
          <cell r="B829" t="str">
            <v>В-07877/КЛ.Транш - 14</v>
          </cell>
          <cell r="D829">
            <v>79513421351</v>
          </cell>
          <cell r="F829">
            <v>79513421351</v>
          </cell>
        </row>
        <row r="830">
          <cell r="B830" t="str">
            <v>В-25351/КЛ.Транш - 2</v>
          </cell>
          <cell r="D830">
            <v>79640411161</v>
          </cell>
          <cell r="F830">
            <v>79640411161</v>
          </cell>
        </row>
        <row r="831">
          <cell r="B831" t="str">
            <v>В-25351/КЛ.Транш - 1</v>
          </cell>
          <cell r="D831">
            <v>79640411161</v>
          </cell>
          <cell r="F831">
            <v>79640411161</v>
          </cell>
        </row>
        <row r="832">
          <cell r="B832" t="str">
            <v>В-14835/КЛ.Транш - 2</v>
          </cell>
          <cell r="D832">
            <v>79125918296</v>
          </cell>
          <cell r="F832">
            <v>79125918296</v>
          </cell>
        </row>
        <row r="833">
          <cell r="B833" t="str">
            <v>В-14835/КЛ.Транш - 1</v>
          </cell>
          <cell r="D833">
            <v>79125918296</v>
          </cell>
          <cell r="F833">
            <v>79125918296</v>
          </cell>
        </row>
        <row r="834">
          <cell r="B834" t="str">
            <v>В-20703/КЛ.Транш - 1_В-20211230/Ц</v>
          </cell>
          <cell r="D834">
            <v>79273218536</v>
          </cell>
          <cell r="F834">
            <v>79273218536</v>
          </cell>
        </row>
        <row r="835">
          <cell r="B835" t="str">
            <v>В-20377/КЛ.Транш - 1</v>
          </cell>
          <cell r="D835">
            <v>79811854810</v>
          </cell>
          <cell r="F835">
            <v>79811854810</v>
          </cell>
        </row>
        <row r="836">
          <cell r="B836" t="str">
            <v>В-28927/КЛ.Транш - 1</v>
          </cell>
          <cell r="D836">
            <v>89124090352</v>
          </cell>
          <cell r="F836">
            <v>79124090352</v>
          </cell>
        </row>
        <row r="837">
          <cell r="B837" t="str">
            <v>В-19346/КЛ.Транш - 2</v>
          </cell>
          <cell r="D837">
            <v>79963497388</v>
          </cell>
          <cell r="F837">
            <v>79963497388</v>
          </cell>
        </row>
        <row r="838">
          <cell r="B838" t="str">
            <v>В-19346/КЛ.Транш - 3</v>
          </cell>
          <cell r="D838">
            <v>79963497388</v>
          </cell>
          <cell r="F838">
            <v>79963497388</v>
          </cell>
        </row>
        <row r="839">
          <cell r="B839" t="str">
            <v>В-14178/КЛ.Транш - 1</v>
          </cell>
          <cell r="D839">
            <v>79209797895</v>
          </cell>
          <cell r="F839">
            <v>79209797895</v>
          </cell>
        </row>
        <row r="840">
          <cell r="B840" t="str">
            <v>В-12553/КЛ.Транш - 1</v>
          </cell>
          <cell r="D840">
            <v>89645269797</v>
          </cell>
          <cell r="F840">
            <v>79645269797</v>
          </cell>
        </row>
        <row r="841">
          <cell r="B841" t="str">
            <v>В-00433/КЛ.Транш - 1</v>
          </cell>
          <cell r="D841">
            <v>79259144229</v>
          </cell>
          <cell r="F841">
            <v>79259144229</v>
          </cell>
        </row>
        <row r="842">
          <cell r="B842" t="str">
            <v>В-13477/КЛ.Транш - 2</v>
          </cell>
          <cell r="D842">
            <v>79966062441</v>
          </cell>
          <cell r="F842">
            <v>79966062441</v>
          </cell>
        </row>
        <row r="843">
          <cell r="B843" t="str">
            <v>В-09890/КЛ.Транш - 1</v>
          </cell>
          <cell r="D843">
            <v>79215516110</v>
          </cell>
          <cell r="F843">
            <v>79215516110</v>
          </cell>
        </row>
        <row r="844">
          <cell r="B844" t="str">
            <v>В-29080/КЛ.Транш - 1</v>
          </cell>
          <cell r="D844">
            <v>79154087667</v>
          </cell>
        </row>
        <row r="845">
          <cell r="B845" t="str">
            <v>В-19593/КЛ.Транш - 1</v>
          </cell>
          <cell r="D845">
            <v>79035083364</v>
          </cell>
          <cell r="F845">
            <v>79035083364</v>
          </cell>
        </row>
        <row r="846">
          <cell r="B846" t="str">
            <v>В-12372/КЛ.Транш - 1</v>
          </cell>
          <cell r="D846">
            <v>79501929924</v>
          </cell>
          <cell r="F846">
            <v>79501929924</v>
          </cell>
        </row>
        <row r="847">
          <cell r="B847" t="str">
            <v>В-16768/КЛ.Транш - 1</v>
          </cell>
          <cell r="D847">
            <v>79997352009</v>
          </cell>
        </row>
        <row r="848">
          <cell r="B848" t="str">
            <v>В-08368/КЛ.Транш - 2</v>
          </cell>
          <cell r="D848">
            <v>79258916468</v>
          </cell>
          <cell r="F848">
            <v>79258916468</v>
          </cell>
        </row>
        <row r="849">
          <cell r="B849" t="str">
            <v>В-00073/КЭ.Транш - 1</v>
          </cell>
        </row>
        <row r="850">
          <cell r="B850" t="str">
            <v>В-00018/КЭ.Транш - 1</v>
          </cell>
        </row>
        <row r="851">
          <cell r="B851" t="str">
            <v>В-15778/КЛ.Транш - 2</v>
          </cell>
          <cell r="D851">
            <v>79057778814</v>
          </cell>
          <cell r="F851">
            <v>79057778814</v>
          </cell>
        </row>
        <row r="852">
          <cell r="B852" t="str">
            <v>В-15778/КЛ.Транш - 1</v>
          </cell>
          <cell r="D852">
            <v>79057778814</v>
          </cell>
          <cell r="F852">
            <v>79057778814</v>
          </cell>
        </row>
        <row r="853">
          <cell r="B853" t="str">
            <v>В-12231/КЛ.Транш - 1</v>
          </cell>
          <cell r="D853">
            <v>79204982027</v>
          </cell>
          <cell r="F853">
            <v>79202380239</v>
          </cell>
        </row>
        <row r="854">
          <cell r="B854" t="str">
            <v>Т-01646/АЗ_А-20200626/Ц</v>
          </cell>
          <cell r="D854">
            <v>79057366422</v>
          </cell>
          <cell r="E854">
            <v>79057366422</v>
          </cell>
        </row>
        <row r="855">
          <cell r="B855" t="str">
            <v>А-04684/АЗ</v>
          </cell>
          <cell r="D855">
            <v>79057366422</v>
          </cell>
          <cell r="E855">
            <v>79057366422</v>
          </cell>
        </row>
        <row r="856">
          <cell r="B856" t="str">
            <v>В-17380/КЛ.Транш - 1</v>
          </cell>
          <cell r="D856">
            <v>79167486030</v>
          </cell>
          <cell r="F856">
            <v>79167486030</v>
          </cell>
        </row>
        <row r="857">
          <cell r="B857" t="str">
            <v>В-00783/КЛ.Транш - 2</v>
          </cell>
          <cell r="D857">
            <v>89262227441</v>
          </cell>
          <cell r="F857">
            <v>79262227441</v>
          </cell>
        </row>
        <row r="858">
          <cell r="B858" t="str">
            <v>Т-01681/АЗ_Т-20210517/Ц</v>
          </cell>
          <cell r="D858">
            <v>79160847326</v>
          </cell>
          <cell r="E858">
            <v>79160847326</v>
          </cell>
          <cell r="F858">
            <v>79160847326</v>
          </cell>
        </row>
        <row r="859">
          <cell r="B859" t="str">
            <v>А-03533/АЗ_А-20210517/Ц</v>
          </cell>
          <cell r="D859">
            <v>79160847326</v>
          </cell>
          <cell r="E859">
            <v>79160847326</v>
          </cell>
          <cell r="F859">
            <v>79160847326</v>
          </cell>
        </row>
        <row r="860">
          <cell r="B860" t="str">
            <v>В-19104/КЛ.Транш - 1</v>
          </cell>
          <cell r="D860">
            <v>79885454000</v>
          </cell>
          <cell r="F860">
            <v>79885454000</v>
          </cell>
        </row>
        <row r="861">
          <cell r="B861" t="str">
            <v>В-28598/КЛ.Транш - 1</v>
          </cell>
          <cell r="D861">
            <v>79218827998</v>
          </cell>
        </row>
        <row r="862">
          <cell r="B862" t="str">
            <v>В-26409/КЛ.Транш - 1</v>
          </cell>
          <cell r="D862">
            <v>79109169642</v>
          </cell>
        </row>
        <row r="863">
          <cell r="B863" t="str">
            <v>В-01131/АЗ_А-20210929/Ц</v>
          </cell>
          <cell r="D863">
            <v>89778347388</v>
          </cell>
          <cell r="F863">
            <v>79778347388</v>
          </cell>
        </row>
        <row r="864">
          <cell r="B864" t="str">
            <v>В-09513/КЛ.Транш - 2_В-20211230/Ц</v>
          </cell>
          <cell r="C864">
            <v>88123699128</v>
          </cell>
          <cell r="D864">
            <v>89112729349</v>
          </cell>
          <cell r="F864">
            <v>79112729349</v>
          </cell>
        </row>
        <row r="865">
          <cell r="B865" t="str">
            <v>В-09513/КЛ.Транш - 4_В-20211230/Ц</v>
          </cell>
          <cell r="C865">
            <v>88123699128</v>
          </cell>
          <cell r="D865">
            <v>89112729349</v>
          </cell>
          <cell r="F865">
            <v>79112729349</v>
          </cell>
        </row>
        <row r="866">
          <cell r="B866" t="str">
            <v>В-09513/КЛ.Транш - 1_В-20211230/Ц</v>
          </cell>
          <cell r="C866">
            <v>88123699128</v>
          </cell>
          <cell r="D866">
            <v>89112729349</v>
          </cell>
          <cell r="F866">
            <v>79112729349</v>
          </cell>
        </row>
        <row r="867">
          <cell r="B867" t="str">
            <v>В-09513/КЛ.Транш - 3_В-20211230/Ц</v>
          </cell>
          <cell r="C867">
            <v>88123699128</v>
          </cell>
          <cell r="D867">
            <v>89112729349</v>
          </cell>
          <cell r="F867">
            <v>79112729349</v>
          </cell>
        </row>
        <row r="868">
          <cell r="B868" t="str">
            <v>В-14546/КЛ.Транш - 1</v>
          </cell>
          <cell r="D868">
            <v>79807009030</v>
          </cell>
          <cell r="F868">
            <v>79807009030</v>
          </cell>
        </row>
        <row r="869">
          <cell r="B869" t="str">
            <v>В-16728/КЛ.Транш - 1</v>
          </cell>
          <cell r="D869">
            <v>79257349013</v>
          </cell>
        </row>
        <row r="870">
          <cell r="B870" t="str">
            <v>В-15583/КЛ.Транш - 1</v>
          </cell>
          <cell r="D870">
            <v>79275752020</v>
          </cell>
          <cell r="F870">
            <v>79275752020</v>
          </cell>
        </row>
        <row r="871">
          <cell r="B871" t="str">
            <v>В-11713/КЛ.Транш - 1</v>
          </cell>
          <cell r="D871">
            <v>89263768117</v>
          </cell>
          <cell r="F871">
            <v>79263768117</v>
          </cell>
        </row>
        <row r="872">
          <cell r="B872" t="str">
            <v>В-12880/КЛ.Транш - 1</v>
          </cell>
          <cell r="D872">
            <v>79871116379</v>
          </cell>
          <cell r="F872">
            <v>79871116379</v>
          </cell>
        </row>
        <row r="873">
          <cell r="B873" t="str">
            <v>В-18921/КЛ.Транш - 1</v>
          </cell>
          <cell r="D873">
            <v>79501040612</v>
          </cell>
          <cell r="F873">
            <v>79501040612</v>
          </cell>
        </row>
        <row r="874">
          <cell r="B874" t="str">
            <v>В-28090/АЗ</v>
          </cell>
          <cell r="D874">
            <v>79064793696</v>
          </cell>
        </row>
        <row r="875">
          <cell r="B875" t="str">
            <v>В-22663/КЛ.Транш - 1</v>
          </cell>
          <cell r="C875">
            <v>84957322252</v>
          </cell>
          <cell r="D875">
            <v>89852505225</v>
          </cell>
          <cell r="F875">
            <v>79852505225</v>
          </cell>
        </row>
        <row r="876">
          <cell r="B876" t="str">
            <v>В-15668/КЛ.Транш - 1</v>
          </cell>
          <cell r="D876">
            <v>79213465279</v>
          </cell>
          <cell r="F876">
            <v>79213465279</v>
          </cell>
        </row>
        <row r="877">
          <cell r="B877" t="str">
            <v>В-19880/КЛ.Транш - 1</v>
          </cell>
          <cell r="D877">
            <v>79672796448</v>
          </cell>
          <cell r="F877">
            <v>79672796448</v>
          </cell>
        </row>
        <row r="878">
          <cell r="B878" t="str">
            <v>В-11334/КЛ.Транш - 1_В-20211230/Ц</v>
          </cell>
          <cell r="C878">
            <v>78123030056</v>
          </cell>
          <cell r="D878">
            <v>79062603305</v>
          </cell>
          <cell r="F878">
            <v>79062603305</v>
          </cell>
        </row>
        <row r="879">
          <cell r="B879" t="str">
            <v>В-26776/КЛ.Транш - 1</v>
          </cell>
          <cell r="D879">
            <v>79185435217</v>
          </cell>
          <cell r="F879">
            <v>79185435217</v>
          </cell>
        </row>
        <row r="880">
          <cell r="B880" t="str">
            <v>В-25401/КЛ.Транш - 1</v>
          </cell>
          <cell r="D880">
            <v>79232220181</v>
          </cell>
          <cell r="F880">
            <v>79232220181</v>
          </cell>
        </row>
        <row r="881">
          <cell r="B881" t="str">
            <v>В-00884/КЛ.Транш - 2</v>
          </cell>
          <cell r="D881">
            <v>89165326132</v>
          </cell>
          <cell r="F881">
            <v>89165326132</v>
          </cell>
        </row>
        <row r="882">
          <cell r="B882" t="str">
            <v>В-00884/КЛ.Транш - 1</v>
          </cell>
          <cell r="D882">
            <v>89165326132</v>
          </cell>
          <cell r="F882">
            <v>89165326132</v>
          </cell>
        </row>
        <row r="883">
          <cell r="B883" t="str">
            <v>В-11630/КЛ.Транш - 1</v>
          </cell>
          <cell r="D883">
            <v>79534275511</v>
          </cell>
          <cell r="F883">
            <v>79534275511</v>
          </cell>
        </row>
        <row r="884">
          <cell r="B884" t="str">
            <v>В-16933/КЛ.Транш - 2</v>
          </cell>
          <cell r="D884">
            <v>79919296255</v>
          </cell>
        </row>
        <row r="885">
          <cell r="B885" t="str">
            <v>В-24308/КЛ.Транш - 1</v>
          </cell>
          <cell r="D885">
            <v>79303799999</v>
          </cell>
          <cell r="F885">
            <v>79303799999</v>
          </cell>
        </row>
        <row r="886">
          <cell r="B886" t="str">
            <v>В-24308/КЛ.Транш - 2</v>
          </cell>
          <cell r="D886">
            <v>79303799999</v>
          </cell>
          <cell r="F886">
            <v>79303799999</v>
          </cell>
        </row>
        <row r="887">
          <cell r="B887" t="str">
            <v>В-16455/КЛ.Транш - 1</v>
          </cell>
          <cell r="D887">
            <v>79636642614</v>
          </cell>
          <cell r="F887">
            <v>79636642614</v>
          </cell>
        </row>
        <row r="888">
          <cell r="B888" t="str">
            <v>В-01184/АЗ</v>
          </cell>
          <cell r="D888">
            <v>79296042566</v>
          </cell>
          <cell r="F888">
            <v>79296042566</v>
          </cell>
        </row>
        <row r="889">
          <cell r="B889" t="str">
            <v>А-05308/АЗ_В-20211230/Ц</v>
          </cell>
          <cell r="C889">
            <v>74955988883</v>
          </cell>
          <cell r="D889">
            <v>79858567531</v>
          </cell>
          <cell r="E889">
            <v>79858567531</v>
          </cell>
        </row>
        <row r="890">
          <cell r="B890" t="str">
            <v>В-27646/КЛ.Транш - 1</v>
          </cell>
          <cell r="D890">
            <v>79166918483</v>
          </cell>
          <cell r="F890">
            <v>79166918483</v>
          </cell>
        </row>
        <row r="891">
          <cell r="B891" t="str">
            <v>В-17469/КЛ.Транш - 2</v>
          </cell>
          <cell r="C891">
            <v>74953213033</v>
          </cell>
          <cell r="D891">
            <v>79647243012</v>
          </cell>
          <cell r="F891">
            <v>79647243012</v>
          </cell>
        </row>
        <row r="892">
          <cell r="B892" t="str">
            <v>В-17469/КЛ.Транш - 1</v>
          </cell>
          <cell r="C892">
            <v>74953213033</v>
          </cell>
          <cell r="D892">
            <v>79647243012</v>
          </cell>
          <cell r="F892">
            <v>79647243012</v>
          </cell>
        </row>
        <row r="893">
          <cell r="B893" t="str">
            <v>В-03758/КЛ.Транш - 1</v>
          </cell>
          <cell r="D893">
            <v>89500277426</v>
          </cell>
          <cell r="F893">
            <v>79500277426</v>
          </cell>
        </row>
        <row r="894">
          <cell r="B894" t="str">
            <v>В-19991/КЛ.Транш - 3</v>
          </cell>
          <cell r="D894">
            <v>89537495179</v>
          </cell>
          <cell r="F894">
            <v>79537495179</v>
          </cell>
        </row>
        <row r="895">
          <cell r="B895" t="str">
            <v>В-19991/КЛ.Транш - 2</v>
          </cell>
          <cell r="D895">
            <v>89537495179</v>
          </cell>
          <cell r="F895">
            <v>79537495179</v>
          </cell>
        </row>
        <row r="896">
          <cell r="B896" t="str">
            <v>В-19991/КЛ.Транш - 1</v>
          </cell>
          <cell r="D896">
            <v>89537495179</v>
          </cell>
          <cell r="F896">
            <v>79537495179</v>
          </cell>
        </row>
        <row r="897">
          <cell r="B897" t="str">
            <v>В-28252/КЛ.Транш - 1</v>
          </cell>
          <cell r="D897">
            <v>79533203044</v>
          </cell>
        </row>
        <row r="898">
          <cell r="B898" t="str">
            <v>В-07328/КЛ.Транш - 2</v>
          </cell>
          <cell r="D898">
            <v>79052188999</v>
          </cell>
          <cell r="E898">
            <v>79052188999</v>
          </cell>
          <cell r="F898">
            <v>79052188999</v>
          </cell>
        </row>
        <row r="899">
          <cell r="B899" t="str">
            <v>В-07328/КЛ.Транш - 1</v>
          </cell>
          <cell r="D899">
            <v>79052188999</v>
          </cell>
          <cell r="E899">
            <v>79052188999</v>
          </cell>
          <cell r="F899">
            <v>79052188999</v>
          </cell>
        </row>
        <row r="900">
          <cell r="B900" t="str">
            <v>В-03846/КЛ.Транш - 1</v>
          </cell>
          <cell r="D900">
            <v>79856828788</v>
          </cell>
          <cell r="F900">
            <v>79856828788</v>
          </cell>
        </row>
        <row r="901">
          <cell r="B901" t="str">
            <v>В-03846/КЛ.Транш - 2</v>
          </cell>
          <cell r="D901">
            <v>79856828788</v>
          </cell>
          <cell r="F901">
            <v>79856828788</v>
          </cell>
        </row>
        <row r="902">
          <cell r="B902" t="str">
            <v>В-22352/АЗ_В-20211230/Ц</v>
          </cell>
          <cell r="D902">
            <v>79210981891</v>
          </cell>
          <cell r="F902">
            <v>79210981891</v>
          </cell>
        </row>
        <row r="903">
          <cell r="B903" t="str">
            <v>В-19681/КЛ.Транш - 1</v>
          </cell>
          <cell r="D903">
            <v>79142988812</v>
          </cell>
          <cell r="F903">
            <v>79142988812</v>
          </cell>
        </row>
        <row r="904">
          <cell r="B904" t="str">
            <v>В-18496/КЛ.Транш - 1</v>
          </cell>
          <cell r="D904">
            <v>79051999634</v>
          </cell>
          <cell r="F904">
            <v>79051999634</v>
          </cell>
        </row>
        <row r="905">
          <cell r="B905" t="str">
            <v>В-09290/КЛ.Транш - 1</v>
          </cell>
          <cell r="D905">
            <v>79227254469</v>
          </cell>
          <cell r="F905">
            <v>79227254469</v>
          </cell>
        </row>
        <row r="906">
          <cell r="B906" t="str">
            <v>А-00035/БЭ</v>
          </cell>
          <cell r="D906" t="str">
            <v>89160200226, 89067697494</v>
          </cell>
          <cell r="F906">
            <v>79160200226</v>
          </cell>
        </row>
        <row r="907">
          <cell r="B907" t="str">
            <v>В-00586/АЗ_В-20211230/Ц</v>
          </cell>
          <cell r="C907">
            <v>74997058072</v>
          </cell>
          <cell r="D907">
            <v>79852156157</v>
          </cell>
          <cell r="F907">
            <v>79852156157</v>
          </cell>
        </row>
        <row r="908">
          <cell r="B908" t="str">
            <v>В-18141/КЛ.Транш - 1</v>
          </cell>
          <cell r="D908">
            <v>79119272677</v>
          </cell>
          <cell r="F908">
            <v>79119272677</v>
          </cell>
        </row>
        <row r="909">
          <cell r="B909" t="str">
            <v>В-22935/КЛ.Транш - 1</v>
          </cell>
          <cell r="D909">
            <v>79189780081</v>
          </cell>
          <cell r="F909">
            <v>79189780081</v>
          </cell>
        </row>
        <row r="910">
          <cell r="B910" t="str">
            <v>В-22935/КЛ.Транш - 2</v>
          </cell>
          <cell r="D910">
            <v>79189780081</v>
          </cell>
          <cell r="F910">
            <v>79189780081</v>
          </cell>
        </row>
        <row r="911">
          <cell r="B911" t="str">
            <v>В-19070/КЛ.Транш - 2</v>
          </cell>
          <cell r="D911">
            <v>79773424080</v>
          </cell>
          <cell r="F911">
            <v>79773424080</v>
          </cell>
        </row>
        <row r="912">
          <cell r="B912" t="str">
            <v>В-19070/КЛ.Транш - 4</v>
          </cell>
          <cell r="D912">
            <v>79773424080</v>
          </cell>
          <cell r="F912">
            <v>79773424080</v>
          </cell>
        </row>
        <row r="913">
          <cell r="B913" t="str">
            <v>В-19070/КЛ.Транш - 3</v>
          </cell>
          <cell r="D913">
            <v>79773424080</v>
          </cell>
          <cell r="F913">
            <v>79773424080</v>
          </cell>
        </row>
        <row r="914">
          <cell r="B914" t="str">
            <v>В-01191/АЗ</v>
          </cell>
          <cell r="D914">
            <v>79152806029</v>
          </cell>
          <cell r="F914">
            <v>79152806029</v>
          </cell>
        </row>
        <row r="915">
          <cell r="B915" t="str">
            <v>Т-01797/АЗ_Т-20210517/Ц</v>
          </cell>
          <cell r="C915">
            <v>74956897819</v>
          </cell>
          <cell r="D915">
            <v>79857604715</v>
          </cell>
          <cell r="E915">
            <v>79857604715</v>
          </cell>
          <cell r="F915">
            <v>79161419930</v>
          </cell>
        </row>
        <row r="916">
          <cell r="B916" t="str">
            <v>А-05332/АЗ_А-20210517/Ц</v>
          </cell>
          <cell r="C916">
            <v>74956897819</v>
          </cell>
          <cell r="D916">
            <v>79857604715</v>
          </cell>
          <cell r="E916">
            <v>79857604715</v>
          </cell>
          <cell r="F916">
            <v>79161419930</v>
          </cell>
        </row>
        <row r="917">
          <cell r="B917" t="str">
            <v>В-22100/КЛ.Транш - 1_В-20211230/Ц</v>
          </cell>
          <cell r="D917">
            <v>89267296527</v>
          </cell>
          <cell r="F917">
            <v>79267296527</v>
          </cell>
        </row>
        <row r="918">
          <cell r="B918" t="str">
            <v>В-24021/КЛ.Транш - 1</v>
          </cell>
          <cell r="D918">
            <v>89999709808</v>
          </cell>
          <cell r="F918">
            <v>79999709808</v>
          </cell>
        </row>
        <row r="919">
          <cell r="B919" t="str">
            <v>В-09928/КЛ.Транш - 1</v>
          </cell>
          <cell r="D919">
            <v>79787238135</v>
          </cell>
          <cell r="F919">
            <v>79787238135</v>
          </cell>
        </row>
        <row r="920">
          <cell r="B920" t="str">
            <v>В-05611/КЛ.Транш - 1</v>
          </cell>
          <cell r="D920">
            <v>79296414245</v>
          </cell>
          <cell r="F920">
            <v>79296414245</v>
          </cell>
        </row>
        <row r="921">
          <cell r="B921" t="str">
            <v>В-12740/КЛ.Транш - 2</v>
          </cell>
          <cell r="D921">
            <v>79033285823</v>
          </cell>
          <cell r="F921">
            <v>79033285823</v>
          </cell>
        </row>
        <row r="922">
          <cell r="B922" t="str">
            <v>В-08513/КЛ.Транш - 1</v>
          </cell>
          <cell r="D922">
            <v>89645897667</v>
          </cell>
          <cell r="F922">
            <v>79645897667</v>
          </cell>
        </row>
        <row r="923">
          <cell r="B923" t="str">
            <v>В-00737/АЗ</v>
          </cell>
          <cell r="D923">
            <v>79886733377</v>
          </cell>
          <cell r="F923">
            <v>79886733377</v>
          </cell>
        </row>
        <row r="924">
          <cell r="B924" t="str">
            <v>В-13219/КЛ.Транш - 1</v>
          </cell>
          <cell r="D924">
            <v>79030302121</v>
          </cell>
          <cell r="F924">
            <v>79030302121</v>
          </cell>
        </row>
        <row r="925">
          <cell r="B925" t="str">
            <v>В-21666/КЛ.Транш - 1</v>
          </cell>
          <cell r="D925">
            <v>79995636451</v>
          </cell>
          <cell r="E925">
            <v>79923341175</v>
          </cell>
          <cell r="F925">
            <v>79995636451</v>
          </cell>
        </row>
        <row r="926">
          <cell r="B926" t="str">
            <v>В-26318/КЛ.Транш - 1</v>
          </cell>
          <cell r="D926">
            <v>89269094951</v>
          </cell>
          <cell r="F926">
            <v>79269094951</v>
          </cell>
        </row>
        <row r="927">
          <cell r="B927" t="str">
            <v>В-02029/КЛ.Транш - 2</v>
          </cell>
          <cell r="D927">
            <v>89269094951</v>
          </cell>
          <cell r="F927">
            <v>79269094951</v>
          </cell>
        </row>
        <row r="928">
          <cell r="B928" t="str">
            <v>В-23633/КЛ.Транш - 1_В-20211230/Ц</v>
          </cell>
          <cell r="D928">
            <v>89671011113</v>
          </cell>
          <cell r="F928">
            <v>79671011113</v>
          </cell>
        </row>
        <row r="929">
          <cell r="B929" t="str">
            <v>В-05725/КЛ.Транш - 5</v>
          </cell>
          <cell r="D929">
            <v>79254080346</v>
          </cell>
          <cell r="F929">
            <v>79254080346</v>
          </cell>
        </row>
        <row r="930">
          <cell r="B930" t="str">
            <v>В-05725/КЛ.Транш - 6</v>
          </cell>
          <cell r="D930">
            <v>79254080346</v>
          </cell>
          <cell r="F930">
            <v>79254080346</v>
          </cell>
        </row>
        <row r="931">
          <cell r="B931" t="str">
            <v>В-21960/КЛ.Транш - 1</v>
          </cell>
          <cell r="D931">
            <v>89091500039</v>
          </cell>
          <cell r="F931">
            <v>79091500039</v>
          </cell>
        </row>
        <row r="932">
          <cell r="B932" t="str">
            <v>В-21960/КЛ.Транш - 2</v>
          </cell>
          <cell r="D932">
            <v>89091500039</v>
          </cell>
          <cell r="F932">
            <v>79091500039</v>
          </cell>
        </row>
        <row r="933">
          <cell r="B933" t="str">
            <v>В-14094/КЛ.Транш - 2</v>
          </cell>
          <cell r="D933">
            <v>79081930608</v>
          </cell>
          <cell r="F933">
            <v>79081930608</v>
          </cell>
        </row>
        <row r="934">
          <cell r="B934" t="str">
            <v>В-28684/КЛ.Транш - 1</v>
          </cell>
          <cell r="D934">
            <v>79370214535</v>
          </cell>
          <cell r="F934">
            <v>79370214535</v>
          </cell>
        </row>
        <row r="935">
          <cell r="B935" t="str">
            <v>В-00083/КЭ.Транш - 1</v>
          </cell>
        </row>
        <row r="936">
          <cell r="B936" t="str">
            <v>В-26099/КЛ.Транш - 2</v>
          </cell>
          <cell r="D936">
            <v>89031850064</v>
          </cell>
          <cell r="F936">
            <v>79031850064</v>
          </cell>
        </row>
        <row r="937">
          <cell r="B937" t="str">
            <v>В-26099/КЛ.Транш - 1</v>
          </cell>
          <cell r="D937">
            <v>89031850064</v>
          </cell>
          <cell r="F937">
            <v>79031850064</v>
          </cell>
        </row>
        <row r="938">
          <cell r="B938" t="str">
            <v>В-07706/КЛ.Транш - 1</v>
          </cell>
          <cell r="D938">
            <v>79649962555</v>
          </cell>
          <cell r="E938">
            <v>79649962555</v>
          </cell>
          <cell r="F938">
            <v>79649962555</v>
          </cell>
        </row>
        <row r="939">
          <cell r="B939" t="str">
            <v>В-26649/АЗ</v>
          </cell>
          <cell r="D939">
            <v>79819361966</v>
          </cell>
        </row>
        <row r="940">
          <cell r="B940" t="str">
            <v>В-26651/АЗ</v>
          </cell>
          <cell r="D940">
            <v>79119244780</v>
          </cell>
        </row>
        <row r="941">
          <cell r="B941" t="str">
            <v>А-00375/КЭ.Транш - 1</v>
          </cell>
        </row>
        <row r="942">
          <cell r="B942" t="str">
            <v>В-02402/КЛ.Транш - 1</v>
          </cell>
          <cell r="C942">
            <v>74954430871</v>
          </cell>
          <cell r="D942">
            <v>79154731682</v>
          </cell>
          <cell r="F942">
            <v>79154731682</v>
          </cell>
        </row>
        <row r="943">
          <cell r="B943" t="str">
            <v>В-07632/КЛ.Транш - 1</v>
          </cell>
          <cell r="D943">
            <v>79608727270</v>
          </cell>
          <cell r="F943">
            <v>79608727270</v>
          </cell>
        </row>
        <row r="944">
          <cell r="B944" t="str">
            <v>А-00211/КЭ.Транш - 2</v>
          </cell>
        </row>
        <row r="945">
          <cell r="B945" t="str">
            <v>В-18715/КЛ.Транш - 1</v>
          </cell>
          <cell r="D945">
            <v>79175621918</v>
          </cell>
          <cell r="F945">
            <v>79175621918</v>
          </cell>
        </row>
        <row r="946">
          <cell r="B946" t="str">
            <v>В-18715/КЛ.Транш - 2</v>
          </cell>
          <cell r="D946">
            <v>79175621918</v>
          </cell>
          <cell r="F946">
            <v>79175621918</v>
          </cell>
        </row>
        <row r="947">
          <cell r="B947" t="str">
            <v>В-18715/КЛ.Транш - 4</v>
          </cell>
          <cell r="D947">
            <v>79175621918</v>
          </cell>
          <cell r="F947">
            <v>79175621918</v>
          </cell>
        </row>
        <row r="948">
          <cell r="B948" t="str">
            <v>А-05392/АЗ</v>
          </cell>
          <cell r="C948">
            <v>74967265167</v>
          </cell>
          <cell r="D948">
            <v>79037968869</v>
          </cell>
          <cell r="E948">
            <v>79037968869</v>
          </cell>
          <cell r="F948">
            <v>79037968869</v>
          </cell>
        </row>
        <row r="949">
          <cell r="B949" t="str">
            <v>Т-01827/АЗ_Т-20211028/Ц</v>
          </cell>
          <cell r="C949">
            <v>74967265167</v>
          </cell>
          <cell r="D949">
            <v>79037968869</v>
          </cell>
          <cell r="E949">
            <v>79037968869</v>
          </cell>
          <cell r="F949">
            <v>79037968869</v>
          </cell>
        </row>
        <row r="950">
          <cell r="B950" t="str">
            <v>В-00280/КЛ.Транш - 1</v>
          </cell>
          <cell r="C950">
            <v>74967265167</v>
          </cell>
          <cell r="D950">
            <v>79037968869</v>
          </cell>
          <cell r="E950">
            <v>79037968869</v>
          </cell>
          <cell r="F950">
            <v>79037968869</v>
          </cell>
        </row>
        <row r="951">
          <cell r="B951" t="str">
            <v>В-00280/КЛ.Транш - 2</v>
          </cell>
          <cell r="C951">
            <v>74967265167</v>
          </cell>
          <cell r="D951">
            <v>79037968869</v>
          </cell>
          <cell r="E951">
            <v>79037968869</v>
          </cell>
          <cell r="F951">
            <v>79037968869</v>
          </cell>
        </row>
        <row r="952">
          <cell r="B952" t="str">
            <v>В-25457/КЛ.Транш - 1</v>
          </cell>
          <cell r="D952">
            <v>79677405071</v>
          </cell>
          <cell r="F952">
            <v>79677405071</v>
          </cell>
        </row>
        <row r="953">
          <cell r="B953" t="str">
            <v>В-24596/АЗ</v>
          </cell>
          <cell r="D953">
            <v>79999815353</v>
          </cell>
          <cell r="F953">
            <v>79999815353</v>
          </cell>
        </row>
        <row r="954">
          <cell r="B954" t="str">
            <v>В-25529/КЛ.Транш - 1</v>
          </cell>
          <cell r="D954">
            <v>79106121114</v>
          </cell>
        </row>
        <row r="955">
          <cell r="B955" t="str">
            <v>В-12548/КЛ.Транш - 2_В-20211230/Ц</v>
          </cell>
          <cell r="C955">
            <v>74954946112</v>
          </cell>
          <cell r="D955">
            <v>79264645049</v>
          </cell>
          <cell r="E955">
            <v>79264645049</v>
          </cell>
          <cell r="F955">
            <v>79264645049</v>
          </cell>
        </row>
        <row r="956">
          <cell r="B956" t="str">
            <v>В-25573/КЛ.Транш - 1</v>
          </cell>
          <cell r="D956">
            <v>79261805555</v>
          </cell>
          <cell r="F956">
            <v>79261805555</v>
          </cell>
        </row>
        <row r="957">
          <cell r="B957" t="str">
            <v>В-25573/КЛ.Транш - 2</v>
          </cell>
          <cell r="D957">
            <v>79261805555</v>
          </cell>
          <cell r="F957">
            <v>79261805555</v>
          </cell>
        </row>
        <row r="958">
          <cell r="B958" t="str">
            <v>В-22048/КЛ.Транш - 1</v>
          </cell>
          <cell r="D958">
            <v>89038153824</v>
          </cell>
          <cell r="F958">
            <v>79038153824</v>
          </cell>
        </row>
        <row r="959">
          <cell r="B959" t="str">
            <v>В-16516/КЛ.Транш - 1</v>
          </cell>
          <cell r="D959">
            <v>79959979969</v>
          </cell>
          <cell r="F959">
            <v>79959979969</v>
          </cell>
        </row>
        <row r="960">
          <cell r="B960" t="str">
            <v>В-16516/КЛ.Транш - 3</v>
          </cell>
          <cell r="D960">
            <v>79959979969</v>
          </cell>
          <cell r="F960">
            <v>79959979969</v>
          </cell>
        </row>
        <row r="961">
          <cell r="B961" t="str">
            <v>В-16516/КЛ.Транш - 7</v>
          </cell>
          <cell r="D961">
            <v>79959979969</v>
          </cell>
          <cell r="F961">
            <v>79959979969</v>
          </cell>
        </row>
        <row r="962">
          <cell r="B962" t="str">
            <v>В-16516/КЛ.Транш - 6</v>
          </cell>
          <cell r="D962">
            <v>79959979969</v>
          </cell>
          <cell r="F962">
            <v>79959979969</v>
          </cell>
        </row>
        <row r="963">
          <cell r="B963" t="str">
            <v>В-16516/КЛ.Транш - 4</v>
          </cell>
          <cell r="D963">
            <v>79959979969</v>
          </cell>
          <cell r="F963">
            <v>79959979969</v>
          </cell>
        </row>
        <row r="964">
          <cell r="B964" t="str">
            <v>В-16516/КЛ.Транш - 5</v>
          </cell>
          <cell r="D964">
            <v>79959979969</v>
          </cell>
          <cell r="F964">
            <v>79959979969</v>
          </cell>
        </row>
        <row r="965">
          <cell r="B965" t="str">
            <v>В-22683/КЛ.Транш - 1</v>
          </cell>
          <cell r="D965">
            <v>79268847323</v>
          </cell>
          <cell r="F965">
            <v>79268847323</v>
          </cell>
        </row>
        <row r="966">
          <cell r="B966" t="str">
            <v>В-18929/КЛ.Транш - 1</v>
          </cell>
          <cell r="D966">
            <v>79104398750</v>
          </cell>
          <cell r="F966">
            <v>79104398750</v>
          </cell>
        </row>
        <row r="967">
          <cell r="B967" t="str">
            <v>А-10026/БЭ</v>
          </cell>
          <cell r="C967">
            <v>78125262467</v>
          </cell>
          <cell r="D967">
            <v>79219738607</v>
          </cell>
          <cell r="E967">
            <v>79219738607</v>
          </cell>
          <cell r="F967">
            <v>79219738607</v>
          </cell>
        </row>
        <row r="968">
          <cell r="B968" t="str">
            <v>В-04395/КЛ.Транш - 4</v>
          </cell>
          <cell r="D968">
            <v>79052076286</v>
          </cell>
          <cell r="F968">
            <v>79052076286</v>
          </cell>
        </row>
        <row r="969">
          <cell r="B969" t="str">
            <v>В-06920/КЛ.Транш - 1</v>
          </cell>
          <cell r="D969">
            <v>79959960900</v>
          </cell>
          <cell r="F969">
            <v>79959960900</v>
          </cell>
        </row>
        <row r="970">
          <cell r="B970" t="str">
            <v>В-06920/КЛ.Транш - 3</v>
          </cell>
          <cell r="D970">
            <v>79959960900</v>
          </cell>
          <cell r="F970">
            <v>79959960900</v>
          </cell>
        </row>
        <row r="971">
          <cell r="B971" t="str">
            <v>В-06920/КЛ.Транш - 2</v>
          </cell>
          <cell r="D971">
            <v>79959960900</v>
          </cell>
          <cell r="F971">
            <v>79959960900</v>
          </cell>
        </row>
        <row r="972">
          <cell r="B972" t="str">
            <v>В-12113/КЛ.Транш - 1</v>
          </cell>
          <cell r="D972">
            <v>89213341802</v>
          </cell>
          <cell r="F972">
            <v>79213341802</v>
          </cell>
        </row>
        <row r="973">
          <cell r="B973" t="str">
            <v>В-20731/КЛ.Транш - 1</v>
          </cell>
          <cell r="D973">
            <v>79996794623</v>
          </cell>
          <cell r="F973">
            <v>79996794623</v>
          </cell>
        </row>
        <row r="974">
          <cell r="B974" t="str">
            <v>В-20731/КЛ.Транш - 4</v>
          </cell>
          <cell r="D974">
            <v>79996794623</v>
          </cell>
          <cell r="F974">
            <v>79996794623</v>
          </cell>
        </row>
        <row r="975">
          <cell r="B975" t="str">
            <v>В-20731/КЛ.Транш - 2</v>
          </cell>
          <cell r="D975">
            <v>79996794623</v>
          </cell>
          <cell r="F975">
            <v>79996794623</v>
          </cell>
        </row>
        <row r="976">
          <cell r="B976" t="str">
            <v>В-20731/КЛ.Транш - 3</v>
          </cell>
          <cell r="D976">
            <v>79996794623</v>
          </cell>
          <cell r="F976">
            <v>79996794623</v>
          </cell>
        </row>
        <row r="977">
          <cell r="B977" t="str">
            <v>В-20731/КЛ.Транш - 5</v>
          </cell>
          <cell r="D977">
            <v>79996794623</v>
          </cell>
          <cell r="F977">
            <v>79996794623</v>
          </cell>
        </row>
        <row r="978">
          <cell r="B978" t="str">
            <v>В-12163/КЛ.Транш - 1</v>
          </cell>
          <cell r="D978">
            <v>79102220721</v>
          </cell>
          <cell r="F978">
            <v>79102220721</v>
          </cell>
        </row>
        <row r="979">
          <cell r="B979" t="str">
            <v>В-12163/КЛ.Транш - 2</v>
          </cell>
          <cell r="D979">
            <v>79102220721</v>
          </cell>
          <cell r="F979">
            <v>79102220721</v>
          </cell>
        </row>
        <row r="980">
          <cell r="B980" t="str">
            <v>В-03460/КЛ.Транш - 1</v>
          </cell>
          <cell r="D980">
            <v>89035288379</v>
          </cell>
          <cell r="F980">
            <v>79035288379</v>
          </cell>
        </row>
        <row r="981">
          <cell r="B981" t="str">
            <v>В-01210/АЗ</v>
          </cell>
          <cell r="D981">
            <v>89037971637</v>
          </cell>
          <cell r="F981">
            <v>79037971637</v>
          </cell>
        </row>
        <row r="982">
          <cell r="B982" t="str">
            <v>В-20384/КЛ.Транш - 1</v>
          </cell>
          <cell r="D982">
            <v>79897033074</v>
          </cell>
          <cell r="F982">
            <v>79897033074</v>
          </cell>
        </row>
        <row r="983">
          <cell r="B983" t="str">
            <v>В-08270/КЛ.Транш - 1</v>
          </cell>
          <cell r="D983">
            <v>79690483616</v>
          </cell>
          <cell r="F983">
            <v>79690483616</v>
          </cell>
        </row>
        <row r="984">
          <cell r="B984" t="str">
            <v>В-24366/КЛ.Транш - 1</v>
          </cell>
          <cell r="D984">
            <v>79610700909</v>
          </cell>
        </row>
        <row r="985">
          <cell r="B985" t="str">
            <v>В-11882/КЛ.Транш - 1</v>
          </cell>
          <cell r="E985">
            <v>79534227208</v>
          </cell>
        </row>
        <row r="986">
          <cell r="B986" t="str">
            <v>В-11882/КЛ.Транш - 2</v>
          </cell>
          <cell r="E986">
            <v>79534227208</v>
          </cell>
        </row>
        <row r="987">
          <cell r="B987" t="str">
            <v>В-11882/КЛ.Транш - 3</v>
          </cell>
          <cell r="E987">
            <v>79534227208</v>
          </cell>
        </row>
        <row r="988">
          <cell r="B988" t="str">
            <v>В-23897/КЛ.Транш - 1</v>
          </cell>
          <cell r="D988">
            <v>79517587421</v>
          </cell>
          <cell r="F988">
            <v>79517587421</v>
          </cell>
        </row>
        <row r="989">
          <cell r="B989" t="str">
            <v>В-26742/КЛ.Транш - 2</v>
          </cell>
          <cell r="C989">
            <v>74957542967</v>
          </cell>
          <cell r="D989">
            <v>79166700238</v>
          </cell>
          <cell r="F989">
            <v>79166700238</v>
          </cell>
        </row>
        <row r="990">
          <cell r="B990" t="str">
            <v>В-26742/КЛ.Транш - 1</v>
          </cell>
          <cell r="C990">
            <v>74957542967</v>
          </cell>
          <cell r="D990">
            <v>79166700238</v>
          </cell>
          <cell r="F990">
            <v>79166700238</v>
          </cell>
        </row>
        <row r="991">
          <cell r="B991" t="str">
            <v>А-04827/АЗ</v>
          </cell>
          <cell r="C991">
            <v>74967978708</v>
          </cell>
          <cell r="D991">
            <v>79269917034</v>
          </cell>
          <cell r="E991">
            <v>79269917034</v>
          </cell>
        </row>
        <row r="992">
          <cell r="B992" t="str">
            <v>В-15451/КЛ.Транш - 1</v>
          </cell>
          <cell r="D992">
            <v>79637178904</v>
          </cell>
          <cell r="E992">
            <v>79150327094</v>
          </cell>
          <cell r="F992">
            <v>79637178904</v>
          </cell>
        </row>
        <row r="993">
          <cell r="B993" t="str">
            <v>В-21933/КЛ.Транш - 1</v>
          </cell>
          <cell r="D993">
            <v>79911121011</v>
          </cell>
          <cell r="F993">
            <v>79911121011</v>
          </cell>
        </row>
        <row r="994">
          <cell r="B994" t="str">
            <v>В-19791/КЛ.Транш - 1_В-20211230/Ц</v>
          </cell>
          <cell r="D994">
            <v>79786084762</v>
          </cell>
          <cell r="F994">
            <v>79786084762</v>
          </cell>
        </row>
        <row r="995">
          <cell r="B995" t="str">
            <v>В-00103/КЛ.Транш - 1_В-20211230/Ц</v>
          </cell>
          <cell r="D995">
            <v>89854448580</v>
          </cell>
          <cell r="F995">
            <v>79854448580</v>
          </cell>
        </row>
        <row r="996">
          <cell r="B996" t="str">
            <v>А-00395/КЭ.Транш - 3</v>
          </cell>
        </row>
        <row r="997">
          <cell r="B997" t="str">
            <v>А-00395/КЭ.Транш - 2</v>
          </cell>
        </row>
        <row r="998">
          <cell r="B998" t="str">
            <v>В-04536/КЛ.Транш - 4</v>
          </cell>
          <cell r="E998">
            <v>79218749181</v>
          </cell>
          <cell r="F998">
            <v>79112730146</v>
          </cell>
        </row>
        <row r="999">
          <cell r="B999" t="str">
            <v>В-04536/КЛ.Транш - 3</v>
          </cell>
          <cell r="E999">
            <v>79218749181</v>
          </cell>
          <cell r="F999">
            <v>79112730146</v>
          </cell>
        </row>
        <row r="1000">
          <cell r="B1000" t="str">
            <v>В-20200/КЛ.Транш - 1</v>
          </cell>
          <cell r="D1000">
            <v>79683330999</v>
          </cell>
          <cell r="F1000">
            <v>79683330999</v>
          </cell>
        </row>
        <row r="1001">
          <cell r="B1001" t="str">
            <v>В-20200/КЛ.Транш - 2</v>
          </cell>
          <cell r="D1001">
            <v>79683330999</v>
          </cell>
          <cell r="F1001">
            <v>79683330999</v>
          </cell>
        </row>
        <row r="1002">
          <cell r="B1002" t="str">
            <v>В-17724/КЛ.Транш - 1_В-20211230/Ц</v>
          </cell>
          <cell r="D1002">
            <v>79212243720</v>
          </cell>
          <cell r="F1002">
            <v>79212243720</v>
          </cell>
        </row>
        <row r="1003">
          <cell r="B1003" t="str">
            <v>В-23930/АЗ</v>
          </cell>
          <cell r="D1003">
            <v>79037209373</v>
          </cell>
          <cell r="F1003">
            <v>79037209373</v>
          </cell>
        </row>
        <row r="1004">
          <cell r="B1004" t="str">
            <v>В-13202/КЛ.Транш - 3</v>
          </cell>
          <cell r="D1004">
            <v>79109502279</v>
          </cell>
          <cell r="F1004">
            <v>79109502279</v>
          </cell>
        </row>
        <row r="1005">
          <cell r="B1005" t="str">
            <v>В-10050/КЛ.Транш - 1</v>
          </cell>
          <cell r="D1005">
            <v>79685265733</v>
          </cell>
          <cell r="F1005">
            <v>79685265733</v>
          </cell>
        </row>
        <row r="1006">
          <cell r="B1006" t="str">
            <v>В-25217/КЛ.Транш - 1</v>
          </cell>
          <cell r="D1006">
            <v>79635227014</v>
          </cell>
          <cell r="F1006">
            <v>79635227014</v>
          </cell>
        </row>
        <row r="1007">
          <cell r="B1007" t="str">
            <v>В-12033/КЛ.Транш - 1</v>
          </cell>
          <cell r="E1007">
            <v>79627262124</v>
          </cell>
          <cell r="F1007">
            <v>79627262124</v>
          </cell>
        </row>
        <row r="1008">
          <cell r="B1008" t="str">
            <v>В-01120/АЗ_А-20210929/Ц</v>
          </cell>
          <cell r="D1008">
            <v>79096257979</v>
          </cell>
          <cell r="F1008">
            <v>79096257979</v>
          </cell>
        </row>
        <row r="1009">
          <cell r="B1009" t="str">
            <v>В-20855/КЛ.Транш - 1</v>
          </cell>
          <cell r="D1009">
            <v>79852570390</v>
          </cell>
          <cell r="F1009">
            <v>79852570390</v>
          </cell>
        </row>
        <row r="1010">
          <cell r="B1010" t="str">
            <v>В-20046/КЛ.Транш - 1</v>
          </cell>
          <cell r="D1010">
            <v>79964765365</v>
          </cell>
          <cell r="F1010">
            <v>79964765365</v>
          </cell>
        </row>
        <row r="1011">
          <cell r="B1011" t="str">
            <v>В-18367/КЛ.Транш - 1</v>
          </cell>
          <cell r="D1011">
            <v>79892112978</v>
          </cell>
          <cell r="F1011">
            <v>79892112978</v>
          </cell>
        </row>
        <row r="1012">
          <cell r="B1012" t="str">
            <v>В-11967/КЛ.Транш - 2</v>
          </cell>
          <cell r="E1012">
            <v>79019998830</v>
          </cell>
          <cell r="F1012">
            <v>79019998830</v>
          </cell>
        </row>
        <row r="1013">
          <cell r="B1013" t="str">
            <v>В-11967/КЛ.Транш - 1</v>
          </cell>
          <cell r="E1013">
            <v>79019998830</v>
          </cell>
          <cell r="F1013">
            <v>79019998830</v>
          </cell>
        </row>
        <row r="1014">
          <cell r="B1014" t="str">
            <v>В-28436/АЗ</v>
          </cell>
          <cell r="D1014">
            <v>79185881804</v>
          </cell>
        </row>
        <row r="1015">
          <cell r="B1015" t="str">
            <v>В-13264/КЛ.Транш - 1</v>
          </cell>
          <cell r="D1015">
            <v>79205548825</v>
          </cell>
          <cell r="F1015">
            <v>79205548825</v>
          </cell>
        </row>
        <row r="1016">
          <cell r="B1016" t="str">
            <v>В-13264/КЛ.Транш - 2</v>
          </cell>
          <cell r="D1016">
            <v>79205548825</v>
          </cell>
          <cell r="F1016">
            <v>79205548825</v>
          </cell>
        </row>
        <row r="1017">
          <cell r="B1017" t="str">
            <v>В-13264/КЛ.Транш - 3</v>
          </cell>
          <cell r="D1017">
            <v>79205548825</v>
          </cell>
          <cell r="F1017">
            <v>79205548825</v>
          </cell>
        </row>
        <row r="1018">
          <cell r="B1018" t="str">
            <v>В-12098/КЛ.Транш - 1</v>
          </cell>
          <cell r="D1018">
            <v>79160973836</v>
          </cell>
          <cell r="F1018">
            <v>79160973836</v>
          </cell>
        </row>
        <row r="1019">
          <cell r="B1019" t="str">
            <v>В-12098/КЛ.Транш - 2</v>
          </cell>
          <cell r="D1019">
            <v>79160973836</v>
          </cell>
          <cell r="F1019">
            <v>79160973836</v>
          </cell>
        </row>
        <row r="1020">
          <cell r="B1020" t="str">
            <v>В-26664/КЛ.Транш - 1</v>
          </cell>
          <cell r="D1020">
            <v>79172851122</v>
          </cell>
        </row>
        <row r="1021">
          <cell r="B1021" t="str">
            <v>В-27287/КЛ.Транш - 1</v>
          </cell>
          <cell r="D1021">
            <v>79775819625</v>
          </cell>
          <cell r="F1021">
            <v>79775819625</v>
          </cell>
        </row>
        <row r="1022">
          <cell r="B1022" t="str">
            <v>В-15085/КЛ.Транш - 1</v>
          </cell>
          <cell r="D1022">
            <v>79165202008</v>
          </cell>
          <cell r="F1022">
            <v>79165202008</v>
          </cell>
        </row>
        <row r="1023">
          <cell r="B1023" t="str">
            <v>В-01107/АЗ_В-20211230/Ц</v>
          </cell>
          <cell r="D1023">
            <v>79373080743</v>
          </cell>
          <cell r="F1023">
            <v>79213080743</v>
          </cell>
        </row>
        <row r="1024">
          <cell r="B1024" t="str">
            <v>В-17171/КЛ.Транш - 2</v>
          </cell>
          <cell r="D1024">
            <v>79090285655</v>
          </cell>
          <cell r="E1024">
            <v>79030848740</v>
          </cell>
          <cell r="F1024">
            <v>79090285655</v>
          </cell>
        </row>
        <row r="1025">
          <cell r="B1025" t="str">
            <v>В-20381/КЛ.Транш - 1</v>
          </cell>
          <cell r="D1025">
            <v>79219956156</v>
          </cell>
          <cell r="F1025">
            <v>79219956156</v>
          </cell>
        </row>
        <row r="1026">
          <cell r="B1026" t="str">
            <v>В-00011/КЭ.Транш - 1_А-20210929/Ц</v>
          </cell>
        </row>
        <row r="1027">
          <cell r="B1027" t="str">
            <v>В-26761/АЗ</v>
          </cell>
          <cell r="D1027">
            <v>79265002272</v>
          </cell>
        </row>
        <row r="1028">
          <cell r="B1028" t="str">
            <v>В-26233/КЛ.Транш - 1</v>
          </cell>
          <cell r="D1028">
            <v>79002597888</v>
          </cell>
          <cell r="F1028">
            <v>79002597888</v>
          </cell>
        </row>
        <row r="1029">
          <cell r="B1029" t="str">
            <v>В-14310/КЛ.Транш - 1_В-20211230/Ц</v>
          </cell>
          <cell r="D1029">
            <v>79515824076</v>
          </cell>
          <cell r="F1029">
            <v>79515824076</v>
          </cell>
        </row>
        <row r="1030">
          <cell r="B1030" t="str">
            <v>В-00044/КЛ.Транш - 1</v>
          </cell>
          <cell r="D1030">
            <v>79175562011</v>
          </cell>
          <cell r="F1030">
            <v>79175562011</v>
          </cell>
        </row>
        <row r="1031">
          <cell r="B1031" t="str">
            <v>В-11277/КЛ.Транш - 1</v>
          </cell>
          <cell r="C1031">
            <v>74967646406</v>
          </cell>
          <cell r="D1031">
            <v>79104090933</v>
          </cell>
          <cell r="F1031">
            <v>79104090933</v>
          </cell>
        </row>
        <row r="1032">
          <cell r="B1032" t="str">
            <v>В-11277/КЛ.Транш - 2</v>
          </cell>
          <cell r="C1032">
            <v>74967646406</v>
          </cell>
          <cell r="D1032">
            <v>79104090933</v>
          </cell>
          <cell r="F1032">
            <v>79104090933</v>
          </cell>
        </row>
        <row r="1033">
          <cell r="B1033" t="str">
            <v>В-22057/КЛ.Транш - 2</v>
          </cell>
          <cell r="D1033">
            <v>89144493888</v>
          </cell>
          <cell r="F1033">
            <v>79144493888</v>
          </cell>
        </row>
        <row r="1034">
          <cell r="B1034" t="str">
            <v>В-22057/КЛ.Транш - 1</v>
          </cell>
          <cell r="D1034">
            <v>89144493888</v>
          </cell>
          <cell r="F1034">
            <v>79144493888</v>
          </cell>
        </row>
        <row r="1035">
          <cell r="B1035" t="str">
            <v>А-03766/АЗ</v>
          </cell>
          <cell r="C1035">
            <v>74953680372</v>
          </cell>
          <cell r="D1035" t="str">
            <v>79251864064, 79104778886</v>
          </cell>
          <cell r="E1035">
            <v>79251864064</v>
          </cell>
        </row>
        <row r="1036">
          <cell r="B1036" t="str">
            <v>В-18366/КЛ.Транш - 1_В-20211230/Ц</v>
          </cell>
          <cell r="D1036">
            <v>79778938956</v>
          </cell>
          <cell r="E1036">
            <v>79776115100</v>
          </cell>
          <cell r="F1036">
            <v>79778938956</v>
          </cell>
        </row>
        <row r="1037">
          <cell r="B1037" t="str">
            <v>В-24967/АЗ</v>
          </cell>
          <cell r="D1037">
            <v>79539115898</v>
          </cell>
          <cell r="F1037">
            <v>79539115898</v>
          </cell>
        </row>
        <row r="1038">
          <cell r="B1038" t="str">
            <v>В-00036/КЭ.Транш - 2</v>
          </cell>
        </row>
        <row r="1039">
          <cell r="B1039" t="str">
            <v>В-00078/КЭ.Транш - 1</v>
          </cell>
        </row>
        <row r="1040">
          <cell r="B1040" t="str">
            <v>В-22642/КЛ.Транш - 1</v>
          </cell>
          <cell r="D1040">
            <v>79773803362</v>
          </cell>
          <cell r="F1040">
            <v>79773803362</v>
          </cell>
        </row>
        <row r="1041">
          <cell r="B1041" t="str">
            <v>В-23919/КЛ.Транш - 1</v>
          </cell>
          <cell r="D1041">
            <v>89194867647</v>
          </cell>
          <cell r="F1041">
            <v>79194867647</v>
          </cell>
        </row>
        <row r="1042">
          <cell r="B1042" t="str">
            <v>В-26357/АЗ</v>
          </cell>
          <cell r="D1042">
            <v>89162142226</v>
          </cell>
        </row>
        <row r="1043">
          <cell r="B1043" t="str">
            <v>В-20546/КЛ.Транш - 1</v>
          </cell>
          <cell r="D1043">
            <v>79601579694</v>
          </cell>
          <cell r="F1043">
            <v>79601579694</v>
          </cell>
        </row>
        <row r="1044">
          <cell r="B1044" t="str">
            <v>В-26394/АЗ</v>
          </cell>
          <cell r="D1044">
            <v>79162142227</v>
          </cell>
        </row>
        <row r="1045">
          <cell r="B1045" t="str">
            <v>В-19585/КЛ.Транш - 1</v>
          </cell>
          <cell r="D1045">
            <v>79045527952</v>
          </cell>
          <cell r="F1045">
            <v>79045527952</v>
          </cell>
        </row>
        <row r="1046">
          <cell r="B1046" t="str">
            <v>В-08391/КЛ.Транш - 1_В-20211230/Ц</v>
          </cell>
          <cell r="D1046">
            <v>89773531063</v>
          </cell>
          <cell r="F1046">
            <v>79773531063</v>
          </cell>
        </row>
        <row r="1047">
          <cell r="B1047" t="str">
            <v>В-16100/КЛ.Транш - 1</v>
          </cell>
          <cell r="D1047">
            <v>79773815084</v>
          </cell>
          <cell r="F1047">
            <v>79773815084</v>
          </cell>
        </row>
        <row r="1048">
          <cell r="B1048" t="str">
            <v>В-14415/КЛ.Транш - 1</v>
          </cell>
          <cell r="D1048">
            <v>79282138735</v>
          </cell>
          <cell r="F1048">
            <v>79282138735</v>
          </cell>
        </row>
        <row r="1049">
          <cell r="B1049" t="str">
            <v>В-23066/КЛ.Транш - 1</v>
          </cell>
          <cell r="D1049">
            <v>89873510687</v>
          </cell>
          <cell r="F1049">
            <v>79873510687</v>
          </cell>
        </row>
        <row r="1050">
          <cell r="B1050" t="str">
            <v>В-10123/КЛ.Транш - 8_В-20211230/Ц</v>
          </cell>
          <cell r="D1050">
            <v>79200261961</v>
          </cell>
          <cell r="F1050">
            <v>79308049905</v>
          </cell>
        </row>
        <row r="1051">
          <cell r="B1051" t="str">
            <v>В-10123/КЛ.Транш - 6_В-20211230/Ц</v>
          </cell>
          <cell r="D1051">
            <v>79200261961</v>
          </cell>
          <cell r="F1051">
            <v>79308049905</v>
          </cell>
        </row>
        <row r="1052">
          <cell r="B1052" t="str">
            <v>В-10123/КЛ.Транш - 9_В-20211230/Ц</v>
          </cell>
          <cell r="D1052">
            <v>79200261961</v>
          </cell>
          <cell r="F1052">
            <v>79308049905</v>
          </cell>
        </row>
        <row r="1053">
          <cell r="B1053" t="str">
            <v>В-00175/АЗ_Т-20211028/Ц</v>
          </cell>
          <cell r="D1053">
            <v>89653185028</v>
          </cell>
          <cell r="F1053">
            <v>79653185028</v>
          </cell>
        </row>
        <row r="1054">
          <cell r="B1054" t="str">
            <v>В-02961/КЛ.Транш - 1</v>
          </cell>
          <cell r="D1054">
            <v>79031255661</v>
          </cell>
          <cell r="F1054">
            <v>79031255661</v>
          </cell>
        </row>
        <row r="1055">
          <cell r="B1055" t="str">
            <v>В-16037/КЛ.Транш - 1</v>
          </cell>
          <cell r="D1055">
            <v>79650654438</v>
          </cell>
          <cell r="E1055">
            <v>79650654438</v>
          </cell>
          <cell r="F1055">
            <v>79650654438</v>
          </cell>
        </row>
        <row r="1056">
          <cell r="B1056" t="str">
            <v>В-16037/КЛ.Транш - 2</v>
          </cell>
          <cell r="D1056">
            <v>79650654438</v>
          </cell>
          <cell r="E1056">
            <v>79650654438</v>
          </cell>
          <cell r="F1056">
            <v>79650654438</v>
          </cell>
        </row>
        <row r="1057">
          <cell r="B1057" t="str">
            <v>В-12000/КЛ.Транш - 1</v>
          </cell>
          <cell r="E1057">
            <v>79508600535</v>
          </cell>
          <cell r="F1057">
            <v>79289013232</v>
          </cell>
        </row>
        <row r="1058">
          <cell r="B1058" t="str">
            <v>В-16242/КЛ.Транш - 2</v>
          </cell>
          <cell r="C1058">
            <v>74954938752</v>
          </cell>
          <cell r="D1058">
            <v>79167906097</v>
          </cell>
          <cell r="F1058">
            <v>79167906097</v>
          </cell>
        </row>
        <row r="1059">
          <cell r="B1059" t="str">
            <v>В-19025/КЛ.Транш - 1_В-20211230/Ц</v>
          </cell>
          <cell r="D1059">
            <v>79960475545</v>
          </cell>
          <cell r="F1059">
            <v>79960475545</v>
          </cell>
        </row>
        <row r="1060">
          <cell r="B1060" t="str">
            <v>В-00814/АЗ</v>
          </cell>
          <cell r="D1060">
            <v>79811985778</v>
          </cell>
          <cell r="F1060">
            <v>79811985778</v>
          </cell>
        </row>
        <row r="1061">
          <cell r="B1061" t="str">
            <v>А-04950/АЗ</v>
          </cell>
          <cell r="D1061">
            <v>79851677250</v>
          </cell>
          <cell r="E1061">
            <v>79851677250</v>
          </cell>
        </row>
        <row r="1062">
          <cell r="B1062" t="str">
            <v>В-14837/КЛ.Транш - 1</v>
          </cell>
          <cell r="D1062">
            <v>89272017750</v>
          </cell>
          <cell r="F1062">
            <v>79272017750</v>
          </cell>
        </row>
        <row r="1063">
          <cell r="B1063" t="str">
            <v>В-18163/КЛ.Транш - 1</v>
          </cell>
          <cell r="D1063">
            <v>89850889987</v>
          </cell>
          <cell r="F1063">
            <v>79850889987</v>
          </cell>
        </row>
        <row r="1064">
          <cell r="B1064" t="str">
            <v>В-26170/КЛ.Транш - 1</v>
          </cell>
          <cell r="D1064">
            <v>79234700010</v>
          </cell>
          <cell r="F1064">
            <v>79234700010</v>
          </cell>
        </row>
        <row r="1065">
          <cell r="B1065" t="str">
            <v>А-04910/АЗ_А-20200626/Ц</v>
          </cell>
          <cell r="C1065">
            <v>74991711619</v>
          </cell>
          <cell r="D1065">
            <v>79166000550</v>
          </cell>
          <cell r="E1065">
            <v>79166000550</v>
          </cell>
        </row>
        <row r="1066">
          <cell r="B1066" t="str">
            <v>В-13528/КЛ.Транш - 1</v>
          </cell>
          <cell r="D1066">
            <v>89167504349</v>
          </cell>
          <cell r="F1066">
            <v>79259119530</v>
          </cell>
        </row>
        <row r="1067">
          <cell r="B1067" t="str">
            <v>В-13528/КЛ.Транш - 2</v>
          </cell>
          <cell r="D1067">
            <v>89167504349</v>
          </cell>
          <cell r="F1067">
            <v>79259119530</v>
          </cell>
        </row>
        <row r="1068">
          <cell r="B1068" t="str">
            <v>В-13528/КЛ.Транш - 3</v>
          </cell>
          <cell r="D1068">
            <v>89167504349</v>
          </cell>
          <cell r="F1068">
            <v>79259119530</v>
          </cell>
        </row>
        <row r="1069">
          <cell r="B1069" t="str">
            <v>В-01109/АЗ</v>
          </cell>
          <cell r="D1069">
            <v>79067385873</v>
          </cell>
          <cell r="F1069">
            <v>79067385873</v>
          </cell>
        </row>
        <row r="1070">
          <cell r="B1070" t="str">
            <v>В-01099/АЗ</v>
          </cell>
          <cell r="D1070">
            <v>79067385873</v>
          </cell>
          <cell r="F1070">
            <v>79067385873</v>
          </cell>
        </row>
        <row r="1071">
          <cell r="B1071" t="str">
            <v>В-07072/КЛ.Транш - 3</v>
          </cell>
          <cell r="D1071">
            <v>79161282203</v>
          </cell>
          <cell r="F1071">
            <v>79161282203</v>
          </cell>
        </row>
        <row r="1072">
          <cell r="B1072" t="str">
            <v>В-07072/КЛ.Транш - 1</v>
          </cell>
          <cell r="D1072">
            <v>79161282203</v>
          </cell>
          <cell r="F1072">
            <v>79161282203</v>
          </cell>
        </row>
        <row r="1073">
          <cell r="B1073" t="str">
            <v>В-07072/КЛ.Транш - 2</v>
          </cell>
          <cell r="D1073">
            <v>79161282203</v>
          </cell>
          <cell r="F1073">
            <v>79161282203</v>
          </cell>
        </row>
        <row r="1074">
          <cell r="B1074" t="str">
            <v>В-21219/КЛ.Транш - 1_В-20211230/Ц</v>
          </cell>
          <cell r="D1074">
            <v>79089505301</v>
          </cell>
          <cell r="F1074">
            <v>79089505301</v>
          </cell>
        </row>
        <row r="1075">
          <cell r="B1075" t="str">
            <v>В-18237/КЛ.Транш - 1_В-20211230/Ц</v>
          </cell>
          <cell r="D1075">
            <v>79627707262</v>
          </cell>
          <cell r="F1075">
            <v>79627707262</v>
          </cell>
        </row>
        <row r="1076">
          <cell r="B1076" t="str">
            <v>В-26950/КЛ.Транш - 1</v>
          </cell>
          <cell r="D1076">
            <v>79605632818</v>
          </cell>
          <cell r="F1076">
            <v>79605632818</v>
          </cell>
        </row>
        <row r="1077">
          <cell r="B1077" t="str">
            <v>В-24037/КЛ.Транш - 1</v>
          </cell>
          <cell r="D1077">
            <v>79233395323</v>
          </cell>
          <cell r="F1077">
            <v>79233395323</v>
          </cell>
        </row>
        <row r="1078">
          <cell r="B1078" t="str">
            <v>В-12294/КЛ.Транш - 1</v>
          </cell>
          <cell r="D1078">
            <v>79162703135</v>
          </cell>
          <cell r="F1078">
            <v>79162703135</v>
          </cell>
        </row>
        <row r="1079">
          <cell r="B1079" t="str">
            <v>В-00766/АЗ</v>
          </cell>
          <cell r="C1079">
            <v>84953430946</v>
          </cell>
          <cell r="D1079">
            <v>89099928726</v>
          </cell>
          <cell r="F1079">
            <v>79099928726</v>
          </cell>
        </row>
        <row r="1080">
          <cell r="B1080" t="str">
            <v>В-01196/АЗ</v>
          </cell>
          <cell r="D1080">
            <v>79643323292</v>
          </cell>
          <cell r="F1080">
            <v>79643323292</v>
          </cell>
        </row>
        <row r="1081">
          <cell r="B1081" t="str">
            <v>В-01174/КЛ.Транш - 1</v>
          </cell>
          <cell r="D1081">
            <v>79216364069</v>
          </cell>
          <cell r="F1081">
            <v>79216364069</v>
          </cell>
        </row>
        <row r="1082">
          <cell r="B1082" t="str">
            <v>В-10027/КЭ.Транш - 1</v>
          </cell>
        </row>
        <row r="1083">
          <cell r="B1083" t="str">
            <v>В-00030/КЭ.Транш - 1</v>
          </cell>
        </row>
        <row r="1084">
          <cell r="B1084" t="str">
            <v>В-16432/КЛ.Транш - 1</v>
          </cell>
          <cell r="D1084">
            <v>79268813850</v>
          </cell>
          <cell r="F1084">
            <v>79268813850</v>
          </cell>
        </row>
        <row r="1085">
          <cell r="B1085" t="str">
            <v>В-15138/КЛ.Транш - 1</v>
          </cell>
          <cell r="D1085">
            <v>79111600980</v>
          </cell>
          <cell r="F1085">
            <v>79111600980</v>
          </cell>
        </row>
        <row r="1086">
          <cell r="B1086" t="str">
            <v>В-27434/КЛ.Транш - 1</v>
          </cell>
          <cell r="D1086">
            <v>79197761777</v>
          </cell>
        </row>
        <row r="1087">
          <cell r="B1087" t="str">
            <v>В-00355/АЗ</v>
          </cell>
          <cell r="D1087">
            <v>79312169844</v>
          </cell>
          <cell r="F1087">
            <v>79312169844</v>
          </cell>
        </row>
        <row r="1088">
          <cell r="B1088" t="str">
            <v>В-05253/КЛ.Транш - 4</v>
          </cell>
          <cell r="D1088">
            <v>89261760120</v>
          </cell>
          <cell r="F1088">
            <v>79261760120</v>
          </cell>
        </row>
        <row r="1089">
          <cell r="B1089" t="str">
            <v>В-15391/КЛ.Транш - 4</v>
          </cell>
          <cell r="D1089">
            <v>79623235380</v>
          </cell>
          <cell r="F1089">
            <v>79623235380</v>
          </cell>
        </row>
        <row r="1090">
          <cell r="B1090" t="str">
            <v>В-15391/КЛ.Транш - 3</v>
          </cell>
          <cell r="D1090">
            <v>79623235380</v>
          </cell>
          <cell r="F1090">
            <v>79623235380</v>
          </cell>
        </row>
        <row r="1091">
          <cell r="B1091" t="str">
            <v>В-15391/КЛ.Транш - 6</v>
          </cell>
          <cell r="D1091">
            <v>79623235380</v>
          </cell>
          <cell r="F1091">
            <v>79623235380</v>
          </cell>
        </row>
        <row r="1092">
          <cell r="B1092" t="str">
            <v>В-15391/КЛ.Транш - 5</v>
          </cell>
          <cell r="D1092">
            <v>79623235380</v>
          </cell>
          <cell r="F1092">
            <v>79623235380</v>
          </cell>
        </row>
        <row r="1093">
          <cell r="B1093" t="str">
            <v>В-15391/КЛ.Транш - 2</v>
          </cell>
          <cell r="D1093">
            <v>79623235380</v>
          </cell>
          <cell r="F1093">
            <v>79623235380</v>
          </cell>
        </row>
        <row r="1094">
          <cell r="B1094" t="str">
            <v>В-27421/КЛ.Транш - 1</v>
          </cell>
          <cell r="D1094">
            <v>79100899299</v>
          </cell>
        </row>
        <row r="1095">
          <cell r="B1095" t="str">
            <v>В-11605/КЛ.Транш - 1</v>
          </cell>
          <cell r="D1095">
            <v>89036514804</v>
          </cell>
          <cell r="F1095">
            <v>79036514804</v>
          </cell>
        </row>
        <row r="1096">
          <cell r="B1096" t="str">
            <v>В-19464/КЛ.Транш - 1</v>
          </cell>
          <cell r="D1096">
            <v>79096780569</v>
          </cell>
          <cell r="F1096">
            <v>79096780569</v>
          </cell>
        </row>
        <row r="1097">
          <cell r="B1097" t="str">
            <v>В-19504/КЛ.Транш - 1</v>
          </cell>
          <cell r="D1097">
            <v>79164624485</v>
          </cell>
          <cell r="E1097">
            <v>79164624485</v>
          </cell>
          <cell r="F1097">
            <v>79258805062</v>
          </cell>
        </row>
        <row r="1098">
          <cell r="B1098" t="str">
            <v>В-24841/КЛ.Транш - 1</v>
          </cell>
          <cell r="D1098">
            <v>79992164924</v>
          </cell>
          <cell r="F1098">
            <v>79992164924</v>
          </cell>
        </row>
        <row r="1099">
          <cell r="B1099" t="str">
            <v>В-04293/КЛ.Транш - 1_В-20211230/Ц</v>
          </cell>
          <cell r="D1099">
            <v>79099559554</v>
          </cell>
          <cell r="F1099">
            <v>79099559554</v>
          </cell>
        </row>
        <row r="1100">
          <cell r="B1100" t="str">
            <v>В-15280/КЛ.Транш - 1</v>
          </cell>
          <cell r="D1100">
            <v>79652960111</v>
          </cell>
          <cell r="F1100">
            <v>79652960111</v>
          </cell>
        </row>
        <row r="1101">
          <cell r="B1101" t="str">
            <v>В-00622/АЗ_Т-20211028/Ц</v>
          </cell>
          <cell r="D1101">
            <v>79182011137</v>
          </cell>
        </row>
        <row r="1102">
          <cell r="B1102" t="str">
            <v>В-01176/АЗ_В-20211230/Ц</v>
          </cell>
          <cell r="D1102">
            <v>79296539667</v>
          </cell>
          <cell r="F1102">
            <v>79296539667</v>
          </cell>
        </row>
        <row r="1103">
          <cell r="B1103" t="str">
            <v>В-07093/КЛ.Транш - 6</v>
          </cell>
          <cell r="D1103">
            <v>79119671372</v>
          </cell>
          <cell r="F1103">
            <v>79119671372</v>
          </cell>
        </row>
        <row r="1104">
          <cell r="B1104" t="str">
            <v>В-26247/КЛ.Транш - 1</v>
          </cell>
          <cell r="D1104">
            <v>79805323834</v>
          </cell>
        </row>
        <row r="1105">
          <cell r="B1105" t="str">
            <v>В-03615/КЛ.Транш - 1</v>
          </cell>
          <cell r="C1105">
            <v>74953042437</v>
          </cell>
          <cell r="D1105">
            <v>79060744144</v>
          </cell>
          <cell r="F1105">
            <v>79060744144</v>
          </cell>
        </row>
        <row r="1106">
          <cell r="B1106" t="str">
            <v>А-00466/КЭ.Транш - 1</v>
          </cell>
        </row>
        <row r="1107">
          <cell r="B1107" t="str">
            <v>В-22386/КЛ.Транш - 1</v>
          </cell>
          <cell r="D1107">
            <v>89166701820</v>
          </cell>
          <cell r="F1107">
            <v>79166701820</v>
          </cell>
        </row>
        <row r="1108">
          <cell r="B1108" t="str">
            <v>В-22386/КЛ.Транш - 3</v>
          </cell>
          <cell r="D1108">
            <v>89166701820</v>
          </cell>
          <cell r="F1108">
            <v>79166701820</v>
          </cell>
        </row>
        <row r="1109">
          <cell r="B1109" t="str">
            <v>В-22386/КЛ.Транш - 5</v>
          </cell>
          <cell r="D1109">
            <v>89166701820</v>
          </cell>
          <cell r="F1109">
            <v>79166701820</v>
          </cell>
        </row>
        <row r="1110">
          <cell r="B1110" t="str">
            <v>В-22386/КЛ.Транш - 2</v>
          </cell>
          <cell r="D1110">
            <v>89166701820</v>
          </cell>
          <cell r="F1110">
            <v>79166701820</v>
          </cell>
        </row>
        <row r="1111">
          <cell r="B1111" t="str">
            <v>В-22386/КЛ.Транш - 4</v>
          </cell>
          <cell r="D1111">
            <v>89166701820</v>
          </cell>
          <cell r="F1111">
            <v>79166701820</v>
          </cell>
        </row>
        <row r="1112">
          <cell r="B1112" t="str">
            <v>В-20497/КЛ.Транш - 1</v>
          </cell>
          <cell r="D1112">
            <v>79057123553</v>
          </cell>
          <cell r="F1112">
            <v>79057123553</v>
          </cell>
        </row>
        <row r="1113">
          <cell r="B1113" t="str">
            <v>В-20497/КЛ.Транш - 2</v>
          </cell>
          <cell r="D1113">
            <v>79057123553</v>
          </cell>
          <cell r="F1113">
            <v>79057123553</v>
          </cell>
        </row>
        <row r="1114">
          <cell r="B1114" t="str">
            <v>В-26816/КЛ.Транш - 1</v>
          </cell>
          <cell r="D1114">
            <v>79883677666</v>
          </cell>
        </row>
        <row r="1115">
          <cell r="B1115" t="str">
            <v>В-25098/КЛ.Транш - 1</v>
          </cell>
          <cell r="D1115">
            <v>79779376497</v>
          </cell>
          <cell r="F1115">
            <v>79779376497</v>
          </cell>
        </row>
        <row r="1116">
          <cell r="B1116" t="str">
            <v>В-19475/КЛ.Транш - 1</v>
          </cell>
          <cell r="D1116">
            <v>79164732470</v>
          </cell>
          <cell r="F1116">
            <v>79164732470</v>
          </cell>
        </row>
        <row r="1117">
          <cell r="B1117" t="str">
            <v>В-12368/КЛ.Транш - 1</v>
          </cell>
          <cell r="D1117">
            <v>79516642080</v>
          </cell>
          <cell r="F1117">
            <v>79516642080</v>
          </cell>
        </row>
        <row r="1118">
          <cell r="B1118" t="str">
            <v>В-12525/КЛ.Транш - 1</v>
          </cell>
          <cell r="D1118">
            <v>89377406043</v>
          </cell>
          <cell r="E1118">
            <v>89962330882</v>
          </cell>
          <cell r="F1118">
            <v>79377406043</v>
          </cell>
        </row>
        <row r="1119">
          <cell r="B1119" t="str">
            <v>В-21737/КЛ.Транш - 1</v>
          </cell>
          <cell r="D1119">
            <v>89885265904</v>
          </cell>
          <cell r="F1119">
            <v>79885265904</v>
          </cell>
        </row>
        <row r="1120">
          <cell r="B1120" t="str">
            <v>А-03822/АЗ</v>
          </cell>
          <cell r="D1120">
            <v>79161274311</v>
          </cell>
          <cell r="E1120">
            <v>79161274311</v>
          </cell>
          <cell r="F1120">
            <v>79161274311</v>
          </cell>
        </row>
        <row r="1121">
          <cell r="B1121" t="str">
            <v>В-28329/КЛ.Транш - 1</v>
          </cell>
          <cell r="D1121">
            <v>89004949749</v>
          </cell>
          <cell r="F1121">
            <v>79004949749</v>
          </cell>
        </row>
        <row r="1122">
          <cell r="B1122" t="str">
            <v>В-09795/КЛ.Транш - 1</v>
          </cell>
          <cell r="D1122">
            <v>79883618694</v>
          </cell>
          <cell r="F1122">
            <v>79883618694</v>
          </cell>
        </row>
        <row r="1123">
          <cell r="B1123" t="str">
            <v>В-13828/КЛ.Транш - 1</v>
          </cell>
          <cell r="D1123">
            <v>79652489708</v>
          </cell>
          <cell r="F1123">
            <v>79652489708</v>
          </cell>
        </row>
        <row r="1124">
          <cell r="B1124" t="str">
            <v>А-04352/АЗ</v>
          </cell>
          <cell r="D1124">
            <v>79055595757</v>
          </cell>
          <cell r="E1124">
            <v>79055595757</v>
          </cell>
          <cell r="F1124">
            <v>79055595757</v>
          </cell>
        </row>
        <row r="1125">
          <cell r="B1125" t="str">
            <v>В-24883/КЛ.Транш - 1</v>
          </cell>
          <cell r="D1125">
            <v>79774447323</v>
          </cell>
        </row>
        <row r="1126">
          <cell r="B1126" t="str">
            <v>В-24883/КЛ.Транш - 2</v>
          </cell>
          <cell r="D1126">
            <v>79774447323</v>
          </cell>
        </row>
        <row r="1127">
          <cell r="B1127" t="str">
            <v>В-04229/КЛ.Транш - 1_В-20211230/Ц</v>
          </cell>
          <cell r="C1127">
            <v>78125597723</v>
          </cell>
          <cell r="D1127">
            <v>79119240316</v>
          </cell>
          <cell r="F1127">
            <v>79119240316</v>
          </cell>
        </row>
        <row r="1128">
          <cell r="B1128" t="str">
            <v>В-21048/КЛ.Транш - 1</v>
          </cell>
          <cell r="D1128">
            <v>89154833760</v>
          </cell>
          <cell r="F1128">
            <v>79154833760</v>
          </cell>
        </row>
        <row r="1129">
          <cell r="B1129" t="str">
            <v>В-08204/КЛ.Транш - 1</v>
          </cell>
          <cell r="D1129">
            <v>89778088915</v>
          </cell>
          <cell r="F1129">
            <v>79778088915</v>
          </cell>
        </row>
        <row r="1130">
          <cell r="B1130" t="str">
            <v>В-01119/АЗ_А-20210929/Ц</v>
          </cell>
          <cell r="D1130">
            <v>79263597234</v>
          </cell>
          <cell r="F1130">
            <v>79263597234</v>
          </cell>
        </row>
        <row r="1131">
          <cell r="B1131" t="str">
            <v>В-27407/КЛ.Транш - 1</v>
          </cell>
          <cell r="D1131">
            <v>79678209099</v>
          </cell>
        </row>
        <row r="1132">
          <cell r="B1132" t="str">
            <v>В-25593/КЛ.Транш - 1</v>
          </cell>
          <cell r="D1132">
            <v>79000099959</v>
          </cell>
          <cell r="F1132">
            <v>79000099959</v>
          </cell>
        </row>
        <row r="1133">
          <cell r="B1133" t="str">
            <v>В-17062/КЛ.Транш - 3</v>
          </cell>
          <cell r="D1133">
            <v>79524349798</v>
          </cell>
          <cell r="F1133">
            <v>79524349798</v>
          </cell>
        </row>
        <row r="1134">
          <cell r="B1134" t="str">
            <v>В-17062/КЛ.Транш - 1</v>
          </cell>
          <cell r="D1134">
            <v>79524349798</v>
          </cell>
          <cell r="F1134">
            <v>79524349798</v>
          </cell>
        </row>
        <row r="1135">
          <cell r="B1135" t="str">
            <v>В-17062/КЛ.Транш - 2</v>
          </cell>
          <cell r="D1135">
            <v>79524349798</v>
          </cell>
          <cell r="F1135">
            <v>79524349798</v>
          </cell>
        </row>
        <row r="1136">
          <cell r="B1136" t="str">
            <v>В-00469/АЗ_В-20211230/Ц</v>
          </cell>
          <cell r="D1136">
            <v>79680000208</v>
          </cell>
          <cell r="F1136">
            <v>79680000208</v>
          </cell>
        </row>
        <row r="1137">
          <cell r="B1137" t="str">
            <v>В-13104/КЛ.Транш - 1</v>
          </cell>
          <cell r="D1137">
            <v>79998936010</v>
          </cell>
          <cell r="F1137">
            <v>79998936010</v>
          </cell>
        </row>
        <row r="1138">
          <cell r="B1138" t="str">
            <v>В-18757/КЛ.Транш - 1</v>
          </cell>
          <cell r="D1138">
            <v>79265656981</v>
          </cell>
          <cell r="F1138">
            <v>79265656981</v>
          </cell>
        </row>
        <row r="1139">
          <cell r="B1139" t="str">
            <v>В-23728/КЛ.Транш - 1</v>
          </cell>
          <cell r="D1139">
            <v>79286075151</v>
          </cell>
          <cell r="F1139">
            <v>79286075151</v>
          </cell>
        </row>
        <row r="1140">
          <cell r="B1140" t="str">
            <v>А-04022/АЗ</v>
          </cell>
          <cell r="D1140">
            <v>79060615035</v>
          </cell>
          <cell r="E1140">
            <v>79060615035</v>
          </cell>
          <cell r="F1140">
            <v>79060615035</v>
          </cell>
        </row>
        <row r="1141">
          <cell r="B1141" t="str">
            <v>В-05425/КЛ.Транш - 1_В-20211230/Ц</v>
          </cell>
          <cell r="D1141">
            <v>79031617299</v>
          </cell>
          <cell r="F1141">
            <v>79031617299</v>
          </cell>
        </row>
        <row r="1142">
          <cell r="B1142" t="str">
            <v>В-05425/КЛ.Транш - 2_В-20211230/Ц</v>
          </cell>
          <cell r="D1142">
            <v>79031617299</v>
          </cell>
          <cell r="F1142">
            <v>79031617299</v>
          </cell>
        </row>
        <row r="1143">
          <cell r="B1143" t="str">
            <v>В-27878/АЗ</v>
          </cell>
          <cell r="D1143">
            <v>79251004250</v>
          </cell>
        </row>
        <row r="1144">
          <cell r="B1144" t="str">
            <v>В-20205/КЛ.Транш - 1</v>
          </cell>
          <cell r="D1144">
            <v>79787675480</v>
          </cell>
          <cell r="F1144">
            <v>79787675480</v>
          </cell>
        </row>
        <row r="1145">
          <cell r="B1145" t="str">
            <v>В-15682/КЛ.Транш - 1</v>
          </cell>
          <cell r="D1145">
            <v>79287785494</v>
          </cell>
          <cell r="F1145">
            <v>79287785494</v>
          </cell>
        </row>
        <row r="1146">
          <cell r="B1146" t="str">
            <v>В-17910/КЛ.Транш - 1</v>
          </cell>
          <cell r="D1146">
            <v>79781440760</v>
          </cell>
          <cell r="F1146">
            <v>79781440760</v>
          </cell>
        </row>
        <row r="1147">
          <cell r="B1147" t="str">
            <v>В-24521/КЛ.Транш - 1</v>
          </cell>
          <cell r="D1147">
            <v>79297750693</v>
          </cell>
          <cell r="F1147">
            <v>79297750693</v>
          </cell>
        </row>
        <row r="1148">
          <cell r="B1148" t="str">
            <v>Т-01885/АЗ_Т-20211028/Ц</v>
          </cell>
          <cell r="D1148">
            <v>79017013028</v>
          </cell>
          <cell r="F1148">
            <v>79017013028</v>
          </cell>
        </row>
        <row r="1149">
          <cell r="B1149" t="str">
            <v>В-06379/КЛ.Транш - 1</v>
          </cell>
          <cell r="D1149">
            <v>79169482628</v>
          </cell>
          <cell r="F1149">
            <v>79169482628</v>
          </cell>
        </row>
        <row r="1150">
          <cell r="B1150" t="str">
            <v>В-23424/КЛ.Транш - 1</v>
          </cell>
          <cell r="D1150">
            <v>79250690887</v>
          </cell>
          <cell r="F1150">
            <v>79250690887</v>
          </cell>
        </row>
        <row r="1151">
          <cell r="B1151" t="str">
            <v>В-12226/КЛ.Транш - 2</v>
          </cell>
          <cell r="D1151">
            <v>79253755716</v>
          </cell>
          <cell r="F1151">
            <v>79253755716</v>
          </cell>
        </row>
        <row r="1152">
          <cell r="B1152" t="str">
            <v>В-12276/КЛ.Транш - 2</v>
          </cell>
          <cell r="D1152">
            <v>79661762288</v>
          </cell>
          <cell r="F1152">
            <v>79661762288</v>
          </cell>
        </row>
        <row r="1153">
          <cell r="B1153" t="str">
            <v>В-19326/КЛ.Транш - 1</v>
          </cell>
          <cell r="C1153">
            <v>84954697777</v>
          </cell>
          <cell r="D1153">
            <v>89857667306</v>
          </cell>
          <cell r="F1153">
            <v>79857667306</v>
          </cell>
        </row>
        <row r="1154">
          <cell r="B1154" t="str">
            <v>В-17417/КЛ.Транш - 1</v>
          </cell>
          <cell r="D1154">
            <v>79689084760</v>
          </cell>
          <cell r="F1154">
            <v>79689084760</v>
          </cell>
        </row>
        <row r="1155">
          <cell r="B1155" t="str">
            <v>В-26452/КЛ.Транш - 1</v>
          </cell>
          <cell r="D1155">
            <v>79287712977</v>
          </cell>
        </row>
        <row r="1156">
          <cell r="B1156" t="str">
            <v>В-01061/АЗ</v>
          </cell>
          <cell r="E1156">
            <v>89778849297</v>
          </cell>
          <cell r="F1156">
            <v>79778849297</v>
          </cell>
        </row>
        <row r="1157">
          <cell r="B1157" t="str">
            <v>В-00147/АЗ_Т-20211028/Ц</v>
          </cell>
          <cell r="D1157">
            <v>89263554908</v>
          </cell>
          <cell r="F1157">
            <v>79263554908</v>
          </cell>
        </row>
        <row r="1158">
          <cell r="B1158" t="str">
            <v>В-16457/КЛ.Транш - 1_В-20211230/Ц</v>
          </cell>
          <cell r="D1158">
            <v>79785055075</v>
          </cell>
          <cell r="F1158">
            <v>79785055075</v>
          </cell>
        </row>
        <row r="1159">
          <cell r="B1159" t="str">
            <v>В-22309/АЗ</v>
          </cell>
          <cell r="D1159">
            <v>79051187073</v>
          </cell>
        </row>
        <row r="1160">
          <cell r="B1160" t="str">
            <v>В-11892/КЛ.Транш - 1_А-20210929/Ц</v>
          </cell>
          <cell r="E1160">
            <v>79299604520</v>
          </cell>
        </row>
        <row r="1161">
          <cell r="B1161" t="str">
            <v>В-23085/КЛ.Транш - 1</v>
          </cell>
          <cell r="D1161">
            <v>89246288617</v>
          </cell>
          <cell r="F1161">
            <v>79246288617</v>
          </cell>
        </row>
        <row r="1162">
          <cell r="B1162" t="str">
            <v>А-05130/АЗ</v>
          </cell>
          <cell r="D1162">
            <v>79169207370</v>
          </cell>
          <cell r="E1162">
            <v>79169207370</v>
          </cell>
        </row>
        <row r="1163">
          <cell r="B1163" t="str">
            <v>В-19949/КЛ.Транш - 1</v>
          </cell>
          <cell r="D1163">
            <v>79012783847</v>
          </cell>
          <cell r="F1163">
            <v>79012783847</v>
          </cell>
        </row>
        <row r="1164">
          <cell r="B1164" t="str">
            <v>В-09649/КЛ.Транш - 1</v>
          </cell>
          <cell r="D1164">
            <v>79321138882</v>
          </cell>
          <cell r="F1164">
            <v>79321138882</v>
          </cell>
        </row>
        <row r="1165">
          <cell r="B1165" t="str">
            <v>В-07520/КЛ.Транш - 2</v>
          </cell>
          <cell r="D1165">
            <v>79254693138</v>
          </cell>
          <cell r="F1165">
            <v>79254693138</v>
          </cell>
        </row>
        <row r="1166">
          <cell r="B1166" t="str">
            <v>В-07559/КЛ.Транш - 1</v>
          </cell>
          <cell r="D1166">
            <v>79688871144</v>
          </cell>
          <cell r="F1166">
            <v>79688871144</v>
          </cell>
        </row>
        <row r="1167">
          <cell r="B1167" t="str">
            <v>В-07559/КЛ.Транш - 4</v>
          </cell>
          <cell r="D1167">
            <v>79688871144</v>
          </cell>
          <cell r="F1167">
            <v>79688871144</v>
          </cell>
        </row>
        <row r="1168">
          <cell r="B1168" t="str">
            <v>В-07559/КЛ.Транш - 3</v>
          </cell>
          <cell r="D1168">
            <v>79688871144</v>
          </cell>
          <cell r="F1168">
            <v>79688871144</v>
          </cell>
        </row>
        <row r="1169">
          <cell r="B1169" t="str">
            <v>В-07559/КЛ.Транш - 5</v>
          </cell>
          <cell r="D1169">
            <v>79688871144</v>
          </cell>
          <cell r="F1169">
            <v>79688871144</v>
          </cell>
        </row>
        <row r="1170">
          <cell r="B1170" t="str">
            <v>В-13742/КЛ.Транш - 1</v>
          </cell>
          <cell r="D1170">
            <v>79688618888</v>
          </cell>
          <cell r="E1170">
            <v>79150088880</v>
          </cell>
          <cell r="F1170">
            <v>79150088880</v>
          </cell>
        </row>
        <row r="1171">
          <cell r="B1171" t="str">
            <v>В-24878/КЛ.Транш - 1</v>
          </cell>
          <cell r="D1171">
            <v>79093328822</v>
          </cell>
          <cell r="F1171">
            <v>79093328822</v>
          </cell>
        </row>
        <row r="1172">
          <cell r="B1172" t="str">
            <v>В-01875/КЛ.Транш - 1</v>
          </cell>
          <cell r="D1172">
            <v>79219419812</v>
          </cell>
          <cell r="F1172">
            <v>79219419812</v>
          </cell>
        </row>
        <row r="1173">
          <cell r="B1173" t="str">
            <v>В-01165/АЗ</v>
          </cell>
          <cell r="D1173">
            <v>79117752939</v>
          </cell>
          <cell r="F1173">
            <v>79117752939</v>
          </cell>
        </row>
        <row r="1174">
          <cell r="B1174" t="str">
            <v>В-13185/КЛ.Транш - 1</v>
          </cell>
          <cell r="C1174">
            <v>74956119452</v>
          </cell>
          <cell r="D1174">
            <v>79258338745</v>
          </cell>
          <cell r="E1174">
            <v>79258338745</v>
          </cell>
          <cell r="F1174">
            <v>79258338745</v>
          </cell>
        </row>
        <row r="1175">
          <cell r="B1175" t="str">
            <v>В-15091/КЛ.Транш - 3</v>
          </cell>
          <cell r="D1175">
            <v>79263046300</v>
          </cell>
          <cell r="F1175">
            <v>79263046300</v>
          </cell>
        </row>
        <row r="1176">
          <cell r="B1176" t="str">
            <v>В-22052/КЛ.Транш - 2</v>
          </cell>
          <cell r="D1176">
            <v>79165312594</v>
          </cell>
          <cell r="F1176">
            <v>79165312594</v>
          </cell>
        </row>
        <row r="1177">
          <cell r="B1177" t="str">
            <v>В-22052/КЛ.Транш - 1</v>
          </cell>
          <cell r="D1177">
            <v>79165312594</v>
          </cell>
          <cell r="F1177">
            <v>79165312594</v>
          </cell>
        </row>
        <row r="1178">
          <cell r="B1178" t="str">
            <v>В-19425/КЛ.Транш - 1</v>
          </cell>
          <cell r="D1178">
            <v>79152571893</v>
          </cell>
          <cell r="F1178">
            <v>79152571893</v>
          </cell>
        </row>
        <row r="1179">
          <cell r="B1179" t="str">
            <v>В-27065/АЗ</v>
          </cell>
          <cell r="D1179">
            <v>79877848924</v>
          </cell>
        </row>
        <row r="1180">
          <cell r="B1180" t="str">
            <v>В-17785/КЛ.Транш - 1</v>
          </cell>
          <cell r="D1180">
            <v>79657591464</v>
          </cell>
          <cell r="F1180">
            <v>79657591464</v>
          </cell>
        </row>
        <row r="1181">
          <cell r="B1181" t="str">
            <v>В-00239/КЛ.Транш - 1</v>
          </cell>
          <cell r="D1181">
            <v>89998833823</v>
          </cell>
          <cell r="F1181">
            <v>79998833823</v>
          </cell>
        </row>
        <row r="1182">
          <cell r="B1182" t="str">
            <v>А-03942/АЗ</v>
          </cell>
          <cell r="D1182">
            <v>79057624635</v>
          </cell>
          <cell r="E1182">
            <v>79057624635</v>
          </cell>
          <cell r="F1182">
            <v>79057624635</v>
          </cell>
        </row>
        <row r="1183">
          <cell r="B1183" t="str">
            <v>В-03585/КЛ.Транш - 1</v>
          </cell>
          <cell r="D1183">
            <v>89169376628</v>
          </cell>
          <cell r="F1183">
            <v>79169376628</v>
          </cell>
        </row>
        <row r="1184">
          <cell r="B1184" t="str">
            <v>Т-01935/АЗ_Т-20210920/Ц</v>
          </cell>
          <cell r="D1184">
            <v>79165890435</v>
          </cell>
          <cell r="F1184">
            <v>79165890435</v>
          </cell>
        </row>
        <row r="1185">
          <cell r="B1185" t="str">
            <v>В-00963/АЗ</v>
          </cell>
          <cell r="D1185">
            <v>79165890435</v>
          </cell>
          <cell r="F1185">
            <v>79165890435</v>
          </cell>
        </row>
        <row r="1186">
          <cell r="B1186" t="str">
            <v>А-05463/АЗ_А-20210920/Ц</v>
          </cell>
          <cell r="D1186">
            <v>79165890435</v>
          </cell>
          <cell r="F1186">
            <v>79165890435</v>
          </cell>
        </row>
        <row r="1187">
          <cell r="B1187" t="str">
            <v>В-15532/КЛ.Транш - 1</v>
          </cell>
          <cell r="D1187">
            <v>79009994082</v>
          </cell>
          <cell r="F1187">
            <v>79009994082</v>
          </cell>
        </row>
        <row r="1188">
          <cell r="B1188" t="str">
            <v>В-00557/АЗ</v>
          </cell>
          <cell r="C1188">
            <v>88125521715</v>
          </cell>
          <cell r="D1188">
            <v>89218649897</v>
          </cell>
          <cell r="F1188">
            <v>79218649897</v>
          </cell>
        </row>
        <row r="1189">
          <cell r="B1189" t="str">
            <v>В-16934/КЛ.Транш - 5</v>
          </cell>
          <cell r="D1189">
            <v>79164531259</v>
          </cell>
          <cell r="E1189">
            <v>79853598839</v>
          </cell>
        </row>
        <row r="1190">
          <cell r="B1190" t="str">
            <v>В-16934/КЛ.Транш - 3</v>
          </cell>
          <cell r="D1190">
            <v>79164531259</v>
          </cell>
          <cell r="E1190">
            <v>79853598839</v>
          </cell>
        </row>
        <row r="1191">
          <cell r="B1191" t="str">
            <v>В-16934/КЛ.Транш - 1</v>
          </cell>
          <cell r="D1191">
            <v>79164531259</v>
          </cell>
          <cell r="E1191">
            <v>79853598839</v>
          </cell>
        </row>
        <row r="1192">
          <cell r="B1192" t="str">
            <v>В-16934/КЛ.Транш - 4</v>
          </cell>
          <cell r="D1192">
            <v>79164531259</v>
          </cell>
          <cell r="E1192">
            <v>79853598839</v>
          </cell>
        </row>
        <row r="1193">
          <cell r="B1193" t="str">
            <v>В-00508/АЗ</v>
          </cell>
          <cell r="C1193">
            <v>74956764035</v>
          </cell>
          <cell r="D1193">
            <v>79164441499</v>
          </cell>
          <cell r="F1193">
            <v>79164441499</v>
          </cell>
        </row>
        <row r="1194">
          <cell r="B1194" t="str">
            <v>В-19227/КЛ.Транш - 1</v>
          </cell>
          <cell r="D1194">
            <v>79260461793</v>
          </cell>
          <cell r="F1194">
            <v>79260461793</v>
          </cell>
        </row>
        <row r="1195">
          <cell r="B1195" t="str">
            <v>В-19227/КЛ.Транш - 2</v>
          </cell>
          <cell r="D1195">
            <v>79260461793</v>
          </cell>
          <cell r="F1195">
            <v>79260461793</v>
          </cell>
        </row>
        <row r="1196">
          <cell r="B1196" t="str">
            <v>А-00084/КЭ.Транш - 3</v>
          </cell>
        </row>
        <row r="1197">
          <cell r="B1197" t="str">
            <v>В-00075/КЭ.Транш - 1</v>
          </cell>
        </row>
        <row r="1198">
          <cell r="B1198" t="str">
            <v>В-20458/КЛ.Транш - 1</v>
          </cell>
          <cell r="D1198">
            <v>79787665046</v>
          </cell>
          <cell r="F1198">
            <v>79787665046</v>
          </cell>
        </row>
        <row r="1199">
          <cell r="B1199" t="str">
            <v>В-24612/АЗ</v>
          </cell>
          <cell r="D1199">
            <v>79260298384</v>
          </cell>
          <cell r="F1199">
            <v>79260298384</v>
          </cell>
        </row>
        <row r="1200">
          <cell r="B1200" t="str">
            <v>В-01023/КЛ.Транш - 1</v>
          </cell>
          <cell r="D1200">
            <v>79771055875</v>
          </cell>
          <cell r="F1200">
            <v>79251441260</v>
          </cell>
        </row>
        <row r="1201">
          <cell r="B1201" t="str">
            <v>В-01147/АЗ</v>
          </cell>
          <cell r="D1201">
            <v>79652300400</v>
          </cell>
        </row>
        <row r="1202">
          <cell r="B1202" t="str">
            <v>В-20490/КЛ.Транш - 1</v>
          </cell>
          <cell r="D1202">
            <v>79066640680</v>
          </cell>
          <cell r="F1202">
            <v>79961652949</v>
          </cell>
        </row>
        <row r="1203">
          <cell r="B1203" t="str">
            <v>В-26102/АЗ</v>
          </cell>
          <cell r="D1203">
            <v>79660007770</v>
          </cell>
          <cell r="F1203">
            <v>79660007770</v>
          </cell>
        </row>
        <row r="1204">
          <cell r="B1204" t="str">
            <v>В-07133/КЛ.Транш - 1</v>
          </cell>
          <cell r="D1204">
            <v>79060486688</v>
          </cell>
          <cell r="F1204">
            <v>79060486688</v>
          </cell>
        </row>
        <row r="1205">
          <cell r="B1205" t="str">
            <v>В-07133/КЛ.Транш - 4</v>
          </cell>
          <cell r="D1205">
            <v>79060486688</v>
          </cell>
          <cell r="F1205">
            <v>79060486688</v>
          </cell>
        </row>
        <row r="1206">
          <cell r="B1206" t="str">
            <v>В-08077/КЛ.Транш - 1</v>
          </cell>
          <cell r="D1206">
            <v>79161011366</v>
          </cell>
          <cell r="F1206">
            <v>79161011366</v>
          </cell>
        </row>
        <row r="1207">
          <cell r="B1207" t="str">
            <v>В-01216/КЛ.Транш - 4_В-20211230/Ц</v>
          </cell>
          <cell r="D1207">
            <v>79170925912</v>
          </cell>
          <cell r="F1207">
            <v>79170925912</v>
          </cell>
        </row>
        <row r="1208">
          <cell r="B1208" t="str">
            <v>В-01216/КЛ.Транш - 5_В-20211230/Ц</v>
          </cell>
          <cell r="D1208">
            <v>79170925912</v>
          </cell>
          <cell r="F1208">
            <v>79170925912</v>
          </cell>
        </row>
        <row r="1209">
          <cell r="B1209" t="str">
            <v>В-06411/КЛ.Транш - 1</v>
          </cell>
          <cell r="D1209">
            <v>79032339637</v>
          </cell>
          <cell r="F1209">
            <v>79032339637</v>
          </cell>
        </row>
        <row r="1210">
          <cell r="B1210" t="str">
            <v>В-12483/КЛ.Транш - 1</v>
          </cell>
          <cell r="D1210">
            <v>89163043591</v>
          </cell>
          <cell r="F1210">
            <v>79163043591</v>
          </cell>
        </row>
        <row r="1211">
          <cell r="B1211" t="str">
            <v>В-00102/АЗ</v>
          </cell>
          <cell r="D1211">
            <v>79676666290</v>
          </cell>
          <cell r="F1211">
            <v>79652316060</v>
          </cell>
        </row>
        <row r="1212">
          <cell r="B1212" t="str">
            <v>В-04596/КЛ.Транш - 2</v>
          </cell>
          <cell r="D1212">
            <v>89252005859</v>
          </cell>
          <cell r="F1212">
            <v>79252005859</v>
          </cell>
        </row>
        <row r="1213">
          <cell r="B1213" t="str">
            <v>В-24350/КЛ.Транш - 1</v>
          </cell>
          <cell r="D1213">
            <v>79055340899</v>
          </cell>
          <cell r="F1213">
            <v>89055340899</v>
          </cell>
        </row>
        <row r="1214">
          <cell r="B1214" t="str">
            <v>В-25627/КЛ.Транш - 1</v>
          </cell>
          <cell r="D1214">
            <v>79219073232</v>
          </cell>
          <cell r="F1214">
            <v>79219073237</v>
          </cell>
        </row>
        <row r="1215">
          <cell r="B1215" t="str">
            <v>А-04412/АЗ</v>
          </cell>
          <cell r="D1215">
            <v>79261232390</v>
          </cell>
          <cell r="E1215">
            <v>79261232390</v>
          </cell>
        </row>
        <row r="1216">
          <cell r="B1216" t="str">
            <v>В-17687/КЛ.Транш - 1_В-20211230/Ц</v>
          </cell>
          <cell r="D1216">
            <v>79255580555</v>
          </cell>
          <cell r="F1216">
            <v>79993446050</v>
          </cell>
        </row>
        <row r="1217">
          <cell r="B1217" t="str">
            <v>В-17687/КЛ.Транш - 2_В-20211230/Ц</v>
          </cell>
          <cell r="D1217">
            <v>79255580555</v>
          </cell>
          <cell r="F1217">
            <v>79993446050</v>
          </cell>
        </row>
        <row r="1218">
          <cell r="B1218" t="str">
            <v>В-12167/КЛ.Транш - 1_А-20210929/Ц</v>
          </cell>
          <cell r="C1218">
            <v>79281997644</v>
          </cell>
          <cell r="D1218">
            <v>79081980881</v>
          </cell>
          <cell r="F1218">
            <v>79081980881</v>
          </cell>
        </row>
        <row r="1219">
          <cell r="B1219" t="str">
            <v>В-17199/КЛ.Транш - 3</v>
          </cell>
          <cell r="D1219">
            <v>79036898056</v>
          </cell>
          <cell r="F1219">
            <v>79036898056</v>
          </cell>
        </row>
        <row r="1220">
          <cell r="B1220" t="str">
            <v>В-17199/КЛ.Транш - 2</v>
          </cell>
          <cell r="D1220">
            <v>79036898056</v>
          </cell>
          <cell r="F1220">
            <v>79036898056</v>
          </cell>
        </row>
        <row r="1221">
          <cell r="B1221" t="str">
            <v>В-17199/КЛ.Транш - 1</v>
          </cell>
          <cell r="D1221">
            <v>79036898056</v>
          </cell>
          <cell r="F1221">
            <v>79036898056</v>
          </cell>
        </row>
        <row r="1222">
          <cell r="B1222" t="str">
            <v>В-24261/КЛ.Транш - 1</v>
          </cell>
          <cell r="D1222">
            <v>79964272738</v>
          </cell>
          <cell r="F1222">
            <v>79964272738</v>
          </cell>
        </row>
        <row r="1223">
          <cell r="B1223" t="str">
            <v>В-22912/КЛ.Транш - 1</v>
          </cell>
          <cell r="D1223">
            <v>79094062253</v>
          </cell>
          <cell r="F1223">
            <v>79094062253</v>
          </cell>
        </row>
        <row r="1224">
          <cell r="B1224" t="str">
            <v>В-05402/КЛ.Транш - 4</v>
          </cell>
          <cell r="D1224">
            <v>79266588248</v>
          </cell>
          <cell r="E1224">
            <v>79266588248</v>
          </cell>
          <cell r="F1224">
            <v>79266588248</v>
          </cell>
        </row>
        <row r="1225">
          <cell r="B1225" t="str">
            <v>В-13640/КЛ.Транш - 1</v>
          </cell>
          <cell r="D1225">
            <v>79679070701</v>
          </cell>
          <cell r="F1225">
            <v>79679070701</v>
          </cell>
        </row>
        <row r="1226">
          <cell r="B1226" t="str">
            <v>В-25865/КЛ.Транш - 1</v>
          </cell>
          <cell r="D1226">
            <v>79787200413</v>
          </cell>
        </row>
        <row r="1227">
          <cell r="B1227" t="str">
            <v>В-14818/КЛ.Транш - 1</v>
          </cell>
          <cell r="D1227">
            <v>89081355049</v>
          </cell>
          <cell r="F1227">
            <v>79081355049</v>
          </cell>
        </row>
        <row r="1228">
          <cell r="B1228" t="str">
            <v>В-27848/АЗ</v>
          </cell>
          <cell r="D1228">
            <v>79950000030</v>
          </cell>
        </row>
        <row r="1229">
          <cell r="B1229" t="str">
            <v>В-25671/АЗ</v>
          </cell>
          <cell r="D1229">
            <v>79149951882</v>
          </cell>
          <cell r="F1229">
            <v>79149951882</v>
          </cell>
        </row>
        <row r="1230">
          <cell r="B1230" t="str">
            <v>В-21321/КЛ.Транш - 1</v>
          </cell>
          <cell r="D1230">
            <v>89160417078</v>
          </cell>
          <cell r="F1230">
            <v>79160417078</v>
          </cell>
        </row>
        <row r="1231">
          <cell r="B1231" t="str">
            <v>В-19740/КЛ.Транш - 6</v>
          </cell>
          <cell r="C1231">
            <v>84953912485</v>
          </cell>
          <cell r="D1231">
            <v>89036798811</v>
          </cell>
          <cell r="F1231">
            <v>79036798811</v>
          </cell>
        </row>
        <row r="1232">
          <cell r="B1232" t="str">
            <v>В-19740/КЛ.Транш - 5</v>
          </cell>
          <cell r="C1232">
            <v>84953912485</v>
          </cell>
          <cell r="D1232">
            <v>89036798811</v>
          </cell>
          <cell r="F1232">
            <v>79036798811</v>
          </cell>
        </row>
        <row r="1233">
          <cell r="B1233" t="str">
            <v>В-19740/КЛ.Транш - 7</v>
          </cell>
          <cell r="C1233">
            <v>84953912485</v>
          </cell>
          <cell r="D1233">
            <v>89036798811</v>
          </cell>
          <cell r="F1233">
            <v>79036798811</v>
          </cell>
        </row>
        <row r="1234">
          <cell r="B1234" t="str">
            <v>В-19740/КЛ.Транш - 8</v>
          </cell>
          <cell r="C1234">
            <v>84953912485</v>
          </cell>
          <cell r="D1234">
            <v>89036798811</v>
          </cell>
          <cell r="F1234">
            <v>79036798811</v>
          </cell>
        </row>
        <row r="1235">
          <cell r="B1235" t="str">
            <v>В-19679/КЛ.Транш - 2</v>
          </cell>
          <cell r="D1235">
            <v>79778614145</v>
          </cell>
          <cell r="F1235">
            <v>79778614145</v>
          </cell>
        </row>
        <row r="1236">
          <cell r="B1236" t="str">
            <v>В-21451/КЛ.Транш - 1</v>
          </cell>
          <cell r="D1236">
            <v>89371714141</v>
          </cell>
          <cell r="F1236">
            <v>79371714141</v>
          </cell>
        </row>
        <row r="1237">
          <cell r="B1237" t="str">
            <v>В-22201/КЛ.Транш - 1_В-20211230/Ц</v>
          </cell>
          <cell r="D1237">
            <v>89511603201</v>
          </cell>
          <cell r="F1237">
            <v>79511603201</v>
          </cell>
        </row>
        <row r="1238">
          <cell r="B1238" t="str">
            <v>В-19286/КЛ.Транш - 1</v>
          </cell>
          <cell r="D1238">
            <v>79855645225</v>
          </cell>
          <cell r="F1238">
            <v>79855645225</v>
          </cell>
        </row>
        <row r="1239">
          <cell r="B1239" t="str">
            <v>В-27641/КЛ.Транш - 1</v>
          </cell>
          <cell r="D1239">
            <v>79512752606</v>
          </cell>
          <cell r="F1239">
            <v>79512752606</v>
          </cell>
        </row>
        <row r="1240">
          <cell r="B1240" t="str">
            <v>В-25370/АЗ</v>
          </cell>
          <cell r="D1240">
            <v>79237504761</v>
          </cell>
          <cell r="F1240">
            <v>79237504761</v>
          </cell>
        </row>
        <row r="1241">
          <cell r="B1241" t="str">
            <v>В-14074/КЛ.Транш - 2</v>
          </cell>
          <cell r="D1241">
            <v>79002077402</v>
          </cell>
          <cell r="F1241">
            <v>79002077402</v>
          </cell>
        </row>
        <row r="1242">
          <cell r="B1242" t="str">
            <v>В-14074/КЛ.Транш - 1</v>
          </cell>
          <cell r="D1242">
            <v>79002077402</v>
          </cell>
          <cell r="F1242">
            <v>79002077402</v>
          </cell>
        </row>
        <row r="1243">
          <cell r="B1243" t="str">
            <v>В-12790/КЛ.Транш - 1</v>
          </cell>
          <cell r="D1243">
            <v>79152920318</v>
          </cell>
          <cell r="F1243">
            <v>79152920318</v>
          </cell>
        </row>
        <row r="1244">
          <cell r="B1244" t="str">
            <v>В-01203/АЗ</v>
          </cell>
          <cell r="D1244">
            <v>79859229900</v>
          </cell>
          <cell r="E1244">
            <v>74997632035</v>
          </cell>
          <cell r="F1244">
            <v>79859229900</v>
          </cell>
        </row>
        <row r="1245">
          <cell r="B1245" t="str">
            <v>А-05344/АЗ</v>
          </cell>
          <cell r="D1245">
            <v>79215574252</v>
          </cell>
          <cell r="E1245">
            <v>79215574252</v>
          </cell>
          <cell r="F1245">
            <v>79215574252</v>
          </cell>
        </row>
        <row r="1246">
          <cell r="B1246" t="str">
            <v>В-02026/КЛ.Транш - 1</v>
          </cell>
          <cell r="C1246">
            <v>74991381364</v>
          </cell>
          <cell r="D1246">
            <v>79852223626</v>
          </cell>
          <cell r="F1246">
            <v>79852223626</v>
          </cell>
        </row>
        <row r="1247">
          <cell r="B1247" t="str">
            <v>В-27521/КЛ.Транш - 1</v>
          </cell>
          <cell r="D1247">
            <v>79186930426</v>
          </cell>
        </row>
        <row r="1248">
          <cell r="B1248" t="str">
            <v>В-00598/АЗ_В-20211230/Ц</v>
          </cell>
          <cell r="D1248">
            <v>89264923565</v>
          </cell>
          <cell r="F1248">
            <v>79264923565</v>
          </cell>
        </row>
        <row r="1249">
          <cell r="B1249" t="str">
            <v>В-03114/КЛ.Транш - 1_В-20211230/Ц</v>
          </cell>
          <cell r="D1249">
            <v>79645007000</v>
          </cell>
          <cell r="F1249">
            <v>79645007000</v>
          </cell>
        </row>
        <row r="1250">
          <cell r="B1250" t="str">
            <v>В-24081/АЗ</v>
          </cell>
          <cell r="C1250">
            <v>84957113153</v>
          </cell>
          <cell r="D1250">
            <v>89055695968</v>
          </cell>
          <cell r="F1250">
            <v>79055695968</v>
          </cell>
        </row>
        <row r="1251">
          <cell r="B1251" t="str">
            <v>В-14706/КЛ.Транш - 1</v>
          </cell>
          <cell r="D1251">
            <v>79371220706</v>
          </cell>
          <cell r="F1251">
            <v>79371220706</v>
          </cell>
        </row>
        <row r="1252">
          <cell r="B1252" t="str">
            <v>Т-01897/АЗ_Т-20211028/Ц</v>
          </cell>
          <cell r="D1252">
            <v>89032660077</v>
          </cell>
          <cell r="F1252">
            <v>79032660077</v>
          </cell>
        </row>
        <row r="1253">
          <cell r="B1253" t="str">
            <v>В-00839/КЛ.Транш - 1</v>
          </cell>
          <cell r="D1253">
            <v>79777226790</v>
          </cell>
          <cell r="F1253">
            <v>79777226790</v>
          </cell>
        </row>
        <row r="1254">
          <cell r="B1254" t="str">
            <v>В-05768/КЛ.Транш - 1</v>
          </cell>
          <cell r="D1254">
            <v>79605088075</v>
          </cell>
          <cell r="F1254">
            <v>79605088075</v>
          </cell>
        </row>
        <row r="1255">
          <cell r="B1255" t="str">
            <v>В-11307/КЛ.Транш - 1</v>
          </cell>
          <cell r="C1255">
            <v>79252233923</v>
          </cell>
          <cell r="D1255">
            <v>79252233923</v>
          </cell>
          <cell r="F1255">
            <v>79252233923</v>
          </cell>
        </row>
        <row r="1256">
          <cell r="B1256" t="str">
            <v>В-28471/КЛ.Транш - 1</v>
          </cell>
          <cell r="D1256">
            <v>89267201007</v>
          </cell>
          <cell r="F1256">
            <v>79267201007</v>
          </cell>
        </row>
        <row r="1257">
          <cell r="B1257" t="str">
            <v>В-17924/КЛ.Транш - 1</v>
          </cell>
          <cell r="D1257">
            <v>79166199324</v>
          </cell>
          <cell r="F1257">
            <v>79166199324</v>
          </cell>
        </row>
        <row r="1258">
          <cell r="B1258" t="str">
            <v>В-02690/КЛ.Транш - 1</v>
          </cell>
          <cell r="D1258">
            <v>79295770310</v>
          </cell>
          <cell r="F1258">
            <v>79295770310</v>
          </cell>
        </row>
        <row r="1259">
          <cell r="B1259" t="str">
            <v>В-03414/КЛ.Транш - 1</v>
          </cell>
          <cell r="D1259">
            <v>79220935999</v>
          </cell>
          <cell r="F1259">
            <v>79220935999</v>
          </cell>
        </row>
        <row r="1260">
          <cell r="B1260" t="str">
            <v>В-24247/КЛ.Транш - 1</v>
          </cell>
          <cell r="D1260">
            <v>79069003891</v>
          </cell>
          <cell r="F1260">
            <v>79069003891</v>
          </cell>
        </row>
        <row r="1261">
          <cell r="B1261" t="str">
            <v>В-25093/КЛ.Транш - 1</v>
          </cell>
          <cell r="D1261">
            <v>79780184127</v>
          </cell>
          <cell r="F1261">
            <v>79780184127</v>
          </cell>
        </row>
        <row r="1262">
          <cell r="B1262" t="str">
            <v>А-00433/КЭ.Транш - 1</v>
          </cell>
        </row>
        <row r="1263">
          <cell r="B1263" t="str">
            <v>В-24137/КЛ.Транш - 1</v>
          </cell>
          <cell r="D1263">
            <v>89150153386</v>
          </cell>
          <cell r="F1263">
            <v>79150153386</v>
          </cell>
        </row>
        <row r="1264">
          <cell r="B1264" t="str">
            <v>В-24137/КЛ.Транш - 3</v>
          </cell>
          <cell r="D1264">
            <v>89150153386</v>
          </cell>
          <cell r="F1264">
            <v>79150153386</v>
          </cell>
        </row>
        <row r="1265">
          <cell r="B1265" t="str">
            <v>В-24137/КЛ.Транш - 2</v>
          </cell>
          <cell r="D1265">
            <v>89150153386</v>
          </cell>
          <cell r="F1265">
            <v>79150153386</v>
          </cell>
        </row>
        <row r="1266">
          <cell r="B1266" t="str">
            <v>В-03811/КЛ.Транш - 1</v>
          </cell>
          <cell r="D1266">
            <v>79055088363</v>
          </cell>
          <cell r="F1266">
            <v>79055088363</v>
          </cell>
        </row>
        <row r="1267">
          <cell r="B1267" t="str">
            <v>А-02772/АЗ</v>
          </cell>
          <cell r="D1267" t="str">
            <v>79153804488, 79153803344</v>
          </cell>
          <cell r="E1267">
            <v>79153804488</v>
          </cell>
          <cell r="F1267">
            <v>79153803344</v>
          </cell>
        </row>
        <row r="1268">
          <cell r="B1268" t="str">
            <v>В-19548/КЛ.Транш - 1</v>
          </cell>
          <cell r="D1268">
            <v>79504835179</v>
          </cell>
          <cell r="F1268">
            <v>79504835179</v>
          </cell>
        </row>
        <row r="1269">
          <cell r="B1269" t="str">
            <v>В-24983/КЛ.Транш - 1_В-20211230/Ц</v>
          </cell>
          <cell r="D1269">
            <v>79640218461</v>
          </cell>
          <cell r="F1269">
            <v>79640218461</v>
          </cell>
        </row>
        <row r="1270">
          <cell r="B1270" t="str">
            <v>А-10096/КЭ.Транш - 1</v>
          </cell>
        </row>
        <row r="1271">
          <cell r="B1271" t="str">
            <v>В-00038/КЭ.Транш - 1</v>
          </cell>
        </row>
        <row r="1272">
          <cell r="B1272" t="str">
            <v>В-19988/КЛ.Транш - 1</v>
          </cell>
          <cell r="D1272">
            <v>79042830556</v>
          </cell>
          <cell r="F1272">
            <v>79042830556</v>
          </cell>
        </row>
        <row r="1273">
          <cell r="B1273" t="str">
            <v>В-11333/КЛ.Транш - 1_В-20211230/Ц</v>
          </cell>
          <cell r="D1273">
            <v>89856469898</v>
          </cell>
          <cell r="F1273">
            <v>79856469898</v>
          </cell>
        </row>
        <row r="1274">
          <cell r="B1274" t="str">
            <v>В-06587/КЛ.Транш - 6</v>
          </cell>
          <cell r="C1274">
            <v>78124230808</v>
          </cell>
          <cell r="D1274">
            <v>79317112122</v>
          </cell>
          <cell r="F1274">
            <v>79317112122</v>
          </cell>
        </row>
        <row r="1275">
          <cell r="B1275" t="str">
            <v>В-06587/КЛ.Транш - 4</v>
          </cell>
          <cell r="C1275">
            <v>78124230808</v>
          </cell>
          <cell r="D1275">
            <v>79317112122</v>
          </cell>
          <cell r="F1275">
            <v>79317112122</v>
          </cell>
        </row>
        <row r="1276">
          <cell r="B1276" t="str">
            <v>В-06587/КЛ.Транш - 5</v>
          </cell>
          <cell r="C1276">
            <v>78124230808</v>
          </cell>
          <cell r="D1276">
            <v>79317112122</v>
          </cell>
          <cell r="F1276">
            <v>79317112122</v>
          </cell>
        </row>
        <row r="1277">
          <cell r="B1277" t="str">
            <v>Т-01910/АЗ_Т-20211028/Ц</v>
          </cell>
          <cell r="D1277">
            <v>79268760005</v>
          </cell>
          <cell r="F1277">
            <v>79268760005</v>
          </cell>
        </row>
        <row r="1278">
          <cell r="B1278" t="str">
            <v>В-09421/КЛ.Транш - 1_А-20210929/Ц</v>
          </cell>
          <cell r="D1278">
            <v>79255957929</v>
          </cell>
          <cell r="F1278">
            <v>79255957929</v>
          </cell>
        </row>
        <row r="1279">
          <cell r="B1279" t="str">
            <v>В-20786/КЛ.Транш - 1</v>
          </cell>
          <cell r="D1279">
            <v>79102437545</v>
          </cell>
          <cell r="F1279">
            <v>79102437545</v>
          </cell>
        </row>
        <row r="1280">
          <cell r="B1280" t="str">
            <v>В-00634/АЗ</v>
          </cell>
          <cell r="D1280">
            <v>89181530907</v>
          </cell>
          <cell r="F1280">
            <v>79181530907</v>
          </cell>
        </row>
        <row r="1281">
          <cell r="B1281" t="str">
            <v>В-28424/АЗ</v>
          </cell>
          <cell r="D1281">
            <v>79688518888</v>
          </cell>
        </row>
        <row r="1282">
          <cell r="B1282" t="str">
            <v>В-26005/АЗ</v>
          </cell>
          <cell r="D1282">
            <v>79661685959</v>
          </cell>
          <cell r="F1282">
            <v>79661685959</v>
          </cell>
        </row>
        <row r="1283">
          <cell r="B1283" t="str">
            <v>В-20921/КЛ.Транш - 1</v>
          </cell>
          <cell r="D1283">
            <v>79067090059</v>
          </cell>
          <cell r="F1283">
            <v>79067090059</v>
          </cell>
        </row>
        <row r="1284">
          <cell r="B1284" t="str">
            <v>В-21075/КЛ.Транш - 1</v>
          </cell>
          <cell r="D1284">
            <v>79997721003</v>
          </cell>
          <cell r="E1284">
            <v>79104112382</v>
          </cell>
          <cell r="F1284">
            <v>79997721003</v>
          </cell>
        </row>
        <row r="1285">
          <cell r="B1285" t="str">
            <v>В-01388/КЛ.Транш - 1</v>
          </cell>
          <cell r="D1285">
            <v>89854310155</v>
          </cell>
          <cell r="F1285">
            <v>79854310155</v>
          </cell>
        </row>
        <row r="1286">
          <cell r="B1286" t="str">
            <v>В-01388/КЛ.Транш - 2</v>
          </cell>
          <cell r="D1286">
            <v>89854310155</v>
          </cell>
          <cell r="F1286">
            <v>79854310155</v>
          </cell>
        </row>
        <row r="1287">
          <cell r="B1287" t="str">
            <v>В-00610/АЗ</v>
          </cell>
          <cell r="D1287">
            <v>79260353798</v>
          </cell>
          <cell r="F1287">
            <v>79260353798</v>
          </cell>
        </row>
        <row r="1288">
          <cell r="B1288" t="str">
            <v>В-00847/АЗ</v>
          </cell>
          <cell r="D1288">
            <v>79260353798</v>
          </cell>
          <cell r="F1288">
            <v>79260353798</v>
          </cell>
        </row>
        <row r="1289">
          <cell r="B1289" t="str">
            <v>В-01104/АЗ</v>
          </cell>
          <cell r="D1289">
            <v>79183802057</v>
          </cell>
          <cell r="F1289">
            <v>79183802057</v>
          </cell>
        </row>
        <row r="1290">
          <cell r="B1290" t="str">
            <v>В-00317/АЗ_В-20211230/Ц</v>
          </cell>
          <cell r="D1290">
            <v>89509157587</v>
          </cell>
          <cell r="F1290">
            <v>79509157587</v>
          </cell>
        </row>
        <row r="1291">
          <cell r="B1291" t="str">
            <v>В-27256/КЛ.Транш - 1</v>
          </cell>
          <cell r="D1291">
            <v>89185540969</v>
          </cell>
          <cell r="F1291">
            <v>79185540969</v>
          </cell>
        </row>
        <row r="1292">
          <cell r="B1292" t="str">
            <v>В-12919/КЛ.Транш - 1</v>
          </cell>
          <cell r="D1292">
            <v>79289741541</v>
          </cell>
          <cell r="F1292">
            <v>79289741541</v>
          </cell>
        </row>
        <row r="1293">
          <cell r="B1293" t="str">
            <v>В-01/АЭК/21</v>
          </cell>
        </row>
        <row r="1294">
          <cell r="B1294" t="str">
            <v>В-01/АЭК/19</v>
          </cell>
        </row>
        <row r="1295">
          <cell r="B1295" t="str">
            <v>В-01/АТЛ/13</v>
          </cell>
        </row>
        <row r="1296">
          <cell r="B1296" t="str">
            <v>В-01/АТЛ/16</v>
          </cell>
        </row>
        <row r="1297">
          <cell r="B1297" t="str">
            <v>В-01/АТЛ/12</v>
          </cell>
        </row>
        <row r="1298">
          <cell r="B1298" t="str">
            <v>В-01/АТЛ/14</v>
          </cell>
        </row>
        <row r="1299">
          <cell r="B1299" t="str">
            <v>В-01/АЭК/26</v>
          </cell>
        </row>
        <row r="1300">
          <cell r="B1300" t="str">
            <v>В-01/АЭК/22</v>
          </cell>
        </row>
        <row r="1301">
          <cell r="B1301" t="str">
            <v>В-00062/КЭ.Транш - 1</v>
          </cell>
        </row>
        <row r="1302">
          <cell r="B1302" t="str">
            <v>В-00062/КЭ.Транш - 2</v>
          </cell>
        </row>
        <row r="1303">
          <cell r="B1303" t="str">
            <v>В-00055/КЭ.Транш - 1</v>
          </cell>
        </row>
        <row r="1304">
          <cell r="B1304" t="str">
            <v>В-11932/КЛ.Транш - 1</v>
          </cell>
          <cell r="E1304">
            <v>89688360986</v>
          </cell>
          <cell r="F1304">
            <v>79688360986</v>
          </cell>
        </row>
        <row r="1305">
          <cell r="B1305" t="str">
            <v>В-01509/КЛ.Транш - 1</v>
          </cell>
          <cell r="D1305">
            <v>89169917475</v>
          </cell>
          <cell r="F1305">
            <v>79169917475</v>
          </cell>
        </row>
        <row r="1306">
          <cell r="B1306" t="str">
            <v>В-23643/АЗ</v>
          </cell>
          <cell r="D1306">
            <v>79675373839</v>
          </cell>
          <cell r="F1306">
            <v>79675373839</v>
          </cell>
        </row>
        <row r="1307">
          <cell r="B1307" t="str">
            <v>В-01135/АЗ</v>
          </cell>
          <cell r="D1307">
            <v>79675373839</v>
          </cell>
          <cell r="F1307">
            <v>79675373839</v>
          </cell>
        </row>
        <row r="1308">
          <cell r="B1308" t="str">
            <v>В-28299/КЛ.Транш - 1</v>
          </cell>
          <cell r="D1308">
            <v>79052591870</v>
          </cell>
        </row>
        <row r="1309">
          <cell r="B1309" t="str">
            <v>В-20087/КЛ.Транш - 1</v>
          </cell>
          <cell r="D1309">
            <v>79616822745</v>
          </cell>
          <cell r="F1309">
            <v>79616822745</v>
          </cell>
        </row>
        <row r="1310">
          <cell r="B1310" t="str">
            <v>А-05349/АЗ_В-20211230/Ц</v>
          </cell>
          <cell r="C1310">
            <v>74955280049</v>
          </cell>
          <cell r="D1310">
            <v>79636947892</v>
          </cell>
          <cell r="E1310">
            <v>79636947892</v>
          </cell>
        </row>
        <row r="1311">
          <cell r="B1311" t="str">
            <v>В-13545/КЛ.Транш - 1</v>
          </cell>
          <cell r="D1311">
            <v>79525173455</v>
          </cell>
          <cell r="F1311">
            <v>79525173455</v>
          </cell>
        </row>
        <row r="1312">
          <cell r="B1312" t="str">
            <v>В-26125/АЗ</v>
          </cell>
          <cell r="D1312">
            <v>89887274117</v>
          </cell>
          <cell r="F1312">
            <v>79887274117</v>
          </cell>
        </row>
        <row r="1313">
          <cell r="B1313" t="str">
            <v>В-26172/АЗ</v>
          </cell>
          <cell r="D1313">
            <v>89164682005</v>
          </cell>
        </row>
        <row r="1314">
          <cell r="B1314" t="str">
            <v>В-01023/АЗ</v>
          </cell>
          <cell r="D1314">
            <v>79969160095</v>
          </cell>
          <cell r="F1314">
            <v>79969160095</v>
          </cell>
        </row>
        <row r="1315">
          <cell r="B1315" t="str">
            <v>В-01022/АЗ</v>
          </cell>
          <cell r="D1315">
            <v>79261236273</v>
          </cell>
          <cell r="F1315">
            <v>79261236273</v>
          </cell>
        </row>
        <row r="1316">
          <cell r="B1316" t="str">
            <v>В-13055/КЛ.Транш - 1</v>
          </cell>
          <cell r="D1316">
            <v>89679427780</v>
          </cell>
          <cell r="F1316">
            <v>79292444055</v>
          </cell>
        </row>
        <row r="1317">
          <cell r="B1317" t="str">
            <v>В-00232/КЛ.Транш - 1_Т-20211028/Ц</v>
          </cell>
          <cell r="C1317">
            <v>79104122412</v>
          </cell>
          <cell r="D1317">
            <v>79104122412</v>
          </cell>
          <cell r="E1317">
            <v>79853525372</v>
          </cell>
          <cell r="F1317">
            <v>79104122412</v>
          </cell>
        </row>
        <row r="1318">
          <cell r="B1318" t="str">
            <v>В-00035/КЭ.Транш - 7</v>
          </cell>
        </row>
        <row r="1319">
          <cell r="B1319" t="str">
            <v>В-00035/КЭ.Транш - 8</v>
          </cell>
        </row>
        <row r="1320">
          <cell r="B1320" t="str">
            <v>В-00035/КЭ.Транш - 3</v>
          </cell>
        </row>
        <row r="1321">
          <cell r="B1321" t="str">
            <v>В-26352/АЗ</v>
          </cell>
          <cell r="D1321">
            <v>79800009800</v>
          </cell>
          <cell r="F1321">
            <v>79800009800</v>
          </cell>
        </row>
        <row r="1322">
          <cell r="B1322" t="str">
            <v>В-19097/КЛ.Транш - 1_В-20211230/Ц</v>
          </cell>
          <cell r="D1322">
            <v>79615928763</v>
          </cell>
          <cell r="F1322">
            <v>79615928763</v>
          </cell>
        </row>
        <row r="1323">
          <cell r="B1323" t="str">
            <v>В-12523/КЛ.Транш - 2</v>
          </cell>
          <cell r="D1323">
            <v>89806869347</v>
          </cell>
          <cell r="F1323">
            <v>79806869347</v>
          </cell>
        </row>
        <row r="1324">
          <cell r="B1324" t="str">
            <v>В-00600/АЗ</v>
          </cell>
          <cell r="C1324">
            <v>78127539329</v>
          </cell>
          <cell r="D1324">
            <v>79523718333</v>
          </cell>
          <cell r="E1324">
            <v>79523718333</v>
          </cell>
          <cell r="F1324">
            <v>79523718333</v>
          </cell>
        </row>
        <row r="1325">
          <cell r="B1325" t="str">
            <v>В-12574/КЛ.Транш - 1</v>
          </cell>
          <cell r="D1325">
            <v>89636718919</v>
          </cell>
          <cell r="F1325">
            <v>79636718919</v>
          </cell>
        </row>
        <row r="1326">
          <cell r="B1326" t="str">
            <v>В-12574/КЛ.Транш - 2</v>
          </cell>
          <cell r="D1326">
            <v>89636718919</v>
          </cell>
          <cell r="F1326">
            <v>79636718919</v>
          </cell>
        </row>
        <row r="1327">
          <cell r="B1327" t="str">
            <v>В-12574/КЛ.Транш - 3</v>
          </cell>
          <cell r="D1327">
            <v>89636718919</v>
          </cell>
          <cell r="F1327">
            <v>79636718919</v>
          </cell>
        </row>
        <row r="1328">
          <cell r="B1328" t="str">
            <v>В-03672/КЛ.Транш - 1_В-20211230/Ц</v>
          </cell>
          <cell r="C1328">
            <v>79299207175</v>
          </cell>
          <cell r="D1328">
            <v>79011854509</v>
          </cell>
          <cell r="F1328">
            <v>79011854509</v>
          </cell>
        </row>
        <row r="1329">
          <cell r="B1329" t="str">
            <v>В-12013/КЛ.Транш - 3</v>
          </cell>
          <cell r="D1329">
            <v>79108611294</v>
          </cell>
          <cell r="F1329">
            <v>79108611294</v>
          </cell>
        </row>
        <row r="1330">
          <cell r="B1330" t="str">
            <v>В-12013/КЛ.Транш - 1</v>
          </cell>
          <cell r="D1330">
            <v>79108611294</v>
          </cell>
          <cell r="F1330">
            <v>79108611294</v>
          </cell>
        </row>
        <row r="1331">
          <cell r="B1331" t="str">
            <v>В-12013/КЛ.Транш - 2</v>
          </cell>
          <cell r="D1331">
            <v>79108611294</v>
          </cell>
          <cell r="F1331">
            <v>79108611294</v>
          </cell>
        </row>
        <row r="1332">
          <cell r="B1332" t="str">
            <v>А-04614/АЗ</v>
          </cell>
          <cell r="C1332">
            <v>74957544140</v>
          </cell>
          <cell r="D1332">
            <v>79036821800</v>
          </cell>
          <cell r="E1332">
            <v>79036821800</v>
          </cell>
        </row>
        <row r="1333">
          <cell r="B1333" t="str">
            <v>В-17747/КЛ.Транш - 1</v>
          </cell>
          <cell r="D1333">
            <v>79629134902</v>
          </cell>
          <cell r="F1333">
            <v>79629134902</v>
          </cell>
        </row>
        <row r="1334">
          <cell r="B1334" t="str">
            <v>В-17747/КЛ.Транш - 2</v>
          </cell>
          <cell r="D1334">
            <v>79629134902</v>
          </cell>
          <cell r="F1334">
            <v>79629134902</v>
          </cell>
        </row>
        <row r="1335">
          <cell r="B1335" t="str">
            <v>В-03197/КЛ.Транш - 2</v>
          </cell>
          <cell r="D1335">
            <v>79186518314</v>
          </cell>
          <cell r="F1335">
            <v>79186518314</v>
          </cell>
        </row>
        <row r="1336">
          <cell r="B1336" t="str">
            <v>В-01160/АЗ</v>
          </cell>
          <cell r="D1336">
            <v>79161443504</v>
          </cell>
          <cell r="F1336">
            <v>79161443504</v>
          </cell>
        </row>
        <row r="1337">
          <cell r="B1337" t="str">
            <v>В-21632/КЛ.Транш - 1</v>
          </cell>
          <cell r="D1337">
            <v>89033874777</v>
          </cell>
          <cell r="F1337">
            <v>79033874777</v>
          </cell>
        </row>
        <row r="1338">
          <cell r="B1338" t="str">
            <v>В-09260/КЛ.Транш - 2</v>
          </cell>
          <cell r="D1338">
            <v>79202543991</v>
          </cell>
          <cell r="F1338">
            <v>79202543991</v>
          </cell>
        </row>
        <row r="1339">
          <cell r="B1339" t="str">
            <v>В-10611/КЛ.Транш - 1</v>
          </cell>
          <cell r="D1339">
            <v>79954096330</v>
          </cell>
          <cell r="F1339">
            <v>79954096330</v>
          </cell>
        </row>
        <row r="1340">
          <cell r="B1340" t="str">
            <v>В-15405/КЛ.Транш - 1</v>
          </cell>
          <cell r="C1340">
            <v>74954204779</v>
          </cell>
          <cell r="D1340">
            <v>79266232397</v>
          </cell>
          <cell r="F1340">
            <v>79266232397</v>
          </cell>
        </row>
        <row r="1341">
          <cell r="B1341" t="str">
            <v>В-23354/АЗ</v>
          </cell>
          <cell r="D1341">
            <v>79652991319</v>
          </cell>
          <cell r="F1341">
            <v>79652991319</v>
          </cell>
        </row>
        <row r="1342">
          <cell r="B1342" t="str">
            <v>В-23813/АЗ</v>
          </cell>
          <cell r="D1342">
            <v>79652991319</v>
          </cell>
          <cell r="F1342">
            <v>79652991319</v>
          </cell>
        </row>
        <row r="1343">
          <cell r="B1343" t="str">
            <v>В-21416/КЛ.Транш - 1</v>
          </cell>
          <cell r="D1343">
            <v>79646447151</v>
          </cell>
          <cell r="F1343">
            <v>79646447151</v>
          </cell>
        </row>
        <row r="1344">
          <cell r="B1344" t="str">
            <v>В-21416/КЛ.Транш - 3</v>
          </cell>
          <cell r="D1344">
            <v>79646447151</v>
          </cell>
          <cell r="F1344">
            <v>79646447151</v>
          </cell>
        </row>
        <row r="1345">
          <cell r="B1345" t="str">
            <v>В-21416/КЛ.Транш - 2</v>
          </cell>
          <cell r="D1345">
            <v>79646447151</v>
          </cell>
          <cell r="F1345">
            <v>79646447151</v>
          </cell>
        </row>
        <row r="1346">
          <cell r="B1346" t="str">
            <v>В-25657/КЛ.Транш - 1</v>
          </cell>
          <cell r="D1346">
            <v>79771000089</v>
          </cell>
          <cell r="E1346">
            <v>79169343410</v>
          </cell>
          <cell r="F1346">
            <v>79771000089</v>
          </cell>
        </row>
        <row r="1347">
          <cell r="B1347" t="str">
            <v>В-21847/КЛ.Транш - 1</v>
          </cell>
          <cell r="D1347">
            <v>79996211495</v>
          </cell>
          <cell r="F1347">
            <v>79996211495</v>
          </cell>
        </row>
        <row r="1348">
          <cell r="B1348" t="str">
            <v>В-29072/КЛ.Транш - 1</v>
          </cell>
          <cell r="D1348">
            <v>89171740555</v>
          </cell>
          <cell r="F1348">
            <v>79171740555</v>
          </cell>
        </row>
        <row r="1349">
          <cell r="B1349" t="str">
            <v>В-24687/КЛ.Транш - 1</v>
          </cell>
          <cell r="D1349">
            <v>79257145406</v>
          </cell>
          <cell r="F1349">
            <v>79257145406</v>
          </cell>
        </row>
        <row r="1350">
          <cell r="B1350" t="str">
            <v>В-01082/АЗ</v>
          </cell>
          <cell r="C1350">
            <v>78122932998</v>
          </cell>
          <cell r="D1350">
            <v>79219440419</v>
          </cell>
          <cell r="F1350">
            <v>79219440419</v>
          </cell>
        </row>
        <row r="1351">
          <cell r="B1351" t="str">
            <v>В-27151/АЗ</v>
          </cell>
          <cell r="C1351">
            <v>78122932998</v>
          </cell>
          <cell r="D1351">
            <v>79219440419</v>
          </cell>
          <cell r="F1351">
            <v>79219440419</v>
          </cell>
        </row>
        <row r="1352">
          <cell r="B1352" t="str">
            <v>В-28323/КЛ.Транш - 1</v>
          </cell>
          <cell r="D1352">
            <v>89508739431</v>
          </cell>
          <cell r="F1352">
            <v>79508739431</v>
          </cell>
        </row>
        <row r="1353">
          <cell r="B1353" t="str">
            <v>В-01180/АЗ</v>
          </cell>
          <cell r="D1353">
            <v>89624223090</v>
          </cell>
          <cell r="F1353">
            <v>79624223090</v>
          </cell>
        </row>
        <row r="1354">
          <cell r="B1354" t="str">
            <v>В-13136/КЛ.Транш - 1_В-20211230/Ц</v>
          </cell>
          <cell r="D1354">
            <v>79151530509</v>
          </cell>
          <cell r="F1354">
            <v>79151530509</v>
          </cell>
        </row>
        <row r="1355">
          <cell r="B1355" t="str">
            <v>В-00793/АЗ</v>
          </cell>
          <cell r="D1355">
            <v>79161085064</v>
          </cell>
          <cell r="E1355">
            <v>79161085064</v>
          </cell>
          <cell r="F1355">
            <v>79161085064</v>
          </cell>
        </row>
        <row r="1356">
          <cell r="B1356" t="str">
            <v>В-20948/КЛ.Транш - 1</v>
          </cell>
          <cell r="D1356">
            <v>79525188327</v>
          </cell>
          <cell r="F1356">
            <v>79525188327</v>
          </cell>
        </row>
        <row r="1357">
          <cell r="B1357" t="str">
            <v>В-23004/КЛ.Транш - 2</v>
          </cell>
          <cell r="D1357">
            <v>79787554089</v>
          </cell>
          <cell r="F1357">
            <v>79787554089</v>
          </cell>
        </row>
        <row r="1358">
          <cell r="B1358" t="str">
            <v>В-23004/КЛ.Транш - 3</v>
          </cell>
          <cell r="D1358">
            <v>79787554089</v>
          </cell>
          <cell r="F1358">
            <v>79787554089</v>
          </cell>
        </row>
        <row r="1359">
          <cell r="B1359" t="str">
            <v>В-23585/КЛ.Транш - 1</v>
          </cell>
          <cell r="D1359">
            <v>79620311278</v>
          </cell>
          <cell r="F1359">
            <v>79620311278</v>
          </cell>
        </row>
        <row r="1360">
          <cell r="B1360" t="str">
            <v>В-25302/КЛ.Транш - 1</v>
          </cell>
          <cell r="D1360">
            <v>79995856356</v>
          </cell>
          <cell r="F1360">
            <v>79995856356</v>
          </cell>
        </row>
        <row r="1361">
          <cell r="B1361" t="str">
            <v>В-15165/КЛ.Транш - 1_В-20211230/Ц</v>
          </cell>
          <cell r="D1361">
            <v>79091318881</v>
          </cell>
          <cell r="F1361">
            <v>79091318881</v>
          </cell>
        </row>
        <row r="1362">
          <cell r="B1362" t="str">
            <v>В-07717/КЛ.Транш - 1</v>
          </cell>
          <cell r="D1362">
            <v>79871573353</v>
          </cell>
          <cell r="F1362">
            <v>79871573353</v>
          </cell>
        </row>
        <row r="1363">
          <cell r="B1363" t="str">
            <v>В-07717/КЛ.Транш - 2</v>
          </cell>
          <cell r="D1363">
            <v>79871573353</v>
          </cell>
          <cell r="F1363">
            <v>79871573353</v>
          </cell>
        </row>
        <row r="1364">
          <cell r="B1364" t="str">
            <v>В-07717/КЛ.Транш - 3</v>
          </cell>
          <cell r="D1364">
            <v>79871573353</v>
          </cell>
          <cell r="F1364">
            <v>79871573353</v>
          </cell>
        </row>
        <row r="1365">
          <cell r="B1365" t="str">
            <v>В-07717/КЛ.Транш - 4</v>
          </cell>
          <cell r="D1365">
            <v>79871573353</v>
          </cell>
          <cell r="F1365">
            <v>79871573353</v>
          </cell>
        </row>
        <row r="1366">
          <cell r="B1366" t="str">
            <v>В-07717/КЛ.Транш - 5</v>
          </cell>
          <cell r="D1366">
            <v>79871573353</v>
          </cell>
          <cell r="F1366">
            <v>79871573353</v>
          </cell>
        </row>
        <row r="1367">
          <cell r="B1367" t="str">
            <v>В-16877/КЛ.Транш - 1_В-20211230/Ц</v>
          </cell>
          <cell r="D1367">
            <v>79271054440</v>
          </cell>
          <cell r="F1367">
            <v>79271054440</v>
          </cell>
        </row>
        <row r="1368">
          <cell r="B1368" t="str">
            <v>В-26806/АЗ</v>
          </cell>
          <cell r="D1368">
            <v>89222040824</v>
          </cell>
        </row>
        <row r="1369">
          <cell r="B1369" t="str">
            <v>В-04809/КЛ.Транш - 1</v>
          </cell>
          <cell r="D1369">
            <v>89687088080</v>
          </cell>
          <cell r="F1369">
            <v>79687088080</v>
          </cell>
        </row>
        <row r="1370">
          <cell r="B1370" t="str">
            <v>А-04641/АЗ</v>
          </cell>
          <cell r="C1370">
            <v>78127410205</v>
          </cell>
          <cell r="D1370">
            <v>79217789918</v>
          </cell>
          <cell r="E1370">
            <v>79217789918</v>
          </cell>
          <cell r="F1370">
            <v>79217789918</v>
          </cell>
        </row>
        <row r="1371">
          <cell r="B1371" t="str">
            <v>В-21987/КЛ.Транш - 1</v>
          </cell>
          <cell r="D1371">
            <v>79787809099</v>
          </cell>
          <cell r="F1371">
            <v>79787809099</v>
          </cell>
        </row>
        <row r="1372">
          <cell r="B1372" t="str">
            <v>В-01113/АЗ</v>
          </cell>
          <cell r="D1372">
            <v>89251604075</v>
          </cell>
          <cell r="F1372">
            <v>79251604075</v>
          </cell>
        </row>
        <row r="1373">
          <cell r="B1373" t="str">
            <v>В-28393/КЛ.Транш - 1</v>
          </cell>
          <cell r="D1373">
            <v>79114359104</v>
          </cell>
        </row>
        <row r="1374">
          <cell r="B1374" t="str">
            <v>В-17043/КЛ.Транш - 1_В-20211230/Ц</v>
          </cell>
          <cell r="D1374">
            <v>79775948292</v>
          </cell>
        </row>
        <row r="1375">
          <cell r="B1375" t="str">
            <v>В-18167/КЛ.Транш - 1_В-20211230/Ц</v>
          </cell>
          <cell r="D1375">
            <v>79033565564</v>
          </cell>
          <cell r="F1375">
            <v>79033565564</v>
          </cell>
        </row>
        <row r="1376">
          <cell r="B1376" t="str">
            <v>В-26450/АЗ</v>
          </cell>
          <cell r="C1376">
            <v>78124615929</v>
          </cell>
          <cell r="D1376">
            <v>79111440300</v>
          </cell>
          <cell r="F1376">
            <v>79111440300</v>
          </cell>
        </row>
        <row r="1377">
          <cell r="B1377" t="str">
            <v>В-03974/КЛ.Транш - 3</v>
          </cell>
          <cell r="D1377">
            <v>79167743039</v>
          </cell>
          <cell r="F1377">
            <v>79167743039</v>
          </cell>
        </row>
        <row r="1378">
          <cell r="B1378" t="str">
            <v>В-18215/КЛ.Транш - 1</v>
          </cell>
          <cell r="D1378">
            <v>79525327400</v>
          </cell>
          <cell r="F1378">
            <v>79525327400</v>
          </cell>
        </row>
        <row r="1379">
          <cell r="B1379" t="str">
            <v>В-28753/КЛ.Транш - 1</v>
          </cell>
          <cell r="D1379">
            <v>89032631790</v>
          </cell>
          <cell r="F1379">
            <v>79032631790</v>
          </cell>
        </row>
        <row r="1380">
          <cell r="B1380" t="str">
            <v>В-00850/АЗ</v>
          </cell>
          <cell r="D1380">
            <v>89183629001</v>
          </cell>
          <cell r="F1380">
            <v>79183629001</v>
          </cell>
        </row>
        <row r="1381">
          <cell r="B1381" t="str">
            <v>В-01015/АЗ</v>
          </cell>
          <cell r="D1381">
            <v>89183629001</v>
          </cell>
          <cell r="F1381">
            <v>79183629001</v>
          </cell>
        </row>
        <row r="1382">
          <cell r="B1382" t="str">
            <v>В-01125/АЗ</v>
          </cell>
          <cell r="D1382">
            <v>89183629001</v>
          </cell>
          <cell r="F1382">
            <v>79183629001</v>
          </cell>
        </row>
        <row r="1383">
          <cell r="B1383" t="str">
            <v>В-00473/КЛ.Транш - 4</v>
          </cell>
          <cell r="D1383">
            <v>79213566544</v>
          </cell>
          <cell r="F1383">
            <v>79213566544</v>
          </cell>
        </row>
        <row r="1384">
          <cell r="B1384" t="str">
            <v>В-23712/КЛ.Транш - 2</v>
          </cell>
          <cell r="D1384">
            <v>79213566544</v>
          </cell>
          <cell r="F1384">
            <v>79213566544</v>
          </cell>
        </row>
        <row r="1385">
          <cell r="B1385" t="str">
            <v>В-23712/КЛ.Транш - 4</v>
          </cell>
          <cell r="D1385">
            <v>79213566544</v>
          </cell>
          <cell r="F1385">
            <v>79213566544</v>
          </cell>
        </row>
        <row r="1386">
          <cell r="B1386" t="str">
            <v>В-23712/КЛ.Транш - 3</v>
          </cell>
          <cell r="D1386">
            <v>79213566544</v>
          </cell>
          <cell r="F1386">
            <v>79213566544</v>
          </cell>
        </row>
        <row r="1387">
          <cell r="B1387" t="str">
            <v>В-00473/КЛ.Транш - 3</v>
          </cell>
          <cell r="D1387">
            <v>79213566544</v>
          </cell>
          <cell r="F1387">
            <v>79213566544</v>
          </cell>
        </row>
        <row r="1388">
          <cell r="B1388" t="str">
            <v>В-23712/КЛ.Транш - 1</v>
          </cell>
          <cell r="D1388">
            <v>79213566544</v>
          </cell>
          <cell r="F1388">
            <v>79213566544</v>
          </cell>
        </row>
        <row r="1389">
          <cell r="B1389" t="str">
            <v>В-01085/АЗ</v>
          </cell>
          <cell r="C1389">
            <v>74957079699</v>
          </cell>
          <cell r="D1389">
            <v>79687697000</v>
          </cell>
          <cell r="E1389">
            <v>79687697000</v>
          </cell>
          <cell r="F1389">
            <v>79687697000</v>
          </cell>
        </row>
        <row r="1390">
          <cell r="B1390" t="str">
            <v>В-01084/АЗ</v>
          </cell>
          <cell r="D1390">
            <v>79258380111</v>
          </cell>
          <cell r="E1390">
            <v>79258380111</v>
          </cell>
          <cell r="F1390">
            <v>79258380111</v>
          </cell>
        </row>
        <row r="1391">
          <cell r="B1391" t="str">
            <v>В-00573/АЗ</v>
          </cell>
          <cell r="D1391">
            <v>79263771273</v>
          </cell>
          <cell r="E1391">
            <v>79263771273</v>
          </cell>
          <cell r="F1391">
            <v>79263771273</v>
          </cell>
        </row>
        <row r="1392">
          <cell r="B1392" t="str">
            <v>А-05166/АЗ_А-20201019/Ц</v>
          </cell>
          <cell r="D1392">
            <v>79263771273</v>
          </cell>
          <cell r="E1392">
            <v>79263771273</v>
          </cell>
          <cell r="F1392">
            <v>79263771273</v>
          </cell>
        </row>
        <row r="1393">
          <cell r="B1393" t="str">
            <v>В-25852/КЛ.Транш - 1</v>
          </cell>
          <cell r="D1393">
            <v>79615965688</v>
          </cell>
        </row>
        <row r="1394">
          <cell r="B1394" t="str">
            <v>В-25950/КЛ.Транш - 1</v>
          </cell>
          <cell r="D1394">
            <v>79263206950</v>
          </cell>
          <cell r="F1394">
            <v>79263206950</v>
          </cell>
        </row>
        <row r="1395">
          <cell r="B1395" t="str">
            <v>В-02944/КЛ.Транш - 1</v>
          </cell>
          <cell r="D1395">
            <v>79859983172</v>
          </cell>
          <cell r="F1395">
            <v>79859983172</v>
          </cell>
        </row>
        <row r="1396">
          <cell r="B1396" t="str">
            <v>В-21175/КЛ.Транш - 1</v>
          </cell>
          <cell r="D1396">
            <v>79802518283</v>
          </cell>
          <cell r="F1396">
            <v>79802518283</v>
          </cell>
        </row>
        <row r="1397">
          <cell r="B1397" t="str">
            <v>Т-01876/АЗ_Т-20211028/Ц</v>
          </cell>
          <cell r="D1397">
            <v>79774497100</v>
          </cell>
          <cell r="F1397">
            <v>79774497100</v>
          </cell>
        </row>
        <row r="1398">
          <cell r="B1398" t="str">
            <v>В-00045/КЭ.Транш - 1</v>
          </cell>
        </row>
        <row r="1399">
          <cell r="B1399" t="str">
            <v>В-25807/АЗ</v>
          </cell>
          <cell r="D1399">
            <v>79821136983</v>
          </cell>
        </row>
        <row r="1400">
          <cell r="B1400" t="str">
            <v>А-04384/АЗ</v>
          </cell>
          <cell r="D1400">
            <v>79267952800</v>
          </cell>
          <cell r="E1400">
            <v>79267952800</v>
          </cell>
        </row>
        <row r="1401">
          <cell r="B1401" t="str">
            <v>В-12696/КЛ.Транш - 3</v>
          </cell>
          <cell r="D1401">
            <v>89169194220</v>
          </cell>
          <cell r="F1401">
            <v>79169194220</v>
          </cell>
        </row>
        <row r="1402">
          <cell r="B1402" t="str">
            <v>В-13516/КЛ.Транш - 3</v>
          </cell>
          <cell r="D1402">
            <v>79883424571</v>
          </cell>
          <cell r="F1402">
            <v>79883424571</v>
          </cell>
        </row>
        <row r="1403">
          <cell r="B1403" t="str">
            <v>В-13516/КЛ.Транш - 4</v>
          </cell>
          <cell r="D1403">
            <v>79883424571</v>
          </cell>
          <cell r="F1403">
            <v>79883424571</v>
          </cell>
        </row>
        <row r="1404">
          <cell r="B1404" t="str">
            <v>В-13516/КЛ.Транш - 2</v>
          </cell>
          <cell r="D1404">
            <v>79883424571</v>
          </cell>
          <cell r="F1404">
            <v>79883424571</v>
          </cell>
        </row>
        <row r="1405">
          <cell r="B1405" t="str">
            <v>В-28057/АЗ</v>
          </cell>
          <cell r="D1405">
            <v>79850863266</v>
          </cell>
        </row>
        <row r="1406">
          <cell r="B1406" t="str">
            <v>В-21708/КЛ.Транш - 4</v>
          </cell>
          <cell r="D1406">
            <v>89250295009</v>
          </cell>
          <cell r="F1406">
            <v>79250295009</v>
          </cell>
        </row>
        <row r="1407">
          <cell r="B1407" t="str">
            <v>В-21708/КЛ.Транш - 5</v>
          </cell>
          <cell r="D1407">
            <v>89250295009</v>
          </cell>
          <cell r="F1407">
            <v>79250295009</v>
          </cell>
        </row>
        <row r="1408">
          <cell r="B1408" t="str">
            <v>Т-01915/АЗ_Т-20211028/Ц</v>
          </cell>
          <cell r="D1408">
            <v>79216590909</v>
          </cell>
          <cell r="F1408">
            <v>79216590909</v>
          </cell>
        </row>
        <row r="1409">
          <cell r="B1409" t="str">
            <v>В-07005/КЛ.Транш - 1</v>
          </cell>
          <cell r="D1409">
            <v>79169895491</v>
          </cell>
          <cell r="F1409">
            <v>79169895491</v>
          </cell>
        </row>
        <row r="1410">
          <cell r="B1410" t="str">
            <v>В-07005/КЛ.Транш - 3</v>
          </cell>
          <cell r="D1410">
            <v>79169895491</v>
          </cell>
          <cell r="F1410">
            <v>79169895491</v>
          </cell>
        </row>
        <row r="1411">
          <cell r="B1411" t="str">
            <v>В-07005/КЛ.Транш - 2</v>
          </cell>
          <cell r="D1411">
            <v>79169895491</v>
          </cell>
          <cell r="F1411">
            <v>79169895491</v>
          </cell>
        </row>
        <row r="1412">
          <cell r="B1412" t="str">
            <v>В-27716/КЛ.Транш - 1</v>
          </cell>
          <cell r="D1412">
            <v>79517690106</v>
          </cell>
          <cell r="F1412">
            <v>79517690106</v>
          </cell>
        </row>
        <row r="1413">
          <cell r="B1413" t="str">
            <v>В-00612/АЗ</v>
          </cell>
          <cell r="D1413">
            <v>89175996075</v>
          </cell>
          <cell r="F1413">
            <v>79175996075</v>
          </cell>
        </row>
        <row r="1414">
          <cell r="B1414" t="str">
            <v>В-28274/КЛ.Транш - 1</v>
          </cell>
          <cell r="D1414">
            <v>79191349401</v>
          </cell>
          <cell r="F1414">
            <v>79191349401</v>
          </cell>
        </row>
        <row r="1415">
          <cell r="B1415" t="str">
            <v>В-22449/КЛ.Транш - 1</v>
          </cell>
          <cell r="D1415">
            <v>79164869058</v>
          </cell>
          <cell r="F1415">
            <v>79164869058</v>
          </cell>
        </row>
        <row r="1416">
          <cell r="B1416" t="str">
            <v>В-13405/КЛ.Транш - 1</v>
          </cell>
          <cell r="D1416">
            <v>89162176242</v>
          </cell>
          <cell r="F1416">
            <v>79162176242</v>
          </cell>
        </row>
        <row r="1417">
          <cell r="B1417" t="str">
            <v>В-21053/КЛ.Транш - 1</v>
          </cell>
          <cell r="D1417">
            <v>79265668445</v>
          </cell>
          <cell r="E1417">
            <v>79267512775</v>
          </cell>
        </row>
        <row r="1418">
          <cell r="B1418" t="str">
            <v>В-21053/КЛ.Транш - 4</v>
          </cell>
          <cell r="D1418">
            <v>79265668445</v>
          </cell>
          <cell r="E1418">
            <v>79267512775</v>
          </cell>
        </row>
        <row r="1419">
          <cell r="B1419" t="str">
            <v>В-20060/КЛ.Транш - 1</v>
          </cell>
          <cell r="D1419">
            <v>79065448815</v>
          </cell>
          <cell r="F1419">
            <v>79065448815</v>
          </cell>
        </row>
        <row r="1420">
          <cell r="B1420" t="str">
            <v>В-12897/КЛ.Транш - 1</v>
          </cell>
          <cell r="D1420">
            <v>89326199360</v>
          </cell>
          <cell r="F1420">
            <v>79326199360</v>
          </cell>
        </row>
        <row r="1421">
          <cell r="B1421" t="str">
            <v>В-01046/АЗ</v>
          </cell>
          <cell r="D1421">
            <v>79050979789</v>
          </cell>
          <cell r="F1421">
            <v>79050979789</v>
          </cell>
        </row>
        <row r="1422">
          <cell r="B1422" t="str">
            <v>В-07595/КЛ.Транш - 1</v>
          </cell>
          <cell r="C1422">
            <v>74991696140</v>
          </cell>
          <cell r="D1422">
            <v>79037970956</v>
          </cell>
          <cell r="F1422">
            <v>79037970956</v>
          </cell>
        </row>
        <row r="1423">
          <cell r="B1423" t="str">
            <v>В-01078/АЗ</v>
          </cell>
          <cell r="D1423">
            <v>89166703637</v>
          </cell>
          <cell r="E1423">
            <v>79166220182</v>
          </cell>
          <cell r="F1423">
            <v>79166703637</v>
          </cell>
        </row>
        <row r="1424">
          <cell r="B1424" t="str">
            <v>В-26604/КЛ.Транш - 1</v>
          </cell>
          <cell r="D1424">
            <v>79254232555</v>
          </cell>
        </row>
        <row r="1425">
          <cell r="B1425" t="str">
            <v>В-21306/КЛ.Транш - 1</v>
          </cell>
          <cell r="D1425">
            <v>89032553195</v>
          </cell>
          <cell r="F1425">
            <v>79032553195</v>
          </cell>
        </row>
        <row r="1426">
          <cell r="B1426" t="str">
            <v>В-22423/КЛ.Транш - 1</v>
          </cell>
          <cell r="D1426">
            <v>79691066600</v>
          </cell>
          <cell r="F1426">
            <v>79691066600</v>
          </cell>
        </row>
        <row r="1427">
          <cell r="B1427" t="str">
            <v>В-25810/АЗ</v>
          </cell>
          <cell r="D1427">
            <v>79821033358</v>
          </cell>
        </row>
        <row r="1428">
          <cell r="B1428" t="str">
            <v>В-11946/КЛ.Транш - 2_В-20211230/Ц</v>
          </cell>
          <cell r="E1428">
            <v>89851150459</v>
          </cell>
          <cell r="F1428">
            <v>79851150459</v>
          </cell>
        </row>
        <row r="1429">
          <cell r="B1429" t="str">
            <v>В-11946/КЛ.Транш - 3_В-20211230/Ц</v>
          </cell>
          <cell r="E1429">
            <v>89851150459</v>
          </cell>
          <cell r="F1429">
            <v>79851150459</v>
          </cell>
        </row>
        <row r="1430">
          <cell r="B1430" t="str">
            <v>А-05354/АЗ</v>
          </cell>
          <cell r="D1430">
            <v>79650553434</v>
          </cell>
          <cell r="E1430">
            <v>79650553434</v>
          </cell>
          <cell r="F1430">
            <v>79650553434</v>
          </cell>
        </row>
        <row r="1431">
          <cell r="B1431" t="str">
            <v>Т-01811/АЗ_Т-20211028/Ц</v>
          </cell>
          <cell r="D1431">
            <v>79650553434</v>
          </cell>
          <cell r="E1431">
            <v>79650553434</v>
          </cell>
          <cell r="F1431">
            <v>79650553434</v>
          </cell>
        </row>
        <row r="1432">
          <cell r="B1432" t="str">
            <v>В-27435/КЛ.Транш - 1</v>
          </cell>
          <cell r="D1432">
            <v>79383128283</v>
          </cell>
        </row>
        <row r="1433">
          <cell r="B1433" t="str">
            <v>В-05187/КЛ.Транш - 1</v>
          </cell>
          <cell r="D1433">
            <v>79779373261</v>
          </cell>
          <cell r="F1433">
            <v>79779373261</v>
          </cell>
        </row>
        <row r="1434">
          <cell r="B1434" t="str">
            <v>В-00884/АЗ</v>
          </cell>
          <cell r="D1434">
            <v>79885596245</v>
          </cell>
          <cell r="F1434">
            <v>79885596245</v>
          </cell>
        </row>
        <row r="1435">
          <cell r="B1435" t="str">
            <v>В-08822/КЛ.Транш - 1</v>
          </cell>
          <cell r="D1435">
            <v>79107086382</v>
          </cell>
          <cell r="F1435">
            <v>79107086382</v>
          </cell>
        </row>
        <row r="1436">
          <cell r="B1436" t="str">
            <v>А-00049/БЭ</v>
          </cell>
          <cell r="D1436">
            <v>79150662977</v>
          </cell>
          <cell r="E1436">
            <v>79150662977</v>
          </cell>
        </row>
        <row r="1437">
          <cell r="B1437" t="str">
            <v>В-13669/КЛ.Транш - 4_В-20211230/Ц</v>
          </cell>
          <cell r="D1437">
            <v>79372025353</v>
          </cell>
          <cell r="F1437">
            <v>79372025353</v>
          </cell>
        </row>
        <row r="1438">
          <cell r="B1438" t="str">
            <v>В-13669/КЛ.Транш - 6_В-20211230/Ц</v>
          </cell>
          <cell r="D1438">
            <v>79372025353</v>
          </cell>
          <cell r="F1438">
            <v>79372025353</v>
          </cell>
        </row>
        <row r="1439">
          <cell r="B1439" t="str">
            <v>В-13669/КЛ.Транш - 2_В-20211230/Ц</v>
          </cell>
          <cell r="D1439">
            <v>79372025353</v>
          </cell>
          <cell r="F1439">
            <v>79372025353</v>
          </cell>
        </row>
        <row r="1440">
          <cell r="B1440" t="str">
            <v>В-13669/КЛ.Транш - 3_В-20211230/Ц</v>
          </cell>
          <cell r="D1440">
            <v>79372025353</v>
          </cell>
          <cell r="F1440">
            <v>79372025353</v>
          </cell>
        </row>
        <row r="1441">
          <cell r="B1441" t="str">
            <v>В-13669/КЛ.Транш - 5_В-20211230/Ц</v>
          </cell>
          <cell r="D1441">
            <v>79372025353</v>
          </cell>
          <cell r="F1441">
            <v>79372025353</v>
          </cell>
        </row>
        <row r="1442">
          <cell r="B1442" t="str">
            <v>В-08745/КЛ.Транш - 1</v>
          </cell>
          <cell r="D1442">
            <v>79017232908</v>
          </cell>
          <cell r="F1442">
            <v>79017232908</v>
          </cell>
        </row>
        <row r="1443">
          <cell r="B1443" t="str">
            <v>В-14029/КЛ.Транш - 1</v>
          </cell>
          <cell r="D1443">
            <v>79821779947</v>
          </cell>
          <cell r="F1443">
            <v>79821779947</v>
          </cell>
        </row>
        <row r="1444">
          <cell r="B1444" t="str">
            <v>В-20218/КЛ.Транш - 1</v>
          </cell>
          <cell r="D1444">
            <v>79605961359</v>
          </cell>
          <cell r="F1444">
            <v>79605961359</v>
          </cell>
        </row>
        <row r="1445">
          <cell r="B1445" t="str">
            <v>В-20140/КЛ.Транш - 6</v>
          </cell>
          <cell r="D1445">
            <v>79645781616</v>
          </cell>
          <cell r="F1445">
            <v>79645781616</v>
          </cell>
        </row>
        <row r="1446">
          <cell r="B1446" t="str">
            <v>В-20140/КЛ.Транш - 1</v>
          </cell>
          <cell r="D1446">
            <v>79645781616</v>
          </cell>
          <cell r="F1446">
            <v>79645781616</v>
          </cell>
        </row>
        <row r="1447">
          <cell r="B1447" t="str">
            <v>В-20140/КЛ.Транш - 2</v>
          </cell>
          <cell r="D1447">
            <v>79645781616</v>
          </cell>
          <cell r="F1447">
            <v>79645781616</v>
          </cell>
        </row>
        <row r="1448">
          <cell r="B1448" t="str">
            <v>В-20140/КЛ.Транш - 3</v>
          </cell>
          <cell r="D1448">
            <v>79645781616</v>
          </cell>
          <cell r="F1448">
            <v>79645781616</v>
          </cell>
        </row>
        <row r="1449">
          <cell r="B1449" t="str">
            <v>В-20140/КЛ.Транш - 4</v>
          </cell>
          <cell r="D1449">
            <v>79645781616</v>
          </cell>
          <cell r="F1449">
            <v>79645781616</v>
          </cell>
        </row>
        <row r="1450">
          <cell r="B1450" t="str">
            <v>В-20140/КЛ.Транш - 5</v>
          </cell>
          <cell r="D1450">
            <v>79645781616</v>
          </cell>
          <cell r="F1450">
            <v>79645781616</v>
          </cell>
        </row>
        <row r="1451">
          <cell r="B1451" t="str">
            <v>А-00419/КЭ.Транш - 2</v>
          </cell>
        </row>
        <row r="1452">
          <cell r="B1452" t="str">
            <v>В-00321/АЗ</v>
          </cell>
          <cell r="D1452">
            <v>79672651789</v>
          </cell>
          <cell r="F1452">
            <v>79672651789</v>
          </cell>
        </row>
        <row r="1453">
          <cell r="B1453" t="str">
            <v>В-11009/КЛ.Транш - 1</v>
          </cell>
          <cell r="D1453">
            <v>79307268930</v>
          </cell>
          <cell r="F1453">
            <v>89307268930</v>
          </cell>
        </row>
        <row r="1454">
          <cell r="B1454" t="str">
            <v>В-25278/КЛ.Транш - 1</v>
          </cell>
          <cell r="D1454">
            <v>79536402725</v>
          </cell>
          <cell r="F1454">
            <v>79536402725</v>
          </cell>
        </row>
        <row r="1455">
          <cell r="B1455" t="str">
            <v>А-03947/АЗ_А-20210517/Ц</v>
          </cell>
          <cell r="D1455">
            <v>79268786680</v>
          </cell>
          <cell r="E1455">
            <v>79268786680</v>
          </cell>
          <cell r="F1455">
            <v>79262446405</v>
          </cell>
        </row>
        <row r="1456">
          <cell r="B1456" t="str">
            <v>Т-01497/АЗ_Т-20210517/Ц</v>
          </cell>
          <cell r="D1456">
            <v>79268786680</v>
          </cell>
          <cell r="E1456">
            <v>79268786680</v>
          </cell>
          <cell r="F1456">
            <v>79262446405</v>
          </cell>
        </row>
        <row r="1457">
          <cell r="B1457" t="str">
            <v>В-16261/КЛ.Транш - 1</v>
          </cell>
          <cell r="D1457">
            <v>79006904761</v>
          </cell>
          <cell r="F1457">
            <v>79006904761</v>
          </cell>
        </row>
        <row r="1458">
          <cell r="B1458" t="str">
            <v>В-00489/АЗ</v>
          </cell>
          <cell r="D1458">
            <v>79260621118</v>
          </cell>
          <cell r="E1458">
            <v>79260621118</v>
          </cell>
          <cell r="F1458">
            <v>79260621118</v>
          </cell>
        </row>
        <row r="1459">
          <cell r="B1459" t="str">
            <v>В-21019/КЛ.Транш - 1</v>
          </cell>
          <cell r="D1459">
            <v>79397830641</v>
          </cell>
          <cell r="F1459">
            <v>79397830641</v>
          </cell>
        </row>
        <row r="1460">
          <cell r="B1460" t="str">
            <v>В-21454/КЛ.Транш - 1_В-20211230/Ц</v>
          </cell>
          <cell r="D1460">
            <v>89629392967</v>
          </cell>
          <cell r="F1460">
            <v>79629392967</v>
          </cell>
        </row>
        <row r="1461">
          <cell r="B1461" t="str">
            <v>В-15954/КЛ.Транш - 1</v>
          </cell>
          <cell r="D1461">
            <v>79112345885</v>
          </cell>
          <cell r="F1461">
            <v>79112345885</v>
          </cell>
        </row>
        <row r="1462">
          <cell r="B1462" t="str">
            <v>В-11679/КЛ.Транш - 1</v>
          </cell>
          <cell r="D1462">
            <v>89181360267</v>
          </cell>
          <cell r="F1462">
            <v>79181360267</v>
          </cell>
        </row>
        <row r="1463">
          <cell r="B1463" t="str">
            <v>В-22864/КЛ.Транш - 1</v>
          </cell>
          <cell r="D1463">
            <v>89146692870</v>
          </cell>
          <cell r="F1463">
            <v>79146692870</v>
          </cell>
        </row>
        <row r="1464">
          <cell r="B1464" t="str">
            <v>В-22538/КЛ.Транш - 1</v>
          </cell>
          <cell r="D1464">
            <v>89222155131</v>
          </cell>
          <cell r="F1464">
            <v>79222155131</v>
          </cell>
        </row>
        <row r="1465">
          <cell r="B1465" t="str">
            <v>В-22538/КЛ.Транш - 3</v>
          </cell>
          <cell r="D1465">
            <v>89222155131</v>
          </cell>
          <cell r="F1465">
            <v>79222155131</v>
          </cell>
        </row>
        <row r="1466">
          <cell r="B1466" t="str">
            <v>В-19595/КЛ.Транш - 1</v>
          </cell>
          <cell r="D1466">
            <v>79895113623</v>
          </cell>
          <cell r="F1466">
            <v>79895113623</v>
          </cell>
        </row>
        <row r="1467">
          <cell r="B1467" t="str">
            <v>В-19595/КЛ.Транш - 2</v>
          </cell>
          <cell r="D1467">
            <v>79895113623</v>
          </cell>
          <cell r="F1467">
            <v>79895113623</v>
          </cell>
        </row>
        <row r="1468">
          <cell r="B1468" t="str">
            <v>В-19595/КЛ.Транш - 3</v>
          </cell>
          <cell r="D1468">
            <v>79895113623</v>
          </cell>
          <cell r="F1468">
            <v>79895113623</v>
          </cell>
        </row>
        <row r="1469">
          <cell r="B1469" t="str">
            <v>В-17315/КЛ.Транш - 1_В-20211230/Ц</v>
          </cell>
          <cell r="D1469">
            <v>79374216566</v>
          </cell>
          <cell r="F1469">
            <v>79374216566</v>
          </cell>
        </row>
        <row r="1470">
          <cell r="B1470" t="str">
            <v>В-02777/КЛ.Транш - 1_В-20211230/Ц</v>
          </cell>
          <cell r="D1470" t="str">
            <v>89035063758, 89057418905</v>
          </cell>
          <cell r="F1470">
            <v>79035063758</v>
          </cell>
        </row>
        <row r="1471">
          <cell r="B1471" t="str">
            <v>В-02777/КЛ.Транш - 2_В-20211230/Ц</v>
          </cell>
          <cell r="D1471" t="str">
            <v>89035063758, 89057418905</v>
          </cell>
          <cell r="F1471">
            <v>79035063758</v>
          </cell>
        </row>
        <row r="1472">
          <cell r="B1472" t="str">
            <v>В-04527/КЛ.Транш - 8</v>
          </cell>
          <cell r="D1472">
            <v>89284186057</v>
          </cell>
          <cell r="F1472">
            <v>79284186057</v>
          </cell>
        </row>
        <row r="1473">
          <cell r="B1473" t="str">
            <v>В-02125/КЛ.Транш - 2</v>
          </cell>
          <cell r="D1473">
            <v>89167836999</v>
          </cell>
          <cell r="F1473">
            <v>79167836999</v>
          </cell>
        </row>
        <row r="1474">
          <cell r="B1474" t="str">
            <v>В-16861/КЛ.Транш - 1</v>
          </cell>
          <cell r="D1474">
            <v>79622770058</v>
          </cell>
          <cell r="F1474">
            <v>79622770058</v>
          </cell>
        </row>
        <row r="1475">
          <cell r="B1475" t="str">
            <v>В-18532/КЛ.Транш - 2</v>
          </cell>
          <cell r="D1475">
            <v>89629036084</v>
          </cell>
          <cell r="F1475">
            <v>79629036084</v>
          </cell>
        </row>
        <row r="1476">
          <cell r="B1476" t="str">
            <v>В-18532/КЛ.Транш - 1</v>
          </cell>
          <cell r="D1476">
            <v>89629036084</v>
          </cell>
          <cell r="F1476">
            <v>79629036084</v>
          </cell>
        </row>
        <row r="1477">
          <cell r="B1477" t="str">
            <v>В-09640/КЛ.Транш - 1</v>
          </cell>
          <cell r="D1477">
            <v>79779026405</v>
          </cell>
          <cell r="F1477">
            <v>79779026405</v>
          </cell>
        </row>
        <row r="1478">
          <cell r="B1478" t="str">
            <v>В-17916/КЛ.Транш - 1</v>
          </cell>
          <cell r="D1478">
            <v>79674060120</v>
          </cell>
          <cell r="F1478">
            <v>79674060120</v>
          </cell>
        </row>
        <row r="1479">
          <cell r="B1479" t="str">
            <v>В-08609/КЛ.Транш - 1</v>
          </cell>
          <cell r="D1479">
            <v>79035571505</v>
          </cell>
          <cell r="F1479">
            <v>79035571505</v>
          </cell>
        </row>
        <row r="1480">
          <cell r="B1480" t="str">
            <v>В-08609/КЛ.Транш - 2</v>
          </cell>
          <cell r="D1480">
            <v>79035571505</v>
          </cell>
          <cell r="F1480">
            <v>79035571505</v>
          </cell>
        </row>
        <row r="1481">
          <cell r="B1481" t="str">
            <v>В-21040/КЛ.Транш - 1_В-20211230/Ц</v>
          </cell>
          <cell r="D1481">
            <v>79771704067</v>
          </cell>
          <cell r="F1481">
            <v>79771704067</v>
          </cell>
        </row>
        <row r="1482">
          <cell r="B1482" t="str">
            <v>В-14168/КЛ.Транш - 3</v>
          </cell>
          <cell r="D1482">
            <v>79684450505</v>
          </cell>
          <cell r="F1482">
            <v>79684450505</v>
          </cell>
        </row>
        <row r="1483">
          <cell r="B1483" t="str">
            <v>В-14168/КЛ.Транш - 4</v>
          </cell>
          <cell r="D1483">
            <v>79684450505</v>
          </cell>
          <cell r="F1483">
            <v>79684450505</v>
          </cell>
        </row>
        <row r="1484">
          <cell r="B1484" t="str">
            <v>В-25924/АЗ</v>
          </cell>
          <cell r="D1484">
            <v>79197233364</v>
          </cell>
        </row>
        <row r="1485">
          <cell r="B1485" t="str">
            <v>А-04236/АЗ</v>
          </cell>
          <cell r="D1485">
            <v>79672104280</v>
          </cell>
          <cell r="E1485">
            <v>79672104280</v>
          </cell>
          <cell r="F1485">
            <v>79672104280</v>
          </cell>
        </row>
        <row r="1486">
          <cell r="B1486" t="str">
            <v>В-26114/КЛ.Транш - 1</v>
          </cell>
          <cell r="D1486">
            <v>79967770177</v>
          </cell>
          <cell r="F1486">
            <v>79967770177</v>
          </cell>
        </row>
        <row r="1487">
          <cell r="B1487" t="str">
            <v>В-15698/КЛ.Транш - 1</v>
          </cell>
          <cell r="D1487">
            <v>79998195377</v>
          </cell>
          <cell r="F1487">
            <v>79998195377</v>
          </cell>
        </row>
        <row r="1488">
          <cell r="B1488" t="str">
            <v>В-16959/КЛ.Транш - 1</v>
          </cell>
          <cell r="D1488">
            <v>79997966127</v>
          </cell>
          <cell r="F1488">
            <v>79997966127</v>
          </cell>
        </row>
        <row r="1489">
          <cell r="B1489" t="str">
            <v>В-16959/КЛ.Транш - 2</v>
          </cell>
          <cell r="D1489">
            <v>79997966127</v>
          </cell>
          <cell r="F1489">
            <v>79997966127</v>
          </cell>
        </row>
        <row r="1490">
          <cell r="B1490" t="str">
            <v>В-09247/КЛ.Транш - 1_А-20210929/Ц</v>
          </cell>
          <cell r="D1490">
            <v>79265343777</v>
          </cell>
          <cell r="F1490">
            <v>79265343777</v>
          </cell>
        </row>
        <row r="1491">
          <cell r="B1491" t="str">
            <v>А-00416/КЭ.Транш - 2</v>
          </cell>
        </row>
        <row r="1492">
          <cell r="B1492" t="str">
            <v>В-03329/КЛ.Транш - 11</v>
          </cell>
          <cell r="C1492">
            <v>74954231708</v>
          </cell>
          <cell r="D1492">
            <v>79055552760</v>
          </cell>
          <cell r="E1492">
            <v>79055552760</v>
          </cell>
          <cell r="F1492">
            <v>79055552760</v>
          </cell>
        </row>
        <row r="1493">
          <cell r="B1493" t="str">
            <v>В-03329/КЛ.Транш - 13</v>
          </cell>
          <cell r="C1493">
            <v>74954231708</v>
          </cell>
          <cell r="D1493">
            <v>79055552760</v>
          </cell>
          <cell r="E1493">
            <v>79055552760</v>
          </cell>
          <cell r="F1493">
            <v>79055552760</v>
          </cell>
        </row>
        <row r="1494">
          <cell r="B1494" t="str">
            <v>В-03329/КЛ.Транш - 14</v>
          </cell>
          <cell r="C1494">
            <v>74954231708</v>
          </cell>
          <cell r="D1494">
            <v>79055552760</v>
          </cell>
          <cell r="E1494">
            <v>79055552760</v>
          </cell>
          <cell r="F1494">
            <v>79055552760</v>
          </cell>
        </row>
        <row r="1495">
          <cell r="B1495" t="str">
            <v>В-03329/КЛ.Транш - 12</v>
          </cell>
          <cell r="C1495">
            <v>74954231708</v>
          </cell>
          <cell r="D1495">
            <v>79055552760</v>
          </cell>
          <cell r="E1495">
            <v>79055552760</v>
          </cell>
          <cell r="F1495">
            <v>79055552760</v>
          </cell>
        </row>
        <row r="1496">
          <cell r="B1496" t="str">
            <v>В-13603/КЛ.Транш - 1</v>
          </cell>
          <cell r="D1496">
            <v>89856337777</v>
          </cell>
          <cell r="F1496">
            <v>79856338888</v>
          </cell>
        </row>
        <row r="1497">
          <cell r="B1497" t="str">
            <v>В-13603/КЛ.Транш - 6</v>
          </cell>
          <cell r="D1497">
            <v>89856337777</v>
          </cell>
          <cell r="F1497">
            <v>79856338888</v>
          </cell>
        </row>
        <row r="1498">
          <cell r="B1498" t="str">
            <v>В-13603/КЛ.Транш - 5</v>
          </cell>
          <cell r="D1498">
            <v>89856337777</v>
          </cell>
          <cell r="F1498">
            <v>79856338888</v>
          </cell>
        </row>
        <row r="1499">
          <cell r="B1499" t="str">
            <v>В-13603/КЛ.Транш - 4</v>
          </cell>
          <cell r="D1499">
            <v>89856337777</v>
          </cell>
          <cell r="F1499">
            <v>79856338888</v>
          </cell>
        </row>
        <row r="1500">
          <cell r="B1500" t="str">
            <v>В-13603/КЛ.Транш - 7</v>
          </cell>
          <cell r="D1500">
            <v>89856337777</v>
          </cell>
          <cell r="F1500">
            <v>79856338888</v>
          </cell>
        </row>
        <row r="1501">
          <cell r="B1501" t="str">
            <v>В-01009/АЗ</v>
          </cell>
          <cell r="D1501">
            <v>79296544736</v>
          </cell>
          <cell r="F1501">
            <v>79296544736</v>
          </cell>
        </row>
        <row r="1502">
          <cell r="B1502" t="str">
            <v>Т-01722/АЗ_Т-20211028/Ц</v>
          </cell>
          <cell r="D1502">
            <v>79112263126</v>
          </cell>
          <cell r="F1502">
            <v>79112263126</v>
          </cell>
        </row>
        <row r="1503">
          <cell r="B1503" t="str">
            <v>В-21094/КЛ.Транш - 1</v>
          </cell>
          <cell r="D1503">
            <v>79811397967</v>
          </cell>
          <cell r="F1503">
            <v>79811397967</v>
          </cell>
        </row>
        <row r="1504">
          <cell r="B1504" t="str">
            <v>В-11595/КЛ.Транш - 1_В-20211230/Ц</v>
          </cell>
          <cell r="D1504">
            <v>79260146032</v>
          </cell>
          <cell r="F1504">
            <v>79260146032</v>
          </cell>
        </row>
        <row r="1505">
          <cell r="B1505" t="str">
            <v>В-12813/КЛ.Транш - 1</v>
          </cell>
          <cell r="D1505">
            <v>79165419633</v>
          </cell>
          <cell r="F1505">
            <v>79165419633</v>
          </cell>
        </row>
        <row r="1506">
          <cell r="B1506" t="str">
            <v>В-00854/АЗ</v>
          </cell>
          <cell r="D1506">
            <v>79031286811</v>
          </cell>
          <cell r="F1506">
            <v>79031286811</v>
          </cell>
        </row>
        <row r="1507">
          <cell r="B1507" t="str">
            <v>В-28368/АЗ</v>
          </cell>
          <cell r="D1507">
            <v>79161186757</v>
          </cell>
        </row>
        <row r="1508">
          <cell r="B1508" t="str">
            <v>В-11948/КЛ.Транш - 1</v>
          </cell>
          <cell r="E1508">
            <v>79277774188</v>
          </cell>
          <cell r="F1508">
            <v>79277774188</v>
          </cell>
        </row>
        <row r="1509">
          <cell r="B1509" t="str">
            <v>В-00955/АЗ</v>
          </cell>
          <cell r="D1509">
            <v>79161111516</v>
          </cell>
          <cell r="F1509">
            <v>79161111516</v>
          </cell>
        </row>
        <row r="1510">
          <cell r="B1510" t="str">
            <v>В-27661/КЛ.Транш - 2</v>
          </cell>
          <cell r="D1510">
            <v>89153885548</v>
          </cell>
          <cell r="F1510">
            <v>79153885548</v>
          </cell>
        </row>
        <row r="1511">
          <cell r="B1511" t="str">
            <v>В-20206/КЛ.Транш - 2</v>
          </cell>
          <cell r="D1511">
            <v>79191771892</v>
          </cell>
          <cell r="F1511">
            <v>79191771892</v>
          </cell>
        </row>
        <row r="1512">
          <cell r="B1512" t="str">
            <v>В-18538/КЛ.Транш - 1_В-20211230/Ц</v>
          </cell>
          <cell r="D1512">
            <v>79660036024</v>
          </cell>
          <cell r="F1512">
            <v>79660036024</v>
          </cell>
        </row>
        <row r="1513">
          <cell r="B1513" t="str">
            <v>В-24554/КЛ.Транш - 1</v>
          </cell>
          <cell r="D1513">
            <v>79617141702</v>
          </cell>
          <cell r="F1513">
            <v>79617141702</v>
          </cell>
        </row>
        <row r="1514">
          <cell r="B1514" t="str">
            <v>Т-01868/АЗ_Т-20211028/Ц</v>
          </cell>
          <cell r="D1514">
            <v>79660477576</v>
          </cell>
          <cell r="E1514">
            <v>79660477576</v>
          </cell>
          <cell r="F1514">
            <v>89660477576</v>
          </cell>
        </row>
        <row r="1515">
          <cell r="B1515" t="str">
            <v>В-00892/АЗ</v>
          </cell>
          <cell r="C1515">
            <v>84953182687</v>
          </cell>
          <cell r="D1515">
            <v>89067751593</v>
          </cell>
          <cell r="F1515">
            <v>79067751593</v>
          </cell>
        </row>
        <row r="1516">
          <cell r="B1516" t="str">
            <v>В-21245/КЛ.Транш - 1</v>
          </cell>
          <cell r="D1516">
            <v>79134929319</v>
          </cell>
          <cell r="F1516">
            <v>79134929319</v>
          </cell>
        </row>
        <row r="1517">
          <cell r="B1517" t="str">
            <v>В-21245/КЛ.Транш - 3</v>
          </cell>
          <cell r="D1517">
            <v>79134929319</v>
          </cell>
          <cell r="F1517">
            <v>79134929319</v>
          </cell>
        </row>
        <row r="1518">
          <cell r="B1518" t="str">
            <v>В-21245/КЛ.Транш - 2</v>
          </cell>
          <cell r="D1518">
            <v>79134929319</v>
          </cell>
          <cell r="F1518">
            <v>79134929319</v>
          </cell>
        </row>
        <row r="1519">
          <cell r="B1519" t="str">
            <v>В-01425/КЛ.Транш - 1</v>
          </cell>
          <cell r="D1519">
            <v>79778192293</v>
          </cell>
          <cell r="F1519">
            <v>79778192293</v>
          </cell>
        </row>
        <row r="1520">
          <cell r="B1520" t="str">
            <v>В-13638/КЛ.Транш - 1</v>
          </cell>
          <cell r="D1520">
            <v>79213231062</v>
          </cell>
          <cell r="F1520">
            <v>79213231062</v>
          </cell>
        </row>
        <row r="1521">
          <cell r="B1521" t="str">
            <v>В-28083/КЛ.Транш - 1</v>
          </cell>
          <cell r="D1521">
            <v>89168567622</v>
          </cell>
          <cell r="F1521">
            <v>79168567622</v>
          </cell>
        </row>
        <row r="1522">
          <cell r="B1522" t="str">
            <v>В-20360/КЛ.Транш - 1</v>
          </cell>
          <cell r="D1522">
            <v>79787956719</v>
          </cell>
          <cell r="F1522">
            <v>79787956719</v>
          </cell>
        </row>
        <row r="1523">
          <cell r="B1523" t="str">
            <v>В-01422/КЛ.Транш - 1</v>
          </cell>
          <cell r="C1523">
            <v>74991141410</v>
          </cell>
          <cell r="D1523">
            <v>79057788090</v>
          </cell>
          <cell r="F1523">
            <v>79057788090</v>
          </cell>
        </row>
        <row r="1524">
          <cell r="B1524" t="str">
            <v>В-21911/КЛ.Транш - 1</v>
          </cell>
          <cell r="D1524">
            <v>79104846827</v>
          </cell>
          <cell r="F1524">
            <v>79104846827</v>
          </cell>
        </row>
        <row r="1525">
          <cell r="B1525" t="str">
            <v>В-03450/КЛ.Транш - 1</v>
          </cell>
          <cell r="D1525">
            <v>89164254509</v>
          </cell>
          <cell r="F1525">
            <v>79164254509</v>
          </cell>
        </row>
        <row r="1526">
          <cell r="B1526" t="str">
            <v>В-06852/КЛ.Транш - 3</v>
          </cell>
          <cell r="D1526">
            <v>89205222976</v>
          </cell>
          <cell r="F1526">
            <v>79205222976</v>
          </cell>
        </row>
        <row r="1527">
          <cell r="B1527" t="str">
            <v>В-06852/КЛ.Транш - 2</v>
          </cell>
          <cell r="D1527">
            <v>89205222976</v>
          </cell>
          <cell r="F1527">
            <v>79205222976</v>
          </cell>
        </row>
        <row r="1528">
          <cell r="B1528" t="str">
            <v>В-06852/КЛ.Транш - 1</v>
          </cell>
          <cell r="D1528">
            <v>89205222976</v>
          </cell>
          <cell r="F1528">
            <v>79205222976</v>
          </cell>
        </row>
        <row r="1529">
          <cell r="B1529" t="str">
            <v>В-06992/КЛ.Транш - 1</v>
          </cell>
          <cell r="D1529">
            <v>79160404440</v>
          </cell>
          <cell r="F1529">
            <v>79160404440</v>
          </cell>
        </row>
        <row r="1530">
          <cell r="B1530" t="str">
            <v>В-18654/КЛ.Транш - 1_В-20211230/Ц</v>
          </cell>
          <cell r="D1530">
            <v>79621691503</v>
          </cell>
          <cell r="F1530">
            <v>79621691503</v>
          </cell>
        </row>
        <row r="1531">
          <cell r="B1531" t="str">
            <v>В-13625/КЛ.Транш - 1</v>
          </cell>
          <cell r="D1531">
            <v>79284176335</v>
          </cell>
          <cell r="F1531">
            <v>79284176335</v>
          </cell>
        </row>
        <row r="1532">
          <cell r="B1532" t="str">
            <v>В-27438/АЗ</v>
          </cell>
          <cell r="D1532">
            <v>79263470289</v>
          </cell>
          <cell r="F1532">
            <v>79263470289</v>
          </cell>
        </row>
        <row r="1533">
          <cell r="B1533" t="str">
            <v>В-17853/КЛ.Транш - 1</v>
          </cell>
          <cell r="D1533">
            <v>79773423510</v>
          </cell>
          <cell r="F1533">
            <v>79773423510</v>
          </cell>
        </row>
        <row r="1534">
          <cell r="B1534" t="str">
            <v>В-17853/КЛ.Транш - 5</v>
          </cell>
          <cell r="D1534">
            <v>79773423510</v>
          </cell>
          <cell r="F1534">
            <v>79773423510</v>
          </cell>
        </row>
        <row r="1535">
          <cell r="B1535" t="str">
            <v>В-17853/КЛ.Транш - 3</v>
          </cell>
          <cell r="D1535">
            <v>79773423510</v>
          </cell>
          <cell r="F1535">
            <v>79773423510</v>
          </cell>
        </row>
        <row r="1536">
          <cell r="B1536" t="str">
            <v>В-17853/КЛ.Транш - 2</v>
          </cell>
          <cell r="D1536">
            <v>79773423510</v>
          </cell>
          <cell r="F1536">
            <v>79773423510</v>
          </cell>
        </row>
        <row r="1537">
          <cell r="B1537" t="str">
            <v>В-17853/КЛ.Транш - 4</v>
          </cell>
          <cell r="D1537">
            <v>79773423510</v>
          </cell>
          <cell r="F1537">
            <v>79773423510</v>
          </cell>
        </row>
        <row r="1538">
          <cell r="B1538" t="str">
            <v>В-17853/КЛ.Транш - 6</v>
          </cell>
          <cell r="D1538">
            <v>79773423510</v>
          </cell>
          <cell r="F1538">
            <v>79773423510</v>
          </cell>
        </row>
        <row r="1539">
          <cell r="B1539" t="str">
            <v>В-17853/КЛ.Транш - 7</v>
          </cell>
          <cell r="D1539">
            <v>79773423510</v>
          </cell>
          <cell r="F1539">
            <v>79773423510</v>
          </cell>
        </row>
        <row r="1540">
          <cell r="B1540" t="str">
            <v>В-03738/КЛ.Транш - 1</v>
          </cell>
          <cell r="D1540">
            <v>79998786606</v>
          </cell>
          <cell r="F1540">
            <v>79998486606</v>
          </cell>
        </row>
        <row r="1541">
          <cell r="B1541" t="str">
            <v>В-08454/КЛ.Транш - 1</v>
          </cell>
          <cell r="D1541">
            <v>79779410734</v>
          </cell>
          <cell r="F1541">
            <v>79779410734</v>
          </cell>
        </row>
        <row r="1542">
          <cell r="B1542" t="str">
            <v>В-19891/КЛ.Транш - 1</v>
          </cell>
          <cell r="D1542">
            <v>79146766666</v>
          </cell>
          <cell r="F1542">
            <v>79146766666</v>
          </cell>
        </row>
        <row r="1543">
          <cell r="B1543" t="str">
            <v>В-21184/КЛ.Транш - 1</v>
          </cell>
          <cell r="D1543">
            <v>89127395040</v>
          </cell>
          <cell r="F1543">
            <v>79127395040</v>
          </cell>
        </row>
        <row r="1544">
          <cell r="B1544" t="str">
            <v>В-25966/КЛ.Транш - 1</v>
          </cell>
          <cell r="D1544">
            <v>79629608240</v>
          </cell>
          <cell r="F1544">
            <v>79629608240</v>
          </cell>
        </row>
        <row r="1545">
          <cell r="B1545" t="str">
            <v>В-25966/КЛ.Транш - 2</v>
          </cell>
          <cell r="D1545">
            <v>79629608240</v>
          </cell>
          <cell r="F1545">
            <v>79629608240</v>
          </cell>
        </row>
        <row r="1546">
          <cell r="B1546" t="str">
            <v>В-21872/КЛ.Транш - 1</v>
          </cell>
          <cell r="D1546">
            <v>89652999878</v>
          </cell>
          <cell r="F1546">
            <v>79652999878</v>
          </cell>
        </row>
        <row r="1547">
          <cell r="B1547" t="str">
            <v>В-11050/КЛ.Транш - 1</v>
          </cell>
          <cell r="D1547">
            <v>79851883999</v>
          </cell>
          <cell r="F1547">
            <v>79851883999</v>
          </cell>
        </row>
        <row r="1548">
          <cell r="B1548" t="str">
            <v>В-00690/АЗ_В-20211230/Ц</v>
          </cell>
          <cell r="C1548">
            <v>84956586366</v>
          </cell>
          <cell r="D1548">
            <v>89851613318</v>
          </cell>
          <cell r="F1548">
            <v>79851613318</v>
          </cell>
        </row>
        <row r="1549">
          <cell r="B1549" t="str">
            <v>В-09292/КЛ.Транш - 1_В-20211230/Ц</v>
          </cell>
          <cell r="C1549">
            <v>78123340990</v>
          </cell>
          <cell r="D1549">
            <v>79117238178</v>
          </cell>
          <cell r="F1549">
            <v>79117238178</v>
          </cell>
        </row>
        <row r="1550">
          <cell r="B1550" t="str">
            <v>В-01215/АЗ</v>
          </cell>
          <cell r="C1550">
            <v>84956148106</v>
          </cell>
          <cell r="D1550">
            <v>89166743325</v>
          </cell>
          <cell r="F1550">
            <v>79166743325</v>
          </cell>
        </row>
        <row r="1551">
          <cell r="B1551" t="str">
            <v>В-12662/КЛ.Транш - 1</v>
          </cell>
          <cell r="D1551">
            <v>79156940784</v>
          </cell>
          <cell r="F1551">
            <v>79156940784</v>
          </cell>
        </row>
        <row r="1552">
          <cell r="B1552" t="str">
            <v>В-22889/КЛ.Транш - 3</v>
          </cell>
          <cell r="D1552">
            <v>89276355045</v>
          </cell>
          <cell r="F1552">
            <v>79276355045</v>
          </cell>
        </row>
        <row r="1553">
          <cell r="B1553" t="str">
            <v>В-22889/КЛ.Транш - 2</v>
          </cell>
          <cell r="D1553">
            <v>89276355045</v>
          </cell>
          <cell r="F1553">
            <v>79276355045</v>
          </cell>
        </row>
        <row r="1554">
          <cell r="B1554" t="str">
            <v>В-22889/КЛ.Транш - 1</v>
          </cell>
          <cell r="D1554">
            <v>89276355045</v>
          </cell>
          <cell r="F1554">
            <v>79276355045</v>
          </cell>
        </row>
        <row r="1555">
          <cell r="B1555" t="str">
            <v>В-27250/КЛ.Транш - 1</v>
          </cell>
          <cell r="D1555">
            <v>79377811572</v>
          </cell>
        </row>
        <row r="1556">
          <cell r="B1556" t="str">
            <v>В-27250/КЛ.Транш - 2</v>
          </cell>
          <cell r="D1556">
            <v>79377811572</v>
          </cell>
        </row>
        <row r="1557">
          <cell r="B1557" t="str">
            <v>В-05256/КЛ.Транш - 4</v>
          </cell>
          <cell r="D1557">
            <v>79269416891</v>
          </cell>
          <cell r="F1557">
            <v>79269416891</v>
          </cell>
        </row>
        <row r="1558">
          <cell r="B1558" t="str">
            <v>В-05256/КЛ.Транш - 3</v>
          </cell>
          <cell r="D1558">
            <v>79269416891</v>
          </cell>
          <cell r="F1558">
            <v>79269416891</v>
          </cell>
        </row>
        <row r="1559">
          <cell r="B1559" t="str">
            <v>В-02110/КЛ.Транш - 1</v>
          </cell>
          <cell r="D1559">
            <v>89882404886</v>
          </cell>
          <cell r="F1559">
            <v>79882404886</v>
          </cell>
        </row>
        <row r="1560">
          <cell r="B1560" t="str">
            <v>В-20442/КЛ.Транш - 1_В-20211230/Ц</v>
          </cell>
          <cell r="D1560">
            <v>79964265100</v>
          </cell>
          <cell r="F1560">
            <v>79964265100</v>
          </cell>
        </row>
        <row r="1561">
          <cell r="B1561" t="str">
            <v>В-00182/КЛ.Транш - 1</v>
          </cell>
          <cell r="D1561">
            <v>89064466686</v>
          </cell>
          <cell r="F1561">
            <v>79064466686</v>
          </cell>
        </row>
        <row r="1562">
          <cell r="B1562" t="str">
            <v>В-00182/КЛ.Транш - 2</v>
          </cell>
          <cell r="D1562">
            <v>89064466686</v>
          </cell>
          <cell r="F1562">
            <v>79064466686</v>
          </cell>
        </row>
        <row r="1563">
          <cell r="B1563" t="str">
            <v>В-00314/КЛ.Транш - 84</v>
          </cell>
          <cell r="D1563">
            <v>79778623009</v>
          </cell>
          <cell r="F1563">
            <v>79778623009</v>
          </cell>
        </row>
        <row r="1564">
          <cell r="B1564" t="str">
            <v>В-00314/КЛ.Транш - 85</v>
          </cell>
          <cell r="D1564">
            <v>79778623009</v>
          </cell>
          <cell r="F1564">
            <v>79778623009</v>
          </cell>
        </row>
        <row r="1565">
          <cell r="B1565" t="str">
            <v>В-00314/КЛ.Транш - 86</v>
          </cell>
          <cell r="D1565">
            <v>79778623009</v>
          </cell>
          <cell r="F1565">
            <v>79778623009</v>
          </cell>
        </row>
        <row r="1566">
          <cell r="B1566" t="str">
            <v>В-11287/КЛ.Транш - 2</v>
          </cell>
          <cell r="D1566">
            <v>79265260275</v>
          </cell>
          <cell r="F1566">
            <v>79265260275</v>
          </cell>
        </row>
        <row r="1567">
          <cell r="B1567" t="str">
            <v>В-18631/КЛ.Транш - 1</v>
          </cell>
          <cell r="D1567">
            <v>79268100105</v>
          </cell>
          <cell r="F1567">
            <v>79268100105</v>
          </cell>
        </row>
        <row r="1568">
          <cell r="B1568" t="str">
            <v>В-15750/КЛ.Транш - 3_В-20211230/Ц</v>
          </cell>
          <cell r="D1568">
            <v>79057421218</v>
          </cell>
          <cell r="E1568">
            <v>79067271326</v>
          </cell>
          <cell r="F1568">
            <v>79057421218</v>
          </cell>
        </row>
        <row r="1569">
          <cell r="B1569" t="str">
            <v>В-15750/КЛ.Транш - 1_В-20211230/Ц</v>
          </cell>
          <cell r="D1569">
            <v>79057421218</v>
          </cell>
          <cell r="E1569">
            <v>79067271326</v>
          </cell>
          <cell r="F1569">
            <v>79057421218</v>
          </cell>
        </row>
        <row r="1570">
          <cell r="B1570" t="str">
            <v>В-15750/КЛ.Транш - 2_В-20211230/Ц</v>
          </cell>
          <cell r="D1570">
            <v>79057421218</v>
          </cell>
          <cell r="E1570">
            <v>79067271326</v>
          </cell>
          <cell r="F1570">
            <v>79057421218</v>
          </cell>
        </row>
        <row r="1571">
          <cell r="B1571" t="str">
            <v>В-01200/АЗ_В-20211230/Ц</v>
          </cell>
          <cell r="D1571">
            <v>79067271326</v>
          </cell>
          <cell r="F1571">
            <v>79067271326</v>
          </cell>
        </row>
        <row r="1572">
          <cell r="B1572" t="str">
            <v>В-03206/КЛ.Транш - 1</v>
          </cell>
          <cell r="D1572">
            <v>79660168099</v>
          </cell>
          <cell r="F1572">
            <v>79660168099</v>
          </cell>
        </row>
        <row r="1573">
          <cell r="B1573" t="str">
            <v>А-05231/АЗ</v>
          </cell>
          <cell r="D1573">
            <v>79164153299</v>
          </cell>
          <cell r="E1573">
            <v>79164153299</v>
          </cell>
          <cell r="F1573">
            <v>79164153299</v>
          </cell>
        </row>
        <row r="1574">
          <cell r="B1574" t="str">
            <v>В-25466/АЗ</v>
          </cell>
          <cell r="D1574">
            <v>79037409910</v>
          </cell>
        </row>
        <row r="1575">
          <cell r="B1575" t="str">
            <v>В-23923/КЛ.Транш - 1</v>
          </cell>
          <cell r="D1575">
            <v>79778016312</v>
          </cell>
          <cell r="F1575">
            <v>79778016312</v>
          </cell>
        </row>
        <row r="1576">
          <cell r="B1576" t="str">
            <v>В-02975/КЛ.Транш - 1</v>
          </cell>
          <cell r="C1576">
            <v>88614221285</v>
          </cell>
          <cell r="D1576">
            <v>89189346497</v>
          </cell>
          <cell r="F1576">
            <v>79189346497</v>
          </cell>
        </row>
        <row r="1577">
          <cell r="B1577" t="str">
            <v>А-00029/БЭ</v>
          </cell>
          <cell r="D1577">
            <v>79257295462</v>
          </cell>
          <cell r="E1577">
            <v>79257295462</v>
          </cell>
        </row>
        <row r="1578">
          <cell r="B1578" t="str">
            <v>В-26827/КЛ.Транш - 1</v>
          </cell>
          <cell r="D1578">
            <v>79378844883</v>
          </cell>
        </row>
        <row r="1579">
          <cell r="B1579" t="str">
            <v>В-00638/АЗ</v>
          </cell>
          <cell r="D1579">
            <v>79218744541</v>
          </cell>
          <cell r="F1579">
            <v>79218744541</v>
          </cell>
        </row>
        <row r="1580">
          <cell r="B1580" t="str">
            <v>В-01188/АЗ</v>
          </cell>
          <cell r="D1580">
            <v>79912401545</v>
          </cell>
          <cell r="F1580">
            <v>79912401545</v>
          </cell>
        </row>
        <row r="1581">
          <cell r="B1581" t="str">
            <v>В-00395/АЗ_В-20211230/Ц</v>
          </cell>
          <cell r="D1581">
            <v>79118292202</v>
          </cell>
          <cell r="F1581">
            <v>79118292202</v>
          </cell>
        </row>
        <row r="1582">
          <cell r="B1582" t="str">
            <v>В-24169/АЗ</v>
          </cell>
          <cell r="D1582">
            <v>79258228888</v>
          </cell>
          <cell r="F1582">
            <v>79258228888</v>
          </cell>
        </row>
        <row r="1583">
          <cell r="B1583" t="str">
            <v>В-25425/КЛ.Транш - 1</v>
          </cell>
          <cell r="D1583">
            <v>79892648701</v>
          </cell>
          <cell r="E1583">
            <v>79892648701</v>
          </cell>
          <cell r="F1583">
            <v>79892648701</v>
          </cell>
        </row>
        <row r="1584">
          <cell r="B1584" t="str">
            <v>В-28224/КЛ.Транш - 1</v>
          </cell>
          <cell r="D1584">
            <v>79295331111</v>
          </cell>
        </row>
        <row r="1585">
          <cell r="B1585" t="str">
            <v>В-00051/КЛ.Транш - 1</v>
          </cell>
          <cell r="D1585">
            <v>89121701017</v>
          </cell>
          <cell r="F1585">
            <v>79121701017</v>
          </cell>
        </row>
        <row r="1586">
          <cell r="B1586" t="str">
            <v>В-00051/КЛ.Транш - 2</v>
          </cell>
          <cell r="D1586">
            <v>89121701017</v>
          </cell>
          <cell r="F1586">
            <v>79121701017</v>
          </cell>
        </row>
        <row r="1587">
          <cell r="B1587" t="str">
            <v>В-05377/КЛ.Транш - 2</v>
          </cell>
          <cell r="D1587">
            <v>79099323760</v>
          </cell>
          <cell r="E1587">
            <v>79099323760</v>
          </cell>
          <cell r="F1587">
            <v>79099323760</v>
          </cell>
        </row>
        <row r="1588">
          <cell r="B1588" t="str">
            <v>В-12391/КЛ.Транш - 1_В-20211230/Ц</v>
          </cell>
          <cell r="D1588">
            <v>89262862881</v>
          </cell>
          <cell r="F1588">
            <v>79262862881</v>
          </cell>
        </row>
        <row r="1589">
          <cell r="B1589" t="str">
            <v>В-12391/КЛ.Транш - 2_В-20211230/Ц</v>
          </cell>
          <cell r="D1589">
            <v>89262862881</v>
          </cell>
          <cell r="F1589">
            <v>79262862881</v>
          </cell>
        </row>
        <row r="1590">
          <cell r="B1590" t="str">
            <v>В-28680/КЛ.Транш - 1</v>
          </cell>
          <cell r="D1590">
            <v>89917435696</v>
          </cell>
          <cell r="F1590">
            <v>79917435696</v>
          </cell>
        </row>
        <row r="1591">
          <cell r="B1591" t="str">
            <v>В-05772/КЛ.Транш - 1</v>
          </cell>
          <cell r="D1591">
            <v>89167930703</v>
          </cell>
          <cell r="F1591">
            <v>79167930703</v>
          </cell>
        </row>
        <row r="1592">
          <cell r="B1592" t="str">
            <v>В-19329/КЛ.Транш - 1_В-20211230/Ц</v>
          </cell>
          <cell r="D1592">
            <v>79621905500</v>
          </cell>
          <cell r="F1592">
            <v>79621905500</v>
          </cell>
        </row>
        <row r="1593">
          <cell r="B1593" t="str">
            <v>В-22246/КЛ.Транш - 3</v>
          </cell>
          <cell r="D1593">
            <v>79167878787</v>
          </cell>
          <cell r="E1593">
            <v>79267878787</v>
          </cell>
          <cell r="F1593">
            <v>79167878787</v>
          </cell>
        </row>
        <row r="1594">
          <cell r="B1594" t="str">
            <v>В-28643/АЗ</v>
          </cell>
          <cell r="D1594">
            <v>79166080111</v>
          </cell>
          <cell r="F1594">
            <v>79166080111</v>
          </cell>
        </row>
        <row r="1595">
          <cell r="B1595" t="str">
            <v>В-26449/АЗ</v>
          </cell>
          <cell r="C1595">
            <v>78125837550</v>
          </cell>
          <cell r="D1595">
            <v>79219537332</v>
          </cell>
          <cell r="E1595">
            <v>79219537332</v>
          </cell>
          <cell r="F1595">
            <v>79219537332</v>
          </cell>
        </row>
        <row r="1596">
          <cell r="B1596" t="str">
            <v>В-09719/КЛ.Транш - 1</v>
          </cell>
          <cell r="D1596">
            <v>79223655638</v>
          </cell>
          <cell r="F1596">
            <v>79223655638</v>
          </cell>
        </row>
        <row r="1597">
          <cell r="B1597" t="str">
            <v>А-10090/КЭ.Транш - 2</v>
          </cell>
        </row>
        <row r="1598">
          <cell r="B1598" t="str">
            <v>В-00003/КЭ.Транш - 1_А-20210929/Ц</v>
          </cell>
        </row>
        <row r="1599">
          <cell r="B1599" t="str">
            <v>В-00449/КЛ.Транш - 1</v>
          </cell>
          <cell r="D1599">
            <v>89257845767</v>
          </cell>
          <cell r="F1599">
            <v>79257845767</v>
          </cell>
        </row>
        <row r="1600">
          <cell r="B1600" t="str">
            <v>В-18414/КЛ.Транш - 1</v>
          </cell>
          <cell r="D1600">
            <v>79058451345</v>
          </cell>
          <cell r="F1600">
            <v>79058451345</v>
          </cell>
        </row>
        <row r="1601">
          <cell r="B1601" t="str">
            <v>В-18414/КЛ.Транш - 2</v>
          </cell>
          <cell r="D1601">
            <v>79058451345</v>
          </cell>
          <cell r="F1601">
            <v>79058451345</v>
          </cell>
        </row>
        <row r="1602">
          <cell r="B1602" t="str">
            <v>В-19285/КЛ.Транш - 1</v>
          </cell>
          <cell r="D1602">
            <v>79253202640</v>
          </cell>
          <cell r="F1602">
            <v>79253202640</v>
          </cell>
        </row>
        <row r="1603">
          <cell r="B1603" t="str">
            <v>В-00439/КЛ.Транш - 1</v>
          </cell>
          <cell r="C1603">
            <v>74992064926</v>
          </cell>
          <cell r="D1603">
            <v>79031244788</v>
          </cell>
          <cell r="F1603">
            <v>79031244788</v>
          </cell>
        </row>
        <row r="1604">
          <cell r="B1604" t="str">
            <v>В-00439/КЛ.Транш - 2</v>
          </cell>
          <cell r="C1604">
            <v>74992064926</v>
          </cell>
          <cell r="D1604">
            <v>79031244788</v>
          </cell>
          <cell r="F1604">
            <v>79031244788</v>
          </cell>
        </row>
        <row r="1605">
          <cell r="B1605" t="str">
            <v>А-04028/АЗ</v>
          </cell>
          <cell r="D1605">
            <v>79112102190</v>
          </cell>
          <cell r="E1605">
            <v>79112102190</v>
          </cell>
          <cell r="F1605">
            <v>79112102190</v>
          </cell>
        </row>
        <row r="1606">
          <cell r="B1606" t="str">
            <v>В-14913/КЛ.Транш - 1</v>
          </cell>
          <cell r="D1606">
            <v>79152990588</v>
          </cell>
          <cell r="F1606">
            <v>79152990588</v>
          </cell>
        </row>
        <row r="1607">
          <cell r="B1607" t="str">
            <v>В-13740/КЛ.Транш - 1</v>
          </cell>
          <cell r="D1607">
            <v>79264150405</v>
          </cell>
          <cell r="F1607">
            <v>79264150405</v>
          </cell>
        </row>
        <row r="1608">
          <cell r="B1608" t="str">
            <v>В-15171/КЛ.Транш - 1</v>
          </cell>
          <cell r="D1608">
            <v>79858928860</v>
          </cell>
          <cell r="F1608">
            <v>79858928860</v>
          </cell>
        </row>
        <row r="1609">
          <cell r="B1609" t="str">
            <v>А-05271/АЗ</v>
          </cell>
          <cell r="D1609">
            <v>79652559169</v>
          </cell>
          <cell r="E1609">
            <v>79652559169</v>
          </cell>
        </row>
        <row r="1610">
          <cell r="B1610" t="str">
            <v>В-20623/КЛ.Транш - 1</v>
          </cell>
          <cell r="D1610">
            <v>79311002444</v>
          </cell>
          <cell r="F1610">
            <v>79311002444</v>
          </cell>
        </row>
        <row r="1611">
          <cell r="B1611" t="str">
            <v>В-17423/КЛ.Транш - 1</v>
          </cell>
          <cell r="D1611">
            <v>79990870918</v>
          </cell>
          <cell r="F1611">
            <v>79990870918</v>
          </cell>
        </row>
        <row r="1612">
          <cell r="B1612" t="str">
            <v>В-28889/КЛ.Транш - 1</v>
          </cell>
          <cell r="D1612">
            <v>79082926524</v>
          </cell>
        </row>
        <row r="1613">
          <cell r="B1613" t="str">
            <v>В-00291/АЗ</v>
          </cell>
          <cell r="D1613">
            <v>89251163575</v>
          </cell>
          <cell r="F1613">
            <v>79251163575</v>
          </cell>
        </row>
        <row r="1614">
          <cell r="B1614" t="str">
            <v>В-00726/АЗ</v>
          </cell>
          <cell r="D1614">
            <v>89251163575</v>
          </cell>
          <cell r="F1614">
            <v>79251163575</v>
          </cell>
        </row>
        <row r="1615">
          <cell r="B1615" t="str">
            <v>В-12540/КЛ.Транш - 1</v>
          </cell>
          <cell r="D1615">
            <v>89687515050</v>
          </cell>
          <cell r="F1615">
            <v>79687515050</v>
          </cell>
        </row>
        <row r="1616">
          <cell r="B1616" t="str">
            <v>А-00403/КЭ.Транш - 1</v>
          </cell>
        </row>
        <row r="1617">
          <cell r="B1617" t="str">
            <v>В-25211/АЗ</v>
          </cell>
          <cell r="D1617">
            <v>79819406227</v>
          </cell>
        </row>
        <row r="1618">
          <cell r="B1618" t="str">
            <v>В-00463/КЛ.Транш - 1</v>
          </cell>
          <cell r="C1618">
            <v>89153484524</v>
          </cell>
          <cell r="D1618">
            <v>89036148007</v>
          </cell>
          <cell r="F1618">
            <v>79036148007</v>
          </cell>
        </row>
        <row r="1619">
          <cell r="B1619" t="str">
            <v>В-12791/КЛ.Транш - 4</v>
          </cell>
          <cell r="D1619">
            <v>79685389779</v>
          </cell>
          <cell r="F1619">
            <v>79685389779</v>
          </cell>
        </row>
        <row r="1620">
          <cell r="B1620" t="str">
            <v>В-08065/КЛ.Транш - 1</v>
          </cell>
          <cell r="D1620">
            <v>89298508291</v>
          </cell>
          <cell r="F1620">
            <v>79298508291</v>
          </cell>
        </row>
        <row r="1621">
          <cell r="B1621" t="str">
            <v>А-03756/АЗ</v>
          </cell>
          <cell r="C1621">
            <v>78125680878</v>
          </cell>
          <cell r="D1621">
            <v>79818882788</v>
          </cell>
          <cell r="E1621">
            <v>79818882788</v>
          </cell>
          <cell r="F1621">
            <v>79818882788</v>
          </cell>
        </row>
        <row r="1622">
          <cell r="B1622" t="str">
            <v>В-24909/АЗ</v>
          </cell>
          <cell r="D1622">
            <v>89522389764</v>
          </cell>
          <cell r="F1622">
            <v>79522389764</v>
          </cell>
        </row>
        <row r="1623">
          <cell r="B1623" t="str">
            <v>В-00608/АЗ</v>
          </cell>
          <cell r="D1623">
            <v>79637153829</v>
          </cell>
          <cell r="F1623">
            <v>79637153829</v>
          </cell>
        </row>
        <row r="1624">
          <cell r="B1624" t="str">
            <v>В-00932/АЗ</v>
          </cell>
          <cell r="D1624">
            <v>79637153829</v>
          </cell>
          <cell r="F1624">
            <v>79637153829</v>
          </cell>
        </row>
        <row r="1625">
          <cell r="B1625" t="str">
            <v>В-10466/КЛ.Транш - 1</v>
          </cell>
          <cell r="C1625">
            <v>84957746560</v>
          </cell>
          <cell r="D1625" t="str">
            <v>89167239743, 89096377766</v>
          </cell>
          <cell r="F1625">
            <v>79167239743</v>
          </cell>
        </row>
        <row r="1626">
          <cell r="B1626" t="str">
            <v>В-12693/КЛ.Транш - 2</v>
          </cell>
          <cell r="D1626">
            <v>89165232608</v>
          </cell>
          <cell r="F1626">
            <v>79165232608</v>
          </cell>
        </row>
        <row r="1627">
          <cell r="B1627" t="str">
            <v>В-12693/КЛ.Транш - 4</v>
          </cell>
          <cell r="D1627">
            <v>89165232608</v>
          </cell>
          <cell r="F1627">
            <v>79165232608</v>
          </cell>
        </row>
        <row r="1628">
          <cell r="B1628" t="str">
            <v>В-12693/КЛ.Транш - 3</v>
          </cell>
          <cell r="D1628">
            <v>89165232608</v>
          </cell>
          <cell r="F1628">
            <v>79165232608</v>
          </cell>
        </row>
        <row r="1629">
          <cell r="B1629" t="str">
            <v>А-00446/КЭ.Транш - 1</v>
          </cell>
        </row>
        <row r="1630">
          <cell r="B1630" t="str">
            <v>А-00446/КЭ.Транш - 2</v>
          </cell>
        </row>
        <row r="1631">
          <cell r="B1631" t="str">
            <v>В-21972/КЛ.Транш - 2</v>
          </cell>
          <cell r="D1631">
            <v>7999631641</v>
          </cell>
          <cell r="E1631">
            <v>79996313641</v>
          </cell>
          <cell r="F1631">
            <v>79996313641</v>
          </cell>
        </row>
        <row r="1632">
          <cell r="B1632" t="str">
            <v>В-26592/КЛ.Транш - 1</v>
          </cell>
          <cell r="D1632">
            <v>79996992736</v>
          </cell>
          <cell r="F1632">
            <v>79996992736</v>
          </cell>
        </row>
        <row r="1633">
          <cell r="B1633" t="str">
            <v>В-25306/КЛ.Транш - 1</v>
          </cell>
          <cell r="D1633">
            <v>79184037119</v>
          </cell>
          <cell r="F1633">
            <v>79184037119</v>
          </cell>
        </row>
        <row r="1634">
          <cell r="B1634" t="str">
            <v>В-19355/КЛ.Транш - 1</v>
          </cell>
          <cell r="D1634">
            <v>79163572699</v>
          </cell>
          <cell r="F1634">
            <v>79163572699</v>
          </cell>
        </row>
        <row r="1635">
          <cell r="B1635" t="str">
            <v>В-20449/КЛ.Транш - 1</v>
          </cell>
          <cell r="D1635">
            <v>79856935772</v>
          </cell>
          <cell r="F1635">
            <v>79856935772</v>
          </cell>
        </row>
        <row r="1636">
          <cell r="B1636" t="str">
            <v>В-24172/АЗ</v>
          </cell>
          <cell r="D1636">
            <v>79653030110</v>
          </cell>
          <cell r="F1636">
            <v>79653030110</v>
          </cell>
        </row>
        <row r="1637">
          <cell r="B1637" t="str">
            <v>В-17752/КЛ.Транш - 1</v>
          </cell>
          <cell r="D1637">
            <v>79142198143</v>
          </cell>
          <cell r="F1637">
            <v>79142198143</v>
          </cell>
        </row>
        <row r="1638">
          <cell r="B1638" t="str">
            <v>В-17752/КЛ.Транш - 2</v>
          </cell>
          <cell r="D1638">
            <v>79142198143</v>
          </cell>
          <cell r="F1638">
            <v>79142198143</v>
          </cell>
        </row>
        <row r="1639">
          <cell r="B1639" t="str">
            <v>В-28376/КЛ.Транш - 1</v>
          </cell>
          <cell r="D1639">
            <v>79124972991</v>
          </cell>
        </row>
        <row r="1640">
          <cell r="B1640" t="str">
            <v>В-03365/КЛ.Транш - 2</v>
          </cell>
          <cell r="D1640" t="str">
            <v>79217997111, 79211820088</v>
          </cell>
          <cell r="F1640">
            <v>79211820088</v>
          </cell>
        </row>
        <row r="1641">
          <cell r="B1641" t="str">
            <v>В-03365/КЛ.Транш - 3</v>
          </cell>
          <cell r="D1641" t="str">
            <v>79217997111, 79211820088</v>
          </cell>
          <cell r="F1641">
            <v>79211820088</v>
          </cell>
        </row>
        <row r="1642">
          <cell r="B1642" t="str">
            <v>В-03365/КЛ.Транш - 5</v>
          </cell>
          <cell r="D1642" t="str">
            <v>79217997111, 79211820088</v>
          </cell>
          <cell r="F1642">
            <v>79211820088</v>
          </cell>
        </row>
        <row r="1643">
          <cell r="B1643" t="str">
            <v>В-03365/КЛ.Транш - 4</v>
          </cell>
          <cell r="D1643" t="str">
            <v>79217997111, 79211820088</v>
          </cell>
          <cell r="F1643">
            <v>79211820088</v>
          </cell>
        </row>
        <row r="1644">
          <cell r="B1644" t="str">
            <v>В-10026/КЭ.Транш - 1</v>
          </cell>
        </row>
        <row r="1645">
          <cell r="B1645" t="str">
            <v>В-20931/КЛ.Транш - 1</v>
          </cell>
          <cell r="D1645">
            <v>89211899999</v>
          </cell>
          <cell r="F1645">
            <v>79211899999</v>
          </cell>
        </row>
        <row r="1646">
          <cell r="B1646" t="str">
            <v>В-20931/КЛ.Транш - 2</v>
          </cell>
          <cell r="D1646">
            <v>89211899999</v>
          </cell>
          <cell r="F1646">
            <v>79211899999</v>
          </cell>
        </row>
        <row r="1647">
          <cell r="B1647" t="str">
            <v>В-00178/КЛ.Транш - 1</v>
          </cell>
          <cell r="D1647">
            <v>79267586613</v>
          </cell>
          <cell r="F1647">
            <v>79267586613</v>
          </cell>
        </row>
        <row r="1648">
          <cell r="B1648" t="str">
            <v>В-11830/КЛ.Транш - 1</v>
          </cell>
          <cell r="F1648">
            <v>79064381838</v>
          </cell>
        </row>
        <row r="1649">
          <cell r="B1649" t="str">
            <v>В-09174/КЛ.Транш - 9</v>
          </cell>
          <cell r="D1649">
            <v>79047520322</v>
          </cell>
          <cell r="F1649">
            <v>79047520322</v>
          </cell>
        </row>
        <row r="1650">
          <cell r="B1650" t="str">
            <v>В-09174/КЛ.Транш - 10</v>
          </cell>
          <cell r="D1650">
            <v>79047520322</v>
          </cell>
          <cell r="F1650">
            <v>79047520322</v>
          </cell>
        </row>
        <row r="1651">
          <cell r="B1651" t="str">
            <v>В-09174/КЛ.Транш - 7</v>
          </cell>
          <cell r="D1651">
            <v>79047520322</v>
          </cell>
          <cell r="F1651">
            <v>79047520322</v>
          </cell>
        </row>
        <row r="1652">
          <cell r="B1652" t="str">
            <v>В-09174/КЛ.Транш - 8</v>
          </cell>
          <cell r="D1652">
            <v>79047520322</v>
          </cell>
          <cell r="F1652">
            <v>79047520322</v>
          </cell>
        </row>
        <row r="1653">
          <cell r="B1653" t="str">
            <v>В-20251/КЛ.Транш - 2</v>
          </cell>
          <cell r="D1653">
            <v>79264620143</v>
          </cell>
          <cell r="F1653">
            <v>79264620143</v>
          </cell>
        </row>
        <row r="1654">
          <cell r="B1654" t="str">
            <v>В-01035/АЗ</v>
          </cell>
          <cell r="D1654">
            <v>79161613613</v>
          </cell>
          <cell r="F1654">
            <v>79161613613</v>
          </cell>
        </row>
        <row r="1655">
          <cell r="B1655" t="str">
            <v>В-01017/АЗ</v>
          </cell>
          <cell r="D1655">
            <v>79161613613</v>
          </cell>
          <cell r="F1655">
            <v>79161613613</v>
          </cell>
        </row>
        <row r="1656">
          <cell r="B1656" t="str">
            <v>В-26242/КЛ.Транш - 1</v>
          </cell>
          <cell r="D1656">
            <v>79206545207</v>
          </cell>
        </row>
        <row r="1657">
          <cell r="B1657" t="str">
            <v>В-24580/КЛ.Транш - 1</v>
          </cell>
          <cell r="D1657">
            <v>89646299696</v>
          </cell>
          <cell r="F1657">
            <v>79646299696</v>
          </cell>
        </row>
        <row r="1658">
          <cell r="B1658" t="str">
            <v>В-18317/КЛ.Транш - 1</v>
          </cell>
          <cell r="C1658">
            <v>84992017974</v>
          </cell>
          <cell r="D1658">
            <v>89036121416</v>
          </cell>
          <cell r="F1658">
            <v>79036121416</v>
          </cell>
        </row>
        <row r="1659">
          <cell r="B1659" t="str">
            <v>В-26237/КЛ.Транш - 1</v>
          </cell>
          <cell r="D1659">
            <v>79264723692</v>
          </cell>
          <cell r="F1659">
            <v>79264723692</v>
          </cell>
        </row>
        <row r="1660">
          <cell r="B1660" t="str">
            <v>В-27788/КЛ.Транш - 1</v>
          </cell>
          <cell r="D1660">
            <v>79034048781</v>
          </cell>
        </row>
        <row r="1661">
          <cell r="B1661" t="str">
            <v>В-00271/АЗ_Т-20211028/Ц</v>
          </cell>
          <cell r="D1661">
            <v>89161527901</v>
          </cell>
          <cell r="F1661">
            <v>79161527901</v>
          </cell>
        </row>
        <row r="1662">
          <cell r="B1662" t="str">
            <v>В-06818/КЛ.Транш - 1</v>
          </cell>
          <cell r="D1662">
            <v>79215568512</v>
          </cell>
          <cell r="F1662">
            <v>79215568512</v>
          </cell>
        </row>
        <row r="1663">
          <cell r="B1663" t="str">
            <v>В-12152/КЛ.Транш - 1</v>
          </cell>
          <cell r="D1663">
            <v>79779552327</v>
          </cell>
          <cell r="F1663">
            <v>79779552327</v>
          </cell>
        </row>
        <row r="1664">
          <cell r="B1664" t="str">
            <v>В-24754/КЛ.Транш - 1</v>
          </cell>
          <cell r="D1664">
            <v>89852269623</v>
          </cell>
          <cell r="F1664">
            <v>79852269623</v>
          </cell>
        </row>
        <row r="1665">
          <cell r="B1665" t="str">
            <v>В-02902/КЛ.Транш - 1_В-20211230/Ц</v>
          </cell>
          <cell r="D1665">
            <v>89611346867</v>
          </cell>
          <cell r="F1665">
            <v>79611346867</v>
          </cell>
        </row>
        <row r="1666">
          <cell r="B1666" t="str">
            <v>В-28433/КЛ.Транш - 1</v>
          </cell>
          <cell r="D1666">
            <v>79122443945</v>
          </cell>
        </row>
        <row r="1667">
          <cell r="B1667" t="str">
            <v>В-28906/КЛ.Транш - 1</v>
          </cell>
          <cell r="D1667">
            <v>89622259165</v>
          </cell>
          <cell r="F1667">
            <v>79622259165</v>
          </cell>
        </row>
        <row r="1668">
          <cell r="B1668" t="str">
            <v>В-23940/АЗ</v>
          </cell>
          <cell r="D1668">
            <v>79096579794</v>
          </cell>
          <cell r="F1668">
            <v>79096579794</v>
          </cell>
        </row>
        <row r="1669">
          <cell r="B1669" t="str">
            <v>В-25764/КЛ.Транш - 1</v>
          </cell>
          <cell r="D1669">
            <v>89202421917</v>
          </cell>
          <cell r="F1669">
            <v>79202421917</v>
          </cell>
        </row>
        <row r="1670">
          <cell r="B1670" t="str">
            <v>В-20544/КЛ.Транш - 1</v>
          </cell>
          <cell r="D1670">
            <v>79207306661</v>
          </cell>
          <cell r="E1670">
            <v>79207351666</v>
          </cell>
          <cell r="F1670">
            <v>79207306661</v>
          </cell>
        </row>
        <row r="1671">
          <cell r="B1671" t="str">
            <v>В-14544/КЛ.Транш - 1</v>
          </cell>
          <cell r="D1671">
            <v>79998242758</v>
          </cell>
          <cell r="F1671">
            <v>79998242758</v>
          </cell>
        </row>
        <row r="1672">
          <cell r="B1672" t="str">
            <v>В-14544/КЛ.Транш - 2</v>
          </cell>
          <cell r="D1672">
            <v>79998242758</v>
          </cell>
          <cell r="F1672">
            <v>79998242758</v>
          </cell>
        </row>
        <row r="1673">
          <cell r="B1673" t="str">
            <v>В-22238/КЛ.Транш - 1_В20211230/Ц</v>
          </cell>
          <cell r="D1673">
            <v>89257376406</v>
          </cell>
          <cell r="F1673">
            <v>79257376406</v>
          </cell>
        </row>
        <row r="1674">
          <cell r="B1674" t="str">
            <v>В-05365/КЛ.Транш - 2</v>
          </cell>
          <cell r="D1674">
            <v>79254057353</v>
          </cell>
          <cell r="F1674">
            <v>79254057353</v>
          </cell>
        </row>
        <row r="1675">
          <cell r="B1675" t="str">
            <v>В-05365/КЛ.Транш - 5</v>
          </cell>
          <cell r="D1675">
            <v>79254057353</v>
          </cell>
          <cell r="F1675">
            <v>79254057353</v>
          </cell>
        </row>
        <row r="1676">
          <cell r="B1676" t="str">
            <v>В-05365/КЛ.Транш - 3</v>
          </cell>
          <cell r="D1676">
            <v>79254057353</v>
          </cell>
          <cell r="F1676">
            <v>79254057353</v>
          </cell>
        </row>
        <row r="1677">
          <cell r="B1677" t="str">
            <v>В-01319/КЛ.Транш - 1</v>
          </cell>
          <cell r="D1677">
            <v>89153197526</v>
          </cell>
          <cell r="F1677">
            <v>79153197526</v>
          </cell>
        </row>
        <row r="1678">
          <cell r="B1678" t="str">
            <v>В-00896/АЗ</v>
          </cell>
          <cell r="C1678">
            <v>74997395574</v>
          </cell>
          <cell r="D1678">
            <v>79856007744</v>
          </cell>
          <cell r="E1678">
            <v>79856007744</v>
          </cell>
          <cell r="F1678">
            <v>79856007744</v>
          </cell>
        </row>
        <row r="1679">
          <cell r="B1679" t="str">
            <v>В-00478/КЛ.Транш - 1</v>
          </cell>
          <cell r="D1679">
            <v>89152122617</v>
          </cell>
          <cell r="F1679">
            <v>79152122617</v>
          </cell>
        </row>
        <row r="1680">
          <cell r="B1680" t="str">
            <v>В-00478/КЛ.Транш - 2</v>
          </cell>
          <cell r="D1680">
            <v>89152122617</v>
          </cell>
          <cell r="F1680">
            <v>79152122617</v>
          </cell>
        </row>
        <row r="1681">
          <cell r="B1681" t="str">
            <v>В-13034/КЛ.Транш - 2</v>
          </cell>
          <cell r="D1681">
            <v>89223428176</v>
          </cell>
          <cell r="F1681">
            <v>79223428176</v>
          </cell>
        </row>
        <row r="1682">
          <cell r="B1682" t="str">
            <v>В-13034/КЛ.Транш - 1</v>
          </cell>
          <cell r="D1682">
            <v>89223428176</v>
          </cell>
          <cell r="F1682">
            <v>79223428176</v>
          </cell>
        </row>
        <row r="1683">
          <cell r="B1683" t="str">
            <v>В-02105/КЛ.Транш - 1</v>
          </cell>
          <cell r="D1683">
            <v>79817100666</v>
          </cell>
          <cell r="F1683">
            <v>79817100666</v>
          </cell>
        </row>
        <row r="1684">
          <cell r="B1684" t="str">
            <v>Т-01799/АЗ_В-20211230/Ц</v>
          </cell>
          <cell r="D1684">
            <v>89220003323</v>
          </cell>
          <cell r="F1684">
            <v>79220003323</v>
          </cell>
        </row>
        <row r="1685">
          <cell r="B1685" t="str">
            <v>В-10433/КЛ.Транш - 1</v>
          </cell>
          <cell r="D1685">
            <v>79268686455</v>
          </cell>
          <cell r="F1685">
            <v>79268686455</v>
          </cell>
        </row>
        <row r="1686">
          <cell r="B1686" t="str">
            <v>В-10433/КЛ.Транш - 2</v>
          </cell>
          <cell r="D1686">
            <v>79268686455</v>
          </cell>
          <cell r="F1686">
            <v>79268686455</v>
          </cell>
        </row>
        <row r="1687">
          <cell r="B1687" t="str">
            <v>В-00733/АЗ_В-20211230/Ц</v>
          </cell>
          <cell r="D1687">
            <v>89853377416</v>
          </cell>
          <cell r="F1687">
            <v>79853377416</v>
          </cell>
        </row>
        <row r="1688">
          <cell r="B1688" t="str">
            <v>В-10701/КЛ.Транш - 2</v>
          </cell>
          <cell r="D1688" t="str">
            <v>79650346204, 89535282032</v>
          </cell>
          <cell r="F1688">
            <v>79650346204</v>
          </cell>
        </row>
        <row r="1689">
          <cell r="B1689" t="str">
            <v>В-10701/КЛ.Транш - 1</v>
          </cell>
          <cell r="D1689" t="str">
            <v>79650346204, 89535282032</v>
          </cell>
          <cell r="F1689">
            <v>79650346204</v>
          </cell>
        </row>
        <row r="1690">
          <cell r="B1690" t="str">
            <v>В-00966/АЗ</v>
          </cell>
          <cell r="D1690">
            <v>89267240919</v>
          </cell>
          <cell r="F1690">
            <v>79267240919</v>
          </cell>
        </row>
        <row r="1691">
          <cell r="B1691" t="str">
            <v>В-01080/КЛ.Транш - 5</v>
          </cell>
          <cell r="C1691">
            <v>84965150214</v>
          </cell>
          <cell r="D1691">
            <v>89263241855</v>
          </cell>
          <cell r="F1691">
            <v>79263241855</v>
          </cell>
        </row>
        <row r="1692">
          <cell r="B1692" t="str">
            <v>В-18022/КЛ.Транш - 1_В-20211230/Ц</v>
          </cell>
          <cell r="D1692">
            <v>79242511127</v>
          </cell>
          <cell r="F1692">
            <v>79143591608</v>
          </cell>
        </row>
        <row r="1693">
          <cell r="B1693" t="str">
            <v>А-00410/КЭ.Транш - 1</v>
          </cell>
        </row>
        <row r="1694">
          <cell r="B1694" t="str">
            <v>В-30006/КЭ.Транш - 2</v>
          </cell>
        </row>
        <row r="1695">
          <cell r="B1695" t="str">
            <v>В-30006/КЭ.Транш - 1</v>
          </cell>
        </row>
        <row r="1696">
          <cell r="B1696" t="str">
            <v>В-30004/КЭ.Транш - 1</v>
          </cell>
        </row>
        <row r="1697">
          <cell r="B1697" t="str">
            <v>В-21946/КЛ.Транш - 1</v>
          </cell>
          <cell r="D1697">
            <v>89167958397</v>
          </cell>
          <cell r="F1697">
            <v>79167958397</v>
          </cell>
        </row>
        <row r="1698">
          <cell r="B1698" t="str">
            <v>В-03765/КЛ.Транш - 14</v>
          </cell>
          <cell r="C1698">
            <v>84997494577</v>
          </cell>
          <cell r="D1698">
            <v>89267166785</v>
          </cell>
          <cell r="F1698">
            <v>79267166785</v>
          </cell>
        </row>
        <row r="1699">
          <cell r="B1699" t="str">
            <v>В-03765/КЛ.Транш - 11</v>
          </cell>
          <cell r="C1699">
            <v>84997494577</v>
          </cell>
          <cell r="D1699">
            <v>89267166785</v>
          </cell>
          <cell r="F1699">
            <v>79267166785</v>
          </cell>
        </row>
        <row r="1700">
          <cell r="B1700" t="str">
            <v>В-03765/КЛ.Транш - 12</v>
          </cell>
          <cell r="C1700">
            <v>84997494577</v>
          </cell>
          <cell r="D1700">
            <v>89267166785</v>
          </cell>
          <cell r="F1700">
            <v>79267166785</v>
          </cell>
        </row>
        <row r="1701">
          <cell r="B1701" t="str">
            <v>В-03765/КЛ.Транш - 13</v>
          </cell>
          <cell r="C1701">
            <v>84997494577</v>
          </cell>
          <cell r="D1701">
            <v>89267166785</v>
          </cell>
          <cell r="F1701">
            <v>79267166785</v>
          </cell>
        </row>
        <row r="1702">
          <cell r="B1702" t="str">
            <v>В-20109/КЛ.Транш - 1</v>
          </cell>
          <cell r="D1702">
            <v>79064511521</v>
          </cell>
          <cell r="F1702">
            <v>79064511521</v>
          </cell>
        </row>
        <row r="1703">
          <cell r="B1703" t="str">
            <v>В-01089/АЗ</v>
          </cell>
          <cell r="C1703">
            <v>74956182375</v>
          </cell>
          <cell r="D1703">
            <v>79153518882</v>
          </cell>
          <cell r="E1703">
            <v>79153518882</v>
          </cell>
          <cell r="F1703">
            <v>79153518882</v>
          </cell>
        </row>
        <row r="1704">
          <cell r="B1704" t="str">
            <v>А-05381/АЗ</v>
          </cell>
          <cell r="C1704">
            <v>74956182375</v>
          </cell>
          <cell r="D1704">
            <v>79153518882</v>
          </cell>
          <cell r="E1704">
            <v>79153518882</v>
          </cell>
          <cell r="F1704">
            <v>79153518882</v>
          </cell>
        </row>
        <row r="1705">
          <cell r="B1705" t="str">
            <v>Т-01821/АЗ_Т-20211028/Ц</v>
          </cell>
          <cell r="C1705">
            <v>74956182375</v>
          </cell>
          <cell r="D1705">
            <v>79153518882</v>
          </cell>
          <cell r="E1705">
            <v>79153518882</v>
          </cell>
          <cell r="F1705">
            <v>79153518882</v>
          </cell>
        </row>
        <row r="1706">
          <cell r="B1706" t="str">
            <v>В-06186/КЛ.Транш - 1_А-20210929/Ц</v>
          </cell>
          <cell r="D1706">
            <v>79651049468</v>
          </cell>
          <cell r="F1706">
            <v>79651049468</v>
          </cell>
        </row>
        <row r="1707">
          <cell r="B1707" t="str">
            <v>В-06186/КЛ.Транш - 2_А-20210929/Ц</v>
          </cell>
          <cell r="D1707">
            <v>79651049468</v>
          </cell>
          <cell r="F1707">
            <v>79651049468</v>
          </cell>
        </row>
        <row r="1708">
          <cell r="B1708" t="str">
            <v>В-08603/КЛ.Транш - 1</v>
          </cell>
          <cell r="D1708">
            <v>79158532878</v>
          </cell>
          <cell r="F1708">
            <v>79158532878</v>
          </cell>
        </row>
        <row r="1709">
          <cell r="B1709" t="str">
            <v>В-00498/КЛ.Транш - 2</v>
          </cell>
          <cell r="C1709">
            <v>78124460901</v>
          </cell>
          <cell r="D1709">
            <v>79219185170</v>
          </cell>
          <cell r="F1709">
            <v>79219185170</v>
          </cell>
        </row>
        <row r="1710">
          <cell r="B1710" t="str">
            <v>А-04171/АЗ</v>
          </cell>
          <cell r="C1710">
            <v>74999083718</v>
          </cell>
          <cell r="D1710">
            <v>79269363002</v>
          </cell>
          <cell r="E1710">
            <v>79269363002</v>
          </cell>
          <cell r="F1710">
            <v>79269363002</v>
          </cell>
        </row>
        <row r="1711">
          <cell r="B1711" t="str">
            <v>Т-01865/АЗ_Т-20211028/Ц</v>
          </cell>
          <cell r="C1711">
            <v>74955889236</v>
          </cell>
          <cell r="D1711">
            <v>79164885887</v>
          </cell>
          <cell r="F1711">
            <v>79164885887</v>
          </cell>
        </row>
        <row r="1712">
          <cell r="B1712" t="str">
            <v>В-12716/КЛ.Транш - 1</v>
          </cell>
          <cell r="D1712">
            <v>89107795024</v>
          </cell>
          <cell r="F1712">
            <v>79107795024</v>
          </cell>
        </row>
        <row r="1713">
          <cell r="B1713" t="str">
            <v>В-01252/КЛ.Транш - 1_В-20211230/Ц</v>
          </cell>
          <cell r="D1713">
            <v>79110297773</v>
          </cell>
          <cell r="F1713">
            <v>79110297773</v>
          </cell>
        </row>
        <row r="1714">
          <cell r="B1714" t="str">
            <v>В-00818/АЗ</v>
          </cell>
          <cell r="D1714">
            <v>79897501234</v>
          </cell>
          <cell r="F1714">
            <v>79897501234</v>
          </cell>
        </row>
        <row r="1715">
          <cell r="B1715" t="str">
            <v>В-19252/КЛ.Транш - 1</v>
          </cell>
          <cell r="D1715" t="str">
            <v>89035260173, 84959833436</v>
          </cell>
          <cell r="F1715">
            <v>79035260173</v>
          </cell>
        </row>
        <row r="1716">
          <cell r="B1716" t="str">
            <v>В-12269/КЛ.Транш - 1</v>
          </cell>
          <cell r="D1716">
            <v>79268140732</v>
          </cell>
          <cell r="F1716">
            <v>79268140732</v>
          </cell>
        </row>
        <row r="1717">
          <cell r="B1717" t="str">
            <v>В-21352/КЛ.Транш - 1</v>
          </cell>
          <cell r="D1717">
            <v>79268711354</v>
          </cell>
          <cell r="F1717">
            <v>79268711354</v>
          </cell>
        </row>
        <row r="1718">
          <cell r="B1718" t="str">
            <v>В-21352/КЛ.Транш - 3</v>
          </cell>
          <cell r="D1718">
            <v>79268711354</v>
          </cell>
          <cell r="F1718">
            <v>79268711354</v>
          </cell>
        </row>
        <row r="1719">
          <cell r="B1719" t="str">
            <v>В-21352/КЛ.Транш - 2</v>
          </cell>
          <cell r="D1719">
            <v>79268711354</v>
          </cell>
          <cell r="F1719">
            <v>79268711354</v>
          </cell>
        </row>
        <row r="1720">
          <cell r="B1720" t="str">
            <v>В-09213/КЛ.Транш - 1</v>
          </cell>
          <cell r="D1720">
            <v>79150995788</v>
          </cell>
          <cell r="E1720">
            <v>79035708460</v>
          </cell>
          <cell r="F1720">
            <v>79150995788</v>
          </cell>
        </row>
        <row r="1721">
          <cell r="B1721" t="str">
            <v>В-26644/КЛ.Транш - 1</v>
          </cell>
          <cell r="D1721">
            <v>89660875445</v>
          </cell>
          <cell r="F1721">
            <v>79660875445</v>
          </cell>
        </row>
        <row r="1722">
          <cell r="B1722" t="str">
            <v>А-10037/КЭ.Транш - 1</v>
          </cell>
        </row>
        <row r="1723">
          <cell r="B1723" t="str">
            <v>А-00366/КЭ.Транш - 3</v>
          </cell>
        </row>
        <row r="1724">
          <cell r="B1724" t="str">
            <v>А-05195/АЗ</v>
          </cell>
          <cell r="D1724">
            <v>79266395888</v>
          </cell>
          <cell r="E1724">
            <v>79266395888</v>
          </cell>
        </row>
        <row r="1725">
          <cell r="B1725" t="str">
            <v>Т-01754/АЗ_20190723/Ц</v>
          </cell>
          <cell r="D1725">
            <v>79266395888</v>
          </cell>
          <cell r="E1725">
            <v>79266395888</v>
          </cell>
        </row>
        <row r="1726">
          <cell r="B1726" t="str">
            <v>В-00547/АЗ</v>
          </cell>
          <cell r="D1726">
            <v>79661018911</v>
          </cell>
          <cell r="F1726">
            <v>79661018911</v>
          </cell>
        </row>
        <row r="1727">
          <cell r="B1727" t="str">
            <v>В-07377/КЛ.Транш - 1</v>
          </cell>
          <cell r="D1727">
            <v>79111303089</v>
          </cell>
          <cell r="F1727">
            <v>79111303089</v>
          </cell>
        </row>
        <row r="1728">
          <cell r="B1728" t="str">
            <v>В-24072/АЗ_В-20211230/Ц</v>
          </cell>
          <cell r="D1728">
            <v>79998708670</v>
          </cell>
          <cell r="F1728">
            <v>79998708670</v>
          </cell>
        </row>
        <row r="1729">
          <cell r="B1729" t="str">
            <v>В-29007/КЛ.Транш - 1</v>
          </cell>
          <cell r="D1729">
            <v>79378402894</v>
          </cell>
        </row>
        <row r="1730">
          <cell r="B1730" t="str">
            <v>В-23901/КЛ.Транш - 1</v>
          </cell>
          <cell r="D1730">
            <v>79263845053</v>
          </cell>
          <cell r="F1730">
            <v>79263845053</v>
          </cell>
        </row>
        <row r="1731">
          <cell r="B1731" t="str">
            <v>В-19457/КЛ.Транш - 1</v>
          </cell>
          <cell r="D1731">
            <v>79807162030</v>
          </cell>
          <cell r="F1731">
            <v>79807162030</v>
          </cell>
        </row>
        <row r="1732">
          <cell r="B1732" t="str">
            <v>Т-01835/АЗ_Т-20211028/Ц</v>
          </cell>
          <cell r="E1732">
            <v>79199683989</v>
          </cell>
        </row>
        <row r="1733">
          <cell r="B1733" t="str">
            <v>Т-01880/АЗ_Т-20211028/Ц</v>
          </cell>
          <cell r="D1733">
            <v>79651729544</v>
          </cell>
          <cell r="F1733">
            <v>79651729544</v>
          </cell>
        </row>
        <row r="1734">
          <cell r="B1734" t="str">
            <v>В-01013/КЛ.Транш - 1</v>
          </cell>
          <cell r="D1734">
            <v>79217875907</v>
          </cell>
          <cell r="F1734">
            <v>79217875907</v>
          </cell>
        </row>
        <row r="1735">
          <cell r="B1735" t="str">
            <v>В-10627/КЛ.Транш - 1</v>
          </cell>
          <cell r="D1735">
            <v>79096760046</v>
          </cell>
          <cell r="E1735">
            <v>79096760046</v>
          </cell>
          <cell r="F1735">
            <v>79096760046</v>
          </cell>
        </row>
        <row r="1736">
          <cell r="B1736" t="str">
            <v>В-23979/КЛ.Транш - 1</v>
          </cell>
          <cell r="D1736">
            <v>79616120056</v>
          </cell>
          <cell r="F1736">
            <v>79616120056</v>
          </cell>
        </row>
        <row r="1737">
          <cell r="B1737" t="str">
            <v>В-18972/КЛ.Транш - 1</v>
          </cell>
          <cell r="D1737">
            <v>79112266824</v>
          </cell>
          <cell r="F1737">
            <v>79112266824</v>
          </cell>
        </row>
        <row r="1738">
          <cell r="B1738" t="str">
            <v>В-27422/КЛ.Транш - 1</v>
          </cell>
        </row>
        <row r="1739">
          <cell r="B1739" t="str">
            <v>А-05334/АЗ_А-20210517/Ц</v>
          </cell>
          <cell r="D1739">
            <v>79052176333</v>
          </cell>
          <cell r="E1739">
            <v>79052176333</v>
          </cell>
          <cell r="F1739">
            <v>79052176333</v>
          </cell>
        </row>
        <row r="1740">
          <cell r="B1740" t="str">
            <v>Т-01798/АЗ_Т-20210517/Ц</v>
          </cell>
          <cell r="D1740">
            <v>79052176333</v>
          </cell>
          <cell r="E1740">
            <v>79052176333</v>
          </cell>
          <cell r="F1740">
            <v>79052176333</v>
          </cell>
        </row>
        <row r="1741">
          <cell r="B1741" t="str">
            <v>В-20210/КЛ.Транш - 1</v>
          </cell>
          <cell r="D1741">
            <v>79068500727</v>
          </cell>
          <cell r="F1741">
            <v>79068500727</v>
          </cell>
        </row>
        <row r="1742">
          <cell r="B1742" t="str">
            <v>В-20210/КЛ.Транш - 2</v>
          </cell>
          <cell r="D1742">
            <v>79068500727</v>
          </cell>
          <cell r="F1742">
            <v>79068500727</v>
          </cell>
        </row>
        <row r="1743">
          <cell r="B1743" t="str">
            <v>В-12007/КЛ.Транш - 2</v>
          </cell>
          <cell r="E1743">
            <v>79167908897</v>
          </cell>
          <cell r="F1743">
            <v>79167908897</v>
          </cell>
        </row>
        <row r="1744">
          <cell r="B1744" t="str">
            <v>В-10890/КЛ.Транш - 1</v>
          </cell>
          <cell r="D1744">
            <v>79241724674</v>
          </cell>
          <cell r="F1744">
            <v>79241724674</v>
          </cell>
        </row>
        <row r="1745">
          <cell r="B1745" t="str">
            <v>В-16610/КЛ.Транш - 1</v>
          </cell>
          <cell r="D1745">
            <v>79184362296</v>
          </cell>
          <cell r="E1745">
            <v>79086889615</v>
          </cell>
          <cell r="F1745">
            <v>79184362296</v>
          </cell>
        </row>
        <row r="1746">
          <cell r="B1746" t="str">
            <v>В-02849/КЛ.Транш - 1</v>
          </cell>
          <cell r="D1746">
            <v>89536117014</v>
          </cell>
          <cell r="F1746">
            <v>79536117014</v>
          </cell>
        </row>
        <row r="1747">
          <cell r="B1747" t="str">
            <v>В-26432/АЗ</v>
          </cell>
          <cell r="C1747">
            <v>84956589832</v>
          </cell>
          <cell r="D1747">
            <v>89165046605</v>
          </cell>
          <cell r="F1747">
            <v>79165046605</v>
          </cell>
        </row>
        <row r="1748">
          <cell r="B1748" t="str">
            <v>В-01068/АЗ</v>
          </cell>
          <cell r="C1748">
            <v>84956589832</v>
          </cell>
          <cell r="D1748">
            <v>89165046605</v>
          </cell>
          <cell r="F1748">
            <v>79165046605</v>
          </cell>
        </row>
        <row r="1749">
          <cell r="B1749" t="str">
            <v>В-22205/КЛ.Транш - 1</v>
          </cell>
          <cell r="D1749">
            <v>79829081999</v>
          </cell>
          <cell r="F1749">
            <v>79829081999</v>
          </cell>
        </row>
        <row r="1750">
          <cell r="B1750" t="str">
            <v>В-22205/КЛ.Транш - 2</v>
          </cell>
          <cell r="D1750">
            <v>79829081999</v>
          </cell>
          <cell r="F1750">
            <v>79829081999</v>
          </cell>
        </row>
        <row r="1751">
          <cell r="B1751" t="str">
            <v>В-28154/КЛ.Транш - 1</v>
          </cell>
          <cell r="D1751">
            <v>79788315190</v>
          </cell>
          <cell r="F1751">
            <v>79788315190</v>
          </cell>
        </row>
        <row r="1752">
          <cell r="B1752" t="str">
            <v>В-17788/КЛ.Транш - 3</v>
          </cell>
          <cell r="D1752">
            <v>79630330171</v>
          </cell>
          <cell r="F1752">
            <v>79630330171</v>
          </cell>
        </row>
        <row r="1753">
          <cell r="B1753" t="str">
            <v>В-17788/КЛ.Транш - 1</v>
          </cell>
          <cell r="D1753">
            <v>79630330171</v>
          </cell>
          <cell r="F1753">
            <v>79630330171</v>
          </cell>
        </row>
        <row r="1754">
          <cell r="B1754" t="str">
            <v>В-17788/КЛ.Транш - 2</v>
          </cell>
          <cell r="D1754">
            <v>79630330171</v>
          </cell>
          <cell r="F1754">
            <v>79630330171</v>
          </cell>
        </row>
        <row r="1755">
          <cell r="B1755" t="str">
            <v>В-15393/КЛ.Транш - 1</v>
          </cell>
          <cell r="D1755">
            <v>79297003562</v>
          </cell>
          <cell r="F1755">
            <v>79297003562</v>
          </cell>
        </row>
        <row r="1756">
          <cell r="B1756" t="str">
            <v>В-22101/КЛ.Транш - 1</v>
          </cell>
          <cell r="D1756">
            <v>89678258615</v>
          </cell>
          <cell r="F1756">
            <v>79678258615</v>
          </cell>
        </row>
        <row r="1757">
          <cell r="B1757" t="str">
            <v>В-01193/АЗ</v>
          </cell>
          <cell r="D1757">
            <v>89169337638</v>
          </cell>
          <cell r="F1757">
            <v>79169337638</v>
          </cell>
        </row>
        <row r="1758">
          <cell r="B1758" t="str">
            <v>В-20035/КЛ.Транш - 1</v>
          </cell>
          <cell r="D1758">
            <v>79104401148</v>
          </cell>
          <cell r="F1758">
            <v>79104401148</v>
          </cell>
        </row>
        <row r="1759">
          <cell r="B1759" t="str">
            <v>В-05766/КЛ.Транш - 4</v>
          </cell>
          <cell r="C1759">
            <v>74994575281</v>
          </cell>
          <cell r="D1759">
            <v>79100000656</v>
          </cell>
          <cell r="E1759">
            <v>79100000656</v>
          </cell>
          <cell r="F1759">
            <v>79100000656</v>
          </cell>
        </row>
        <row r="1760">
          <cell r="B1760" t="str">
            <v>В-26135/КЛ.Транш - 1</v>
          </cell>
          <cell r="D1760">
            <v>79261701103</v>
          </cell>
          <cell r="F1760">
            <v>79261701103</v>
          </cell>
        </row>
        <row r="1761">
          <cell r="B1761" t="str">
            <v>В-23906/КЛ.Транш - 1</v>
          </cell>
          <cell r="D1761">
            <v>79168487359</v>
          </cell>
          <cell r="F1761">
            <v>79168487359</v>
          </cell>
        </row>
        <row r="1762">
          <cell r="B1762" t="str">
            <v>В-00256/КЛ.Транш - 1_В-20211230/Ц</v>
          </cell>
          <cell r="D1762">
            <v>79096888811</v>
          </cell>
          <cell r="F1762">
            <v>79096888811</v>
          </cell>
        </row>
        <row r="1763">
          <cell r="B1763" t="str">
            <v>В-00256/КЛ.Транш - 2_В-20211230/Ц</v>
          </cell>
          <cell r="D1763">
            <v>79096888811</v>
          </cell>
          <cell r="F1763">
            <v>79096888811</v>
          </cell>
        </row>
        <row r="1764">
          <cell r="B1764" t="str">
            <v>В-08962/КЛ.Транш - 1</v>
          </cell>
          <cell r="D1764">
            <v>79051449523</v>
          </cell>
          <cell r="F1764">
            <v>79051449523</v>
          </cell>
        </row>
        <row r="1765">
          <cell r="B1765" t="str">
            <v>В-00070/КЭ.Транш - 1</v>
          </cell>
        </row>
        <row r="1766">
          <cell r="B1766" t="str">
            <v>В-27843/КЛ.Транш - 1</v>
          </cell>
          <cell r="D1766">
            <v>89057949299</v>
          </cell>
          <cell r="F1766">
            <v>79057949299</v>
          </cell>
        </row>
        <row r="1767">
          <cell r="B1767" t="str">
            <v>В-01143/АЗ</v>
          </cell>
          <cell r="D1767">
            <v>79189414997</v>
          </cell>
          <cell r="F1767">
            <v>79189414997</v>
          </cell>
        </row>
        <row r="1768">
          <cell r="B1768" t="str">
            <v>В-20329/КЛ.Транш - 1</v>
          </cell>
          <cell r="D1768">
            <v>79154745516</v>
          </cell>
          <cell r="F1768">
            <v>79154745516</v>
          </cell>
        </row>
        <row r="1769">
          <cell r="B1769" t="str">
            <v>В-20329/КЛ.Транш - 2</v>
          </cell>
          <cell r="D1769">
            <v>79154745516</v>
          </cell>
          <cell r="F1769">
            <v>79154745516</v>
          </cell>
        </row>
        <row r="1770">
          <cell r="B1770" t="str">
            <v>В-00553/КЛ.Транш - 5_В-20211230/Ц</v>
          </cell>
          <cell r="D1770">
            <v>79250281798</v>
          </cell>
          <cell r="F1770">
            <v>79250281798</v>
          </cell>
        </row>
        <row r="1771">
          <cell r="B1771" t="str">
            <v>В-00553/КЛ.Транш - 7_В-20211230/Ц</v>
          </cell>
          <cell r="D1771">
            <v>79250281798</v>
          </cell>
          <cell r="F1771">
            <v>79250281798</v>
          </cell>
        </row>
        <row r="1772">
          <cell r="B1772" t="str">
            <v>В-00553/КЛ.Транш - 8_В-20211230/Ц</v>
          </cell>
          <cell r="D1772">
            <v>79250281798</v>
          </cell>
          <cell r="F1772">
            <v>79250281798</v>
          </cell>
        </row>
        <row r="1773">
          <cell r="B1773" t="str">
            <v>В-14484/КЛ.Транш - 1</v>
          </cell>
          <cell r="D1773">
            <v>79826356431</v>
          </cell>
          <cell r="F1773">
            <v>79826356431</v>
          </cell>
        </row>
        <row r="1774">
          <cell r="B1774" t="str">
            <v>В-08042/КЛ.Транш - 1_В-20211230/Ц</v>
          </cell>
          <cell r="C1774">
            <v>84957018552</v>
          </cell>
          <cell r="D1774">
            <v>89771729998</v>
          </cell>
          <cell r="F1774">
            <v>79771729998</v>
          </cell>
        </row>
        <row r="1775">
          <cell r="B1775" t="str">
            <v>В-03300/КЛ.Транш - 1</v>
          </cell>
          <cell r="D1775">
            <v>89153008651</v>
          </cell>
          <cell r="F1775">
            <v>79153008651</v>
          </cell>
        </row>
        <row r="1776">
          <cell r="B1776" t="str">
            <v>В-00034/КЭ.Транш - 1_В20211230/Ц</v>
          </cell>
        </row>
        <row r="1777">
          <cell r="B1777" t="str">
            <v>В-27334/КЛ.Транш - 1</v>
          </cell>
          <cell r="D1777">
            <v>79778502087</v>
          </cell>
        </row>
        <row r="1778">
          <cell r="B1778" t="str">
            <v>В-03761/КЛ.Транш - 1</v>
          </cell>
          <cell r="D1778">
            <v>79104938470</v>
          </cell>
          <cell r="F1778">
            <v>79104938470</v>
          </cell>
        </row>
        <row r="1779">
          <cell r="B1779" t="str">
            <v>В-21858/КЛ.Транш - 1_В-20211230/Ц</v>
          </cell>
          <cell r="D1779">
            <v>79209336766</v>
          </cell>
          <cell r="F1779">
            <v>79209336766</v>
          </cell>
        </row>
        <row r="1780">
          <cell r="B1780" t="str">
            <v>В-06130/КЛ.Транш - 4</v>
          </cell>
          <cell r="C1780">
            <v>89612443737</v>
          </cell>
          <cell r="D1780">
            <v>89266343296</v>
          </cell>
          <cell r="F1780">
            <v>79266343296</v>
          </cell>
        </row>
        <row r="1781">
          <cell r="B1781" t="str">
            <v>В-06130/КЛ.Транш - 5</v>
          </cell>
          <cell r="C1781">
            <v>89612443737</v>
          </cell>
          <cell r="D1781">
            <v>89266343296</v>
          </cell>
          <cell r="F1781">
            <v>79266343296</v>
          </cell>
        </row>
        <row r="1782">
          <cell r="B1782" t="str">
            <v>В-06130/КЛ.Транш - 6</v>
          </cell>
          <cell r="C1782">
            <v>89612443737</v>
          </cell>
          <cell r="D1782">
            <v>89266343296</v>
          </cell>
          <cell r="F1782">
            <v>79266343296</v>
          </cell>
        </row>
        <row r="1783">
          <cell r="B1783" t="str">
            <v>В-06130/КЛ.Транш - 7</v>
          </cell>
          <cell r="C1783">
            <v>89612443737</v>
          </cell>
          <cell r="D1783">
            <v>89266343296</v>
          </cell>
          <cell r="F1783">
            <v>79266343296</v>
          </cell>
        </row>
        <row r="1784">
          <cell r="B1784" t="str">
            <v>В-05654/КЛ.Транш - 1</v>
          </cell>
          <cell r="D1784">
            <v>79999610139</v>
          </cell>
          <cell r="F1784">
            <v>79999610139</v>
          </cell>
        </row>
        <row r="1785">
          <cell r="B1785" t="str">
            <v>В-04096/КЛ.Транш - 1</v>
          </cell>
          <cell r="C1785">
            <v>74963166864</v>
          </cell>
          <cell r="D1785">
            <v>79264249787</v>
          </cell>
          <cell r="F1785">
            <v>79264249787</v>
          </cell>
        </row>
        <row r="1786">
          <cell r="B1786" t="str">
            <v>В-04096/КЛ.Транш - 2</v>
          </cell>
          <cell r="C1786">
            <v>74963166864</v>
          </cell>
          <cell r="D1786">
            <v>79264249787</v>
          </cell>
          <cell r="F1786">
            <v>79264249787</v>
          </cell>
        </row>
        <row r="1787">
          <cell r="B1787" t="str">
            <v>В-04096/КЛ.Транш - 3</v>
          </cell>
          <cell r="C1787">
            <v>74963166864</v>
          </cell>
          <cell r="D1787">
            <v>79264249787</v>
          </cell>
          <cell r="F1787">
            <v>79264249787</v>
          </cell>
        </row>
        <row r="1788">
          <cell r="B1788" t="str">
            <v>А-10118/КЭ.Транш - 1</v>
          </cell>
        </row>
        <row r="1789">
          <cell r="B1789" t="str">
            <v>В-10022/КЭ.Транш - 1</v>
          </cell>
        </row>
        <row r="1790">
          <cell r="B1790" t="str">
            <v>В-26963/КЛ.Транш - 1</v>
          </cell>
          <cell r="D1790">
            <v>79182202722</v>
          </cell>
        </row>
        <row r="1791">
          <cell r="B1791" t="str">
            <v>В-01207/АЗ</v>
          </cell>
          <cell r="D1791">
            <v>79021231202</v>
          </cell>
          <cell r="E1791">
            <v>79603792747</v>
          </cell>
          <cell r="F1791">
            <v>79021231202</v>
          </cell>
        </row>
        <row r="1792">
          <cell r="B1792" t="str">
            <v>В-30010/КЭ.Транш - 1</v>
          </cell>
        </row>
        <row r="1793">
          <cell r="B1793" t="str">
            <v>В-00151/АЗ_В-20211230/Ц</v>
          </cell>
          <cell r="D1793">
            <v>89117782442</v>
          </cell>
          <cell r="F1793">
            <v>79117782442</v>
          </cell>
        </row>
        <row r="1794">
          <cell r="B1794" t="str">
            <v>В-21146/КЛ.Транш - 1_В-20211230/Ц</v>
          </cell>
          <cell r="D1794">
            <v>79641350337</v>
          </cell>
          <cell r="F1794">
            <v>79641350337</v>
          </cell>
        </row>
        <row r="1795">
          <cell r="B1795" t="str">
            <v>В-01228/АЗ</v>
          </cell>
          <cell r="D1795">
            <v>79036691666</v>
          </cell>
          <cell r="F1795">
            <v>79036691666</v>
          </cell>
        </row>
        <row r="1796">
          <cell r="B1796" t="str">
            <v>В-00714/КЛ.Транш - 1</v>
          </cell>
          <cell r="D1796">
            <v>79250073343</v>
          </cell>
          <cell r="F1796">
            <v>79250073343</v>
          </cell>
        </row>
        <row r="1797">
          <cell r="B1797" t="str">
            <v>В-28355/КЛ.Транш - 1</v>
          </cell>
          <cell r="D1797">
            <v>89202797778</v>
          </cell>
          <cell r="F1797">
            <v>79202797778</v>
          </cell>
        </row>
        <row r="1798">
          <cell r="B1798" t="str">
            <v>В-17824/КЛ.Транш - 1</v>
          </cell>
          <cell r="D1798">
            <v>79221799222</v>
          </cell>
          <cell r="F1798">
            <v>79221799222</v>
          </cell>
        </row>
        <row r="1799">
          <cell r="B1799" t="str">
            <v>В-11533/КЛ.Транш - 1</v>
          </cell>
          <cell r="D1799">
            <v>89203522021</v>
          </cell>
          <cell r="F1799">
            <v>79203522021</v>
          </cell>
        </row>
        <row r="1800">
          <cell r="B1800" t="str">
            <v>В-26928/КЛ.Транш - 1</v>
          </cell>
          <cell r="D1800">
            <v>79877821153</v>
          </cell>
          <cell r="F1800">
            <v>79877821153</v>
          </cell>
        </row>
        <row r="1801">
          <cell r="B1801" t="str">
            <v>В-18261/КЛ.Транш - 1</v>
          </cell>
          <cell r="D1801">
            <v>79150093223</v>
          </cell>
          <cell r="E1801">
            <v>79150093223</v>
          </cell>
          <cell r="F1801">
            <v>79150093223</v>
          </cell>
        </row>
        <row r="1802">
          <cell r="B1802" t="str">
            <v>В-21574/КЛ.Транш - 1</v>
          </cell>
          <cell r="D1802">
            <v>79165483213</v>
          </cell>
          <cell r="F1802">
            <v>79165483213</v>
          </cell>
        </row>
        <row r="1803">
          <cell r="B1803" t="str">
            <v>В-12067/КЛ.Транш - 1</v>
          </cell>
          <cell r="F1803">
            <v>79204054175</v>
          </cell>
        </row>
        <row r="1804">
          <cell r="B1804" t="str">
            <v>В-08148/КЛ.Транш - 2</v>
          </cell>
          <cell r="D1804">
            <v>79371877777</v>
          </cell>
          <cell r="F1804">
            <v>79371877777</v>
          </cell>
        </row>
        <row r="1805">
          <cell r="B1805" t="str">
            <v>В-27753/КЛ.Транш - 1</v>
          </cell>
          <cell r="D1805">
            <v>89006229906</v>
          </cell>
          <cell r="F1805">
            <v>79006229906</v>
          </cell>
        </row>
        <row r="1806">
          <cell r="B1806" t="str">
            <v>В-20607/КЛ.Транш - 1</v>
          </cell>
          <cell r="D1806">
            <v>79065140560</v>
          </cell>
          <cell r="F1806">
            <v>79065140560</v>
          </cell>
        </row>
        <row r="1807">
          <cell r="B1807" t="str">
            <v>В-03413/КЛ.Транш - 1</v>
          </cell>
          <cell r="D1807">
            <v>89388774050</v>
          </cell>
          <cell r="F1807">
            <v>79388774050</v>
          </cell>
        </row>
        <row r="1808">
          <cell r="B1808" t="str">
            <v>В-13025/КЛ.Транш - 1_А-20210929/Ц</v>
          </cell>
          <cell r="D1808">
            <v>79869544879</v>
          </cell>
          <cell r="F1808">
            <v>79869544879</v>
          </cell>
        </row>
        <row r="1809">
          <cell r="B1809" t="str">
            <v>В-16441/КЛ.Транш - 1_В-20211230/Ц</v>
          </cell>
          <cell r="D1809">
            <v>79033608111</v>
          </cell>
          <cell r="F1809">
            <v>79033608111</v>
          </cell>
        </row>
        <row r="1810">
          <cell r="B1810" t="str">
            <v>В-06143/КЛ.Транш - 1</v>
          </cell>
          <cell r="C1810">
            <v>79645921717</v>
          </cell>
          <cell r="D1810">
            <v>79150005343</v>
          </cell>
          <cell r="F1810">
            <v>79150005343</v>
          </cell>
        </row>
        <row r="1811">
          <cell r="B1811" t="str">
            <v>В-28539/КЛ.Транш - 1</v>
          </cell>
          <cell r="D1811">
            <v>79643296845</v>
          </cell>
          <cell r="F1811">
            <v>79643296845</v>
          </cell>
        </row>
        <row r="1812">
          <cell r="B1812" t="str">
            <v>В-12432/КЛ.Транш - 1</v>
          </cell>
          <cell r="D1812">
            <v>89647151845</v>
          </cell>
          <cell r="F1812">
            <v>79647151845</v>
          </cell>
        </row>
        <row r="1813">
          <cell r="B1813" t="str">
            <v>В-28642/АЗ</v>
          </cell>
          <cell r="D1813">
            <v>79166080113</v>
          </cell>
          <cell r="F1813">
            <v>79166080113</v>
          </cell>
        </row>
        <row r="1814">
          <cell r="B1814" t="str">
            <v>В-28645/АЗ</v>
          </cell>
          <cell r="C1814">
            <v>84954628130</v>
          </cell>
          <cell r="D1814">
            <v>79857609255</v>
          </cell>
          <cell r="F1814">
            <v>79857609255</v>
          </cell>
        </row>
        <row r="1815">
          <cell r="B1815" t="str">
            <v>В-24941/КЛ.Транш - 1</v>
          </cell>
          <cell r="D1815">
            <v>79046317839</v>
          </cell>
          <cell r="F1815">
            <v>79046317839</v>
          </cell>
        </row>
        <row r="1816">
          <cell r="B1816" t="str">
            <v>В-04682/КЛ.Транш - 4</v>
          </cell>
          <cell r="D1816">
            <v>79035805153</v>
          </cell>
          <cell r="F1816">
            <v>79035805153</v>
          </cell>
        </row>
        <row r="1817">
          <cell r="B1817" t="str">
            <v>В-04682/КЛ.Транш - 3</v>
          </cell>
          <cell r="D1817">
            <v>79035805153</v>
          </cell>
          <cell r="F1817">
            <v>79035805153</v>
          </cell>
        </row>
        <row r="1818">
          <cell r="B1818" t="str">
            <v>В-04682/КЛ.Транш - 8</v>
          </cell>
          <cell r="D1818">
            <v>79035805153</v>
          </cell>
          <cell r="F1818">
            <v>79035805153</v>
          </cell>
        </row>
        <row r="1819">
          <cell r="B1819" t="str">
            <v>В-04682/КЛ.Транш - 6</v>
          </cell>
          <cell r="D1819">
            <v>79035805153</v>
          </cell>
          <cell r="F1819">
            <v>79035805153</v>
          </cell>
        </row>
        <row r="1820">
          <cell r="B1820" t="str">
            <v>В-04682/КЛ.Транш - 7</v>
          </cell>
          <cell r="D1820">
            <v>79035805153</v>
          </cell>
          <cell r="F1820">
            <v>79035805153</v>
          </cell>
        </row>
        <row r="1821">
          <cell r="B1821" t="str">
            <v>В-04682/КЛ.Транш - 5</v>
          </cell>
          <cell r="D1821">
            <v>79035805153</v>
          </cell>
          <cell r="F1821">
            <v>79035805153</v>
          </cell>
        </row>
        <row r="1822">
          <cell r="B1822" t="str">
            <v>В-19451/КЛ.Транш - 1</v>
          </cell>
          <cell r="D1822">
            <v>79263030102</v>
          </cell>
          <cell r="F1822">
            <v>79263030102</v>
          </cell>
        </row>
        <row r="1823">
          <cell r="B1823" t="str">
            <v>В-19451/КЛ.Транш - 2</v>
          </cell>
          <cell r="D1823">
            <v>79263030102</v>
          </cell>
          <cell r="F1823">
            <v>79263030102</v>
          </cell>
        </row>
        <row r="1824">
          <cell r="B1824" t="str">
            <v>В-19451/КЛ.Транш - 3</v>
          </cell>
          <cell r="D1824">
            <v>79263030102</v>
          </cell>
          <cell r="F1824">
            <v>79263030102</v>
          </cell>
        </row>
        <row r="1825">
          <cell r="B1825" t="str">
            <v>В-17940/КЛ.Транш - 1</v>
          </cell>
          <cell r="D1825">
            <v>79107961131</v>
          </cell>
          <cell r="F1825">
            <v>79107961131</v>
          </cell>
        </row>
        <row r="1826">
          <cell r="B1826" t="str">
            <v>В-17940/КЛ.Транш - 3</v>
          </cell>
          <cell r="D1826">
            <v>79107961131</v>
          </cell>
          <cell r="F1826">
            <v>79107961131</v>
          </cell>
        </row>
        <row r="1827">
          <cell r="B1827" t="str">
            <v>В-17940/КЛ.Транш - 2</v>
          </cell>
          <cell r="D1827">
            <v>79107961131</v>
          </cell>
          <cell r="F1827">
            <v>79107961131</v>
          </cell>
        </row>
        <row r="1828">
          <cell r="B1828" t="str">
            <v>В-11549/КЛ.Транш - 2</v>
          </cell>
          <cell r="D1828">
            <v>79265859234</v>
          </cell>
          <cell r="F1828">
            <v>79265859234</v>
          </cell>
        </row>
        <row r="1829">
          <cell r="B1829" t="str">
            <v>В-22336/КЛ.Транш - 1</v>
          </cell>
          <cell r="D1829">
            <v>79030171115</v>
          </cell>
          <cell r="F1829">
            <v>79030171115</v>
          </cell>
        </row>
        <row r="1830">
          <cell r="B1830" t="str">
            <v>В-25978/КЛ.Транш - 1</v>
          </cell>
          <cell r="D1830">
            <v>79996008755</v>
          </cell>
          <cell r="F1830">
            <v>79996008755</v>
          </cell>
        </row>
        <row r="1831">
          <cell r="B1831" t="str">
            <v>В-24198/КЛ.Транш - 6</v>
          </cell>
          <cell r="D1831">
            <v>79251110528</v>
          </cell>
          <cell r="F1831">
            <v>79251110528</v>
          </cell>
        </row>
        <row r="1832">
          <cell r="B1832" t="str">
            <v>В-00094/КЛ.Транш - 1</v>
          </cell>
          <cell r="D1832">
            <v>79687658661</v>
          </cell>
          <cell r="F1832">
            <v>79687658661</v>
          </cell>
        </row>
        <row r="1833">
          <cell r="B1833" t="str">
            <v>В-17395/КЛ.Транш - 1</v>
          </cell>
          <cell r="D1833">
            <v>79531889678</v>
          </cell>
          <cell r="F1833">
            <v>79531889678</v>
          </cell>
        </row>
        <row r="1834">
          <cell r="B1834" t="str">
            <v>В-04210/КЛ.Транш - 1</v>
          </cell>
          <cell r="D1834">
            <v>79675918868</v>
          </cell>
          <cell r="F1834">
            <v>79675918868</v>
          </cell>
        </row>
        <row r="1835">
          <cell r="B1835" t="str">
            <v>В-12631/КЛ.Транш - 1</v>
          </cell>
          <cell r="D1835">
            <v>79204797477</v>
          </cell>
          <cell r="E1835">
            <v>79672015609</v>
          </cell>
          <cell r="F1835">
            <v>79204797477</v>
          </cell>
        </row>
        <row r="1836">
          <cell r="B1836" t="str">
            <v>В-03524/КЛ.Транш - 2</v>
          </cell>
          <cell r="D1836">
            <v>79017005283</v>
          </cell>
          <cell r="F1836">
            <v>79017005283</v>
          </cell>
        </row>
        <row r="1837">
          <cell r="B1837" t="str">
            <v>В-02583/КЛ.Транш - 9</v>
          </cell>
          <cell r="D1837">
            <v>89257662854</v>
          </cell>
          <cell r="F1837">
            <v>79257662854</v>
          </cell>
        </row>
        <row r="1838">
          <cell r="B1838" t="str">
            <v>В-02583/КЛ.Транш - 8</v>
          </cell>
          <cell r="D1838">
            <v>89257662854</v>
          </cell>
          <cell r="F1838">
            <v>79257662854</v>
          </cell>
        </row>
        <row r="1839">
          <cell r="B1839" t="str">
            <v>В-02583/КЛ.Транш - 6</v>
          </cell>
          <cell r="D1839">
            <v>89257662854</v>
          </cell>
          <cell r="F1839">
            <v>79257662854</v>
          </cell>
        </row>
        <row r="1840">
          <cell r="B1840" t="str">
            <v>В-02583/КЛ.Транш - 7</v>
          </cell>
          <cell r="D1840">
            <v>89257662854</v>
          </cell>
          <cell r="F1840">
            <v>79257662854</v>
          </cell>
        </row>
        <row r="1841">
          <cell r="B1841" t="str">
            <v>В-02583/КЛ.Транш - 5</v>
          </cell>
          <cell r="D1841">
            <v>89257662854</v>
          </cell>
          <cell r="F1841">
            <v>79257662854</v>
          </cell>
        </row>
        <row r="1842">
          <cell r="B1842" t="str">
            <v>В-02683/КЛ.Транш - 1</v>
          </cell>
          <cell r="D1842">
            <v>89772706703</v>
          </cell>
          <cell r="F1842">
            <v>79772706703</v>
          </cell>
        </row>
        <row r="1843">
          <cell r="B1843" t="str">
            <v>В-09100/КЛ.Транш - 1</v>
          </cell>
          <cell r="D1843">
            <v>79773441744</v>
          </cell>
          <cell r="F1843">
            <v>79773441744</v>
          </cell>
        </row>
        <row r="1844">
          <cell r="B1844" t="str">
            <v>В-20064/КЛ.Транш - 1</v>
          </cell>
          <cell r="D1844">
            <v>89037926375</v>
          </cell>
          <cell r="F1844">
            <v>79037926375</v>
          </cell>
        </row>
        <row r="1845">
          <cell r="B1845" t="str">
            <v>В-26949/КЛ.Транш - 1</v>
          </cell>
          <cell r="D1845">
            <v>79165909758</v>
          </cell>
          <cell r="F1845">
            <v>79165909758</v>
          </cell>
        </row>
        <row r="1846">
          <cell r="B1846" t="str">
            <v>В-26949/КЛ.Транш - 2</v>
          </cell>
          <cell r="D1846">
            <v>79165909758</v>
          </cell>
          <cell r="F1846">
            <v>79165909758</v>
          </cell>
        </row>
        <row r="1847">
          <cell r="B1847" t="str">
            <v>В-18029/КЛ.Транш - 1</v>
          </cell>
          <cell r="D1847">
            <v>79152836705</v>
          </cell>
          <cell r="F1847">
            <v>79152836705</v>
          </cell>
        </row>
        <row r="1848">
          <cell r="B1848" t="str">
            <v>В-19231/КЛ.Транш - 1</v>
          </cell>
          <cell r="D1848">
            <v>79168200304</v>
          </cell>
          <cell r="F1848">
            <v>79168200304</v>
          </cell>
        </row>
        <row r="1849">
          <cell r="B1849" t="str">
            <v>В-10010/КЭ.Транш - 1_А-20210929/Ц</v>
          </cell>
        </row>
        <row r="1850">
          <cell r="B1850" t="str">
            <v>А-00257/КЭ.Транш - 1</v>
          </cell>
        </row>
        <row r="1851">
          <cell r="B1851" t="str">
            <v>А-00257/КЭ.Транш - 2</v>
          </cell>
        </row>
        <row r="1852">
          <cell r="B1852" t="str">
            <v>В-08918/КЛ.Транш - 1</v>
          </cell>
          <cell r="C1852">
            <v>79853422469</v>
          </cell>
          <cell r="D1852">
            <v>79261931081</v>
          </cell>
          <cell r="F1852">
            <v>79261931081</v>
          </cell>
        </row>
        <row r="1853">
          <cell r="B1853" t="str">
            <v>В-16777/КЛ.Транш - 1_В-20211230/Ц</v>
          </cell>
          <cell r="D1853">
            <v>79992105871</v>
          </cell>
        </row>
        <row r="1854">
          <cell r="B1854" t="str">
            <v>В-20133/КЛ.Транш - 1</v>
          </cell>
          <cell r="D1854">
            <v>79534139710</v>
          </cell>
          <cell r="F1854">
            <v>79534139710</v>
          </cell>
        </row>
        <row r="1855">
          <cell r="B1855" t="str">
            <v>А-05087/АЗ</v>
          </cell>
          <cell r="D1855">
            <v>79100000714</v>
          </cell>
          <cell r="E1855">
            <v>79100000714</v>
          </cell>
        </row>
        <row r="1856">
          <cell r="B1856" t="str">
            <v>В-12741/КЛ.Транш - 1</v>
          </cell>
          <cell r="D1856">
            <v>89190494697</v>
          </cell>
          <cell r="F1856">
            <v>79190494697</v>
          </cell>
        </row>
        <row r="1857">
          <cell r="B1857" t="str">
            <v>В-00066/КЭ.Транш - 1</v>
          </cell>
        </row>
        <row r="1858">
          <cell r="B1858" t="str">
            <v>В-22627/КЛ.Транш - 1</v>
          </cell>
          <cell r="D1858">
            <v>79207063555</v>
          </cell>
        </row>
        <row r="1859">
          <cell r="B1859" t="str">
            <v>В-24326/КЛ.Транш - 1</v>
          </cell>
          <cell r="D1859">
            <v>79104955005</v>
          </cell>
          <cell r="F1859">
            <v>79104955005</v>
          </cell>
        </row>
        <row r="1860">
          <cell r="B1860" t="str">
            <v>В-14816/КЛ.Транш - 1</v>
          </cell>
          <cell r="D1860">
            <v>89178708672</v>
          </cell>
          <cell r="F1860">
            <v>79178708672</v>
          </cell>
        </row>
        <row r="1861">
          <cell r="B1861" t="str">
            <v>В-14816/КЛ.Транш - 2</v>
          </cell>
          <cell r="D1861">
            <v>89178708672</v>
          </cell>
          <cell r="F1861">
            <v>79178708672</v>
          </cell>
        </row>
        <row r="1862">
          <cell r="B1862" t="str">
            <v>В-14816/КЛ.Транш - 5</v>
          </cell>
          <cell r="D1862">
            <v>89178708672</v>
          </cell>
          <cell r="F1862">
            <v>79178708672</v>
          </cell>
        </row>
        <row r="1863">
          <cell r="B1863" t="str">
            <v>В-14816/КЛ.Транш - 4</v>
          </cell>
          <cell r="D1863">
            <v>89178708672</v>
          </cell>
          <cell r="F1863">
            <v>79178708672</v>
          </cell>
        </row>
        <row r="1864">
          <cell r="B1864" t="str">
            <v>В-14816/КЛ.Транш - 6</v>
          </cell>
          <cell r="D1864">
            <v>89178708672</v>
          </cell>
          <cell r="F1864">
            <v>79178708672</v>
          </cell>
        </row>
        <row r="1865">
          <cell r="B1865" t="str">
            <v>В-14816/КЛ.Транш - 7</v>
          </cell>
          <cell r="D1865">
            <v>89178708672</v>
          </cell>
          <cell r="F1865">
            <v>79178708672</v>
          </cell>
        </row>
        <row r="1866">
          <cell r="B1866" t="str">
            <v>В-14627/КЛ.Транш - 3</v>
          </cell>
          <cell r="D1866">
            <v>89378419392</v>
          </cell>
          <cell r="F1866">
            <v>79378419392</v>
          </cell>
        </row>
        <row r="1867">
          <cell r="B1867" t="str">
            <v>В-27037/АЗ</v>
          </cell>
          <cell r="D1867">
            <v>79178658909</v>
          </cell>
          <cell r="F1867">
            <v>79178658909</v>
          </cell>
        </row>
        <row r="1868">
          <cell r="B1868" t="str">
            <v>В-27133/АЗ</v>
          </cell>
          <cell r="D1868">
            <v>79178658909</v>
          </cell>
          <cell r="F1868">
            <v>79178658909</v>
          </cell>
        </row>
        <row r="1869">
          <cell r="B1869" t="str">
            <v>В-28977/КЛ.Транш - 1</v>
          </cell>
          <cell r="D1869">
            <v>79268557240</v>
          </cell>
        </row>
        <row r="1870">
          <cell r="B1870" t="str">
            <v>В-24875/КЛ.Транш - 2</v>
          </cell>
          <cell r="D1870">
            <v>79177740858</v>
          </cell>
          <cell r="F1870">
            <v>79177740858</v>
          </cell>
        </row>
        <row r="1871">
          <cell r="B1871" t="str">
            <v>А-03444/АЗ</v>
          </cell>
          <cell r="D1871">
            <v>79172437512</v>
          </cell>
          <cell r="E1871">
            <v>79172437512</v>
          </cell>
          <cell r="F1871">
            <v>79274187234</v>
          </cell>
        </row>
        <row r="1872">
          <cell r="B1872" t="str">
            <v>В-11190/КЛ.Транш - 1</v>
          </cell>
          <cell r="D1872">
            <v>79969536478</v>
          </cell>
          <cell r="F1872">
            <v>79969536478</v>
          </cell>
        </row>
        <row r="1873">
          <cell r="B1873" t="str">
            <v>В-23459/КЛ.Транш - 1</v>
          </cell>
          <cell r="D1873">
            <v>79884200203</v>
          </cell>
          <cell r="F1873">
            <v>79884200203</v>
          </cell>
        </row>
        <row r="1874">
          <cell r="B1874" t="str">
            <v>В-17073/КЛ.Транш - 1_В-20211230/Ц</v>
          </cell>
          <cell r="D1874">
            <v>79026517027</v>
          </cell>
          <cell r="F1874">
            <v>79026517027</v>
          </cell>
        </row>
        <row r="1875">
          <cell r="B1875" t="str">
            <v>В-05401/КЛ.Транш - 1</v>
          </cell>
          <cell r="C1875">
            <v>74954161475</v>
          </cell>
          <cell r="D1875">
            <v>79057597799</v>
          </cell>
          <cell r="E1875">
            <v>79057597799</v>
          </cell>
          <cell r="F1875">
            <v>79057597799</v>
          </cell>
        </row>
        <row r="1876">
          <cell r="B1876" t="str">
            <v>В-19862/КЛ.Транш - 1</v>
          </cell>
          <cell r="D1876">
            <v>79895096989</v>
          </cell>
          <cell r="F1876">
            <v>79895096989</v>
          </cell>
        </row>
        <row r="1877">
          <cell r="B1877" t="str">
            <v>В-03463/КЛ.Транш - 1</v>
          </cell>
          <cell r="C1877">
            <v>89636739494</v>
          </cell>
          <cell r="D1877">
            <v>89873238333</v>
          </cell>
          <cell r="F1877">
            <v>79873238333</v>
          </cell>
        </row>
        <row r="1878">
          <cell r="B1878" t="str">
            <v>В-23314/КЛ.Транш - 6</v>
          </cell>
          <cell r="D1878">
            <v>79172665812</v>
          </cell>
          <cell r="F1878">
            <v>79172665812</v>
          </cell>
        </row>
        <row r="1879">
          <cell r="B1879" t="str">
            <v>В-02376/КЛ.Транш - 1</v>
          </cell>
          <cell r="D1879">
            <v>79852000240</v>
          </cell>
          <cell r="F1879">
            <v>79852000240</v>
          </cell>
        </row>
        <row r="1880">
          <cell r="B1880" t="str">
            <v>В-13235/КЛ.Транш - 1</v>
          </cell>
          <cell r="D1880">
            <v>79612507774</v>
          </cell>
          <cell r="F1880">
            <v>79612507774</v>
          </cell>
        </row>
        <row r="1881">
          <cell r="B1881" t="str">
            <v>В-00763/КЛ.Транш - 1</v>
          </cell>
          <cell r="D1881">
            <v>79771010404</v>
          </cell>
          <cell r="F1881">
            <v>79771010404</v>
          </cell>
        </row>
        <row r="1882">
          <cell r="B1882" t="str">
            <v>В-17153/КЛ.Транш - 1_В-20211230/Ц</v>
          </cell>
          <cell r="D1882">
            <v>79184300203</v>
          </cell>
          <cell r="F1882">
            <v>79184300203</v>
          </cell>
        </row>
        <row r="1883">
          <cell r="B1883" t="str">
            <v>В-17153/КЛ.Транш - 2_В-20211230/Ц</v>
          </cell>
          <cell r="D1883">
            <v>79184300203</v>
          </cell>
          <cell r="F1883">
            <v>79184300203</v>
          </cell>
        </row>
        <row r="1884">
          <cell r="B1884" t="str">
            <v>В-15200/КЛ.Транш - 1_В-20211230/Ц</v>
          </cell>
          <cell r="D1884">
            <v>79263733537</v>
          </cell>
          <cell r="F1884">
            <v>79263733537</v>
          </cell>
        </row>
        <row r="1885">
          <cell r="B1885" t="str">
            <v>В-00467/АЗ_В-20211230/Ц</v>
          </cell>
          <cell r="D1885">
            <v>79250555742</v>
          </cell>
          <cell r="E1885">
            <v>79267504045</v>
          </cell>
          <cell r="F1885">
            <v>79250555742</v>
          </cell>
        </row>
        <row r="1886">
          <cell r="B1886" t="str">
            <v>В-28872/КЛ.Транш - 1</v>
          </cell>
          <cell r="D1886">
            <v>89687547777</v>
          </cell>
          <cell r="F1886">
            <v>79687547777</v>
          </cell>
        </row>
        <row r="1887">
          <cell r="B1887" t="str">
            <v>В-00933/АЗ</v>
          </cell>
          <cell r="C1887">
            <v>74994019637</v>
          </cell>
          <cell r="D1887">
            <v>79636499539</v>
          </cell>
          <cell r="F1887">
            <v>79636499539</v>
          </cell>
        </row>
        <row r="1888">
          <cell r="B1888" t="str">
            <v>В-12066/КЛ.Транш - 1</v>
          </cell>
          <cell r="E1888">
            <v>79151341191</v>
          </cell>
          <cell r="F1888">
            <v>79779070919</v>
          </cell>
        </row>
        <row r="1889">
          <cell r="B1889" t="str">
            <v>В-11825/КЛ.Транш - 3</v>
          </cell>
          <cell r="D1889">
            <v>79169992772</v>
          </cell>
          <cell r="E1889">
            <v>79169992772</v>
          </cell>
          <cell r="F1889">
            <v>79169992772</v>
          </cell>
        </row>
        <row r="1890">
          <cell r="B1890" t="str">
            <v>В-08121/КЛ.Транш - 4</v>
          </cell>
          <cell r="D1890">
            <v>89224068379</v>
          </cell>
          <cell r="F1890">
            <v>79224068379</v>
          </cell>
        </row>
        <row r="1891">
          <cell r="B1891" t="str">
            <v>В-08121/КЛ.Транш - 3</v>
          </cell>
          <cell r="D1891">
            <v>89224068379</v>
          </cell>
          <cell r="F1891">
            <v>79224068379</v>
          </cell>
        </row>
        <row r="1892">
          <cell r="B1892" t="str">
            <v>В-17075/КЛ.Транш - 1_В-20211230/Ц</v>
          </cell>
          <cell r="D1892">
            <v>79773997172</v>
          </cell>
          <cell r="F1892">
            <v>79773997172</v>
          </cell>
        </row>
        <row r="1893">
          <cell r="B1893" t="str">
            <v>В-14430/КЛ.Транш - 1</v>
          </cell>
          <cell r="D1893">
            <v>79110379585</v>
          </cell>
          <cell r="F1893">
            <v>79110379585</v>
          </cell>
        </row>
        <row r="1894">
          <cell r="B1894" t="str">
            <v>В-14430/КЛ.Транш - 2</v>
          </cell>
          <cell r="D1894">
            <v>79110379585</v>
          </cell>
          <cell r="F1894">
            <v>79110379585</v>
          </cell>
        </row>
        <row r="1895">
          <cell r="B1895" t="str">
            <v>В-01020/АЗ</v>
          </cell>
          <cell r="D1895">
            <v>79881304486</v>
          </cell>
          <cell r="F1895">
            <v>79881304486</v>
          </cell>
        </row>
        <row r="1896">
          <cell r="B1896" t="str">
            <v>В-21099/КЛ.Транш - 3</v>
          </cell>
          <cell r="D1896">
            <v>79261423862</v>
          </cell>
          <cell r="F1896">
            <v>79261423862</v>
          </cell>
        </row>
        <row r="1897">
          <cell r="B1897" t="str">
            <v>В-21099/КЛ.Транш - 2</v>
          </cell>
          <cell r="D1897">
            <v>79261423862</v>
          </cell>
          <cell r="F1897">
            <v>79261423862</v>
          </cell>
        </row>
        <row r="1898">
          <cell r="B1898" t="str">
            <v>В-16057/КЛ.Транш - 6</v>
          </cell>
          <cell r="D1898">
            <v>79608889082</v>
          </cell>
          <cell r="F1898">
            <v>79608889082</v>
          </cell>
        </row>
        <row r="1899">
          <cell r="B1899" t="str">
            <v>В-01647/КЛ.Транш - 1</v>
          </cell>
          <cell r="D1899">
            <v>79057202038</v>
          </cell>
          <cell r="F1899">
            <v>79057202038</v>
          </cell>
        </row>
        <row r="1900">
          <cell r="B1900" t="str">
            <v>В-27105/КЛ.Транш - 1</v>
          </cell>
          <cell r="D1900">
            <v>79030058898</v>
          </cell>
        </row>
        <row r="1901">
          <cell r="B1901" t="str">
            <v>В-10474/КЛ.Транш - 3</v>
          </cell>
          <cell r="D1901">
            <v>79155979456</v>
          </cell>
          <cell r="F1901">
            <v>79155979456</v>
          </cell>
        </row>
        <row r="1902">
          <cell r="B1902" t="str">
            <v>В-10474/КЛ.Транш - 6</v>
          </cell>
          <cell r="D1902">
            <v>79155979456</v>
          </cell>
          <cell r="F1902">
            <v>79155979456</v>
          </cell>
        </row>
        <row r="1903">
          <cell r="B1903" t="str">
            <v>В-10474/КЛ.Транш - 5</v>
          </cell>
          <cell r="D1903">
            <v>79155979456</v>
          </cell>
          <cell r="F1903">
            <v>79155979456</v>
          </cell>
        </row>
        <row r="1904">
          <cell r="B1904" t="str">
            <v>В-10474/КЛ.Транш - 4</v>
          </cell>
          <cell r="D1904">
            <v>79155979456</v>
          </cell>
          <cell r="F1904">
            <v>79155979456</v>
          </cell>
        </row>
        <row r="1905">
          <cell r="B1905" t="str">
            <v>В-01102/АЗ</v>
          </cell>
          <cell r="D1905">
            <v>79031066372</v>
          </cell>
          <cell r="F1905">
            <v>79031066372</v>
          </cell>
        </row>
        <row r="1906">
          <cell r="B1906" t="str">
            <v>В-00249/АЗ</v>
          </cell>
          <cell r="D1906">
            <v>79169479478</v>
          </cell>
          <cell r="F1906">
            <v>79169479478</v>
          </cell>
        </row>
        <row r="1907">
          <cell r="B1907" t="str">
            <v>В-22833/КЛ.Транш - 1_В-20211230/Ц</v>
          </cell>
          <cell r="D1907">
            <v>89785507555</v>
          </cell>
          <cell r="F1907">
            <v>79785507555</v>
          </cell>
        </row>
        <row r="1908">
          <cell r="B1908" t="str">
            <v>В-28281/КЛ.Транш - 1</v>
          </cell>
          <cell r="C1908">
            <v>84986491005</v>
          </cell>
          <cell r="D1908">
            <v>89686377877</v>
          </cell>
          <cell r="F1908">
            <v>79686377877</v>
          </cell>
        </row>
        <row r="1909">
          <cell r="B1909" t="str">
            <v>В-02960/КЛ.Транш - 7</v>
          </cell>
          <cell r="C1909">
            <v>84986491005</v>
          </cell>
          <cell r="D1909">
            <v>89686377877</v>
          </cell>
          <cell r="F1909">
            <v>79686377877</v>
          </cell>
        </row>
        <row r="1910">
          <cell r="B1910" t="str">
            <v>В-02960/КЛ.Транш - 8</v>
          </cell>
          <cell r="C1910">
            <v>84986491005</v>
          </cell>
          <cell r="D1910">
            <v>89686377877</v>
          </cell>
          <cell r="F1910">
            <v>79686377877</v>
          </cell>
        </row>
        <row r="1911">
          <cell r="B1911" t="str">
            <v>А-04617/АЗ</v>
          </cell>
          <cell r="D1911">
            <v>79816829828</v>
          </cell>
          <cell r="E1911">
            <v>79816829828</v>
          </cell>
        </row>
        <row r="1912">
          <cell r="B1912" t="str">
            <v>В-26093/КЛ.Транш - 1</v>
          </cell>
          <cell r="D1912">
            <v>79206153081</v>
          </cell>
        </row>
        <row r="1913">
          <cell r="B1913" t="str">
            <v>В-00324/АЗ</v>
          </cell>
          <cell r="D1913">
            <v>89855372096</v>
          </cell>
          <cell r="F1913">
            <v>79855372096</v>
          </cell>
        </row>
        <row r="1914">
          <cell r="B1914" t="str">
            <v>В-27634/КЛ.Транш - 1</v>
          </cell>
          <cell r="D1914">
            <v>79280631943</v>
          </cell>
          <cell r="F1914">
            <v>79280631943</v>
          </cell>
        </row>
        <row r="1915">
          <cell r="B1915" t="str">
            <v>В-22183/КЛ.Транш - 1</v>
          </cell>
          <cell r="D1915">
            <v>79032230960</v>
          </cell>
          <cell r="F1915">
            <v>79032230960</v>
          </cell>
        </row>
        <row r="1916">
          <cell r="B1916" t="str">
            <v>В-11181/КЛ.Транш - 2</v>
          </cell>
          <cell r="D1916">
            <v>79646453922</v>
          </cell>
          <cell r="E1916">
            <v>79646453922</v>
          </cell>
          <cell r="F1916">
            <v>79646453922</v>
          </cell>
        </row>
        <row r="1917">
          <cell r="B1917" t="str">
            <v>В-16991/КЛ.Транш - 1</v>
          </cell>
          <cell r="D1917">
            <v>79885403478</v>
          </cell>
        </row>
        <row r="1918">
          <cell r="B1918" t="str">
            <v>В-27581/АЗ</v>
          </cell>
          <cell r="D1918">
            <v>79826704990</v>
          </cell>
        </row>
        <row r="1919">
          <cell r="B1919" t="str">
            <v>В-18569/КЛ.Транш - 1</v>
          </cell>
          <cell r="D1919">
            <v>79371942044</v>
          </cell>
        </row>
        <row r="1920">
          <cell r="B1920" t="str">
            <v>В-12427/КЛ.Транш - 1</v>
          </cell>
          <cell r="D1920">
            <v>89850899312</v>
          </cell>
          <cell r="F1920">
            <v>79850899312</v>
          </cell>
        </row>
        <row r="1921">
          <cell r="B1921" t="str">
            <v>В-12427/КЛ.Транш - 3</v>
          </cell>
          <cell r="D1921">
            <v>89850899312</v>
          </cell>
          <cell r="F1921">
            <v>79850899312</v>
          </cell>
        </row>
        <row r="1922">
          <cell r="B1922" t="str">
            <v>В-12427/КЛ.Транш - 2</v>
          </cell>
          <cell r="D1922">
            <v>89850899312</v>
          </cell>
          <cell r="F1922">
            <v>79850899312</v>
          </cell>
        </row>
        <row r="1923">
          <cell r="B1923" t="str">
            <v>В-20742/КЛ.Транш - 1</v>
          </cell>
          <cell r="D1923">
            <v>79773406041</v>
          </cell>
          <cell r="F1923">
            <v>79773406041</v>
          </cell>
        </row>
        <row r="1924">
          <cell r="B1924" t="str">
            <v>В-20032/КЛ.Транш - 1</v>
          </cell>
          <cell r="D1924">
            <v>79067777090</v>
          </cell>
          <cell r="F1924">
            <v>79067777090</v>
          </cell>
        </row>
        <row r="1925">
          <cell r="B1925" t="str">
            <v>В-13051/КЛ.Транш - 1_В-20211230/Ц</v>
          </cell>
          <cell r="D1925">
            <v>89085497400</v>
          </cell>
          <cell r="F1925">
            <v>79085497400</v>
          </cell>
        </row>
        <row r="1926">
          <cell r="B1926" t="str">
            <v>В-18851/КЛ.Транш - 1</v>
          </cell>
          <cell r="D1926">
            <v>79969224020</v>
          </cell>
          <cell r="F1926">
            <v>79969224020</v>
          </cell>
        </row>
        <row r="1927">
          <cell r="B1927" t="str">
            <v>В-18008/КЛ.Транш - 1</v>
          </cell>
          <cell r="D1927">
            <v>79604852414</v>
          </cell>
          <cell r="F1927">
            <v>79604852414</v>
          </cell>
        </row>
        <row r="1928">
          <cell r="B1928" t="str">
            <v>В-00967/АЗ</v>
          </cell>
          <cell r="D1928">
            <v>89660932146</v>
          </cell>
          <cell r="F1928">
            <v>79660932146</v>
          </cell>
        </row>
        <row r="1929">
          <cell r="B1929" t="str">
            <v>В-27049/АЗ</v>
          </cell>
          <cell r="D1929">
            <v>79096806806</v>
          </cell>
        </row>
        <row r="1930">
          <cell r="B1930" t="str">
            <v>В-14216/КЛ.Транш - 1</v>
          </cell>
          <cell r="D1930">
            <v>79032249082</v>
          </cell>
          <cell r="F1930">
            <v>79032249082</v>
          </cell>
        </row>
        <row r="1931">
          <cell r="B1931" t="str">
            <v>В-14216/КЛ.Транш - 2</v>
          </cell>
          <cell r="D1931">
            <v>79032249082</v>
          </cell>
          <cell r="F1931">
            <v>79032249082</v>
          </cell>
        </row>
        <row r="1932">
          <cell r="B1932" t="str">
            <v>В-14216/КЛ.Транш - 3</v>
          </cell>
          <cell r="D1932">
            <v>79032249082</v>
          </cell>
          <cell r="F1932">
            <v>79032249082</v>
          </cell>
        </row>
        <row r="1933">
          <cell r="B1933" t="str">
            <v>В-14216/КЛ.Транш - 4</v>
          </cell>
          <cell r="D1933">
            <v>79032249082</v>
          </cell>
          <cell r="F1933">
            <v>79032249082</v>
          </cell>
        </row>
        <row r="1934">
          <cell r="B1934" t="str">
            <v>В-22979/КЛ.Транш - 1</v>
          </cell>
          <cell r="D1934">
            <v>79251348884</v>
          </cell>
          <cell r="F1934">
            <v>79251348884</v>
          </cell>
        </row>
        <row r="1935">
          <cell r="B1935" t="str">
            <v>В-16444/КЛ.Транш - 3</v>
          </cell>
          <cell r="D1935">
            <v>79166202543</v>
          </cell>
          <cell r="F1935">
            <v>79166202543</v>
          </cell>
        </row>
        <row r="1936">
          <cell r="B1936" t="str">
            <v>В-01345/КЛ.Транш - 1</v>
          </cell>
          <cell r="C1936">
            <v>84959095251</v>
          </cell>
          <cell r="D1936">
            <v>89261535958</v>
          </cell>
          <cell r="F1936">
            <v>79261535958</v>
          </cell>
        </row>
        <row r="1937">
          <cell r="B1937" t="str">
            <v>Т-01893/АЗ_Т-20211028/Ц</v>
          </cell>
          <cell r="D1937">
            <v>79055799357</v>
          </cell>
          <cell r="E1937">
            <v>79055799357</v>
          </cell>
          <cell r="F1937">
            <v>79055799357</v>
          </cell>
        </row>
        <row r="1938">
          <cell r="B1938" t="str">
            <v>В-17030/КЛ.Транш - 1</v>
          </cell>
          <cell r="D1938">
            <v>79604452020</v>
          </cell>
        </row>
        <row r="1939">
          <cell r="B1939" t="str">
            <v>В-01925/КЛ.Транш - 1_В-20211230/Ц</v>
          </cell>
          <cell r="D1939">
            <v>79332220200</v>
          </cell>
          <cell r="F1939">
            <v>79332220200</v>
          </cell>
        </row>
        <row r="1940">
          <cell r="B1940" t="str">
            <v>В-01925/КЛ.Транш - 2_В-20211230/Ц</v>
          </cell>
          <cell r="D1940">
            <v>79332220200</v>
          </cell>
          <cell r="F1940">
            <v>79332220200</v>
          </cell>
        </row>
        <row r="1941">
          <cell r="B1941" t="str">
            <v>В-28789/КЛ.Транш - 1</v>
          </cell>
          <cell r="D1941">
            <v>89055094156</v>
          </cell>
          <cell r="F1941">
            <v>79055094156</v>
          </cell>
        </row>
        <row r="1942">
          <cell r="B1942" t="str">
            <v>В-12279/КЛ.Транш - 1</v>
          </cell>
          <cell r="D1942">
            <v>89186117000</v>
          </cell>
          <cell r="F1942">
            <v>79186117000</v>
          </cell>
        </row>
        <row r="1943">
          <cell r="B1943" t="str">
            <v>В-09270/КЛ.Транш - 1</v>
          </cell>
          <cell r="D1943">
            <v>79384930366</v>
          </cell>
          <cell r="F1943">
            <v>79384930366</v>
          </cell>
        </row>
        <row r="1944">
          <cell r="B1944" t="str">
            <v>В-10039/КЛ.Транш - 2</v>
          </cell>
          <cell r="D1944">
            <v>79122085348</v>
          </cell>
          <cell r="F1944">
            <v>79122085348</v>
          </cell>
        </row>
        <row r="1945">
          <cell r="B1945" t="str">
            <v>В-10039/КЛ.Транш - 1</v>
          </cell>
          <cell r="D1945">
            <v>79122085348</v>
          </cell>
          <cell r="F1945">
            <v>79122085348</v>
          </cell>
        </row>
        <row r="1946">
          <cell r="B1946" t="str">
            <v>А-00714/АЗ</v>
          </cell>
          <cell r="C1946">
            <v>84955242590</v>
          </cell>
          <cell r="D1946">
            <v>89857769198</v>
          </cell>
        </row>
        <row r="1947">
          <cell r="B1947" t="str">
            <v>В-27914/КЛ.Транш - 1</v>
          </cell>
          <cell r="D1947">
            <v>79150326123</v>
          </cell>
        </row>
        <row r="1948">
          <cell r="B1948" t="str">
            <v>В-01071/АЗ</v>
          </cell>
          <cell r="C1948">
            <v>84957163304</v>
          </cell>
          <cell r="D1948">
            <v>89168648888</v>
          </cell>
          <cell r="F1948">
            <v>79168648888</v>
          </cell>
        </row>
        <row r="1949">
          <cell r="B1949" t="str">
            <v>В-00132/АЗ</v>
          </cell>
          <cell r="C1949">
            <v>84957163304</v>
          </cell>
          <cell r="D1949">
            <v>89168648888</v>
          </cell>
          <cell r="F1949">
            <v>79168648888</v>
          </cell>
        </row>
        <row r="1950">
          <cell r="B1950" t="str">
            <v>В-16693/КЛ.Транш - 2</v>
          </cell>
          <cell r="D1950">
            <v>79123175602</v>
          </cell>
          <cell r="F1950">
            <v>79123175602</v>
          </cell>
        </row>
        <row r="1951">
          <cell r="B1951" t="str">
            <v>В-00982/АЗ</v>
          </cell>
          <cell r="D1951">
            <v>79819698262</v>
          </cell>
          <cell r="F1951">
            <v>79006556626</v>
          </cell>
        </row>
        <row r="1952">
          <cell r="B1952" t="str">
            <v>В-03631/КЛ.Транш - 1</v>
          </cell>
          <cell r="D1952">
            <v>89263473686</v>
          </cell>
          <cell r="F1952">
            <v>79263473686</v>
          </cell>
        </row>
        <row r="1953">
          <cell r="B1953" t="str">
            <v>В-28303/АЗ</v>
          </cell>
          <cell r="D1953">
            <v>79644227920</v>
          </cell>
        </row>
        <row r="1954">
          <cell r="B1954" t="str">
            <v>В-00145/КЛ.Транш - 1_В-20211230/Ц</v>
          </cell>
          <cell r="D1954">
            <v>89163203411</v>
          </cell>
          <cell r="F1954">
            <v>79163203411</v>
          </cell>
        </row>
        <row r="1955">
          <cell r="B1955" t="str">
            <v>В-00243/АЗ_Т-20211028/Ц</v>
          </cell>
          <cell r="C1955">
            <v>74954683878</v>
          </cell>
          <cell r="D1955">
            <v>79099632438</v>
          </cell>
          <cell r="E1955">
            <v>79099632438</v>
          </cell>
          <cell r="F1955">
            <v>79099632438</v>
          </cell>
        </row>
        <row r="1956">
          <cell r="B1956" t="str">
            <v>А-05335/АЗ_Т-20211028/Ц</v>
          </cell>
          <cell r="C1956">
            <v>74954683878</v>
          </cell>
          <cell r="D1956">
            <v>79099632438</v>
          </cell>
          <cell r="E1956">
            <v>79099632438</v>
          </cell>
          <cell r="F1956">
            <v>79099632438</v>
          </cell>
        </row>
        <row r="1957">
          <cell r="B1957" t="str">
            <v>В-02500/КЛ.Транш - 1</v>
          </cell>
          <cell r="D1957">
            <v>79645244111</v>
          </cell>
          <cell r="F1957">
            <v>79645244111</v>
          </cell>
        </row>
        <row r="1958">
          <cell r="B1958" t="str">
            <v>А-03750/АЗ</v>
          </cell>
          <cell r="C1958">
            <v>74994977343</v>
          </cell>
          <cell r="D1958">
            <v>79197235613</v>
          </cell>
          <cell r="E1958">
            <v>79197235613</v>
          </cell>
          <cell r="F1958">
            <v>79197235613</v>
          </cell>
        </row>
        <row r="1959">
          <cell r="B1959" t="str">
            <v>В-25884/КЛ.Транш - 1</v>
          </cell>
          <cell r="D1959">
            <v>79286577777</v>
          </cell>
          <cell r="F1959">
            <v>79286577777</v>
          </cell>
        </row>
        <row r="1960">
          <cell r="B1960" t="str">
            <v>В-11326/КЛ.Транш - 1</v>
          </cell>
          <cell r="E1960">
            <v>79062462631</v>
          </cell>
          <cell r="F1960">
            <v>79062462631</v>
          </cell>
        </row>
        <row r="1961">
          <cell r="B1961" t="str">
            <v>В-11326/КЛ.Транш - 2</v>
          </cell>
          <cell r="E1961">
            <v>79062462631</v>
          </cell>
          <cell r="F1961">
            <v>79062462631</v>
          </cell>
        </row>
        <row r="1962">
          <cell r="B1962" t="str">
            <v>В-00918/АЗ</v>
          </cell>
          <cell r="D1962">
            <v>89099630213</v>
          </cell>
          <cell r="F1962">
            <v>79099630213</v>
          </cell>
        </row>
        <row r="1963">
          <cell r="B1963" t="str">
            <v>В-01039/АЗ</v>
          </cell>
          <cell r="D1963">
            <v>79032437959</v>
          </cell>
          <cell r="F1963">
            <v>79032437959</v>
          </cell>
        </row>
        <row r="1964">
          <cell r="B1964" t="str">
            <v>В-00865/АЗ</v>
          </cell>
          <cell r="D1964">
            <v>79636239373</v>
          </cell>
          <cell r="F1964">
            <v>79636239373</v>
          </cell>
        </row>
        <row r="1965">
          <cell r="B1965" t="str">
            <v>В-28755/КЛ.Транш - 1</v>
          </cell>
          <cell r="D1965">
            <v>79166783580</v>
          </cell>
          <cell r="E1965">
            <v>89264020770</v>
          </cell>
          <cell r="F1965">
            <v>79166783580</v>
          </cell>
        </row>
        <row r="1966">
          <cell r="B1966" t="str">
            <v>В-18135/КЛ.Транш - 1</v>
          </cell>
          <cell r="D1966">
            <v>79787442802</v>
          </cell>
          <cell r="F1966">
            <v>79787442802</v>
          </cell>
        </row>
        <row r="1967">
          <cell r="B1967" t="str">
            <v>В-20635/КЛ.Транш - 1_В-20211230/Ц</v>
          </cell>
          <cell r="D1967">
            <v>79530987516</v>
          </cell>
          <cell r="F1967">
            <v>79530987516</v>
          </cell>
        </row>
        <row r="1968">
          <cell r="B1968" t="str">
            <v>В-08626/КЛ.Транш - 1</v>
          </cell>
          <cell r="D1968">
            <v>79377379999</v>
          </cell>
          <cell r="F1968">
            <v>79377379999</v>
          </cell>
        </row>
        <row r="1969">
          <cell r="B1969" t="str">
            <v>В-14633/КЛ.Транш - 1</v>
          </cell>
          <cell r="D1969">
            <v>89678666060</v>
          </cell>
          <cell r="F1969">
            <v>79678666060</v>
          </cell>
        </row>
        <row r="1970">
          <cell r="B1970" t="str">
            <v>В-00675/АЗ</v>
          </cell>
          <cell r="D1970">
            <v>89152585727</v>
          </cell>
          <cell r="F1970">
            <v>79152585727</v>
          </cell>
        </row>
        <row r="1971">
          <cell r="B1971" t="str">
            <v>В-01170/АЗ</v>
          </cell>
          <cell r="D1971">
            <v>89152585727</v>
          </cell>
          <cell r="F1971">
            <v>79152585727</v>
          </cell>
        </row>
        <row r="1972">
          <cell r="B1972" t="str">
            <v>В-22457/АЗ</v>
          </cell>
          <cell r="D1972">
            <v>89265733080</v>
          </cell>
          <cell r="F1972">
            <v>79265733080</v>
          </cell>
        </row>
        <row r="1973">
          <cell r="B1973" t="str">
            <v>В-27929/КЛ.Транш - 1</v>
          </cell>
          <cell r="D1973">
            <v>79258836928</v>
          </cell>
        </row>
        <row r="1974">
          <cell r="B1974" t="str">
            <v>В-23776/КЛ.Транш - 1</v>
          </cell>
          <cell r="D1974">
            <v>79873909101</v>
          </cell>
          <cell r="F1974">
            <v>79873909101</v>
          </cell>
        </row>
        <row r="1975">
          <cell r="B1975" t="str">
            <v>В-18705/КЛ.Транш - 1</v>
          </cell>
          <cell r="D1975">
            <v>79160120422</v>
          </cell>
          <cell r="F1975">
            <v>79160120422</v>
          </cell>
        </row>
        <row r="1976">
          <cell r="B1976" t="str">
            <v>В-03324/КЛ.Транш - 2</v>
          </cell>
          <cell r="D1976">
            <v>89258348796</v>
          </cell>
          <cell r="F1976">
            <v>79258348796</v>
          </cell>
        </row>
        <row r="1977">
          <cell r="B1977" t="str">
            <v>В-17934/КЛ.Транш - 1</v>
          </cell>
          <cell r="D1977">
            <v>79533273740</v>
          </cell>
          <cell r="F1977">
            <v>79533273740</v>
          </cell>
        </row>
        <row r="1978">
          <cell r="B1978" t="str">
            <v>В-06345/КЛ.Транш - 1</v>
          </cell>
          <cell r="C1978">
            <v>89685908978</v>
          </cell>
          <cell r="D1978">
            <v>89269492005</v>
          </cell>
          <cell r="F1978">
            <v>79685908978</v>
          </cell>
        </row>
        <row r="1979">
          <cell r="B1979" t="str">
            <v>А-04593/АЗ</v>
          </cell>
          <cell r="C1979">
            <v>79266666189</v>
          </cell>
          <cell r="D1979">
            <v>79167470765</v>
          </cell>
          <cell r="E1979">
            <v>79167470765</v>
          </cell>
          <cell r="F1979">
            <v>79167470765</v>
          </cell>
        </row>
        <row r="1980">
          <cell r="B1980" t="str">
            <v>В-06035/КЛ.Транш - 1</v>
          </cell>
          <cell r="D1980">
            <v>79152939262</v>
          </cell>
          <cell r="F1980">
            <v>79152939262</v>
          </cell>
        </row>
        <row r="1981">
          <cell r="B1981" t="str">
            <v>В-17397/КЛ.Транш - 2</v>
          </cell>
          <cell r="D1981">
            <v>79818222555</v>
          </cell>
          <cell r="F1981">
            <v>79818222555</v>
          </cell>
        </row>
        <row r="1982">
          <cell r="B1982" t="str">
            <v>В-28148/КЛ.Транш - 1</v>
          </cell>
          <cell r="D1982">
            <v>79255970190</v>
          </cell>
          <cell r="E1982">
            <v>79255970190</v>
          </cell>
          <cell r="F1982">
            <v>79255970190</v>
          </cell>
        </row>
        <row r="1983">
          <cell r="B1983" t="str">
            <v>В-24267/КЛ.Транш - 1_В-20211230/Ц</v>
          </cell>
          <cell r="D1983">
            <v>79618018181</v>
          </cell>
          <cell r="F1983">
            <v>79618018181</v>
          </cell>
        </row>
        <row r="1984">
          <cell r="B1984" t="str">
            <v>Т-01872/АЗ_Т-20211028/Ц</v>
          </cell>
          <cell r="D1984">
            <v>79252289838</v>
          </cell>
          <cell r="F1984">
            <v>79252289838</v>
          </cell>
        </row>
        <row r="1985">
          <cell r="B1985" t="str">
            <v>В-03938/КЛ.Транш - 2</v>
          </cell>
          <cell r="D1985">
            <v>79037000705</v>
          </cell>
          <cell r="F1985">
            <v>79037000705</v>
          </cell>
        </row>
        <row r="1986">
          <cell r="B1986" t="str">
            <v>А-05100/АЗ_А-20200626/Ц</v>
          </cell>
          <cell r="C1986">
            <v>74953557949</v>
          </cell>
          <cell r="D1986">
            <v>79855552020</v>
          </cell>
          <cell r="E1986">
            <v>79855552020</v>
          </cell>
        </row>
        <row r="1987">
          <cell r="B1987" t="str">
            <v>В-21470/КЛ.Транш - 1</v>
          </cell>
          <cell r="D1987">
            <v>79209788666</v>
          </cell>
          <cell r="E1987">
            <v>79209788666</v>
          </cell>
          <cell r="F1987">
            <v>79209788666</v>
          </cell>
        </row>
        <row r="1988">
          <cell r="B1988" t="str">
            <v>В-24989/АЗ</v>
          </cell>
          <cell r="D1988">
            <v>89280092777</v>
          </cell>
          <cell r="F1988">
            <v>79280092777</v>
          </cell>
        </row>
        <row r="1989">
          <cell r="B1989" t="str">
            <v>В-24385/КЛ.Транш - 1</v>
          </cell>
          <cell r="D1989">
            <v>79787689635</v>
          </cell>
          <cell r="F1989">
            <v>79787689635</v>
          </cell>
        </row>
        <row r="1990">
          <cell r="B1990" t="str">
            <v>В-21910/КЛ.Транш - 1</v>
          </cell>
          <cell r="D1990">
            <v>89213878387</v>
          </cell>
          <cell r="F1990">
            <v>79213878387</v>
          </cell>
        </row>
        <row r="1991">
          <cell r="B1991" t="str">
            <v>В-11557/КЛ.Транш - 2</v>
          </cell>
          <cell r="D1991">
            <v>79677155001</v>
          </cell>
          <cell r="F1991">
            <v>79677155001</v>
          </cell>
        </row>
        <row r="1992">
          <cell r="B1992" t="str">
            <v>В-11557/КЛ.Транш - 3</v>
          </cell>
          <cell r="D1992">
            <v>79677155001</v>
          </cell>
          <cell r="F1992">
            <v>79677155001</v>
          </cell>
        </row>
        <row r="1993">
          <cell r="B1993" t="str">
            <v>В-28064/КЛ.Транш - 1</v>
          </cell>
          <cell r="C1993">
            <v>74956391807</v>
          </cell>
          <cell r="D1993">
            <v>79162211179</v>
          </cell>
          <cell r="E1993">
            <v>79162211179</v>
          </cell>
        </row>
        <row r="1994">
          <cell r="B1994" t="str">
            <v>В-21894/КЛ.Транш - 4</v>
          </cell>
          <cell r="C1994">
            <v>84955232447</v>
          </cell>
          <cell r="D1994">
            <v>89267991516</v>
          </cell>
          <cell r="F1994">
            <v>79267991516</v>
          </cell>
        </row>
        <row r="1995">
          <cell r="B1995" t="str">
            <v>В-17162/КЛ.Транш - 1</v>
          </cell>
          <cell r="D1995">
            <v>79897730623</v>
          </cell>
          <cell r="F1995">
            <v>79897730623</v>
          </cell>
        </row>
        <row r="1996">
          <cell r="B1996" t="str">
            <v>В-17162/КЛ.Транш - 2</v>
          </cell>
          <cell r="D1996">
            <v>79897730623</v>
          </cell>
          <cell r="F1996">
            <v>79897730623</v>
          </cell>
        </row>
        <row r="1997">
          <cell r="B1997" t="str">
            <v>В-17162/КЛ.Транш - 3</v>
          </cell>
          <cell r="D1997">
            <v>79897730623</v>
          </cell>
          <cell r="F1997">
            <v>79897730623</v>
          </cell>
        </row>
        <row r="1998">
          <cell r="B1998" t="str">
            <v>В-20952/КЛ.Транш - 3</v>
          </cell>
          <cell r="D1998">
            <v>79785003671</v>
          </cell>
          <cell r="F1998">
            <v>79785003671</v>
          </cell>
        </row>
        <row r="1999">
          <cell r="B1999" t="str">
            <v>В-20952/КЛ.Транш - 6</v>
          </cell>
          <cell r="D1999">
            <v>79785003671</v>
          </cell>
          <cell r="F1999">
            <v>79785003671</v>
          </cell>
        </row>
        <row r="2000">
          <cell r="B2000" t="str">
            <v>В-20952/КЛ.Транш - 4</v>
          </cell>
          <cell r="D2000">
            <v>79785003671</v>
          </cell>
          <cell r="F2000">
            <v>79785003671</v>
          </cell>
        </row>
        <row r="2001">
          <cell r="B2001" t="str">
            <v>В-11812/КЛ.Транш - 1</v>
          </cell>
          <cell r="C2001">
            <v>74967969347</v>
          </cell>
          <cell r="E2001">
            <v>79031060506</v>
          </cell>
          <cell r="F2001">
            <v>79031060506</v>
          </cell>
        </row>
        <row r="2002">
          <cell r="B2002" t="str">
            <v>Т-01869/АЗ_Т-20211028/Ц</v>
          </cell>
          <cell r="C2002">
            <v>74995055572</v>
          </cell>
          <cell r="D2002">
            <v>79096610693</v>
          </cell>
          <cell r="F2002">
            <v>79096610693</v>
          </cell>
        </row>
        <row r="2003">
          <cell r="B2003" t="str">
            <v>В-23410/КЛ.Транш - 1</v>
          </cell>
          <cell r="D2003">
            <v>79514452677</v>
          </cell>
          <cell r="F2003">
            <v>79514452677</v>
          </cell>
        </row>
        <row r="2004">
          <cell r="B2004" t="str">
            <v>Т-01540/АЗ_Т-20211028/Ц</v>
          </cell>
          <cell r="C2004">
            <v>79858667410</v>
          </cell>
          <cell r="D2004">
            <v>79037965446</v>
          </cell>
          <cell r="E2004">
            <v>79037965446</v>
          </cell>
          <cell r="F2004">
            <v>79037965446</v>
          </cell>
        </row>
        <row r="2005">
          <cell r="B2005" t="str">
            <v>А-04160/АЗ_Т-20211028/Ц</v>
          </cell>
          <cell r="C2005">
            <v>79858667410</v>
          </cell>
          <cell r="D2005">
            <v>79037965446</v>
          </cell>
          <cell r="E2005">
            <v>79037965446</v>
          </cell>
          <cell r="F2005">
            <v>79037965446</v>
          </cell>
        </row>
        <row r="2006">
          <cell r="B2006" t="str">
            <v>В-09302/КЛ.Транш - 5</v>
          </cell>
          <cell r="D2006">
            <v>79066940306</v>
          </cell>
          <cell r="F2006">
            <v>79066940306</v>
          </cell>
        </row>
        <row r="2007">
          <cell r="B2007" t="str">
            <v>В-09302/КЛ.Транш - 2</v>
          </cell>
          <cell r="D2007">
            <v>79066940306</v>
          </cell>
          <cell r="F2007">
            <v>79066940306</v>
          </cell>
        </row>
        <row r="2008">
          <cell r="B2008" t="str">
            <v>В-09302/КЛ.Транш - 3</v>
          </cell>
          <cell r="D2008">
            <v>79066940306</v>
          </cell>
          <cell r="F2008">
            <v>79066940306</v>
          </cell>
        </row>
        <row r="2009">
          <cell r="B2009" t="str">
            <v>В-09302/КЛ.Транш - 4</v>
          </cell>
          <cell r="D2009">
            <v>79066940306</v>
          </cell>
          <cell r="F2009">
            <v>79066940306</v>
          </cell>
        </row>
        <row r="2010">
          <cell r="B2010" t="str">
            <v>А-05291/АЗ</v>
          </cell>
          <cell r="C2010">
            <v>79779642850</v>
          </cell>
          <cell r="D2010">
            <v>79652644229</v>
          </cell>
          <cell r="E2010">
            <v>79652644229</v>
          </cell>
        </row>
        <row r="2011">
          <cell r="B2011" t="str">
            <v>В-02154/КЛ.Транш - 1</v>
          </cell>
          <cell r="D2011">
            <v>79253219255</v>
          </cell>
          <cell r="F2011">
            <v>79253219255</v>
          </cell>
        </row>
        <row r="2012">
          <cell r="B2012" t="str">
            <v>В-09636/КЛ.Транш - 1</v>
          </cell>
          <cell r="D2012">
            <v>79013890745</v>
          </cell>
          <cell r="F2012">
            <v>79013890745</v>
          </cell>
        </row>
        <row r="2013">
          <cell r="B2013" t="str">
            <v>В-13042/КЛ.Транш - 1_В-20211230/Ц</v>
          </cell>
          <cell r="D2013">
            <v>89201426215</v>
          </cell>
          <cell r="F2013">
            <v>79201426215</v>
          </cell>
        </row>
        <row r="2014">
          <cell r="B2014" t="str">
            <v>В-00993/КЛ.Транш - 1</v>
          </cell>
          <cell r="C2014">
            <v>84955981623</v>
          </cell>
          <cell r="D2014">
            <v>89859707794</v>
          </cell>
          <cell r="F2014">
            <v>79859707794</v>
          </cell>
        </row>
        <row r="2015">
          <cell r="B2015" t="str">
            <v>В-07729/КЛ.Транш - 1</v>
          </cell>
          <cell r="D2015">
            <v>79214061513</v>
          </cell>
          <cell r="F2015">
            <v>79214061513</v>
          </cell>
        </row>
        <row r="2016">
          <cell r="B2016" t="str">
            <v>В-11280/КЛ.Транш - 1</v>
          </cell>
          <cell r="D2016">
            <v>79028705078</v>
          </cell>
          <cell r="F2016">
            <v>79028705078</v>
          </cell>
        </row>
        <row r="2017">
          <cell r="B2017" t="str">
            <v>В-12894/КЛ.Транш - 1_В-20211230/Ц</v>
          </cell>
          <cell r="D2017">
            <v>89340003444</v>
          </cell>
          <cell r="F2017">
            <v>79340003444</v>
          </cell>
        </row>
        <row r="2018">
          <cell r="B2018" t="str">
            <v>В-15131/КЛ.Транш - 1</v>
          </cell>
          <cell r="D2018">
            <v>79197845073</v>
          </cell>
          <cell r="F2018">
            <v>79197845073</v>
          </cell>
        </row>
        <row r="2019">
          <cell r="B2019" t="str">
            <v>В-26501/КЛ.Транш - 2</v>
          </cell>
          <cell r="D2019">
            <v>79250373497</v>
          </cell>
          <cell r="F2019">
            <v>79250373497</v>
          </cell>
        </row>
        <row r="2020">
          <cell r="B2020" t="str">
            <v>В-26501/КЛ.Транш - 5</v>
          </cell>
          <cell r="D2020">
            <v>79250373497</v>
          </cell>
          <cell r="F2020">
            <v>79250373497</v>
          </cell>
        </row>
        <row r="2021">
          <cell r="B2021" t="str">
            <v>В-26501/КЛ.Транш - 4</v>
          </cell>
          <cell r="D2021">
            <v>79250373497</v>
          </cell>
          <cell r="F2021">
            <v>79250373497</v>
          </cell>
        </row>
        <row r="2022">
          <cell r="B2022" t="str">
            <v>В-26501/КЛ.Транш - 3</v>
          </cell>
          <cell r="D2022">
            <v>79250373497</v>
          </cell>
          <cell r="F2022">
            <v>79250373497</v>
          </cell>
        </row>
        <row r="2023">
          <cell r="B2023" t="str">
            <v>В-26501/КЛ.Транш - 1</v>
          </cell>
          <cell r="D2023">
            <v>79250373497</v>
          </cell>
          <cell r="F2023">
            <v>79250373497</v>
          </cell>
        </row>
        <row r="2024">
          <cell r="B2024" t="str">
            <v>В-23161/КЛ.Транш - 1</v>
          </cell>
          <cell r="D2024">
            <v>89037991513</v>
          </cell>
          <cell r="F2024">
            <v>79037991513</v>
          </cell>
        </row>
        <row r="2025">
          <cell r="B2025" t="str">
            <v>В-01371/КЛ.Транш - 1</v>
          </cell>
          <cell r="D2025">
            <v>89859748828</v>
          </cell>
          <cell r="F2025">
            <v>79859748828</v>
          </cell>
        </row>
        <row r="2026">
          <cell r="B2026" t="str">
            <v>В-12818/КЛ.Транш - 1</v>
          </cell>
          <cell r="D2026">
            <v>79058936511</v>
          </cell>
          <cell r="F2026">
            <v>79058936511</v>
          </cell>
        </row>
        <row r="2027">
          <cell r="B2027" t="str">
            <v>А-01652/АЗ</v>
          </cell>
          <cell r="D2027" t="str">
            <v>79167270376, 79853012910</v>
          </cell>
          <cell r="E2027">
            <v>79167270376</v>
          </cell>
        </row>
        <row r="2028">
          <cell r="B2028" t="str">
            <v>Т-00638/АЗ_Т-20211028/Ц</v>
          </cell>
          <cell r="D2028" t="str">
            <v>79167270376, 79853012910</v>
          </cell>
          <cell r="E2028">
            <v>79167270376</v>
          </cell>
        </row>
        <row r="2029">
          <cell r="B2029" t="str">
            <v>В-24892/АЗ</v>
          </cell>
          <cell r="D2029">
            <v>79169286270</v>
          </cell>
          <cell r="F2029">
            <v>79169286270</v>
          </cell>
        </row>
        <row r="2030">
          <cell r="B2030" t="str">
            <v>В-00065/КЭ.Транш - 1</v>
          </cell>
        </row>
        <row r="2031">
          <cell r="B2031" t="str">
            <v>В-00039/АЗ</v>
          </cell>
          <cell r="D2031">
            <v>89017796540</v>
          </cell>
          <cell r="F2031">
            <v>79017796540</v>
          </cell>
        </row>
        <row r="2032">
          <cell r="B2032" t="str">
            <v>В-00039/КЭ.Транш - 1_В-20211230/Ц</v>
          </cell>
        </row>
        <row r="2033">
          <cell r="B2033" t="str">
            <v>В-18548/КЛ.Транш - 1</v>
          </cell>
          <cell r="D2033">
            <v>79607319694</v>
          </cell>
          <cell r="F2033">
            <v>79607319694</v>
          </cell>
        </row>
        <row r="2034">
          <cell r="B2034" t="str">
            <v>В-18548/КЛ.Транш - 2</v>
          </cell>
          <cell r="D2034">
            <v>79607319694</v>
          </cell>
          <cell r="F2034">
            <v>79607319694</v>
          </cell>
        </row>
        <row r="2035">
          <cell r="B2035" t="str">
            <v>В-00053/КЭ.Транш - 1</v>
          </cell>
        </row>
        <row r="2036">
          <cell r="B2036" t="str">
            <v>В-10014/КЭ.Транш - 1</v>
          </cell>
        </row>
        <row r="2037">
          <cell r="B2037" t="str">
            <v>В-10014/КЭ.Транш - 2</v>
          </cell>
        </row>
        <row r="2038">
          <cell r="B2038" t="str">
            <v>А-10099/КЭ.Транш - 2</v>
          </cell>
        </row>
        <row r="2039">
          <cell r="B2039" t="str">
            <v>А-10098/КЭ.Транш - 1</v>
          </cell>
        </row>
        <row r="2040">
          <cell r="B2040" t="str">
            <v>А-10099/КЭ.Транш - 1</v>
          </cell>
        </row>
        <row r="2041">
          <cell r="B2041" t="str">
            <v>В-08248/КЛ.Транш - 3</v>
          </cell>
          <cell r="D2041">
            <v>89268786830</v>
          </cell>
          <cell r="F2041">
            <v>79268786830</v>
          </cell>
        </row>
        <row r="2042">
          <cell r="B2042" t="str">
            <v>В-05868/КЛ.Транш - 1</v>
          </cell>
          <cell r="D2042">
            <v>89262033088</v>
          </cell>
          <cell r="F2042">
            <v>79770503324</v>
          </cell>
        </row>
        <row r="2043">
          <cell r="B2043" t="str">
            <v>В-14232/КЛ.Транш - 1</v>
          </cell>
          <cell r="D2043">
            <v>79182841372</v>
          </cell>
          <cell r="F2043">
            <v>79182841372</v>
          </cell>
        </row>
        <row r="2044">
          <cell r="B2044" t="str">
            <v>В-01090/АЗ</v>
          </cell>
          <cell r="D2044">
            <v>89099951765</v>
          </cell>
          <cell r="F2044">
            <v>79099951765</v>
          </cell>
        </row>
        <row r="2045">
          <cell r="B2045" t="str">
            <v>В-23895/АЗ</v>
          </cell>
          <cell r="D2045">
            <v>89099951765</v>
          </cell>
          <cell r="F2045">
            <v>79099951765</v>
          </cell>
        </row>
        <row r="2046">
          <cell r="B2046" t="str">
            <v>В-20899/КЛ.Транш - 1</v>
          </cell>
          <cell r="D2046">
            <v>79145010453</v>
          </cell>
          <cell r="F2046">
            <v>79145010453</v>
          </cell>
        </row>
        <row r="2047">
          <cell r="B2047" t="str">
            <v>В-00088/АЗ</v>
          </cell>
          <cell r="D2047">
            <v>79660098367</v>
          </cell>
          <cell r="F2047">
            <v>79660098367</v>
          </cell>
        </row>
        <row r="2048">
          <cell r="B2048" t="str">
            <v>В-24151/КЛ.Транш - 1</v>
          </cell>
          <cell r="D2048">
            <v>79016581077</v>
          </cell>
          <cell r="F2048">
            <v>79016581077</v>
          </cell>
        </row>
        <row r="2049">
          <cell r="B2049" t="str">
            <v>В-03543/КЛ.Транш - 1</v>
          </cell>
          <cell r="D2049">
            <v>79006519767</v>
          </cell>
          <cell r="F2049">
            <v>79006519767</v>
          </cell>
        </row>
        <row r="2050">
          <cell r="B2050" t="str">
            <v>Т-01906/АЗ_Т-20211028/Ц</v>
          </cell>
          <cell r="C2050">
            <v>79066285223</v>
          </cell>
          <cell r="D2050">
            <v>79606005503</v>
          </cell>
          <cell r="E2050">
            <v>79671852262</v>
          </cell>
          <cell r="F2050">
            <v>89606005503</v>
          </cell>
        </row>
        <row r="2051">
          <cell r="B2051" t="str">
            <v>В-01642/КЛ.Транш - 1</v>
          </cell>
          <cell r="D2051">
            <v>89257810598</v>
          </cell>
          <cell r="F2051">
            <v>79257810598</v>
          </cell>
        </row>
        <row r="2052">
          <cell r="B2052" t="str">
            <v>В-28235/АЗ</v>
          </cell>
          <cell r="D2052">
            <v>79030156177</v>
          </cell>
          <cell r="F2052">
            <v>79030156177</v>
          </cell>
        </row>
        <row r="2053">
          <cell r="B2053" t="str">
            <v>В-26423/КЛ.Транш - 1</v>
          </cell>
          <cell r="D2053">
            <v>79085718098</v>
          </cell>
        </row>
        <row r="2054">
          <cell r="B2054" t="str">
            <v>В-15400/КЛ.Транш - 2</v>
          </cell>
          <cell r="D2054">
            <v>79220274533</v>
          </cell>
          <cell r="F2054">
            <v>79220274533</v>
          </cell>
        </row>
        <row r="2055">
          <cell r="B2055" t="str">
            <v>В-28216/КЛ.Транш - 1</v>
          </cell>
          <cell r="D2055">
            <v>89165599717</v>
          </cell>
          <cell r="F2055">
            <v>79165599717</v>
          </cell>
        </row>
        <row r="2056">
          <cell r="B2056" t="str">
            <v>В-25824/КЛ.Транш - 1</v>
          </cell>
          <cell r="D2056">
            <v>79645796128</v>
          </cell>
          <cell r="F2056">
            <v>79645796128</v>
          </cell>
        </row>
        <row r="2057">
          <cell r="B2057" t="str">
            <v>В-14920/КЛ.Транш - 1</v>
          </cell>
          <cell r="C2057">
            <v>89057277555</v>
          </cell>
          <cell r="D2057">
            <v>89263121881</v>
          </cell>
          <cell r="F2057">
            <v>79263121881</v>
          </cell>
        </row>
        <row r="2058">
          <cell r="B2058" t="str">
            <v>В-02090/КЛ.Транш - 1</v>
          </cell>
          <cell r="C2058">
            <v>84953224104</v>
          </cell>
          <cell r="D2058">
            <v>89267163266</v>
          </cell>
          <cell r="F2058">
            <v>79267163266</v>
          </cell>
        </row>
        <row r="2059">
          <cell r="B2059" t="str">
            <v>В-22759/КЛ.Транш - 1</v>
          </cell>
          <cell r="D2059">
            <v>89165971560</v>
          </cell>
          <cell r="F2059">
            <v>79165971560</v>
          </cell>
        </row>
        <row r="2060">
          <cell r="B2060" t="str">
            <v>В-14291/КЛ.Транш - 7</v>
          </cell>
          <cell r="D2060">
            <v>79859500766</v>
          </cell>
          <cell r="E2060">
            <v>79163596977</v>
          </cell>
          <cell r="F2060">
            <v>79859500766</v>
          </cell>
        </row>
        <row r="2061">
          <cell r="B2061" t="str">
            <v>В-20585/КЛ.Транш - 1</v>
          </cell>
          <cell r="D2061">
            <v>79829322655</v>
          </cell>
          <cell r="F2061">
            <v>79829322655</v>
          </cell>
        </row>
        <row r="2062">
          <cell r="B2062" t="str">
            <v>В-20172/КЛ.Транш - 1</v>
          </cell>
          <cell r="D2062">
            <v>79180577034</v>
          </cell>
          <cell r="F2062">
            <v>79180577034</v>
          </cell>
        </row>
        <row r="2063">
          <cell r="B2063" t="str">
            <v>В-11861/КЛ.Транш - 1</v>
          </cell>
          <cell r="E2063">
            <v>79506259515</v>
          </cell>
          <cell r="F2063">
            <v>79506259515</v>
          </cell>
        </row>
      </sheetData>
      <sheetData sheetId="1"/>
      <sheetData sheetId="2"/>
      <sheetData sheetId="3">
        <row r="1">
          <cell r="A1" t="str">
            <v>Займ предоставленный.Номер договора</v>
          </cell>
          <cell r="B1" t="str">
            <v>Поручитель</v>
          </cell>
          <cell r="C1" t="str">
            <v>Телефон мобильный</v>
          </cell>
        </row>
        <row r="2">
          <cell r="A2" t="str">
            <v>А-00380/КЭ</v>
          </cell>
          <cell r="B2" t="str">
            <v>Мардоян Самвел Жораевич</v>
          </cell>
          <cell r="C2">
            <v>89687029464</v>
          </cell>
        </row>
        <row r="3">
          <cell r="A3" t="str">
            <v>А-00049/БЭ</v>
          </cell>
          <cell r="B3" t="str">
            <v>ДЖОЙН ИТ ООО</v>
          </cell>
        </row>
        <row r="4">
          <cell r="A4" t="str">
            <v>А-00382/КЭ</v>
          </cell>
          <cell r="B4" t="str">
            <v>Сахаров Виталий Николаевич</v>
          </cell>
          <cell r="C4">
            <v>79175357571</v>
          </cell>
        </row>
        <row r="5">
          <cell r="A5" t="str">
            <v>А-00382/КЭ</v>
          </cell>
          <cell r="B5" t="str">
            <v>Боброва Оксана Викторовна</v>
          </cell>
          <cell r="C5">
            <v>79167772257</v>
          </cell>
        </row>
        <row r="6">
          <cell r="A6" t="str">
            <v>А-00370/КЭ</v>
          </cell>
          <cell r="B6" t="str">
            <v>Чернушкин Иван Владимирович</v>
          </cell>
          <cell r="C6">
            <v>89150686919</v>
          </cell>
        </row>
        <row r="7">
          <cell r="A7" t="str">
            <v>В-00046/АЗ</v>
          </cell>
          <cell r="B7" t="str">
            <v>Аванесян Эмилия Эмиковна</v>
          </cell>
          <cell r="C7">
            <v>89263536460</v>
          </cell>
        </row>
        <row r="8">
          <cell r="A8" t="str">
            <v>В-00018/КЭ</v>
          </cell>
          <cell r="B8" t="str">
            <v>Стацик Анатолий Семенович</v>
          </cell>
          <cell r="C8">
            <v>79154755973</v>
          </cell>
        </row>
        <row r="9">
          <cell r="A9" t="str">
            <v>В-00073/КЭ</v>
          </cell>
          <cell r="B9" t="str">
            <v>Стацик Анатолий Семенович</v>
          </cell>
          <cell r="C9">
            <v>79154755973</v>
          </cell>
        </row>
        <row r="10">
          <cell r="A10" t="str">
            <v>В-00033/КЭ</v>
          </cell>
          <cell r="B10" t="str">
            <v>Апакина Анастасия Викторовна</v>
          </cell>
          <cell r="C10">
            <v>79099959191</v>
          </cell>
        </row>
        <row r="11">
          <cell r="A11" t="str">
            <v>В-00345/АЗ</v>
          </cell>
          <cell r="B11" t="str">
            <v>Григорьев Эдуард Юрьевич</v>
          </cell>
          <cell r="C11">
            <v>79055504528</v>
          </cell>
        </row>
        <row r="12">
          <cell r="A12" t="str">
            <v>В-01074/АЗ</v>
          </cell>
          <cell r="B12" t="str">
            <v>Григорьев Эдуард Юрьевич</v>
          </cell>
          <cell r="C12">
            <v>79055504528</v>
          </cell>
        </row>
        <row r="13">
          <cell r="A13" t="str">
            <v>В-00088/АЗ</v>
          </cell>
          <cell r="B13" t="str">
            <v>Юзбашян Зограб Ходедани</v>
          </cell>
          <cell r="C13">
            <v>79055396840</v>
          </cell>
        </row>
        <row r="14">
          <cell r="A14" t="str">
            <v>В-01039/АЗ</v>
          </cell>
          <cell r="B14" t="str">
            <v>Егоян Вард Баласанович</v>
          </cell>
          <cell r="C14">
            <v>79032135256</v>
          </cell>
        </row>
        <row r="15">
          <cell r="A15" t="str">
            <v>В-00053/КЭ</v>
          </cell>
          <cell r="B15" t="str">
            <v>Борисов Алексей Валерьевич</v>
          </cell>
          <cell r="C15">
            <v>79169998637</v>
          </cell>
        </row>
        <row r="16">
          <cell r="A16" t="str">
            <v>В-10019/КЭ</v>
          </cell>
          <cell r="B16" t="str">
            <v>Мельникова Елена Владимировна</v>
          </cell>
          <cell r="C16">
            <v>89112926538</v>
          </cell>
        </row>
        <row r="17">
          <cell r="A17" t="str">
            <v>В-10019/КЭ</v>
          </cell>
          <cell r="B17" t="str">
            <v>Груздев Александр Борисович</v>
          </cell>
          <cell r="C17">
            <v>89052151090</v>
          </cell>
        </row>
        <row r="18">
          <cell r="A18" t="str">
            <v>А-00391/КЭ</v>
          </cell>
          <cell r="B18" t="str">
            <v>Мироненко Галина Александровна</v>
          </cell>
          <cell r="C18">
            <v>79852103771</v>
          </cell>
        </row>
        <row r="19">
          <cell r="A19" t="str">
            <v>А-00462/КЭ</v>
          </cell>
          <cell r="B19" t="str">
            <v>Мироненко Галина Александровна</v>
          </cell>
          <cell r="C19">
            <v>79852103771</v>
          </cell>
        </row>
        <row r="20">
          <cell r="A20" t="str">
            <v>А-00360/КЭ</v>
          </cell>
          <cell r="B20" t="str">
            <v>Бабякина Ирина Алексеевна</v>
          </cell>
          <cell r="C20">
            <v>89661083233</v>
          </cell>
        </row>
        <row r="21">
          <cell r="A21" t="str">
            <v>А-00360/КЭ</v>
          </cell>
          <cell r="B21" t="str">
            <v>Гафуров Марсель Альбертович</v>
          </cell>
          <cell r="C21">
            <v>89647006767</v>
          </cell>
        </row>
        <row r="22">
          <cell r="A22" t="str">
            <v>А-30004/КЭ</v>
          </cell>
          <cell r="B22" t="str">
            <v>Сунгурян Эдуард Карапетович</v>
          </cell>
          <cell r="C22">
            <v>89186077037</v>
          </cell>
        </row>
        <row r="23">
          <cell r="A23" t="str">
            <v>А-30004/КЭ</v>
          </cell>
          <cell r="B23" t="str">
            <v>Мкртчян Арсен Самвелович</v>
          </cell>
          <cell r="C23">
            <v>89780400793</v>
          </cell>
        </row>
        <row r="24">
          <cell r="A24" t="str">
            <v>А-00392/КЭ</v>
          </cell>
          <cell r="B24" t="str">
            <v>Байрамуков Андрей Алиевич</v>
          </cell>
          <cell r="C24">
            <v>89096760666</v>
          </cell>
        </row>
        <row r="25">
          <cell r="A25" t="str">
            <v>А-00399/КЭ</v>
          </cell>
          <cell r="B25" t="str">
            <v>Мишин Андрей Васильевич</v>
          </cell>
          <cell r="C25">
            <v>79153809530</v>
          </cell>
        </row>
        <row r="26">
          <cell r="A26" t="str">
            <v>А-00406/КЭ</v>
          </cell>
          <cell r="B26" t="str">
            <v>Мишин Андрей Васильевич</v>
          </cell>
          <cell r="C26">
            <v>79153809530</v>
          </cell>
        </row>
        <row r="27">
          <cell r="A27" t="str">
            <v>В-10017/КЭ</v>
          </cell>
          <cell r="B27" t="str">
            <v>Мартиросян Вардан Лазоевич</v>
          </cell>
          <cell r="C27">
            <v>79119259881</v>
          </cell>
        </row>
        <row r="28">
          <cell r="A28" t="str">
            <v>А-10097/КЭ</v>
          </cell>
          <cell r="B28" t="str">
            <v>Грудцына Евгения Александровна</v>
          </cell>
          <cell r="C28">
            <v>79219583005</v>
          </cell>
        </row>
        <row r="29">
          <cell r="A29" t="str">
            <v>А-10097/КЭ</v>
          </cell>
          <cell r="B29" t="str">
            <v>Уразов Олег Эдуардович</v>
          </cell>
          <cell r="C29">
            <v>79213472062</v>
          </cell>
        </row>
        <row r="30">
          <cell r="A30" t="str">
            <v>А-10096/КЭ</v>
          </cell>
          <cell r="B30" t="str">
            <v>Дятко Александр Николаевич</v>
          </cell>
          <cell r="C30" t="str">
            <v>79643888770, 79117853227</v>
          </cell>
        </row>
        <row r="31">
          <cell r="A31" t="str">
            <v>А-00402/КЭ</v>
          </cell>
          <cell r="B31" t="str">
            <v>Кунижев Адалгерий Нурбиевич</v>
          </cell>
          <cell r="C31">
            <v>79857773002</v>
          </cell>
        </row>
        <row r="32">
          <cell r="A32" t="str">
            <v>В-00041/КЭ</v>
          </cell>
          <cell r="B32" t="str">
            <v>Чернышова Мария Сергеевна</v>
          </cell>
          <cell r="C32">
            <v>79104838765</v>
          </cell>
        </row>
        <row r="33">
          <cell r="A33" t="str">
            <v>А-00403/КЭ</v>
          </cell>
          <cell r="B33" t="str">
            <v>Тулупов Илья Владимирович</v>
          </cell>
          <cell r="C33">
            <v>79852982783</v>
          </cell>
        </row>
        <row r="34">
          <cell r="A34" t="str">
            <v>А-00405/КЭ</v>
          </cell>
          <cell r="B34" t="str">
            <v>Косов Василий Юрьевич</v>
          </cell>
          <cell r="C34">
            <v>79154514153</v>
          </cell>
        </row>
        <row r="35">
          <cell r="A35" t="str">
            <v>А-00063/БЭ</v>
          </cell>
          <cell r="B35" t="str">
            <v>АИТРАНС ООО</v>
          </cell>
        </row>
        <row r="36">
          <cell r="A36" t="str">
            <v>Т-00038/БЭ_Т-20211028/Ц</v>
          </cell>
          <cell r="B36" t="str">
            <v>АИТРАНС ООО</v>
          </cell>
        </row>
        <row r="37">
          <cell r="A37" t="str">
            <v>А-10098/КЭ</v>
          </cell>
          <cell r="B37" t="str">
            <v>Таиров Давран Бахтиярович</v>
          </cell>
          <cell r="C37">
            <v>79312569333</v>
          </cell>
        </row>
        <row r="38">
          <cell r="A38" t="str">
            <v>А-10099/КЭ</v>
          </cell>
          <cell r="B38" t="str">
            <v>Таиров Давран Бахтиярович</v>
          </cell>
          <cell r="C38">
            <v>79312569333</v>
          </cell>
        </row>
        <row r="39">
          <cell r="A39" t="str">
            <v>А-00409/КЭ</v>
          </cell>
          <cell r="B39" t="str">
            <v>Трунов Дмитрий Евгеньевич</v>
          </cell>
          <cell r="C39">
            <v>79852102070</v>
          </cell>
        </row>
        <row r="40">
          <cell r="A40" t="str">
            <v>А-00410/КЭ</v>
          </cell>
          <cell r="B40" t="str">
            <v>Куренков Илья Маркович</v>
          </cell>
          <cell r="C40">
            <v>89263682963</v>
          </cell>
        </row>
        <row r="41">
          <cell r="A41" t="str">
            <v>А-00410/КЭ</v>
          </cell>
          <cell r="B41" t="str">
            <v>Деев Андрей Валентинович</v>
          </cell>
          <cell r="C41">
            <v>89151992454</v>
          </cell>
        </row>
        <row r="42">
          <cell r="A42" t="str">
            <v>А-00414/КЭ</v>
          </cell>
          <cell r="B42" t="str">
            <v>Гуляев Евгений Валерьевич</v>
          </cell>
          <cell r="C42">
            <v>89197848545</v>
          </cell>
        </row>
        <row r="43">
          <cell r="A43" t="str">
            <v>А-00414/КЭ</v>
          </cell>
          <cell r="B43" t="str">
            <v>Лысенко Артур Игоревич</v>
          </cell>
          <cell r="C43">
            <v>89153459847</v>
          </cell>
        </row>
        <row r="44">
          <cell r="A44" t="str">
            <v>А-30006/КЭ</v>
          </cell>
          <cell r="B44" t="str">
            <v>Бахчоян Норик Варданович</v>
          </cell>
          <cell r="C44">
            <v>89184808307</v>
          </cell>
        </row>
        <row r="45">
          <cell r="A45" t="str">
            <v>В-05253/КЛ</v>
          </cell>
          <cell r="B45" t="str">
            <v>Гулиев Мехман Агаами Оглы</v>
          </cell>
          <cell r="C45">
            <v>79265702323</v>
          </cell>
        </row>
        <row r="46">
          <cell r="A46" t="str">
            <v>В-28424/АЗ</v>
          </cell>
          <cell r="B46" t="str">
            <v>Мнацаканян Карен Аракелович</v>
          </cell>
          <cell r="C46">
            <v>79688618888</v>
          </cell>
        </row>
        <row r="47">
          <cell r="A47" t="str">
            <v>А-00421/КЭ</v>
          </cell>
          <cell r="B47" t="str">
            <v>Мокин Алексей Федорович</v>
          </cell>
          <cell r="C47">
            <v>89251300492</v>
          </cell>
        </row>
        <row r="48">
          <cell r="A48" t="str">
            <v>В-00675/АЗ</v>
          </cell>
          <cell r="B48" t="str">
            <v>Шагивалеев Азат Мусавирович</v>
          </cell>
          <cell r="C48">
            <v>89857234373</v>
          </cell>
        </row>
        <row r="49">
          <cell r="A49" t="str">
            <v>В-13603/КЛ</v>
          </cell>
          <cell r="B49" t="str">
            <v>Рогава Отари Омариевич</v>
          </cell>
          <cell r="C49">
            <v>89856338888</v>
          </cell>
        </row>
        <row r="50">
          <cell r="A50" t="str">
            <v>А-05421/АЗ_А-20200626/Ц</v>
          </cell>
          <cell r="B50" t="str">
            <v>Миносян Валико Карапетович</v>
          </cell>
          <cell r="C50">
            <v>79649460007</v>
          </cell>
        </row>
        <row r="51">
          <cell r="A51" t="str">
            <v>В-00702/АЗ</v>
          </cell>
          <cell r="B51" t="str">
            <v>Миносян Валико Карапетович</v>
          </cell>
          <cell r="C51">
            <v>79649460007</v>
          </cell>
        </row>
        <row r="52">
          <cell r="A52" t="str">
            <v>Т-01843/АЗ_Т-20200626/Ц</v>
          </cell>
          <cell r="B52" t="str">
            <v>Миносян Валико Карапетович</v>
          </cell>
          <cell r="C52">
            <v>79649460007</v>
          </cell>
        </row>
        <row r="53">
          <cell r="A53" t="str">
            <v>А-00427/КЭ</v>
          </cell>
          <cell r="B53" t="str">
            <v>Васадзе Коба Олегиевич</v>
          </cell>
          <cell r="C53">
            <v>79055617775</v>
          </cell>
        </row>
        <row r="54">
          <cell r="A54" t="str">
            <v>А-00443/КЭ</v>
          </cell>
          <cell r="B54" t="str">
            <v>Васадзе Коба Олегиевич</v>
          </cell>
          <cell r="C54">
            <v>79055617775</v>
          </cell>
        </row>
        <row r="55">
          <cell r="A55" t="str">
            <v>В-01085/АЗ</v>
          </cell>
          <cell r="B55" t="str">
            <v>Печеникова Оксана Александровна</v>
          </cell>
          <cell r="C55">
            <v>79258380111</v>
          </cell>
        </row>
        <row r="56">
          <cell r="A56" t="str">
            <v>В-01084/АЗ</v>
          </cell>
          <cell r="B56" t="str">
            <v>Печеников Александр Иванович</v>
          </cell>
          <cell r="C56">
            <v>79687697000</v>
          </cell>
        </row>
        <row r="57">
          <cell r="A57" t="str">
            <v>А-10026/БЭ</v>
          </cell>
          <cell r="B57" t="str">
            <v>КУТЮРЬЕ НЕО ООО</v>
          </cell>
        </row>
        <row r="58">
          <cell r="A58" t="str">
            <v>А-00431/КЭ</v>
          </cell>
          <cell r="B58" t="str">
            <v>Барышов Евгений Владимирович</v>
          </cell>
          <cell r="C58">
            <v>89037289454</v>
          </cell>
        </row>
        <row r="59">
          <cell r="A59" t="str">
            <v>А-00432/КЭ</v>
          </cell>
          <cell r="B59" t="str">
            <v>Оганян Гриша Араикович</v>
          </cell>
          <cell r="C59">
            <v>89661320330</v>
          </cell>
        </row>
        <row r="60">
          <cell r="A60" t="str">
            <v>В-00011/КЭ.Транш - 1_А-20210929/Ц</v>
          </cell>
          <cell r="B60" t="str">
            <v>Оганян Гриша Араикович</v>
          </cell>
          <cell r="C60">
            <v>89661320330</v>
          </cell>
        </row>
        <row r="61">
          <cell r="A61" t="str">
            <v>А-00433/КЭ</v>
          </cell>
          <cell r="B61" t="str">
            <v>Жильцов Максим Юрьевич</v>
          </cell>
          <cell r="C61">
            <v>89165563737</v>
          </cell>
        </row>
        <row r="62">
          <cell r="A62" t="str">
            <v>А-00433/КЭ</v>
          </cell>
          <cell r="B62" t="str">
            <v>Сыроватская Полина Александровна</v>
          </cell>
          <cell r="C62">
            <v>89269230262</v>
          </cell>
        </row>
        <row r="63">
          <cell r="A63" t="str">
            <v>А-00434/КЭ</v>
          </cell>
          <cell r="B63" t="str">
            <v>Авдонин Вячеслав Игоревич</v>
          </cell>
          <cell r="C63">
            <v>89859482827</v>
          </cell>
        </row>
        <row r="64">
          <cell r="A64" t="str">
            <v>В-00854/АЗ</v>
          </cell>
          <cell r="B64" t="str">
            <v>Сурнин Валерий Валерьевич</v>
          </cell>
          <cell r="C64">
            <v>79996726990</v>
          </cell>
        </row>
        <row r="65">
          <cell r="A65" t="str">
            <v>В-24883/КЛ</v>
          </cell>
          <cell r="B65" t="str">
            <v>Матренина Ольга Владимировна</v>
          </cell>
          <cell r="C65">
            <v>89104473068</v>
          </cell>
        </row>
        <row r="66">
          <cell r="A66" t="str">
            <v>А-00442/КЭ</v>
          </cell>
          <cell r="B66" t="str">
            <v>Дрозд Артем Иванович</v>
          </cell>
          <cell r="C66">
            <v>89153044635</v>
          </cell>
        </row>
        <row r="67">
          <cell r="A67" t="str">
            <v>В-00023/КЭ</v>
          </cell>
          <cell r="B67" t="str">
            <v>Дрозд Артем Иванович</v>
          </cell>
          <cell r="C67">
            <v>89153044635</v>
          </cell>
        </row>
        <row r="68">
          <cell r="A68" t="str">
            <v>В-03383/КЛ</v>
          </cell>
          <cell r="B68" t="str">
            <v>Трго Анастасия Владимировна</v>
          </cell>
          <cell r="C68">
            <v>89162459060</v>
          </cell>
        </row>
        <row r="69">
          <cell r="A69" t="str">
            <v>А-10117/КЭ</v>
          </cell>
          <cell r="B69" t="str">
            <v>Костин Николай Васильевич</v>
          </cell>
          <cell r="C69">
            <v>89219317222</v>
          </cell>
        </row>
        <row r="70">
          <cell r="A70" t="str">
            <v>В-10002/КЭ</v>
          </cell>
          <cell r="B70" t="str">
            <v>Костин Николай Васильевич</v>
          </cell>
          <cell r="C70">
            <v>89219317222</v>
          </cell>
        </row>
        <row r="71">
          <cell r="A71" t="str">
            <v>А-00447/КЭ</v>
          </cell>
          <cell r="B71" t="str">
            <v>Иванов Юрий Константинович</v>
          </cell>
          <cell r="C71">
            <v>79030100557</v>
          </cell>
        </row>
        <row r="72">
          <cell r="A72" t="str">
            <v>А-00448/КЭ</v>
          </cell>
          <cell r="B72" t="str">
            <v>Иванов Юрий Константинович</v>
          </cell>
          <cell r="C72">
            <v>79030100557</v>
          </cell>
        </row>
        <row r="73">
          <cell r="A73" t="str">
            <v>В-00057/КЭ</v>
          </cell>
          <cell r="B73" t="str">
            <v>Абузарова Регина Ралифовна</v>
          </cell>
          <cell r="C73">
            <v>79060624856</v>
          </cell>
        </row>
        <row r="74">
          <cell r="A74" t="str">
            <v>В-10020/КЭ</v>
          </cell>
          <cell r="B74" t="str">
            <v>Роскошная Евгения Валерьевна</v>
          </cell>
          <cell r="C74">
            <v>79522032333</v>
          </cell>
        </row>
        <row r="75">
          <cell r="A75" t="str">
            <v>В-04162/КЛ</v>
          </cell>
          <cell r="B75" t="str">
            <v>Громова Татьяна Юрьевна</v>
          </cell>
          <cell r="C75">
            <v>79652000558</v>
          </cell>
        </row>
        <row r="76">
          <cell r="A76" t="str">
            <v>А-00452/КЭ</v>
          </cell>
          <cell r="B76" t="str">
            <v>Советников Роман Сергеевич</v>
          </cell>
          <cell r="C76">
            <v>79168248944</v>
          </cell>
        </row>
        <row r="77">
          <cell r="A77" t="str">
            <v>А-00453/КЭ</v>
          </cell>
          <cell r="B77" t="str">
            <v>Советников Роман Сергеевич</v>
          </cell>
          <cell r="C77">
            <v>79168248944</v>
          </cell>
        </row>
        <row r="78">
          <cell r="A78" t="str">
            <v>В-00038/КЭ</v>
          </cell>
          <cell r="B78" t="str">
            <v>Советников Роман Сергеевич</v>
          </cell>
          <cell r="C78">
            <v>79168248944</v>
          </cell>
        </row>
        <row r="79">
          <cell r="A79" t="str">
            <v>А-00454/КЭ</v>
          </cell>
          <cell r="B79" t="str">
            <v>Андреев Дмитрий Геннадьевич</v>
          </cell>
          <cell r="C79">
            <v>89154725975</v>
          </cell>
        </row>
        <row r="80">
          <cell r="A80" t="str">
            <v>В-04596/КЛ</v>
          </cell>
          <cell r="B80" t="str">
            <v>Махмудова Дилрабо Раимовна</v>
          </cell>
          <cell r="C80">
            <v>89296421020</v>
          </cell>
        </row>
        <row r="81">
          <cell r="A81" t="str">
            <v>В-23354/АЗ</v>
          </cell>
          <cell r="B81" t="str">
            <v>Брежнева Мария Михайловна</v>
          </cell>
          <cell r="C81">
            <v>79629993747</v>
          </cell>
        </row>
        <row r="82">
          <cell r="A82" t="str">
            <v>В-23813/АЗ</v>
          </cell>
          <cell r="B82" t="str">
            <v>Брежнева Мария Михайловна</v>
          </cell>
          <cell r="C82">
            <v>79629993747</v>
          </cell>
        </row>
        <row r="83">
          <cell r="A83" t="str">
            <v>В-25924/АЗ</v>
          </cell>
          <cell r="B83" t="str">
            <v>Брежнева Мария Михайловна</v>
          </cell>
          <cell r="C83">
            <v>79629993747</v>
          </cell>
        </row>
        <row r="84">
          <cell r="A84" t="str">
            <v>В-05611/КЛ</v>
          </cell>
          <cell r="B84" t="str">
            <v>Делиславова Галина Алексеевна</v>
          </cell>
          <cell r="C84">
            <v>79687899789</v>
          </cell>
        </row>
        <row r="85">
          <cell r="A85" t="str">
            <v>В-00003/КЭ.Транш - 1_А-20210929/Ц</v>
          </cell>
          <cell r="B85" t="str">
            <v>Васильева Наталья Александровна</v>
          </cell>
          <cell r="C85">
            <v>79689313557</v>
          </cell>
        </row>
        <row r="86">
          <cell r="A86" t="str">
            <v>В-01152/АЗ</v>
          </cell>
          <cell r="B86" t="str">
            <v>Погосян Мелания Гарниковна</v>
          </cell>
          <cell r="C86">
            <v>89263943440</v>
          </cell>
        </row>
        <row r="87">
          <cell r="A87" t="str">
            <v>А-10121/КЭ</v>
          </cell>
          <cell r="B87" t="str">
            <v>Коротеева Марина Михайловна</v>
          </cell>
          <cell r="C87">
            <v>79219337356</v>
          </cell>
        </row>
        <row r="88">
          <cell r="A88" t="str">
            <v>А-00466/КЭ</v>
          </cell>
          <cell r="B88" t="str">
            <v>Малыхин Владимир Григорьевич</v>
          </cell>
          <cell r="C88">
            <v>79067572291</v>
          </cell>
        </row>
        <row r="89">
          <cell r="A89" t="str">
            <v>А-10122/КЭ</v>
          </cell>
          <cell r="B89" t="str">
            <v>Суслеников Игорь Геннадьевич</v>
          </cell>
          <cell r="C89">
            <v>79219443980</v>
          </cell>
        </row>
        <row r="90">
          <cell r="A90" t="str">
            <v>А-00328/КЭ</v>
          </cell>
          <cell r="B90" t="str">
            <v>Хасанов Дмитрий Камильевич</v>
          </cell>
          <cell r="C90">
            <v>79257372636</v>
          </cell>
        </row>
        <row r="91">
          <cell r="A91" t="str">
            <v>А-00328/КЭ</v>
          </cell>
          <cell r="B91" t="str">
            <v>Грудинина Валерия Владимировна</v>
          </cell>
        </row>
        <row r="92">
          <cell r="A92" t="str">
            <v>В-00066/КЭ</v>
          </cell>
          <cell r="B92" t="str">
            <v>Николайцев Юрий Владимирович</v>
          </cell>
          <cell r="C92">
            <v>79099171136</v>
          </cell>
        </row>
        <row r="93">
          <cell r="A93" t="str">
            <v>В-30004/КЭ</v>
          </cell>
          <cell r="B93" t="str">
            <v>Литвинова Екатерина Викторовна</v>
          </cell>
          <cell r="C93">
            <v>79186107599</v>
          </cell>
        </row>
        <row r="94">
          <cell r="A94" t="str">
            <v>В-01037/АЗ</v>
          </cell>
          <cell r="B94" t="str">
            <v>Блохин Виталий Анатольевич</v>
          </cell>
          <cell r="C94" t="str">
            <v>79184820047, 79002350703</v>
          </cell>
        </row>
        <row r="95">
          <cell r="A95" t="str">
            <v>В-00008/КЭ</v>
          </cell>
          <cell r="B95" t="str">
            <v>Волков Алексей Алексеевич</v>
          </cell>
          <cell r="C95">
            <v>79067105181</v>
          </cell>
        </row>
        <row r="96">
          <cell r="A96" t="str">
            <v>В-01023/АЗ</v>
          </cell>
          <cell r="B96" t="str">
            <v>Осмаева Зулихан Авхадовна</v>
          </cell>
          <cell r="C96">
            <v>79261236273</v>
          </cell>
        </row>
        <row r="97">
          <cell r="A97" t="str">
            <v>В-01024/АЗ</v>
          </cell>
          <cell r="B97" t="str">
            <v>Осмаева Зулихан Авхадовна</v>
          </cell>
          <cell r="C97">
            <v>79261236273</v>
          </cell>
        </row>
        <row r="98">
          <cell r="A98" t="str">
            <v>В-26125/АЗ</v>
          </cell>
          <cell r="B98" t="str">
            <v>Осмаева Зулихан Авхадовна</v>
          </cell>
          <cell r="C98">
            <v>79261236273</v>
          </cell>
        </row>
        <row r="99">
          <cell r="A99" t="str">
            <v>В-26172/АЗ</v>
          </cell>
          <cell r="B99" t="str">
            <v>Осмаева Зулихан Авхадовна</v>
          </cell>
          <cell r="C99">
            <v>79261236273</v>
          </cell>
        </row>
        <row r="100">
          <cell r="A100" t="str">
            <v>В-01211/АЗ</v>
          </cell>
          <cell r="B100" t="str">
            <v>Осмаев Ибрагим Исламович</v>
          </cell>
          <cell r="C100">
            <v>79969160095</v>
          </cell>
        </row>
        <row r="101">
          <cell r="A101" t="str">
            <v>В-27564/АЗ</v>
          </cell>
          <cell r="B101" t="str">
            <v>Амирханян Эмиль Оганесович</v>
          </cell>
          <cell r="C101">
            <v>79160538081</v>
          </cell>
        </row>
        <row r="102">
          <cell r="A102" t="str">
            <v>В-28057/АЗ</v>
          </cell>
          <cell r="B102" t="str">
            <v>Амирханян Эмиль Оганесович</v>
          </cell>
          <cell r="C102">
            <v>79160538081</v>
          </cell>
        </row>
        <row r="103">
          <cell r="A103" t="str">
            <v>В-00072/КЭ</v>
          </cell>
          <cell r="B103" t="str">
            <v>Барский Михаил Яковлевич</v>
          </cell>
          <cell r="C103">
            <v>79057124488</v>
          </cell>
        </row>
        <row r="104">
          <cell r="A104" t="str">
            <v>В-09802/КЛ</v>
          </cell>
          <cell r="B104" t="str">
            <v>Навоян Георг Анатолевич</v>
          </cell>
          <cell r="C104">
            <v>79950000030</v>
          </cell>
        </row>
        <row r="105">
          <cell r="A105" t="str">
            <v>В-27878/АЗ</v>
          </cell>
          <cell r="B105" t="str">
            <v>Навоян Георг Анатолевич</v>
          </cell>
          <cell r="C105">
            <v>79950000030</v>
          </cell>
        </row>
        <row r="106">
          <cell r="A106" t="str">
            <v>В-05725/КЛ</v>
          </cell>
          <cell r="B106" t="str">
            <v>Кравченко Дмитрий Александрович</v>
          </cell>
          <cell r="C106">
            <v>79258502289</v>
          </cell>
        </row>
        <row r="107">
          <cell r="A107" t="str">
            <v>В-09838/КЛ</v>
          </cell>
          <cell r="B107" t="str">
            <v>Ульянова Ольга Юрьевна</v>
          </cell>
          <cell r="C107">
            <v>79267558846</v>
          </cell>
        </row>
        <row r="108">
          <cell r="A108" t="str">
            <v>В-27261/КЛ</v>
          </cell>
          <cell r="B108" t="str">
            <v>Алиева Марина Сергеевна</v>
          </cell>
          <cell r="C108">
            <v>79268214561</v>
          </cell>
        </row>
        <row r="109">
          <cell r="A109" t="str">
            <v>В-11050/КЛ</v>
          </cell>
          <cell r="B109" t="str">
            <v>Аласкаров Натик</v>
          </cell>
          <cell r="C109">
            <v>79966358707</v>
          </cell>
        </row>
        <row r="110">
          <cell r="A110" t="str">
            <v>В-00068/КЭ</v>
          </cell>
          <cell r="B110" t="str">
            <v>Ампрамян Елена Юрьевна</v>
          </cell>
          <cell r="C110">
            <v>79060545576</v>
          </cell>
        </row>
        <row r="111">
          <cell r="A111" t="str">
            <v>В-24169/АЗ</v>
          </cell>
          <cell r="B111" t="str">
            <v>Силкин Максим Алексеевич</v>
          </cell>
          <cell r="C111">
            <v>79653030110</v>
          </cell>
        </row>
        <row r="112">
          <cell r="A112" t="str">
            <v>В-00045/КЭ</v>
          </cell>
          <cell r="B112" t="str">
            <v>Величаев Анатолий Геннадьевич</v>
          </cell>
          <cell r="C112">
            <v>79033458814</v>
          </cell>
        </row>
        <row r="113">
          <cell r="A113" t="str">
            <v>В-10010/КЭ.Транш - 1_А-20210929/Ц</v>
          </cell>
          <cell r="B113" t="str">
            <v>Маланка Виталий Владимирович</v>
          </cell>
          <cell r="C113">
            <v>89522694422</v>
          </cell>
        </row>
        <row r="114">
          <cell r="A114" t="str">
            <v>В-01187/АЗ</v>
          </cell>
          <cell r="B114" t="str">
            <v>Сеферян Галина Андрониковна</v>
          </cell>
          <cell r="C114">
            <v>89165232608</v>
          </cell>
        </row>
        <row r="115">
          <cell r="A115" t="str">
            <v>В-10012/КЭ</v>
          </cell>
          <cell r="B115" t="str">
            <v>Микаелян Арам Арестакович</v>
          </cell>
          <cell r="C115">
            <v>89219311400</v>
          </cell>
        </row>
        <row r="116">
          <cell r="A116" t="str">
            <v>В-27065/АЗ</v>
          </cell>
          <cell r="B116" t="str">
            <v>Труханкин Анатолий Васильевич</v>
          </cell>
          <cell r="C116">
            <v>79877821153</v>
          </cell>
        </row>
        <row r="117">
          <cell r="A117" t="str">
            <v>В-00030/КЭ</v>
          </cell>
          <cell r="B117" t="str">
            <v>Воскресенский Максим Витальевич</v>
          </cell>
          <cell r="C117">
            <v>89774938664</v>
          </cell>
        </row>
        <row r="118">
          <cell r="A118" t="str">
            <v>В-01113/АЗ</v>
          </cell>
          <cell r="B118" t="str">
            <v>Краснова Анна Витальевна</v>
          </cell>
          <cell r="C118">
            <v>89267331319</v>
          </cell>
        </row>
        <row r="119">
          <cell r="A119" t="str">
            <v>В-15451/КЛ</v>
          </cell>
          <cell r="B119" t="str">
            <v>Кутанова Екатерина Вячеславовна</v>
          </cell>
          <cell r="C119">
            <v>79150327094</v>
          </cell>
        </row>
        <row r="120">
          <cell r="A120" t="str">
            <v>В-01120/АЗ_А-20210929/Ц</v>
          </cell>
          <cell r="B120" t="str">
            <v>Матюнин Алексей Владимирович</v>
          </cell>
          <cell r="C120">
            <v>79263597234</v>
          </cell>
        </row>
        <row r="121">
          <cell r="A121" t="str">
            <v>В-00033/КЭ</v>
          </cell>
          <cell r="B121" t="str">
            <v>Злобин Алексей Леонидович</v>
          </cell>
        </row>
        <row r="122">
          <cell r="A122" t="str">
            <v>В-01200/АЗ</v>
          </cell>
          <cell r="B122" t="str">
            <v>Самойленко Ирина Геннадьевна</v>
          </cell>
          <cell r="C122">
            <v>79057421218</v>
          </cell>
        </row>
        <row r="123">
          <cell r="A123" t="str">
            <v>В-00076/КЭ</v>
          </cell>
          <cell r="B123" t="str">
            <v>Скобелев Дмитрий Васильевич</v>
          </cell>
          <cell r="C123">
            <v>79628836006</v>
          </cell>
        </row>
        <row r="124">
          <cell r="A124" t="str">
            <v>В-00035/КЭ</v>
          </cell>
          <cell r="B124" t="str">
            <v>Спиваков Кирилл Игоревич</v>
          </cell>
          <cell r="C124">
            <v>79037089988</v>
          </cell>
        </row>
        <row r="125">
          <cell r="A125" t="str">
            <v>В-00075/КЭ</v>
          </cell>
          <cell r="B125" t="str">
            <v>Оганесян Наири Миранович</v>
          </cell>
          <cell r="C125">
            <v>79067090059</v>
          </cell>
        </row>
        <row r="126">
          <cell r="A126" t="str">
            <v>В-26005/АЗ</v>
          </cell>
          <cell r="B126" t="str">
            <v>Оганесян Наири Миранович</v>
          </cell>
          <cell r="C126">
            <v>79067090059</v>
          </cell>
        </row>
        <row r="127">
          <cell r="A127" t="str">
            <v>В-00075/КЭ</v>
          </cell>
          <cell r="B127" t="str">
            <v>Оганесян Ваге Наириович</v>
          </cell>
          <cell r="C127">
            <v>79661685959</v>
          </cell>
        </row>
        <row r="128">
          <cell r="A128" t="str">
            <v>В-00078/КЭ</v>
          </cell>
          <cell r="B128" t="str">
            <v>Лого-Трейд ООО</v>
          </cell>
        </row>
        <row r="129">
          <cell r="A129" t="str">
            <v>В-00036/КЭ</v>
          </cell>
          <cell r="B129" t="str">
            <v>Атабекян Николай Аркадиевич</v>
          </cell>
          <cell r="C129">
            <v>79262106333</v>
          </cell>
        </row>
        <row r="130">
          <cell r="A130" t="str">
            <v>В-00078/КЭ</v>
          </cell>
          <cell r="B130" t="str">
            <v>Атабекян Николай Аркадиевич</v>
          </cell>
          <cell r="C130">
            <v>79262106333</v>
          </cell>
        </row>
        <row r="131">
          <cell r="A131" t="str">
            <v>В-01169/АЗ</v>
          </cell>
          <cell r="B131" t="str">
            <v>Костанян Нерсик Арамович</v>
          </cell>
          <cell r="C131">
            <v>79168109900</v>
          </cell>
        </row>
        <row r="132">
          <cell r="A132" t="str">
            <v>В-01148/АЗ</v>
          </cell>
          <cell r="B132" t="str">
            <v>Муминов Фирдавс Юсуфович</v>
          </cell>
          <cell r="C132">
            <v>79652300400</v>
          </cell>
        </row>
        <row r="133">
          <cell r="A133" t="str">
            <v>В-01160/АЗ</v>
          </cell>
          <cell r="B133" t="str">
            <v>Палакян Вачик Гарникович</v>
          </cell>
          <cell r="C133">
            <v>79260107174</v>
          </cell>
        </row>
        <row r="134">
          <cell r="A134" t="str">
            <v>В-01172/АЗ</v>
          </cell>
          <cell r="B134" t="str">
            <v>Тахтаров Нурди Алиевич</v>
          </cell>
          <cell r="C134">
            <v>79298404041</v>
          </cell>
        </row>
        <row r="135">
          <cell r="A135" t="str">
            <v>В-00049/КЭ</v>
          </cell>
          <cell r="B135" t="str">
            <v>Овчаренко Валерий Николаевич</v>
          </cell>
          <cell r="C135">
            <v>79162262702</v>
          </cell>
        </row>
        <row r="136">
          <cell r="A136" t="str">
            <v>В-00049/КЭ</v>
          </cell>
          <cell r="B136" t="str">
            <v>Мартынов Георгий Валериевич</v>
          </cell>
          <cell r="C136">
            <v>79151468800</v>
          </cell>
        </row>
        <row r="137">
          <cell r="A137" t="str">
            <v>В-00049/КЭ</v>
          </cell>
          <cell r="B137" t="str">
            <v>Тисаков Валерий Николаевич</v>
          </cell>
          <cell r="C137">
            <v>79778626374</v>
          </cell>
        </row>
        <row r="138">
          <cell r="A138" t="str">
            <v>В-01228/АЗ</v>
          </cell>
          <cell r="B138" t="str">
            <v>Черкасов Сергей Николаевич</v>
          </cell>
          <cell r="C138">
            <v>79255107111</v>
          </cell>
        </row>
        <row r="139">
          <cell r="A139" t="str">
            <v>В-22436/АЗ</v>
          </cell>
          <cell r="B139" t="str">
            <v>Касутин Евгений Дмитриевич</v>
          </cell>
          <cell r="C139">
            <v>79261450744</v>
          </cell>
        </row>
        <row r="140">
          <cell r="A140" t="str">
            <v>В-00054/КЭ</v>
          </cell>
          <cell r="B140" t="str">
            <v>Манандян Аветик Сергеевич</v>
          </cell>
          <cell r="C140">
            <v>79264361146</v>
          </cell>
        </row>
        <row r="141">
          <cell r="A141" t="str">
            <v>В-23013/АЗ</v>
          </cell>
          <cell r="B141" t="str">
            <v>Жаркин Ян Юрьевич</v>
          </cell>
          <cell r="C141">
            <v>79104299909</v>
          </cell>
        </row>
        <row r="142">
          <cell r="A142" t="str">
            <v>В-00064/КЭ</v>
          </cell>
          <cell r="B142" t="str">
            <v>Лысенко Александр Викторович</v>
          </cell>
          <cell r="C142">
            <v>79150259568</v>
          </cell>
        </row>
        <row r="143">
          <cell r="A143" t="str">
            <v>В-23339/АЗ</v>
          </cell>
          <cell r="B143" t="str">
            <v>Ермакова Кристина Алексеевна</v>
          </cell>
          <cell r="C143">
            <v>79031346914</v>
          </cell>
        </row>
        <row r="144">
          <cell r="A144" t="str">
            <v>В-00055/КЭ</v>
          </cell>
          <cell r="B144" t="str">
            <v>Ситникова Елена Николаевна</v>
          </cell>
          <cell r="C144">
            <v>79776904698</v>
          </cell>
        </row>
        <row r="145">
          <cell r="A145" t="str">
            <v>В-23940/АЗ</v>
          </cell>
          <cell r="B145" t="str">
            <v>Лапкин Руслан Евгеньевич</v>
          </cell>
          <cell r="C145">
            <v>79037209373</v>
          </cell>
        </row>
        <row r="146">
          <cell r="A146" t="str">
            <v>В-24172/АЗ</v>
          </cell>
          <cell r="B146" t="str">
            <v>Сариди Михаил Арсенович</v>
          </cell>
          <cell r="C146">
            <v>79258228888</v>
          </cell>
        </row>
        <row r="147">
          <cell r="A147" t="str">
            <v>В-00062/КЭ</v>
          </cell>
          <cell r="B147" t="str">
            <v>СТРОЙМЕХАНИЗАЦИЯ ООО</v>
          </cell>
        </row>
        <row r="148">
          <cell r="A148" t="str">
            <v>В-00062/КЭ</v>
          </cell>
          <cell r="B148" t="str">
            <v>Нургушиев Булат Бегалиевич</v>
          </cell>
          <cell r="C148">
            <v>79685117733</v>
          </cell>
        </row>
        <row r="149">
          <cell r="A149" t="str">
            <v>В-00062/КЭ</v>
          </cell>
          <cell r="B149" t="str">
            <v>Сердолиев Рашид Канатович</v>
          </cell>
          <cell r="C149">
            <v>79254583690</v>
          </cell>
        </row>
        <row r="150">
          <cell r="A150" t="str">
            <v>В-24596/АЗ</v>
          </cell>
          <cell r="B150" t="str">
            <v>Джангуланова Амина Бауржановна</v>
          </cell>
          <cell r="C150">
            <v>79889362730</v>
          </cell>
        </row>
        <row r="151">
          <cell r="A151" t="str">
            <v>В-26128/АЗ</v>
          </cell>
          <cell r="B151" t="str">
            <v>Мурадян Грачья Юрикович</v>
          </cell>
          <cell r="C151">
            <v>79660007770</v>
          </cell>
        </row>
        <row r="152">
          <cell r="A152" t="str">
            <v>В-26261/АЗ</v>
          </cell>
          <cell r="B152" t="str">
            <v>Элибекян Виген Вагаршакович</v>
          </cell>
          <cell r="C152">
            <v>79629851010</v>
          </cell>
        </row>
        <row r="153">
          <cell r="A153" t="str">
            <v>В-26216/АЗ</v>
          </cell>
          <cell r="B153" t="str">
            <v>Айвазян Карен Арменович</v>
          </cell>
          <cell r="C153">
            <v>79853647030</v>
          </cell>
        </row>
        <row r="154">
          <cell r="A154" t="str">
            <v>В-27287/КЛ</v>
          </cell>
          <cell r="B154" t="str">
            <v>Горин Александр Станиславович</v>
          </cell>
          <cell r="C154">
            <v>79626218819</v>
          </cell>
        </row>
        <row r="155">
          <cell r="A155" t="str">
            <v>В-27334/КЛ</v>
          </cell>
          <cell r="B155" t="str">
            <v>Токин Эдуард Юрьевич</v>
          </cell>
          <cell r="C155">
            <v>79032218777</v>
          </cell>
        </row>
        <row r="156">
          <cell r="A156" t="str">
            <v>В-27637/АЗ</v>
          </cell>
          <cell r="B156" t="str">
            <v>Искендерова Конуль Эльман Кызы</v>
          </cell>
          <cell r="C156">
            <v>79046166462</v>
          </cell>
        </row>
        <row r="157">
          <cell r="A157" t="str">
            <v>В-27636/АЗ</v>
          </cell>
          <cell r="B157" t="str">
            <v>Джалалова Гульмира Эльман Кызы</v>
          </cell>
          <cell r="C157">
            <v>79256176522</v>
          </cell>
        </row>
        <row r="158">
          <cell r="A158" t="str">
            <v>В-00080/КЭ</v>
          </cell>
          <cell r="B158" t="str">
            <v>Иголкин Евгений Геннадьевич</v>
          </cell>
          <cell r="C158">
            <v>79152543222</v>
          </cell>
        </row>
        <row r="159">
          <cell r="A159" t="str">
            <v>В-00055/КЭ</v>
          </cell>
          <cell r="B159" t="str">
            <v>Игнатов Михаил Иванович</v>
          </cell>
          <cell r="C159">
            <v>79776903216</v>
          </cell>
        </row>
        <row r="160">
          <cell r="A160" t="str">
            <v>В-27905/КЛ</v>
          </cell>
          <cell r="B160" t="str">
            <v>Скрябин Виталий Сергеевич</v>
          </cell>
          <cell r="C160">
            <v>79244681418</v>
          </cell>
        </row>
        <row r="161">
          <cell r="A161" t="str">
            <v>В-10023/КЭ</v>
          </cell>
          <cell r="B161" t="str">
            <v>Застольский Владимир Александрович</v>
          </cell>
          <cell r="C161">
            <v>79119237877</v>
          </cell>
        </row>
        <row r="162">
          <cell r="A162" t="str">
            <v>В-10023/КЭ</v>
          </cell>
          <cell r="B162" t="str">
            <v>Застольская Александра Викторовна</v>
          </cell>
          <cell r="C162">
            <v>79110335434</v>
          </cell>
        </row>
        <row r="163">
          <cell r="A163" t="str">
            <v>В-28643/АЗ</v>
          </cell>
          <cell r="B163" t="str">
            <v>Усанова Евгения Георгиевна</v>
          </cell>
          <cell r="C163">
            <v>79166080113</v>
          </cell>
        </row>
        <row r="164">
          <cell r="A164" t="str">
            <v>В-28645/АЗ</v>
          </cell>
          <cell r="B164" t="str">
            <v>Усанова Евгения Георгиевна</v>
          </cell>
          <cell r="C164">
            <v>79166080113</v>
          </cell>
        </row>
        <row r="165">
          <cell r="A165" t="str">
            <v>В-06992/КЛ</v>
          </cell>
          <cell r="B165" t="str">
            <v>Меликян Эдуард Борисович</v>
          </cell>
          <cell r="C165">
            <v>79264473727</v>
          </cell>
        </row>
        <row r="166">
          <cell r="A166" t="str">
            <v>А-00463/КЭ</v>
          </cell>
          <cell r="B166" t="str">
            <v>Куров Владимир Грацианович</v>
          </cell>
          <cell r="C166">
            <v>79166700238</v>
          </cell>
        </row>
        <row r="167">
          <cell r="A167" t="str">
            <v>В-00005/КЭ</v>
          </cell>
          <cell r="B167" t="str">
            <v>Куров Владимир Грацианович</v>
          </cell>
          <cell r="C167">
            <v>79166700238</v>
          </cell>
        </row>
        <row r="168">
          <cell r="A168" t="str">
            <v>В-00083/КЭ</v>
          </cell>
          <cell r="B168" t="str">
            <v>Замураев Василий Николаевич</v>
          </cell>
          <cell r="C168">
            <v>79037431653</v>
          </cell>
        </row>
        <row r="169">
          <cell r="A169" t="str">
            <v>В-08121/КЛ</v>
          </cell>
          <cell r="B169" t="str">
            <v>Хашидова Зульфия Залибековна</v>
          </cell>
          <cell r="C169">
            <v>89258355365</v>
          </cell>
        </row>
        <row r="170">
          <cell r="A170" t="str">
            <v>В-01009/АЗ</v>
          </cell>
          <cell r="B170" t="str">
            <v>Рогальская Нина Ивановна</v>
          </cell>
          <cell r="C170">
            <v>79096331489</v>
          </cell>
        </row>
        <row r="171">
          <cell r="A171" t="str">
            <v>В-09891/КЛ</v>
          </cell>
          <cell r="B171" t="str">
            <v>Рогальский Алексей Станиславович</v>
          </cell>
          <cell r="C171">
            <v>79296544736</v>
          </cell>
        </row>
        <row r="172">
          <cell r="A172" t="str">
            <v>В-19504/КЛ</v>
          </cell>
          <cell r="B172" t="str">
            <v>Манасян Руслан Ашотович</v>
          </cell>
          <cell r="C172" t="str">
            <v>79102000020, 79258805062</v>
          </cell>
        </row>
        <row r="173">
          <cell r="A173" t="str">
            <v>В-01146/АЗ</v>
          </cell>
          <cell r="B173" t="str">
            <v>Игнатенко Вера Александровна</v>
          </cell>
          <cell r="C173">
            <v>79213793379</v>
          </cell>
        </row>
        <row r="174">
          <cell r="A174" t="str">
            <v>В-00039/КЭ</v>
          </cell>
          <cell r="B174" t="str">
            <v>Евстигнеев Дмитрий Станиславович</v>
          </cell>
          <cell r="C174">
            <v>79161179491</v>
          </cell>
        </row>
        <row r="175">
          <cell r="A175" t="str">
            <v>В-30005/КЭ</v>
          </cell>
          <cell r="B175" t="str">
            <v>Пархоменко Вячеслав Юрьевич</v>
          </cell>
          <cell r="C175">
            <v>89624223090</v>
          </cell>
        </row>
        <row r="176">
          <cell r="A176" t="str">
            <v>В-30004/КЭ</v>
          </cell>
          <cell r="B176" t="str">
            <v>Сычева Галина Васильевна</v>
          </cell>
          <cell r="C176">
            <v>79284674545</v>
          </cell>
        </row>
        <row r="177">
          <cell r="A177" t="str">
            <v>В-18600/КЛ</v>
          </cell>
          <cell r="B177" t="str">
            <v>Тищенко Олег Владимирович</v>
          </cell>
          <cell r="C177">
            <v>79160878969</v>
          </cell>
        </row>
        <row r="178">
          <cell r="A178" t="str">
            <v>В-30006/КЭ</v>
          </cell>
          <cell r="B178" t="str">
            <v>Котляров Олег Иванович</v>
          </cell>
          <cell r="C178">
            <v>79620245383</v>
          </cell>
        </row>
        <row r="179">
          <cell r="A179" t="str">
            <v>В-00071/КЭ</v>
          </cell>
          <cell r="B179" t="str">
            <v>Николаев Михаил Юрьевич</v>
          </cell>
          <cell r="C179">
            <v>79099241428</v>
          </cell>
        </row>
        <row r="180">
          <cell r="A180" t="str">
            <v>В-00041/КЭ</v>
          </cell>
          <cell r="B180" t="str">
            <v>Куроптева Марина Сергеевна</v>
          </cell>
          <cell r="C180">
            <v>79260626600</v>
          </cell>
        </row>
        <row r="181">
          <cell r="A181" t="str">
            <v>В-01193/АЗ</v>
          </cell>
          <cell r="B181" t="str">
            <v>Абдурахманов Ватан Сироджиддинович</v>
          </cell>
          <cell r="C181">
            <v>89096285971</v>
          </cell>
        </row>
        <row r="182">
          <cell r="A182" t="str">
            <v>В-01192/АЗ</v>
          </cell>
          <cell r="B182" t="str">
            <v>Терентьев Антон Николаевич</v>
          </cell>
          <cell r="C182">
            <v>89169337638</v>
          </cell>
        </row>
        <row r="183">
          <cell r="A183" t="str">
            <v>В-19736/КЛ</v>
          </cell>
          <cell r="B183" t="str">
            <v>Дрынков Станислав Васильевич</v>
          </cell>
          <cell r="C183">
            <v>79160717451</v>
          </cell>
        </row>
        <row r="184">
          <cell r="A184" t="str">
            <v>В-00042/КЭ</v>
          </cell>
          <cell r="B184" t="str">
            <v>Фролов Андрей Юрьевич</v>
          </cell>
          <cell r="C184">
            <v>89030116831</v>
          </cell>
        </row>
        <row r="185">
          <cell r="A185" t="str">
            <v>В-00065/КЭ</v>
          </cell>
          <cell r="B185" t="str">
            <v>Куразян Гарий Рафаэлович</v>
          </cell>
          <cell r="C185">
            <v>79897033074</v>
          </cell>
        </row>
        <row r="186">
          <cell r="A186" t="str">
            <v>В-00045/КЭ</v>
          </cell>
          <cell r="B186" t="str">
            <v>Яковлев Евгений Владимирович</v>
          </cell>
          <cell r="C186">
            <v>89022874601</v>
          </cell>
        </row>
        <row r="187">
          <cell r="A187" t="str">
            <v>В-00044/КЭ</v>
          </cell>
          <cell r="B187" t="str">
            <v>Мурадян Тигран Иосебович</v>
          </cell>
          <cell r="C187">
            <v>79778791077</v>
          </cell>
        </row>
        <row r="188">
          <cell r="A188" t="str">
            <v>В-00044/КЭ</v>
          </cell>
          <cell r="B188" t="str">
            <v>Манасян Артур Арменакович</v>
          </cell>
          <cell r="C188">
            <v>79777078733</v>
          </cell>
        </row>
        <row r="189">
          <cell r="A189" t="str">
            <v>В-21666/КЛ</v>
          </cell>
          <cell r="B189" t="str">
            <v>Лящев Владимир Андреевич</v>
          </cell>
          <cell r="C189">
            <v>79022660699</v>
          </cell>
        </row>
        <row r="190">
          <cell r="A190" t="str">
            <v>В-21795/КЛ</v>
          </cell>
          <cell r="B190" t="str">
            <v>Курлова Елена Александровна</v>
          </cell>
          <cell r="C190">
            <v>79773469025</v>
          </cell>
        </row>
        <row r="191">
          <cell r="A191" t="str">
            <v>В-00048/КЭ</v>
          </cell>
          <cell r="B191" t="str">
            <v>Поршунов Алексей Геннадьевич</v>
          </cell>
          <cell r="C191">
            <v>79688737035</v>
          </cell>
        </row>
        <row r="192">
          <cell r="A192" t="str">
            <v>В-00048/КЭ</v>
          </cell>
          <cell r="B192" t="str">
            <v>Николаев Илья Витальевич</v>
          </cell>
          <cell r="C192">
            <v>79055034162</v>
          </cell>
        </row>
        <row r="193">
          <cell r="A193" t="str">
            <v>В-21973/КЛ</v>
          </cell>
          <cell r="B193" t="str">
            <v>Аракелян Мартин Михайлович</v>
          </cell>
          <cell r="C193">
            <v>79260483639</v>
          </cell>
        </row>
        <row r="194">
          <cell r="A194" t="str">
            <v>В-23728/КЛ</v>
          </cell>
          <cell r="B194" t="str">
            <v>Меликян Сурен Арменович</v>
          </cell>
          <cell r="C194">
            <v>79286083737</v>
          </cell>
        </row>
        <row r="195">
          <cell r="A195" t="str">
            <v>В-24710/АЗ</v>
          </cell>
          <cell r="B195" t="str">
            <v>Булатова Оксана Валерьевна</v>
          </cell>
          <cell r="C195">
            <v>79882475444</v>
          </cell>
        </row>
        <row r="196">
          <cell r="A196" t="str">
            <v>В-24713/АЗ</v>
          </cell>
          <cell r="B196" t="str">
            <v>Булатова Оксана Валерьевна</v>
          </cell>
          <cell r="C196">
            <v>79882475444</v>
          </cell>
        </row>
        <row r="197">
          <cell r="A197" t="str">
            <v>В-24909/АЗ</v>
          </cell>
          <cell r="B197" t="str">
            <v>Щетников Станислав Александрович</v>
          </cell>
          <cell r="C197">
            <v>79169286270</v>
          </cell>
        </row>
        <row r="198">
          <cell r="A198" t="str">
            <v>В-25211/АЗ</v>
          </cell>
          <cell r="B198" t="str">
            <v>Щетников Станислав Александрович</v>
          </cell>
          <cell r="C198">
            <v>79169286270</v>
          </cell>
        </row>
        <row r="199">
          <cell r="A199" t="str">
            <v>В-25229/АЗ</v>
          </cell>
          <cell r="B199" t="str">
            <v>Щетников Станислав Александрович</v>
          </cell>
          <cell r="C199">
            <v>79169286270</v>
          </cell>
        </row>
        <row r="200">
          <cell r="A200" t="str">
            <v>В-24892/АЗ</v>
          </cell>
          <cell r="B200" t="str">
            <v>Серегола Дмитрий Михайлович</v>
          </cell>
          <cell r="C200">
            <v>89522389764</v>
          </cell>
        </row>
        <row r="201">
          <cell r="A201" t="str">
            <v>В-24989/АЗ</v>
          </cell>
          <cell r="B201" t="str">
            <v>Агузов Мурат Вячеславович</v>
          </cell>
          <cell r="C201">
            <v>79380282288</v>
          </cell>
        </row>
        <row r="202">
          <cell r="A202" t="str">
            <v>В-25229/АЗ</v>
          </cell>
          <cell r="B202" t="str">
            <v>Сергеев Даниил Борисович</v>
          </cell>
          <cell r="C202">
            <v>79819406227</v>
          </cell>
        </row>
        <row r="203">
          <cell r="A203" t="str">
            <v>В-25367/АЗ</v>
          </cell>
          <cell r="B203" t="str">
            <v>Гаврин Валентин Николаевич</v>
          </cell>
          <cell r="C203">
            <v>79260416134</v>
          </cell>
        </row>
        <row r="204">
          <cell r="A204" t="str">
            <v>В-25370/АЗ</v>
          </cell>
          <cell r="B204" t="str">
            <v>Гаврин Валентин Николаевич</v>
          </cell>
          <cell r="C204">
            <v>79260416134</v>
          </cell>
        </row>
        <row r="205">
          <cell r="A205" t="str">
            <v>В-00070/КЭ</v>
          </cell>
          <cell r="B205" t="str">
            <v>Кочурков Алексей Викторович</v>
          </cell>
          <cell r="C205">
            <v>79509233812</v>
          </cell>
        </row>
        <row r="206">
          <cell r="A206" t="str">
            <v>В-30010/КЭ</v>
          </cell>
          <cell r="B206" t="str">
            <v>Кунижев Адам Нурбиевич</v>
          </cell>
          <cell r="C206">
            <v>89649151001</v>
          </cell>
        </row>
        <row r="207">
          <cell r="A207" t="str">
            <v>В-30010/КЭ</v>
          </cell>
          <cell r="B207" t="str">
            <v>Тлюпов Нурдин Хизирович</v>
          </cell>
          <cell r="C207">
            <v>89604718226</v>
          </cell>
        </row>
        <row r="208">
          <cell r="A208" t="str">
            <v>В-25810/АЗ</v>
          </cell>
          <cell r="B208" t="str">
            <v>Платонов Николай Владимирович</v>
          </cell>
          <cell r="C208">
            <v>79821136983</v>
          </cell>
        </row>
        <row r="209">
          <cell r="A209" t="str">
            <v>В-26806/АЗ</v>
          </cell>
          <cell r="B209" t="str">
            <v>Рубанов Алексей Андреевич</v>
          </cell>
          <cell r="C209">
            <v>79321235727</v>
          </cell>
        </row>
        <row r="210">
          <cell r="A210" t="str">
            <v>В-27581/АЗ</v>
          </cell>
          <cell r="B210" t="str">
            <v>Рубанов Алексей Андреевич</v>
          </cell>
          <cell r="C210">
            <v>79321235727</v>
          </cell>
        </row>
        <row r="211">
          <cell r="A211" t="str">
            <v>В-00077/КЭ</v>
          </cell>
          <cell r="B211" t="str">
            <v>Арамян Сусана Отариевна</v>
          </cell>
          <cell r="C211">
            <v>79614999927</v>
          </cell>
        </row>
        <row r="212">
          <cell r="A212" t="str">
            <v>В-00078/КЭ</v>
          </cell>
          <cell r="B212" t="str">
            <v>Павлюченков Игорь Александрович</v>
          </cell>
          <cell r="C212">
            <v>79107680605</v>
          </cell>
        </row>
        <row r="213">
          <cell r="A213" t="str">
            <v>В-26649/АЗ</v>
          </cell>
          <cell r="B213" t="str">
            <v>Краснокутский Анатолий Владимирович</v>
          </cell>
          <cell r="C213">
            <v>79119244780</v>
          </cell>
        </row>
        <row r="214">
          <cell r="A214" t="str">
            <v>В-26651/АЗ</v>
          </cell>
          <cell r="B214" t="str">
            <v>Краснокутская Ирина Анатольевна</v>
          </cell>
          <cell r="C214">
            <v>79819361966</v>
          </cell>
        </row>
        <row r="215">
          <cell r="A215" t="str">
            <v>В-27730/АЗ</v>
          </cell>
          <cell r="B215" t="str">
            <v>Гевондян Норайр Беникович</v>
          </cell>
          <cell r="C215">
            <v>79850970609</v>
          </cell>
        </row>
        <row r="216">
          <cell r="A216" t="str">
            <v>В-10026/КЭ</v>
          </cell>
          <cell r="B216" t="str">
            <v>Васильева Ирина Геннадиевна</v>
          </cell>
          <cell r="C216">
            <v>79115292713</v>
          </cell>
        </row>
        <row r="217">
          <cell r="A217" t="str">
            <v>В-28299/КЛ</v>
          </cell>
          <cell r="B217" t="str">
            <v>Ходжалыев Равиль Эльман Оглы</v>
          </cell>
          <cell r="C217">
            <v>79310024423</v>
          </cell>
        </row>
        <row r="218">
          <cell r="A218" t="str">
            <v>А-10035/КЭ</v>
          </cell>
          <cell r="B218" t="str">
            <v>Тимофеев Павел Андреевич</v>
          </cell>
          <cell r="C218">
            <v>79052591063</v>
          </cell>
        </row>
        <row r="219">
          <cell r="A219" t="str">
            <v>А-10037/КЭ</v>
          </cell>
          <cell r="B219" t="str">
            <v>Соколов Дмитрий Витальевич</v>
          </cell>
          <cell r="C219">
            <v>79215844050</v>
          </cell>
        </row>
        <row r="220">
          <cell r="A220" t="str">
            <v>А-10093/КЭ</v>
          </cell>
          <cell r="B220" t="str">
            <v>Кравченко Максим Владимирович</v>
          </cell>
          <cell r="C220">
            <v>79992227373</v>
          </cell>
        </row>
        <row r="221">
          <cell r="A221" t="str">
            <v>В-10027/КЭ</v>
          </cell>
          <cell r="B221" t="str">
            <v>Кравченко Максим Владимирович</v>
          </cell>
          <cell r="C221">
            <v>79992227373</v>
          </cell>
        </row>
        <row r="222">
          <cell r="A222" t="str">
            <v>А-10047/КЭ</v>
          </cell>
          <cell r="B222" t="str">
            <v>Цымбаляк Максим Богданович</v>
          </cell>
          <cell r="C222">
            <v>79110946600</v>
          </cell>
        </row>
        <row r="223">
          <cell r="A223" t="str">
            <v>А-00464/КЭ</v>
          </cell>
          <cell r="B223" t="str">
            <v>Полоз Виталий Александрович</v>
          </cell>
          <cell r="C223">
            <v>79265209137</v>
          </cell>
        </row>
        <row r="224">
          <cell r="A224" t="str">
            <v>В-00046/КЭ</v>
          </cell>
          <cell r="B224" t="str">
            <v>Полоз Виталий Александрович</v>
          </cell>
          <cell r="C224">
            <v>79265209137</v>
          </cell>
        </row>
        <row r="225">
          <cell r="A225" t="str">
            <v>А-00464/КЭ</v>
          </cell>
          <cell r="B225" t="str">
            <v>Ефимова Нина Ивановна</v>
          </cell>
          <cell r="C225">
            <v>79099322038</v>
          </cell>
        </row>
        <row r="226">
          <cell r="A226" t="str">
            <v>В-00046/КЭ</v>
          </cell>
          <cell r="B226" t="str">
            <v>Ефимова Нина Ивановна</v>
          </cell>
          <cell r="C226">
            <v>79099322038</v>
          </cell>
        </row>
        <row r="227">
          <cell r="A227" t="str">
            <v>А-00035/БЭ</v>
          </cell>
          <cell r="B227" t="str">
            <v>КС МАРКЕТ ООО</v>
          </cell>
        </row>
        <row r="228">
          <cell r="A228" t="str">
            <v>А-00029/БЭ</v>
          </cell>
          <cell r="B228" t="str">
            <v>Арт-День ООО</v>
          </cell>
        </row>
        <row r="229">
          <cell r="A229" t="str">
            <v>А-00367/КЭ</v>
          </cell>
          <cell r="B229" t="str">
            <v>Константинов Александр Анатольевич</v>
          </cell>
          <cell r="C229">
            <v>89154851890</v>
          </cell>
        </row>
        <row r="230">
          <cell r="A230" t="str">
            <v>А-00422/КЭ</v>
          </cell>
          <cell r="B230" t="str">
            <v>Константинов Александр Анатольевич</v>
          </cell>
          <cell r="C230">
            <v>89154851890</v>
          </cell>
        </row>
        <row r="231">
          <cell r="A231" t="str">
            <v>А-00360/КЭ</v>
          </cell>
          <cell r="B231" t="str">
            <v>Гафуров Альберт Маратович</v>
          </cell>
          <cell r="C231" t="str">
            <v>89161064572, 89653441919</v>
          </cell>
        </row>
        <row r="232">
          <cell r="A232" t="str">
            <v>А-00455/КЭ</v>
          </cell>
          <cell r="B232" t="str">
            <v>Дегишмиш Евгения Анатольевна</v>
          </cell>
          <cell r="C232">
            <v>89255024496</v>
          </cell>
        </row>
        <row r="233">
          <cell r="A233" t="str">
            <v>Т-00003/КЭ_Т-20211028/Ц</v>
          </cell>
          <cell r="B233" t="str">
            <v>Дегишмиш Евгения Анатольевна</v>
          </cell>
          <cell r="C233">
            <v>89255024496</v>
          </cell>
        </row>
        <row r="234">
          <cell r="A234" t="str">
            <v>В-00346/АЗ</v>
          </cell>
          <cell r="B234" t="str">
            <v>Мамедов Вахид Сабир оглы</v>
          </cell>
          <cell r="C234">
            <v>79265783170</v>
          </cell>
        </row>
        <row r="235">
          <cell r="A235" t="str">
            <v>А-10112/КЭ</v>
          </cell>
          <cell r="B235" t="str">
            <v>Ефимов Алексей Николаевич</v>
          </cell>
        </row>
        <row r="236">
          <cell r="A236" t="str">
            <v>А-10112/КЭ</v>
          </cell>
          <cell r="B236" t="str">
            <v>Зимовой Андрей Викторович</v>
          </cell>
          <cell r="C236">
            <v>79216909080</v>
          </cell>
        </row>
        <row r="237">
          <cell r="A237" t="str">
            <v>В-10007/КЭ</v>
          </cell>
          <cell r="B237" t="str">
            <v>Кибис Юрий Михайлович</v>
          </cell>
          <cell r="C237">
            <v>79626865506</v>
          </cell>
        </row>
        <row r="238">
          <cell r="A238" t="str">
            <v>А-04412/АЗ</v>
          </cell>
          <cell r="B238" t="str">
            <v>Тухтасинов Жамшидбек Мухаматсобир угли</v>
          </cell>
          <cell r="C238">
            <v>79691462424</v>
          </cell>
        </row>
        <row r="239">
          <cell r="A239" t="str">
            <v>В-10021/КЭ</v>
          </cell>
          <cell r="B239" t="str">
            <v>Кравченко Дмитрий Сергеевич</v>
          </cell>
          <cell r="C239">
            <v>89112127734</v>
          </cell>
        </row>
        <row r="240">
          <cell r="A240" t="str">
            <v>А-00445/КЭ</v>
          </cell>
          <cell r="B240" t="str">
            <v>Биченов Сослан Эдуардович</v>
          </cell>
          <cell r="C240">
            <v>89057199949</v>
          </cell>
        </row>
        <row r="241">
          <cell r="A241" t="str">
            <v>В-01096/АЗ</v>
          </cell>
          <cell r="B241" t="str">
            <v>Казаков Антон Ильич</v>
          </cell>
          <cell r="C241" t="str">
            <v>7926780-56-61</v>
          </cell>
        </row>
        <row r="242">
          <cell r="A242" t="str">
            <v>А-10080/КЭ</v>
          </cell>
          <cell r="B242" t="str">
            <v>Артемьева Тамара Александровна</v>
          </cell>
          <cell r="C242">
            <v>89819095525</v>
          </cell>
        </row>
        <row r="243">
          <cell r="A243" t="str">
            <v>А-10080/КЭ</v>
          </cell>
          <cell r="B243" t="str">
            <v>Вечканова Мария Михайловна</v>
          </cell>
          <cell r="C243">
            <v>89265600210</v>
          </cell>
        </row>
        <row r="244">
          <cell r="A244" t="str">
            <v>В-10018/КЭ</v>
          </cell>
          <cell r="B244" t="str">
            <v>Фридман Михаил Валерьевич</v>
          </cell>
          <cell r="C244">
            <v>79118192010</v>
          </cell>
        </row>
        <row r="245">
          <cell r="A245" t="str">
            <v>Т-10003/КЭ_Т-20211028/Ц</v>
          </cell>
          <cell r="B245" t="str">
            <v>Третьяков Виктор Владимирович</v>
          </cell>
          <cell r="C245">
            <v>79062265999</v>
          </cell>
        </row>
        <row r="246">
          <cell r="A246" t="str">
            <v>В-10025/КЭ</v>
          </cell>
          <cell r="B246" t="str">
            <v>Светлов Виталий Анатольевич</v>
          </cell>
          <cell r="C246">
            <v>79219537332</v>
          </cell>
        </row>
        <row r="247">
          <cell r="A247" t="str">
            <v>В-26450/АЗ</v>
          </cell>
          <cell r="B247" t="str">
            <v>Светлов Виталий Анатольевич</v>
          </cell>
          <cell r="C247">
            <v>79219537332</v>
          </cell>
        </row>
        <row r="248">
          <cell r="A248" t="str">
            <v>В-01216/АЗ</v>
          </cell>
          <cell r="B248" t="str">
            <v>Гогохия Георгий Андреевич</v>
          </cell>
          <cell r="C248">
            <v>89629999501</v>
          </cell>
        </row>
        <row r="249">
          <cell r="A249" t="str">
            <v>А-00375/КЭ</v>
          </cell>
          <cell r="B249" t="str">
            <v>Сытник Сергей Александрович</v>
          </cell>
          <cell r="C249">
            <v>89852905669</v>
          </cell>
        </row>
        <row r="250">
          <cell r="A250" t="str">
            <v>А-30001/КЭ</v>
          </cell>
          <cell r="B250" t="str">
            <v>Елманов Антон Юрьевич</v>
          </cell>
          <cell r="C250">
            <v>79951107159</v>
          </cell>
        </row>
        <row r="251">
          <cell r="A251" t="str">
            <v>А-30003/КЭ</v>
          </cell>
          <cell r="B251" t="str">
            <v>Закарьян Цовинар Андрониковна</v>
          </cell>
          <cell r="C251">
            <v>79183126223</v>
          </cell>
        </row>
        <row r="252">
          <cell r="A252" t="str">
            <v>А-30003/КЭ</v>
          </cell>
          <cell r="B252" t="str">
            <v>Закарьян Вартан Мкртычевич</v>
          </cell>
          <cell r="C252">
            <v>79184080889</v>
          </cell>
        </row>
        <row r="253">
          <cell r="A253" t="str">
            <v>А-03947/АЗ_А-20210517/Ц</v>
          </cell>
          <cell r="B253" t="str">
            <v>Кружалин Игорь Васильевич</v>
          </cell>
          <cell r="C253">
            <v>79262446405</v>
          </cell>
        </row>
        <row r="254">
          <cell r="A254" t="str">
            <v>Т-01497/АЗ_Т-20210517/Ц</v>
          </cell>
          <cell r="B254" t="str">
            <v>Кружалин Игорь Васильевич</v>
          </cell>
          <cell r="C254">
            <v>79262446405</v>
          </cell>
        </row>
        <row r="255">
          <cell r="A255" t="str">
            <v>А-00416/КЭ</v>
          </cell>
          <cell r="B255" t="str">
            <v>Олейник Александр Николаевич</v>
          </cell>
          <cell r="C255">
            <v>79191020400</v>
          </cell>
        </row>
        <row r="256">
          <cell r="A256" t="str">
            <v>А-00294/КЭ</v>
          </cell>
          <cell r="B256" t="str">
            <v>Гумбатов Камран Вагиф оглы</v>
          </cell>
        </row>
        <row r="257">
          <cell r="A257" t="str">
            <v>В-00051/КЭ</v>
          </cell>
          <cell r="B257" t="str">
            <v>Мамедова Илона Вановна</v>
          </cell>
          <cell r="C257">
            <v>79060630839</v>
          </cell>
        </row>
        <row r="258">
          <cell r="A258" t="str">
            <v>В-00051/КЭ</v>
          </cell>
          <cell r="B258" t="str">
            <v>Мамедов Сеймур Фазил Оглы</v>
          </cell>
          <cell r="C258">
            <v>79265788626</v>
          </cell>
        </row>
        <row r="259">
          <cell r="A259" t="str">
            <v>А-00395/КЭ</v>
          </cell>
          <cell r="B259" t="str">
            <v>Левко Анатолий Владимирович</v>
          </cell>
          <cell r="C259">
            <v>89269045079</v>
          </cell>
        </row>
        <row r="260">
          <cell r="A260" t="str">
            <v>А-00385/КЭ</v>
          </cell>
          <cell r="B260" t="str">
            <v>Гайдуков Илья Валерьевич</v>
          </cell>
          <cell r="C260">
            <v>89778078637</v>
          </cell>
        </row>
        <row r="261">
          <cell r="A261" t="str">
            <v>А-00413/КЭ</v>
          </cell>
          <cell r="B261" t="str">
            <v>Корохов Александр Владимирович</v>
          </cell>
          <cell r="C261">
            <v>89104421442</v>
          </cell>
        </row>
        <row r="262">
          <cell r="A262" t="str">
            <v>А-00413/КЭ</v>
          </cell>
          <cell r="B262" t="str">
            <v>Свириденко Александр Викторович</v>
          </cell>
          <cell r="C262">
            <v>89852119724</v>
          </cell>
        </row>
        <row r="263">
          <cell r="A263" t="str">
            <v>А-00371/КЭ</v>
          </cell>
          <cell r="B263" t="str">
            <v>Лашкевич Вадим Викторович</v>
          </cell>
          <cell r="C263">
            <v>79152378000</v>
          </cell>
        </row>
        <row r="264">
          <cell r="A264" t="str">
            <v>А-00451/КЭ</v>
          </cell>
          <cell r="B264" t="str">
            <v>Лашкевич Вадим Викторович</v>
          </cell>
          <cell r="C264">
            <v>79152378000</v>
          </cell>
        </row>
        <row r="265">
          <cell r="A265" t="str">
            <v>А-00446/КЭ</v>
          </cell>
          <cell r="B265" t="str">
            <v>Джузенова Дарья Геннадьевна</v>
          </cell>
          <cell r="C265">
            <v>89163182491</v>
          </cell>
        </row>
        <row r="266">
          <cell r="A266" t="str">
            <v>А-00446/КЭ</v>
          </cell>
          <cell r="B266" t="str">
            <v>Самоваров Дмитрий Львович</v>
          </cell>
          <cell r="C266">
            <v>89104238505</v>
          </cell>
        </row>
        <row r="267">
          <cell r="A267" t="str">
            <v>А-10050/КЭ</v>
          </cell>
          <cell r="B267" t="str">
            <v>Ходаков Олег Эрнстович</v>
          </cell>
        </row>
        <row r="268">
          <cell r="A268" t="str">
            <v>А-00051/БЭ</v>
          </cell>
          <cell r="B268" t="str">
            <v>ПромМаркет ООО</v>
          </cell>
        </row>
        <row r="269">
          <cell r="A269" t="str">
            <v>А-00053/БЭ</v>
          </cell>
          <cell r="B269" t="str">
            <v>ПромМаркет ООО</v>
          </cell>
        </row>
        <row r="270">
          <cell r="A270" t="str">
            <v>Т-00030/БЭ_Т-20211028/Ц</v>
          </cell>
          <cell r="B270" t="str">
            <v>ПромМаркет ООО</v>
          </cell>
        </row>
        <row r="271">
          <cell r="A271" t="str">
            <v>А-00436/КЭ</v>
          </cell>
          <cell r="B271" t="str">
            <v>Гавриш Владимир Викторович</v>
          </cell>
          <cell r="C271">
            <v>89035095374</v>
          </cell>
        </row>
        <row r="272">
          <cell r="A272" t="str">
            <v>А-00082/КЭ</v>
          </cell>
          <cell r="B272" t="str">
            <v>Мурзаев Игорь Николаевич</v>
          </cell>
        </row>
        <row r="273">
          <cell r="A273" t="str">
            <v>А-00084/КЭ</v>
          </cell>
          <cell r="B273" t="str">
            <v>Вилков Андрей Евгеньевич</v>
          </cell>
        </row>
        <row r="274">
          <cell r="A274" t="str">
            <v>А-00084/КЭ</v>
          </cell>
          <cell r="B274" t="str">
            <v>Чотчаев Артур Ахматович</v>
          </cell>
        </row>
        <row r="275">
          <cell r="A275" t="str">
            <v>А-00464/КЭ</v>
          </cell>
          <cell r="B275" t="str">
            <v>Головенский Руслан Иванович</v>
          </cell>
          <cell r="C275">
            <v>89260070566</v>
          </cell>
        </row>
        <row r="276">
          <cell r="A276" t="str">
            <v>В-00046/КЭ</v>
          </cell>
          <cell r="B276" t="str">
            <v>Головенский Руслан Иванович</v>
          </cell>
          <cell r="C276">
            <v>89260070566</v>
          </cell>
        </row>
        <row r="277">
          <cell r="A277" t="str">
            <v>А-00419/КЭ</v>
          </cell>
          <cell r="B277" t="str">
            <v>Дубовская Юлия Олеговна</v>
          </cell>
          <cell r="C277">
            <v>79161251076</v>
          </cell>
        </row>
        <row r="278">
          <cell r="A278" t="str">
            <v>А-00379/КЭ</v>
          </cell>
          <cell r="B278" t="str">
            <v>Тальчук Владимир Валентинович</v>
          </cell>
          <cell r="C278">
            <v>89257723770</v>
          </cell>
        </row>
        <row r="279">
          <cell r="A279" t="str">
            <v>А-00053/БЭ</v>
          </cell>
          <cell r="B279" t="str">
            <v>Камшилин Александр Вячеславович</v>
          </cell>
          <cell r="C279">
            <v>89099328330</v>
          </cell>
        </row>
        <row r="280">
          <cell r="A280" t="str">
            <v>А-00437/КЭ</v>
          </cell>
          <cell r="B280" t="str">
            <v>Марковская Кристина Гансовна</v>
          </cell>
          <cell r="C280">
            <v>79037262617</v>
          </cell>
        </row>
        <row r="281">
          <cell r="A281" t="str">
            <v>А-00165/КЭ</v>
          </cell>
          <cell r="B281" t="str">
            <v>Казаков Василий Владимирович</v>
          </cell>
        </row>
        <row r="282">
          <cell r="A282" t="str">
            <v>А-00412/КЭ</v>
          </cell>
          <cell r="B282" t="str">
            <v>Котов Дмитрий Александрович</v>
          </cell>
          <cell r="C282">
            <v>89851637403</v>
          </cell>
        </row>
        <row r="283">
          <cell r="A283" t="str">
            <v>А-00388/КЭ</v>
          </cell>
          <cell r="B283" t="str">
            <v>Шахабутдинов Марат Камильевич</v>
          </cell>
          <cell r="C283" t="str">
            <v>89254524462, 89266576834</v>
          </cell>
        </row>
        <row r="284">
          <cell r="A284" t="str">
            <v>А-00009/КЭ</v>
          </cell>
          <cell r="B284" t="str">
            <v>Каблуков Роман Евгеньевич</v>
          </cell>
        </row>
        <row r="285">
          <cell r="A285" t="str">
            <v>А-00016/КЭ</v>
          </cell>
          <cell r="B285" t="str">
            <v>Захарова Валентина Юрьевна</v>
          </cell>
        </row>
        <row r="286">
          <cell r="A286" t="str">
            <v>А-00006/ИЗ</v>
          </cell>
          <cell r="B286" t="str">
            <v>Гизатуллин Сергей Равильевич</v>
          </cell>
          <cell r="C286">
            <v>89264255647</v>
          </cell>
        </row>
        <row r="287">
          <cell r="A287" t="str">
            <v>А-00006/ИЗ</v>
          </cell>
          <cell r="B287" t="str">
            <v>Гизатуллин Сергей Равильевич</v>
          </cell>
          <cell r="C287" t="str">
            <v>89264255647, 89296415521</v>
          </cell>
        </row>
        <row r="288">
          <cell r="A288" t="str">
            <v>А-00006/ИЗ</v>
          </cell>
          <cell r="B288" t="str">
            <v>Гизатуллин Сергей Равильевич</v>
          </cell>
          <cell r="C288">
            <v>89296415521</v>
          </cell>
        </row>
        <row r="289">
          <cell r="A289" t="str">
            <v>А-00160/КЭ</v>
          </cell>
          <cell r="B289" t="str">
            <v>Седов Юрий Иванович</v>
          </cell>
          <cell r="C289">
            <v>79859287390</v>
          </cell>
        </row>
        <row r="290">
          <cell r="A290" t="str">
            <v>А-00094/КЭ</v>
          </cell>
          <cell r="B290" t="str">
            <v>Шоренко Владислав Анатольевич</v>
          </cell>
        </row>
        <row r="291">
          <cell r="A291" t="str">
            <v>А-00094/КЭ</v>
          </cell>
          <cell r="B291" t="str">
            <v>Ишмухаметов Айрат Ринатович</v>
          </cell>
        </row>
        <row r="292">
          <cell r="A292" t="str">
            <v>А-02635/АЗ</v>
          </cell>
          <cell r="B292" t="str">
            <v>Борисов Александр Васильевич</v>
          </cell>
          <cell r="C292">
            <v>79858186888</v>
          </cell>
        </row>
        <row r="293">
          <cell r="A293" t="str">
            <v>А-02585/АЗ</v>
          </cell>
          <cell r="B293" t="str">
            <v>Хмелевская Алла Евгеньевна</v>
          </cell>
          <cell r="C293" t="str">
            <v>79258265025, 79167000730</v>
          </cell>
        </row>
        <row r="294">
          <cell r="A294" t="str">
            <v>А-00115/КЭ</v>
          </cell>
          <cell r="B294" t="str">
            <v>Черных Александр Владимирович</v>
          </cell>
        </row>
        <row r="295">
          <cell r="A295" t="str">
            <v>А-00002/ИЗ</v>
          </cell>
          <cell r="B295" t="str">
            <v>Айнетдинова Зульфия Наилевна</v>
          </cell>
        </row>
        <row r="296">
          <cell r="A296" t="str">
            <v>А-00116/КЭ</v>
          </cell>
          <cell r="B296" t="str">
            <v>Айнетдинова Зульфия Наилевна</v>
          </cell>
        </row>
        <row r="297">
          <cell r="A297" t="str">
            <v>А-00425/КЭ</v>
          </cell>
          <cell r="B297" t="str">
            <v>Таран Сергей Иванович</v>
          </cell>
          <cell r="C297">
            <v>89852201595</v>
          </cell>
        </row>
        <row r="298">
          <cell r="A298" t="str">
            <v>А-00440/КЭ</v>
          </cell>
          <cell r="B298" t="str">
            <v>Казарян Арман Овикович</v>
          </cell>
          <cell r="C298">
            <v>89670503102</v>
          </cell>
        </row>
        <row r="299">
          <cell r="A299" t="str">
            <v>В-00029/КЭ</v>
          </cell>
          <cell r="B299" t="str">
            <v>Казарян Арман Овикович</v>
          </cell>
          <cell r="C299">
            <v>89670503102</v>
          </cell>
        </row>
        <row r="300">
          <cell r="A300" t="str">
            <v>А-00369/КЭ</v>
          </cell>
          <cell r="B300" t="str">
            <v>Гусев Евгений Николаевич</v>
          </cell>
          <cell r="C300">
            <v>89165916887</v>
          </cell>
        </row>
        <row r="301">
          <cell r="A301" t="str">
            <v>А-00366/КЭ</v>
          </cell>
          <cell r="B301" t="str">
            <v>Павленко Александр Петрович</v>
          </cell>
          <cell r="C301" t="str">
            <v>79686808235, 79773121320</v>
          </cell>
        </row>
        <row r="302">
          <cell r="A302" t="str">
            <v>А-00242/КЭ</v>
          </cell>
          <cell r="B302" t="str">
            <v>Сушина Виктория Витальевна</v>
          </cell>
        </row>
        <row r="303">
          <cell r="A303" t="str">
            <v>В-00066/КЭ</v>
          </cell>
          <cell r="B303" t="str">
            <v>Баландина Алина Валерьевна</v>
          </cell>
          <cell r="C303">
            <v>79152659188</v>
          </cell>
        </row>
        <row r="304">
          <cell r="A304" t="str">
            <v>А-00084/КЭ</v>
          </cell>
          <cell r="B304" t="str">
            <v>Алекберова Ирина Александровна</v>
          </cell>
          <cell r="C304" t="str">
            <v>79265394067, 79776874592</v>
          </cell>
        </row>
        <row r="305">
          <cell r="A305" t="str">
            <v>А-00005/КЭ</v>
          </cell>
          <cell r="B305" t="str">
            <v>Носков Андрей Юрьевич</v>
          </cell>
        </row>
        <row r="306">
          <cell r="A306" t="str">
            <v>А-00368/КЭ</v>
          </cell>
          <cell r="B306" t="str">
            <v>Родионова Ирина Викторовна</v>
          </cell>
          <cell r="C306">
            <v>89647239273</v>
          </cell>
        </row>
        <row r="307">
          <cell r="A307" t="str">
            <v>А-03750/АЗ</v>
          </cell>
          <cell r="B307" t="str">
            <v>Чибисов Роман Николаевич</v>
          </cell>
          <cell r="C307">
            <v>79166875550</v>
          </cell>
        </row>
        <row r="308">
          <cell r="A308" t="str">
            <v>В-26352/АЗ</v>
          </cell>
          <cell r="B308" t="str">
            <v>Ломакин Александр Валерьевич</v>
          </cell>
          <cell r="C308">
            <v>89162142226</v>
          </cell>
        </row>
        <row r="309">
          <cell r="A309" t="str">
            <v>В-26394/АЗ</v>
          </cell>
          <cell r="B309" t="str">
            <v>Ломакин Александр Валерьевич</v>
          </cell>
          <cell r="C309">
            <v>89162142226</v>
          </cell>
        </row>
        <row r="310">
          <cell r="A310" t="str">
            <v>А-00401/КЭ</v>
          </cell>
          <cell r="B310" t="str">
            <v>Сомова Валерия Владимировна</v>
          </cell>
          <cell r="C310">
            <v>79851101058</v>
          </cell>
        </row>
        <row r="311">
          <cell r="A311" t="str">
            <v>А-00396/КЭ</v>
          </cell>
          <cell r="B311" t="str">
            <v>Болквадзе Александр Теймуразович</v>
          </cell>
          <cell r="C311" t="str">
            <v>89857647438, 89104858500</v>
          </cell>
        </row>
        <row r="312">
          <cell r="A312" t="str">
            <v>В-22453/АЗ</v>
          </cell>
          <cell r="B312" t="str">
            <v>Болквадзе Александр Теймуразович</v>
          </cell>
          <cell r="C312" t="str">
            <v>89857647438, 89104858500</v>
          </cell>
        </row>
        <row r="313">
          <cell r="A313" t="str">
            <v>В-22457/АЗ</v>
          </cell>
          <cell r="B313" t="str">
            <v>Болквадзе Александр Теймуразович</v>
          </cell>
          <cell r="C313" t="str">
            <v>89857647438, 89104858500</v>
          </cell>
        </row>
        <row r="314">
          <cell r="A314" t="str">
            <v>А-00183/КЭ</v>
          </cell>
          <cell r="B314" t="str">
            <v>Ильин Сергей Викторович</v>
          </cell>
        </row>
        <row r="315">
          <cell r="A315" t="str">
            <v>В-04343/КЛ</v>
          </cell>
          <cell r="B315" t="str">
            <v>Басенцян Петрос Шаваршович</v>
          </cell>
          <cell r="C315">
            <v>89257729252</v>
          </cell>
        </row>
        <row r="316">
          <cell r="A316" t="str">
            <v>В-10014/КЭ</v>
          </cell>
          <cell r="B316" t="str">
            <v>Ткаченко Александр Яковлевич</v>
          </cell>
          <cell r="C316">
            <v>89215916040</v>
          </cell>
        </row>
        <row r="317">
          <cell r="A317" t="str">
            <v>А-02772/АЗ</v>
          </cell>
          <cell r="B317" t="str">
            <v>Новоселова Марина Николаевна</v>
          </cell>
          <cell r="C317">
            <v>79169558664</v>
          </cell>
        </row>
        <row r="318">
          <cell r="A318" t="str">
            <v>А-00420/КЭ</v>
          </cell>
          <cell r="B318" t="str">
            <v>Симонов Евгений Евгеньевич</v>
          </cell>
          <cell r="C318">
            <v>89152334724</v>
          </cell>
        </row>
        <row r="319">
          <cell r="A319" t="str">
            <v>А-00195/КЭ</v>
          </cell>
          <cell r="B319" t="str">
            <v>Григорян Лолита Рудиковна</v>
          </cell>
        </row>
        <row r="320">
          <cell r="A320" t="str">
            <v>А-10052/КЭ</v>
          </cell>
          <cell r="B320" t="str">
            <v>Викторов Александр Владимирович</v>
          </cell>
          <cell r="C320">
            <v>89522875231</v>
          </cell>
        </row>
        <row r="321">
          <cell r="A321" t="str">
            <v>В-10022/КЭ</v>
          </cell>
          <cell r="B321" t="str">
            <v>Варданян Овик Грачикович</v>
          </cell>
          <cell r="C321" t="str">
            <v>79013735823, 79643849454</v>
          </cell>
        </row>
        <row r="322">
          <cell r="A322" t="str">
            <v>В-04536/КЛ</v>
          </cell>
          <cell r="B322" t="str">
            <v>Лазарев Сергей Александрович</v>
          </cell>
          <cell r="C322">
            <v>89112730146</v>
          </cell>
        </row>
        <row r="323">
          <cell r="A323" t="str">
            <v>А-00210/КЭ</v>
          </cell>
          <cell r="B323" t="str">
            <v>Макаров Александр Владимирович</v>
          </cell>
        </row>
        <row r="324">
          <cell r="A324" t="str">
            <v>А-00211/КЭ</v>
          </cell>
          <cell r="B324" t="str">
            <v>Фомина Галина Вадимовна</v>
          </cell>
        </row>
        <row r="325">
          <cell r="A325" t="str">
            <v>А-00230/КЭ</v>
          </cell>
          <cell r="B325" t="str">
            <v>Васильев Дмитрий Владимирович</v>
          </cell>
        </row>
        <row r="326">
          <cell r="A326" t="str">
            <v>А-20003/КЭ</v>
          </cell>
          <cell r="B326" t="str">
            <v>Хузин Равис Рамилевич</v>
          </cell>
        </row>
        <row r="327">
          <cell r="A327" t="str">
            <v>А-10106/КЭ</v>
          </cell>
          <cell r="B327" t="str">
            <v>Лачугин Роман Владимирович</v>
          </cell>
          <cell r="C327" t="str">
            <v>79052356075, 79119757137</v>
          </cell>
        </row>
        <row r="328">
          <cell r="A328" t="str">
            <v>А-00245/КЭ</v>
          </cell>
          <cell r="B328" t="str">
            <v>Фофанов Александр Борисович</v>
          </cell>
        </row>
        <row r="329">
          <cell r="A329" t="str">
            <v>А-03444/АЗ</v>
          </cell>
          <cell r="B329" t="str">
            <v>Халиуллина Альмира Шамилевна</v>
          </cell>
          <cell r="C329">
            <v>79274187234</v>
          </cell>
        </row>
        <row r="330">
          <cell r="A330" t="str">
            <v>А-10113/КЭ</v>
          </cell>
          <cell r="B330" t="str">
            <v>Пронько Галина Николаевна</v>
          </cell>
          <cell r="C330">
            <v>89214057717</v>
          </cell>
        </row>
        <row r="331">
          <cell r="A331" t="str">
            <v>А-00257/КЭ</v>
          </cell>
          <cell r="B331" t="str">
            <v>Галимшанова Алина Равильевна</v>
          </cell>
        </row>
        <row r="332">
          <cell r="A332" t="str">
            <v>А-10090/КЭ</v>
          </cell>
          <cell r="B332" t="str">
            <v>Крючков Максим Игоревич</v>
          </cell>
          <cell r="C332">
            <v>89602747097</v>
          </cell>
        </row>
        <row r="333">
          <cell r="A333" t="str">
            <v>А-00267/КЭ</v>
          </cell>
          <cell r="B333" t="str">
            <v>Ветров Алексей Игоревич</v>
          </cell>
          <cell r="C333" t="str">
            <v>+7 (963) 7158808</v>
          </cell>
        </row>
        <row r="334">
          <cell r="A334" t="str">
            <v>А-00386/КЭ</v>
          </cell>
          <cell r="B334" t="str">
            <v>Ветров Алексей Игоревич</v>
          </cell>
          <cell r="C334" t="str">
            <v>+7 (963) 7158808</v>
          </cell>
        </row>
        <row r="335">
          <cell r="A335" t="str">
            <v>В-10014/КЭ</v>
          </cell>
          <cell r="B335" t="str">
            <v>Проксима ООО</v>
          </cell>
        </row>
        <row r="350">
          <cell r="C350"/>
        </row>
        <row r="351">
          <cell r="C351"/>
        </row>
        <row r="352">
          <cell r="C352"/>
        </row>
        <row r="353">
          <cell r="C353"/>
        </row>
        <row r="355">
          <cell r="C355"/>
        </row>
        <row r="356">
          <cell r="C356"/>
        </row>
        <row r="357">
          <cell r="C357"/>
        </row>
        <row r="358">
          <cell r="C358"/>
        </row>
        <row r="359">
          <cell r="C359"/>
        </row>
        <row r="363">
          <cell r="C363"/>
        </row>
        <row r="382">
          <cell r="C382"/>
        </row>
        <row r="388">
          <cell r="C388"/>
        </row>
        <row r="389">
          <cell r="C389"/>
        </row>
        <row r="393">
          <cell r="C393"/>
        </row>
        <row r="394">
          <cell r="C394"/>
        </row>
        <row r="395">
          <cell r="C395"/>
        </row>
        <row r="396">
          <cell r="C396"/>
        </row>
        <row r="397">
          <cell r="C397"/>
        </row>
        <row r="398">
          <cell r="C398"/>
        </row>
        <row r="399">
          <cell r="C399"/>
        </row>
        <row r="400">
          <cell r="C400"/>
        </row>
        <row r="402">
          <cell r="C402"/>
        </row>
        <row r="403">
          <cell r="C403"/>
        </row>
        <row r="404">
          <cell r="C404"/>
        </row>
        <row r="405">
          <cell r="C405"/>
        </row>
        <row r="418">
          <cell r="C418"/>
        </row>
        <row r="419">
          <cell r="C419"/>
        </row>
        <row r="420">
          <cell r="C420"/>
        </row>
        <row r="421">
          <cell r="C421"/>
        </row>
        <row r="422">
          <cell r="C422"/>
        </row>
        <row r="428">
          <cell r="C428"/>
        </row>
        <row r="430">
          <cell r="C430"/>
        </row>
        <row r="431">
          <cell r="C431"/>
        </row>
        <row r="433">
          <cell r="C433"/>
        </row>
        <row r="434">
          <cell r="C434"/>
        </row>
        <row r="436">
          <cell r="C436"/>
        </row>
        <row r="438">
          <cell r="C438"/>
        </row>
        <row r="439">
          <cell r="C439"/>
        </row>
        <row r="440">
          <cell r="C440"/>
        </row>
        <row r="441">
          <cell r="C441"/>
        </row>
        <row r="442">
          <cell r="C442"/>
        </row>
        <row r="443">
          <cell r="C443"/>
        </row>
        <row r="444">
          <cell r="C444"/>
        </row>
        <row r="445">
          <cell r="C445"/>
        </row>
        <row r="446">
          <cell r="C446"/>
        </row>
        <row r="447">
          <cell r="C447"/>
        </row>
        <row r="448">
          <cell r="C448"/>
        </row>
        <row r="449">
          <cell r="C449"/>
        </row>
        <row r="450">
          <cell r="C450"/>
        </row>
        <row r="451">
          <cell r="C451"/>
        </row>
        <row r="453">
          <cell r="C453"/>
        </row>
        <row r="454">
          <cell r="C454"/>
        </row>
        <row r="461">
          <cell r="C461"/>
        </row>
        <row r="462">
          <cell r="C462"/>
        </row>
        <row r="464">
          <cell r="C464"/>
        </row>
        <row r="465">
          <cell r="C465"/>
        </row>
        <row r="466">
          <cell r="C466"/>
        </row>
        <row r="471">
          <cell r="C471"/>
        </row>
        <row r="472">
          <cell r="C472"/>
        </row>
        <row r="475">
          <cell r="C475"/>
        </row>
        <row r="476">
          <cell r="C476"/>
        </row>
        <row r="478">
          <cell r="C478"/>
        </row>
        <row r="480">
          <cell r="C480"/>
        </row>
        <row r="482">
          <cell r="C482"/>
        </row>
        <row r="484">
          <cell r="C484"/>
        </row>
        <row r="486">
          <cell r="C486"/>
        </row>
        <row r="490">
          <cell r="C490"/>
        </row>
        <row r="492">
          <cell r="C492"/>
        </row>
        <row r="493">
          <cell r="C493"/>
        </row>
        <row r="494">
          <cell r="C494"/>
        </row>
        <row r="495">
          <cell r="C495"/>
        </row>
        <row r="496">
          <cell r="C496"/>
        </row>
        <row r="497">
          <cell r="C497"/>
        </row>
        <row r="504">
          <cell r="C504"/>
        </row>
        <row r="510">
          <cell r="C510"/>
        </row>
        <row r="520">
          <cell r="C520"/>
        </row>
        <row r="525">
          <cell r="C525"/>
        </row>
        <row r="527">
          <cell r="C527"/>
        </row>
        <row r="528">
          <cell r="C528"/>
        </row>
        <row r="531">
          <cell r="C531"/>
        </row>
        <row r="532">
          <cell r="C532"/>
        </row>
        <row r="536">
          <cell r="C536"/>
        </row>
        <row r="542">
          <cell r="C542"/>
        </row>
        <row r="543">
          <cell r="C543"/>
        </row>
        <row r="550">
          <cell r="C550"/>
        </row>
        <row r="551">
          <cell r="C551"/>
        </row>
      </sheetData>
      <sheetData sheetId="4"/>
      <sheetData sheetId="5"/>
      <sheetData sheetId="6">
        <row r="1">
          <cell r="B1"/>
          <cell r="C1"/>
          <cell r="D1"/>
          <cell r="F1" t="str">
            <v/>
          </cell>
          <cell r="G1" t="str">
            <v/>
          </cell>
          <cell r="H1" t="str">
            <v/>
          </cell>
          <cell r="I1" t="str">
            <v/>
          </cell>
          <cell r="J1" t="str">
            <v>упс, какая - то ошибка</v>
          </cell>
        </row>
        <row r="2">
          <cell r="F2" t="str">
            <v/>
          </cell>
          <cell r="G2" t="str">
            <v/>
          </cell>
          <cell r="H2" t="str">
            <v/>
          </cell>
          <cell r="I2" t="str">
            <v/>
          </cell>
          <cell r="J2" t="str">
            <v>упс, какая - то ошибка</v>
          </cell>
        </row>
        <row r="3">
          <cell r="F3" t="str">
            <v/>
          </cell>
          <cell r="G3" t="str">
            <v/>
          </cell>
          <cell r="H3" t="str">
            <v/>
          </cell>
          <cell r="I3" t="str">
            <v/>
          </cell>
          <cell r="J3" t="str">
            <v>упс, какая - то ошибка</v>
          </cell>
        </row>
        <row r="4"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>упс, какая - то ошибка</v>
          </cell>
        </row>
        <row r="5">
          <cell r="B5" t="str">
            <v>На конец дня: 26.04.2022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>упс, какая - то ошибка</v>
          </cell>
        </row>
        <row r="6">
          <cell r="B6" t="str">
            <v>Включать в задолженность (Пени штрафы и прочие доходы): Да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>упс, какая - то ошибка</v>
          </cell>
        </row>
        <row r="7">
          <cell r="B7" t="str">
            <v>Диапазоны просрочки по займам: 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>упс, какая - то ошибка</v>
          </cell>
        </row>
        <row r="8">
          <cell r="B8" t="str">
            <v>Диапазоны сроков возврата займов: 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>упс, какая - то ошибка</v>
          </cell>
        </row>
        <row r="9"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>упс, какая - то ошибка</v>
          </cell>
        </row>
        <row r="10">
          <cell r="B10" t="str">
            <v>Займ предоставленный.Номер договора</v>
          </cell>
          <cell r="C10" t="str">
            <v>Юридический адрес</v>
          </cell>
          <cell r="D10" t="str">
            <v>Адрес места проживания</v>
          </cell>
          <cell r="F10" t="str">
            <v>Москва</v>
          </cell>
          <cell r="G10">
            <v>0.66009259259259256</v>
          </cell>
          <cell r="H10">
            <v>0.91009259259259256</v>
          </cell>
          <cell r="I10" t="str">
            <v>ОК</v>
          </cell>
          <cell r="J10" t="str">
            <v>ОК</v>
          </cell>
        </row>
        <row r="11">
          <cell r="B11" t="str">
            <v>Т-10003/КЭ_Т-20211028/Ц</v>
          </cell>
          <cell r="C11" t="str">
            <v>197110, Санкт-Петербург г, Левашовский пр-кт, дом № 12, литера А, помещение 1Н, комната 268</v>
          </cell>
          <cell r="F11" t="str">
            <v>Москва</v>
          </cell>
          <cell r="G11">
            <v>0.66009259259259256</v>
          </cell>
          <cell r="H11">
            <v>0.91009259259259256</v>
          </cell>
          <cell r="I11" t="str">
            <v>ОК</v>
          </cell>
          <cell r="J11" t="str">
            <v>ОК</v>
          </cell>
        </row>
        <row r="12">
          <cell r="B12" t="str">
            <v>А-10081/КЭ.Транш - 4</v>
          </cell>
          <cell r="C12" t="str">
            <v>197374, Санкт-Петербург г, Торфяная дор, дом № 7, литера В, помещение 7Н Торговый Зал № 97</v>
          </cell>
          <cell r="F12" t="str">
            <v>Москва</v>
          </cell>
          <cell r="G12">
            <v>0.66009259259259256</v>
          </cell>
          <cell r="H12">
            <v>0.91009259259259256</v>
          </cell>
          <cell r="I12" t="str">
            <v>ОК</v>
          </cell>
          <cell r="J12" t="str">
            <v>ОК</v>
          </cell>
        </row>
        <row r="13">
          <cell r="B13" t="str">
            <v>В-20940/КЛ.Транш - 1</v>
          </cell>
          <cell r="C13" t="str">
            <v>РОССИЯ, 368155, Дагестан респ, р-н Казбековский, с Ленинаул, ул Р.Магомедова, д. 49, кв. 2</v>
          </cell>
          <cell r="D13" t="str">
            <v>РОССИЯ, 403241, Волгоградская обл, р-н Алексеевский, ст-ца Алексеевская, д. 13, кв. 36</v>
          </cell>
          <cell r="F13" t="str">
            <v>Волгоградская</v>
          </cell>
          <cell r="G13">
            <v>0.66009259259259256</v>
          </cell>
          <cell r="H13">
            <v>0.9517592592592593</v>
          </cell>
          <cell r="I13" t="str">
            <v>поздно</v>
          </cell>
          <cell r="J13" t="str">
            <v>ОК</v>
          </cell>
        </row>
        <row r="14">
          <cell r="B14" t="str">
            <v>В-26054/КЛ.Транш - 1</v>
          </cell>
          <cell r="C14" t="str">
            <v>РОССИЯ, 143433, Московская обл, Красногорск г, Нахабино рп, Школьная ул, дом 8, квартира 117</v>
          </cell>
          <cell r="D14" t="str">
            <v>РОССИЯ, 143433, Московская обл, Красногорск г, Нахабино рп, Школьная ул, дом 8, квартира 117</v>
          </cell>
          <cell r="F14" t="str">
            <v>Московская</v>
          </cell>
          <cell r="G14">
            <v>0.66009259259259256</v>
          </cell>
          <cell r="H14">
            <v>0.91009259259259256</v>
          </cell>
          <cell r="I14" t="str">
            <v>ОК</v>
          </cell>
          <cell r="J14" t="str">
            <v>ОК</v>
          </cell>
        </row>
        <row r="15">
          <cell r="B15" t="str">
            <v>В-26054/КЛ.Транш - 2</v>
          </cell>
          <cell r="C15" t="str">
            <v>РОССИЯ, 143433, Московская обл, Красногорск г, Нахабино рп, Школьная ул, дом 8, квартира 117</v>
          </cell>
          <cell r="D15" t="str">
            <v>РОССИЯ, 143433, Московская обл, Красногорск г, Нахабино рп, Школьная ул, дом 8, квартира 117</v>
          </cell>
          <cell r="F15" t="str">
            <v>Московская</v>
          </cell>
          <cell r="G15">
            <v>0.66009259259259256</v>
          </cell>
          <cell r="H15">
            <v>0.91009259259259256</v>
          </cell>
          <cell r="I15" t="str">
            <v>ОК</v>
          </cell>
          <cell r="J15" t="str">
            <v>ОК</v>
          </cell>
        </row>
        <row r="16">
          <cell r="B16" t="str">
            <v>В-26054/КЛ.Транш - 4</v>
          </cell>
          <cell r="C16" t="str">
            <v>РОССИЯ, 143433, Московская обл, Красногорск г, Нахабино рп, Школьная ул, дом 8, квартира 117</v>
          </cell>
          <cell r="D16" t="str">
            <v>РОССИЯ, 143433, Московская обл, Красногорск г, Нахабино рп, Школьная ул, дом 8, квартира 117</v>
          </cell>
          <cell r="F16" t="str">
            <v>Московская</v>
          </cell>
          <cell r="G16">
            <v>0.66009259259259256</v>
          </cell>
          <cell r="H16">
            <v>0.91009259259259256</v>
          </cell>
          <cell r="I16" t="str">
            <v>ОК</v>
          </cell>
          <cell r="J16" t="str">
            <v>ОК</v>
          </cell>
        </row>
        <row r="17">
          <cell r="B17" t="str">
            <v>В-28360/КЛ.Транш - 1</v>
          </cell>
          <cell r="C17" t="str">
            <v>РОССИЯ, 124617, Москва г, вн.тер.г. Крюково, г Зеленоград, ул Логвиненко, д. 1512, к. 1512, кв. 552</v>
          </cell>
          <cell r="D17" t="str">
            <v>РОССИЯ, 124617, Москва г, вн.тер.г. Крюково, г Зеленоград, ул Логвиненко, д. 1512, к. 1512, кв. 552</v>
          </cell>
          <cell r="F17" t="str">
            <v>Москва</v>
          </cell>
          <cell r="G17">
            <v>0.66009259259259256</v>
          </cell>
          <cell r="H17">
            <v>0.91009259259259256</v>
          </cell>
          <cell r="I17" t="str">
            <v>ОК</v>
          </cell>
          <cell r="J17" t="str">
            <v>ОК</v>
          </cell>
        </row>
        <row r="18">
          <cell r="B18" t="str">
            <v>В-01204/АЗ</v>
          </cell>
          <cell r="C18" t="str">
            <v>РОССИЯ, 143962, Московская обл, Реутов г, Октября ул, дом № 52, квартира 1155</v>
          </cell>
          <cell r="D18" t="str">
            <v>РОССИЯ, 143962, Московская обл, Реутов г, Октября ул, дом № 52, квартира 1155</v>
          </cell>
          <cell r="F18" t="str">
            <v>Московская</v>
          </cell>
          <cell r="G18">
            <v>0.66009259259259256</v>
          </cell>
          <cell r="H18">
            <v>0.91009259259259256</v>
          </cell>
          <cell r="I18" t="str">
            <v>ОК</v>
          </cell>
          <cell r="J18" t="str">
            <v>ОК</v>
          </cell>
        </row>
        <row r="19">
          <cell r="B19" t="str">
            <v>В-24257/АЗ</v>
          </cell>
          <cell r="C19" t="str">
            <v>РОССИЯ, 143962, Московская обл, Реутов г, Октября ул, дом № 52, квартира 1155</v>
          </cell>
          <cell r="D19" t="str">
            <v>РОССИЯ, 143962, Московская обл, Реутов г, Октября ул, дом № 52, квартира 1155</v>
          </cell>
          <cell r="F19" t="str">
            <v>Московская</v>
          </cell>
          <cell r="G19">
            <v>0.66009259259259256</v>
          </cell>
          <cell r="H19">
            <v>0.91009259259259256</v>
          </cell>
          <cell r="I19" t="str">
            <v>ОК</v>
          </cell>
          <cell r="J19" t="str">
            <v>ОК</v>
          </cell>
        </row>
        <row r="20">
          <cell r="B20" t="str">
            <v>В-19549/КЛ.Транш - 1</v>
          </cell>
          <cell r="C20" t="str">
            <v>РОССИЯ, 188642, Ленинградская обл, Всеволожский р-н, Всеволожск г, Алексеевский пр-кт, дом 150</v>
          </cell>
          <cell r="D20" t="str">
            <v>РОССИЯ, 188642, Ленинградская обл, Всеволожский р-н, Всеволожск г, Алексеевский пр-кт, дом 150</v>
          </cell>
          <cell r="F20" t="str">
            <v>Ленинградская</v>
          </cell>
          <cell r="G20">
            <v>0.66009259259259256</v>
          </cell>
          <cell r="H20">
            <v>0.91009259259259256</v>
          </cell>
          <cell r="I20" t="str">
            <v>ОК</v>
          </cell>
          <cell r="J20" t="str">
            <v>ОК</v>
          </cell>
        </row>
        <row r="21">
          <cell r="B21" t="str">
            <v>В-28383/КЛ.Транш - 1</v>
          </cell>
          <cell r="C21" t="str">
            <v>РОССИЯ, 423631, Татарстан респ, р-н Елабужский, с Танайка, ул Полевая, д. 23</v>
          </cell>
          <cell r="D21" t="str">
            <v>РОССИЯ, 423631, Татарстан респ, р-н Елабужский, с Танайка, ул Полевая, д. 23</v>
          </cell>
          <cell r="F21" t="str">
            <v>Татарстан</v>
          </cell>
          <cell r="G21">
            <v>0.66009259259259256</v>
          </cell>
          <cell r="H21">
            <v>0.91009259259259256</v>
          </cell>
          <cell r="I21" t="str">
            <v>ОК</v>
          </cell>
          <cell r="J21" t="str">
            <v>ОК</v>
          </cell>
        </row>
        <row r="22">
          <cell r="B22" t="str">
            <v>В-08251/КЛ.Транш - 1</v>
          </cell>
          <cell r="C22" t="str">
            <v>РОССИЯ, 352915, Краснодарский край, Армавир г, Советской Армии ул, дом 222/7, квартира 116</v>
          </cell>
          <cell r="D22" t="str">
            <v>РОССИЯ, 350005, Краснодарский край, Краснодар г, им. Александра Покрышкина ул, дом 4/5, квартира 297</v>
          </cell>
          <cell r="F22" t="str">
            <v>Краснодарский</v>
          </cell>
          <cell r="G22">
            <v>0.66009259259259256</v>
          </cell>
          <cell r="H22">
            <v>0.91009259259259256</v>
          </cell>
          <cell r="I22" t="str">
            <v>ОК</v>
          </cell>
          <cell r="J22" t="str">
            <v>ОК</v>
          </cell>
        </row>
        <row r="23">
          <cell r="B23" t="str">
            <v>В-11521/КЛ.Транш - 1</v>
          </cell>
          <cell r="C23" t="str">
            <v>РОССИЯ, 453265, Башкортостан респ, Салават г, Бекетова ул, дом 18, квартира 83</v>
          </cell>
          <cell r="D23" t="str">
            <v>РОССИЯ, 453265, Башкортостан респ, Салават г, Бекетова ул, дом 18, квартира 83</v>
          </cell>
          <cell r="F23" t="str">
            <v>Башкортостан</v>
          </cell>
          <cell r="G23">
            <v>0.66009259259259256</v>
          </cell>
          <cell r="H23">
            <v>0.99342592592592593</v>
          </cell>
          <cell r="I23" t="str">
            <v>поздно</v>
          </cell>
          <cell r="J23" t="str">
            <v>ОК</v>
          </cell>
        </row>
        <row r="24">
          <cell r="B24" t="str">
            <v>В-01192/АЗ</v>
          </cell>
          <cell r="C24" t="str">
            <v>РОССИЯ, 141402, Московская обл, г Химки, ул Московская, д. 21, кв. 140</v>
          </cell>
          <cell r="D24" t="str">
            <v>РОССИЯ, 141402, Московская обл, г Химки, ул Московская, д. 21, кв. 140</v>
          </cell>
          <cell r="F24" t="str">
            <v>Московская</v>
          </cell>
          <cell r="G24">
            <v>0.66009259259259256</v>
          </cell>
          <cell r="H24">
            <v>0.91009259259259256</v>
          </cell>
          <cell r="I24" t="str">
            <v>ОК</v>
          </cell>
          <cell r="J24" t="str">
            <v>ОК</v>
          </cell>
        </row>
        <row r="25">
          <cell r="B25" t="str">
            <v>В-00116/КЛ.Транш - 4</v>
          </cell>
          <cell r="C25" t="str">
            <v>РОССИЯ, 142030, Московская обл, Домодедово г, Павловское д, Московская ул, дом № 16А</v>
          </cell>
          <cell r="D25" t="str">
            <v>РОССИЯ, 142030, Московская обл, Домодедово г, Павловское д, Московская ул, дом № 16А</v>
          </cell>
          <cell r="F25" t="str">
            <v>Московская</v>
          </cell>
          <cell r="G25">
            <v>0.66009259259259256</v>
          </cell>
          <cell r="H25">
            <v>0.91009259259259256</v>
          </cell>
          <cell r="I25" t="str">
            <v>ОК</v>
          </cell>
          <cell r="J25" t="str">
            <v>ОК</v>
          </cell>
        </row>
        <row r="26">
          <cell r="B26" t="str">
            <v>В-25132/КЛ.Транш - 1</v>
          </cell>
          <cell r="C26" t="str">
            <v>РОССИЯ, 142030, Московская обл, Домодедово г, Павловское д, Московская ул, дом № 16А</v>
          </cell>
          <cell r="D26" t="str">
            <v>РОССИЯ, 142030, Московская обл, Домодедово г, Павловское д, Московская ул, дом № 16А</v>
          </cell>
          <cell r="F26" t="str">
            <v>Московская</v>
          </cell>
          <cell r="G26">
            <v>0.66009259259259256</v>
          </cell>
          <cell r="H26">
            <v>0.91009259259259256</v>
          </cell>
          <cell r="I26" t="str">
            <v>ОК</v>
          </cell>
          <cell r="J26" t="str">
            <v>ОК</v>
          </cell>
        </row>
        <row r="27">
          <cell r="B27" t="str">
            <v>В-25132/КЛ.Транш - 2</v>
          </cell>
          <cell r="C27" t="str">
            <v>РОССИЯ, 142030, Московская обл, Домодедово г, Павловское д, Московская ул, дом № 16А</v>
          </cell>
          <cell r="D27" t="str">
            <v>РОССИЯ, 142030, Московская обл, Домодедово г, Павловское д, Московская ул, дом № 16А</v>
          </cell>
          <cell r="F27" t="str">
            <v>Московская</v>
          </cell>
          <cell r="G27">
            <v>0.66009259259259256</v>
          </cell>
          <cell r="H27">
            <v>0.91009259259259256</v>
          </cell>
          <cell r="I27" t="str">
            <v>ОК</v>
          </cell>
          <cell r="J27" t="str">
            <v>ОК</v>
          </cell>
        </row>
        <row r="28">
          <cell r="B28" t="str">
            <v>В-03960/КЛ.Транш - 1_В-20211230/Ц</v>
          </cell>
          <cell r="C28" t="str">
            <v>РОССИЯ, 140126, Московская обл, р-н Раменский, д Холуденево, ул Лесная, д. 13</v>
          </cell>
          <cell r="D28" t="str">
            <v>РОССИЯ, 140126, Московская обл, Раменский р-н, Холуденево д, Лесная ул, дом 13</v>
          </cell>
          <cell r="F28" t="str">
            <v>Московская</v>
          </cell>
          <cell r="G28">
            <v>0.66009259259259256</v>
          </cell>
          <cell r="H28">
            <v>0.91009259259259256</v>
          </cell>
          <cell r="I28" t="str">
            <v>ОК</v>
          </cell>
          <cell r="J28" t="str">
            <v>ОК</v>
          </cell>
        </row>
        <row r="29">
          <cell r="B29" t="str">
            <v>В-09625/КЛ.Транш - 1</v>
          </cell>
          <cell r="C29" t="str">
            <v>РОССИЯ, 296412, Крым респ, м.р-н Черноморский, с.п. Далековское, с Далекое, ул Советская, д. 9б</v>
          </cell>
          <cell r="D29" t="str">
            <v>РОССИЯ, 296412, Крым респ, м.р-н Черноморский, с.п. Далековское, с Далекое, ул Советская, д. 9б</v>
          </cell>
          <cell r="F29" t="str">
            <v>Крым</v>
          </cell>
          <cell r="G29">
            <v>0.66009259259259256</v>
          </cell>
          <cell r="H29">
            <v>0.91009259259259256</v>
          </cell>
          <cell r="I29" t="str">
            <v>ОК</v>
          </cell>
          <cell r="J29" t="str">
            <v>ОК</v>
          </cell>
        </row>
        <row r="30">
          <cell r="B30" t="str">
            <v>В-00172/КЛ.Транш - 1</v>
          </cell>
          <cell r="C30" t="str">
            <v>РОССИЯ, 143909, Московская обл, Балашиха г, Авиаторов мкр., Нестерова б-р, дом 10, квартира 50</v>
          </cell>
          <cell r="D30" t="str">
            <v>РОССИЯ, 143909, Московская обл, Балашиха г, Авиаторов мкр., Нестерова б-р, дом 10, квартира 50</v>
          </cell>
          <cell r="F30" t="str">
            <v>Московская</v>
          </cell>
          <cell r="G30">
            <v>0.66009259259259256</v>
          </cell>
          <cell r="H30">
            <v>0.91009259259259256</v>
          </cell>
          <cell r="I30" t="str">
            <v>ОК</v>
          </cell>
          <cell r="J30" t="str">
            <v>ОК</v>
          </cell>
        </row>
        <row r="31">
          <cell r="B31" t="str">
            <v>В-08416/КЛ.Транш - 1</v>
          </cell>
          <cell r="C31" t="str">
            <v>РОССИЯ, 185016, Карелия респ, Петрозаводск г, Древлянка р-н, Лососинское ш, дом 33, корпус 3, квартира 13</v>
          </cell>
          <cell r="D31" t="str">
            <v>РОССИЯ, 185016, Карелия респ, Петрозаводск г, Древлянка р-н, Лососинское ш, дом 33, корпус 3, квартира 13</v>
          </cell>
          <cell r="F31" t="str">
            <v>Карелия</v>
          </cell>
          <cell r="G31">
            <v>0.66009259259259256</v>
          </cell>
          <cell r="H31">
            <v>0.91009259259259256</v>
          </cell>
          <cell r="I31" t="str">
            <v>ОК</v>
          </cell>
          <cell r="J31" t="str">
            <v>ОК</v>
          </cell>
        </row>
        <row r="32">
          <cell r="B32" t="str">
            <v>А-04275/АЗ</v>
          </cell>
          <cell r="C32" t="str">
            <v>РОССИЯ, 127411, Москва г, Яхромская ул, дом № 4, квартира 55</v>
          </cell>
          <cell r="D32" t="str">
            <v>РОССИЯ, 127411, Москва г, Яхромская ул, дом № 4, квартира 55</v>
          </cell>
          <cell r="F32" t="str">
            <v>Москва</v>
          </cell>
          <cell r="G32">
            <v>0.66009259259259256</v>
          </cell>
          <cell r="H32">
            <v>0.91009259259259256</v>
          </cell>
          <cell r="I32" t="str">
            <v>ОК</v>
          </cell>
          <cell r="J32" t="str">
            <v>ОК</v>
          </cell>
        </row>
        <row r="33">
          <cell r="B33" t="str">
            <v>Т-01875/АЗ_Т-20211028/Ц</v>
          </cell>
          <cell r="C33" t="str">
            <v>РОССИЯ, 141607, Московская обл, Клинский р-н, Клин г, Высоковский проезд, дом № 2/18</v>
          </cell>
          <cell r="D33" t="str">
            <v>РОССИЯ, 141607, Московская обл, Клинский р-н, Клин г, Высоковский проезд, дом № 2/18</v>
          </cell>
          <cell r="F33" t="str">
            <v>Московская</v>
          </cell>
          <cell r="G33">
            <v>0.66009259259259256</v>
          </cell>
          <cell r="H33">
            <v>0.91009259259259256</v>
          </cell>
          <cell r="I33" t="str">
            <v>ОК</v>
          </cell>
          <cell r="J33" t="str">
            <v>ОК</v>
          </cell>
        </row>
        <row r="34">
          <cell r="B34" t="str">
            <v>В-02064/КЛ.Транш - 2</v>
          </cell>
          <cell r="C34" t="str">
            <v>РОССИЯ, 109518, Москва г, Грайвороновская ул, дом 21, квартира 34</v>
          </cell>
          <cell r="D34" t="str">
            <v>РОССИЯ, 109518, Москва г, Грайвороновская ул, дом 21, квартира 34</v>
          </cell>
          <cell r="F34" t="str">
            <v>Москва</v>
          </cell>
          <cell r="G34">
            <v>0.66009259259259256</v>
          </cell>
          <cell r="H34">
            <v>0.91009259259259256</v>
          </cell>
          <cell r="I34" t="str">
            <v>ОК</v>
          </cell>
          <cell r="J34" t="str">
            <v>ОК</v>
          </cell>
        </row>
        <row r="35">
          <cell r="B35" t="str">
            <v>В-02064/КЛ.Транш - 3</v>
          </cell>
          <cell r="C35" t="str">
            <v>РОССИЯ, 109518, Москва г, Грайвороновская ул, дом 21, квартира 34</v>
          </cell>
          <cell r="D35" t="str">
            <v>РОССИЯ, 109518, Москва г, Грайвороновская ул, дом 21, квартира 34</v>
          </cell>
          <cell r="F35" t="str">
            <v>Москва</v>
          </cell>
          <cell r="G35">
            <v>0.66009259259259256</v>
          </cell>
          <cell r="H35">
            <v>0.91009259259259256</v>
          </cell>
          <cell r="I35" t="str">
            <v>ОК</v>
          </cell>
          <cell r="J35" t="str">
            <v>ОК</v>
          </cell>
        </row>
        <row r="36">
          <cell r="B36" t="str">
            <v>В-02064/КЛ.Транш - 4</v>
          </cell>
          <cell r="C36" t="str">
            <v>РОССИЯ, 109518, Москва г, Грайвороновская ул, дом 21, квартира 34</v>
          </cell>
          <cell r="D36" t="str">
            <v>РОССИЯ, 109518, Москва г, Грайвороновская ул, дом 21, квартира 34</v>
          </cell>
          <cell r="F36" t="str">
            <v>Москва</v>
          </cell>
          <cell r="G36">
            <v>0.66009259259259256</v>
          </cell>
          <cell r="H36">
            <v>0.91009259259259256</v>
          </cell>
          <cell r="I36" t="str">
            <v>ОК</v>
          </cell>
          <cell r="J36" t="str">
            <v>ОК</v>
          </cell>
        </row>
        <row r="37">
          <cell r="B37" t="str">
            <v>В-00046/АЗ</v>
          </cell>
          <cell r="C37" t="str">
            <v>РОССИЯ, 352922, Краснодарский край, Армавир г, Островского ул, дом № 41, квартира 28</v>
          </cell>
          <cell r="D37" t="str">
            <v>РОССИЯ, 352922, Краснодарский край, Армавир г, Островского ул, дом № 41, квартира 28</v>
          </cell>
          <cell r="F37" t="str">
            <v>Краснодарский</v>
          </cell>
          <cell r="G37">
            <v>0.66009259259259256</v>
          </cell>
          <cell r="H37">
            <v>0.91009259259259256</v>
          </cell>
          <cell r="I37" t="str">
            <v>ОК</v>
          </cell>
          <cell r="J37" t="str">
            <v>ОК</v>
          </cell>
        </row>
        <row r="38">
          <cell r="B38" t="str">
            <v>В-19526/КЛ.Транш - 1</v>
          </cell>
          <cell r="C38" t="str">
            <v>РОССИЯ, 144004, Московская обл, г. Электросталь, пр-кт Южный, д. 9, к. 4, кв. 25</v>
          </cell>
          <cell r="D38" t="str">
            <v>РОССИЯ, 144010, Московская обл, г. Электросталь, б-р 60-летия Победы, д. 14, кв. 318</v>
          </cell>
          <cell r="F38" t="str">
            <v>Московская</v>
          </cell>
          <cell r="G38">
            <v>0.66009259259259256</v>
          </cell>
          <cell r="H38">
            <v>0.91009259259259256</v>
          </cell>
          <cell r="I38" t="str">
            <v>ОК</v>
          </cell>
          <cell r="J38" t="str">
            <v>ОК</v>
          </cell>
        </row>
        <row r="39">
          <cell r="B39" t="str">
            <v>В-00033/КЭ.Транш - 1</v>
          </cell>
          <cell r="C39" t="str">
            <v>141400, Московская обл, Химки г, Международное ш, владение 1, помещение 921, офис 915</v>
          </cell>
          <cell r="F39" t="str">
            <v>Москва</v>
          </cell>
          <cell r="G39">
            <v>0.66009259259259256</v>
          </cell>
          <cell r="H39">
            <v>0.91009259259259256</v>
          </cell>
          <cell r="I39" t="str">
            <v>ОК</v>
          </cell>
          <cell r="J39" t="str">
            <v>ОК</v>
          </cell>
        </row>
        <row r="40">
          <cell r="B40" t="str">
            <v>В-00033/КЭ.Транш - 2</v>
          </cell>
          <cell r="C40" t="str">
            <v>141400, Московская обл, Химки г, Международное ш, владение 1, помещение 921, офис 915</v>
          </cell>
          <cell r="F40" t="str">
            <v>Москва</v>
          </cell>
          <cell r="G40">
            <v>0.66009259259259256</v>
          </cell>
          <cell r="H40">
            <v>0.91009259259259256</v>
          </cell>
          <cell r="I40" t="str">
            <v>ОК</v>
          </cell>
          <cell r="J40" t="str">
            <v>ОК</v>
          </cell>
        </row>
        <row r="41">
          <cell r="B41" t="str">
            <v>В-09974/КЛ.Транш - 2</v>
          </cell>
          <cell r="C41" t="str">
            <v>РОССИЯ, 358009, Калмыкия респ, Элиста г, им Б.Адучиева ул, дом 2</v>
          </cell>
          <cell r="D41" t="str">
            <v>РОССИЯ, 358000, Калмыкия респ, Элиста г, им М.А.Сельгикова ул, дом 61</v>
          </cell>
          <cell r="F41" t="str">
            <v>Калмыкия</v>
          </cell>
          <cell r="G41">
            <v>0.66009259259259256</v>
          </cell>
          <cell r="H41">
            <v>0.91009259259259256</v>
          </cell>
          <cell r="I41" t="str">
            <v>ОК</v>
          </cell>
          <cell r="J41" t="str">
            <v>ОК</v>
          </cell>
        </row>
        <row r="42">
          <cell r="B42" t="str">
            <v>В-18791/КЛ.Транш - 1</v>
          </cell>
          <cell r="C42" t="str">
            <v>РОССИЯ, 352762, Краснодарский край, р-н Брюховецкий, ст-ца Переясловская, ул Толстого, д. 24</v>
          </cell>
          <cell r="D42" t="str">
            <v>РОССИЯ, 143988, Московская обл, г Балашиха, ш Косинское, д. 2, кв. 625</v>
          </cell>
          <cell r="F42" t="str">
            <v>Московская</v>
          </cell>
          <cell r="G42">
            <v>0.66009259259259256</v>
          </cell>
          <cell r="H42">
            <v>0.91009259259259256</v>
          </cell>
          <cell r="I42" t="str">
            <v>ОК</v>
          </cell>
          <cell r="J42" t="str">
            <v>ОК</v>
          </cell>
        </row>
        <row r="43">
          <cell r="B43" t="str">
            <v>В-25003/КЛ.Транш - 1</v>
          </cell>
          <cell r="C43" t="str">
            <v>РОССИЯ, 456885, Челябинская обл, р-н Аргаяшский, п Горный, ул Железнодорожная, д. 19</v>
          </cell>
          <cell r="D43" t="str">
            <v>РОССИЯ, 683013, Камчатский край, г Петропавловск-Камчатский, ул Пономарева, д. 35, кв. 2</v>
          </cell>
          <cell r="F43" t="str">
            <v>Камчатский</v>
          </cell>
          <cell r="G43">
            <v>0.66009259259259256</v>
          </cell>
          <cell r="H43">
            <v>0.28509259259259268</v>
          </cell>
          <cell r="I43" t="str">
            <v>поздно</v>
          </cell>
          <cell r="J43" t="str">
            <v>поздно</v>
          </cell>
        </row>
        <row r="44">
          <cell r="B44" t="str">
            <v>В-25003/КЛ.Транш - 2</v>
          </cell>
          <cell r="C44" t="str">
            <v>РОССИЯ, 456885, Челябинская обл, р-н Аргаяшский, п Горный, ул Железнодорожная, д. 19</v>
          </cell>
          <cell r="D44" t="str">
            <v>РОССИЯ, 683013, Камчатский край, г Петропавловск-Камчатский, ул Пономарева, д. 35, кв. 2</v>
          </cell>
          <cell r="F44" t="str">
            <v>Камчатский</v>
          </cell>
          <cell r="G44">
            <v>0.66009259259259256</v>
          </cell>
          <cell r="H44">
            <v>0.28509259259259268</v>
          </cell>
          <cell r="I44" t="str">
            <v>поздно</v>
          </cell>
          <cell r="J44" t="str">
            <v>поздно</v>
          </cell>
        </row>
        <row r="45">
          <cell r="B45" t="str">
            <v>В-25003/КЛ.Транш - 3</v>
          </cell>
          <cell r="C45" t="str">
            <v>РОССИЯ, 456885, Челябинская обл, р-н Аргаяшский, п Горный, ул Железнодорожная, д. 19</v>
          </cell>
          <cell r="D45" t="str">
            <v>РОССИЯ, 683013, Камчатский край, г Петропавловск-Камчатский, ул Пономарева, д. 35, кв. 2</v>
          </cell>
          <cell r="F45" t="str">
            <v>Камчатский</v>
          </cell>
          <cell r="G45">
            <v>0.66009259259259256</v>
          </cell>
          <cell r="H45">
            <v>0.28509259259259268</v>
          </cell>
          <cell r="I45" t="str">
            <v>поздно</v>
          </cell>
          <cell r="J45" t="str">
            <v>поздно</v>
          </cell>
        </row>
        <row r="46">
          <cell r="B46" t="str">
            <v>Т-01886/АЗ_Т-20211028/Ц</v>
          </cell>
          <cell r="C46" t="str">
            <v>РОССИЯ, 121552, Москва г, Рублёвское ш, дом № 111, квартира 70</v>
          </cell>
          <cell r="D46" t="str">
            <v>РОССИЯ, 121552, Москва г, Рублёвское ш, дом № 111, квартира 70</v>
          </cell>
          <cell r="F46" t="str">
            <v>Москва</v>
          </cell>
          <cell r="G46">
            <v>0.66009259259259256</v>
          </cell>
          <cell r="H46">
            <v>0.91009259259259256</v>
          </cell>
          <cell r="I46" t="str">
            <v>ОК</v>
          </cell>
          <cell r="J46" t="str">
            <v>ОК</v>
          </cell>
        </row>
        <row r="47">
          <cell r="B47" t="str">
            <v>В-12789/КЛ.Транш - 1</v>
          </cell>
          <cell r="C47" t="str">
            <v>РОССИЯ, 140200, Московская обл, Воскресенск г, Воскресенская ул, дом 29</v>
          </cell>
          <cell r="D47" t="str">
            <v>РОССИЯ, 140200, Московская обл, Воскресенск г, Воскресенская ул, дом 29</v>
          </cell>
          <cell r="F47" t="str">
            <v>Московская</v>
          </cell>
          <cell r="G47">
            <v>0.66009259259259256</v>
          </cell>
          <cell r="H47">
            <v>0.91009259259259256</v>
          </cell>
          <cell r="I47" t="str">
            <v>ОК</v>
          </cell>
          <cell r="J47" t="str">
            <v>ОК</v>
          </cell>
        </row>
        <row r="48">
          <cell r="B48" t="str">
            <v>В-14482/КЛ.Транш - 1</v>
          </cell>
          <cell r="C48" t="str">
            <v>РОССИЯ, 142701, Московская обл, Ленинский р-н, Сапроново д, Купелинка мкр, Северный кв-л, дом 20, квартира 125</v>
          </cell>
          <cell r="D48" t="str">
            <v>РОССИЯ, 142701, Московская обл, Ленинский р-н, Сапроново д, Купелинка мкр, Северный кв-л, дом 20, квартира 125</v>
          </cell>
          <cell r="F48" t="str">
            <v>Московская</v>
          </cell>
          <cell r="G48">
            <v>0.66009259259259256</v>
          </cell>
          <cell r="H48">
            <v>0.91009259259259256</v>
          </cell>
          <cell r="I48" t="str">
            <v>ОК</v>
          </cell>
          <cell r="J48" t="str">
            <v>ОК</v>
          </cell>
        </row>
        <row r="49">
          <cell r="B49" t="str">
            <v>А-04839/АЗ_А-20210903/Ц</v>
          </cell>
          <cell r="C49" t="str">
            <v>РОССИЯ, 199178, Санкт-Петербург г, Малый В.О. пр-кт, дом № 46, квартира 4</v>
          </cell>
          <cell r="D49" t="str">
            <v>РОССИЯ, 199226, Санкт-Петербург г, Мичманская ул, дом № 2, квартира 211</v>
          </cell>
          <cell r="F49" t="str">
            <v>Москва</v>
          </cell>
          <cell r="G49">
            <v>0.66009259259259256</v>
          </cell>
          <cell r="H49">
            <v>0.91009259259259256</v>
          </cell>
          <cell r="I49" t="str">
            <v>ОК</v>
          </cell>
          <cell r="J49" t="str">
            <v>ОК</v>
          </cell>
        </row>
        <row r="50">
          <cell r="B50" t="str">
            <v>Т-01675/АЗ_Т-20210903/Ц</v>
          </cell>
          <cell r="C50" t="str">
            <v>РОССИЯ, 199178, Санкт-Петербург г, Малый В.О. пр-кт, дом № 46, квартира 4</v>
          </cell>
          <cell r="D50" t="str">
            <v>РОССИЯ, 199226, Санкт-Петербург г, Мичманская ул, дом № 2, квартира 211</v>
          </cell>
          <cell r="F50" t="str">
            <v>Москва</v>
          </cell>
          <cell r="G50">
            <v>0.66009259259259256</v>
          </cell>
          <cell r="H50">
            <v>0.91009259259259256</v>
          </cell>
          <cell r="I50" t="str">
            <v>ОК</v>
          </cell>
          <cell r="J50" t="str">
            <v>ОК</v>
          </cell>
        </row>
        <row r="51">
          <cell r="B51" t="str">
            <v>В-30005/КЭ.Транш - 1</v>
          </cell>
          <cell r="C51" t="str">
            <v>355016, Ставропольский край, Ставрополь г, Чапаева ул, дом 11, квартира 23</v>
          </cell>
          <cell r="F51" t="str">
            <v>Москва</v>
          </cell>
          <cell r="G51">
            <v>0.66009259259259256</v>
          </cell>
          <cell r="H51">
            <v>0.91009259259259256</v>
          </cell>
          <cell r="I51" t="str">
            <v>ОК</v>
          </cell>
          <cell r="J51" t="str">
            <v>ОК</v>
          </cell>
        </row>
        <row r="52">
          <cell r="B52" t="str">
            <v>В-24642/АЗ</v>
          </cell>
          <cell r="C52" t="str">
            <v>РОССИЯ, 369000, Карачаево-Черкесская респ, г Черкесск, ул Международная, д. 85А, кв. 7</v>
          </cell>
          <cell r="D52" t="str">
            <v>РОССИЯ, 119192, Москва г, пр-кт Мичуринский, д. 7, к. 1, кв. 343</v>
          </cell>
          <cell r="F52" t="str">
            <v>Москва</v>
          </cell>
          <cell r="G52">
            <v>0.66009259259259256</v>
          </cell>
          <cell r="H52">
            <v>0.91009259259259256</v>
          </cell>
          <cell r="I52" t="str">
            <v>ОК</v>
          </cell>
          <cell r="J52" t="str">
            <v>ОК</v>
          </cell>
        </row>
        <row r="53">
          <cell r="B53" t="str">
            <v>В-04727/КЛ.Транш - 1</v>
          </cell>
          <cell r="C53" t="str">
            <v>РОССИЯ, 196603, Санкт-Петербург г, г Пушкин, ул Сапёрная, д. 36, к. 4, литера А, кв. 7</v>
          </cell>
          <cell r="D53" t="str">
            <v>РОССИЯ, 199397, Санкт-Петербург г, Кораблестроителей ул, дом 30, квартира 660</v>
          </cell>
          <cell r="F53" t="str">
            <v>Москва</v>
          </cell>
          <cell r="G53">
            <v>0.66009259259259256</v>
          </cell>
          <cell r="H53">
            <v>0.91009259259259256</v>
          </cell>
          <cell r="I53" t="str">
            <v>ОК</v>
          </cell>
          <cell r="J53" t="str">
            <v>ОК</v>
          </cell>
        </row>
        <row r="54">
          <cell r="B54" t="str">
            <v>В-03599/КЛ.Транш - 1</v>
          </cell>
          <cell r="C54" t="str">
            <v>РОССИЯ, 141301, Московская обл, р-н Сергиево-Посадский, г Сергиев Посад, ул 1 Ударной Армии, д. 95, кв. 701</v>
          </cell>
          <cell r="D54" t="str">
            <v>РОССИЯ, 117303, Москва г, Одесская ул, дом 18, корпус 2, квартира 129</v>
          </cell>
          <cell r="F54" t="str">
            <v>Москва</v>
          </cell>
          <cell r="G54">
            <v>0.66009259259259256</v>
          </cell>
          <cell r="H54">
            <v>0.91009259259259256</v>
          </cell>
          <cell r="I54" t="str">
            <v>ОК</v>
          </cell>
          <cell r="J54" t="str">
            <v>ОК</v>
          </cell>
        </row>
        <row r="55">
          <cell r="B55" t="str">
            <v>В-21938/КЛ.Транш - 1</v>
          </cell>
          <cell r="C55" t="str">
            <v>РОССИЯ, 115230, Москва г, Каширское ш, дом 11, корпус 1, квартира 92</v>
          </cell>
          <cell r="D55" t="str">
            <v>РОССИЯ, 115230, Москва г, Каширское ш, дом 11, корпус 1, квартира 92</v>
          </cell>
          <cell r="F55" t="str">
            <v>Москва</v>
          </cell>
          <cell r="G55">
            <v>0.66009259259259256</v>
          </cell>
          <cell r="H55">
            <v>0.91009259259259256</v>
          </cell>
          <cell r="I55" t="str">
            <v>ОК</v>
          </cell>
          <cell r="J55" t="str">
            <v>ОК</v>
          </cell>
        </row>
        <row r="56">
          <cell r="B56" t="str">
            <v>В-21938/КЛ.Транш - 2</v>
          </cell>
          <cell r="C56" t="str">
            <v>РОССИЯ, 115230, Москва г, Каширское ш, дом 11, корпус 1, квартира 92</v>
          </cell>
          <cell r="D56" t="str">
            <v>РОССИЯ, 115230, Москва г, Каширское ш, дом 11, корпус 1, квартира 92</v>
          </cell>
          <cell r="F56" t="str">
            <v>Москва</v>
          </cell>
          <cell r="G56">
            <v>0.66009259259259256</v>
          </cell>
          <cell r="H56">
            <v>0.91009259259259256</v>
          </cell>
          <cell r="I56" t="str">
            <v>ОК</v>
          </cell>
          <cell r="J56" t="str">
            <v>ОК</v>
          </cell>
        </row>
        <row r="57">
          <cell r="B57" t="str">
            <v>В-21938/КЛ.Транш - 3</v>
          </cell>
          <cell r="C57" t="str">
            <v>РОССИЯ, 115230, Москва г, Каширское ш, дом 11, корпус 1, квартира 92</v>
          </cell>
          <cell r="D57" t="str">
            <v>РОССИЯ, 115230, Москва г, Каширское ш, дом 11, корпус 1, квартира 92</v>
          </cell>
          <cell r="F57" t="str">
            <v>Москва</v>
          </cell>
          <cell r="G57">
            <v>0.66009259259259256</v>
          </cell>
          <cell r="H57">
            <v>0.91009259259259256</v>
          </cell>
          <cell r="I57" t="str">
            <v>ОК</v>
          </cell>
          <cell r="J57" t="str">
            <v>ОК</v>
          </cell>
        </row>
        <row r="58">
          <cell r="B58" t="str">
            <v>В-00079/КЛ.Транш - 2</v>
          </cell>
          <cell r="C58" t="str">
            <v>РОССИЯ, 172122, Тверская обл, Кувшиновский р-н, Юсино д, дом 19</v>
          </cell>
          <cell r="D58" t="str">
            <v>РОССИЯ, 141075, Московская обл, Королев г, Полевая ул, дом 43/12, квартира 168</v>
          </cell>
          <cell r="F58" t="str">
            <v>Московская</v>
          </cell>
          <cell r="G58">
            <v>0.66009259259259256</v>
          </cell>
          <cell r="H58">
            <v>0.91009259259259256</v>
          </cell>
          <cell r="I58" t="str">
            <v>ОК</v>
          </cell>
          <cell r="J58" t="str">
            <v>ОК</v>
          </cell>
        </row>
        <row r="59">
          <cell r="B59" t="str">
            <v>В-10841/КЛ.Транш - 1</v>
          </cell>
          <cell r="C59" t="str">
            <v>РОССИЯ, 364047, Чеченская респ, Грозный г, Сочинский пер, домовладение 3</v>
          </cell>
          <cell r="D59" t="str">
            <v>РОССИЯ, 127591, Москва г, Дубнинская ул, дом 30Б, квартира 237</v>
          </cell>
          <cell r="F59" t="str">
            <v>Москва</v>
          </cell>
          <cell r="G59">
            <v>0.66009259259259256</v>
          </cell>
          <cell r="H59">
            <v>0.91009259259259256</v>
          </cell>
          <cell r="I59" t="str">
            <v>ОК</v>
          </cell>
          <cell r="J59" t="str">
            <v>ОК</v>
          </cell>
        </row>
        <row r="60">
          <cell r="B60" t="str">
            <v>В-01211/АЗ</v>
          </cell>
          <cell r="C60" t="str">
            <v>РОССИЯ, 117148, Москва г, ул Коммунистическая, д. 137/20</v>
          </cell>
          <cell r="D60" t="str">
            <v>РОССИЯ, 123100, Москва г, пер Студенецкий, д. 3, кв. 2</v>
          </cell>
          <cell r="F60" t="str">
            <v>Москва</v>
          </cell>
          <cell r="G60">
            <v>0.66009259259259256</v>
          </cell>
          <cell r="H60">
            <v>0.91009259259259256</v>
          </cell>
          <cell r="I60" t="str">
            <v>ОК</v>
          </cell>
          <cell r="J60" t="str">
            <v>ОК</v>
          </cell>
        </row>
        <row r="61">
          <cell r="B61" t="str">
            <v>В-01035/КЛ.Транш - 1_В-20211230/Ц</v>
          </cell>
          <cell r="C61" t="str">
            <v>РОССИЯ, 142210, Московская обл, Серпухов г, Октябрьская ул, дом 26б, квартира 93</v>
          </cell>
          <cell r="D61" t="str">
            <v>РОССИЯ, 142210, Московская обл, Серпухов г, Октябрьская ул, дом 26б, квартира 93</v>
          </cell>
          <cell r="F61" t="str">
            <v>Московская</v>
          </cell>
          <cell r="G61">
            <v>0.66009259259259256</v>
          </cell>
          <cell r="H61">
            <v>0.91009259259259256</v>
          </cell>
          <cell r="I61" t="str">
            <v>ОК</v>
          </cell>
          <cell r="J61" t="str">
            <v>ОК</v>
          </cell>
        </row>
        <row r="62">
          <cell r="B62" t="str">
            <v>В-25131/КЛ.Транш - 1</v>
          </cell>
          <cell r="C62" t="str">
            <v>РОССИЯ, 347331, Ростовская обл, р-н Волгодонской, ст-ца Большовская, ул Мира, д. 22</v>
          </cell>
          <cell r="D62" t="str">
            <v>РОССИЯ, 347331, Ростовская обл, р-н Волгодонской, ст-ца Большовская, ул Мира, д. 22</v>
          </cell>
          <cell r="F62" t="str">
            <v>Ростовская</v>
          </cell>
          <cell r="G62">
            <v>0.66009259259259256</v>
          </cell>
          <cell r="H62">
            <v>0.91009259259259256</v>
          </cell>
          <cell r="I62" t="str">
            <v>ОК</v>
          </cell>
          <cell r="J62" t="str">
            <v>ОК</v>
          </cell>
        </row>
        <row r="63">
          <cell r="B63" t="str">
            <v>В-22453/АЗ</v>
          </cell>
          <cell r="C63" t="str">
            <v>РОССИЯ, 119192, Москва г, Мичуринский пр-кт, дом 5, квартира 123</v>
          </cell>
          <cell r="D63" t="str">
            <v>РОССИЯ, 119192, Москва г, Ломоносовский пр-кт, дом 29, корпус 3, квартира 69</v>
          </cell>
          <cell r="F63" t="str">
            <v>Москва</v>
          </cell>
          <cell r="G63">
            <v>0.66009259259259256</v>
          </cell>
          <cell r="H63">
            <v>0.91009259259259256</v>
          </cell>
          <cell r="I63" t="str">
            <v>ОК</v>
          </cell>
          <cell r="J63" t="str">
            <v>ОК</v>
          </cell>
        </row>
        <row r="64">
          <cell r="B64" t="str">
            <v>В-01271/КЛ.Транш - 3_В-20211230/Ц</v>
          </cell>
          <cell r="C64" t="str">
            <v>РОССИЯ, 347913, Ростовская обл, Таганрог г, Комарова ул, дом 7, квартира 15</v>
          </cell>
          <cell r="D64" t="str">
            <v>РОССИЯ, 119019, Москва г, Гоголевский б-р, дом 29, квартира 39</v>
          </cell>
          <cell r="F64" t="str">
            <v>Москва</v>
          </cell>
          <cell r="G64">
            <v>0.66009259259259256</v>
          </cell>
          <cell r="H64">
            <v>0.91009259259259256</v>
          </cell>
          <cell r="I64" t="str">
            <v>ОК</v>
          </cell>
          <cell r="J64" t="str">
            <v>ОК</v>
          </cell>
        </row>
        <row r="65">
          <cell r="B65" t="str">
            <v>В-01271/КЛ.Транш - 4_В-20211230/Ц</v>
          </cell>
          <cell r="C65" t="str">
            <v>РОССИЯ, 347913, Ростовская обл, Таганрог г, Комарова ул, дом 7, квартира 15</v>
          </cell>
          <cell r="D65" t="str">
            <v>РОССИЯ, 119019, Москва г, Гоголевский б-р, дом 29, квартира 39</v>
          </cell>
          <cell r="F65" t="str">
            <v>Москва</v>
          </cell>
          <cell r="G65">
            <v>0.66009259259259256</v>
          </cell>
          <cell r="H65">
            <v>0.91009259259259256</v>
          </cell>
          <cell r="I65" t="str">
            <v>ОК</v>
          </cell>
          <cell r="J65" t="str">
            <v>ОК</v>
          </cell>
        </row>
        <row r="66">
          <cell r="B66" t="str">
            <v>В-01271/КЛ.Транш - 5_В-20211230/Ц</v>
          </cell>
          <cell r="C66" t="str">
            <v>РОССИЯ, 347913, Ростовская обл, Таганрог г, Комарова ул, дом 7, квартира 15</v>
          </cell>
          <cell r="D66" t="str">
            <v>РОССИЯ, 119019, Москва г, Гоголевский б-р, дом 29, квартира 39</v>
          </cell>
          <cell r="F66" t="str">
            <v>Москва</v>
          </cell>
          <cell r="G66">
            <v>0.66009259259259256</v>
          </cell>
          <cell r="H66">
            <v>0.91009259259259256</v>
          </cell>
          <cell r="I66" t="str">
            <v>ОК</v>
          </cell>
          <cell r="J66" t="str">
            <v>ОК</v>
          </cell>
        </row>
        <row r="67">
          <cell r="B67" t="str">
            <v>В-01271/КЛ.Транш - 6_В-20211230/Ц</v>
          </cell>
          <cell r="C67" t="str">
            <v>РОССИЯ, 347913, Ростовская обл, Таганрог г, Комарова ул, дом 7, квартира 15</v>
          </cell>
          <cell r="D67" t="str">
            <v>РОССИЯ, 119019, Москва г, Гоголевский б-р, дом 29, квартира 39</v>
          </cell>
          <cell r="F67" t="str">
            <v>Москва</v>
          </cell>
          <cell r="G67">
            <v>0.66009259259259256</v>
          </cell>
          <cell r="H67">
            <v>0.91009259259259256</v>
          </cell>
          <cell r="I67" t="str">
            <v>ОК</v>
          </cell>
          <cell r="J67" t="str">
            <v>ОК</v>
          </cell>
        </row>
        <row r="68">
          <cell r="B68" t="str">
            <v>В-15412/КЛ.Транш - 1_В-20211230/Ц</v>
          </cell>
          <cell r="C68" t="str">
            <v>РОССИЯ, 121353, Москва г, Внутригородская территория муниципальный округ Можайский, Можайское ш, дом 45, корпус 4, квартира 43</v>
          </cell>
          <cell r="D68" t="str">
            <v>РОССИЯ, 121353, Москва г, Внутригородская территория муниципальный округ Можайский, Сколковское ш, дом 10, квартира 62</v>
          </cell>
          <cell r="F68" t="str">
            <v>Москва</v>
          </cell>
          <cell r="G68">
            <v>0.66009259259259256</v>
          </cell>
          <cell r="H68">
            <v>0.91009259259259256</v>
          </cell>
          <cell r="I68" t="str">
            <v>ОК</v>
          </cell>
          <cell r="J68" t="str">
            <v>ОК</v>
          </cell>
        </row>
        <row r="69">
          <cell r="B69" t="str">
            <v>А-05360/АЗ</v>
          </cell>
          <cell r="C69" t="str">
            <v>РОССИЯ, 142143, Московская обл, городской округ Подольск, Быково п, Луговая ул, дом № 11, квартира 4</v>
          </cell>
          <cell r="D69" t="str">
            <v>РОССИЯ, 142143, Московская обл, городской округ Подольск, Быково п, Луговая ул, дом № 11, квартира 4</v>
          </cell>
          <cell r="F69" t="str">
            <v>Московская</v>
          </cell>
          <cell r="G69">
            <v>0.66009259259259256</v>
          </cell>
          <cell r="H69">
            <v>0.91009259259259256</v>
          </cell>
          <cell r="I69" t="str">
            <v>ОК</v>
          </cell>
          <cell r="J69" t="str">
            <v>ОК</v>
          </cell>
        </row>
        <row r="70">
          <cell r="B70" t="str">
            <v>В-18334/КЛ.Транш - 1</v>
          </cell>
          <cell r="C70" t="str">
            <v>РОССИЯ, 142118, Московская обл, г Подольск, ул 43-й Армии, д. 19, кв. 160</v>
          </cell>
          <cell r="D70" t="str">
            <v>РОССИЯ, 142118, Московская обл, г Подольск, ул 43-й Армии, д. 19, кв. 160</v>
          </cell>
          <cell r="F70" t="str">
            <v>Московская</v>
          </cell>
          <cell r="G70">
            <v>0.66009259259259256</v>
          </cell>
          <cell r="H70">
            <v>0.91009259259259256</v>
          </cell>
          <cell r="I70" t="str">
            <v>ОК</v>
          </cell>
          <cell r="J70" t="str">
            <v>ОК</v>
          </cell>
        </row>
        <row r="71">
          <cell r="B71" t="str">
            <v>В-27391/КЛ.Транш - 1</v>
          </cell>
          <cell r="C71" t="str">
            <v>РОССИЯ, 141205, Московская обл, г Пушкино, ул Луговая, д. 30</v>
          </cell>
          <cell r="D71" t="str">
            <v>РОССИЯ, 141205, Московская обл, г Пушкино, ул Луговая, д. 30</v>
          </cell>
          <cell r="F71" t="str">
            <v>Московская</v>
          </cell>
          <cell r="G71">
            <v>0.66009259259259256</v>
          </cell>
          <cell r="H71">
            <v>0.91009259259259256</v>
          </cell>
          <cell r="I71" t="str">
            <v>ОК</v>
          </cell>
          <cell r="J71" t="str">
            <v>ОК</v>
          </cell>
        </row>
        <row r="72">
          <cell r="B72" t="str">
            <v>В-15235/КЛ.Транш - 3</v>
          </cell>
          <cell r="C72" t="str">
            <v>РОССИЯ, 117624, Москва г, Старокрымская ул, дом 15, квартира 786</v>
          </cell>
          <cell r="D72" t="str">
            <v>РОССИЯ, 117624, Москва г, Старокрымская ул, дом 15, квартира 786</v>
          </cell>
          <cell r="F72" t="str">
            <v>Москва</v>
          </cell>
          <cell r="G72">
            <v>0.66009259259259256</v>
          </cell>
          <cell r="H72">
            <v>0.91009259259259256</v>
          </cell>
          <cell r="I72" t="str">
            <v>ОК</v>
          </cell>
          <cell r="J72" t="str">
            <v>ОК</v>
          </cell>
        </row>
        <row r="73">
          <cell r="B73" t="str">
            <v>В-19354/КЛ.Транш - 1</v>
          </cell>
          <cell r="C73" t="str">
            <v>РОССИЯ, 140170, Московская обл, г Раменское, д Панино, ул Новая, д. 19, кв. 7</v>
          </cell>
          <cell r="D73" t="str">
            <v>РОССИЯ, 140170, Московская обл, г Раменское, д Панино, ул Новая, д. 19, кв. 7</v>
          </cell>
          <cell r="F73" t="str">
            <v>Московская</v>
          </cell>
          <cell r="G73">
            <v>0.66009259259259256</v>
          </cell>
          <cell r="H73">
            <v>0.91009259259259256</v>
          </cell>
          <cell r="I73" t="str">
            <v>ОК</v>
          </cell>
          <cell r="J73" t="str">
            <v>ОК</v>
          </cell>
        </row>
        <row r="74">
          <cell r="B74" t="str">
            <v>В-01122/КЛ.Транш - 3</v>
          </cell>
          <cell r="C74" t="str">
            <v>РОССИЯ, 413100, Саратовская обл, Энгельс г, Ленина ул, дом 70</v>
          </cell>
          <cell r="D74" t="str">
            <v>РОССИЯ, 141142, Московская обл, Лосино-Петровский г, Аничково п, дом 4, квартира 9</v>
          </cell>
          <cell r="F74" t="str">
            <v>Московская</v>
          </cell>
          <cell r="G74">
            <v>0.66009259259259256</v>
          </cell>
          <cell r="H74">
            <v>0.91009259259259256</v>
          </cell>
          <cell r="I74" t="str">
            <v>ОК</v>
          </cell>
          <cell r="J74" t="str">
            <v>ОК</v>
          </cell>
        </row>
        <row r="75">
          <cell r="B75" t="str">
            <v>В-01122/КЛ.Транш - 4</v>
          </cell>
          <cell r="C75" t="str">
            <v>РОССИЯ, 413100, Саратовская обл, Энгельс г, Ленина ул, дом 70</v>
          </cell>
          <cell r="D75" t="str">
            <v>РОССИЯ, 141142, Московская обл, Лосино-Петровский г, Аничково п, дом 4, квартира 9</v>
          </cell>
          <cell r="F75" t="str">
            <v>Московская</v>
          </cell>
          <cell r="G75">
            <v>0.66009259259259256</v>
          </cell>
          <cell r="H75">
            <v>0.91009259259259256</v>
          </cell>
          <cell r="I75" t="str">
            <v>ОК</v>
          </cell>
          <cell r="J75" t="str">
            <v>ОК</v>
          </cell>
        </row>
        <row r="76">
          <cell r="B76" t="str">
            <v>В-26128/АЗ</v>
          </cell>
          <cell r="C76" t="str">
            <v>РОССИЯ, 141407, Московская обл, г Химки, ул Горшина, д. 3, к. 2, кв. 176</v>
          </cell>
          <cell r="D76" t="str">
            <v>РОССИЯ, 141407, Московская обл, г Химки, ул Горшина, д. 3, к. 2, кв. 176</v>
          </cell>
          <cell r="F76" t="str">
            <v>Московская</v>
          </cell>
          <cell r="G76">
            <v>0.66009259259259256</v>
          </cell>
          <cell r="H76">
            <v>0.91009259259259256</v>
          </cell>
          <cell r="I76" t="str">
            <v>ОК</v>
          </cell>
          <cell r="J76" t="str">
            <v>ОК</v>
          </cell>
        </row>
        <row r="77">
          <cell r="B77" t="str">
            <v>В-12519/КЛ.Транш - 2</v>
          </cell>
          <cell r="C77" t="str">
            <v>РОССИЯ, 152903, Ярославская обл, Рыбинский р-н, Рыбинск г, Свободы ул, дом 10, квартира 25</v>
          </cell>
          <cell r="D77" t="str">
            <v>РОССИЯ, 152903, Ярославская обл, Рыбинский р-н, Рыбинск г, Свободы ул, дом 10, квартира 25</v>
          </cell>
          <cell r="F77" t="str">
            <v>Ярославская</v>
          </cell>
          <cell r="G77">
            <v>0.66009259259259256</v>
          </cell>
          <cell r="H77">
            <v>0.91009259259259256</v>
          </cell>
          <cell r="I77" t="str">
            <v>ОК</v>
          </cell>
          <cell r="J77" t="str">
            <v>ОК</v>
          </cell>
        </row>
        <row r="78">
          <cell r="B78" t="str">
            <v>В-12519/КЛ.Транш - 3</v>
          </cell>
          <cell r="C78" t="str">
            <v>РОССИЯ, 152903, Ярославская обл, Рыбинский р-н, Рыбинск г, Свободы ул, дом 10, квартира 25</v>
          </cell>
          <cell r="D78" t="str">
            <v>РОССИЯ, 152903, Ярославская обл, Рыбинский р-н, Рыбинск г, Свободы ул, дом 10, квартира 25</v>
          </cell>
          <cell r="F78" t="str">
            <v>Ярославская</v>
          </cell>
          <cell r="G78">
            <v>0.66009259259259256</v>
          </cell>
          <cell r="H78">
            <v>0.91009259259259256</v>
          </cell>
          <cell r="I78" t="str">
            <v>ОК</v>
          </cell>
          <cell r="J78" t="str">
            <v>ОК</v>
          </cell>
        </row>
        <row r="79">
          <cell r="B79" t="str">
            <v>В-00538/АЗ</v>
          </cell>
          <cell r="C79" t="str">
            <v>РОССИЯ, 601670, Владимирская обл, Александровский р-н, Струнино г, Октябрьский проезд, дом № 13</v>
          </cell>
          <cell r="D79" t="str">
            <v>РОССИЯ, 195196, Санкт-Петербург г, Стахановцев ул, дом № 10, корпус 3, квартира 66</v>
          </cell>
          <cell r="F79" t="str">
            <v>Москва</v>
          </cell>
          <cell r="G79">
            <v>0.66009259259259256</v>
          </cell>
          <cell r="H79">
            <v>0.91009259259259256</v>
          </cell>
          <cell r="I79" t="str">
            <v>ОК</v>
          </cell>
          <cell r="J79" t="str">
            <v>ОК</v>
          </cell>
        </row>
        <row r="80">
          <cell r="B80" t="str">
            <v>В-24336/КЛ.Транш - 1</v>
          </cell>
          <cell r="C80" t="str">
            <v>РОССИЯ, 193315, Санкт-Петербург г, вн.тер.г. Народный, ул Народная, д. 49, кв. 61</v>
          </cell>
          <cell r="D80" t="str">
            <v>РОССИЯ, 197373, Санкт-Петербург г, вн.тер.г. муниципальный округ Юнтолово, ул Плесецкая, д. 14, стр. 1, кв. 282</v>
          </cell>
          <cell r="F80" t="str">
            <v>Москва</v>
          </cell>
          <cell r="G80">
            <v>0.66009259259259256</v>
          </cell>
          <cell r="H80">
            <v>0.91009259259259256</v>
          </cell>
          <cell r="I80" t="str">
            <v>ОК</v>
          </cell>
          <cell r="J80" t="str">
            <v>ОК</v>
          </cell>
        </row>
        <row r="81">
          <cell r="B81" t="str">
            <v>В-24336/КЛ.Транш - 2</v>
          </cell>
          <cell r="C81" t="str">
            <v>РОССИЯ, 193315, Санкт-Петербург г, вн.тер.г. Народный, ул Народная, д. 49, кв. 61</v>
          </cell>
          <cell r="D81" t="str">
            <v>РОССИЯ, 197373, Санкт-Петербург г, вн.тер.г. муниципальный округ Юнтолово, ул Плесецкая, д. 14, стр. 1, кв. 282</v>
          </cell>
          <cell r="F81" t="str">
            <v>Москва</v>
          </cell>
          <cell r="G81">
            <v>0.66009259259259256</v>
          </cell>
          <cell r="H81">
            <v>0.91009259259259256</v>
          </cell>
          <cell r="I81" t="str">
            <v>ОК</v>
          </cell>
          <cell r="J81" t="str">
            <v>ОК</v>
          </cell>
        </row>
        <row r="82">
          <cell r="B82" t="str">
            <v>В-24336/КЛ.Транш - 3</v>
          </cell>
          <cell r="C82" t="str">
            <v>РОССИЯ, 193315, Санкт-Петербург г, вн.тер.г. Народный, ул Народная, д. 49, кв. 61</v>
          </cell>
          <cell r="D82" t="str">
            <v>РОССИЯ, 197373, Санкт-Петербург г, вн.тер.г. муниципальный округ Юнтолово, ул Плесецкая, д. 14, стр. 1, кв. 282</v>
          </cell>
          <cell r="F82" t="str">
            <v>Москва</v>
          </cell>
          <cell r="G82">
            <v>0.66009259259259256</v>
          </cell>
          <cell r="H82">
            <v>0.91009259259259256</v>
          </cell>
          <cell r="I82" t="str">
            <v>ОК</v>
          </cell>
          <cell r="J82" t="str">
            <v>ОК</v>
          </cell>
        </row>
        <row r="83">
          <cell r="B83" t="str">
            <v>В-24336/КЛ.Транш - 4</v>
          </cell>
          <cell r="C83" t="str">
            <v>РОССИЯ, 193315, Санкт-Петербург г, вн.тер.г. Народный, ул Народная, д. 49, кв. 61</v>
          </cell>
          <cell r="D83" t="str">
            <v>РОССИЯ, 197373, Санкт-Петербург г, вн.тер.г. муниципальный округ Юнтолово, ул Плесецкая, д. 14, стр. 1, кв. 282</v>
          </cell>
          <cell r="F83" t="str">
            <v>Москва</v>
          </cell>
          <cell r="G83">
            <v>0.66009259259259256</v>
          </cell>
          <cell r="H83">
            <v>0.91009259259259256</v>
          </cell>
          <cell r="I83" t="str">
            <v>ОК</v>
          </cell>
          <cell r="J83" t="str">
            <v>ОК</v>
          </cell>
        </row>
        <row r="84">
          <cell r="B84" t="str">
            <v>В-05105/КЛ.Транш - 1</v>
          </cell>
          <cell r="C84" t="str">
            <v>РОССИЯ, 442250, Пензенская обл, Белинский р-н, Белинский г, Туристическая ул, дом № 2б, квартира 16</v>
          </cell>
          <cell r="D84" t="str">
            <v>РОССИЯ, 192238, Санкт-Петербург г, Бухарестская ул, дом № 76, корпус 1, квартира 93</v>
          </cell>
          <cell r="F84" t="str">
            <v>Москва</v>
          </cell>
          <cell r="G84">
            <v>0.66009259259259256</v>
          </cell>
          <cell r="H84">
            <v>0.91009259259259256</v>
          </cell>
          <cell r="I84" t="str">
            <v>ОК</v>
          </cell>
          <cell r="J84" t="str">
            <v>ОК</v>
          </cell>
        </row>
        <row r="85">
          <cell r="B85" t="str">
            <v>А-04668/АЗ_Т-20200626/Ц</v>
          </cell>
          <cell r="C85" t="str">
            <v>РОССИЯ, 143005, Московская обл, Одинцовский р-н, Одинцово г, Можайское ш, дом № 122, квартира 709</v>
          </cell>
          <cell r="D85" t="str">
            <v>РОССИЯ, 143005, Московская обл, Одинцовский р-н, Одинцово г, Можайское ш, дом № 122, квартира 709</v>
          </cell>
          <cell r="F85" t="str">
            <v>Московская</v>
          </cell>
          <cell r="G85">
            <v>0.66009259259259256</v>
          </cell>
          <cell r="H85">
            <v>0.91009259259259256</v>
          </cell>
          <cell r="I85" t="str">
            <v>ОК</v>
          </cell>
          <cell r="J85" t="str">
            <v>ОК</v>
          </cell>
        </row>
        <row r="86">
          <cell r="B86" t="str">
            <v>Т-01642/АЗ_Т-20200626/Ц</v>
          </cell>
          <cell r="C86" t="str">
            <v>РОССИЯ, 143005, Московская обл, Одинцовский р-н, Одинцово г, Можайское ш, дом № 122, квартира 709</v>
          </cell>
          <cell r="D86" t="str">
            <v>РОССИЯ, 143005, Московская обл, Одинцовский р-н, Одинцово г, Можайское ш, дом № 122, квартира 709</v>
          </cell>
          <cell r="F86" t="str">
            <v>Московская</v>
          </cell>
          <cell r="G86">
            <v>0.66009259259259256</v>
          </cell>
          <cell r="H86">
            <v>0.91009259259259256</v>
          </cell>
          <cell r="I86" t="str">
            <v>ОК</v>
          </cell>
          <cell r="J86" t="str">
            <v>ОК</v>
          </cell>
        </row>
        <row r="87">
          <cell r="B87" t="str">
            <v>В-02623/КЛ.Транш - 5</v>
          </cell>
          <cell r="C87" t="str">
            <v>РОССИЯ, 127434, Москва г, Дмитровское ш, дом 13, корпус 4, квартира 38</v>
          </cell>
          <cell r="D87" t="str">
            <v>РОССИЯ, 143409, Московская обл, Красногорск г, Успенская ул, дом 32, квартира 77</v>
          </cell>
          <cell r="F87" t="str">
            <v>Московская</v>
          </cell>
          <cell r="G87">
            <v>0.66009259259259256</v>
          </cell>
          <cell r="H87">
            <v>0.91009259259259256</v>
          </cell>
          <cell r="I87" t="str">
            <v>ОК</v>
          </cell>
          <cell r="J87" t="str">
            <v>ОК</v>
          </cell>
        </row>
        <row r="88">
          <cell r="B88" t="str">
            <v>В-02623/КЛ.Транш - 7</v>
          </cell>
          <cell r="C88" t="str">
            <v>РОССИЯ, 127434, Москва г, Дмитровское ш, дом 13, корпус 4, квартира 38</v>
          </cell>
          <cell r="D88" t="str">
            <v>РОССИЯ, 143409, Московская обл, Красногорск г, Успенская ул, дом 32, квартира 77</v>
          </cell>
          <cell r="F88" t="str">
            <v>Московская</v>
          </cell>
          <cell r="G88">
            <v>0.66009259259259256</v>
          </cell>
          <cell r="H88">
            <v>0.91009259259259256</v>
          </cell>
          <cell r="I88" t="str">
            <v>ОК</v>
          </cell>
          <cell r="J88" t="str">
            <v>ОК</v>
          </cell>
        </row>
        <row r="89">
          <cell r="B89" t="str">
            <v>В-11085/КЛ.Транш - 1</v>
          </cell>
          <cell r="C89" t="str">
            <v>РОССИЯ, 248003, Калужская обл, г Калуга, ул Киевка 2-я, д. 7</v>
          </cell>
          <cell r="D89" t="str">
            <v>РОССИЯ, 248003, Калужская обл, г Калуга, ул Киевка 2-я, д. 7</v>
          </cell>
          <cell r="F89" t="str">
            <v>Калужская</v>
          </cell>
          <cell r="G89">
            <v>0.66009259259259256</v>
          </cell>
          <cell r="H89">
            <v>0.91009259259259256</v>
          </cell>
          <cell r="I89" t="str">
            <v>ОК</v>
          </cell>
          <cell r="J89" t="str">
            <v>ОК</v>
          </cell>
        </row>
        <row r="90">
          <cell r="B90" t="str">
            <v>В-23370/КЛ.Транш - 1</v>
          </cell>
          <cell r="C90" t="str">
            <v>РОССИЯ, 644041, Омская обл, г Омск, ул 4-я Транспортная, д. 44, кв. 177</v>
          </cell>
          <cell r="D90" t="str">
            <v>РОССИЯ, 644042, Омская обл, г Омск, ул Иртышская Набережная, д. 27, кв. 33</v>
          </cell>
          <cell r="F90" t="str">
            <v>Омская</v>
          </cell>
          <cell r="G90">
            <v>0.66009259259259256</v>
          </cell>
          <cell r="H90">
            <v>3.5092592592592675E-2</v>
          </cell>
          <cell r="I90" t="str">
            <v>поздно</v>
          </cell>
          <cell r="J90" t="str">
            <v>ОК</v>
          </cell>
        </row>
        <row r="91">
          <cell r="B91" t="str">
            <v>В-23370/КЛ.Транш - 2</v>
          </cell>
          <cell r="C91" t="str">
            <v>РОССИЯ, 644041, Омская обл, г Омск, ул 4-я Транспортная, д. 44, кв. 177</v>
          </cell>
          <cell r="D91" t="str">
            <v>РОССИЯ, 644042, Омская обл, г Омск, ул Иртышская Набережная, д. 27, кв. 33</v>
          </cell>
          <cell r="F91" t="str">
            <v>Омская</v>
          </cell>
          <cell r="G91">
            <v>0.66009259259259256</v>
          </cell>
          <cell r="H91">
            <v>3.5092592592592675E-2</v>
          </cell>
          <cell r="I91" t="str">
            <v>поздно</v>
          </cell>
          <cell r="J91" t="str">
            <v>ОК</v>
          </cell>
        </row>
        <row r="92">
          <cell r="B92" t="str">
            <v>В-27251/КЛ.Транш - 1</v>
          </cell>
          <cell r="C92" t="str">
            <v>РОССИЯ, 410030, Саратовская обл, г Саратов, ул им Лисина С.П., д. 12/10, кв. 61</v>
          </cell>
          <cell r="D92" t="str">
            <v>РОССИЯ, 410030, Саратовская обл, г Саратов, ул им Лисина С.П., д. 12/10, кв. 61</v>
          </cell>
          <cell r="F92" t="str">
            <v>Саратовская</v>
          </cell>
          <cell r="G92">
            <v>0.66009259259259256</v>
          </cell>
          <cell r="H92">
            <v>0.91009259259259256</v>
          </cell>
          <cell r="I92" t="str">
            <v>ОК</v>
          </cell>
          <cell r="J92" t="str">
            <v>ОК</v>
          </cell>
        </row>
        <row r="93">
          <cell r="B93" t="str">
            <v>В-27261/КЛ.Транш - 1</v>
          </cell>
          <cell r="C93" t="str">
            <v>РОССИЯ, 111674, Москва г, ул Лавриненко, д. 13, к. 2, кв. 22</v>
          </cell>
          <cell r="D93" t="str">
            <v>РОССИЯ, 111674, Москва г, ул Лавриненко, д. 13, к. 2, кв. 22</v>
          </cell>
          <cell r="F93" t="str">
            <v>Москва</v>
          </cell>
          <cell r="G93">
            <v>0.66009259259259256</v>
          </cell>
          <cell r="H93">
            <v>0.91009259259259256</v>
          </cell>
          <cell r="I93" t="str">
            <v>ОК</v>
          </cell>
          <cell r="J93" t="str">
            <v>ОК</v>
          </cell>
        </row>
        <row r="94">
          <cell r="B94" t="str">
            <v>В-27261/КЛ.Транш - 2</v>
          </cell>
          <cell r="C94" t="str">
            <v>РОССИЯ, 111674, Москва г, ул Лавриненко, д. 13, к. 2, кв. 22</v>
          </cell>
          <cell r="D94" t="str">
            <v>РОССИЯ, 111674, Москва г, ул Лавриненко, д. 13, к. 2, кв. 22</v>
          </cell>
          <cell r="F94" t="str">
            <v>Москва</v>
          </cell>
          <cell r="G94">
            <v>0.66009259259259256</v>
          </cell>
          <cell r="H94">
            <v>0.91009259259259256</v>
          </cell>
          <cell r="I94" t="str">
            <v>ОК</v>
          </cell>
          <cell r="J94" t="str">
            <v>ОК</v>
          </cell>
        </row>
        <row r="95">
          <cell r="B95" t="str">
            <v>В-27261/КЛ.Транш - 3</v>
          </cell>
          <cell r="C95" t="str">
            <v>РОССИЯ, 111674, Москва г, ул Лавриненко, д. 13, к. 2, кв. 22</v>
          </cell>
          <cell r="D95" t="str">
            <v>РОССИЯ, 111674, Москва г, ул Лавриненко, д. 13, к. 2, кв. 22</v>
          </cell>
          <cell r="F95" t="str">
            <v>Москва</v>
          </cell>
          <cell r="G95">
            <v>0.66009259259259256</v>
          </cell>
          <cell r="H95">
            <v>0.91009259259259256</v>
          </cell>
          <cell r="I95" t="str">
            <v>ОК</v>
          </cell>
          <cell r="J95" t="str">
            <v>ОК</v>
          </cell>
        </row>
        <row r="96">
          <cell r="B96" t="str">
            <v>В-12675/КЛ.Транш - 1_В-20211230/Ц</v>
          </cell>
          <cell r="C96" t="str">
            <v>РОССИЯ, 124536, Москва г, Зеленоград г, , р-н Савелки, корпус 521, квартира 31</v>
          </cell>
          <cell r="D96" t="str">
            <v>РОССИЯ, 124536, Москва г, Зеленоград г, , р-н Савелки, корпус 521, квартира 31</v>
          </cell>
          <cell r="F96" t="str">
            <v>Москва</v>
          </cell>
          <cell r="G96">
            <v>0.66009259259259256</v>
          </cell>
          <cell r="H96">
            <v>0.91009259259259256</v>
          </cell>
          <cell r="I96" t="str">
            <v>ОК</v>
          </cell>
          <cell r="J96" t="str">
            <v>ОК</v>
          </cell>
        </row>
        <row r="97">
          <cell r="B97" t="str">
            <v>В-12675/КЛ.Транш - 2_В-20211230/Ц</v>
          </cell>
          <cell r="C97" t="str">
            <v>РОССИЯ, 124536, Москва г, Зеленоград г, , р-н Савелки, корпус 521, квартира 31</v>
          </cell>
          <cell r="D97" t="str">
            <v>РОССИЯ, 124536, Москва г, Зеленоград г, , р-н Савелки, корпус 521, квартира 31</v>
          </cell>
          <cell r="F97" t="str">
            <v>Москва</v>
          </cell>
          <cell r="G97">
            <v>0.66009259259259256</v>
          </cell>
          <cell r="H97">
            <v>0.91009259259259256</v>
          </cell>
          <cell r="I97" t="str">
            <v>ОК</v>
          </cell>
          <cell r="J97" t="str">
            <v>ОК</v>
          </cell>
        </row>
        <row r="98">
          <cell r="B98" t="str">
            <v>В-12675/КЛ.Транш - 3_В-20211230/Ц</v>
          </cell>
          <cell r="C98" t="str">
            <v>РОССИЯ, 124536, Москва г, Зеленоград г, , р-н Савелки, корпус 521, квартира 31</v>
          </cell>
          <cell r="D98" t="str">
            <v>РОССИЯ, 124536, Москва г, Зеленоград г, , р-н Савелки, корпус 521, квартира 31</v>
          </cell>
          <cell r="F98" t="str">
            <v>Москва</v>
          </cell>
          <cell r="G98">
            <v>0.66009259259259256</v>
          </cell>
          <cell r="H98">
            <v>0.91009259259259256</v>
          </cell>
          <cell r="I98" t="str">
            <v>ОК</v>
          </cell>
          <cell r="J98" t="str">
            <v>ОК</v>
          </cell>
        </row>
        <row r="99">
          <cell r="B99" t="str">
            <v>В-12670/КЛ.Транш - 2</v>
          </cell>
          <cell r="C99" t="str">
            <v>РОССИЯ, 423457, Татарстан респ, Альметьевский р-н, Альметьевск г, Нефтяников ул, дом 23, квартира 18</v>
          </cell>
          <cell r="D99" t="str">
            <v>РОССИЯ, 105043, Москва г, Нижняя Первомайская ул, дом 18А, квартира 3</v>
          </cell>
          <cell r="F99" t="str">
            <v>Москва</v>
          </cell>
          <cell r="G99">
            <v>0.66009259259259256</v>
          </cell>
          <cell r="H99">
            <v>0.91009259259259256</v>
          </cell>
          <cell r="I99" t="str">
            <v>ОК</v>
          </cell>
          <cell r="J99" t="str">
            <v>ОК</v>
          </cell>
        </row>
        <row r="100">
          <cell r="B100" t="str">
            <v>В-17825/КЛ.Транш - 1</v>
          </cell>
          <cell r="C100" t="str">
            <v>РОССИЯ, 457658, Челябинская обл, р-н Нагайбакский, п Куропаткинский, ул Труда, д. 11</v>
          </cell>
          <cell r="D100" t="str">
            <v>РОССИЯ, 455026, Челябинская обл, г Магнитогорск, ул Советская, д. 123А, кв. 149</v>
          </cell>
          <cell r="F100" t="str">
            <v>Челябинская</v>
          </cell>
          <cell r="G100">
            <v>0.66009259259259256</v>
          </cell>
          <cell r="H100">
            <v>0.99342592592592593</v>
          </cell>
          <cell r="I100" t="str">
            <v>поздно</v>
          </cell>
          <cell r="J100" t="str">
            <v>ОК</v>
          </cell>
        </row>
        <row r="101">
          <cell r="B101" t="str">
            <v>В-00428/АЗ</v>
          </cell>
          <cell r="C101" t="str">
            <v>РОССИЯ, Дагестан респ, Цумадинский р-н, Агвали с</v>
          </cell>
          <cell r="D101" t="str">
            <v>РОССИЯ, 127566, Москва г, Декабристов ул, дом 1, квартира 85</v>
          </cell>
          <cell r="F101" t="str">
            <v>Москва</v>
          </cell>
          <cell r="G101">
            <v>0.66009259259259256</v>
          </cell>
          <cell r="H101">
            <v>0.91009259259259256</v>
          </cell>
          <cell r="I101" t="str">
            <v>ОК</v>
          </cell>
          <cell r="J101" t="str">
            <v>ОК</v>
          </cell>
        </row>
        <row r="102">
          <cell r="B102" t="str">
            <v>В-00900/КЛ.Транш - 1</v>
          </cell>
          <cell r="C102" t="str">
            <v>РОССИЯ, 141074, Московская обл, г Королев, ул Пионерская, д. 20, кв. 63</v>
          </cell>
          <cell r="D102" t="str">
            <v>РОССИЯ, 141074, Московская обл, Королев г, Пионерская ул, дом 20, квартира 63</v>
          </cell>
          <cell r="F102" t="str">
            <v>Московская</v>
          </cell>
          <cell r="G102">
            <v>0.66009259259259256</v>
          </cell>
          <cell r="H102">
            <v>0.91009259259259256</v>
          </cell>
          <cell r="I102" t="str">
            <v>ОК</v>
          </cell>
          <cell r="J102" t="str">
            <v>ОК</v>
          </cell>
        </row>
        <row r="103">
          <cell r="B103" t="str">
            <v>В-00900/КЛ.Транш - 2</v>
          </cell>
          <cell r="C103" t="str">
            <v>РОССИЯ, 141074, Московская обл, г Королев, ул Пионерская, д. 20, кв. 63</v>
          </cell>
          <cell r="D103" t="str">
            <v>РОССИЯ, 141074, Московская обл, Королев г, Пионерская ул, дом 20, квартира 63</v>
          </cell>
          <cell r="F103" t="str">
            <v>Московская</v>
          </cell>
          <cell r="G103">
            <v>0.66009259259259256</v>
          </cell>
          <cell r="H103">
            <v>0.91009259259259256</v>
          </cell>
          <cell r="I103" t="str">
            <v>ОК</v>
          </cell>
          <cell r="J103" t="str">
            <v>ОК</v>
          </cell>
        </row>
        <row r="104">
          <cell r="B104" t="str">
            <v>В-27864/КЛ.Транш - 1</v>
          </cell>
          <cell r="C104" t="str">
            <v>РОССИЯ, 194100, Санкт-Петербург г, вн.тер.г. муниципальный округ Сампсониевское, пр-кт Лесной, д. 73, литера Б, кв. 29</v>
          </cell>
          <cell r="D104" t="str">
            <v>РОССИЯ, 194100, Санкт-Петербург г, вн.тер.г. муниципальный округ Сампсониевское, пр-кт Лесной, д. 73, литера Б, кв. 29</v>
          </cell>
          <cell r="F104" t="str">
            <v>Москва</v>
          </cell>
          <cell r="G104">
            <v>0.66009259259259256</v>
          </cell>
          <cell r="H104">
            <v>0.91009259259259256</v>
          </cell>
          <cell r="I104" t="str">
            <v>ОК</v>
          </cell>
          <cell r="J104" t="str">
            <v>ОК</v>
          </cell>
        </row>
        <row r="105">
          <cell r="B105" t="str">
            <v>В-07430/КЛ.Транш - 1</v>
          </cell>
          <cell r="C105" t="str">
            <v>РОССИЯ, 107258, Москва г, Маршала Рокоссовского б-р, дом 25, квартира 78</v>
          </cell>
          <cell r="D105" t="str">
            <v>РОССИЯ, 107258, Москва г, Маршала Рокоссовского б-р, дом 25, квартира 78</v>
          </cell>
          <cell r="F105" t="str">
            <v>Москва</v>
          </cell>
          <cell r="G105">
            <v>0.66009259259259256</v>
          </cell>
          <cell r="H105">
            <v>0.91009259259259256</v>
          </cell>
          <cell r="I105" t="str">
            <v>ОК</v>
          </cell>
          <cell r="J105" t="str">
            <v>ОК</v>
          </cell>
        </row>
        <row r="106">
          <cell r="B106" t="str">
            <v>В-07963/КЛ.Транш - 1</v>
          </cell>
          <cell r="C106" t="str">
            <v>РОССИЯ, 215750, Смоленская обл, Дорогобужский р-н, Верхнеднепровский пгт, Молодежная ул, дом 22, квартира 6</v>
          </cell>
          <cell r="D106" t="str">
            <v>РОССИЯ, 214025, Смоленская обл, Смоленск г, Краснофлотский 2-й пер, дом 42, квартира 146</v>
          </cell>
          <cell r="F106" t="str">
            <v>Смоленская</v>
          </cell>
          <cell r="G106">
            <v>0.66009259259259256</v>
          </cell>
          <cell r="H106">
            <v>0.91009259259259256</v>
          </cell>
          <cell r="I106" t="str">
            <v>ОК</v>
          </cell>
          <cell r="J106" t="str">
            <v>ОК</v>
          </cell>
        </row>
        <row r="107">
          <cell r="B107" t="str">
            <v>В-13336/КЛ.Транш - 1</v>
          </cell>
          <cell r="C107" t="str">
            <v>РОССИЯ, Калужская обл, Боровский р-н, Кривское д, тер. СНТ Городня-2, дом 81</v>
          </cell>
          <cell r="D107" t="str">
            <v>РОССИЯ, 124575, Москва г, Зеленоград г, корпус 504, квартира 46</v>
          </cell>
          <cell r="F107" t="str">
            <v>Москва</v>
          </cell>
          <cell r="G107">
            <v>0.66009259259259256</v>
          </cell>
          <cell r="H107">
            <v>0.91009259259259256</v>
          </cell>
          <cell r="I107" t="str">
            <v>ОК</v>
          </cell>
          <cell r="J107" t="str">
            <v>ОК</v>
          </cell>
        </row>
        <row r="108">
          <cell r="B108" t="str">
            <v>В-13336/КЛ.Транш - 2</v>
          </cell>
          <cell r="C108" t="str">
            <v>РОССИЯ, Калужская обл, Боровский р-н, Кривское д, тер. СНТ Городня-2, дом 81</v>
          </cell>
          <cell r="D108" t="str">
            <v>РОССИЯ, 124575, Москва г, Зеленоград г, корпус 504, квартира 46</v>
          </cell>
          <cell r="F108" t="str">
            <v>Москва</v>
          </cell>
          <cell r="G108">
            <v>0.66009259259259256</v>
          </cell>
          <cell r="H108">
            <v>0.91009259259259256</v>
          </cell>
          <cell r="I108" t="str">
            <v>ОК</v>
          </cell>
          <cell r="J108" t="str">
            <v>ОК</v>
          </cell>
        </row>
        <row r="109">
          <cell r="B109" t="str">
            <v>В-00393/АЗ</v>
          </cell>
          <cell r="C109" t="str">
            <v>РОССИЯ, 142046, Московская обл, Домодедово г, Гагарина, дом 48, квартира 54</v>
          </cell>
          <cell r="D109" t="str">
            <v>РОССИЯ, 142046, Московская обл, Домодедово г, Гагарина, дом 48, квартира 54</v>
          </cell>
          <cell r="F109" t="str">
            <v>Московская</v>
          </cell>
          <cell r="G109">
            <v>0.66009259259259256</v>
          </cell>
          <cell r="H109">
            <v>0.91009259259259256</v>
          </cell>
          <cell r="I109" t="str">
            <v>ОК</v>
          </cell>
          <cell r="J109" t="str">
            <v>ОК</v>
          </cell>
        </row>
        <row r="110">
          <cell r="B110" t="str">
            <v>А-00328/КЭ.Транш - 1</v>
          </cell>
          <cell r="C110" t="str">
            <v>109341, Москва г., Верхние Поля ул., дом 8, помещение VIII</v>
          </cell>
          <cell r="F110" t="str">
            <v>Москва</v>
          </cell>
          <cell r="G110">
            <v>0.66009259259259256</v>
          </cell>
          <cell r="H110">
            <v>0.91009259259259256</v>
          </cell>
          <cell r="I110" t="str">
            <v>ОК</v>
          </cell>
          <cell r="J110" t="str">
            <v>ОК</v>
          </cell>
        </row>
        <row r="111">
          <cell r="B111" t="str">
            <v>В-18890/КЛ.Транш - 1</v>
          </cell>
          <cell r="C111" t="str">
            <v>РОССИЯ, 141733, Московская обл, г Лобня, ул Чайковского, д. 25, кв. 220</v>
          </cell>
          <cell r="D111" t="str">
            <v>РОССИЯ, 141733, Московская обл, г Лобня, ул Чайковского, д. 25, кв. 220</v>
          </cell>
          <cell r="F111" t="str">
            <v>Московская</v>
          </cell>
          <cell r="G111">
            <v>0.66009259259259256</v>
          </cell>
          <cell r="H111">
            <v>0.91009259259259256</v>
          </cell>
          <cell r="I111" t="str">
            <v>ОК</v>
          </cell>
          <cell r="J111" t="str">
            <v>ОК</v>
          </cell>
        </row>
        <row r="112">
          <cell r="B112" t="str">
            <v>В-23634/КЛ.Транш - 3</v>
          </cell>
          <cell r="C112" t="str">
            <v>РОССИЯ, 109559, Москва г, Новороссийская ул, дом 38, квартира 4</v>
          </cell>
          <cell r="D112" t="str">
            <v>РОССИЯ, 109559, Москва г, Новороссийская ул, дом 38, квартира 4</v>
          </cell>
          <cell r="F112" t="str">
            <v>Москва</v>
          </cell>
          <cell r="G112">
            <v>0.66009259259259256</v>
          </cell>
          <cell r="H112">
            <v>0.91009259259259256</v>
          </cell>
          <cell r="I112" t="str">
            <v>ОК</v>
          </cell>
          <cell r="J112" t="str">
            <v>ОК</v>
          </cell>
        </row>
        <row r="113">
          <cell r="B113" t="str">
            <v>В-23634/КЛ.Транш - 4</v>
          </cell>
          <cell r="C113" t="str">
            <v>РОССИЯ, 109559, Москва г, Новороссийская ул, дом 38, квартира 4</v>
          </cell>
          <cell r="D113" t="str">
            <v>РОССИЯ, 109559, Москва г, Новороссийская ул, дом 38, квартира 4</v>
          </cell>
          <cell r="F113" t="str">
            <v>Москва</v>
          </cell>
          <cell r="G113">
            <v>0.66009259259259256</v>
          </cell>
          <cell r="H113">
            <v>0.91009259259259256</v>
          </cell>
          <cell r="I113" t="str">
            <v>ОК</v>
          </cell>
          <cell r="J113" t="str">
            <v>ОК</v>
          </cell>
        </row>
        <row r="114">
          <cell r="B114" t="str">
            <v>В-23634/КЛ.Транш - 6</v>
          </cell>
          <cell r="C114" t="str">
            <v>РОССИЯ, 109559, Москва г, Новороссийская ул, дом 38, квартира 4</v>
          </cell>
          <cell r="D114" t="str">
            <v>РОССИЯ, 109559, Москва г, Новороссийская ул, дом 38, квартира 4</v>
          </cell>
          <cell r="F114" t="str">
            <v>Москва</v>
          </cell>
          <cell r="G114">
            <v>0.66009259259259256</v>
          </cell>
          <cell r="H114">
            <v>0.91009259259259256</v>
          </cell>
          <cell r="I114" t="str">
            <v>ОК</v>
          </cell>
          <cell r="J114" t="str">
            <v>ОК</v>
          </cell>
        </row>
        <row r="115">
          <cell r="B115" t="str">
            <v>В-23634/КЛ.Транш - 7</v>
          </cell>
          <cell r="C115" t="str">
            <v>РОССИЯ, 109559, Москва г, Новороссийская ул, дом 38, квартира 4</v>
          </cell>
          <cell r="D115" t="str">
            <v>РОССИЯ, 109559, Москва г, Новороссийская ул, дом 38, квартира 4</v>
          </cell>
          <cell r="F115" t="str">
            <v>Москва</v>
          </cell>
          <cell r="G115">
            <v>0.66009259259259256</v>
          </cell>
          <cell r="H115">
            <v>0.91009259259259256</v>
          </cell>
          <cell r="I115" t="str">
            <v>ОК</v>
          </cell>
          <cell r="J115" t="str">
            <v>ОК</v>
          </cell>
        </row>
        <row r="116">
          <cell r="B116" t="str">
            <v>В-23634/КЛ.Транш - 8</v>
          </cell>
          <cell r="C116" t="str">
            <v>РОССИЯ, 109559, Москва г, Новороссийская ул, дом 38, квартира 4</v>
          </cell>
          <cell r="D116" t="str">
            <v>РОССИЯ, 109559, Москва г, Новороссийская ул, дом 38, квартира 4</v>
          </cell>
          <cell r="F116" t="str">
            <v>Москва</v>
          </cell>
          <cell r="G116">
            <v>0.66009259259259256</v>
          </cell>
          <cell r="H116">
            <v>0.91009259259259256</v>
          </cell>
          <cell r="I116" t="str">
            <v>ОК</v>
          </cell>
          <cell r="J116" t="str">
            <v>ОК</v>
          </cell>
        </row>
        <row r="117">
          <cell r="B117" t="str">
            <v>В-27332/КЛ.Транш - 1</v>
          </cell>
          <cell r="C117" t="str">
            <v>РОССИЯ, 141407, Московская обл, г Химки, пр-кт Юбилейный, д. 1, к. 2, кв. 44</v>
          </cell>
          <cell r="D117" t="str">
            <v>РОССИЯ, 141407, Московская обл, г Химки, пр-кт Юбилейный, д. 1, к. 2, кв. 44</v>
          </cell>
          <cell r="F117" t="str">
            <v>Московская</v>
          </cell>
          <cell r="G117">
            <v>0.66009259259259256</v>
          </cell>
          <cell r="H117">
            <v>0.91009259259259256</v>
          </cell>
          <cell r="I117" t="str">
            <v>ОК</v>
          </cell>
          <cell r="J117" t="str">
            <v>ОК</v>
          </cell>
        </row>
        <row r="118">
          <cell r="B118" t="str">
            <v>В-24374/КЛ.Транш - 1</v>
          </cell>
          <cell r="C118" t="str">
            <v>РОССИЯ, 302038, Орловская обл, г Орёл, ул Раздольная, д. 68, кв. 72</v>
          </cell>
          <cell r="D118" t="str">
            <v>РОССИЯ, 302038, Орловская обл, г Орёл, ул Раздольная, д. 68, кв. 72</v>
          </cell>
          <cell r="F118" t="str">
            <v>Орловская</v>
          </cell>
          <cell r="G118">
            <v>0.66009259259259256</v>
          </cell>
          <cell r="H118">
            <v>0.91009259259259256</v>
          </cell>
          <cell r="I118" t="str">
            <v>ОК</v>
          </cell>
          <cell r="J118" t="str">
            <v>ОК</v>
          </cell>
        </row>
        <row r="119">
          <cell r="B119" t="str">
            <v>В-14860/КЛ.Транш - 1</v>
          </cell>
          <cell r="C119" t="str">
            <v>РОССИЯ, 140121, Московская обл, Раменское г, Ильинский рп, Инициативная ул, дом 23</v>
          </cell>
          <cell r="D119" t="str">
            <v>РОССИЯ, 140121, Московская обл, Раменское г, Ильинский рп, Инициативная ул, дом 23</v>
          </cell>
          <cell r="F119" t="str">
            <v>Московская</v>
          </cell>
          <cell r="G119">
            <v>0.66009259259259256</v>
          </cell>
          <cell r="H119">
            <v>0.91009259259259256</v>
          </cell>
          <cell r="I119" t="str">
            <v>ОК</v>
          </cell>
          <cell r="J119" t="str">
            <v>ОК</v>
          </cell>
        </row>
        <row r="120">
          <cell r="B120" t="str">
            <v>В-27564/АЗ</v>
          </cell>
          <cell r="C120" t="str">
            <v>РОССИЯ, 125080, Москва г, п Воскресенское, 27 кв-л, д. 27, стр. 1</v>
          </cell>
          <cell r="D120" t="str">
            <v>РОССИЯ, 125080, Москва г, п Воскресенское, 27 кв-л, д. 27, стр. 1</v>
          </cell>
          <cell r="F120" t="str">
            <v>Москва</v>
          </cell>
          <cell r="G120">
            <v>0.66009259259259256</v>
          </cell>
          <cell r="H120">
            <v>0.91009259259259256</v>
          </cell>
          <cell r="I120" t="str">
            <v>ОК</v>
          </cell>
          <cell r="J120" t="str">
            <v>ОК</v>
          </cell>
        </row>
        <row r="121">
          <cell r="B121" t="str">
            <v>В-27557/КЛ.Транш - 1</v>
          </cell>
          <cell r="C121" t="str">
            <v>РОССИЯ, 125080, Москва г, п Воскресенское, 27 кв-л, д. 27, стр. 1</v>
          </cell>
          <cell r="D121" t="str">
            <v>РОССИЯ, 125080, Москва г, п Воскресенское, 27 кв-л, д. 27, стр. 1</v>
          </cell>
          <cell r="F121" t="str">
            <v>Москва</v>
          </cell>
          <cell r="G121">
            <v>0.66009259259259256</v>
          </cell>
          <cell r="H121">
            <v>0.91009259259259256</v>
          </cell>
          <cell r="I121" t="str">
            <v>ОК</v>
          </cell>
          <cell r="J121" t="str">
            <v>ОК</v>
          </cell>
        </row>
        <row r="122">
          <cell r="B122" t="str">
            <v>В-22241/КЛ.Транш - 1</v>
          </cell>
          <cell r="C122" t="str">
            <v>РОССИЯ, 670009, Бурятия респ, г Улан-Удэ, ул Комарова, д. 15, кв. 58</v>
          </cell>
          <cell r="D122" t="str">
            <v>РОССИЯ, 670009, Бурятия респ, г Улан-Удэ, ул Комарова, д. 15, кв. 58</v>
          </cell>
          <cell r="F122" t="str">
            <v>Бурятия</v>
          </cell>
          <cell r="G122">
            <v>0.66009259259259256</v>
          </cell>
          <cell r="H122">
            <v>0.11842592592592593</v>
          </cell>
          <cell r="I122" t="str">
            <v>поздно</v>
          </cell>
          <cell r="J122" t="str">
            <v>ОК</v>
          </cell>
        </row>
        <row r="123">
          <cell r="B123" t="str">
            <v>В-00038/АЗ</v>
          </cell>
          <cell r="C123" t="str">
            <v>РОССИЯ, 403536, Волгоградская обл, Фролово г, Западный пер, дом № 78</v>
          </cell>
          <cell r="D123" t="str">
            <v>РОССИЯ, 141205, Московская обл, Пушкинский р-н, Пушкино г, 2-й Фабричный проезд, дом № 16, квартира 255</v>
          </cell>
          <cell r="F123" t="str">
            <v>Московская</v>
          </cell>
          <cell r="G123">
            <v>0.66009259259259256</v>
          </cell>
          <cell r="H123">
            <v>0.91009259259259256</v>
          </cell>
          <cell r="I123" t="str">
            <v>ОК</v>
          </cell>
          <cell r="J123" t="str">
            <v>ОК</v>
          </cell>
        </row>
        <row r="124">
          <cell r="B124" t="str">
            <v>В-11782/КЛ.Транш - 1</v>
          </cell>
          <cell r="C124" t="str">
            <v>РОССИЯ, 357301, Ставропольский край, Кировский р-н, Новопавловск г, Зеленая ул, дом 17А</v>
          </cell>
          <cell r="D124" t="str">
            <v>РОССИЯ, 350024, Краснодарский край, Краснодар г, Московская ул, дом 129, квартира 47</v>
          </cell>
          <cell r="F124" t="str">
            <v>Краснодарский</v>
          </cell>
          <cell r="G124">
            <v>0.66009259259259256</v>
          </cell>
          <cell r="H124">
            <v>0.91009259259259256</v>
          </cell>
          <cell r="I124" t="str">
            <v>ОК</v>
          </cell>
          <cell r="J124" t="str">
            <v>ОК</v>
          </cell>
        </row>
        <row r="125">
          <cell r="B125" t="str">
            <v>В-02100/КЛ.Транш - 4</v>
          </cell>
          <cell r="C125" t="str">
            <v>РОССИЯ, 141077, Московская обл, Королев г, Королева пр-кт, дом 9Б, квартира 16</v>
          </cell>
          <cell r="D125" t="str">
            <v>РОССИЯ, 141077, Московская обл, Королев г, Королева пр-кт, дом 9Б, квартира 16</v>
          </cell>
          <cell r="F125" t="str">
            <v>Московская</v>
          </cell>
          <cell r="G125">
            <v>0.66009259259259256</v>
          </cell>
          <cell r="H125">
            <v>0.91009259259259256</v>
          </cell>
          <cell r="I125" t="str">
            <v>ОК</v>
          </cell>
          <cell r="J125" t="str">
            <v>ОК</v>
          </cell>
        </row>
        <row r="126">
          <cell r="B126" t="str">
            <v>В-02100/КЛ.Транш - 5</v>
          </cell>
          <cell r="C126" t="str">
            <v>РОССИЯ, 141077, Московская обл, Королев г, Королева пр-кт, дом 9Б, квартира 16</v>
          </cell>
          <cell r="D126" t="str">
            <v>РОССИЯ, 141077, Московская обл, Королев г, Королева пр-кт, дом 9Б, квартира 16</v>
          </cell>
          <cell r="F126" t="str">
            <v>Московская</v>
          </cell>
          <cell r="G126">
            <v>0.66009259259259256</v>
          </cell>
          <cell r="H126">
            <v>0.91009259259259256</v>
          </cell>
          <cell r="I126" t="str">
            <v>ОК</v>
          </cell>
          <cell r="J126" t="str">
            <v>ОК</v>
          </cell>
        </row>
        <row r="127">
          <cell r="B127" t="str">
            <v>В-01086/КЛ.Транш - 1</v>
          </cell>
          <cell r="C127" t="str">
            <v>РОССИЯ, 143009, Московская обл, р-н Одинцовский, г Одинцово, ул Маршала Жукова, д. 11А, кв. 183</v>
          </cell>
          <cell r="D127" t="str">
            <v>РОССИЯ, 143009, Московская обл, Одинцовский р-н, Одинцово г, Маршала Жукова ул, дом № 11А, квартира 183</v>
          </cell>
          <cell r="F127" t="str">
            <v>Московская</v>
          </cell>
          <cell r="G127">
            <v>0.66009259259259256</v>
          </cell>
          <cell r="H127">
            <v>0.91009259259259256</v>
          </cell>
          <cell r="I127" t="str">
            <v>ОК</v>
          </cell>
          <cell r="J127" t="str">
            <v>ОК</v>
          </cell>
        </row>
        <row r="128">
          <cell r="B128" t="str">
            <v>В-22601/КЛ.Транш - 1</v>
          </cell>
          <cell r="C128" t="str">
            <v>РОССИЯ, 347850, Ростовская обл, р-н Каменский, рп Глубокий, ул Вокзальная, двлд. 170</v>
          </cell>
          <cell r="D128" t="str">
            <v>РОССИЯ, 119334, Москва г, Косыгина ул, дом № 13, квартира 193</v>
          </cell>
          <cell r="F128" t="str">
            <v>Москва</v>
          </cell>
          <cell r="G128">
            <v>0.66009259259259256</v>
          </cell>
          <cell r="H128">
            <v>0.91009259259259256</v>
          </cell>
          <cell r="I128" t="str">
            <v>ОК</v>
          </cell>
          <cell r="J128" t="str">
            <v>ОК</v>
          </cell>
        </row>
        <row r="129">
          <cell r="B129" t="str">
            <v>В-13048/КЛ.Транш - 1</v>
          </cell>
          <cell r="C129" t="str">
            <v>РОССИЯ, 140142, Московская обл, Раменское г, Вялки д, Сиреневая ул, дом 1</v>
          </cell>
          <cell r="D129" t="str">
            <v>РОССИЯ, 140142, Московская обл, Раменское г, Вялки д, Сиреневая ул, дом 1</v>
          </cell>
          <cell r="F129" t="str">
            <v>Московская</v>
          </cell>
          <cell r="G129">
            <v>0.66009259259259256</v>
          </cell>
          <cell r="H129">
            <v>0.91009259259259256</v>
          </cell>
          <cell r="I129" t="str">
            <v>ОК</v>
          </cell>
          <cell r="J129" t="str">
            <v>ОК</v>
          </cell>
        </row>
        <row r="130">
          <cell r="B130" t="str">
            <v>В-17318/КЛ.Транш - 1</v>
          </cell>
          <cell r="C130" t="str">
            <v>РОССИЯ, 620089, Свердловская обл, г Екатеринбург, ул Белинского, д. 177, кв. 115</v>
          </cell>
          <cell r="D130" t="str">
            <v>РОССИЯ, 620135, Свердловская обл, г Екатеринбург, ул Парниковая, д. 12, кв. 5</v>
          </cell>
          <cell r="F130" t="str">
            <v>Свердловская</v>
          </cell>
          <cell r="G130">
            <v>0.66009259259259256</v>
          </cell>
          <cell r="H130">
            <v>0.99342592592592593</v>
          </cell>
          <cell r="I130" t="str">
            <v>поздно</v>
          </cell>
          <cell r="J130" t="str">
            <v>ОК</v>
          </cell>
        </row>
        <row r="131">
          <cell r="B131" t="str">
            <v>В-28497/КЛ.Транш - 1</v>
          </cell>
          <cell r="C131" t="str">
            <v>РОССИЯ, 353831, Краснодарский край, р-н Красноармейский, ст-ца Новомышастовская, ул Северная, д. 2</v>
          </cell>
          <cell r="D131" t="str">
            <v>РОССИЯ, 353831, Краснодарский край, р-н Красноармейский, ст-ца Новомышастовская, ул Северная, д. 2</v>
          </cell>
          <cell r="F131" t="str">
            <v>Краснодарский</v>
          </cell>
          <cell r="G131">
            <v>0.66009259259259256</v>
          </cell>
          <cell r="H131">
            <v>0.91009259259259256</v>
          </cell>
          <cell r="I131" t="str">
            <v>ОК</v>
          </cell>
          <cell r="J131" t="str">
            <v>ОК</v>
          </cell>
        </row>
        <row r="132">
          <cell r="B132" t="str">
            <v>В-28655/КЛ.Транш - 1</v>
          </cell>
          <cell r="C132" t="str">
            <v>РОССИЯ, 141406, Московская обл, г Химки, ул Пожарского, д. 2, кв. 62</v>
          </cell>
          <cell r="D132" t="str">
            <v>РОССИЯ, 117525, Москва г, ул Днепропетровская, д. 3, к. 1, кв. 84</v>
          </cell>
          <cell r="F132" t="str">
            <v>Москва</v>
          </cell>
          <cell r="G132">
            <v>0.66009259259259256</v>
          </cell>
          <cell r="H132">
            <v>0.91009259259259256</v>
          </cell>
          <cell r="I132" t="str">
            <v>ОК</v>
          </cell>
          <cell r="J132" t="str">
            <v>ОК</v>
          </cell>
        </row>
        <row r="133">
          <cell r="B133" t="str">
            <v>В-01692/КЛ.Транш - 1_В-20211230/Ц</v>
          </cell>
          <cell r="C133" t="str">
            <v>РОССИЯ, 121096, Москва г, Кастанаевская ул, дом 11, квартира 136</v>
          </cell>
          <cell r="D133" t="str">
            <v>РОССИЯ, 121096, Москва г, Кастанаевская ул, дом 11, квартира 136</v>
          </cell>
          <cell r="F133" t="str">
            <v>Москва</v>
          </cell>
          <cell r="G133">
            <v>0.66009259259259256</v>
          </cell>
          <cell r="H133">
            <v>0.91009259259259256</v>
          </cell>
          <cell r="I133" t="str">
            <v>ОК</v>
          </cell>
          <cell r="J133" t="str">
            <v>ОК</v>
          </cell>
        </row>
        <row r="134">
          <cell r="B134" t="str">
            <v>В-01692/КЛ.Транш - 2_В-20211230/Ц</v>
          </cell>
          <cell r="C134" t="str">
            <v>РОССИЯ, 121096, Москва г, Кастанаевская ул, дом 11, квартира 136</v>
          </cell>
          <cell r="D134" t="str">
            <v>РОССИЯ, 121096, Москва г, Кастанаевская ул, дом 11, квартира 136</v>
          </cell>
          <cell r="F134" t="str">
            <v>Москва</v>
          </cell>
          <cell r="G134">
            <v>0.66009259259259256</v>
          </cell>
          <cell r="H134">
            <v>0.91009259259259256</v>
          </cell>
          <cell r="I134" t="str">
            <v>ОК</v>
          </cell>
          <cell r="J134" t="str">
            <v>ОК</v>
          </cell>
        </row>
        <row r="135">
          <cell r="B135" t="str">
            <v>В-12246/КЛ.Транш - 1_В-20211230/Ц</v>
          </cell>
          <cell r="C135" t="str">
            <v>РОССИЯ, 190121, Санкт-Петербург г, ул Якубовича, д. 14, литера А, кв. 1</v>
          </cell>
          <cell r="D135" t="str">
            <v>РОССИЯ, 190121, Санкт-Петербург г, Якубовича ул, дом 14, квартира 1</v>
          </cell>
          <cell r="F135" t="str">
            <v>Москва</v>
          </cell>
          <cell r="G135">
            <v>0.66009259259259256</v>
          </cell>
          <cell r="H135">
            <v>0.91009259259259256</v>
          </cell>
          <cell r="I135" t="str">
            <v>ОК</v>
          </cell>
          <cell r="J135" t="str">
            <v>ОК</v>
          </cell>
        </row>
        <row r="136">
          <cell r="B136" t="str">
            <v>В-14569/КЛ.Транш - 1_А-20210929/Ц</v>
          </cell>
          <cell r="C136" t="str">
            <v>РОССИЯ, 193232, Санкт-Петербург г, Тельмана ул, дом 48, корпус 3, литер С, квартира 14</v>
          </cell>
          <cell r="D136" t="str">
            <v>РОССИЯ, 193232, Санкт-Петербург г, Тельмана ул, дом 48, корпус 3, литер С, квартира 14</v>
          </cell>
          <cell r="F136" t="str">
            <v>Москва</v>
          </cell>
          <cell r="G136">
            <v>0.66009259259259256</v>
          </cell>
          <cell r="H136">
            <v>0.91009259259259256</v>
          </cell>
          <cell r="I136" t="str">
            <v>ОК</v>
          </cell>
          <cell r="J136" t="str">
            <v>ОК</v>
          </cell>
        </row>
        <row r="137">
          <cell r="B137" t="str">
            <v>А-03591/АЗ</v>
          </cell>
          <cell r="C137" t="str">
            <v>РОССИЯ, 640023, Курганская обл, Курган г, 5-й мкр., дом 16, квартира 272</v>
          </cell>
          <cell r="D137" t="str">
            <v>РОССИЯ, 191015, Санкт-Петербург г, Суворовский пр-кт, дом № 36, квартира 31</v>
          </cell>
          <cell r="F137" t="str">
            <v>Москва</v>
          </cell>
          <cell r="G137">
            <v>0.66009259259259256</v>
          </cell>
          <cell r="H137">
            <v>0.91009259259259256</v>
          </cell>
          <cell r="I137" t="str">
            <v>ОК</v>
          </cell>
          <cell r="J137" t="str">
            <v>ОК</v>
          </cell>
        </row>
        <row r="138">
          <cell r="B138" t="str">
            <v>В-14907/КЛ.Транш - 1</v>
          </cell>
          <cell r="C138" t="str">
            <v>РОССИЯ, 187509, Ленинградская обл, Тихвинский р-н, Большой Двор д, дом 2, квартира 1</v>
          </cell>
          <cell r="D138" t="str">
            <v>РОССИЯ, 187330, Ленинградская обл, Кировский р-н, Отрадное г, Заводская ул, дом 5, квартира 16</v>
          </cell>
          <cell r="F138" t="str">
            <v>Ленинградская</v>
          </cell>
          <cell r="G138">
            <v>0.66009259259259256</v>
          </cell>
          <cell r="H138">
            <v>0.91009259259259256</v>
          </cell>
          <cell r="I138" t="str">
            <v>ОК</v>
          </cell>
          <cell r="J138" t="str">
            <v>ОК</v>
          </cell>
        </row>
        <row r="139">
          <cell r="B139" t="str">
            <v>В-14907/КЛ.Транш - 2</v>
          </cell>
          <cell r="C139" t="str">
            <v>РОССИЯ, 187509, Ленинградская обл, Тихвинский р-н, Большой Двор д, дом 2, квартира 1</v>
          </cell>
          <cell r="D139" t="str">
            <v>РОССИЯ, 187330, Ленинградская обл, Кировский р-н, Отрадное г, Заводская ул, дом 5, квартира 16</v>
          </cell>
          <cell r="F139" t="str">
            <v>Ленинградская</v>
          </cell>
          <cell r="G139">
            <v>0.66009259259259256</v>
          </cell>
          <cell r="H139">
            <v>0.91009259259259256</v>
          </cell>
          <cell r="I139" t="str">
            <v>ОК</v>
          </cell>
          <cell r="J139" t="str">
            <v>ОК</v>
          </cell>
        </row>
        <row r="140">
          <cell r="B140" t="str">
            <v>В-17805/КЛ.Транш - 1_В-20211230/Ц</v>
          </cell>
          <cell r="C140" t="str">
            <v>РОССИЯ, 391200, Рязанская обл, р-н Кораблинский, г Кораблино, ул Маяковского, д. 19, кв. 3</v>
          </cell>
          <cell r="D140" t="str">
            <v>РОССИЯ, 115573, Москва г, ул Мусы Джалиля, д. 14, к. 1, кв. 164</v>
          </cell>
          <cell r="F140" t="str">
            <v>Москва</v>
          </cell>
          <cell r="G140">
            <v>0.66009259259259256</v>
          </cell>
          <cell r="H140">
            <v>0.91009259259259256</v>
          </cell>
          <cell r="I140" t="str">
            <v>ОК</v>
          </cell>
          <cell r="J140" t="str">
            <v>ОК</v>
          </cell>
        </row>
        <row r="141">
          <cell r="B141" t="str">
            <v>В-17805/КЛ.Транш - 2_В-20211230/Ц</v>
          </cell>
          <cell r="C141" t="str">
            <v>РОССИЯ, 391200, Рязанская обл, р-н Кораблинский, г Кораблино, ул Маяковского, д. 19, кв. 3</v>
          </cell>
          <cell r="D141" t="str">
            <v>РОССИЯ, 115573, Москва г, ул Мусы Джалиля, д. 14, к. 1, кв. 164</v>
          </cell>
          <cell r="F141" t="str">
            <v>Москва</v>
          </cell>
          <cell r="G141">
            <v>0.66009259259259256</v>
          </cell>
          <cell r="H141">
            <v>0.91009259259259256</v>
          </cell>
          <cell r="I141" t="str">
            <v>ОК</v>
          </cell>
          <cell r="J141" t="str">
            <v>ОК</v>
          </cell>
        </row>
        <row r="142">
          <cell r="B142" t="str">
            <v>В-17805/КЛ.Транш - 3_В-20211230/Ц</v>
          </cell>
          <cell r="C142" t="str">
            <v>РОССИЯ, 391200, Рязанская обл, р-н Кораблинский, г Кораблино, ул Маяковского, д. 19, кв. 3</v>
          </cell>
          <cell r="D142" t="str">
            <v>РОССИЯ, 115573, Москва г, ул Мусы Джалиля, д. 14, к. 1, кв. 164</v>
          </cell>
          <cell r="F142" t="str">
            <v>Москва</v>
          </cell>
          <cell r="G142">
            <v>0.66009259259259256</v>
          </cell>
          <cell r="H142">
            <v>0.91009259259259256</v>
          </cell>
          <cell r="I142" t="str">
            <v>ОК</v>
          </cell>
          <cell r="J142" t="str">
            <v>ОК</v>
          </cell>
        </row>
        <row r="143">
          <cell r="B143" t="str">
            <v>В-06419/КЛ.Транш - 1</v>
          </cell>
          <cell r="C143" t="str">
            <v>РОССИЯ, 353417, Краснодарский край, Анапский р-н, Анапа г, Витязево с, Рабочая ул, дом 10</v>
          </cell>
          <cell r="D143" t="str">
            <v>РОССИЯ, 353417, Краснодарский край, Анапский р-н, Анапа г, Витязево с, Рабочая ул, дом 10</v>
          </cell>
          <cell r="F143" t="str">
            <v>Краснодарский</v>
          </cell>
          <cell r="G143">
            <v>0.66009259259259256</v>
          </cell>
          <cell r="H143">
            <v>0.91009259259259256</v>
          </cell>
          <cell r="I143" t="str">
            <v>ОК</v>
          </cell>
          <cell r="J143" t="str">
            <v>ОК</v>
          </cell>
        </row>
        <row r="144">
          <cell r="B144" t="str">
            <v>В-28694/КЛ.Транш - 1</v>
          </cell>
          <cell r="C144" t="str">
            <v>РОССИЯ, 352659, Краснодарский край, р-н Апшеронский, х Красная Горка, ул Северная, д. 22</v>
          </cell>
          <cell r="D144" t="str">
            <v>РОССИЯ, 354340, Краснодарский край, г Сочи, р-н Адлерский, ул Калинина, д. 20</v>
          </cell>
          <cell r="F144" t="str">
            <v>Краснодарский</v>
          </cell>
          <cell r="G144">
            <v>0.66009259259259256</v>
          </cell>
          <cell r="H144">
            <v>0.91009259259259256</v>
          </cell>
          <cell r="I144" t="str">
            <v>ОК</v>
          </cell>
          <cell r="J144" t="str">
            <v>ОК</v>
          </cell>
        </row>
        <row r="145">
          <cell r="B145" t="str">
            <v>В-21973/КЛ.Транш - 1</v>
          </cell>
          <cell r="C145" t="str">
            <v>РОССИЯ, 115211, Москва г, ул Борисовские Пруды, д. 5, к. 1, кв. 298</v>
          </cell>
          <cell r="D145" t="str">
            <v>РОССИЯ, 143001, Московская обл, г Одинцово, ул Сколковская, д. 5Б, кв. 202</v>
          </cell>
          <cell r="F145" t="str">
            <v>Московская</v>
          </cell>
          <cell r="G145">
            <v>0.66009259259259256</v>
          </cell>
          <cell r="H145">
            <v>0.91009259259259256</v>
          </cell>
          <cell r="I145" t="str">
            <v>ОК</v>
          </cell>
          <cell r="J145" t="str">
            <v>ОК</v>
          </cell>
        </row>
        <row r="146">
          <cell r="B146" t="str">
            <v>Т-00904/АЗ</v>
          </cell>
          <cell r="C146" t="str">
            <v>РОССИЯ, 108811, Москва г, Московский п, 1-й мкр., нет, дом 23Г, квартира 120</v>
          </cell>
          <cell r="D146" t="str">
            <v>РОССИЯ, 108811, Москва г, Московский п, 1-й мкр., нет, дом 23Г, квартира 120</v>
          </cell>
          <cell r="F146" t="str">
            <v>Москва</v>
          </cell>
          <cell r="G146">
            <v>0.66009259259259256</v>
          </cell>
          <cell r="H146">
            <v>0.91009259259259256</v>
          </cell>
          <cell r="I146" t="str">
            <v>ОК</v>
          </cell>
          <cell r="J146" t="str">
            <v>ОК</v>
          </cell>
        </row>
        <row r="147">
          <cell r="B147" t="str">
            <v>В-21781/КЛ.Транш - 1</v>
          </cell>
          <cell r="C147" t="str">
            <v>РОССИЯ, 197082, Санкт-Петербург г, вн.тер.г. муниципальный округ № 65, пр-кт Богатырский, д. 49, к. 2, литера А, кв. 128</v>
          </cell>
          <cell r="D147" t="str">
            <v>РОССИЯ, 197082, Санкт-Петербург г, вн.тер.г. муниципальный округ № 65, пр-кт Богатырский, д. 49, к. 2, литера А, кв. 128</v>
          </cell>
          <cell r="F147" t="str">
            <v>Москва</v>
          </cell>
          <cell r="G147">
            <v>0.66009259259259256</v>
          </cell>
          <cell r="H147">
            <v>0.91009259259259256</v>
          </cell>
          <cell r="I147" t="str">
            <v>ОК</v>
          </cell>
          <cell r="J147" t="str">
            <v>ОК</v>
          </cell>
        </row>
        <row r="148">
          <cell r="B148" t="str">
            <v>В-16224/КЛ.Транш - 1</v>
          </cell>
          <cell r="C148" t="str">
            <v>РОССИЯ, 416251, Астраханская обл, Черноярский р-н, Соленое Займище с, Советская ул, домовладение 12, квартира 2</v>
          </cell>
          <cell r="D148" t="str">
            <v>РОССИЯ, 416251, Астраханская обл, Черноярский р-н, Соленое Займище с, Советская ул, домовладение 12, квартира 2</v>
          </cell>
          <cell r="F148" t="str">
            <v>Астраханская</v>
          </cell>
          <cell r="G148">
            <v>0.66009259259259256</v>
          </cell>
          <cell r="H148">
            <v>0.9517592592592593</v>
          </cell>
          <cell r="I148" t="str">
            <v>поздно</v>
          </cell>
          <cell r="J148" t="str">
            <v>ОК</v>
          </cell>
        </row>
        <row r="149">
          <cell r="B149" t="str">
            <v>В-02255/КЛ.Транш - 1</v>
          </cell>
          <cell r="C149" t="str">
            <v>РОССИЯ, 142115, Московская обл, г Подольск, ул Правды, д. 30в, стр. 121</v>
          </cell>
          <cell r="D149" t="str">
            <v>РОССИЯ, 142115, Московская обл, Подольск г, Правды ул, дом 30В, строение 121</v>
          </cell>
          <cell r="F149" t="str">
            <v>Московская</v>
          </cell>
          <cell r="G149">
            <v>0.66009259259259256</v>
          </cell>
          <cell r="H149">
            <v>0.91009259259259256</v>
          </cell>
          <cell r="I149" t="str">
            <v>ОК</v>
          </cell>
          <cell r="J149" t="str">
            <v>ОК</v>
          </cell>
        </row>
        <row r="150">
          <cell r="B150" t="str">
            <v>В-25806/КЛ.Транш - 1</v>
          </cell>
          <cell r="C150" t="str">
            <v>РОССИЯ, 142438, Московская обл, г Ногинск, п Новостройка, д. 5, кв. 15</v>
          </cell>
          <cell r="D150" t="str">
            <v>РОССИЯ, 142438, Московская обл, г Ногинск, п Новостройка, д. 5, кв. 15</v>
          </cell>
          <cell r="F150" t="str">
            <v>Московская</v>
          </cell>
          <cell r="G150">
            <v>0.66009259259259256</v>
          </cell>
          <cell r="H150">
            <v>0.91009259259259256</v>
          </cell>
          <cell r="I150" t="str">
            <v>ОК</v>
          </cell>
          <cell r="J150" t="str">
            <v>ОК</v>
          </cell>
        </row>
        <row r="151">
          <cell r="B151" t="str">
            <v>В-10012/КЭ.Транш - 1_В-20211230/Ц</v>
          </cell>
          <cell r="C151" t="str">
            <v>194292, Санкт-Петербург г, ул Домостроительная, д. 1, литера А, помещ. 1-Н, ком. . 246 ОФ. 703</v>
          </cell>
          <cell r="F151" t="str">
            <v>Москва</v>
          </cell>
          <cell r="G151">
            <v>0.66009259259259256</v>
          </cell>
          <cell r="H151">
            <v>0.91009259259259256</v>
          </cell>
          <cell r="I151" t="str">
            <v>ОК</v>
          </cell>
          <cell r="J151" t="str">
            <v>ОК</v>
          </cell>
        </row>
        <row r="152">
          <cell r="B152" t="str">
            <v>А-05413/АЗ</v>
          </cell>
          <cell r="C152" t="str">
            <v>РОССИЯ, Краснодарский край, Краснодар г, им. Седина ул, дом 179</v>
          </cell>
          <cell r="D152" t="str">
            <v>РОССИЯ, Краснодарский край, Краснодар г, им. Седина ул, дом 179</v>
          </cell>
          <cell r="F152" t="str">
            <v>Краснодарский</v>
          </cell>
          <cell r="G152">
            <v>0.66009259259259256</v>
          </cell>
          <cell r="H152">
            <v>0.91009259259259256</v>
          </cell>
          <cell r="I152" t="str">
            <v>ОК</v>
          </cell>
          <cell r="J152" t="str">
            <v>ОК</v>
          </cell>
        </row>
        <row r="153">
          <cell r="B153" t="str">
            <v>В-24859/АЗ</v>
          </cell>
          <cell r="C153" t="str">
            <v>РОССИЯ, 129075, Москва г, вн.тер.г. муниципальный округ Останкинский, ул Аргуновская, д. 18, кв. 79</v>
          </cell>
          <cell r="D153" t="str">
            <v>РОССИЯ, 299059, Севастополь г, пр-кт Античный, д. 11, кв. 79</v>
          </cell>
          <cell r="F153" t="str">
            <v>Москва</v>
          </cell>
          <cell r="G153">
            <v>0.66009259259259256</v>
          </cell>
          <cell r="H153">
            <v>0.91009259259259256</v>
          </cell>
          <cell r="I153" t="str">
            <v>ОК</v>
          </cell>
          <cell r="J153" t="str">
            <v>ОК</v>
          </cell>
        </row>
        <row r="154">
          <cell r="B154" t="str">
            <v>В-10789/КЛ.Транш - 1</v>
          </cell>
          <cell r="C154" t="str">
            <v>РОССИЯ, 107140, Москва г, Краснопрудная ул, дом 22-24, квартира 62</v>
          </cell>
          <cell r="D154" t="str">
            <v>РОССИЯ, 107140, Москва г, Краснопрудная ул, дом 22-24, квартира 62</v>
          </cell>
          <cell r="F154" t="str">
            <v>Москва</v>
          </cell>
          <cell r="G154">
            <v>0.66009259259259256</v>
          </cell>
          <cell r="H154">
            <v>0.91009259259259256</v>
          </cell>
          <cell r="I154" t="str">
            <v>ОК</v>
          </cell>
          <cell r="J154" t="str">
            <v>ОК</v>
          </cell>
        </row>
        <row r="155">
          <cell r="B155" t="str">
            <v>В-14453/КЛ.Транш - 1</v>
          </cell>
          <cell r="C155" t="str">
            <v>РОССИЯ, 623951, Свердловская обл, Тавда г, Папанинцев пер, дом 36</v>
          </cell>
          <cell r="D155" t="str">
            <v>РОССИЯ, 620066, Свердловская обл, Екатеринбург г, Мира ул, дом 5, квартира 10</v>
          </cell>
          <cell r="F155" t="str">
            <v>Свердловская</v>
          </cell>
          <cell r="G155">
            <v>0.66009259259259256</v>
          </cell>
          <cell r="H155">
            <v>0.99342592592592593</v>
          </cell>
          <cell r="I155" t="str">
            <v>поздно</v>
          </cell>
          <cell r="J155" t="str">
            <v>ОК</v>
          </cell>
        </row>
        <row r="156">
          <cell r="B156" t="str">
            <v>В-10020/КЭ.Транш - 1</v>
          </cell>
          <cell r="C156" t="str">
            <v>196105, Ленинградская обл, м.р-н Всеволожский, г.п. Заневское, Областная г. Кудрово, мкр Новый Оккревиль, ул, д. 2, стр. 2, помещ. 7</v>
          </cell>
          <cell r="F156" t="str">
            <v>Москва</v>
          </cell>
          <cell r="G156">
            <v>0.66009259259259256</v>
          </cell>
          <cell r="H156">
            <v>0.91009259259259256</v>
          </cell>
          <cell r="I156" t="str">
            <v>ОК</v>
          </cell>
          <cell r="J156" t="str">
            <v>ОК</v>
          </cell>
        </row>
        <row r="157">
          <cell r="B157" t="str">
            <v>В-09172/КЛ.Транш - 1</v>
          </cell>
          <cell r="C157" t="str">
            <v>РОССИЯ, 143333, Московская обл, Наро-Фоминск г, Лобаново д, дом 46</v>
          </cell>
          <cell r="D157" t="str">
            <v>РОССИЯ, 143333, Московская обл, Наро-Фоминск г, Лобаново д, дом 46</v>
          </cell>
          <cell r="F157" t="str">
            <v>Московская</v>
          </cell>
          <cell r="G157">
            <v>0.66009259259259256</v>
          </cell>
          <cell r="H157">
            <v>0.91009259259259256</v>
          </cell>
          <cell r="I157" t="str">
            <v>ОК</v>
          </cell>
          <cell r="J157" t="str">
            <v>ОК</v>
          </cell>
        </row>
        <row r="158">
          <cell r="B158" t="str">
            <v>В-00346/АЗ</v>
          </cell>
          <cell r="C158" t="str">
            <v>РОССИЯ, 442722, Пензенская обл, Лунинский р-н, Николаевка д, Центральная ул, дом № 4</v>
          </cell>
          <cell r="D158" t="str">
            <v>РОССИЯ, 105118, Москва г, Соколиной Горы 9-я ул, дом № 1, квартира 15</v>
          </cell>
          <cell r="F158" t="str">
            <v>Москва</v>
          </cell>
          <cell r="G158">
            <v>0.66009259259259256</v>
          </cell>
          <cell r="H158">
            <v>0.91009259259259256</v>
          </cell>
          <cell r="I158" t="str">
            <v>ОК</v>
          </cell>
          <cell r="J158" t="str">
            <v>ОК</v>
          </cell>
        </row>
        <row r="159">
          <cell r="B159" t="str">
            <v>В-08288/КЛ.Транш - 2</v>
          </cell>
          <cell r="C159" t="str">
            <v>РОССИЯ, 143360, Московская обл, г Наро-Фоминск, г Апрелевка, ул Дубки, д. 11, кв. 136</v>
          </cell>
          <cell r="D159" t="str">
            <v>РОССИЯ, 143360, Московская обл, г Наро-Фоминск, г Апрелевка, ул Дубки, д. 11, кв. 136</v>
          </cell>
          <cell r="F159" t="str">
            <v>Московская</v>
          </cell>
          <cell r="G159">
            <v>0.66009259259259256</v>
          </cell>
          <cell r="H159">
            <v>0.91009259259259256</v>
          </cell>
          <cell r="I159" t="str">
            <v>ОК</v>
          </cell>
          <cell r="J159" t="str">
            <v>ОК</v>
          </cell>
        </row>
        <row r="160">
          <cell r="B160" t="str">
            <v>В-08537/КЛ.Транш - 1</v>
          </cell>
          <cell r="C160" t="str">
            <v>РОССИЯ, 143964, Московская обл, Реутов г, Новая ул, дом 6А, квартира 54</v>
          </cell>
          <cell r="D160" t="str">
            <v>РОССИЯ, 143964, Московская обл, Реутов г, Новая ул, дом 6А, квартира 54</v>
          </cell>
          <cell r="F160" t="str">
            <v>Московская</v>
          </cell>
          <cell r="G160">
            <v>0.66009259259259256</v>
          </cell>
          <cell r="H160">
            <v>0.91009259259259256</v>
          </cell>
          <cell r="I160" t="str">
            <v>ОК</v>
          </cell>
          <cell r="J160" t="str">
            <v>ОК</v>
          </cell>
        </row>
        <row r="161">
          <cell r="B161" t="str">
            <v>В-08537/КЛ.Транш - 2</v>
          </cell>
          <cell r="C161" t="str">
            <v>РОССИЯ, 143964, Московская обл, Реутов г, Новая ул, дом 6А, квартира 54</v>
          </cell>
          <cell r="D161" t="str">
            <v>РОССИЯ, 143964, Московская обл, Реутов г, Новая ул, дом 6А, квартира 54</v>
          </cell>
          <cell r="F161" t="str">
            <v>Московская</v>
          </cell>
          <cell r="G161">
            <v>0.66009259259259256</v>
          </cell>
          <cell r="H161">
            <v>0.91009259259259256</v>
          </cell>
          <cell r="I161" t="str">
            <v>ОК</v>
          </cell>
          <cell r="J161" t="str">
            <v>ОК</v>
          </cell>
        </row>
        <row r="162">
          <cell r="B162" t="str">
            <v>В-16186/КЛ.Транш - 1</v>
          </cell>
          <cell r="C162" t="str">
            <v>РОССИЯ, 364024, Чеченская респ, г Грозный, ул Первомайская роща, д. 62/64, кв. 11</v>
          </cell>
          <cell r="D162" t="str">
            <v>РОССИЯ, 354068, Краснодарский край, Сочи г, Пасечная ул, дом 16, квартира 5</v>
          </cell>
          <cell r="F162" t="str">
            <v>Краснодарский</v>
          </cell>
          <cell r="G162">
            <v>0.66009259259259256</v>
          </cell>
          <cell r="H162">
            <v>0.91009259259259256</v>
          </cell>
          <cell r="I162" t="str">
            <v>ОК</v>
          </cell>
          <cell r="J162" t="str">
            <v>ОК</v>
          </cell>
        </row>
        <row r="163">
          <cell r="B163" t="str">
            <v>В-01172/АЗ</v>
          </cell>
          <cell r="C163" t="str">
            <v>РОССИЯ, 385006, Адыгея респ, г Майкоп, ул Хакурате, д. 185</v>
          </cell>
          <cell r="D163" t="str">
            <v>РОССИЯ, 350012, Краснодарский край, г Краснодар, ул им. Академика Лукьяненко П.П., д. 103, кв. 55</v>
          </cell>
          <cell r="F163" t="str">
            <v>Краснодарский</v>
          </cell>
          <cell r="G163">
            <v>0.66009259259259256</v>
          </cell>
          <cell r="H163">
            <v>0.91009259259259256</v>
          </cell>
          <cell r="I163" t="str">
            <v>ОК</v>
          </cell>
          <cell r="J163" t="str">
            <v>ОК</v>
          </cell>
        </row>
        <row r="164">
          <cell r="B164" t="str">
            <v>В-23229/КЛ.Транш - 1</v>
          </cell>
          <cell r="C164" t="str">
            <v>РОССИЯ, 127566, Москва г, Римского-Корсакова ул, дом № 8, квартира 207</v>
          </cell>
          <cell r="D164" t="str">
            <v>РОССИЯ, 127566, Москва г, Римского-Корсакова ул, дом № 8, квартира 207</v>
          </cell>
          <cell r="F164" t="str">
            <v>Москва</v>
          </cell>
          <cell r="G164">
            <v>0.66009259259259256</v>
          </cell>
          <cell r="H164">
            <v>0.91009259259259256</v>
          </cell>
          <cell r="I164" t="str">
            <v>ОК</v>
          </cell>
          <cell r="J164" t="str">
            <v>ОК</v>
          </cell>
        </row>
        <row r="165">
          <cell r="B165" t="str">
            <v>В-23229/КЛ.Транш - 2</v>
          </cell>
          <cell r="C165" t="str">
            <v>РОССИЯ, 127566, Москва г, Римского-Корсакова ул, дом № 8, квартира 207</v>
          </cell>
          <cell r="D165" t="str">
            <v>РОССИЯ, 127566, Москва г, Римского-Корсакова ул, дом № 8, квартира 207</v>
          </cell>
          <cell r="F165" t="str">
            <v>Москва</v>
          </cell>
          <cell r="G165">
            <v>0.66009259259259256</v>
          </cell>
          <cell r="H165">
            <v>0.91009259259259256</v>
          </cell>
          <cell r="I165" t="str">
            <v>ОК</v>
          </cell>
          <cell r="J165" t="str">
            <v>ОК</v>
          </cell>
        </row>
        <row r="166">
          <cell r="B166" t="str">
            <v>В-08361/КЛ.Транш - 1_В-20211230/Ц</v>
          </cell>
          <cell r="C166" t="str">
            <v>РОССИЯ, 117535, Москва г, Дорожная ул, дом 32, корпус 1, квартира 72</v>
          </cell>
          <cell r="D166" t="str">
            <v>РОССИЯ, 117535, Москва г, Дорожная ул, дом 32, корпус 1, квартира 72</v>
          </cell>
          <cell r="F166" t="str">
            <v>Москва</v>
          </cell>
          <cell r="G166">
            <v>0.66009259259259256</v>
          </cell>
          <cell r="H166">
            <v>0.91009259259259256</v>
          </cell>
          <cell r="I166" t="str">
            <v>ОК</v>
          </cell>
          <cell r="J166" t="str">
            <v>ОК</v>
          </cell>
        </row>
        <row r="167">
          <cell r="B167" t="str">
            <v>В-10204/КЛ.Транш - 1</v>
          </cell>
          <cell r="C167" t="str">
            <v>РОССИЯ, 353600, Краснодарский край, Староминский р-н, Староминская ст-ца, Красная площадь ул, дом 4</v>
          </cell>
          <cell r="D167" t="str">
            <v>РОССИЯ, 353600, Краснодарский край, Староминский р-н, Староминская ст-ца, Красная площадь ул, дом 4</v>
          </cell>
          <cell r="F167" t="str">
            <v>Краснодарский</v>
          </cell>
          <cell r="G167">
            <v>0.66009259259259256</v>
          </cell>
          <cell r="H167">
            <v>0.91009259259259256</v>
          </cell>
          <cell r="I167" t="str">
            <v>ОК</v>
          </cell>
          <cell r="J167" t="str">
            <v>ОК</v>
          </cell>
        </row>
        <row r="168">
          <cell r="B168" t="str">
            <v>В-01428/КЛ.Транш - 1</v>
          </cell>
          <cell r="C168" t="str">
            <v>РОССИЯ, 157800, Костромская обл, Нерехтский р-н, Нерехта г, Красноармейская ул, дом 38</v>
          </cell>
          <cell r="D168" t="str">
            <v>РОССИЯ, 111531, Москва г, Энтузиастов ш, дом 100, квартира 327</v>
          </cell>
          <cell r="F168" t="str">
            <v>Москва</v>
          </cell>
          <cell r="G168">
            <v>0.66009259259259256</v>
          </cell>
          <cell r="H168">
            <v>0.91009259259259256</v>
          </cell>
          <cell r="I168" t="str">
            <v>ОК</v>
          </cell>
          <cell r="J168" t="str">
            <v>ОК</v>
          </cell>
        </row>
        <row r="169">
          <cell r="B169" t="str">
            <v>В-01428/КЛ.Транш - 2</v>
          </cell>
          <cell r="C169" t="str">
            <v>РОССИЯ, 157800, Костромская обл, Нерехтский р-н, Нерехта г, Красноармейская ул, дом 38</v>
          </cell>
          <cell r="D169" t="str">
            <v>РОССИЯ, 111531, Москва г, Энтузиастов ш, дом 100, квартира 327</v>
          </cell>
          <cell r="F169" t="str">
            <v>Москва</v>
          </cell>
          <cell r="G169">
            <v>0.66009259259259256</v>
          </cell>
          <cell r="H169">
            <v>0.91009259259259256</v>
          </cell>
          <cell r="I169" t="str">
            <v>ОК</v>
          </cell>
          <cell r="J169" t="str">
            <v>ОК</v>
          </cell>
        </row>
        <row r="170">
          <cell r="B170" t="str">
            <v>В-26422/КЛ.Транш - 1</v>
          </cell>
          <cell r="C170" t="str">
            <v>РОССИЯ, 115088, Москва г, вн.тер.г. муниципальный округ Южнопортовый, ул 1-я Дубровская, д. 14, кв. 43</v>
          </cell>
          <cell r="D170" t="str">
            <v>РОССИЯ, 115088, Москва г, вн.тер.г. муниципальный округ Южнопортовый, ул 1-я Дубровская, д. 14, кв. 43</v>
          </cell>
          <cell r="F170" t="str">
            <v>Москва</v>
          </cell>
          <cell r="G170">
            <v>0.66009259259259256</v>
          </cell>
          <cell r="H170">
            <v>0.91009259259259256</v>
          </cell>
          <cell r="I170" t="str">
            <v>ОК</v>
          </cell>
          <cell r="J170" t="str">
            <v>ОК</v>
          </cell>
        </row>
        <row r="171">
          <cell r="B171" t="str">
            <v>В-25581/КЛ.Транш - 1</v>
          </cell>
          <cell r="C171" t="str">
            <v>РОССИЯ, 433400, Ульяновская обл, р-н Чердаклинский, рп Чердаклы, мкр 2-й, д. 5, кв. 13</v>
          </cell>
          <cell r="D171" t="str">
            <v>РОССИЯ, 433400, Ульяновская обл, р-н Чердаклинский, рп Чердаклы, мкр 2-й, д. 5, кв. 13</v>
          </cell>
          <cell r="F171" t="str">
            <v>Ульяновская</v>
          </cell>
          <cell r="G171">
            <v>0.66009259259259256</v>
          </cell>
          <cell r="H171">
            <v>0.9517592592592593</v>
          </cell>
          <cell r="I171" t="str">
            <v>поздно</v>
          </cell>
          <cell r="J171" t="str">
            <v>ОК</v>
          </cell>
        </row>
        <row r="172">
          <cell r="B172" t="str">
            <v>В-21253/КЛ.Транш - 1</v>
          </cell>
          <cell r="C172" t="str">
            <v>РОССИЯ, 617764, Пермский край, г Чайковский, ул Ленина, д. 66, кв. 23</v>
          </cell>
          <cell r="D172" t="str">
            <v>РОССИЯ, 617764, Пермский край, г Чайковский, ул Ленина, д. 66, кв. 23</v>
          </cell>
          <cell r="F172" t="str">
            <v>Пермский</v>
          </cell>
          <cell r="G172">
            <v>0.66009259259259256</v>
          </cell>
          <cell r="H172">
            <v>0.99342592592592593</v>
          </cell>
          <cell r="I172" t="str">
            <v>поздно</v>
          </cell>
          <cell r="J172" t="str">
            <v>ОК</v>
          </cell>
        </row>
        <row r="173">
          <cell r="B173" t="str">
            <v>В-21079/КЛ.Транш - 1</v>
          </cell>
          <cell r="C173" t="str">
            <v>РОССИЯ, 629303, Ямало-Ненецкий ао, г Новый Уренгой, мкр Мирный, д. 2, к. 2, кв. 86</v>
          </cell>
          <cell r="D173" t="str">
            <v>РОССИЯ, 453265, Башкортостан респ, г Салават, ул Бекетова, д. 6, кв. 13</v>
          </cell>
          <cell r="F173" t="str">
            <v>Башкортостан</v>
          </cell>
          <cell r="G173">
            <v>0.66009259259259256</v>
          </cell>
          <cell r="H173">
            <v>0.99342592592592593</v>
          </cell>
          <cell r="I173" t="str">
            <v>поздно</v>
          </cell>
          <cell r="J173" t="str">
            <v>ОК</v>
          </cell>
        </row>
        <row r="174">
          <cell r="B174" t="str">
            <v>А-04984/АЗ_Т-20200626/Ц</v>
          </cell>
          <cell r="C174" t="str">
            <v>РОССИЯ, 119333, Москва г, Фотиевой ул, дом № 6, корпус 1, квартира 172</v>
          </cell>
          <cell r="D174" t="str">
            <v>РОССИЯ, 117042, Москва г, Чечёрский проезд, дом № 5а, участок 370</v>
          </cell>
          <cell r="F174" t="str">
            <v>Москва</v>
          </cell>
          <cell r="G174">
            <v>0.66009259259259256</v>
          </cell>
          <cell r="H174">
            <v>0.91009259259259256</v>
          </cell>
          <cell r="I174" t="str">
            <v>ОК</v>
          </cell>
          <cell r="J174" t="str">
            <v>ОК</v>
          </cell>
        </row>
        <row r="175">
          <cell r="B175" t="str">
            <v>Т-01705/АЗ_Т-20200626/Ц</v>
          </cell>
          <cell r="C175" t="str">
            <v>РОССИЯ, 119333, Москва г, Фотиевой ул, дом № 6, корпус 1, квартира 172</v>
          </cell>
          <cell r="D175" t="str">
            <v>РОССИЯ, 117042, Москва г, Чечёрский проезд, дом № 5а, участок 370</v>
          </cell>
          <cell r="F175" t="str">
            <v>Москва</v>
          </cell>
          <cell r="G175">
            <v>0.66009259259259256</v>
          </cell>
          <cell r="H175">
            <v>0.91009259259259256</v>
          </cell>
          <cell r="I175" t="str">
            <v>ОК</v>
          </cell>
          <cell r="J175" t="str">
            <v>ОК</v>
          </cell>
        </row>
        <row r="176">
          <cell r="B176" t="str">
            <v>В-19736/КЛ.Транш - 1</v>
          </cell>
          <cell r="C176" t="str">
            <v>РОССИЯ, 109456, Москва г, ул Паперника, д. 10, кв. 13</v>
          </cell>
          <cell r="D176" t="str">
            <v>РОССИЯ, 109456, Москва г, ул Паперника, д. 10, кв. 13</v>
          </cell>
          <cell r="F176" t="str">
            <v>Москва</v>
          </cell>
          <cell r="G176">
            <v>0.66009259259259256</v>
          </cell>
          <cell r="H176">
            <v>0.91009259259259256</v>
          </cell>
          <cell r="I176" t="str">
            <v>ОК</v>
          </cell>
          <cell r="J176" t="str">
            <v>ОК</v>
          </cell>
        </row>
        <row r="177">
          <cell r="B177" t="str">
            <v>В-15465/КЛ.Транш - 1_В-20211230/Ц</v>
          </cell>
          <cell r="C177" t="str">
            <v>РОССИЯ, 350087, Краснодарский край, городской округ город Краснодар, Краснодар г, им. генерала Петрова И.Т. ул, дом 3, квартира 42</v>
          </cell>
          <cell r="D177" t="str">
            <v>РОССИЯ, 350087, Краснодарский край, городской округ город Краснодар, Краснодар г, им. генерала Петрова И.Т. ул, дом 3, квартира 42</v>
          </cell>
          <cell r="F177" t="str">
            <v>Краснодарский</v>
          </cell>
          <cell r="G177">
            <v>0.66009259259259256</v>
          </cell>
          <cell r="H177">
            <v>0.91009259259259256</v>
          </cell>
          <cell r="I177" t="str">
            <v>ОК</v>
          </cell>
          <cell r="J177" t="str">
            <v>ОК</v>
          </cell>
        </row>
        <row r="178">
          <cell r="B178" t="str">
            <v>В-23072/КЛ.Транш - 1</v>
          </cell>
          <cell r="C178" t="str">
            <v>РОССИЯ, 143905, Московская обл, г.о. городской округ Балашиха, г Балашиха, ул Калинина, д. 17/10, к. 2, кв. 213</v>
          </cell>
          <cell r="D178" t="str">
            <v>РОССИЯ, 143905, Московская обл, г.о. городской округ Балашиха, г Балашиха, ул Калинина, д. 17/10, к. 2, кв. 213</v>
          </cell>
          <cell r="F178" t="str">
            <v>Московская</v>
          </cell>
          <cell r="G178">
            <v>0.66009259259259256</v>
          </cell>
          <cell r="H178">
            <v>0.91009259259259256</v>
          </cell>
          <cell r="I178" t="str">
            <v>ОК</v>
          </cell>
          <cell r="J178" t="str">
            <v>ОК</v>
          </cell>
        </row>
        <row r="179">
          <cell r="B179" t="str">
            <v>В-00004/КЛ.Транш - 1</v>
          </cell>
          <cell r="C179" t="str">
            <v>РОССИЯ, 143902, Московская обл, Балашиха г, Орджоникидзе ул, дом № 21, квартира 4</v>
          </cell>
          <cell r="D179" t="str">
            <v>РОССИЯ, 143902, Московская обл, Балашиха г, Орджоникидзе ул, дом № 21, квартира 4</v>
          </cell>
          <cell r="F179" t="str">
            <v>Московская</v>
          </cell>
          <cell r="G179">
            <v>0.66009259259259256</v>
          </cell>
          <cell r="H179">
            <v>0.91009259259259256</v>
          </cell>
          <cell r="I179" t="str">
            <v>ОК</v>
          </cell>
          <cell r="J179" t="str">
            <v>ОК</v>
          </cell>
        </row>
        <row r="180">
          <cell r="B180" t="str">
            <v>В-24121/КЛ.Транш - 1</v>
          </cell>
          <cell r="C180" t="str">
            <v>РОССИЯ, 109548, Москва г, ул Гурьянова, д. 2, к. 1, кв. 48</v>
          </cell>
          <cell r="D180" t="str">
            <v>РОССИЯ, 109548, Москва г, ул Гурьянова, д. 2, к. 1, кв. 48</v>
          </cell>
          <cell r="F180" t="str">
            <v>Москва</v>
          </cell>
          <cell r="G180">
            <v>0.66009259259259256</v>
          </cell>
          <cell r="H180">
            <v>0.91009259259259256</v>
          </cell>
          <cell r="I180" t="str">
            <v>ОК</v>
          </cell>
          <cell r="J180" t="str">
            <v>ОК</v>
          </cell>
        </row>
        <row r="181">
          <cell r="B181" t="str">
            <v>В-24121/КЛ.Транш - 2</v>
          </cell>
          <cell r="C181" t="str">
            <v>РОССИЯ, 109548, Москва г, ул Гурьянова, д. 2, к. 1, кв. 48</v>
          </cell>
          <cell r="D181" t="str">
            <v>РОССИЯ, 109548, Москва г, ул Гурьянова, д. 2, к. 1, кв. 48</v>
          </cell>
          <cell r="F181" t="str">
            <v>Москва</v>
          </cell>
          <cell r="G181">
            <v>0.66009259259259256</v>
          </cell>
          <cell r="H181">
            <v>0.91009259259259256</v>
          </cell>
          <cell r="I181" t="str">
            <v>ОК</v>
          </cell>
          <cell r="J181" t="str">
            <v>ОК</v>
          </cell>
        </row>
        <row r="182">
          <cell r="B182" t="str">
            <v>В-08393/КЛ.Транш - 1</v>
          </cell>
          <cell r="C182" t="str">
            <v>РОССИЯ, 461060, Оренбургская обл, р-н Курманаевский, с Курманаевка, ул Молодежная, двлд. 38, кв. 1</v>
          </cell>
          <cell r="D182" t="str">
            <v>РОССИЯ, 461060, Оренбургская обл, р-н Курманаевский, с Курманаевка, ул Молодежная, двлд. 38, кв. 1</v>
          </cell>
          <cell r="F182" t="str">
            <v>Оренбургская</v>
          </cell>
          <cell r="G182">
            <v>0.66009259259259256</v>
          </cell>
          <cell r="H182">
            <v>0.99342592592592593</v>
          </cell>
          <cell r="I182" t="str">
            <v>поздно</v>
          </cell>
          <cell r="J182" t="str">
            <v>ОК</v>
          </cell>
        </row>
        <row r="183">
          <cell r="B183" t="str">
            <v>В-17708/КЛ.Транш - 1_В-20211230/Ц</v>
          </cell>
          <cell r="C183" t="str">
            <v>РОССИЯ, 600026, Владимирская обл, г Владимир, ул Тракторная, д. 7А, кв. 117</v>
          </cell>
          <cell r="D183" t="str">
            <v>РОССИЯ, 600026, Владимирская обл, г Владимир, ул Тракторная, д. 7А, кв. 117</v>
          </cell>
          <cell r="F183" t="str">
            <v>Владимирская</v>
          </cell>
          <cell r="G183">
            <v>0.66009259259259256</v>
          </cell>
          <cell r="H183">
            <v>0.91009259259259256</v>
          </cell>
          <cell r="I183" t="str">
            <v>ОК</v>
          </cell>
          <cell r="J183" t="str">
            <v>ОК</v>
          </cell>
        </row>
        <row r="184">
          <cell r="B184" t="str">
            <v>А-05138/АЗ</v>
          </cell>
          <cell r="C184" t="str">
            <v>РОССИЯ, 188304, Ленинградская обл, Гатчинский р-н, Пригородный п, Энергетиков ул, дом № 1</v>
          </cell>
          <cell r="D184" t="str">
            <v>РОССИЯ, 188304, Ленинградская обл, Гатчинский р-н, Пригородный п, Энергетиков ул, дом № 1</v>
          </cell>
          <cell r="F184" t="str">
            <v>Ленинградская</v>
          </cell>
          <cell r="G184">
            <v>0.66009259259259256</v>
          </cell>
          <cell r="H184">
            <v>0.91009259259259256</v>
          </cell>
          <cell r="I184" t="str">
            <v>ОК</v>
          </cell>
          <cell r="J184" t="str">
            <v>ОК</v>
          </cell>
        </row>
        <row r="185">
          <cell r="B185" t="str">
            <v>В-15908/КЛ.Транш - 1</v>
          </cell>
          <cell r="C185" t="str">
            <v>РОССИЯ, 630051, Новосибирская обл, Новосибирск г, Березовая роща тер. снт, дом 383</v>
          </cell>
          <cell r="D185" t="str">
            <v>РОССИЯ, 630089, Новосибирская обл, Новосибирск г, Кошурникова ул, дом 29/1, квартира 174</v>
          </cell>
          <cell r="F185" t="str">
            <v>Новосибирская</v>
          </cell>
          <cell r="G185">
            <v>0.66009259259259256</v>
          </cell>
          <cell r="H185">
            <v>7.6759259259259194E-2</v>
          </cell>
          <cell r="I185" t="str">
            <v>поздно</v>
          </cell>
          <cell r="J185" t="str">
            <v>ОК</v>
          </cell>
        </row>
        <row r="186">
          <cell r="B186" t="str">
            <v>В-21137/КЛ.Транш - 1</v>
          </cell>
          <cell r="C186" t="str">
            <v>РОССИЯ, 142435, Московская обл, г Ногинск, с Кудиново, ул Центральная, д. 1, кв. 34</v>
          </cell>
          <cell r="D186" t="str">
            <v>РОССИЯ, 142435, Московская обл, г Ногинск, с Кудиново, ул Центральная, д. 1, кв. 34</v>
          </cell>
          <cell r="F186" t="str">
            <v>Московская</v>
          </cell>
          <cell r="G186">
            <v>0.66009259259259256</v>
          </cell>
          <cell r="H186">
            <v>0.91009259259259256</v>
          </cell>
          <cell r="I186" t="str">
            <v>ОК</v>
          </cell>
          <cell r="J186" t="str">
            <v>ОК</v>
          </cell>
        </row>
        <row r="187">
          <cell r="B187" t="str">
            <v>В-22173/КЛ.Транш - 1_В-20211230/Ц</v>
          </cell>
          <cell r="C187" t="str">
            <v>РОССИЯ, 403024, Волгоградская обл, р-н Городищенский, с Россошка, ул Первомайская, д. 20</v>
          </cell>
          <cell r="D187" t="str">
            <v>РОССИЯ, 403024, Краснодарский край, г Сочи, Апрельская ул, д. 39</v>
          </cell>
          <cell r="F187" t="str">
            <v>Краснодарский</v>
          </cell>
          <cell r="G187">
            <v>0.66009259259259256</v>
          </cell>
          <cell r="H187">
            <v>0.91009259259259256</v>
          </cell>
          <cell r="I187" t="str">
            <v>ОК</v>
          </cell>
          <cell r="J187" t="str">
            <v>ОК</v>
          </cell>
        </row>
        <row r="188">
          <cell r="B188" t="str">
            <v>В-26197/КЛ.Транш - 1</v>
          </cell>
          <cell r="C188" t="str">
            <v>РОССИЯ, 461334, Оренбургская обл, р-н Беляевский, с Днепровка, ул Южная, д. 1/1</v>
          </cell>
          <cell r="D188" t="str">
            <v>РОССИЯ, 460000, Оренбургская обл, р-н Оренбургский, Салмышская, д. 47, кв. 10</v>
          </cell>
          <cell r="F188" t="str">
            <v>Оренбургская</v>
          </cell>
          <cell r="G188">
            <v>0.66009259259259256</v>
          </cell>
          <cell r="H188">
            <v>0.99342592592592593</v>
          </cell>
          <cell r="I188" t="str">
            <v>поздно</v>
          </cell>
          <cell r="J188" t="str">
            <v>ОК</v>
          </cell>
        </row>
        <row r="189">
          <cell r="B189" t="str">
            <v>В-26197/КЛ.Транш - 2</v>
          </cell>
          <cell r="C189" t="str">
            <v>РОССИЯ, 461334, Оренбургская обл, р-н Беляевский, с Днепровка, ул Южная, д. 1/1</v>
          </cell>
          <cell r="D189" t="str">
            <v>РОССИЯ, 460000, Оренбургская обл, р-н Оренбургский, Салмышская, д. 47, кв. 10</v>
          </cell>
          <cell r="F189" t="str">
            <v>Оренбургская</v>
          </cell>
          <cell r="G189">
            <v>0.66009259259259256</v>
          </cell>
          <cell r="H189">
            <v>0.99342592592592593</v>
          </cell>
          <cell r="I189" t="str">
            <v>поздно</v>
          </cell>
          <cell r="J189" t="str">
            <v>ОК</v>
          </cell>
        </row>
        <row r="190">
          <cell r="B190" t="str">
            <v>В-25792/КЛ.Транш - 1</v>
          </cell>
          <cell r="C190" t="str">
            <v>РОССИЯ, 194100, Санкт-Петербург г, вн.тер.г. муниципальный округ Сампсониевское, пр-кт Большой Сампсониевский, д. 77, стр. 1, кв. 21</v>
          </cell>
          <cell r="D190" t="str">
            <v>РОССИЯ, 603142, Нижегородская обл, г Нижний Новгород, ул Мончегорская, д. 16А, кв. 116</v>
          </cell>
          <cell r="F190" t="str">
            <v>Нижегородская</v>
          </cell>
          <cell r="G190">
            <v>0.66009259259259256</v>
          </cell>
          <cell r="H190">
            <v>0.91009259259259256</v>
          </cell>
          <cell r="I190" t="str">
            <v>ОК</v>
          </cell>
          <cell r="J190" t="str">
            <v>ОК</v>
          </cell>
        </row>
        <row r="191">
          <cell r="B191" t="str">
            <v>В-25792/КЛ.Транш - 2</v>
          </cell>
          <cell r="C191" t="str">
            <v>РОССИЯ, 194100, Санкт-Петербург г, вн.тер.г. муниципальный округ Сампсониевское, пр-кт Большой Сампсониевский, д. 77, стр. 1, кв. 21</v>
          </cell>
          <cell r="D191" t="str">
            <v>РОССИЯ, 603142, Нижегородская обл, г Нижний Новгород, ул Мончегорская, д. 16А, кв. 116</v>
          </cell>
          <cell r="F191" t="str">
            <v>Нижегородская</v>
          </cell>
          <cell r="G191">
            <v>0.66009259259259256</v>
          </cell>
          <cell r="H191">
            <v>0.91009259259259256</v>
          </cell>
          <cell r="I191" t="str">
            <v>ОК</v>
          </cell>
          <cell r="J191" t="str">
            <v>ОК</v>
          </cell>
        </row>
        <row r="192">
          <cell r="B192" t="str">
            <v>В-09206/КЛ.Транш - 1</v>
          </cell>
          <cell r="C192" t="str">
            <v>РОССИЯ, 353540, Краснодарский край, Темрюкский р-н, Сенной п, Полевая ул, дом 11</v>
          </cell>
          <cell r="D192" t="str">
            <v>РОССИЯ, 353540, Краснодарский край, Темрюкский р-н, Сенной п, Полевая ул, дом 11</v>
          </cell>
          <cell r="F192" t="str">
            <v>Краснодарский</v>
          </cell>
          <cell r="G192">
            <v>0.66009259259259256</v>
          </cell>
          <cell r="H192">
            <v>0.91009259259259256</v>
          </cell>
          <cell r="I192" t="str">
            <v>ОК</v>
          </cell>
          <cell r="J192" t="str">
            <v>ОК</v>
          </cell>
        </row>
        <row r="193">
          <cell r="B193" t="str">
            <v>В-15261/КЛ.Транш - 1</v>
          </cell>
          <cell r="C193" t="str">
            <v>РОССИЯ, 140104, Московская обл, Раменское г, деревня Заозерье, дом 3</v>
          </cell>
          <cell r="D193" t="str">
            <v>РОССИЯ, 140101, Московская обл, г Раменское, Клишева деревня, ул Красная, д. 78</v>
          </cell>
          <cell r="F193" t="str">
            <v>Московская</v>
          </cell>
          <cell r="G193">
            <v>0.66009259259259256</v>
          </cell>
          <cell r="H193">
            <v>0.91009259259259256</v>
          </cell>
          <cell r="I193" t="str">
            <v>ОК</v>
          </cell>
          <cell r="J193" t="str">
            <v>ОК</v>
          </cell>
        </row>
        <row r="194">
          <cell r="B194" t="str">
            <v>В-15261/КЛ.Транш - 2</v>
          </cell>
          <cell r="C194" t="str">
            <v>РОССИЯ, 140104, Московская обл, Раменское г, деревня Заозерье, дом 3</v>
          </cell>
          <cell r="D194" t="str">
            <v>РОССИЯ, 140101, Московская обл, г Раменское, Клишева деревня, ул Красная, д. 78</v>
          </cell>
          <cell r="F194" t="str">
            <v>Московская</v>
          </cell>
          <cell r="G194">
            <v>0.66009259259259256</v>
          </cell>
          <cell r="H194">
            <v>0.91009259259259256</v>
          </cell>
          <cell r="I194" t="str">
            <v>ОК</v>
          </cell>
          <cell r="J194" t="str">
            <v>ОК</v>
          </cell>
        </row>
        <row r="195">
          <cell r="B195" t="str">
            <v>В-00648/АЗ</v>
          </cell>
          <cell r="C195" t="str">
            <v>РОССИЯ, 354053, Краснодарский край, Сочи г, Центральный р-н, Крымская ул, дом 67А</v>
          </cell>
          <cell r="D195" t="str">
            <v>РОССИЯ, 354053, Краснодарский край, Сочи г, Центральный р-н, Крымская ул, дом 67А</v>
          </cell>
          <cell r="F195" t="str">
            <v>Краснодарский</v>
          </cell>
          <cell r="G195">
            <v>0.66009259259259256</v>
          </cell>
          <cell r="H195">
            <v>0.91009259259259256</v>
          </cell>
          <cell r="I195" t="str">
            <v>ОК</v>
          </cell>
          <cell r="J195" t="str">
            <v>ОК</v>
          </cell>
        </row>
        <row r="196">
          <cell r="B196" t="str">
            <v>В-23136/АЗ</v>
          </cell>
          <cell r="C196" t="str">
            <v>РОССИЯ, 117556, Москва г, ш Варшавское, д. 85, к. 3, кв. 172</v>
          </cell>
          <cell r="D196" t="str">
            <v>РОССИЯ, 117556, Москва г, ш Варшавское, д. 85, к. 3, кв. 172</v>
          </cell>
          <cell r="F196" t="str">
            <v>Москва</v>
          </cell>
          <cell r="G196">
            <v>0.66009259259259256</v>
          </cell>
          <cell r="H196">
            <v>0.91009259259259256</v>
          </cell>
          <cell r="I196" t="str">
            <v>ОК</v>
          </cell>
          <cell r="J196" t="str">
            <v>ОК</v>
          </cell>
        </row>
        <row r="197">
          <cell r="B197" t="str">
            <v>В-26110/АЗ</v>
          </cell>
          <cell r="C197" t="str">
            <v>РОССИЯ, 117556, Москва г, ш Варшавское, д. 85, к. 3, кв. 172</v>
          </cell>
          <cell r="D197" t="str">
            <v>РОССИЯ, 117556, Москва г, ш Варшавское, д. 85, к. 3, кв. 172</v>
          </cell>
          <cell r="F197" t="str">
            <v>Москва</v>
          </cell>
          <cell r="G197">
            <v>0.66009259259259256</v>
          </cell>
          <cell r="H197">
            <v>0.91009259259259256</v>
          </cell>
          <cell r="I197" t="str">
            <v>ОК</v>
          </cell>
          <cell r="J197" t="str">
            <v>ОК</v>
          </cell>
        </row>
        <row r="198">
          <cell r="B198" t="str">
            <v>В-19093/КЛ.Транш - 1</v>
          </cell>
          <cell r="C198" t="str">
            <v>РОССИЯ, 197372, Санкт-Петербург г, вн.тер.г. муниципальный округ № 65, ул Камышовая, д. 14, литера А, кв. 23</v>
          </cell>
          <cell r="D198" t="str">
            <v>РОССИЯ, 197372, Санкт-Петербург г, вн.тер.г. муниципальный округ № 65, ул Камышовая, д. 14, литера А, кв. 23</v>
          </cell>
          <cell r="F198" t="str">
            <v>Москва</v>
          </cell>
          <cell r="G198">
            <v>0.66009259259259256</v>
          </cell>
          <cell r="H198">
            <v>0.91009259259259256</v>
          </cell>
          <cell r="I198" t="str">
            <v>ОК</v>
          </cell>
          <cell r="J198" t="str">
            <v>ОК</v>
          </cell>
        </row>
        <row r="199">
          <cell r="B199" t="str">
            <v>В-09916/КЛ.Транш - 1</v>
          </cell>
          <cell r="C199" t="str">
            <v>РОССИЯ, 141077, Московская обл, г Королёв, пр-кт Королева, д. 2А, кв. 158</v>
          </cell>
          <cell r="D199" t="str">
            <v>РОССИЯ, 141078, Московская обл, Королёв г, Королева пр-кт, дом 2А, квартира 158</v>
          </cell>
          <cell r="F199" t="str">
            <v>Московская</v>
          </cell>
          <cell r="G199">
            <v>0.66009259259259256</v>
          </cell>
          <cell r="H199">
            <v>0.91009259259259256</v>
          </cell>
          <cell r="I199" t="str">
            <v>ОК</v>
          </cell>
          <cell r="J199" t="str">
            <v>ОК</v>
          </cell>
        </row>
        <row r="200">
          <cell r="B200" t="str">
            <v>В-03541/КЛ.Транш - 1</v>
          </cell>
          <cell r="C200" t="str">
            <v>РОССИЯ, 140220, Московская обл, р-н Воскресенский, г Воскресенск, д Расловлево, ул Пехорка, д. 6</v>
          </cell>
          <cell r="D200" t="str">
            <v>РОССИЯ, 140083, Московская обл, Лыткарино г, 3А кв-л, дом 10, квартира 55</v>
          </cell>
          <cell r="F200" t="str">
            <v>Московская</v>
          </cell>
          <cell r="G200">
            <v>0.66009259259259256</v>
          </cell>
          <cell r="H200">
            <v>0.91009259259259256</v>
          </cell>
          <cell r="I200" t="str">
            <v>ОК</v>
          </cell>
          <cell r="J200" t="str">
            <v>ОК</v>
          </cell>
        </row>
        <row r="201">
          <cell r="B201" t="str">
            <v>В-09086/КЛ.Транш - 1</v>
          </cell>
          <cell r="C201" t="str">
            <v>РОССИЯ, 161465, Вологодская обл, Никольский р-н, Аргуново д, Березовая ул, дом 8, квартира 2</v>
          </cell>
          <cell r="D201" t="str">
            <v>РОССИЯ, 194358, Санкт-Петербург г, Внутригородская территория поселок Парголово, Парголово п, Фёдора Абрамова ул, дом 20, корпус 1, литер А, квартира 173</v>
          </cell>
          <cell r="F201" t="str">
            <v>Москва</v>
          </cell>
          <cell r="G201">
            <v>0.66009259259259256</v>
          </cell>
          <cell r="H201">
            <v>0.91009259259259256</v>
          </cell>
          <cell r="I201" t="str">
            <v>ОК</v>
          </cell>
          <cell r="J201" t="str">
            <v>ОК</v>
          </cell>
        </row>
        <row r="202">
          <cell r="B202" t="str">
            <v>В-09086/КЛ.Транш - 2</v>
          </cell>
          <cell r="C202" t="str">
            <v>РОССИЯ, 161465, Вологодская обл, Никольский р-н, Аргуново д, Березовая ул, дом 8, квартира 2</v>
          </cell>
          <cell r="D202" t="str">
            <v>РОССИЯ, 194358, Санкт-Петербург г, Внутригородская территория поселок Парголово, Парголово п, Фёдора Абрамова ул, дом 20, корпус 1, литер А, квартира 173</v>
          </cell>
          <cell r="F202" t="str">
            <v>Москва</v>
          </cell>
          <cell r="G202">
            <v>0.66009259259259256</v>
          </cell>
          <cell r="H202">
            <v>0.91009259259259256</v>
          </cell>
          <cell r="I202" t="str">
            <v>ОК</v>
          </cell>
          <cell r="J202" t="str">
            <v>ОК</v>
          </cell>
        </row>
        <row r="203">
          <cell r="B203" t="str">
            <v>В-09086/КЛ.Транш - 3</v>
          </cell>
          <cell r="C203" t="str">
            <v>РОССИЯ, 161465, Вологодская обл, Никольский р-н, Аргуново д, Березовая ул, дом 8, квартира 2</v>
          </cell>
          <cell r="D203" t="str">
            <v>РОССИЯ, 194358, Санкт-Петербург г, Внутригородская территория поселок Парголово, Парголово п, Фёдора Абрамова ул, дом 20, корпус 1, литер А, квартира 173</v>
          </cell>
          <cell r="F203" t="str">
            <v>Москва</v>
          </cell>
          <cell r="G203">
            <v>0.66009259259259256</v>
          </cell>
          <cell r="H203">
            <v>0.91009259259259256</v>
          </cell>
          <cell r="I203" t="str">
            <v>ОК</v>
          </cell>
          <cell r="J203" t="str">
            <v>ОК</v>
          </cell>
        </row>
        <row r="204">
          <cell r="B204" t="str">
            <v>В-00319/КЛ.Транш - 2</v>
          </cell>
          <cell r="C204" t="str">
            <v>РОССИЯ, 141506, Московская обл, р-н Солнечногорский, г Солнечногорск, ул им Безверхова, д. 12, кв. 2 к.3</v>
          </cell>
          <cell r="D204" t="str">
            <v>РОССИЯ, 141506, Московская обл, Солнечногорский р-н, Солнечногорск г, им Безверхова ул, дом 12, квартира 2 к.3</v>
          </cell>
          <cell r="F204" t="str">
            <v>Московская</v>
          </cell>
          <cell r="G204">
            <v>0.66009259259259256</v>
          </cell>
          <cell r="H204">
            <v>0.91009259259259256</v>
          </cell>
          <cell r="I204" t="str">
            <v>ОК</v>
          </cell>
          <cell r="J204" t="str">
            <v>ОК</v>
          </cell>
        </row>
        <row r="205">
          <cell r="B205" t="str">
            <v>В-27587/АЗ</v>
          </cell>
          <cell r="C205" t="str">
            <v>РОССИЯ, 352147, Краснодарский край, р-н Кавказский, ст-ца Казанская, ул Пугачева, д. 1</v>
          </cell>
          <cell r="D205" t="str">
            <v>РОССИЯ, 352147, Краснодарский край, р-н Кавказский, ст-ца Казанская, ул Пугачева, д. 1</v>
          </cell>
          <cell r="F205" t="str">
            <v>Краснодарский</v>
          </cell>
          <cell r="G205">
            <v>0.66009259259259256</v>
          </cell>
          <cell r="H205">
            <v>0.91009259259259256</v>
          </cell>
          <cell r="I205" t="str">
            <v>ОК</v>
          </cell>
          <cell r="J205" t="str">
            <v>ОК</v>
          </cell>
        </row>
        <row r="206">
          <cell r="B206" t="str">
            <v>В-10041/КЛ.Транш - 2</v>
          </cell>
          <cell r="C206" t="str">
            <v>РОССИЯ, 344033, Ростовская обл, Ростов-на-Дону г, Жлобинский пер, дом 17, квартира 69</v>
          </cell>
          <cell r="D206" t="str">
            <v>РОССИЯ, 346889, Ростовская обл, Батайск г, Виктора Горбатко ул, дом 8</v>
          </cell>
          <cell r="F206" t="str">
            <v>Ростовская</v>
          </cell>
          <cell r="G206">
            <v>0.66009259259259256</v>
          </cell>
          <cell r="H206">
            <v>0.91009259259259256</v>
          </cell>
          <cell r="I206" t="str">
            <v>ОК</v>
          </cell>
          <cell r="J206" t="str">
            <v>ОК</v>
          </cell>
        </row>
        <row r="207">
          <cell r="B207" t="str">
            <v>В-10041/КЛ.Транш - 3</v>
          </cell>
          <cell r="C207" t="str">
            <v>РОССИЯ, 344033, Ростовская обл, Ростов-на-Дону г, Жлобинский пер, дом 17, квартира 69</v>
          </cell>
          <cell r="D207" t="str">
            <v>РОССИЯ, 346889, Ростовская обл, Батайск г, Виктора Горбатко ул, дом 8</v>
          </cell>
          <cell r="F207" t="str">
            <v>Ростовская</v>
          </cell>
          <cell r="G207">
            <v>0.66009259259259256</v>
          </cell>
          <cell r="H207">
            <v>0.91009259259259256</v>
          </cell>
          <cell r="I207" t="str">
            <v>ОК</v>
          </cell>
          <cell r="J207" t="str">
            <v>ОК</v>
          </cell>
        </row>
        <row r="208">
          <cell r="B208" t="str">
            <v>В-10041/КЛ.Транш - 4</v>
          </cell>
          <cell r="C208" t="str">
            <v>РОССИЯ, 344033, Ростовская обл, Ростов-на-Дону г, Жлобинский пер, дом 17, квартира 69</v>
          </cell>
          <cell r="D208" t="str">
            <v>РОССИЯ, 346889, Ростовская обл, Батайск г, Виктора Горбатко ул, дом 8</v>
          </cell>
          <cell r="F208" t="str">
            <v>Ростовская</v>
          </cell>
          <cell r="G208">
            <v>0.66009259259259256</v>
          </cell>
          <cell r="H208">
            <v>0.91009259259259256</v>
          </cell>
          <cell r="I208" t="str">
            <v>ОК</v>
          </cell>
          <cell r="J208" t="str">
            <v>ОК</v>
          </cell>
        </row>
        <row r="209">
          <cell r="B209" t="str">
            <v>В-01174/АЗ</v>
          </cell>
          <cell r="C209" t="str">
            <v>РОССИЯ, 195267, Санкт-Петербург г, ул Ушинского, д. 1, литера А, кв. 19</v>
          </cell>
          <cell r="D209" t="str">
            <v>РОССИЯ, 195267, Санкт-Петербург г, ул Ушинского, д. 1, литера А, кв. 19</v>
          </cell>
          <cell r="F209" t="str">
            <v>Москва</v>
          </cell>
          <cell r="G209">
            <v>0.66009259259259256</v>
          </cell>
          <cell r="H209">
            <v>0.91009259259259256</v>
          </cell>
          <cell r="I209" t="str">
            <v>ОК</v>
          </cell>
          <cell r="J209" t="str">
            <v>ОК</v>
          </cell>
        </row>
        <row r="210">
          <cell r="B210" t="str">
            <v>В-25499/АЗ</v>
          </cell>
          <cell r="C210" t="str">
            <v>РОССИЯ, 127287, Москва г, проезд Петровско-Разумовский, д. 22, к. 8, кв. 424</v>
          </cell>
          <cell r="D210" t="str">
            <v>РОССИЯ, 127287, Москва г, проезд Петровско-Разумовский, д. 22, к. 8, кв. 424</v>
          </cell>
          <cell r="F210" t="str">
            <v>Москва</v>
          </cell>
          <cell r="G210">
            <v>0.66009259259259256</v>
          </cell>
          <cell r="H210">
            <v>0.91009259259259256</v>
          </cell>
          <cell r="I210" t="str">
            <v>ОК</v>
          </cell>
          <cell r="J210" t="str">
            <v>ОК</v>
          </cell>
        </row>
        <row r="211">
          <cell r="B211" t="str">
            <v>В-00614/АЗ</v>
          </cell>
          <cell r="C211" t="str">
            <v>РОССИЯ, 353560, Краснодарский край, Славянский р-н, Славянск-на-Кубани г, Запорожская ул, дом 54</v>
          </cell>
          <cell r="D211" t="str">
            <v>РОССИЯ, 353560, Краснодарский край, Славянский р-н, Славянск-на-Кубани г, Запорожская ул, дом 54</v>
          </cell>
          <cell r="F211" t="str">
            <v>Краснодарский</v>
          </cell>
          <cell r="G211">
            <v>0.66009259259259256</v>
          </cell>
          <cell r="H211">
            <v>0.91009259259259256</v>
          </cell>
          <cell r="I211" t="str">
            <v>ОК</v>
          </cell>
          <cell r="J211" t="str">
            <v>ОК</v>
          </cell>
        </row>
        <row r="212">
          <cell r="B212" t="str">
            <v>В-00772/АЗ</v>
          </cell>
          <cell r="C212" t="str">
            <v>РОССИЯ, 121500, Москва г, Новолучанская ул, дом 5, квартира 141</v>
          </cell>
          <cell r="D212" t="str">
            <v>РОССИЯ, 143909, Московская обл, Балашиха г, Дмитриева ул, дом 2, квартира 473</v>
          </cell>
          <cell r="F212" t="str">
            <v>Московская</v>
          </cell>
          <cell r="G212">
            <v>0.66009259259259256</v>
          </cell>
          <cell r="H212">
            <v>0.91009259259259256</v>
          </cell>
          <cell r="I212" t="str">
            <v>ОК</v>
          </cell>
          <cell r="J212" t="str">
            <v>ОК</v>
          </cell>
        </row>
        <row r="213">
          <cell r="B213" t="str">
            <v>А-01405/АЗ</v>
          </cell>
          <cell r="C213" t="str">
            <v>РОССИЯ, 142432, Московская обл, Городской округ Черноголовка, Афанасово-3 д, нет, дом 16</v>
          </cell>
          <cell r="D213" t="str">
            <v>РОССИЯ, 142432, Московская обл, Городской округ Черноголовка, Афанасово-3 д, нет, дом 16</v>
          </cell>
          <cell r="F213" t="str">
            <v>Московская</v>
          </cell>
          <cell r="G213">
            <v>0.66009259259259256</v>
          </cell>
          <cell r="H213">
            <v>0.91009259259259256</v>
          </cell>
          <cell r="I213" t="str">
            <v>ОК</v>
          </cell>
          <cell r="J213" t="str">
            <v>ОК</v>
          </cell>
        </row>
        <row r="214">
          <cell r="B214" t="str">
            <v>В-00840/АЗ</v>
          </cell>
          <cell r="C214" t="str">
            <v>РОССИЯ, 140221, Московская обл, р-н Воскресенский, рп им. Цюрупы, ул Рабочий городок, д. 13, кв. 12</v>
          </cell>
          <cell r="D214" t="str">
            <v>РОССИЯ, 140343, Московская обл, Воскресенский р-н, им. Цюрупы рп, Рабочий городок ул, дом 13, квартира 12</v>
          </cell>
          <cell r="F214" t="str">
            <v>Московская</v>
          </cell>
          <cell r="G214">
            <v>0.66009259259259256</v>
          </cell>
          <cell r="H214">
            <v>0.91009259259259256</v>
          </cell>
          <cell r="I214" t="str">
            <v>ОК</v>
          </cell>
          <cell r="J214" t="str">
            <v>ОК</v>
          </cell>
        </row>
        <row r="215">
          <cell r="B215" t="str">
            <v>В-00947/КЛ.Транш - 1</v>
          </cell>
          <cell r="C215" t="str">
            <v>РОССИЯ, 140209, Московская обл, р-н Воскресенский, г Воскресенск, ул Зелинского, д. 8, кв. 57</v>
          </cell>
          <cell r="D215" t="str">
            <v>РОССИЯ, 140209, Московская обл, Воскресенский р-н, Воскресенск г, Зелинского ул, дом 8, квартира 57</v>
          </cell>
          <cell r="F215" t="str">
            <v>Московская</v>
          </cell>
          <cell r="G215">
            <v>0.66009259259259256</v>
          </cell>
          <cell r="H215">
            <v>0.91009259259259256</v>
          </cell>
          <cell r="I215" t="str">
            <v>ОК</v>
          </cell>
          <cell r="J215" t="str">
            <v>ОК</v>
          </cell>
        </row>
        <row r="216">
          <cell r="B216" t="str">
            <v>В-06215/КЛ.Транш - 1</v>
          </cell>
          <cell r="C216" t="str">
            <v>РОССИЯ, 143910, Московская обл, Балашиха г, 40 лет Победы ул, дом 5, квартира 45</v>
          </cell>
          <cell r="D216" t="str">
            <v>РОССИЯ, 143910, Московская обл, Балашиха г, 40 лет Победы ул, дом 5, квартира 45</v>
          </cell>
          <cell r="F216" t="str">
            <v>Московская</v>
          </cell>
          <cell r="G216">
            <v>0.66009259259259256</v>
          </cell>
          <cell r="H216">
            <v>0.91009259259259256</v>
          </cell>
          <cell r="I216" t="str">
            <v>ОК</v>
          </cell>
          <cell r="J216" t="str">
            <v>ОК</v>
          </cell>
        </row>
        <row r="217">
          <cell r="B217" t="str">
            <v>А-05346/АЗ_Т-20211028/Ц</v>
          </cell>
          <cell r="C217" t="str">
            <v>РОССИЯ, 196602, Санкт-Петербург г, Пушкин г, Камероновская ул, дом № 10, строение 4, квартира 4</v>
          </cell>
          <cell r="D217" t="str">
            <v>РОССИЯ, 196602, Санкт-Петербург г, Пушкин г, Камероновская ул, дом № 10, строение 4, квартира 4</v>
          </cell>
          <cell r="F217" t="str">
            <v>Москва</v>
          </cell>
          <cell r="G217">
            <v>0.66009259259259256</v>
          </cell>
          <cell r="H217">
            <v>0.91009259259259256</v>
          </cell>
          <cell r="I217" t="str">
            <v>ОК</v>
          </cell>
          <cell r="J217" t="str">
            <v>ОК</v>
          </cell>
        </row>
        <row r="218">
          <cell r="B218" t="str">
            <v>В-00313/АЗ_Т-20211028/Ц</v>
          </cell>
          <cell r="C218" t="str">
            <v>РОССИЯ, 196602, Санкт-Петербург г, Пушкин г, Камероновская ул, дом № 10, строение 4, квартира 4</v>
          </cell>
          <cell r="D218" t="str">
            <v>РОССИЯ, 196602, Санкт-Петербург г, Пушкин г, Камероновская ул, дом № 10, строение 4, квартира 4</v>
          </cell>
          <cell r="F218" t="str">
            <v>Москва</v>
          </cell>
          <cell r="G218">
            <v>0.66009259259259256</v>
          </cell>
          <cell r="H218">
            <v>0.91009259259259256</v>
          </cell>
          <cell r="I218" t="str">
            <v>ОК</v>
          </cell>
          <cell r="J218" t="str">
            <v>ОК</v>
          </cell>
        </row>
        <row r="219">
          <cell r="B219" t="str">
            <v>Т-01805/АЗ_Т-20211028/Ц</v>
          </cell>
          <cell r="C219" t="str">
            <v>РОССИЯ, 196602, Санкт-Петербург г, Пушкин г, Камероновская ул, дом № 10, строение 4, квартира 4</v>
          </cell>
          <cell r="D219" t="str">
            <v>РОССИЯ, 196602, Санкт-Петербург г, Пушкин г, Камероновская ул, дом № 10, строение 4, квартира 4</v>
          </cell>
          <cell r="F219" t="str">
            <v>Москва</v>
          </cell>
          <cell r="G219">
            <v>0.66009259259259256</v>
          </cell>
          <cell r="H219">
            <v>0.91009259259259256</v>
          </cell>
          <cell r="I219" t="str">
            <v>ОК</v>
          </cell>
          <cell r="J219" t="str">
            <v>ОК</v>
          </cell>
        </row>
        <row r="220">
          <cell r="B220" t="str">
            <v>В-00970/АЗ</v>
          </cell>
          <cell r="C220" t="str">
            <v>РОССИЯ, 188662, Ленинградская обл, Всеволожский р-н, Мурино пос., ул Школьная, д. 5Б</v>
          </cell>
          <cell r="D220" t="str">
            <v>РОССИЯ, 188662, Ленинградская обл, р-н Всеволожский, г. Мурино, ул Школьная, д. 5Б</v>
          </cell>
          <cell r="F220" t="str">
            <v>Ленинградская</v>
          </cell>
          <cell r="G220">
            <v>0.66009259259259256</v>
          </cell>
          <cell r="H220">
            <v>0.91009259259259256</v>
          </cell>
          <cell r="I220" t="str">
            <v>ОК</v>
          </cell>
          <cell r="J220" t="str">
            <v>ОК</v>
          </cell>
        </row>
        <row r="221">
          <cell r="B221" t="str">
            <v>В-19655/КЛ.Транш - 1</v>
          </cell>
          <cell r="C221" t="str">
            <v>РОССИЯ, 404145, Волгоградская обл, р-н Среднеахтубинский, с Рахинка, ул Гагарина, д. 12/2</v>
          </cell>
          <cell r="D221" t="str">
            <v>РОССИЯ, 404145, Волгоградская обл, р-н Среднеахтубинский, с Рахинка, ул Гагарина, д. 12/2</v>
          </cell>
          <cell r="F221" t="str">
            <v>Волгоградская</v>
          </cell>
          <cell r="G221">
            <v>0.66009259259259256</v>
          </cell>
          <cell r="H221">
            <v>0.9517592592592593</v>
          </cell>
          <cell r="I221" t="str">
            <v>поздно</v>
          </cell>
          <cell r="J221" t="str">
            <v>ОК</v>
          </cell>
        </row>
        <row r="222">
          <cell r="B222" t="str">
            <v>В-17232/КЛ.Транш - 1</v>
          </cell>
          <cell r="C222" t="str">
            <v>РОССИЯ, 619191, Пермский край, р-н Юсьвинский, д Сивашер, ул Поселковая, д. 3, кв. 1</v>
          </cell>
          <cell r="D222" t="str">
            <v>РОССИЯ, 614002, Пермский край, г Пермь, ул Фонтанная, д. 7, кв. 45</v>
          </cell>
          <cell r="F222" t="str">
            <v>Пермский</v>
          </cell>
          <cell r="G222">
            <v>0.66009259259259256</v>
          </cell>
          <cell r="H222">
            <v>0.99342592592592593</v>
          </cell>
          <cell r="I222" t="str">
            <v>поздно</v>
          </cell>
          <cell r="J222" t="str">
            <v>ОК</v>
          </cell>
        </row>
        <row r="223">
          <cell r="B223" t="str">
            <v>В-23509/КЛ.Транш - 1</v>
          </cell>
          <cell r="C223" t="str">
            <v>РОССИЯ, 456010, Челябинская обл, р-н Ашинский, г Аша, ул Симская, д. 81</v>
          </cell>
          <cell r="D223" t="str">
            <v>РОССИЯ, 456010, Челябинская обл, р-н Ашинский, г Аша, ул Симская, д. 81</v>
          </cell>
          <cell r="F223" t="str">
            <v>Челябинская</v>
          </cell>
          <cell r="G223">
            <v>0.66009259259259256</v>
          </cell>
          <cell r="H223">
            <v>0.99342592592592593</v>
          </cell>
          <cell r="I223" t="str">
            <v>поздно</v>
          </cell>
          <cell r="J223" t="str">
            <v>ОК</v>
          </cell>
        </row>
        <row r="224">
          <cell r="B224" t="str">
            <v>В-23509/КЛ.Транш - 2</v>
          </cell>
          <cell r="C224" t="str">
            <v>РОССИЯ, 456010, Челябинская обл, р-н Ашинский, г Аша, ул Симская, д. 81</v>
          </cell>
          <cell r="D224" t="str">
            <v>РОССИЯ, 456010, Челябинская обл, р-н Ашинский, г Аша, ул Симская, д. 81</v>
          </cell>
          <cell r="F224" t="str">
            <v>Челябинская</v>
          </cell>
          <cell r="G224">
            <v>0.66009259259259256</v>
          </cell>
          <cell r="H224">
            <v>0.99342592592592593</v>
          </cell>
          <cell r="I224" t="str">
            <v>поздно</v>
          </cell>
          <cell r="J224" t="str">
            <v>ОК</v>
          </cell>
        </row>
        <row r="225">
          <cell r="B225" t="str">
            <v>В-04724/КЛ.Транш - 3</v>
          </cell>
          <cell r="C225" t="str">
            <v>РОССИЯ, 353547, Краснодарский край, Темрюкский р-н, Кучугуры п, Мира ул, дом 30</v>
          </cell>
          <cell r="D225" t="str">
            <v>РОССИЯ, 353547, Краснодарский край, Темрюкский р-н, Кучугуры п, Мира ул, дом 30</v>
          </cell>
          <cell r="F225" t="str">
            <v>Краснодарский</v>
          </cell>
          <cell r="G225">
            <v>0.66009259259259256</v>
          </cell>
          <cell r="H225">
            <v>0.91009259259259256</v>
          </cell>
          <cell r="I225" t="str">
            <v>ОК</v>
          </cell>
          <cell r="J225" t="str">
            <v>ОК</v>
          </cell>
        </row>
        <row r="226">
          <cell r="B226" t="str">
            <v>В-22163/КЛ.Транш - 1</v>
          </cell>
          <cell r="C226" t="str">
            <v>РОССИЯ, 299028, Севастополь г, ул Павла Дыбенко, д. 24, кв. 26</v>
          </cell>
          <cell r="D226" t="str">
            <v>РОССИЯ, 299028, Севастополь г, ул Павла Дыбенко, д. 24, кв. 26</v>
          </cell>
          <cell r="F226" t="str">
            <v>Москва</v>
          </cell>
          <cell r="G226">
            <v>0.66009259259259256</v>
          </cell>
          <cell r="H226">
            <v>0.91009259259259256</v>
          </cell>
          <cell r="I226" t="str">
            <v>ОК</v>
          </cell>
          <cell r="J226" t="str">
            <v>ОК</v>
          </cell>
        </row>
        <row r="227">
          <cell r="B227" t="str">
            <v>В-09725/КЛ.Транш - 1</v>
          </cell>
          <cell r="C227" t="str">
            <v>РОССИЯ, 352800, Краснодарский край, Туапсинский р-н, Туапсе г, Рабфаковская ул, дом 36, квартира 32</v>
          </cell>
          <cell r="D227" t="str">
            <v>РОССИЯ, 352800, Краснодарский край, Туапсинский р-н, Туапсе г, Рабфаковская ул, дом 36, квартира 32</v>
          </cell>
          <cell r="F227" t="str">
            <v>Краснодарский</v>
          </cell>
          <cell r="G227">
            <v>0.66009259259259256</v>
          </cell>
          <cell r="H227">
            <v>0.91009259259259256</v>
          </cell>
          <cell r="I227" t="str">
            <v>ОК</v>
          </cell>
          <cell r="J227" t="str">
            <v>ОК</v>
          </cell>
        </row>
        <row r="228">
          <cell r="B228" t="str">
            <v>В-27260/АЗ</v>
          </cell>
          <cell r="C228" t="str">
            <v>РОССИЯ, 432025, Ульяновская обл, г Ульяновск, ул Казанская, д. 50/25</v>
          </cell>
          <cell r="D228" t="str">
            <v>РОССИЯ, 432025, Ульяновская обл, г Ульяновск, ул Казанская, д. 50/25</v>
          </cell>
          <cell r="F228" t="str">
            <v>Ульяновская</v>
          </cell>
          <cell r="G228">
            <v>0.66009259259259256</v>
          </cell>
          <cell r="H228">
            <v>0.9517592592592593</v>
          </cell>
          <cell r="I228" t="str">
            <v>поздно</v>
          </cell>
          <cell r="J228" t="str">
            <v>ОК</v>
          </cell>
        </row>
        <row r="229">
          <cell r="B229" t="str">
            <v>В-00806/АЗ_В-20211230/Ц</v>
          </cell>
          <cell r="C229" t="str">
            <v>РОССИЯ, 141021, Московская обл, Мытищи г, Лётная ул, дом 36, корпус 3, квартира 18</v>
          </cell>
          <cell r="D229" t="str">
            <v>РОССИЯ, 141021, Московская обл, Мытищи г, Лётная ул, дом 36, корпус 3, квартира 18</v>
          </cell>
          <cell r="F229" t="str">
            <v>Московская</v>
          </cell>
          <cell r="G229">
            <v>0.66009259259259256</v>
          </cell>
          <cell r="H229">
            <v>0.91009259259259256</v>
          </cell>
          <cell r="I229" t="str">
            <v>ОК</v>
          </cell>
          <cell r="J229" t="str">
            <v>ОК</v>
          </cell>
        </row>
        <row r="230">
          <cell r="B230" t="str">
            <v>В-08212/КЛ.Транш - 4</v>
          </cell>
          <cell r="C230" t="str">
            <v>РОССИЯ, 352386, Краснодарский край, Кавказский р-н, Кропоткин г., 10 Северный пр-д, дом 13</v>
          </cell>
          <cell r="D230" t="str">
            <v>РОССИЯ, 352386, Краснодарский край, Кавказский р-н, Кропоткин г., 10 Северный пр-д, дом 13</v>
          </cell>
          <cell r="F230" t="str">
            <v>Краснодарский</v>
          </cell>
          <cell r="G230">
            <v>0.66009259259259256</v>
          </cell>
          <cell r="H230">
            <v>0.91009259259259256</v>
          </cell>
          <cell r="I230" t="str">
            <v>ОК</v>
          </cell>
          <cell r="J230" t="str">
            <v>ОК</v>
          </cell>
        </row>
        <row r="231">
          <cell r="B231" t="str">
            <v>В-08212/КЛ.Транш - 5</v>
          </cell>
          <cell r="C231" t="str">
            <v>РОССИЯ, 352386, Краснодарский край, Кавказский р-н, Кропоткин г., 10 Северный пр-д, дом 13</v>
          </cell>
          <cell r="D231" t="str">
            <v>РОССИЯ, 352386, Краснодарский край, Кавказский р-н, Кропоткин г., 10 Северный пр-д, дом 13</v>
          </cell>
          <cell r="F231" t="str">
            <v>Краснодарский</v>
          </cell>
          <cell r="G231">
            <v>0.66009259259259256</v>
          </cell>
          <cell r="H231">
            <v>0.91009259259259256</v>
          </cell>
          <cell r="I231" t="str">
            <v>ОК</v>
          </cell>
          <cell r="J231" t="str">
            <v>ОК</v>
          </cell>
        </row>
        <row r="232">
          <cell r="B232" t="str">
            <v>В-08212/КЛ.Транш - 6</v>
          </cell>
          <cell r="C232" t="str">
            <v>РОССИЯ, 352386, Краснодарский край, Кавказский р-н, Кропоткин г., 10 Северный пр-д, дом 13</v>
          </cell>
          <cell r="D232" t="str">
            <v>РОССИЯ, 352386, Краснодарский край, Кавказский р-н, Кропоткин г., 10 Северный пр-д, дом 13</v>
          </cell>
          <cell r="F232" t="str">
            <v>Краснодарский</v>
          </cell>
          <cell r="G232">
            <v>0.66009259259259256</v>
          </cell>
          <cell r="H232">
            <v>0.91009259259259256</v>
          </cell>
          <cell r="I232" t="str">
            <v>ОК</v>
          </cell>
          <cell r="J232" t="str">
            <v>ОК</v>
          </cell>
        </row>
        <row r="233">
          <cell r="B233" t="str">
            <v>В-08212/КЛ.Транш - 7</v>
          </cell>
          <cell r="C233" t="str">
            <v>РОССИЯ, 352386, Краснодарский край, Кавказский р-н, Кропоткин г., 10 Северный пр-д, дом 13</v>
          </cell>
          <cell r="D233" t="str">
            <v>РОССИЯ, 352386, Краснодарский край, Кавказский р-н, Кропоткин г., 10 Северный пр-д, дом 13</v>
          </cell>
          <cell r="F233" t="str">
            <v>Краснодарский</v>
          </cell>
          <cell r="G233">
            <v>0.66009259259259256</v>
          </cell>
          <cell r="H233">
            <v>0.91009259259259256</v>
          </cell>
          <cell r="I233" t="str">
            <v>ОК</v>
          </cell>
          <cell r="J233" t="str">
            <v>ОК</v>
          </cell>
        </row>
        <row r="234">
          <cell r="B234" t="str">
            <v>А-05459/АЗ</v>
          </cell>
          <cell r="C234" t="str">
            <v>РОССИЯ, 119361, Москва г, Озерная ул, дом № 31, корпус 2, квартира 31</v>
          </cell>
          <cell r="D234" t="str">
            <v>РОССИЯ, 119361, Москва г, Озерная ул, дом № 31, корпус 2, квартира 31</v>
          </cell>
          <cell r="F234" t="str">
            <v>Москва</v>
          </cell>
          <cell r="G234">
            <v>0.66009259259259256</v>
          </cell>
          <cell r="H234">
            <v>0.91009259259259256</v>
          </cell>
          <cell r="I234" t="str">
            <v>ОК</v>
          </cell>
          <cell r="J234" t="str">
            <v>ОК</v>
          </cell>
        </row>
        <row r="235">
          <cell r="B235" t="str">
            <v>В-00942/АЗ</v>
          </cell>
          <cell r="C235" t="str">
            <v>РОССИЯ, 119361, Москва г, Озерная ул, дом № 31, корпус 2, квартира 31</v>
          </cell>
          <cell r="D235" t="str">
            <v>РОССИЯ, 119361, Москва г, Озерная ул, дом № 31, корпус 2, квартира 31</v>
          </cell>
          <cell r="F235" t="str">
            <v>Москва</v>
          </cell>
          <cell r="G235">
            <v>0.66009259259259256</v>
          </cell>
          <cell r="H235">
            <v>0.91009259259259256</v>
          </cell>
          <cell r="I235" t="str">
            <v>ОК</v>
          </cell>
          <cell r="J235" t="str">
            <v>ОК</v>
          </cell>
        </row>
        <row r="236">
          <cell r="B236" t="str">
            <v>В-24140/АЗ</v>
          </cell>
          <cell r="C236" t="str">
            <v>РОССИЯ, 119361, Москва г, Озерная ул, дом № 31, корпус 2, квартира 31</v>
          </cell>
          <cell r="D236" t="str">
            <v>РОССИЯ, 119361, Москва г, Озерная ул, дом № 31, корпус 2, квартира 31</v>
          </cell>
          <cell r="F236" t="str">
            <v>Москва</v>
          </cell>
          <cell r="G236">
            <v>0.66009259259259256</v>
          </cell>
          <cell r="H236">
            <v>0.91009259259259256</v>
          </cell>
          <cell r="I236" t="str">
            <v>ОК</v>
          </cell>
          <cell r="J236" t="str">
            <v>ОК</v>
          </cell>
        </row>
        <row r="237">
          <cell r="B237" t="str">
            <v>В-21795/КЛ.Транш - 1</v>
          </cell>
          <cell r="C237" t="str">
            <v>РОССИЯ, 142701, Московская обл, г Видное, ул Советская, д. 30, кв. 111</v>
          </cell>
          <cell r="D237" t="str">
            <v>РОССИЯ, 142701, Московская обл, г Видное, ул Советская, д. 30, кв. 111</v>
          </cell>
          <cell r="F237" t="str">
            <v>Московская</v>
          </cell>
          <cell r="G237">
            <v>0.66009259259259256</v>
          </cell>
          <cell r="H237">
            <v>0.91009259259259256</v>
          </cell>
          <cell r="I237" t="str">
            <v>ОК</v>
          </cell>
          <cell r="J237" t="str">
            <v>ОК</v>
          </cell>
        </row>
        <row r="238">
          <cell r="B238" t="str">
            <v>В-15838/КЛ.Транш - 1</v>
          </cell>
          <cell r="C238" t="str">
            <v>РОССИЯ, 105264, Москва г, 5-я Парковая ул, дом 41, квартира 6</v>
          </cell>
          <cell r="D238" t="str">
            <v>РОССИЯ, 105264, Москва г, 5-я Парковая ул, дом 41, квартира 6</v>
          </cell>
          <cell r="F238" t="str">
            <v>Москва</v>
          </cell>
          <cell r="G238">
            <v>0.66009259259259256</v>
          </cell>
          <cell r="H238">
            <v>0.91009259259259256</v>
          </cell>
          <cell r="I238" t="str">
            <v>ОК</v>
          </cell>
          <cell r="J238" t="str">
            <v>ОК</v>
          </cell>
        </row>
        <row r="239">
          <cell r="B239" t="str">
            <v>В-15838/КЛ.Транш - 2</v>
          </cell>
          <cell r="C239" t="str">
            <v>РОССИЯ, 105264, Москва г, 5-я Парковая ул, дом 41, квартира 6</v>
          </cell>
          <cell r="D239" t="str">
            <v>РОССИЯ, 105264, Москва г, 5-я Парковая ул, дом 41, квартира 6</v>
          </cell>
          <cell r="F239" t="str">
            <v>Москва</v>
          </cell>
          <cell r="G239">
            <v>0.66009259259259256</v>
          </cell>
          <cell r="H239">
            <v>0.91009259259259256</v>
          </cell>
          <cell r="I239" t="str">
            <v>ОК</v>
          </cell>
          <cell r="J239" t="str">
            <v>ОК</v>
          </cell>
        </row>
        <row r="240">
          <cell r="B240" t="str">
            <v>В-17458/КЛ.Транш - 1_В-20211230/Ц</v>
          </cell>
          <cell r="C240" t="str">
            <v>РОССИЯ, 350087, Краснодарский край, г Краснодар, ул им. Евгении Жигуленко, д. 9, кв. 87</v>
          </cell>
          <cell r="D240" t="str">
            <v>РОССИЯ, 350087, Краснодарский край, г Краснодар, ул им. Евгении Жигуленко, д. 9, кв. 87</v>
          </cell>
          <cell r="F240" t="str">
            <v>Краснодарский</v>
          </cell>
          <cell r="G240">
            <v>0.66009259259259256</v>
          </cell>
          <cell r="H240">
            <v>0.91009259259259256</v>
          </cell>
          <cell r="I240" t="str">
            <v>ОК</v>
          </cell>
          <cell r="J240" t="str">
            <v>ОК</v>
          </cell>
        </row>
        <row r="241">
          <cell r="B241" t="str">
            <v>В-14254/КЛ.Транш - 1</v>
          </cell>
          <cell r="C241" t="str">
            <v>РОССИЯ, 301369, Тульская обл, Алексинский р-н, Алексин г, 50 лет Октября ул, дом 7А, квартира 6</v>
          </cell>
          <cell r="D241" t="str">
            <v>РОССИЯ, 142500, Московская обл, Сергиев Посад г, Ильинская ул, дом 1, корпус 5, квартира 3427</v>
          </cell>
          <cell r="F241" t="str">
            <v>Московская</v>
          </cell>
          <cell r="G241">
            <v>0.66009259259259256</v>
          </cell>
          <cell r="H241">
            <v>0.91009259259259256</v>
          </cell>
          <cell r="I241" t="str">
            <v>ОК</v>
          </cell>
          <cell r="J241" t="str">
            <v>ОК</v>
          </cell>
        </row>
        <row r="242">
          <cell r="B242" t="str">
            <v>В-19684/КЛ.Транш - 1</v>
          </cell>
          <cell r="C242" t="str">
            <v>РОССИЯ, 197343, Санкт-Петербург г, ул Матроса Железняка, д. 17, литера А, кв. 4</v>
          </cell>
          <cell r="D242" t="str">
            <v>РОССИЯ, 197343, Санкт-Петербург г, ул Матроса Железняка, д. 17, литера А, кв. 4</v>
          </cell>
          <cell r="F242" t="str">
            <v>Москва</v>
          </cell>
          <cell r="G242">
            <v>0.66009259259259256</v>
          </cell>
          <cell r="H242">
            <v>0.91009259259259256</v>
          </cell>
          <cell r="I242" t="str">
            <v>ОК</v>
          </cell>
          <cell r="J242" t="str">
            <v>ОК</v>
          </cell>
        </row>
        <row r="243">
          <cell r="B243" t="str">
            <v>В-25922/КЛ.Транш - 1</v>
          </cell>
          <cell r="C243" t="str">
            <v>РОССИЯ, 353212, Краснодарский край, Динской р-н, Нововеличковская ст-ца, Почтовая ул, дом 34</v>
          </cell>
          <cell r="D243" t="str">
            <v>РОССИЯ, 353212, Краснодарский край, Динской р-н, Нововеличковская ст-ца, Почтовая ул, дом 34</v>
          </cell>
          <cell r="F243" t="str">
            <v>Краснодарский</v>
          </cell>
          <cell r="G243">
            <v>0.66009259259259256</v>
          </cell>
          <cell r="H243">
            <v>0.91009259259259256</v>
          </cell>
          <cell r="I243" t="str">
            <v>ОК</v>
          </cell>
          <cell r="J243" t="str">
            <v>ОК</v>
          </cell>
        </row>
        <row r="244">
          <cell r="B244" t="str">
            <v>В-25922/КЛ.Транш - 2</v>
          </cell>
          <cell r="C244" t="str">
            <v>РОССИЯ, 353212, Краснодарский край, Динской р-н, Нововеличковская ст-ца, Почтовая ул, дом 34</v>
          </cell>
          <cell r="D244" t="str">
            <v>РОССИЯ, 353212, Краснодарский край, Динской р-н, Нововеличковская ст-ца, Почтовая ул, дом 34</v>
          </cell>
          <cell r="F244" t="str">
            <v>Краснодарский</v>
          </cell>
          <cell r="G244">
            <v>0.66009259259259256</v>
          </cell>
          <cell r="H244">
            <v>0.91009259259259256</v>
          </cell>
          <cell r="I244" t="str">
            <v>ОК</v>
          </cell>
          <cell r="J244" t="str">
            <v>ОК</v>
          </cell>
        </row>
        <row r="245">
          <cell r="B245" t="str">
            <v>В-16357/КЛ.Транш - 2</v>
          </cell>
          <cell r="C245" t="str">
            <v>РОССИЯ, 115597, Москва г, Воронежская ул, дом 46, корпус 1, квартира 193</v>
          </cell>
          <cell r="D245" t="str">
            <v>РОССИЯ, 141018, Московская обл, Мытищи г, Благовещенская ул, дом 9, квартира 88</v>
          </cell>
          <cell r="F245" t="str">
            <v>Московская</v>
          </cell>
          <cell r="G245">
            <v>0.66009259259259256</v>
          </cell>
          <cell r="H245">
            <v>0.91009259259259256</v>
          </cell>
          <cell r="I245" t="str">
            <v>ОК</v>
          </cell>
          <cell r="J245" t="str">
            <v>ОК</v>
          </cell>
        </row>
        <row r="246">
          <cell r="B246" t="str">
            <v>В-00948/КЛ.Транш - 1</v>
          </cell>
          <cell r="C246" t="str">
            <v>РОССИЯ, 192071, Санкт-Петербург г, пр-кт Славы, д. 22, литера А, кв. 62</v>
          </cell>
          <cell r="D246" t="str">
            <v>РОССИЯ, 192071, Санкт-Петербург г, Славы пр-кт, дом № 22, квартира 62</v>
          </cell>
          <cell r="F246" t="str">
            <v>Москва</v>
          </cell>
          <cell r="G246">
            <v>0.66009259259259256</v>
          </cell>
          <cell r="H246">
            <v>0.91009259259259256</v>
          </cell>
          <cell r="I246" t="str">
            <v>ОК</v>
          </cell>
          <cell r="J246" t="str">
            <v>ОК</v>
          </cell>
        </row>
        <row r="247">
          <cell r="B247" t="str">
            <v>В-00820/АЗ</v>
          </cell>
          <cell r="C247" t="str">
            <v>РОССИЯ, 353290, Краснодарский край, Горячий Ключ г, Красноармейская ул, дом 26</v>
          </cell>
          <cell r="D247" t="str">
            <v>РОССИЯ, 353290, Краснодарский край, Горячий Ключ г, Красноармейская ул, дом 26</v>
          </cell>
          <cell r="F247" t="str">
            <v>Краснодарский</v>
          </cell>
          <cell r="G247">
            <v>0.66009259259259256</v>
          </cell>
          <cell r="H247">
            <v>0.91009259259259256</v>
          </cell>
          <cell r="I247" t="str">
            <v>ОК</v>
          </cell>
          <cell r="J247" t="str">
            <v>ОК</v>
          </cell>
        </row>
        <row r="248">
          <cell r="B248" t="str">
            <v>В-22677/КЛ.Транш - 1</v>
          </cell>
          <cell r="C248" t="str">
            <v>РОССИЯ, 357101, Ставропольский край, г Невинномысск, ул Репина, д. 4, кв. 3</v>
          </cell>
          <cell r="D248" t="str">
            <v>РОССИЯ, 357101, Ставропольский край, г Невинномысск, ул Репина, д. 4, кв. 3</v>
          </cell>
          <cell r="F248" t="str">
            <v>Ставропольский</v>
          </cell>
          <cell r="G248">
            <v>0.66009259259259256</v>
          </cell>
          <cell r="H248">
            <v>0.91009259259259256</v>
          </cell>
          <cell r="I248" t="str">
            <v>ОК</v>
          </cell>
          <cell r="J248" t="str">
            <v>ОК</v>
          </cell>
        </row>
        <row r="249">
          <cell r="B249" t="str">
            <v>В-10934/КЛ.Транш - 1_В-20211230/Ц</v>
          </cell>
          <cell r="C249" t="str">
            <v>РОССИЯ, 156011, Костромская обл, Кострома г, Березовый проезд, дом 5, квартира 1А</v>
          </cell>
          <cell r="D249" t="str">
            <v>РОССИЯ, 156011, Костромская обл, Кострома г, Березовый проезд, дом 5, квартира 1А</v>
          </cell>
          <cell r="F249" t="str">
            <v>Костромская</v>
          </cell>
          <cell r="G249">
            <v>0.66009259259259256</v>
          </cell>
          <cell r="H249">
            <v>0.91009259259259256</v>
          </cell>
          <cell r="I249" t="str">
            <v>ОК</v>
          </cell>
          <cell r="J249" t="str">
            <v>ОК</v>
          </cell>
        </row>
        <row r="250">
          <cell r="B250" t="str">
            <v>В-10934/КЛ.Транш - 2_В-20211230/Ц</v>
          </cell>
          <cell r="C250" t="str">
            <v>РОССИЯ, 156011, Костромская обл, Кострома г, Березовый проезд, дом 5, квартира 1А</v>
          </cell>
          <cell r="D250" t="str">
            <v>РОССИЯ, 156011, Костромская обл, Кострома г, Березовый проезд, дом 5, квартира 1А</v>
          </cell>
          <cell r="F250" t="str">
            <v>Костромская</v>
          </cell>
          <cell r="G250">
            <v>0.66009259259259256</v>
          </cell>
          <cell r="H250">
            <v>0.91009259259259256</v>
          </cell>
          <cell r="I250" t="str">
            <v>ОК</v>
          </cell>
          <cell r="J250" t="str">
            <v>ОК</v>
          </cell>
        </row>
        <row r="251">
          <cell r="B251" t="str">
            <v>В-11934/КЛ.Транш - 2</v>
          </cell>
          <cell r="C251" t="str">
            <v>РОССИЯ, 141290, Московская обл, Пушкино г, Царёво с, дом 103</v>
          </cell>
          <cell r="D251" t="str">
            <v>РОССИЯ, 127562, Москва г, Каргопольская ул, дом 11, корпус 2, квартира 26</v>
          </cell>
          <cell r="F251" t="str">
            <v>Москва</v>
          </cell>
          <cell r="G251">
            <v>0.66009259259259256</v>
          </cell>
          <cell r="H251">
            <v>0.91009259259259256</v>
          </cell>
          <cell r="I251" t="str">
            <v>ОК</v>
          </cell>
          <cell r="J251" t="str">
            <v>ОК</v>
          </cell>
        </row>
        <row r="252">
          <cell r="B252" t="str">
            <v>В-11934/КЛ.Транш - 4</v>
          </cell>
          <cell r="C252" t="str">
            <v>РОССИЯ, 141290, Московская обл, Пушкино г, Царёво с, дом 103</v>
          </cell>
          <cell r="D252" t="str">
            <v>РОССИЯ, 127562, Москва г, Каргопольская ул, дом 11, корпус 2, квартира 26</v>
          </cell>
          <cell r="F252" t="str">
            <v>Москва</v>
          </cell>
          <cell r="G252">
            <v>0.66009259259259256</v>
          </cell>
          <cell r="H252">
            <v>0.91009259259259256</v>
          </cell>
          <cell r="I252" t="str">
            <v>ОК</v>
          </cell>
          <cell r="J252" t="str">
            <v>ОК</v>
          </cell>
        </row>
        <row r="253">
          <cell r="B253" t="str">
            <v>В-11162/КЛ.Транш - 1</v>
          </cell>
          <cell r="C253" t="str">
            <v>РОССИЯ, 199226, Санкт-Петербург г, Александра Грина б-р, дом 2, корпус 1, строение 1, квартира 484</v>
          </cell>
          <cell r="D253" t="str">
            <v>РОССИЯ, 199226, Санкт-Петербург г, Александра Грина б-р, дом 2, корпус 1, строение 1, квартира 484</v>
          </cell>
          <cell r="F253" t="str">
            <v>Москва</v>
          </cell>
          <cell r="G253">
            <v>0.66009259259259256</v>
          </cell>
          <cell r="H253">
            <v>0.91009259259259256</v>
          </cell>
          <cell r="I253" t="str">
            <v>ОК</v>
          </cell>
          <cell r="J253" t="str">
            <v>ОК</v>
          </cell>
        </row>
        <row r="254">
          <cell r="B254" t="str">
            <v>В-18050/КЛ.Транш - 1</v>
          </cell>
          <cell r="C254" t="str">
            <v>РОССИЯ, 363029, Северная Осетия - Алания респ, р-н Правобережный, г Беслан, ул Генерала Плиева, д. 7, кв. 48</v>
          </cell>
          <cell r="D254" t="str">
            <v>РОССИЯ, 143915, Московская обл, г.о. городской округ Балашиха, г Балашиха, ул Свердлова, д. 53, кв. 27</v>
          </cell>
          <cell r="F254" t="str">
            <v>Московская</v>
          </cell>
          <cell r="G254">
            <v>0.66009259259259256</v>
          </cell>
          <cell r="H254">
            <v>0.91009259259259256</v>
          </cell>
          <cell r="I254" t="str">
            <v>ОК</v>
          </cell>
          <cell r="J254" t="str">
            <v>ОК</v>
          </cell>
        </row>
        <row r="255">
          <cell r="B255" t="str">
            <v>В-18050/КЛ.Транш - 2</v>
          </cell>
          <cell r="C255" t="str">
            <v>РОССИЯ, 363029, Северная Осетия - Алания респ, р-н Правобережный, г Беслан, ул Генерала Плиева, д. 7, кв. 48</v>
          </cell>
          <cell r="D255" t="str">
            <v>РОССИЯ, 143915, Московская обл, г.о. городской округ Балашиха, г Балашиха, ул Свердлова, д. 53, кв. 27</v>
          </cell>
          <cell r="F255" t="str">
            <v>Московская</v>
          </cell>
          <cell r="G255">
            <v>0.66009259259259256</v>
          </cell>
          <cell r="H255">
            <v>0.91009259259259256</v>
          </cell>
          <cell r="I255" t="str">
            <v>ОК</v>
          </cell>
          <cell r="J255" t="str">
            <v>ОК</v>
          </cell>
        </row>
        <row r="256">
          <cell r="B256" t="str">
            <v>В-13254/КЛ.Транш - 1_В-20211230/Ц</v>
          </cell>
          <cell r="C256" t="str">
            <v>РОССИЯ, 195297, Санкт-Петербург г, пр-кт Светлановский, д. 109, к. 2, литера А, кв. 105</v>
          </cell>
          <cell r="D256" t="str">
            <v>РОССИЯ, 195297, Санкт-Петербург г, Светлановский пр-кт, дом 109, корпус 2, квартира 105</v>
          </cell>
          <cell r="F256" t="str">
            <v>Москва</v>
          </cell>
          <cell r="G256">
            <v>0.66009259259259256</v>
          </cell>
          <cell r="H256">
            <v>0.91009259259259256</v>
          </cell>
          <cell r="I256" t="str">
            <v>ОК</v>
          </cell>
          <cell r="J256" t="str">
            <v>ОК</v>
          </cell>
        </row>
        <row r="257">
          <cell r="B257" t="str">
            <v>В-00068/КЭ.Транш - 1</v>
          </cell>
          <cell r="C257" t="str">
            <v>143405, Московская обл, г Красногорск, ул Молодёжная, д. 4, кв. 745</v>
          </cell>
          <cell r="F257" t="str">
            <v>Москва</v>
          </cell>
          <cell r="G257">
            <v>0.66009259259259256</v>
          </cell>
          <cell r="H257">
            <v>0.91009259259259256</v>
          </cell>
          <cell r="I257" t="str">
            <v>ОК</v>
          </cell>
          <cell r="J257" t="str">
            <v>ОК</v>
          </cell>
        </row>
        <row r="258">
          <cell r="B258" t="str">
            <v>В-25705/КЛ.Транш - 1</v>
          </cell>
          <cell r="C258" t="str">
            <v>РОССИЯ, 140231, Московская обл, г.о. Воскресенск, с Ашитково, ул Парковая, д. 9/2, кв. 47</v>
          </cell>
          <cell r="D258" t="str">
            <v>РОССИЯ, 140231, Московская обл, г.о. Воскресенск, с Ашитково, ул Парковая, д. 9/2, кв. 47</v>
          </cell>
          <cell r="F258" t="str">
            <v>Московская</v>
          </cell>
          <cell r="G258">
            <v>0.66009259259259256</v>
          </cell>
          <cell r="H258">
            <v>0.91009259259259256</v>
          </cell>
          <cell r="I258" t="str">
            <v>ОК</v>
          </cell>
          <cell r="J258" t="str">
            <v>ОК</v>
          </cell>
        </row>
        <row r="259">
          <cell r="B259" t="str">
            <v>В-23881/КЛ.Транш - 1</v>
          </cell>
          <cell r="C259" t="str">
            <v>РОССИЯ, 299014, Севастополь г, ш Крепостное, д. 2</v>
          </cell>
          <cell r="D259" t="str">
            <v>РОССИЯ, 299016, Севастополь г, ул Челюскинцев, д. 57/3, кв. 1</v>
          </cell>
          <cell r="F259" t="str">
            <v>Москва</v>
          </cell>
          <cell r="G259">
            <v>0.66009259259259256</v>
          </cell>
          <cell r="H259">
            <v>0.91009259259259256</v>
          </cell>
          <cell r="I259" t="str">
            <v>ОК</v>
          </cell>
          <cell r="J259" t="str">
            <v>ОК</v>
          </cell>
        </row>
        <row r="260">
          <cell r="B260" t="str">
            <v>В-23881/КЛ.Транш - 2</v>
          </cell>
          <cell r="C260" t="str">
            <v>РОССИЯ, 299014, Севастополь г, ш Крепостное, д. 2</v>
          </cell>
          <cell r="D260" t="str">
            <v>РОССИЯ, 299016, Севастополь г, ул Челюскинцев, д. 57/3, кв. 1</v>
          </cell>
          <cell r="F260" t="str">
            <v>Москва</v>
          </cell>
          <cell r="G260">
            <v>0.66009259259259256</v>
          </cell>
          <cell r="H260">
            <v>0.91009259259259256</v>
          </cell>
          <cell r="I260" t="str">
            <v>ОК</v>
          </cell>
          <cell r="J260" t="str">
            <v>ОК</v>
          </cell>
        </row>
        <row r="261">
          <cell r="B261" t="str">
            <v>В-01024/АЗ</v>
          </cell>
          <cell r="C261" t="str">
            <v>РОССИЯ, Чеченская респ, Грозный г, Октябрьский р-н, ул им Куйбышева, дом 168</v>
          </cell>
          <cell r="D261" t="str">
            <v>РОССИЯ, 121099, Москва г, Новый Арбат ул, дом 29, квартира 65</v>
          </cell>
          <cell r="F261" t="str">
            <v>Москва</v>
          </cell>
          <cell r="G261">
            <v>0.66009259259259256</v>
          </cell>
          <cell r="H261">
            <v>0.91009259259259256</v>
          </cell>
          <cell r="I261" t="str">
            <v>ОК</v>
          </cell>
          <cell r="J261" t="str">
            <v>ОК</v>
          </cell>
        </row>
        <row r="262">
          <cell r="B262" t="str">
            <v>Т-01914/АЗ_Т-20211028/Ц</v>
          </cell>
          <cell r="C262" t="str">
            <v>РОССИЯ, 109444, Москва г, Ташкентская ул, дом 24, корпус 2, квартира 51</v>
          </cell>
          <cell r="D262" t="str">
            <v>РОССИЯ, 109444, Москва г, Ташкентская ул, дом 24, корпус 2, квартира 51</v>
          </cell>
          <cell r="F262" t="str">
            <v>Москва</v>
          </cell>
          <cell r="G262">
            <v>0.66009259259259256</v>
          </cell>
          <cell r="H262">
            <v>0.91009259259259256</v>
          </cell>
          <cell r="I262" t="str">
            <v>ОК</v>
          </cell>
          <cell r="J262" t="str">
            <v>ОК</v>
          </cell>
        </row>
        <row r="263">
          <cell r="B263" t="str">
            <v>В-00974/АЗ</v>
          </cell>
          <cell r="C263" t="str">
            <v>РОССИЯ, 115193, Москва г, Сайкина ул, дом № 11/2, квартира 83</v>
          </cell>
          <cell r="D263" t="str">
            <v>РОССИЯ, 115193, Москва г, Сайкина ул, дом № 11/2, квартира 83</v>
          </cell>
          <cell r="F263" t="str">
            <v>Москва</v>
          </cell>
          <cell r="G263">
            <v>0.66009259259259256</v>
          </cell>
          <cell r="H263">
            <v>0.91009259259259256</v>
          </cell>
          <cell r="I263" t="str">
            <v>ОК</v>
          </cell>
          <cell r="J263" t="str">
            <v>ОК</v>
          </cell>
        </row>
        <row r="264">
          <cell r="B264" t="str">
            <v>В-14005/КЛ.Транш - 1</v>
          </cell>
          <cell r="C264" t="str">
            <v>РОССИЯ, 460005, Оренбургская обл, Оренбург г, Терешковой ул, дом 114</v>
          </cell>
          <cell r="D264" t="str">
            <v>РОССИЯ, 460005, Оренбургская обл, Оренбург г, Терешковой ул, дом 114</v>
          </cell>
          <cell r="F264" t="str">
            <v>Оренбургская</v>
          </cell>
          <cell r="G264">
            <v>0.66009259259259256</v>
          </cell>
          <cell r="H264">
            <v>0.99342592592592593</v>
          </cell>
          <cell r="I264" t="str">
            <v>поздно</v>
          </cell>
          <cell r="J264" t="str">
            <v>ОК</v>
          </cell>
        </row>
        <row r="265">
          <cell r="B265" t="str">
            <v>В-14005/КЛ.Транш - 2</v>
          </cell>
          <cell r="C265" t="str">
            <v>РОССИЯ, 460005, Оренбургская обл, Оренбург г, Терешковой ул, дом 114</v>
          </cell>
          <cell r="D265" t="str">
            <v>РОССИЯ, 460005, Оренбургская обл, Оренбург г, Терешковой ул, дом 114</v>
          </cell>
          <cell r="F265" t="str">
            <v>Оренбургская</v>
          </cell>
          <cell r="G265">
            <v>0.66009259259259256</v>
          </cell>
          <cell r="H265">
            <v>0.99342592592592593</v>
          </cell>
          <cell r="I265" t="str">
            <v>поздно</v>
          </cell>
          <cell r="J265" t="str">
            <v>ОК</v>
          </cell>
        </row>
        <row r="266">
          <cell r="B266" t="str">
            <v>В-14005/КЛ.Транш - 3</v>
          </cell>
          <cell r="C266" t="str">
            <v>РОССИЯ, 460005, Оренбургская обл, Оренбург г, Терешковой ул, дом 114</v>
          </cell>
          <cell r="D266" t="str">
            <v>РОССИЯ, 460005, Оренбургская обл, Оренбург г, Терешковой ул, дом 114</v>
          </cell>
          <cell r="F266" t="str">
            <v>Оренбургская</v>
          </cell>
          <cell r="G266">
            <v>0.66009259259259256</v>
          </cell>
          <cell r="H266">
            <v>0.99342592592592593</v>
          </cell>
          <cell r="I266" t="str">
            <v>поздно</v>
          </cell>
          <cell r="J266" t="str">
            <v>ОК</v>
          </cell>
        </row>
        <row r="267">
          <cell r="B267" t="str">
            <v>В-25548/КЛ.Транш - 1</v>
          </cell>
          <cell r="C267" t="str">
            <v>РОССИЯ, 662980, Красноярский край, г Железногорск, проезд Мира, д. 7, кв. 107</v>
          </cell>
          <cell r="D267" t="str">
            <v>РОССИЯ, 662980, Красноярский край, г Железногорск, проезд Мира, д. 7, кв. 107</v>
          </cell>
          <cell r="F267" t="str">
            <v>Красноярский</v>
          </cell>
          <cell r="G267">
            <v>0.66009259259259256</v>
          </cell>
          <cell r="H267">
            <v>7.6759259259259194E-2</v>
          </cell>
          <cell r="I267" t="str">
            <v>поздно</v>
          </cell>
          <cell r="J267" t="str">
            <v>ОК</v>
          </cell>
        </row>
        <row r="268">
          <cell r="B268" t="str">
            <v>А-05082/АЗ</v>
          </cell>
          <cell r="C268" t="str">
            <v>РОССИЯ, 190031, Санкт-Петербург г, Гривцова пер, дом № 13, квартира 3</v>
          </cell>
          <cell r="D268" t="str">
            <v>РОССИЯ, 190031, Санкт-Петербург г, Гривцова пер, дом № 13, квартира 3</v>
          </cell>
          <cell r="F268" t="str">
            <v>Москва</v>
          </cell>
          <cell r="G268">
            <v>0.66009259259259256</v>
          </cell>
          <cell r="H268">
            <v>0.91009259259259256</v>
          </cell>
          <cell r="I268" t="str">
            <v>ОК</v>
          </cell>
          <cell r="J268" t="str">
            <v>ОК</v>
          </cell>
        </row>
        <row r="269">
          <cell r="B269" t="str">
            <v>В-17506/КЛ.Транш - 1</v>
          </cell>
          <cell r="C269" t="str">
            <v>РОССИЯ, 142703, Московская обл, г Видное, д Калиновка, днп Факел-2, д. 137</v>
          </cell>
          <cell r="D269" t="str">
            <v>РОССИЯ, 142108, Московская обл, г Подольск, б-р Бородинский, д. 11, кв. 126</v>
          </cell>
          <cell r="F269" t="str">
            <v>Московская</v>
          </cell>
          <cell r="G269">
            <v>0.66009259259259256</v>
          </cell>
          <cell r="H269">
            <v>0.91009259259259256</v>
          </cell>
          <cell r="I269" t="str">
            <v>ОК</v>
          </cell>
          <cell r="J269" t="str">
            <v>ОК</v>
          </cell>
        </row>
        <row r="270">
          <cell r="B270" t="str">
            <v>В-22763/КЛ.Транш - 1</v>
          </cell>
          <cell r="C270" t="str">
            <v>РОССИЯ, 197349, Санкт-Петербург г, Маршала Новикова ул, дом 17, квартира 2</v>
          </cell>
          <cell r="D270" t="str">
            <v>РОССИЯ, 188662, Ленинградская обл, Всеволожский р-н, Мурино г., Графская ул, дом 12, корпус 1, квартира 388</v>
          </cell>
          <cell r="F270" t="str">
            <v>Ленинградская</v>
          </cell>
          <cell r="G270">
            <v>0.66009259259259256</v>
          </cell>
          <cell r="H270">
            <v>0.91009259259259256</v>
          </cell>
          <cell r="I270" t="str">
            <v>ОК</v>
          </cell>
          <cell r="J270" t="str">
            <v>ОК</v>
          </cell>
        </row>
        <row r="271">
          <cell r="B271" t="str">
            <v>В-18370/КЛ.Транш - 1</v>
          </cell>
          <cell r="C271" t="str">
            <v>РОССИЯ, 109518, Москва г, ул Люблинская, д. 5, к. 5, кв. 21</v>
          </cell>
          <cell r="D271" t="str">
            <v>РОССИЯ, 109518, Москва г, ул Люблинская, д. 5, к. 5, кв. 21</v>
          </cell>
          <cell r="F271" t="str">
            <v>Москва</v>
          </cell>
          <cell r="G271">
            <v>0.66009259259259256</v>
          </cell>
          <cell r="H271">
            <v>0.91009259259259256</v>
          </cell>
          <cell r="I271" t="str">
            <v>ОК</v>
          </cell>
          <cell r="J271" t="str">
            <v>ОК</v>
          </cell>
        </row>
        <row r="272">
          <cell r="B272" t="str">
            <v>В-00708/АЗ</v>
          </cell>
          <cell r="C272" t="str">
            <v>РОССИЯ, 352903, Краснодарский край, Армавир г, Советской Армии ул, дом 450</v>
          </cell>
          <cell r="D272" t="str">
            <v>РОССИЯ, 352903, Краснодарский край, Армавир г, Советской Армии ул, дом 450</v>
          </cell>
          <cell r="F272" t="str">
            <v>Краснодарский</v>
          </cell>
          <cell r="G272">
            <v>0.66009259259259256</v>
          </cell>
          <cell r="H272">
            <v>0.91009259259259256</v>
          </cell>
          <cell r="I272" t="str">
            <v>ОК</v>
          </cell>
          <cell r="J272" t="str">
            <v>ОК</v>
          </cell>
        </row>
        <row r="273">
          <cell r="B273" t="str">
            <v>В-18536/КЛ.Транш - 1</v>
          </cell>
          <cell r="C273" t="str">
            <v>РОССИЯ, 170026, Тверская обл, г Тверь, пр-кт Комсомольский, д. 10, кв. 67</v>
          </cell>
          <cell r="D273" t="str">
            <v>РОССИЯ, 170026, Тверская обл, г Тверь, пр-кт Комсомольский, д. 10, кв. 67</v>
          </cell>
          <cell r="F273" t="str">
            <v>Тверская</v>
          </cell>
          <cell r="G273">
            <v>0.66009259259259256</v>
          </cell>
          <cell r="H273">
            <v>0.91009259259259256</v>
          </cell>
          <cell r="I273" t="str">
            <v>ОК</v>
          </cell>
          <cell r="J273" t="str">
            <v>ОК</v>
          </cell>
        </row>
        <row r="274">
          <cell r="B274" t="str">
            <v>А-04793/АЗ</v>
          </cell>
          <cell r="C274" t="str">
            <v>РОССИЯ, 119136, Москва г, Сетуньский 2-й пр-д, дом № 19, квартира 1</v>
          </cell>
          <cell r="D274" t="str">
            <v>РОССИЯ, 121467, Москва г, Истринская ул, дом № 3, корпус 2, квартира 23</v>
          </cell>
          <cell r="F274" t="str">
            <v>Москва</v>
          </cell>
          <cell r="G274">
            <v>0.66009259259259256</v>
          </cell>
          <cell r="H274">
            <v>0.91009259259259256</v>
          </cell>
          <cell r="I274" t="str">
            <v>ОК</v>
          </cell>
          <cell r="J274" t="str">
            <v>ОК</v>
          </cell>
        </row>
        <row r="275">
          <cell r="B275" t="str">
            <v>В-12853/КЛ.Транш - 5</v>
          </cell>
          <cell r="C275" t="str">
            <v>РОССИЯ, 140055, Московская обл, Котельники г, Белая дача мкр., дом 23, квартира 43</v>
          </cell>
          <cell r="D275" t="str">
            <v>РОССИЯ, 140055, Московская обл, Котельники г, Белая дача мкр., дом 23, квартира 43</v>
          </cell>
          <cell r="F275" t="str">
            <v>Московская</v>
          </cell>
          <cell r="G275">
            <v>0.66009259259259256</v>
          </cell>
          <cell r="H275">
            <v>0.91009259259259256</v>
          </cell>
          <cell r="I275" t="str">
            <v>ОК</v>
          </cell>
          <cell r="J275" t="str">
            <v>ОК</v>
          </cell>
        </row>
        <row r="276">
          <cell r="B276" t="str">
            <v>В-12853/КЛ.Транш - 6</v>
          </cell>
          <cell r="C276" t="str">
            <v>РОССИЯ, 140055, Московская обл, Котельники г, Белая дача мкр., дом 23, квартира 43</v>
          </cell>
          <cell r="D276" t="str">
            <v>РОССИЯ, 140055, Московская обл, Котельники г, Белая дача мкр., дом 23, квартира 43</v>
          </cell>
          <cell r="F276" t="str">
            <v>Московская</v>
          </cell>
          <cell r="G276">
            <v>0.66009259259259256</v>
          </cell>
          <cell r="H276">
            <v>0.91009259259259256</v>
          </cell>
          <cell r="I276" t="str">
            <v>ОК</v>
          </cell>
          <cell r="J276" t="str">
            <v>ОК</v>
          </cell>
        </row>
        <row r="277">
          <cell r="B277" t="str">
            <v>В-03629/КЛ.Транш - 1</v>
          </cell>
          <cell r="C277" t="str">
            <v>РОССИЯ, 108850, Москва г, Внуковское п, Лётчика Ульянина ул, дом 6, квартира 185</v>
          </cell>
          <cell r="D277" t="str">
            <v>РОССИЯ, 108850, Москва г, Внуковское п, Лётчика Ульянина ул, дом 6, квартира 185</v>
          </cell>
          <cell r="F277" t="str">
            <v>Москва</v>
          </cell>
          <cell r="G277">
            <v>0.66009259259259256</v>
          </cell>
          <cell r="H277">
            <v>0.91009259259259256</v>
          </cell>
          <cell r="I277" t="str">
            <v>ОК</v>
          </cell>
          <cell r="J277" t="str">
            <v>ОК</v>
          </cell>
        </row>
        <row r="278">
          <cell r="B278" t="str">
            <v>В-22451/АЗ</v>
          </cell>
          <cell r="C278" t="str">
            <v>РОССИЯ, 125430, Москва г, Пятницкое ш, дом № 31, квартира 561</v>
          </cell>
          <cell r="D278" t="str">
            <v>РОССИЯ, 125430, Москва г, Пятницкое ш, дом № 31, квартира 561</v>
          </cell>
          <cell r="F278" t="str">
            <v>Москва</v>
          </cell>
          <cell r="G278">
            <v>0.66009259259259256</v>
          </cell>
          <cell r="H278">
            <v>0.91009259259259256</v>
          </cell>
          <cell r="I278" t="str">
            <v>ОК</v>
          </cell>
          <cell r="J278" t="str">
            <v>ОК</v>
          </cell>
        </row>
        <row r="279">
          <cell r="B279" t="str">
            <v>В-25659/КЛ.Транш - 1</v>
          </cell>
          <cell r="C279" t="str">
            <v>РОССИЯ, 399054, Липецкая обл, р-н Грязинский, г Грязи, ул Марины Цветаевой, д. 76</v>
          </cell>
          <cell r="D279" t="str">
            <v>РОССИЯ, 399055, Липецкая обл, р-н Грязинский, г Грязи, ул Куйбышева, д. 240</v>
          </cell>
          <cell r="F279" t="str">
            <v>Липецкая</v>
          </cell>
          <cell r="G279">
            <v>0.66009259259259256</v>
          </cell>
          <cell r="H279">
            <v>0.91009259259259256</v>
          </cell>
          <cell r="I279" t="str">
            <v>ОК</v>
          </cell>
          <cell r="J279" t="str">
            <v>ОК</v>
          </cell>
        </row>
        <row r="280">
          <cell r="B280" t="str">
            <v>В-25659/КЛ.Транш - 2</v>
          </cell>
          <cell r="C280" t="str">
            <v>РОССИЯ, 399054, Липецкая обл, р-н Грязинский, г Грязи, ул Марины Цветаевой, д. 76</v>
          </cell>
          <cell r="D280" t="str">
            <v>РОССИЯ, 399055, Липецкая обл, р-н Грязинский, г Грязи, ул Куйбышева, д. 240</v>
          </cell>
          <cell r="F280" t="str">
            <v>Липецкая</v>
          </cell>
          <cell r="G280">
            <v>0.66009259259259256</v>
          </cell>
          <cell r="H280">
            <v>0.91009259259259256</v>
          </cell>
          <cell r="I280" t="str">
            <v>ОК</v>
          </cell>
          <cell r="J280" t="str">
            <v>ОК</v>
          </cell>
        </row>
        <row r="281">
          <cell r="B281" t="str">
            <v>В-28062/КЛ.Транш - 1</v>
          </cell>
          <cell r="C281" t="str">
            <v>РОССИЯ, 125368, Москва г, вн.тер.г. муниципальный округ Митино, ул Митинская, д. 47, к. 2, кв. 112</v>
          </cell>
          <cell r="D281" t="str">
            <v>РОССИЯ, 125310, Москва г, вн.тер.г. муниципальный округ Митино, ул 1-я Муравская, д. 41, стр. 2, кв. 344</v>
          </cell>
          <cell r="F281" t="str">
            <v>Москва</v>
          </cell>
          <cell r="G281">
            <v>0.66009259259259256</v>
          </cell>
          <cell r="H281">
            <v>0.91009259259259256</v>
          </cell>
          <cell r="I281" t="str">
            <v>ОК</v>
          </cell>
          <cell r="J281" t="str">
            <v>ОК</v>
          </cell>
        </row>
        <row r="282">
          <cell r="B282" t="str">
            <v>В-21523/КЛ.Транш - 1</v>
          </cell>
          <cell r="C282" t="str">
            <v>РОССИЯ, 125363, Москва г, Нелидовская ул, дом № 21, корпус 1, квартира 171</v>
          </cell>
          <cell r="D282" t="str">
            <v>РОССИЯ, 125363, Москва г, Нелидовская ул, дом № 21, корпус 1, квартира 171</v>
          </cell>
          <cell r="F282" t="str">
            <v>Москва</v>
          </cell>
          <cell r="G282">
            <v>0.66009259259259256</v>
          </cell>
          <cell r="H282">
            <v>0.91009259259259256</v>
          </cell>
          <cell r="I282" t="str">
            <v>ОК</v>
          </cell>
          <cell r="J282" t="str">
            <v>ОК</v>
          </cell>
        </row>
        <row r="283">
          <cell r="B283" t="str">
            <v>В-21523/КЛ.Транш - 2</v>
          </cell>
          <cell r="C283" t="str">
            <v>РОССИЯ, 125363, Москва г, Нелидовская ул, дом № 21, корпус 1, квартира 171</v>
          </cell>
          <cell r="D283" t="str">
            <v>РОССИЯ, 125363, Москва г, Нелидовская ул, дом № 21, корпус 1, квартира 171</v>
          </cell>
          <cell r="F283" t="str">
            <v>Москва</v>
          </cell>
          <cell r="G283">
            <v>0.66009259259259256</v>
          </cell>
          <cell r="H283">
            <v>0.91009259259259256</v>
          </cell>
          <cell r="I283" t="str">
            <v>ОК</v>
          </cell>
          <cell r="J283" t="str">
            <v>ОК</v>
          </cell>
        </row>
        <row r="284">
          <cell r="B284" t="str">
            <v>В-14198/КЛ.Транш - 1</v>
          </cell>
          <cell r="C284" t="str">
            <v>РОССИЯ, 141407, Московская обл, Химки г, Панфилова ул, дом 16, квартира 138</v>
          </cell>
          <cell r="D284" t="str">
            <v>РОССИЯ, 141407, Московская обл, Химки г, Панфилова ул, дом 16, квартира 138</v>
          </cell>
          <cell r="F284" t="str">
            <v>Московская</v>
          </cell>
          <cell r="G284">
            <v>0.66009259259259256</v>
          </cell>
          <cell r="H284">
            <v>0.91009259259259256</v>
          </cell>
          <cell r="I284" t="str">
            <v>ОК</v>
          </cell>
          <cell r="J284" t="str">
            <v>ОК</v>
          </cell>
        </row>
        <row r="285">
          <cell r="B285" t="str">
            <v>А-02635/АЗ</v>
          </cell>
          <cell r="C285" t="str">
            <v>РОССИЯ, 143005, Московская обл, Одинцовский муниципальный район, Городское поселение Одинцово, Вырубово д, нет, домовладение 73</v>
          </cell>
          <cell r="D285" t="str">
            <v>РОССИЯ, 105005, Москва г, Академика Туполева наб, дом № 15, квартира 486</v>
          </cell>
          <cell r="F285" t="str">
            <v>Москва</v>
          </cell>
          <cell r="G285">
            <v>0.66009259259259256</v>
          </cell>
          <cell r="H285">
            <v>0.91009259259259256</v>
          </cell>
          <cell r="I285" t="str">
            <v>ОК</v>
          </cell>
          <cell r="J285" t="str">
            <v>ОК</v>
          </cell>
        </row>
        <row r="286">
          <cell r="B286" t="str">
            <v>В-00461/АЗ</v>
          </cell>
          <cell r="C286" t="str">
            <v>РОССИЯ, 127253, Москва г, Псковская ул, дом № 2, корпус 2, квартира 647</v>
          </cell>
          <cell r="D286" t="str">
            <v>РОССИЯ, 127253, Москва г, Псковская ул, дом № 2, корпус 2, квартира 647</v>
          </cell>
          <cell r="F286" t="str">
            <v>Москва</v>
          </cell>
          <cell r="G286">
            <v>0.66009259259259256</v>
          </cell>
          <cell r="H286">
            <v>0.91009259259259256</v>
          </cell>
          <cell r="I286" t="str">
            <v>ОК</v>
          </cell>
          <cell r="J286" t="str">
            <v>ОК</v>
          </cell>
        </row>
        <row r="287">
          <cell r="B287" t="str">
            <v>В-11477/КЛ.Транш - 1</v>
          </cell>
          <cell r="C287" t="str">
            <v>РОССИЯ, 143005, Московская обл, Одинцовский р-н, Одинцово г, Кутузовская ул, дом 25, квартира 372</v>
          </cell>
          <cell r="D287" t="str">
            <v>РОССИЯ, 143005, Московская обл, Одинцовский р-н, Одинцово г, ул Фасадная, дом 2, корпус 1, квартира 85</v>
          </cell>
          <cell r="F287" t="str">
            <v>Московская</v>
          </cell>
          <cell r="G287">
            <v>0.66009259259259256</v>
          </cell>
          <cell r="H287">
            <v>0.91009259259259256</v>
          </cell>
          <cell r="I287" t="str">
            <v>ОК</v>
          </cell>
          <cell r="J287" t="str">
            <v>ОК</v>
          </cell>
        </row>
        <row r="288">
          <cell r="B288" t="str">
            <v>В-11477/КЛ.Транш - 3</v>
          </cell>
          <cell r="C288" t="str">
            <v>РОССИЯ, 143005, Московская обл, Одинцовский р-н, Одинцово г, Кутузовская ул, дом 25, квартира 372</v>
          </cell>
          <cell r="D288" t="str">
            <v>РОССИЯ, 143005, Московская обл, Одинцовский р-н, Одинцово г, ул Фасадная, дом 2, корпус 1, квартира 85</v>
          </cell>
          <cell r="F288" t="str">
            <v>Московская</v>
          </cell>
          <cell r="G288">
            <v>0.66009259259259256</v>
          </cell>
          <cell r="H288">
            <v>0.91009259259259256</v>
          </cell>
          <cell r="I288" t="str">
            <v>ОК</v>
          </cell>
          <cell r="J288" t="str">
            <v>ОК</v>
          </cell>
        </row>
        <row r="289">
          <cell r="B289" t="str">
            <v>В-01201/АЗ</v>
          </cell>
          <cell r="C289" t="str">
            <v>РОССИЯ, 117292, Москва г, ул Дмитрия Ульянова, д. 6, к. 1, кв. 40</v>
          </cell>
          <cell r="D289" t="str">
            <v>РОССИЯ, 117292, Москва г, ул Дмитрия Ульянова, д. 6, к. 1, кв. 40</v>
          </cell>
          <cell r="F289" t="str">
            <v>Москва</v>
          </cell>
          <cell r="G289">
            <v>0.66009259259259256</v>
          </cell>
          <cell r="H289">
            <v>0.91009259259259256</v>
          </cell>
          <cell r="I289" t="str">
            <v>ОК</v>
          </cell>
          <cell r="J289" t="str">
            <v>ОК</v>
          </cell>
        </row>
        <row r="290">
          <cell r="B290" t="str">
            <v>В-16983/КЛ.Транш - 1</v>
          </cell>
          <cell r="C290" t="str">
            <v>РОССИЯ, 188643, Ленинградская обл, р-н Всеволожский, г Всеволожск, ул Шинников, д. 1, к. 4, кв. 15</v>
          </cell>
          <cell r="D290" t="str">
            <v>РОССИЯ, 188643, Ленинградская обл, р-н Всеволожский, г Всеволожск, ул Шинников, д. 1, к. 4, кв. 15</v>
          </cell>
          <cell r="F290" t="str">
            <v>Ленинградская</v>
          </cell>
          <cell r="G290">
            <v>0.66009259259259256</v>
          </cell>
          <cell r="H290">
            <v>0.91009259259259256</v>
          </cell>
          <cell r="I290" t="str">
            <v>ОК</v>
          </cell>
          <cell r="J290" t="str">
            <v>ОК</v>
          </cell>
        </row>
        <row r="291">
          <cell r="B291" t="str">
            <v>В-16983/КЛ.Транш - 2</v>
          </cell>
          <cell r="C291" t="str">
            <v>РОССИЯ, 188643, Ленинградская обл, р-н Всеволожский, г Всеволожск, ул Шинников, д. 1, к. 4, кв. 15</v>
          </cell>
          <cell r="D291" t="str">
            <v>РОССИЯ, 188643, Ленинградская обл, р-н Всеволожский, г Всеволожск, ул Шинников, д. 1, к. 4, кв. 15</v>
          </cell>
          <cell r="F291" t="str">
            <v>Ленинградская</v>
          </cell>
          <cell r="G291">
            <v>0.66009259259259256</v>
          </cell>
          <cell r="H291">
            <v>0.91009259259259256</v>
          </cell>
          <cell r="I291" t="str">
            <v>ОК</v>
          </cell>
          <cell r="J291" t="str">
            <v>ОК</v>
          </cell>
        </row>
        <row r="292">
          <cell r="B292" t="str">
            <v>В-24710/АЗ</v>
          </cell>
          <cell r="C292" t="str">
            <v>РОССИЯ, 350000, Краснодарский край, г.о. город Краснодар, г Краснодар, ул Кубанская Набережная, д. 169</v>
          </cell>
          <cell r="D292" t="str">
            <v>РОССИЯ, 350000, Краснодарский край, г.о. город Краснодар, г Краснодар, ул Кубанская Набережная, д. 169</v>
          </cell>
          <cell r="F292" t="str">
            <v>Краснодарский</v>
          </cell>
          <cell r="G292">
            <v>0.66009259259259256</v>
          </cell>
          <cell r="H292">
            <v>0.91009259259259256</v>
          </cell>
          <cell r="I292" t="str">
            <v>ОК</v>
          </cell>
          <cell r="J292" t="str">
            <v>ОК</v>
          </cell>
        </row>
        <row r="293">
          <cell r="B293" t="str">
            <v>В-24691/АЗ</v>
          </cell>
          <cell r="C293" t="str">
            <v>РОССИЯ, 350005, Краснодарский край, г Краснодар, проезд 5-й Кореновский, д. 3</v>
          </cell>
          <cell r="D293" t="str">
            <v>РОССИЯ, 350005, Краснодарский край, г Краснодар, проезд 5-й Кореновский, д. 3</v>
          </cell>
          <cell r="F293" t="str">
            <v>Краснодарский</v>
          </cell>
          <cell r="G293">
            <v>0.66009259259259256</v>
          </cell>
          <cell r="H293">
            <v>0.91009259259259256</v>
          </cell>
          <cell r="I293" t="str">
            <v>ОК</v>
          </cell>
          <cell r="J293" t="str">
            <v>ОК</v>
          </cell>
        </row>
        <row r="294">
          <cell r="B294" t="str">
            <v>В-14915/КЛ.Транш - 5</v>
          </cell>
          <cell r="C294" t="str">
            <v>РОССИЯ, 450050, Башкортостан респ, Уфа г, Генерала Кусимова ул, дом 11, квартира 137</v>
          </cell>
          <cell r="D294" t="str">
            <v>РОССИЯ, 450050, Башкортостан респ, Уфа г, Генерала Кусимова ул, дом 11, квартира 137</v>
          </cell>
          <cell r="F294" t="str">
            <v>Башкортостан</v>
          </cell>
          <cell r="G294">
            <v>0.66009259259259256</v>
          </cell>
          <cell r="H294">
            <v>0.99342592592592593</v>
          </cell>
          <cell r="I294" t="str">
            <v>поздно</v>
          </cell>
          <cell r="J294" t="str">
            <v>ОК</v>
          </cell>
        </row>
        <row r="295">
          <cell r="B295" t="str">
            <v>А-03267/АЗ_20180110/Ц</v>
          </cell>
          <cell r="C295" t="str">
            <v>РОССИЯ, 125080, Москва г, Волоколамское ш, дом № 14, квартира 89</v>
          </cell>
          <cell r="D295" t="str">
            <v>РОССИЯ, 125080, Москва г, Волоколамское ш, дом № 14, квартира 89</v>
          </cell>
          <cell r="F295" t="str">
            <v>Москва</v>
          </cell>
          <cell r="G295">
            <v>0.66009259259259256</v>
          </cell>
          <cell r="H295">
            <v>0.91009259259259256</v>
          </cell>
          <cell r="I295" t="str">
            <v>ОК</v>
          </cell>
          <cell r="J295" t="str">
            <v>ОК</v>
          </cell>
        </row>
        <row r="296">
          <cell r="B296" t="str">
            <v>В-27410/КЛ.Транш - 1</v>
          </cell>
          <cell r="C296" t="str">
            <v>РОССИЯ, 119415, Москва г, Удальцова ул, дом 3, корпус 7, квартира 19</v>
          </cell>
          <cell r="D296" t="str">
            <v>РОССИЯ, 119415, Москва г, Удальцова ул, дом 3, корпус 7, квартира 19</v>
          </cell>
          <cell r="F296" t="str">
            <v>Москва</v>
          </cell>
          <cell r="G296">
            <v>0.66009259259259256</v>
          </cell>
          <cell r="H296">
            <v>0.91009259259259256</v>
          </cell>
          <cell r="I296" t="str">
            <v>ОК</v>
          </cell>
          <cell r="J296" t="str">
            <v>ОК</v>
          </cell>
        </row>
        <row r="297">
          <cell r="B297" t="str">
            <v>В-20193/КЛ.Транш - 1</v>
          </cell>
          <cell r="C297" t="str">
            <v>РОССИЯ, 362021, Северная Осетия - Алания респ, г Владикавказ, пер Автобусный, д. 161, кв. 32</v>
          </cell>
          <cell r="D297" t="str">
            <v>РОССИЯ, 140002, Московская обл, г Люберцы, п Калинина, д. 49, к. 1, кв. 89</v>
          </cell>
          <cell r="F297" t="str">
            <v>Московская</v>
          </cell>
          <cell r="G297">
            <v>0.66009259259259256</v>
          </cell>
          <cell r="H297">
            <v>0.91009259259259256</v>
          </cell>
          <cell r="I297" t="str">
            <v>ОК</v>
          </cell>
          <cell r="J297" t="str">
            <v>ОК</v>
          </cell>
        </row>
        <row r="298">
          <cell r="B298" t="str">
            <v>В-19179/КЛ.Транш - 1</v>
          </cell>
          <cell r="C298" t="str">
            <v>РОССИЯ, 242030, Брянская обл, р-н Жирятинский, с Жирятино, ул Овражная, д. 23</v>
          </cell>
          <cell r="D298" t="str">
            <v>РОССИЯ, 242030, Брянская обл, р-н Жирятинский, с Жирятино, ул Овражная, д. 23</v>
          </cell>
          <cell r="F298" t="str">
            <v>Брянская</v>
          </cell>
          <cell r="G298">
            <v>0.66009259259259256</v>
          </cell>
          <cell r="H298">
            <v>0.91009259259259256</v>
          </cell>
          <cell r="I298" t="str">
            <v>ОК</v>
          </cell>
          <cell r="J298" t="str">
            <v>ОК</v>
          </cell>
        </row>
        <row r="299">
          <cell r="B299" t="str">
            <v>В-19179/КЛ.Транш - 2</v>
          </cell>
          <cell r="C299" t="str">
            <v>РОССИЯ, 242030, Брянская обл, р-н Жирятинский, с Жирятино, ул Овражная, д. 23</v>
          </cell>
          <cell r="D299" t="str">
            <v>РОССИЯ, 242030, Брянская обл, р-н Жирятинский, с Жирятино, ул Овражная, д. 23</v>
          </cell>
          <cell r="F299" t="str">
            <v>Брянская</v>
          </cell>
          <cell r="G299">
            <v>0.66009259259259256</v>
          </cell>
          <cell r="H299">
            <v>0.91009259259259256</v>
          </cell>
          <cell r="I299" t="str">
            <v>ОК</v>
          </cell>
          <cell r="J299" t="str">
            <v>ОК</v>
          </cell>
        </row>
        <row r="300">
          <cell r="B300" t="str">
            <v>В-00923/АЗ</v>
          </cell>
          <cell r="C300" t="str">
            <v>РОССИЯ, 420006, Татарстан респ, Казань г, Выборгская ул, дом 4, квартира 91</v>
          </cell>
          <cell r="D300" t="str">
            <v>РОССИЯ, 115522, Москва г, Москворечье ул, дом 4, корпус 3, квартира 278</v>
          </cell>
          <cell r="F300" t="str">
            <v>Москва</v>
          </cell>
          <cell r="G300">
            <v>0.66009259259259256</v>
          </cell>
          <cell r="H300">
            <v>0.91009259259259256</v>
          </cell>
          <cell r="I300" t="str">
            <v>ОК</v>
          </cell>
          <cell r="J300" t="str">
            <v>ОК</v>
          </cell>
        </row>
        <row r="301">
          <cell r="B301" t="str">
            <v>В-26733/КЛ.Транш - 1</v>
          </cell>
          <cell r="C301" t="str">
            <v>РОССИЯ, 143033, Московская обл, р-н Одинцовский, п Горки-2, тер. ДПК Загорье, д. 4</v>
          </cell>
          <cell r="D301" t="str">
            <v>РОССИЯ, 143033, Московская обл, Одинцовский р-н, Горки-2 п, ДПК Загорье тер., дом 4</v>
          </cell>
          <cell r="F301" t="str">
            <v>Московская</v>
          </cell>
          <cell r="G301">
            <v>0.66009259259259256</v>
          </cell>
          <cell r="H301">
            <v>0.91009259259259256</v>
          </cell>
          <cell r="I301" t="str">
            <v>ОК</v>
          </cell>
          <cell r="J301" t="str">
            <v>ОК</v>
          </cell>
        </row>
        <row r="302">
          <cell r="B302" t="str">
            <v>В-23458/КЛ.Транш - 5</v>
          </cell>
          <cell r="C302" t="str">
            <v>РОССИЯ, 164501, Архангельская обл, Северодвинск г, Ленина пр-кт, дом 23, квартира 10</v>
          </cell>
          <cell r="D302" t="str">
            <v>РОССИЯ, 188670, Ленинградская обл, Всеволожский р-н, Углово п, дом стр 6а</v>
          </cell>
          <cell r="F302" t="str">
            <v>Ленинградская</v>
          </cell>
          <cell r="G302">
            <v>0.66009259259259256</v>
          </cell>
          <cell r="H302">
            <v>0.91009259259259256</v>
          </cell>
          <cell r="I302" t="str">
            <v>ОК</v>
          </cell>
          <cell r="J302" t="str">
            <v>ОК</v>
          </cell>
        </row>
        <row r="303">
          <cell r="B303" t="str">
            <v>В-27050/АЗ</v>
          </cell>
          <cell r="C303" t="str">
            <v>РОССИЯ, 394024, Воронежская обл, г Воронеж, ул Транспортная, д. 38</v>
          </cell>
          <cell r="D303" t="str">
            <v>РОССИЯ, 394024, Воронежская обл, г Воронеж, ул Транспортная, д. 38</v>
          </cell>
          <cell r="F303" t="str">
            <v>Воронежская</v>
          </cell>
          <cell r="G303">
            <v>0.66009259259259256</v>
          </cell>
          <cell r="H303">
            <v>0.91009259259259256</v>
          </cell>
          <cell r="I303" t="str">
            <v>ОК</v>
          </cell>
          <cell r="J303" t="str">
            <v>ОК</v>
          </cell>
        </row>
        <row r="304">
          <cell r="B304" t="str">
            <v>В-02644/КЛ.Транш - 1_В-20211230/Ц</v>
          </cell>
          <cell r="C304" t="str">
            <v>РОССИЯ, 197350, Санкт-Петербург г, пр-кт Комендантский, д. 53, к. 3, литера А, кв. 381</v>
          </cell>
          <cell r="D304" t="str">
            <v>РОССИЯ, 197371, Санкт-Петербург г, Комендантский пр-кт, дом 53, корпус 3, литера А, квартира 381</v>
          </cell>
          <cell r="F304" t="str">
            <v>Москва</v>
          </cell>
          <cell r="G304">
            <v>0.66009259259259256</v>
          </cell>
          <cell r="H304">
            <v>0.91009259259259256</v>
          </cell>
          <cell r="I304" t="str">
            <v>ОК</v>
          </cell>
          <cell r="J304" t="str">
            <v>ОК</v>
          </cell>
        </row>
        <row r="305">
          <cell r="B305" t="str">
            <v>В-00730/АЗ</v>
          </cell>
          <cell r="C305" t="str">
            <v>РОССИЯ, 140013, Московская обл, Люберцы г, С.П.Попова ул, дом 40, квартира 204</v>
          </cell>
          <cell r="D305" t="str">
            <v>РОССИЯ, 140013, Московская обл, Люберцы г, С.П.Попова ул, дом 40, квартира 204</v>
          </cell>
          <cell r="F305" t="str">
            <v>Московская</v>
          </cell>
          <cell r="G305">
            <v>0.66009259259259256</v>
          </cell>
          <cell r="H305">
            <v>0.91009259259259256</v>
          </cell>
          <cell r="I305" t="str">
            <v>ОК</v>
          </cell>
          <cell r="J305" t="str">
            <v>ОК</v>
          </cell>
        </row>
        <row r="306">
          <cell r="B306" t="str">
            <v>В-11603/КЛ.Транш - 1</v>
          </cell>
          <cell r="C306" t="str">
            <v>РОССИЯ, 188802, Ленинградская обл, Выборгский р-н, Выборг г, Гагарина ул, дом 9, квартира 51</v>
          </cell>
          <cell r="D306" t="str">
            <v>РОССИЯ, 188802, Ленинградская обл, Выборгский р-н, Выборг г, Гагарина ул, дом 9, квартира 51</v>
          </cell>
          <cell r="F306" t="str">
            <v>Ленинградская</v>
          </cell>
          <cell r="G306">
            <v>0.66009259259259256</v>
          </cell>
          <cell r="H306">
            <v>0.91009259259259256</v>
          </cell>
          <cell r="I306" t="str">
            <v>ОК</v>
          </cell>
          <cell r="J306" t="str">
            <v>ОК</v>
          </cell>
        </row>
        <row r="307">
          <cell r="B307" t="str">
            <v>В-00023/КЭ.Транш - 1</v>
          </cell>
          <cell r="C307" t="str">
            <v>143401, Московская обл, г Красногорск, б-р Павшинский, д. 4, помещ. 2</v>
          </cell>
          <cell r="F307" t="str">
            <v>Москва</v>
          </cell>
          <cell r="G307">
            <v>0.66009259259259256</v>
          </cell>
          <cell r="H307">
            <v>0.91009259259259256</v>
          </cell>
          <cell r="I307" t="str">
            <v>ОК</v>
          </cell>
          <cell r="J307" t="str">
            <v>ОК</v>
          </cell>
        </row>
        <row r="308">
          <cell r="B308" t="str">
            <v>В-11716/КЛ.Транш - 1</v>
          </cell>
          <cell r="C308" t="str">
            <v>РОССИЯ, 420055, Татарстан респ, Казань г, Ясная ул, дом 4</v>
          </cell>
          <cell r="D308" t="str">
            <v>РОССИЯ, 420055, Татарстан респ, Казань г, Ясная ул, дом 4</v>
          </cell>
          <cell r="F308" t="str">
            <v>Татарстан</v>
          </cell>
          <cell r="G308">
            <v>0.66009259259259256</v>
          </cell>
          <cell r="H308">
            <v>0.91009259259259256</v>
          </cell>
          <cell r="I308" t="str">
            <v>ОК</v>
          </cell>
          <cell r="J308" t="str">
            <v>ОК</v>
          </cell>
        </row>
        <row r="309">
          <cell r="B309" t="str">
            <v>В-27006/КЛ.Транш - 1</v>
          </cell>
          <cell r="C309" t="str">
            <v>РОССИЯ, 125599, Москва г, ул Бусиновская Горка, д. 11, к. 1, кв. 67</v>
          </cell>
          <cell r="D309" t="str">
            <v>РОССИЯ, 125599, Москва г, ул Бусиновская Горка, д. 11, к. 1, кв. 67</v>
          </cell>
          <cell r="F309" t="str">
            <v>Москва</v>
          </cell>
          <cell r="G309">
            <v>0.66009259259259256</v>
          </cell>
          <cell r="H309">
            <v>0.91009259259259256</v>
          </cell>
          <cell r="I309" t="str">
            <v>ОК</v>
          </cell>
          <cell r="J309" t="str">
            <v>ОК</v>
          </cell>
        </row>
        <row r="310">
          <cell r="B310" t="str">
            <v>В-14944/КЛ.Транш - 1</v>
          </cell>
          <cell r="C310" t="str">
            <v>РОССИЯ, 125368, Москва г, Барышиха ул, дом 25, корпус 2, квартира 171</v>
          </cell>
          <cell r="D310" t="str">
            <v>РОССИЯ, 125368, Москва г, Барышиха ул, дом 25, корпус 2, квартира 171</v>
          </cell>
          <cell r="F310" t="str">
            <v>Москва</v>
          </cell>
          <cell r="G310">
            <v>0.66009259259259256</v>
          </cell>
          <cell r="H310">
            <v>0.91009259259259256</v>
          </cell>
          <cell r="I310" t="str">
            <v>ОК</v>
          </cell>
          <cell r="J310" t="str">
            <v>ОК</v>
          </cell>
        </row>
        <row r="311">
          <cell r="B311" t="str">
            <v>В-14944/КЛ.Транш - 2</v>
          </cell>
          <cell r="C311" t="str">
            <v>РОССИЯ, 125368, Москва г, Барышиха ул, дом 25, корпус 2, квартира 171</v>
          </cell>
          <cell r="D311" t="str">
            <v>РОССИЯ, 125368, Москва г, Барышиха ул, дом 25, корпус 2, квартира 171</v>
          </cell>
          <cell r="F311" t="str">
            <v>Москва</v>
          </cell>
          <cell r="G311">
            <v>0.66009259259259256</v>
          </cell>
          <cell r="H311">
            <v>0.91009259259259256</v>
          </cell>
          <cell r="I311" t="str">
            <v>ОК</v>
          </cell>
          <cell r="J311" t="str">
            <v>ОК</v>
          </cell>
        </row>
        <row r="312">
          <cell r="B312" t="str">
            <v>В-14944/КЛ.Транш - 3</v>
          </cell>
          <cell r="C312" t="str">
            <v>РОССИЯ, 125368, Москва г, Барышиха ул, дом 25, корпус 2, квартира 171</v>
          </cell>
          <cell r="D312" t="str">
            <v>РОССИЯ, 125368, Москва г, Барышиха ул, дом 25, корпус 2, квартира 171</v>
          </cell>
          <cell r="F312" t="str">
            <v>Москва</v>
          </cell>
          <cell r="G312">
            <v>0.66009259259259256</v>
          </cell>
          <cell r="H312">
            <v>0.91009259259259256</v>
          </cell>
          <cell r="I312" t="str">
            <v>ОК</v>
          </cell>
          <cell r="J312" t="str">
            <v>ОК</v>
          </cell>
        </row>
        <row r="313">
          <cell r="B313" t="str">
            <v>В-08584/КЛ.Транш - 2_В-20211230/Ц</v>
          </cell>
          <cell r="C313" t="str">
            <v>РОССИЯ, 117418, Москва г, Новочерёмушкинская ул, дом 50, квартира 382</v>
          </cell>
          <cell r="D313" t="str">
            <v>РОССИЯ, 117418, Москва г, Новочерёмушкинская ул, дом 50, квартира 382</v>
          </cell>
          <cell r="F313" t="str">
            <v>Москва</v>
          </cell>
          <cell r="G313">
            <v>0.66009259259259256</v>
          </cell>
          <cell r="H313">
            <v>0.91009259259259256</v>
          </cell>
          <cell r="I313" t="str">
            <v>ОК</v>
          </cell>
          <cell r="J313" t="str">
            <v>ОК</v>
          </cell>
        </row>
        <row r="314">
          <cell r="B314" t="str">
            <v>В-08584/КЛ.Транш - 3_В-20211230/Ц</v>
          </cell>
          <cell r="C314" t="str">
            <v>РОССИЯ, 117418, Москва г, Новочерёмушкинская ул, дом 50, квартира 382</v>
          </cell>
          <cell r="D314" t="str">
            <v>РОССИЯ, 117418, Москва г, Новочерёмушкинская ул, дом 50, квартира 382</v>
          </cell>
          <cell r="F314" t="str">
            <v>Москва</v>
          </cell>
          <cell r="G314">
            <v>0.66009259259259256</v>
          </cell>
          <cell r="H314">
            <v>0.91009259259259256</v>
          </cell>
          <cell r="I314" t="str">
            <v>ОК</v>
          </cell>
          <cell r="J314" t="str">
            <v>ОК</v>
          </cell>
        </row>
        <row r="315">
          <cell r="B315" t="str">
            <v>В-08584/КЛ.Транш - 4_В-20211230/Ц</v>
          </cell>
          <cell r="C315" t="str">
            <v>РОССИЯ, 117418, Москва г, Новочерёмушкинская ул, дом 50, квартира 382</v>
          </cell>
          <cell r="D315" t="str">
            <v>РОССИЯ, 117418, Москва г, Новочерёмушкинская ул, дом 50, квартира 382</v>
          </cell>
          <cell r="F315" t="str">
            <v>Москва</v>
          </cell>
          <cell r="G315">
            <v>0.66009259259259256</v>
          </cell>
          <cell r="H315">
            <v>0.91009259259259256</v>
          </cell>
          <cell r="I315" t="str">
            <v>ОК</v>
          </cell>
          <cell r="J315" t="str">
            <v>ОК</v>
          </cell>
        </row>
        <row r="316">
          <cell r="B316" t="str">
            <v>В-08584/КЛ.Транш - 5_В-20211230/Ц</v>
          </cell>
          <cell r="C316" t="str">
            <v>РОССИЯ, 117418, Москва г, Новочерёмушкинская ул, дом 50, квартира 382</v>
          </cell>
          <cell r="D316" t="str">
            <v>РОССИЯ, 117418, Москва г, Новочерёмушкинская ул, дом 50, квартира 382</v>
          </cell>
          <cell r="F316" t="str">
            <v>Москва</v>
          </cell>
          <cell r="G316">
            <v>0.66009259259259256</v>
          </cell>
          <cell r="H316">
            <v>0.91009259259259256</v>
          </cell>
          <cell r="I316" t="str">
            <v>ОК</v>
          </cell>
          <cell r="J316" t="str">
            <v>ОК</v>
          </cell>
        </row>
        <row r="317">
          <cell r="B317" t="str">
            <v>В-27835/КЛ.Транш - 1</v>
          </cell>
          <cell r="C317" t="str">
            <v>РОССИЯ, 350059, Краснодарский край, г Краснодар, ул Уральская, д. 75, к. 2, кв. 339</v>
          </cell>
          <cell r="D317" t="str">
            <v>РОССИЯ, 350059, Краснодарский край, г Краснодар, ул Уральская, д. 75, к. 2, кв. 339</v>
          </cell>
          <cell r="F317" t="str">
            <v>Краснодарский</v>
          </cell>
          <cell r="G317">
            <v>0.66009259259259256</v>
          </cell>
          <cell r="H317">
            <v>0.91009259259259256</v>
          </cell>
          <cell r="I317" t="str">
            <v>ОК</v>
          </cell>
          <cell r="J317" t="str">
            <v>ОК</v>
          </cell>
        </row>
        <row r="318">
          <cell r="B318" t="str">
            <v>В-27835/КЛ.Транш - 2</v>
          </cell>
          <cell r="C318" t="str">
            <v>РОССИЯ, 350059, Краснодарский край, г Краснодар, ул Уральская, д. 75, к. 2, кв. 339</v>
          </cell>
          <cell r="D318" t="str">
            <v>РОССИЯ, 350059, Краснодарский край, г Краснодар, ул Уральская, д. 75, к. 2, кв. 339</v>
          </cell>
          <cell r="F318" t="str">
            <v>Краснодарский</v>
          </cell>
          <cell r="G318">
            <v>0.66009259259259256</v>
          </cell>
          <cell r="H318">
            <v>0.91009259259259256</v>
          </cell>
          <cell r="I318" t="str">
            <v>ОК</v>
          </cell>
          <cell r="J318" t="str">
            <v>ОК</v>
          </cell>
        </row>
        <row r="319">
          <cell r="B319" t="str">
            <v>В-01202/АЗ</v>
          </cell>
          <cell r="C319" t="str">
            <v>РОССИЯ, 607260, Нижегородская обл, р-н Арзамасский, с Кирилловка, ул Ленина, двлд. 12</v>
          </cell>
          <cell r="D319" t="str">
            <v>РОССИЯ, 141014, Московская обл, г Мытищи, ул Семашко, д. 10, к. 2, кв. 60</v>
          </cell>
          <cell r="F319" t="str">
            <v>Московская</v>
          </cell>
          <cell r="G319">
            <v>0.66009259259259256</v>
          </cell>
          <cell r="H319">
            <v>0.91009259259259256</v>
          </cell>
          <cell r="I319" t="str">
            <v>ОК</v>
          </cell>
          <cell r="J319" t="str">
            <v>ОК</v>
          </cell>
        </row>
        <row r="320">
          <cell r="B320" t="str">
            <v>В-25513/КЛ.Транш - 1</v>
          </cell>
          <cell r="C320" t="str">
            <v>РОССИЯ, 129626, Москва г, ул Павла Корчагина, д. 14, кв. 80</v>
          </cell>
          <cell r="D320" t="str">
            <v>РОССИЯ, 129626, Москва г, ул Павла Корчагина, д. 14, кв. 80</v>
          </cell>
          <cell r="F320" t="str">
            <v>Москва</v>
          </cell>
          <cell r="G320">
            <v>0.66009259259259256</v>
          </cell>
          <cell r="H320">
            <v>0.91009259259259256</v>
          </cell>
          <cell r="I320" t="str">
            <v>ОК</v>
          </cell>
          <cell r="J320" t="str">
            <v>ОК</v>
          </cell>
        </row>
        <row r="321">
          <cell r="B321" t="str">
            <v>В-12157/КЛ.Транш - 1</v>
          </cell>
          <cell r="C321" t="str">
            <v>РОССИЯ, 195269, Санкт-Петербург г, пр-кт Луначарского, д. 88, к. 1, литера А, кв. 51</v>
          </cell>
          <cell r="D321" t="str">
            <v>РОССИЯ, 195269, Санкт-Петербург г, Луначарского пр-кт, дом 88, корпус 1, квартира 51</v>
          </cell>
          <cell r="F321" t="str">
            <v>Москва</v>
          </cell>
          <cell r="G321">
            <v>0.66009259259259256</v>
          </cell>
          <cell r="H321">
            <v>0.91009259259259256</v>
          </cell>
          <cell r="I321" t="str">
            <v>ОК</v>
          </cell>
          <cell r="J321" t="str">
            <v>ОК</v>
          </cell>
        </row>
        <row r="322">
          <cell r="B322" t="str">
            <v>В-20766/КЛ.Транш - 1</v>
          </cell>
          <cell r="C322" t="str">
            <v>РОССИЯ, 356125, Ставропольский край, р-н Изобильненский, ст-ца Каменнобродская, ул Ленина, влд. 37</v>
          </cell>
          <cell r="D322" t="str">
            <v>РОССИЯ, 356126, Ставропольский край, р-н Изобильненский, п Солнечнодольск, б-р Солнечный, д. 14, кв. 78</v>
          </cell>
          <cell r="F322" t="str">
            <v>Ставропольский</v>
          </cell>
          <cell r="G322">
            <v>0.66009259259259256</v>
          </cell>
          <cell r="H322">
            <v>0.91009259259259256</v>
          </cell>
          <cell r="I322" t="str">
            <v>ОК</v>
          </cell>
          <cell r="J322" t="str">
            <v>ОК</v>
          </cell>
        </row>
        <row r="323">
          <cell r="B323" t="str">
            <v>В-01175/КЛ.Транш - 1_В-20211230/Ц</v>
          </cell>
          <cell r="C323" t="str">
            <v>РОССИЯ, 127566, Москва г, Северный б-р, дом 19, квартира 37</v>
          </cell>
          <cell r="D323" t="str">
            <v>РОССИЯ, 127566, Москва г, Северный б-р, дом 19, квартира 37</v>
          </cell>
          <cell r="F323" t="str">
            <v>Москва</v>
          </cell>
          <cell r="G323">
            <v>0.66009259259259256</v>
          </cell>
          <cell r="H323">
            <v>0.91009259259259256</v>
          </cell>
          <cell r="I323" t="str">
            <v>ОК</v>
          </cell>
          <cell r="J323" t="str">
            <v>ОК</v>
          </cell>
        </row>
        <row r="324">
          <cell r="B324" t="str">
            <v>В-24956/КЛ.Транш - 1</v>
          </cell>
          <cell r="C324" t="str">
            <v>РОССИЯ, 410022, Саратовская обл, г Саратов, ул Ново-Крекингская, д. 2, кв. 207</v>
          </cell>
          <cell r="D324" t="str">
            <v>РОССИЯ, 410022, Саратовская обл, г Саратов, ул Ново-Крекингская, д. 2, кв. 207</v>
          </cell>
          <cell r="F324" t="str">
            <v>Саратовская</v>
          </cell>
          <cell r="G324">
            <v>0.66009259259259256</v>
          </cell>
          <cell r="H324">
            <v>0.91009259259259256</v>
          </cell>
          <cell r="I324" t="str">
            <v>ОК</v>
          </cell>
          <cell r="J324" t="str">
            <v>ОК</v>
          </cell>
        </row>
        <row r="325">
          <cell r="B325" t="str">
            <v>В-16796/КЛ.Транш - 2</v>
          </cell>
          <cell r="C325" t="str">
            <v>РОССИЯ, 350900, Краснодарский край, г Краснодар, ул Югорская, д. 23</v>
          </cell>
          <cell r="D325" t="str">
            <v>РОССИЯ, 350900, Краснодарский край, г Краснодар, ул Югорская, д. 23</v>
          </cell>
          <cell r="F325" t="str">
            <v>Краснодарский</v>
          </cell>
          <cell r="G325">
            <v>0.66009259259259256</v>
          </cell>
          <cell r="H325">
            <v>0.91009259259259256</v>
          </cell>
          <cell r="I325" t="str">
            <v>ОК</v>
          </cell>
          <cell r="J325" t="str">
            <v>ОК</v>
          </cell>
        </row>
        <row r="326">
          <cell r="B326" t="str">
            <v>В-27532/КЛ.Транш - 1</v>
          </cell>
          <cell r="C326" t="str">
            <v>РОССИЯ, 142380, Московская обл, г Чехов, п Любучаны, тер. Биотехнологического развития Любучаны, д. 49</v>
          </cell>
          <cell r="D326" t="str">
            <v>РОССИЯ, 142380, Московская обл, г Чехов, п Любучаны, тер. Биотехнологического развития Любучаны, д. 49</v>
          </cell>
          <cell r="F326" t="str">
            <v>Московская</v>
          </cell>
          <cell r="G326">
            <v>0.66009259259259256</v>
          </cell>
          <cell r="H326">
            <v>0.91009259259259256</v>
          </cell>
          <cell r="I326" t="str">
            <v>ОК</v>
          </cell>
          <cell r="J326" t="str">
            <v>ОК</v>
          </cell>
        </row>
        <row r="327">
          <cell r="B327" t="str">
            <v>В-06800/КЛ.Транш - 1</v>
          </cell>
          <cell r="C327" t="str">
            <v>РОССИЯ, 119618, Москва г, Московский п, Татьянин Парк ул, дом 16, корпус 3, квартира 288</v>
          </cell>
          <cell r="D327" t="str">
            <v>РОССИЯ, 119618, Москва г, Московский п, Татьянин Парк ул, дом 16, корпус 3, квартира 288</v>
          </cell>
          <cell r="F327" t="str">
            <v>Москва</v>
          </cell>
          <cell r="G327">
            <v>0.66009259259259256</v>
          </cell>
          <cell r="H327">
            <v>0.91009259259259256</v>
          </cell>
          <cell r="I327" t="str">
            <v>ОК</v>
          </cell>
          <cell r="J327" t="str">
            <v>ОК</v>
          </cell>
        </row>
        <row r="328">
          <cell r="B328" t="str">
            <v>В-06800/КЛ.Транш - 2</v>
          </cell>
          <cell r="C328" t="str">
            <v>РОССИЯ, 119618, Москва г, Московский п, Татьянин Парк ул, дом 16, корпус 3, квартира 288</v>
          </cell>
          <cell r="D328" t="str">
            <v>РОССИЯ, 119618, Москва г, Московский п, Татьянин Парк ул, дом 16, корпус 3, квартира 288</v>
          </cell>
          <cell r="F328" t="str">
            <v>Москва</v>
          </cell>
          <cell r="G328">
            <v>0.66009259259259256</v>
          </cell>
          <cell r="H328">
            <v>0.91009259259259256</v>
          </cell>
          <cell r="I328" t="str">
            <v>ОК</v>
          </cell>
          <cell r="J328" t="str">
            <v>ОК</v>
          </cell>
        </row>
        <row r="329">
          <cell r="B329" t="str">
            <v>В-27957/КЛ.Транш - 1</v>
          </cell>
          <cell r="C329" t="str">
            <v>РОССИЯ, 107564, Москва г, Краснобогатырская ул, дом 29, корпус 2, квартира 8</v>
          </cell>
          <cell r="D329" t="str">
            <v>РОССИЯ, 107564, Москва г, Краснобогатырская ул, дом 29, корпус 2, квартира 8</v>
          </cell>
          <cell r="F329" t="str">
            <v>Москва</v>
          </cell>
          <cell r="G329">
            <v>0.66009259259259256</v>
          </cell>
          <cell r="H329">
            <v>0.91009259259259256</v>
          </cell>
          <cell r="I329" t="str">
            <v>ОК</v>
          </cell>
          <cell r="J329" t="str">
            <v>ОК</v>
          </cell>
        </row>
        <row r="330">
          <cell r="B330" t="str">
            <v>А-00379/КЭ.Транш - 2</v>
          </cell>
          <cell r="C330" t="str">
            <v>109044, Москва г, Крутицкая наб, дом № 1</v>
          </cell>
          <cell r="F330" t="str">
            <v>Москва</v>
          </cell>
          <cell r="G330">
            <v>0.66009259259259256</v>
          </cell>
          <cell r="H330">
            <v>0.91009259259259256</v>
          </cell>
          <cell r="I330" t="str">
            <v>ОК</v>
          </cell>
          <cell r="J330" t="str">
            <v>ОК</v>
          </cell>
        </row>
        <row r="331">
          <cell r="B331" t="str">
            <v>В-15881/КЛ.Транш - 1</v>
          </cell>
          <cell r="C331" t="str">
            <v>РОССИЯ, 368500, Дагестан респ, Избербаш г, С.Юсупова ул, дом 46</v>
          </cell>
          <cell r="D331" t="str">
            <v>РОССИЯ, 125438, Москва г, Внутригородская территория муниципальный округ Головинский, Автомоторная ул, дом 6, квартира 8</v>
          </cell>
          <cell r="F331" t="str">
            <v>Москва</v>
          </cell>
          <cell r="G331">
            <v>0.66009259259259256</v>
          </cell>
          <cell r="H331">
            <v>0.91009259259259256</v>
          </cell>
          <cell r="I331" t="str">
            <v>ОК</v>
          </cell>
          <cell r="J331" t="str">
            <v>ОК</v>
          </cell>
        </row>
        <row r="332">
          <cell r="B332" t="str">
            <v>В-00722/АЗ</v>
          </cell>
          <cell r="C332" t="str">
            <v>РОССИЯ, 129626, Москва г, пер Рижский 1-й, д. 2, к. 3, кв. 47</v>
          </cell>
          <cell r="D332" t="str">
            <v>РОССИЯ, 129626, Москва г, Рижский 1-й пер, дом 2, корпус 3, квартира 47</v>
          </cell>
          <cell r="F332" t="str">
            <v>Москва</v>
          </cell>
          <cell r="G332">
            <v>0.66009259259259256</v>
          </cell>
          <cell r="H332">
            <v>0.91009259259259256</v>
          </cell>
          <cell r="I332" t="str">
            <v>ОК</v>
          </cell>
          <cell r="J332" t="str">
            <v>ОК</v>
          </cell>
        </row>
        <row r="333">
          <cell r="B333" t="str">
            <v>В-15448/КЛ.Транш - 1_В-20211230/Ц</v>
          </cell>
          <cell r="C333" t="str">
            <v>РОССИЯ, 295050, Крым респ, городской округ Симферополь, Симферополь г, Садовая ул, дом 78/10, квартира 75</v>
          </cell>
          <cell r="D333" t="str">
            <v>РОССИЯ, 350061, Краснодарский край, городской округ город Краснодар, Краснодар г, им. Дмитрия Благоева ул, дом 29, корпус 2, квартира 231</v>
          </cell>
          <cell r="F333" t="str">
            <v>Краснодарский</v>
          </cell>
          <cell r="G333">
            <v>0.66009259259259256</v>
          </cell>
          <cell r="H333">
            <v>0.91009259259259256</v>
          </cell>
          <cell r="I333" t="str">
            <v>ОК</v>
          </cell>
          <cell r="J333" t="str">
            <v>ОК</v>
          </cell>
        </row>
        <row r="334">
          <cell r="B334" t="str">
            <v>В-13507/КЛ.Транш - 1</v>
          </cell>
          <cell r="C334" t="str">
            <v>РОССИЯ, 105523, Москва г, Щёлковское ш, дом 84, квартира 67</v>
          </cell>
          <cell r="D334" t="str">
            <v>РОССИЯ, 105523, Москва г, Щёлковское ш, дом 84, квартира 67</v>
          </cell>
          <cell r="F334" t="str">
            <v>Москва</v>
          </cell>
          <cell r="G334">
            <v>0.66009259259259256</v>
          </cell>
          <cell r="H334">
            <v>0.91009259259259256</v>
          </cell>
          <cell r="I334" t="str">
            <v>ОК</v>
          </cell>
          <cell r="J334" t="str">
            <v>ОК</v>
          </cell>
        </row>
        <row r="335">
          <cell r="B335" t="str">
            <v>В-02691/КЛ.Транш - 1</v>
          </cell>
          <cell r="C335" t="str">
            <v>РОССИЯ, 140206, Московская обл, р-н Воскресенский, г Воскресенск, ул Рабочая, д. 130, кв. 37</v>
          </cell>
          <cell r="D335" t="str">
            <v>РОССИЯ, 140206, Московская обл, Воскресенский р-н, Воскресенск г, Рабочая ул, дом 130, квартира 37</v>
          </cell>
          <cell r="F335" t="str">
            <v>Московская</v>
          </cell>
          <cell r="G335">
            <v>0.66009259259259256</v>
          </cell>
          <cell r="H335">
            <v>0.91009259259259256</v>
          </cell>
          <cell r="I335" t="str">
            <v>ОК</v>
          </cell>
          <cell r="J335" t="str">
            <v>ОК</v>
          </cell>
        </row>
        <row r="336">
          <cell r="B336" t="str">
            <v>В-14906/КЛ.Транш - 3</v>
          </cell>
          <cell r="C336" t="str">
            <v>РОССИЯ, 410019, Саратовская обл, Саратов г, 2-й Магнитный проезд, дом 46, квартира 15</v>
          </cell>
          <cell r="D336" t="str">
            <v>РОССИЯ, 410019, Саратовская обл, Саратов г, 2-й Магнитный проезд, дом 46, квартира 15</v>
          </cell>
          <cell r="F336" t="str">
            <v>Саратовская</v>
          </cell>
          <cell r="G336">
            <v>0.66009259259259256</v>
          </cell>
          <cell r="H336">
            <v>0.91009259259259256</v>
          </cell>
          <cell r="I336" t="str">
            <v>ОК</v>
          </cell>
          <cell r="J336" t="str">
            <v>ОК</v>
          </cell>
        </row>
        <row r="337">
          <cell r="B337" t="str">
            <v>В-20180/КЛ.Транш - 1</v>
          </cell>
          <cell r="C337" t="str">
            <v>РОССИЯ, 624269, Свердловская обл, г Асбест, ул им А.П.Ладыженского, д. 28, кв. 55</v>
          </cell>
          <cell r="D337" t="str">
            <v>РОССИЯ, 624269, Свердловская обл, г Асбест, ул им А.П.Ладыженского, д. 28, кв. 55</v>
          </cell>
          <cell r="F337" t="str">
            <v>Свердловская</v>
          </cell>
          <cell r="G337">
            <v>0.66009259259259256</v>
          </cell>
          <cell r="H337">
            <v>0.99342592592592593</v>
          </cell>
          <cell r="I337" t="str">
            <v>поздно</v>
          </cell>
          <cell r="J337" t="str">
            <v>ОК</v>
          </cell>
        </row>
        <row r="338">
          <cell r="B338" t="str">
            <v>В-26069/АЗ</v>
          </cell>
          <cell r="C338" t="str">
            <v>РОССИЯ, 663305, Красноярский край, г Норильск, ул Талнахская, д. 1, кв. 88</v>
          </cell>
          <cell r="D338" t="str">
            <v>РОССИЯ, 140408, Московская обл, г Коломна, ул Сапожковых, д. 10, кв. 159</v>
          </cell>
          <cell r="F338" t="str">
            <v>Московская</v>
          </cell>
          <cell r="G338">
            <v>0.66009259259259256</v>
          </cell>
          <cell r="H338">
            <v>0.91009259259259256</v>
          </cell>
          <cell r="I338" t="str">
            <v>ОК</v>
          </cell>
          <cell r="J338" t="str">
            <v>ОК</v>
          </cell>
        </row>
        <row r="339">
          <cell r="B339" t="str">
            <v>В-28587/КЛ.Транш - 1</v>
          </cell>
          <cell r="C339" t="str">
            <v>РОССИЯ, 460058, Оренбургская обл, г.о. город Оренбург, г Оренбург, ул Уральская, д. 2/11, кв. 121</v>
          </cell>
          <cell r="D339" t="str">
            <v>РОССИЯ, 460058, Оренбургская обл, г.о. город Оренбург, г Оренбург, ул Уральская, д. 2/11, кв. 121</v>
          </cell>
          <cell r="F339" t="str">
            <v>Оренбургская</v>
          </cell>
          <cell r="G339">
            <v>0.66009259259259256</v>
          </cell>
          <cell r="H339">
            <v>0.99342592592592593</v>
          </cell>
          <cell r="I339" t="str">
            <v>поздно</v>
          </cell>
          <cell r="J339" t="str">
            <v>ОК</v>
          </cell>
        </row>
        <row r="340">
          <cell r="B340" t="str">
            <v>В-19446/КЛ.Транш - 4</v>
          </cell>
          <cell r="C340" t="str">
            <v>РОССИЯ, 142904, Московская обл, г Кашира, ул Кржижановского, д. 11, кв. 80</v>
          </cell>
          <cell r="D340" t="str">
            <v>РОССИЯ, 142904, Московская обл, г Кашира, ул Кржижановского, д. 11, кв. 80</v>
          </cell>
          <cell r="F340" t="str">
            <v>Московская</v>
          </cell>
          <cell r="G340">
            <v>0.66009259259259256</v>
          </cell>
          <cell r="H340">
            <v>0.91009259259259256</v>
          </cell>
          <cell r="I340" t="str">
            <v>ОК</v>
          </cell>
          <cell r="J340" t="str">
            <v>ОК</v>
          </cell>
        </row>
        <row r="341">
          <cell r="B341" t="str">
            <v>В-23362/КЛ.Транш - 1</v>
          </cell>
          <cell r="C341" t="str">
            <v>РОССИЯ, 109129, Москва г, ул Малышева, д. 3, к. 2, кв. 49</v>
          </cell>
          <cell r="D341" t="str">
            <v>РОССИЯ, 109129, Москва г, ул Малышева, д. 3, к. 2, кв. 49</v>
          </cell>
          <cell r="F341" t="str">
            <v>Москва</v>
          </cell>
          <cell r="G341">
            <v>0.66009259259259256</v>
          </cell>
          <cell r="H341">
            <v>0.91009259259259256</v>
          </cell>
          <cell r="I341" t="str">
            <v>ОК</v>
          </cell>
          <cell r="J341" t="str">
            <v>ОК</v>
          </cell>
        </row>
        <row r="342">
          <cell r="B342" t="str">
            <v>В-23362/КЛ.Транш - 2</v>
          </cell>
          <cell r="C342" t="str">
            <v>РОССИЯ, 109129, Москва г, ул Малышева, д. 3, к. 2, кв. 49</v>
          </cell>
          <cell r="D342" t="str">
            <v>РОССИЯ, 109129, Москва г, ул Малышева, д. 3, к. 2, кв. 49</v>
          </cell>
          <cell r="F342" t="str">
            <v>Москва</v>
          </cell>
          <cell r="G342">
            <v>0.66009259259259256</v>
          </cell>
          <cell r="H342">
            <v>0.91009259259259256</v>
          </cell>
          <cell r="I342" t="str">
            <v>ОК</v>
          </cell>
          <cell r="J342" t="str">
            <v>ОК</v>
          </cell>
        </row>
        <row r="343">
          <cell r="B343" t="str">
            <v>В-26203/КЛ.Транш - 1</v>
          </cell>
          <cell r="C343" t="str">
            <v>РОССИЯ, 198302, Санкт-Петербург г, пр-кт Стачек, д. 101, к. 1, литера А, кв. 61</v>
          </cell>
          <cell r="D343" t="str">
            <v>РОССИЯ, 198302, Санкт-Петербург г, Стачек пр-кт, дом 101, корпус 1, литер А, квартира 61</v>
          </cell>
          <cell r="F343" t="str">
            <v>Москва</v>
          </cell>
          <cell r="G343">
            <v>0.66009259259259256</v>
          </cell>
          <cell r="H343">
            <v>0.91009259259259256</v>
          </cell>
          <cell r="I343" t="str">
            <v>ОК</v>
          </cell>
          <cell r="J343" t="str">
            <v>ОК</v>
          </cell>
        </row>
        <row r="344">
          <cell r="B344" t="str">
            <v>В-21731/КЛ.Транш - 1</v>
          </cell>
          <cell r="C344" t="str">
            <v>РОССИЯ, 142412, Московская обл, г Ногинск, ул Климова, д. 11/22, кв. 47</v>
          </cell>
          <cell r="D344" t="str">
            <v>РОССИЯ, 142400, Московская обл, г Ногинск, д Пешково, ул 2-я Садовая, д. 4</v>
          </cell>
          <cell r="F344" t="str">
            <v>Московская</v>
          </cell>
          <cell r="G344">
            <v>0.66009259259259256</v>
          </cell>
          <cell r="H344">
            <v>0.91009259259259256</v>
          </cell>
          <cell r="I344" t="str">
            <v>ОК</v>
          </cell>
          <cell r="J344" t="str">
            <v>ОК</v>
          </cell>
        </row>
        <row r="345">
          <cell r="B345" t="str">
            <v>В-21731/КЛ.Транш - 2</v>
          </cell>
          <cell r="C345" t="str">
            <v>РОССИЯ, 142412, Московская обл, г Ногинск, ул Климова, д. 11/22, кв. 47</v>
          </cell>
          <cell r="D345" t="str">
            <v>РОССИЯ, 142400, Московская обл, г Ногинск, д Пешково, ул 2-я Садовая, д. 4</v>
          </cell>
          <cell r="F345" t="str">
            <v>Московская</v>
          </cell>
          <cell r="G345">
            <v>0.66009259259259256</v>
          </cell>
          <cell r="H345">
            <v>0.91009259259259256</v>
          </cell>
          <cell r="I345" t="str">
            <v>ОК</v>
          </cell>
          <cell r="J345" t="str">
            <v>ОК</v>
          </cell>
        </row>
        <row r="346">
          <cell r="B346" t="str">
            <v>В-23242/КЛ.Транш - 1</v>
          </cell>
          <cell r="C346" t="str">
            <v>РОССИЯ, 678020, Саха /Якутия/ респ, м.р-н Хангаласский, г.п. поселок Мохсоголлох, п Мохсоголлох, ул Соколиная, д. 2, кв. 60</v>
          </cell>
          <cell r="D346" t="str">
            <v>РОССИЯ, 678020, Саха /Якутия/ респ, м.р-н Хангаласский, г.п. поселок Мохсоголлох, п Мохсоголлох, ул Соколиная, д. 2, кв. 60</v>
          </cell>
          <cell r="F346" t="str">
            <v>/Якутия/</v>
          </cell>
          <cell r="G346">
            <v>0.66009259259259256</v>
          </cell>
          <cell r="H346">
            <v>0.16009259259259268</v>
          </cell>
          <cell r="I346" t="str">
            <v>поздно</v>
          </cell>
          <cell r="J346" t="str">
            <v>ОК</v>
          </cell>
        </row>
        <row r="347">
          <cell r="B347" t="str">
            <v>В-23242/КЛ.Транш - 2</v>
          </cell>
          <cell r="C347" t="str">
            <v>РОССИЯ, 678020, Саха /Якутия/ респ, м.р-н Хангаласский, г.п. поселок Мохсоголлох, п Мохсоголлох, ул Соколиная, д. 2, кв. 60</v>
          </cell>
          <cell r="D347" t="str">
            <v>РОССИЯ, 678020, Саха /Якутия/ респ, м.р-н Хангаласский, г.п. поселок Мохсоголлох, п Мохсоголлох, ул Соколиная, д. 2, кв. 60</v>
          </cell>
          <cell r="F347" t="str">
            <v>/Якутия/</v>
          </cell>
          <cell r="G347">
            <v>0.66009259259259256</v>
          </cell>
          <cell r="H347">
            <v>0.16009259259259268</v>
          </cell>
          <cell r="I347" t="str">
            <v>поздно</v>
          </cell>
          <cell r="J347" t="str">
            <v>ОК</v>
          </cell>
        </row>
        <row r="348">
          <cell r="B348" t="str">
            <v>В-13238/КЛ.Транш - 1</v>
          </cell>
          <cell r="C348" t="str">
            <v>РОССИЯ, 143988, Московская обл, Балашиха г, Павлино мкр., дом 4, квартира 23</v>
          </cell>
          <cell r="D348" t="str">
            <v>РОССИЯ, 143988, Московская обл, Балашиха г, Павлино мкр., дом 4, квартира 23</v>
          </cell>
          <cell r="F348" t="str">
            <v>Московская</v>
          </cell>
          <cell r="G348">
            <v>0.66009259259259256</v>
          </cell>
          <cell r="H348">
            <v>0.91009259259259256</v>
          </cell>
          <cell r="I348" t="str">
            <v>ОК</v>
          </cell>
          <cell r="J348" t="str">
            <v>ОК</v>
          </cell>
        </row>
        <row r="349">
          <cell r="B349" t="str">
            <v>В-28501/КЛ.Транш - 1</v>
          </cell>
          <cell r="C349" t="str">
            <v>РОССИЯ, 170042, Тверская обл, г.о. город Тверь, г Тверь, наб Афанасия Никитина, д. 146, кв. 37</v>
          </cell>
          <cell r="D349" t="str">
            <v>РОССИЯ, 142214, Московская обл, г.о. Серпухов, г Серпухов, ул Советская, д. 85а, кв. 20</v>
          </cell>
          <cell r="F349" t="str">
            <v>Московская</v>
          </cell>
          <cell r="G349">
            <v>0.66009259259259256</v>
          </cell>
          <cell r="H349">
            <v>0.91009259259259256</v>
          </cell>
          <cell r="I349" t="str">
            <v>ОК</v>
          </cell>
          <cell r="J349" t="str">
            <v>ОК</v>
          </cell>
        </row>
        <row r="350">
          <cell r="B350" t="str">
            <v>В-28501/КЛ.Транш - 2</v>
          </cell>
          <cell r="C350" t="str">
            <v>РОССИЯ, 170042, Тверская обл, г.о. город Тверь, г Тверь, наб Афанасия Никитина, д. 146, кв. 37</v>
          </cell>
          <cell r="D350" t="str">
            <v>РОССИЯ, 142214, Московская обл, г.о. Серпухов, г Серпухов, ул Советская, д. 85а, кв. 20</v>
          </cell>
          <cell r="F350" t="str">
            <v>Московская</v>
          </cell>
          <cell r="G350">
            <v>0.66009259259259256</v>
          </cell>
          <cell r="H350">
            <v>0.91009259259259256</v>
          </cell>
          <cell r="I350" t="str">
            <v>ОК</v>
          </cell>
          <cell r="J350" t="str">
            <v>ОК</v>
          </cell>
        </row>
        <row r="351">
          <cell r="B351" t="str">
            <v>В-23383/КЛ.Транш - 1</v>
          </cell>
          <cell r="C351" t="str">
            <v>Россия, 109156, Москва г, Маршала Полубоярова ул, дом 6, корпус 1, квартира 42</v>
          </cell>
          <cell r="D351" t="str">
            <v>РОССИЯ, 109145, Москва г, Внутригородская территория муниципальный округ Выхино-Жулебино, Пронская ул, дом 6, корпус 1, квартира 102</v>
          </cell>
          <cell r="F351" t="str">
            <v>Москва</v>
          </cell>
          <cell r="G351">
            <v>0.66009259259259256</v>
          </cell>
          <cell r="H351">
            <v>0.91009259259259256</v>
          </cell>
          <cell r="I351" t="str">
            <v>ОК</v>
          </cell>
          <cell r="J351" t="str">
            <v>ОК</v>
          </cell>
        </row>
        <row r="352">
          <cell r="B352" t="str">
            <v>В-01055/АЗ</v>
          </cell>
          <cell r="C352" t="str">
            <v>РОССИЯ, 352586, Краснодарский край, Мостовский р-н, Псебай пгт, Голубая ул, дом 16</v>
          </cell>
          <cell r="D352" t="str">
            <v>РОССИЯ, 353475, Краснодарский край, Геленджик г, Курзальная ул, дом 34</v>
          </cell>
          <cell r="F352" t="str">
            <v>Краснодарский</v>
          </cell>
          <cell r="G352">
            <v>0.66009259259259256</v>
          </cell>
          <cell r="H352">
            <v>0.91009259259259256</v>
          </cell>
          <cell r="I352" t="str">
            <v>ОК</v>
          </cell>
          <cell r="J352" t="str">
            <v>ОК</v>
          </cell>
        </row>
        <row r="353">
          <cell r="B353" t="str">
            <v>В-09037/КЛ.Транш - 1</v>
          </cell>
          <cell r="C353" t="str">
            <v>РОССИЯ, 617067, Пермский край, Краснокамск г, Коммунистическая ул, дом 7, квартира 4</v>
          </cell>
          <cell r="D353" t="str">
            <v>РОССИЯ, 617067, Пермский край, Краснокамск г, Коммунистическая ул, дом 7, квартира 4</v>
          </cell>
          <cell r="F353" t="str">
            <v>Пермский</v>
          </cell>
          <cell r="G353">
            <v>0.66009259259259256</v>
          </cell>
          <cell r="H353">
            <v>0.99342592592592593</v>
          </cell>
          <cell r="I353" t="str">
            <v>поздно</v>
          </cell>
          <cell r="J353" t="str">
            <v>ОК</v>
          </cell>
        </row>
        <row r="354">
          <cell r="B354" t="str">
            <v>В-13886/КЛ.Транш - 1</v>
          </cell>
          <cell r="C354" t="str">
            <v>РОССИЯ, 155048, Ивановская обл, р-н Тейковский, г Тейково, ул Гористая, д. 1, кв. 96</v>
          </cell>
          <cell r="D354" t="str">
            <v>РОССИЯ, 155048, Ивановская обл, Тейковский р-н, Тейково г, Гористая ул, дом 1, квартира 96</v>
          </cell>
          <cell r="F354" t="str">
            <v>Ивановская</v>
          </cell>
          <cell r="G354">
            <v>0.66009259259259256</v>
          </cell>
          <cell r="H354">
            <v>0.91009259259259256</v>
          </cell>
          <cell r="I354" t="str">
            <v>ОК</v>
          </cell>
          <cell r="J354" t="str">
            <v>ОК</v>
          </cell>
        </row>
        <row r="355">
          <cell r="B355" t="str">
            <v>В-07290/КЛ.Транш - 1</v>
          </cell>
          <cell r="C355" t="str">
            <v>РОССИЯ, 117648, Московская обл, г.о. Рузский, г. Руза, мкр. Северное сияние, мкр Чертаново Северное, д. 7, к. В, кв. 195</v>
          </cell>
          <cell r="D355" t="str">
            <v>РОССИЯ, 117648, Москва г, Чертаново Северное мкр, дом № 7, корпус В, квартира 195</v>
          </cell>
          <cell r="F355" t="str">
            <v>Москва</v>
          </cell>
          <cell r="G355">
            <v>0.66009259259259256</v>
          </cell>
          <cell r="H355">
            <v>0.91009259259259256</v>
          </cell>
          <cell r="I355" t="str">
            <v>ОК</v>
          </cell>
          <cell r="J355" t="str">
            <v>ОК</v>
          </cell>
        </row>
        <row r="356">
          <cell r="B356" t="str">
            <v>В-07290/КЛ.Транш - 2</v>
          </cell>
          <cell r="C356" t="str">
            <v>РОССИЯ, 117648, Московская обл, г.о. Рузский, г. Руза, мкр. Северное сияние, мкр Чертаново Северное, д. 7, к. В, кв. 195</v>
          </cell>
          <cell r="D356" t="str">
            <v>РОССИЯ, 117648, Москва г, Чертаново Северное мкр, дом № 7, корпус В, квартира 195</v>
          </cell>
          <cell r="F356" t="str">
            <v>Москва</v>
          </cell>
          <cell r="G356">
            <v>0.66009259259259256</v>
          </cell>
          <cell r="H356">
            <v>0.91009259259259256</v>
          </cell>
          <cell r="I356" t="str">
            <v>ОК</v>
          </cell>
          <cell r="J356" t="str">
            <v>ОК</v>
          </cell>
        </row>
        <row r="357">
          <cell r="B357" t="str">
            <v>В-07290/КЛ.Транш - 3</v>
          </cell>
          <cell r="C357" t="str">
            <v>РОССИЯ, 117648, Московская обл, г.о. Рузский, г. Руза, мкр. Северное сияние, мкр Чертаново Северное, д. 7, к. В, кв. 195</v>
          </cell>
          <cell r="D357" t="str">
            <v>РОССИЯ, 117648, Москва г, Чертаново Северное мкр, дом № 7, корпус В, квартира 195</v>
          </cell>
          <cell r="F357" t="str">
            <v>Москва</v>
          </cell>
          <cell r="G357">
            <v>0.66009259259259256</v>
          </cell>
          <cell r="H357">
            <v>0.91009259259259256</v>
          </cell>
          <cell r="I357" t="str">
            <v>ОК</v>
          </cell>
          <cell r="J357" t="str">
            <v>ОК</v>
          </cell>
        </row>
        <row r="358">
          <cell r="B358" t="str">
            <v>В-16023/КЛ.Транш - 1</v>
          </cell>
          <cell r="C358" t="str">
            <v>РОССИЯ, 391660, Рязанская обл, Ермишинский р-н, Ермишь рп, Профсоюзная ул, дом 10, квартира 1</v>
          </cell>
          <cell r="D358" t="str">
            <v>РОССИЯ, 390037, Рязанская обл, Рязань г, Большая ул, дом 100</v>
          </cell>
          <cell r="F358" t="str">
            <v>Рязанская</v>
          </cell>
          <cell r="G358">
            <v>0.66009259259259256</v>
          </cell>
          <cell r="H358">
            <v>0.91009259259259256</v>
          </cell>
          <cell r="I358" t="str">
            <v>ОК</v>
          </cell>
          <cell r="J358" t="str">
            <v>ОК</v>
          </cell>
        </row>
        <row r="359">
          <cell r="B359" t="str">
            <v>В-24071/КЛ.Транш - 1</v>
          </cell>
          <cell r="C359" t="str">
            <v>РОССИЯ, 450038, Башкортостан респ, г Уфа, ул Машиностроителей, д. 7, кв. 65</v>
          </cell>
          <cell r="D359" t="str">
            <v>РОССИЯ, 450038, Башкортостан респ, г Уфа, ул Машиностроителей, д. 7, кв. 65</v>
          </cell>
          <cell r="F359" t="str">
            <v>Башкортостан</v>
          </cell>
          <cell r="G359">
            <v>0.66009259259259256</v>
          </cell>
          <cell r="H359">
            <v>0.99342592592592593</v>
          </cell>
          <cell r="I359" t="str">
            <v>поздно</v>
          </cell>
          <cell r="J359" t="str">
            <v>ОК</v>
          </cell>
        </row>
        <row r="360">
          <cell r="B360" t="str">
            <v>А-10014/БЭ</v>
          </cell>
          <cell r="C360" t="str">
            <v>РОССИЯ, 197345, Санкт-Петербург г, Мебельная ул, дом 19, корпус 2, литера А, квартира 146</v>
          </cell>
          <cell r="D360" t="str">
            <v>РОССИЯ, 197345, Санкт-Петербург г, Мебельная ул, дом 19, корпус 2, литера А, квартира 146</v>
          </cell>
          <cell r="F360" t="str">
            <v>Москва</v>
          </cell>
          <cell r="G360">
            <v>0.66009259259259256</v>
          </cell>
          <cell r="H360">
            <v>0.91009259259259256</v>
          </cell>
          <cell r="I360" t="str">
            <v>ОК</v>
          </cell>
          <cell r="J360" t="str">
            <v>ОК</v>
          </cell>
        </row>
        <row r="361">
          <cell r="B361" t="str">
            <v>В-13005/КЛ.Транш - 2</v>
          </cell>
          <cell r="C361" t="str">
            <v>РОССИЯ, 403402, Волгоградская обл, р-н Кумылженский, ст-ца Кумылженская, ул Ленина, двлд. 39, кв. 1</v>
          </cell>
          <cell r="D361" t="str">
            <v>РОССИЯ, 403402, Московская обл, Наро-Фоминск г, Новозыбинка д, тер СНТ Веселево, дом 483</v>
          </cell>
          <cell r="F361" t="str">
            <v>Московская</v>
          </cell>
          <cell r="G361">
            <v>0.66009259259259256</v>
          </cell>
          <cell r="H361">
            <v>0.91009259259259256</v>
          </cell>
          <cell r="I361" t="str">
            <v>ОК</v>
          </cell>
          <cell r="J361" t="str">
            <v>ОК</v>
          </cell>
        </row>
        <row r="362">
          <cell r="B362" t="str">
            <v>В-13005/КЛ.Транш - 3</v>
          </cell>
          <cell r="C362" t="str">
            <v>РОССИЯ, 403402, Волгоградская обл, р-н Кумылженский, ст-ца Кумылженская, ул Ленина, двлд. 39, кв. 1</v>
          </cell>
          <cell r="D362" t="str">
            <v>РОССИЯ, 403402, Московская обл, Наро-Фоминск г, Новозыбинка д, тер СНТ Веселево, дом 483</v>
          </cell>
          <cell r="F362" t="str">
            <v>Московская</v>
          </cell>
          <cell r="G362">
            <v>0.66009259259259256</v>
          </cell>
          <cell r="H362">
            <v>0.91009259259259256</v>
          </cell>
          <cell r="I362" t="str">
            <v>ОК</v>
          </cell>
          <cell r="J362" t="str">
            <v>ОК</v>
          </cell>
        </row>
        <row r="363">
          <cell r="B363" t="str">
            <v>В-14789/КЛ.Транш - 1</v>
          </cell>
          <cell r="C363" t="str">
            <v>РОССИЯ, 142717, Московская обл, р-н Ленинский, п Развилка, проезд Римский, д. 1, кв. 471</v>
          </cell>
          <cell r="D363" t="str">
            <v>РОССИЯ, 143422, Московская обл, Ленинский р-н, Развилка п, Римский проезд, дом 1, квартира 471</v>
          </cell>
          <cell r="F363" t="str">
            <v>Московская</v>
          </cell>
          <cell r="G363">
            <v>0.66009259259259256</v>
          </cell>
          <cell r="H363">
            <v>0.91009259259259256</v>
          </cell>
          <cell r="I363" t="str">
            <v>ОК</v>
          </cell>
          <cell r="J363" t="str">
            <v>ОК</v>
          </cell>
        </row>
        <row r="364">
          <cell r="B364" t="str">
            <v>В-18600/КЛ.Транш - 1</v>
          </cell>
          <cell r="C364" t="str">
            <v>РОССИЯ, 109472, Москва г, ул Чугунные Ворота, д. 17, кв. 67</v>
          </cell>
          <cell r="D364" t="str">
            <v>РОССИЯ, 109472, Москва г, ул Чугунные Ворота, д. 17, кв. 67</v>
          </cell>
          <cell r="F364" t="str">
            <v>Москва</v>
          </cell>
          <cell r="G364">
            <v>0.66009259259259256</v>
          </cell>
          <cell r="H364">
            <v>0.91009259259259256</v>
          </cell>
          <cell r="I364" t="str">
            <v>ОК</v>
          </cell>
          <cell r="J364" t="str">
            <v>ОК</v>
          </cell>
        </row>
        <row r="365">
          <cell r="B365" t="str">
            <v>В-18909/КЛ.Транш - 1</v>
          </cell>
          <cell r="C365" t="str">
            <v>РОССИЯ, 121596, Москва г, вн.тер.г. муниципальный округ Можайский, ул Говорова, д. 14, к. 5, кв. 26</v>
          </cell>
          <cell r="D365" t="str">
            <v>РОССИЯ, 121596, Москва г, вн.тер.г. муниципальный округ Можайский, ул Говорова, д. 14, к. 5, кв. 26</v>
          </cell>
          <cell r="F365" t="str">
            <v>Москва</v>
          </cell>
          <cell r="G365">
            <v>0.66009259259259256</v>
          </cell>
          <cell r="H365">
            <v>0.91009259259259256</v>
          </cell>
          <cell r="I365" t="str">
            <v>ОК</v>
          </cell>
          <cell r="J365" t="str">
            <v>ОК</v>
          </cell>
        </row>
        <row r="366">
          <cell r="B366" t="str">
            <v>В-18909/КЛ.Транш - 3</v>
          </cell>
          <cell r="C366" t="str">
            <v>РОССИЯ, 121596, Москва г, вн.тер.г. муниципальный округ Можайский, ул Говорова, д. 14, к. 5, кв. 26</v>
          </cell>
          <cell r="D366" t="str">
            <v>РОССИЯ, 121596, Москва г, вн.тер.г. муниципальный округ Можайский, ул Говорова, д. 14, к. 5, кв. 26</v>
          </cell>
          <cell r="F366" t="str">
            <v>Москва</v>
          </cell>
          <cell r="G366">
            <v>0.66009259259259256</v>
          </cell>
          <cell r="H366">
            <v>0.91009259259259256</v>
          </cell>
          <cell r="I366" t="str">
            <v>ОК</v>
          </cell>
          <cell r="J366" t="str">
            <v>ОК</v>
          </cell>
        </row>
        <row r="367">
          <cell r="B367" t="str">
            <v>В-17900/КЛ.Транш - 1</v>
          </cell>
          <cell r="C367" t="str">
            <v>РОССИЯ, 432046, Ульяновская обл, г Ульяновск, ул Нахимова, д. 17, кв. 85</v>
          </cell>
          <cell r="D367" t="str">
            <v>РОССИЯ, 432046, Ульяновская обл, г Ульяновск, ул Нахимова, д. 17, кв. 85</v>
          </cell>
          <cell r="F367" t="str">
            <v>Ульяновская</v>
          </cell>
          <cell r="G367">
            <v>0.66009259259259256</v>
          </cell>
          <cell r="H367">
            <v>0.9517592592592593</v>
          </cell>
          <cell r="I367" t="str">
            <v>поздно</v>
          </cell>
          <cell r="J367" t="str">
            <v>ОК</v>
          </cell>
        </row>
        <row r="368">
          <cell r="B368" t="str">
            <v>В-17900/КЛ.Транш - 2</v>
          </cell>
          <cell r="C368" t="str">
            <v>РОССИЯ, 432046, Ульяновская обл, г Ульяновск, ул Нахимова, д. 17, кв. 85</v>
          </cell>
          <cell r="D368" t="str">
            <v>РОССИЯ, 432046, Ульяновская обл, г Ульяновск, ул Нахимова, д. 17, кв. 85</v>
          </cell>
          <cell r="F368" t="str">
            <v>Ульяновская</v>
          </cell>
          <cell r="G368">
            <v>0.66009259259259256</v>
          </cell>
          <cell r="H368">
            <v>0.9517592592592593</v>
          </cell>
          <cell r="I368" t="str">
            <v>поздно</v>
          </cell>
          <cell r="J368" t="str">
            <v>ОК</v>
          </cell>
        </row>
        <row r="369">
          <cell r="B369" t="str">
            <v>В-02707/КЛ.Транш - 1</v>
          </cell>
          <cell r="C369" t="str">
            <v>РОССИЯ, 108827, Москва г, Щаповское п, Русино д, дом 13</v>
          </cell>
          <cell r="D369" t="str">
            <v>РОССИЯ, 354008, Краснодарский край, Сочи г, Центральный р-н, Крымская ул, дом 25А, квартира 53</v>
          </cell>
          <cell r="F369" t="str">
            <v>Краснодарский</v>
          </cell>
          <cell r="G369">
            <v>0.66009259259259256</v>
          </cell>
          <cell r="H369">
            <v>0.91009259259259256</v>
          </cell>
          <cell r="I369" t="str">
            <v>ОК</v>
          </cell>
          <cell r="J369" t="str">
            <v>ОК</v>
          </cell>
        </row>
        <row r="370">
          <cell r="B370" t="str">
            <v>В-25304/АЗ</v>
          </cell>
          <cell r="C370" t="str">
            <v>РОССИЯ, 142006, Московская обл, г Домодедово, мкр. Востряково, ул Заборье, д. 1а/2</v>
          </cell>
          <cell r="D370" t="str">
            <v>РОССИЯ, 142006, Московская обл, г Домодедово, мкр. Востряково, ул Заборье, д. 1а/2</v>
          </cell>
          <cell r="F370" t="str">
            <v>Московская</v>
          </cell>
          <cell r="G370">
            <v>0.66009259259259256</v>
          </cell>
          <cell r="H370">
            <v>0.91009259259259256</v>
          </cell>
          <cell r="I370" t="str">
            <v>ОК</v>
          </cell>
          <cell r="J370" t="str">
            <v>ОК</v>
          </cell>
        </row>
        <row r="371">
          <cell r="B371" t="str">
            <v>В-28961/КЛ.Транш - 1</v>
          </cell>
          <cell r="C371" t="str">
            <v>РОССИЯ, 623101, Свердловская обл, г.о. Первоуральск, г Первоуральск, пр-кт Космонавтов, д. 19, кв. 1</v>
          </cell>
          <cell r="D371" t="str">
            <v>РОССИЯ, 623101, Свердловская обл, г.о. Первоуральск, г Первоуральск, пр-кт Космонавтов, д. 19, кв. 1</v>
          </cell>
          <cell r="F371" t="str">
            <v>Свердловская</v>
          </cell>
          <cell r="G371">
            <v>0.66009259259259256</v>
          </cell>
          <cell r="H371">
            <v>0.99342592592592593</v>
          </cell>
          <cell r="I371" t="str">
            <v>поздно</v>
          </cell>
          <cell r="J371" t="str">
            <v>ОК</v>
          </cell>
        </row>
        <row r="372">
          <cell r="B372" t="str">
            <v>В-28204/КЛ.Транш - 1</v>
          </cell>
          <cell r="C372" t="str">
            <v>РОССИЯ, 141702, Московская обл, г Долгопрудный, ул Заводская, д. 5, кв. 37</v>
          </cell>
          <cell r="D372" t="str">
            <v>РОССИЯ, 141702, Московская обл, г Долгопрудный, ул Заводская, д. 5, кв. 37</v>
          </cell>
          <cell r="F372" t="str">
            <v>Московская</v>
          </cell>
          <cell r="G372">
            <v>0.66009259259259256</v>
          </cell>
          <cell r="H372">
            <v>0.91009259259259256</v>
          </cell>
          <cell r="I372" t="str">
            <v>ОК</v>
          </cell>
          <cell r="J372" t="str">
            <v>ОК</v>
          </cell>
        </row>
        <row r="373">
          <cell r="B373" t="str">
            <v>В-11186/КЛ.Транш - 1</v>
          </cell>
          <cell r="C373" t="str">
            <v>РОССИЯ, Московская обл, Ногинск г, тер. СНТ Ясень, дом 194</v>
          </cell>
          <cell r="D373" t="str">
            <v>РОССИЯ, Московская обл, Ногинск г, тер. СНТ Ясень, дом 194</v>
          </cell>
          <cell r="F373" t="str">
            <v>Московская</v>
          </cell>
          <cell r="G373">
            <v>0.66009259259259256</v>
          </cell>
          <cell r="H373">
            <v>0.91009259259259256</v>
          </cell>
          <cell r="I373" t="str">
            <v>ОК</v>
          </cell>
          <cell r="J373" t="str">
            <v>ОК</v>
          </cell>
        </row>
        <row r="374">
          <cell r="B374" t="str">
            <v>В-11186/КЛ.Транш - 2</v>
          </cell>
          <cell r="C374" t="str">
            <v>РОССИЯ, Московская обл, Ногинск г, тер. СНТ Ясень, дом 194</v>
          </cell>
          <cell r="D374" t="str">
            <v>РОССИЯ, Московская обл, Ногинск г, тер. СНТ Ясень, дом 194</v>
          </cell>
          <cell r="F374" t="str">
            <v>Московская</v>
          </cell>
          <cell r="G374">
            <v>0.66009259259259256</v>
          </cell>
          <cell r="H374">
            <v>0.91009259259259256</v>
          </cell>
          <cell r="I374" t="str">
            <v>ОК</v>
          </cell>
          <cell r="J374" t="str">
            <v>ОК</v>
          </cell>
        </row>
        <row r="375">
          <cell r="B375" t="str">
            <v>В-17192/КЛ.Транш - 1</v>
          </cell>
          <cell r="C375" t="str">
            <v>РОССИЯ, 350004, Краснодарский край, г Краснодар, ул Минская, д. 59, кв. 46</v>
          </cell>
          <cell r="D375" t="str">
            <v>РОССИЯ, 350004, Краснодарский край, г Краснодар, ул Минская, д. 59, кв. 46</v>
          </cell>
          <cell r="F375" t="str">
            <v>Краснодарский</v>
          </cell>
          <cell r="G375">
            <v>0.66009259259259256</v>
          </cell>
          <cell r="H375">
            <v>0.91009259259259256</v>
          </cell>
          <cell r="I375" t="str">
            <v>ОК</v>
          </cell>
          <cell r="J375" t="str">
            <v>ОК</v>
          </cell>
        </row>
        <row r="376">
          <cell r="B376" t="str">
            <v>В-17192/КЛ.Транш - 2</v>
          </cell>
          <cell r="C376" t="str">
            <v>РОССИЯ, 350004, Краснодарский край, г Краснодар, ул Минская, д. 59, кв. 46</v>
          </cell>
          <cell r="D376" t="str">
            <v>РОССИЯ, 350004, Краснодарский край, г Краснодар, ул Минская, д. 59, кв. 46</v>
          </cell>
          <cell r="F376" t="str">
            <v>Краснодарский</v>
          </cell>
          <cell r="G376">
            <v>0.66009259259259256</v>
          </cell>
          <cell r="H376">
            <v>0.91009259259259256</v>
          </cell>
          <cell r="I376" t="str">
            <v>ОК</v>
          </cell>
          <cell r="J376" t="str">
            <v>ОК</v>
          </cell>
        </row>
        <row r="377">
          <cell r="B377" t="str">
            <v>В-00391/АЗ_В-20211230/Ц</v>
          </cell>
          <cell r="C377" t="str">
            <v>РОССИЯ, 117639, Москва г, Балаклавский пр-кт, дом 4, корпус 3, квартира 198</v>
          </cell>
          <cell r="D377" t="str">
            <v>РОССИЯ, 117639, Москва г, Балаклавский пр-кт, дом 4, корпус 3, квартира 198</v>
          </cell>
          <cell r="F377" t="str">
            <v>Москва</v>
          </cell>
          <cell r="G377">
            <v>0.66009259259259256</v>
          </cell>
          <cell r="H377">
            <v>0.91009259259259256</v>
          </cell>
          <cell r="I377" t="str">
            <v>ОК</v>
          </cell>
          <cell r="J377" t="str">
            <v>ОК</v>
          </cell>
        </row>
        <row r="378">
          <cell r="B378" t="str">
            <v>А-10122/КЭ.Транш - 1</v>
          </cell>
          <cell r="C378" t="str">
            <v>198096, Санкт-Петербург г, Червонного Казачества ул, дом 26, квартира 50</v>
          </cell>
          <cell r="F378" t="str">
            <v>Москва</v>
          </cell>
          <cell r="G378">
            <v>0.66009259259259256</v>
          </cell>
          <cell r="H378">
            <v>0.91009259259259256</v>
          </cell>
          <cell r="I378" t="str">
            <v>ОК</v>
          </cell>
          <cell r="J378" t="str">
            <v>ОК</v>
          </cell>
        </row>
        <row r="379">
          <cell r="B379" t="str">
            <v>В-00956/АЗ</v>
          </cell>
          <cell r="C379" t="str">
            <v>РОССИЯ, 141170, Московская обл, Щёлково г, Монино рп, Маршала Красовского ул, дом 9, квартира 29</v>
          </cell>
          <cell r="D379" t="str">
            <v>РОССИЯ, 143902, Московская обл, Балашиха г, Орджоникидзе ул, дом 22, квартира 74</v>
          </cell>
          <cell r="F379" t="str">
            <v>Московская</v>
          </cell>
          <cell r="G379">
            <v>0.66009259259259256</v>
          </cell>
          <cell r="H379">
            <v>0.91009259259259256</v>
          </cell>
          <cell r="I379" t="str">
            <v>ОК</v>
          </cell>
          <cell r="J379" t="str">
            <v>ОК</v>
          </cell>
        </row>
        <row r="380">
          <cell r="B380" t="str">
            <v>В-10141/КЛ.Транш - 1</v>
          </cell>
          <cell r="C380" t="str">
            <v>РОССИЯ, 641886, Курганская обл, Шадринский р-н, Прогресс с, Заречная ул, дом 35</v>
          </cell>
          <cell r="D380" t="str">
            <v>РОССИЯ, 641886, Курганская обл, Шадринский р-н, Прогресс с, Заречная ул, дом 35</v>
          </cell>
          <cell r="F380" t="str">
            <v>Курганская</v>
          </cell>
          <cell r="G380">
            <v>0.66009259259259256</v>
          </cell>
          <cell r="H380">
            <v>0.99342592592592593</v>
          </cell>
          <cell r="I380" t="str">
            <v>поздно</v>
          </cell>
          <cell r="J380" t="str">
            <v>ОК</v>
          </cell>
        </row>
        <row r="381">
          <cell r="B381" t="str">
            <v>В-10141/КЛ.Транш - 2</v>
          </cell>
          <cell r="C381" t="str">
            <v>РОССИЯ, 641886, Курганская обл, Шадринский р-н, Прогресс с, Заречная ул, дом 35</v>
          </cell>
          <cell r="D381" t="str">
            <v>РОССИЯ, 641886, Курганская обл, Шадринский р-н, Прогресс с, Заречная ул, дом 35</v>
          </cell>
          <cell r="F381" t="str">
            <v>Курганская</v>
          </cell>
          <cell r="G381">
            <v>0.66009259259259256</v>
          </cell>
          <cell r="H381">
            <v>0.99342592592592593</v>
          </cell>
          <cell r="I381" t="str">
            <v>поздно</v>
          </cell>
          <cell r="J381" t="str">
            <v>ОК</v>
          </cell>
        </row>
        <row r="382">
          <cell r="B382" t="str">
            <v>В-00137/АЗ_В-20211230/Ц</v>
          </cell>
          <cell r="C382" t="str">
            <v>РОССИЯ, 191036, Санкт-Петербург г, ул 8-я Советская, д. 21, литера А, кв. 13</v>
          </cell>
          <cell r="D382" t="str">
            <v>РОССИЯ, 191036, Санкт-Петербург г, 8-я Советская ул, дом № 21, квартира 13</v>
          </cell>
          <cell r="F382" t="str">
            <v>Москва</v>
          </cell>
          <cell r="G382">
            <v>0.66009259259259256</v>
          </cell>
          <cell r="H382">
            <v>0.91009259259259256</v>
          </cell>
          <cell r="I382" t="str">
            <v>ОК</v>
          </cell>
          <cell r="J382" t="str">
            <v>ОК</v>
          </cell>
        </row>
        <row r="383">
          <cell r="B383" t="str">
            <v>В-24546/КЛ.Транш - 4</v>
          </cell>
          <cell r="C383" t="str">
            <v>РОССИЯ, 117042, Москва г, Поляны ул, дом 7, квартира 245</v>
          </cell>
          <cell r="D383" t="str">
            <v>РОССИЯ, 117042, Москва г, Поляны ул, дом 7, квартира 245</v>
          </cell>
          <cell r="F383" t="str">
            <v>Москва</v>
          </cell>
          <cell r="G383">
            <v>0.66009259259259256</v>
          </cell>
          <cell r="H383">
            <v>0.91009259259259256</v>
          </cell>
          <cell r="I383" t="str">
            <v>ОК</v>
          </cell>
          <cell r="J383" t="str">
            <v>ОК</v>
          </cell>
        </row>
        <row r="384">
          <cell r="B384" t="str">
            <v>В-24546/КЛ.Транш - 5</v>
          </cell>
          <cell r="C384" t="str">
            <v>РОССИЯ, 117042, Москва г, Поляны ул, дом 7, квартира 245</v>
          </cell>
          <cell r="D384" t="str">
            <v>РОССИЯ, 117042, Москва г, Поляны ул, дом 7, квартира 245</v>
          </cell>
          <cell r="F384" t="str">
            <v>Москва</v>
          </cell>
          <cell r="G384">
            <v>0.66009259259259256</v>
          </cell>
          <cell r="H384">
            <v>0.91009259259259256</v>
          </cell>
          <cell r="I384" t="str">
            <v>ОК</v>
          </cell>
          <cell r="J384" t="str">
            <v>ОК</v>
          </cell>
        </row>
        <row r="385">
          <cell r="B385" t="str">
            <v>В-24546/КЛ.Транш - 6</v>
          </cell>
          <cell r="C385" t="str">
            <v>РОССИЯ, 117042, Москва г, Поляны ул, дом 7, квартира 245</v>
          </cell>
          <cell r="D385" t="str">
            <v>РОССИЯ, 117042, Москва г, Поляны ул, дом 7, квартира 245</v>
          </cell>
          <cell r="F385" t="str">
            <v>Москва</v>
          </cell>
          <cell r="G385">
            <v>0.66009259259259256</v>
          </cell>
          <cell r="H385">
            <v>0.91009259259259256</v>
          </cell>
          <cell r="I385" t="str">
            <v>ОК</v>
          </cell>
          <cell r="J385" t="str">
            <v>ОК</v>
          </cell>
        </row>
        <row r="386">
          <cell r="B386" t="str">
            <v>В-03359/КЛ.Транш - 5</v>
          </cell>
          <cell r="C386" t="str">
            <v>РОССИЯ, 399878, Липецкая обл, Лев-Толстовский р-н, Гагарино с, Советская ул, дом 26, квартира 2</v>
          </cell>
          <cell r="D386" t="str">
            <v>РОССИЯ, 399878, Липецкая обл, Лев-Толстовский р-н, Гагарино с, Советская ул, дом 26, квартира 2</v>
          </cell>
          <cell r="F386" t="str">
            <v>Липецкая</v>
          </cell>
          <cell r="G386">
            <v>0.66009259259259256</v>
          </cell>
          <cell r="H386">
            <v>0.91009259259259256</v>
          </cell>
          <cell r="I386" t="str">
            <v>ОК</v>
          </cell>
          <cell r="J386" t="str">
            <v>ОК</v>
          </cell>
        </row>
        <row r="387">
          <cell r="B387" t="str">
            <v>В-18305/КЛ.Транш - 1</v>
          </cell>
          <cell r="C387" t="str">
            <v>РОССИЯ, 198516, Санкт-Петербург г, вн.тер.г. город Петергоф, г Петергоф, б-р Разведчика, д. 1, к. 4, литера А, кв. 99</v>
          </cell>
          <cell r="D387" t="str">
            <v>РОССИЯ, 198516, Санкт-Петербург г, г Петергоф, б-р Разведчика, д. 1, к. 4, литера А, кв. 11</v>
          </cell>
          <cell r="F387" t="str">
            <v>Москва</v>
          </cell>
          <cell r="G387">
            <v>0.66009259259259256</v>
          </cell>
          <cell r="H387">
            <v>0.91009259259259256</v>
          </cell>
          <cell r="I387" t="str">
            <v>ОК</v>
          </cell>
          <cell r="J387" t="str">
            <v>ОК</v>
          </cell>
        </row>
        <row r="388">
          <cell r="B388" t="str">
            <v>В-18305/КЛ.Транш - 2</v>
          </cell>
          <cell r="C388" t="str">
            <v>РОССИЯ, 198516, Санкт-Петербург г, вн.тер.г. город Петергоф, г Петергоф, б-р Разведчика, д. 1, к. 4, литера А, кв. 99</v>
          </cell>
          <cell r="D388" t="str">
            <v>РОССИЯ, 198516, Санкт-Петербург г, г Петергоф, б-р Разведчика, д. 1, к. 4, литера А, кв. 11</v>
          </cell>
          <cell r="F388" t="str">
            <v>Москва</v>
          </cell>
          <cell r="G388">
            <v>0.66009259259259256</v>
          </cell>
          <cell r="H388">
            <v>0.91009259259259256</v>
          </cell>
          <cell r="I388" t="str">
            <v>ОК</v>
          </cell>
          <cell r="J388" t="str">
            <v>ОК</v>
          </cell>
        </row>
        <row r="389">
          <cell r="B389" t="str">
            <v>В-18305/КЛ.Транш - 3</v>
          </cell>
          <cell r="C389" t="str">
            <v>РОССИЯ, 198516, Санкт-Петербург г, вн.тер.г. город Петергоф, г Петергоф, б-р Разведчика, д. 1, к. 4, литера А, кв. 99</v>
          </cell>
          <cell r="D389" t="str">
            <v>РОССИЯ, 198516, Санкт-Петербург г, г Петергоф, б-р Разведчика, д. 1, к. 4, литера А, кв. 11</v>
          </cell>
          <cell r="F389" t="str">
            <v>Москва</v>
          </cell>
          <cell r="G389">
            <v>0.66009259259259256</v>
          </cell>
          <cell r="H389">
            <v>0.91009259259259256</v>
          </cell>
          <cell r="I389" t="str">
            <v>ОК</v>
          </cell>
          <cell r="J389" t="str">
            <v>ОК</v>
          </cell>
        </row>
        <row r="390">
          <cell r="B390" t="str">
            <v>В-28089/КЛ.Транш - 1</v>
          </cell>
          <cell r="C390" t="str">
            <v>РОССИЯ, 142117, Московская обл, г Подольск, д Бородино, ш Варшавское, д. 79, кв. 50</v>
          </cell>
          <cell r="D390" t="str">
            <v>РОССИЯ, 142117, Московская обл, г Подольск, д Бородино, ш Варшавское, д. 79, кв. 50</v>
          </cell>
          <cell r="F390" t="str">
            <v>Московская</v>
          </cell>
          <cell r="G390">
            <v>0.66009259259259256</v>
          </cell>
          <cell r="H390">
            <v>0.91009259259259256</v>
          </cell>
          <cell r="I390" t="str">
            <v>ОК</v>
          </cell>
          <cell r="J390" t="str">
            <v>ОК</v>
          </cell>
        </row>
        <row r="391">
          <cell r="B391" t="str">
            <v>Т-01867/АЗ_Т-20211028/Ц</v>
          </cell>
          <cell r="C391" t="str">
            <v>РОССИЯ, 196240, Санкт-Петербург г, Краснопутиловская ул, дом № 121, квартира 319</v>
          </cell>
          <cell r="D391" t="str">
            <v>РОССИЯ, 196240, Санкт-Петербург г, Краснопутиловская ул, дом № 121, квартира 319</v>
          </cell>
          <cell r="F391" t="str">
            <v>Москва</v>
          </cell>
          <cell r="G391">
            <v>0.66009259259259256</v>
          </cell>
          <cell r="H391">
            <v>0.91009259259259256</v>
          </cell>
          <cell r="I391" t="str">
            <v>ОК</v>
          </cell>
          <cell r="J391" t="str">
            <v>ОК</v>
          </cell>
        </row>
        <row r="392">
          <cell r="B392" t="str">
            <v>В-13177/КЛ.Транш - 1_А-20210929/Ц</v>
          </cell>
          <cell r="C392" t="str">
            <v>РОССИЯ, 396346, Воронежская обл, Каширский р-н, Боево с, 25 лет Октября ул, дом 143</v>
          </cell>
          <cell r="D392" t="str">
            <v>РОССИЯ, 394072, Воронежская обл, Воронеж г, Калашникова пер, дом 1, квартира 213</v>
          </cell>
          <cell r="F392" t="str">
            <v>Воронежская</v>
          </cell>
          <cell r="G392">
            <v>0.66009259259259256</v>
          </cell>
          <cell r="H392">
            <v>0.91009259259259256</v>
          </cell>
          <cell r="I392" t="str">
            <v>ОК</v>
          </cell>
          <cell r="J392" t="str">
            <v>ОК</v>
          </cell>
        </row>
        <row r="393">
          <cell r="B393" t="str">
            <v>В-05009/КЛ.Транш - 1</v>
          </cell>
          <cell r="C393" t="str">
            <v>РОССИЯ, 197373, Санкт-Петербург г, ул Долгоозёрная, д. 6, к. 1, литера А, кв. 173</v>
          </cell>
          <cell r="D393" t="str">
            <v>РОССИЯ, 196140, Санкт-Петербург г, Пулковское ш, дом 10, квартира 1</v>
          </cell>
          <cell r="F393" t="str">
            <v>Москва</v>
          </cell>
          <cell r="G393">
            <v>0.66009259259259256</v>
          </cell>
          <cell r="H393">
            <v>0.91009259259259256</v>
          </cell>
          <cell r="I393" t="str">
            <v>ОК</v>
          </cell>
          <cell r="J393" t="str">
            <v>ОК</v>
          </cell>
        </row>
        <row r="394">
          <cell r="B394" t="str">
            <v>В-20155/КЛ.Транш - 1</v>
          </cell>
          <cell r="C394" t="str">
            <v>РОССИЯ, 141552, Московская обл, г Солнечногорск, рп Ржавки, д. 3, кв. 73</v>
          </cell>
          <cell r="D394" t="str">
            <v>РОССИЯ, 141552, Московская обл, г Солнечногорск, рп Ржавки, д. 3, кв. 73</v>
          </cell>
          <cell r="F394" t="str">
            <v>Московская</v>
          </cell>
          <cell r="G394">
            <v>0.66009259259259256</v>
          </cell>
          <cell r="H394">
            <v>0.91009259259259256</v>
          </cell>
          <cell r="I394" t="str">
            <v>ОК</v>
          </cell>
          <cell r="J394" t="str">
            <v>ОК</v>
          </cell>
        </row>
        <row r="395">
          <cell r="B395" t="str">
            <v>В-28677/КЛ.Транш - 1</v>
          </cell>
          <cell r="C395" t="str">
            <v>РОССИЯ, 115582, Москва г, проезд Шипиловский, д. 63, к. 1, кв. 566</v>
          </cell>
          <cell r="D395" t="str">
            <v>РОССИЯ, 115582, Москва г, проезд Шипиловский, д. 63, к. 1, кв. 566</v>
          </cell>
          <cell r="F395" t="str">
            <v>Москва</v>
          </cell>
          <cell r="G395">
            <v>0.66009259259259256</v>
          </cell>
          <cell r="H395">
            <v>0.91009259259259256</v>
          </cell>
          <cell r="I395" t="str">
            <v>ОК</v>
          </cell>
          <cell r="J395" t="str">
            <v>ОК</v>
          </cell>
        </row>
        <row r="396">
          <cell r="B396" t="str">
            <v>В-09010/КЛ.Транш - 1</v>
          </cell>
          <cell r="C396" t="str">
            <v>РОССИЯ, 109341, Москва г, Новомарьинская ул, дом № 5, квартира 211</v>
          </cell>
          <cell r="D396" t="str">
            <v>РОССИЯ, 109341, Москва г, Новомарьинская ул, дом № 5, квартира 211</v>
          </cell>
          <cell r="F396" t="str">
            <v>Москва</v>
          </cell>
          <cell r="G396">
            <v>0.66009259259259256</v>
          </cell>
          <cell r="H396">
            <v>0.91009259259259256</v>
          </cell>
          <cell r="I396" t="str">
            <v>ОК</v>
          </cell>
          <cell r="J396" t="str">
            <v>ОК</v>
          </cell>
        </row>
        <row r="397">
          <cell r="B397" t="str">
            <v>В-18171/КЛ.Транш - 1_В-20211230/Ц</v>
          </cell>
          <cell r="C397" t="str">
            <v>РОССИЯ, 618340, Пермский край, г Александровск, рп Яйва, ул Первомайская, д. 15, кв. 7</v>
          </cell>
          <cell r="D397" t="str">
            <v>РОССИЯ, 618340, Пермский край, г Александровск, рп Яйва, ул Первомайская, д. 15, кв. 7</v>
          </cell>
          <cell r="F397" t="str">
            <v>Пермский</v>
          </cell>
          <cell r="G397">
            <v>0.66009259259259256</v>
          </cell>
          <cell r="H397">
            <v>0.99342592592592593</v>
          </cell>
          <cell r="I397" t="str">
            <v>поздно</v>
          </cell>
          <cell r="J397" t="str">
            <v>ОК</v>
          </cell>
        </row>
        <row r="398">
          <cell r="B398" t="str">
            <v>В-27729/АЗ</v>
          </cell>
          <cell r="C398" t="str">
            <v>РОССИЯ, 140053, Московская обл, г Котельники, Южный мкр, д. 14, кв. 361</v>
          </cell>
          <cell r="D398" t="str">
            <v>РОССИЯ, 140053, Московская обл, г Котельники, Южный мкр, д. 14, кв. 361</v>
          </cell>
          <cell r="F398" t="str">
            <v>Московская</v>
          </cell>
          <cell r="G398">
            <v>0.66009259259259256</v>
          </cell>
          <cell r="H398">
            <v>0.91009259259259256</v>
          </cell>
          <cell r="I398" t="str">
            <v>ОК</v>
          </cell>
          <cell r="J398" t="str">
            <v>ОК</v>
          </cell>
        </row>
        <row r="399">
          <cell r="B399" t="str">
            <v>В-27730/АЗ</v>
          </cell>
          <cell r="C399" t="str">
            <v>РОССИЯ, 140053, Московская обл, г Котельники, Южный мкр, д. 14, кв. 361</v>
          </cell>
          <cell r="D399" t="str">
            <v>РОССИЯ, 140053, Московская обл, г Котельники, Южный мкр, д. 14, кв. 361</v>
          </cell>
          <cell r="F399" t="str">
            <v>Московская</v>
          </cell>
          <cell r="G399">
            <v>0.66009259259259256</v>
          </cell>
          <cell r="H399">
            <v>0.91009259259259256</v>
          </cell>
          <cell r="I399" t="str">
            <v>ОК</v>
          </cell>
          <cell r="J399" t="str">
            <v>ОК</v>
          </cell>
        </row>
        <row r="400">
          <cell r="B400" t="str">
            <v>В-01169/АЗ</v>
          </cell>
          <cell r="C400" t="str">
            <v>РОССИЯ, 111675, Москва г, ул Дмитриевского, д. 23, кв. 25</v>
          </cell>
          <cell r="D400" t="str">
            <v>РОССИЯ, 111675, Москва г, ул Святоозерская, д. 8, кв. 7</v>
          </cell>
          <cell r="F400" t="str">
            <v>Москва</v>
          </cell>
          <cell r="G400">
            <v>0.66009259259259256</v>
          </cell>
          <cell r="H400">
            <v>0.91009259259259256</v>
          </cell>
          <cell r="I400" t="str">
            <v>ОК</v>
          </cell>
          <cell r="J400" t="str">
            <v>ОК</v>
          </cell>
        </row>
        <row r="401">
          <cell r="B401" t="str">
            <v>В-17494/КЛ.Транш - 1</v>
          </cell>
          <cell r="C401" t="str">
            <v>РОССИЯ, 143914, Московская обл, г.о. городской округ Балашиха, г Балашиха, мкр. Никольско-Архангельский, ш Вишняковское, влд. 101</v>
          </cell>
          <cell r="D401" t="str">
            <v>РОССИЯ, 143914, Московская обл, г Балашиха, Витязи ЖК, д. 8, кв. 109</v>
          </cell>
          <cell r="F401" t="str">
            <v>Московская</v>
          </cell>
          <cell r="G401">
            <v>0.66009259259259256</v>
          </cell>
          <cell r="H401">
            <v>0.91009259259259256</v>
          </cell>
          <cell r="I401" t="str">
            <v>ОК</v>
          </cell>
          <cell r="J401" t="str">
            <v>ОК</v>
          </cell>
        </row>
        <row r="402">
          <cell r="B402" t="str">
            <v>В-00041/АЗ</v>
          </cell>
          <cell r="C402" t="str">
            <v>РОССИЯ, 107023, Москва г, Буженинова ул, дом № 22, квартира 41</v>
          </cell>
          <cell r="D402" t="str">
            <v>РОССИЯ, 107023, Москва г, Буженинова ул, дом № 22, квартира 41</v>
          </cell>
          <cell r="F402" t="str">
            <v>Москва</v>
          </cell>
          <cell r="G402">
            <v>0.66009259259259256</v>
          </cell>
          <cell r="H402">
            <v>0.91009259259259256</v>
          </cell>
          <cell r="I402" t="str">
            <v>ОК</v>
          </cell>
          <cell r="J402" t="str">
            <v>ОК</v>
          </cell>
        </row>
        <row r="403">
          <cell r="B403" t="str">
            <v>В-13297/КЛ.Транш - 1</v>
          </cell>
          <cell r="C403" t="str">
            <v>РОССИЯ, 309274, Белгородская обл, Шебекинский р-н, Авиловка с, Чапаева ул, дом 149</v>
          </cell>
          <cell r="D403" t="str">
            <v>РОССИЯ, 309274, Белгородская обл, Шебекинский р-н, Авиловка с, Чапаева ул, дом 149</v>
          </cell>
          <cell r="F403" t="str">
            <v>Белгородская</v>
          </cell>
          <cell r="G403">
            <v>0.66009259259259256</v>
          </cell>
          <cell r="H403">
            <v>0.91009259259259256</v>
          </cell>
          <cell r="I403" t="str">
            <v>ОК</v>
          </cell>
          <cell r="J403" t="str">
            <v>ОК</v>
          </cell>
        </row>
        <row r="404">
          <cell r="B404" t="str">
            <v>В-18164/КЛ.Транш - 1</v>
          </cell>
          <cell r="C404" t="str">
            <v>РОССИЯ, 452654, Башкортостан респ, р-н Бакалинский, с Старокуручево, ул Комсомольская, д. 8</v>
          </cell>
          <cell r="D404" t="str">
            <v>РОССИЯ, 452654, Башкортостан респ, р-н Бакалинский, с Старокуручево, ул Комсомольская, д. 8</v>
          </cell>
          <cell r="F404" t="str">
            <v>Башкортостан</v>
          </cell>
          <cell r="G404">
            <v>0.66009259259259256</v>
          </cell>
          <cell r="H404">
            <v>0.99342592592592593</v>
          </cell>
          <cell r="I404" t="str">
            <v>поздно</v>
          </cell>
          <cell r="J404" t="str">
            <v>ОК</v>
          </cell>
        </row>
        <row r="405">
          <cell r="B405" t="str">
            <v>В-11836/КЛ.Транш - 2</v>
          </cell>
          <cell r="C405" t="str">
            <v>РОССИЯ, 426010, Удмуртская респ, Ижевск г, Демьяна Бедного ул, дом 17</v>
          </cell>
          <cell r="D405" t="str">
            <v>РОССИЯ, 426010, Удмуртская респ, Ижевск г, Демьяна Бедного ул, дом 17</v>
          </cell>
          <cell r="F405" t="str">
            <v>Удмуртская</v>
          </cell>
          <cell r="G405">
            <v>0.66009259259259256</v>
          </cell>
          <cell r="H405">
            <v>0.9517592592592593</v>
          </cell>
          <cell r="I405" t="str">
            <v>поздно</v>
          </cell>
          <cell r="J405" t="str">
            <v>ОК</v>
          </cell>
        </row>
        <row r="406">
          <cell r="B406" t="str">
            <v>А-00267/КЭ.Транш - 2</v>
          </cell>
          <cell r="C406" t="str">
            <v>141112, Московская обл, Щелковский р-н, Щелково г, Московская ул, дом № 68, литера А, помещение 2</v>
          </cell>
          <cell r="F406" t="str">
            <v>Москва</v>
          </cell>
          <cell r="G406">
            <v>0.66009259259259256</v>
          </cell>
          <cell r="H406">
            <v>0.91009259259259256</v>
          </cell>
          <cell r="I406" t="str">
            <v>ОК</v>
          </cell>
          <cell r="J406" t="str">
            <v>ОК</v>
          </cell>
        </row>
        <row r="407">
          <cell r="B407" t="str">
            <v>А-00386/КЭ.Транш - 1</v>
          </cell>
          <cell r="C407" t="str">
            <v>141112, Московская обл, Щелковский р-н, Щелково г, Московская ул, дом № 68, литера А, помещение 2</v>
          </cell>
          <cell r="F407" t="str">
            <v>Москва</v>
          </cell>
          <cell r="G407">
            <v>0.66009259259259256</v>
          </cell>
          <cell r="H407">
            <v>0.91009259259259256</v>
          </cell>
          <cell r="I407" t="str">
            <v>ОК</v>
          </cell>
          <cell r="J407" t="str">
            <v>ОК</v>
          </cell>
        </row>
        <row r="408">
          <cell r="B408" t="str">
            <v>В-10021/КЭ.Транш - 1</v>
          </cell>
          <cell r="C408" t="str">
            <v>197183, Санкт-Петербург г, ул Полевая Сабировская, д. 46, литера Т, офис 911</v>
          </cell>
          <cell r="F408" t="str">
            <v>Москва</v>
          </cell>
          <cell r="G408">
            <v>0.66009259259259256</v>
          </cell>
          <cell r="H408">
            <v>0.91009259259259256</v>
          </cell>
          <cell r="I408" t="str">
            <v>ОК</v>
          </cell>
          <cell r="J408" t="str">
            <v>ОК</v>
          </cell>
        </row>
        <row r="409">
          <cell r="B409" t="str">
            <v>В-07147/КЛ.Транш - 1_В-20211230/Ц</v>
          </cell>
          <cell r="C409" t="str">
            <v>РОССИЯ, 141181, Московская обл, Щёлково г, Загорянский дп, Розы Люксембург ул, дом 5</v>
          </cell>
          <cell r="D409" t="str">
            <v>РОССИЯ, 141181, Московская обл, Щёлково г, Загорянский дп, Розы Люксембург ул, дом 5</v>
          </cell>
          <cell r="F409" t="str">
            <v>Московская</v>
          </cell>
          <cell r="G409">
            <v>0.66009259259259256</v>
          </cell>
          <cell r="H409">
            <v>0.91009259259259256</v>
          </cell>
          <cell r="I409" t="str">
            <v>ОК</v>
          </cell>
          <cell r="J409" t="str">
            <v>ОК</v>
          </cell>
        </row>
        <row r="410">
          <cell r="B410" t="str">
            <v>В-07147/КЛ.Транш - 2_В-20211230/Ц</v>
          </cell>
          <cell r="C410" t="str">
            <v>РОССИЯ, 141181, Московская обл, Щёлково г, Загорянский дп, Розы Люксембург ул, дом 5</v>
          </cell>
          <cell r="D410" t="str">
            <v>РОССИЯ, 141181, Московская обл, Щёлково г, Загорянский дп, Розы Люксембург ул, дом 5</v>
          </cell>
          <cell r="F410" t="str">
            <v>Московская</v>
          </cell>
          <cell r="G410">
            <v>0.66009259259259256</v>
          </cell>
          <cell r="H410">
            <v>0.91009259259259256</v>
          </cell>
          <cell r="I410" t="str">
            <v>ОК</v>
          </cell>
          <cell r="J410" t="str">
            <v>ОК</v>
          </cell>
        </row>
        <row r="411">
          <cell r="B411" t="str">
            <v>В-12410/КЛ.Транш - 1</v>
          </cell>
          <cell r="C411" t="str">
            <v>РОССИЯ, 440072, Пензенская обл, Пенза г, Антонова ул, дом 17, квартира 67</v>
          </cell>
          <cell r="D411" t="str">
            <v>РОССИЯ, 440072, Пензенская обл, Пенза г, Антонова ул, дом 17, квартира 67</v>
          </cell>
          <cell r="F411" t="str">
            <v>Пензенская</v>
          </cell>
          <cell r="G411">
            <v>0.66009259259259256</v>
          </cell>
          <cell r="H411">
            <v>0.91009259259259256</v>
          </cell>
          <cell r="I411" t="str">
            <v>ОК</v>
          </cell>
          <cell r="J411" t="str">
            <v>ОК</v>
          </cell>
        </row>
        <row r="412">
          <cell r="B412" t="str">
            <v>В-09882/КЛ.Транш - 10</v>
          </cell>
          <cell r="C412" t="str">
            <v>РОССИЯ, 350012, Краснодарский край, Краснодар г, Красных Партизан проезд, дом 161, корпус 1, квартира 76</v>
          </cell>
          <cell r="D412" t="str">
            <v>РОССИЯ, 350012, Краснодарский край, Краснодар г, Красных Партизан проезд, дом 161, корпус 1, квартира 76</v>
          </cell>
          <cell r="F412" t="str">
            <v>Краснодарский</v>
          </cell>
          <cell r="G412">
            <v>0.66009259259259256</v>
          </cell>
          <cell r="H412">
            <v>0.91009259259259256</v>
          </cell>
          <cell r="I412" t="str">
            <v>ОК</v>
          </cell>
          <cell r="J412" t="str">
            <v>ОК</v>
          </cell>
        </row>
        <row r="413">
          <cell r="B413" t="str">
            <v>В-09882/КЛ.Транш - 8</v>
          </cell>
          <cell r="C413" t="str">
            <v>РОССИЯ, 350012, Краснодарский край, Краснодар г, Красных Партизан проезд, дом 161, корпус 1, квартира 76</v>
          </cell>
          <cell r="D413" t="str">
            <v>РОССИЯ, 350012, Краснодарский край, Краснодар г, Красных Партизан проезд, дом 161, корпус 1, квартира 76</v>
          </cell>
          <cell r="F413" t="str">
            <v>Краснодарский</v>
          </cell>
          <cell r="G413">
            <v>0.66009259259259256</v>
          </cell>
          <cell r="H413">
            <v>0.91009259259259256</v>
          </cell>
          <cell r="I413" t="str">
            <v>ОК</v>
          </cell>
          <cell r="J413" t="str">
            <v>ОК</v>
          </cell>
        </row>
        <row r="414">
          <cell r="B414" t="str">
            <v>В-09882/КЛ.Транш - 9</v>
          </cell>
          <cell r="C414" t="str">
            <v>РОССИЯ, 350012, Краснодарский край, Краснодар г, Красных Партизан проезд, дом 161, корпус 1, квартира 76</v>
          </cell>
          <cell r="D414" t="str">
            <v>РОССИЯ, 350012, Краснодарский край, Краснодар г, Красных Партизан проезд, дом 161, корпус 1, квартира 76</v>
          </cell>
          <cell r="F414" t="str">
            <v>Краснодарский</v>
          </cell>
          <cell r="G414">
            <v>0.66009259259259256</v>
          </cell>
          <cell r="H414">
            <v>0.91009259259259256</v>
          </cell>
          <cell r="I414" t="str">
            <v>ОК</v>
          </cell>
          <cell r="J414" t="str">
            <v>ОК</v>
          </cell>
        </row>
        <row r="415">
          <cell r="B415" t="str">
            <v>В-21568/КЛ.Транш - 1</v>
          </cell>
          <cell r="C415" t="str">
            <v>РОССИЯ, 369000, Карачаево-Черкесская респ, г Черкесск, пер Союзный, д. 18</v>
          </cell>
          <cell r="D415" t="str">
            <v>РОССИЯ, 355028, Ставропольский край, г Ставрополь, ул Тухачевского, д. 20/1, кв. 165</v>
          </cell>
          <cell r="F415" t="str">
            <v>Ставропольский</v>
          </cell>
          <cell r="G415">
            <v>0.66009259259259256</v>
          </cell>
          <cell r="H415">
            <v>0.91009259259259256</v>
          </cell>
          <cell r="I415" t="str">
            <v>ОК</v>
          </cell>
          <cell r="J415" t="str">
            <v>ОК</v>
          </cell>
        </row>
        <row r="416">
          <cell r="B416" t="str">
            <v>А-01262/АЗ</v>
          </cell>
          <cell r="C416" t="str">
            <v>РОССИЯ, 117452, Москва г, муниципальный округ Зюзино, Черноморский б-р, дом 15, корпус 2, квартира 47</v>
          </cell>
          <cell r="D416" t="str">
            <v>РОССИЯ, 117452, Москва г, муниципальный округ Зюзино, Черноморский б-р, дом 15, корпус 2, квартира 47</v>
          </cell>
          <cell r="F416" t="str">
            <v>Москва</v>
          </cell>
          <cell r="G416">
            <v>0.66009259259259256</v>
          </cell>
          <cell r="H416">
            <v>0.91009259259259256</v>
          </cell>
          <cell r="I416" t="str">
            <v>ОК</v>
          </cell>
          <cell r="J416" t="str">
            <v>ОК</v>
          </cell>
        </row>
        <row r="417">
          <cell r="B417" t="str">
            <v>В-00980/АЗ_А-20210929/Ц</v>
          </cell>
          <cell r="C417" t="str">
            <v>РОССИЯ, 195273, Санкт-Петербург г, Верности ул, дом 44, корпус 1, литера А, квартира 91</v>
          </cell>
          <cell r="D417" t="str">
            <v>РОССИЯ, 195273, Санкт-Петербург г, Верности ул, дом 44, корпус 1, литера А, квартира 91</v>
          </cell>
          <cell r="F417" t="str">
            <v>Москва</v>
          </cell>
          <cell r="G417">
            <v>0.66009259259259256</v>
          </cell>
          <cell r="H417">
            <v>0.91009259259259256</v>
          </cell>
          <cell r="I417" t="str">
            <v>ОК</v>
          </cell>
          <cell r="J417" t="str">
            <v>ОК</v>
          </cell>
        </row>
        <row r="418">
          <cell r="B418" t="str">
            <v>В-01216/АЗ</v>
          </cell>
          <cell r="C418" t="str">
            <v>РОССИЯ, 108815, Москва г, Филимонковское п, Марьино п, Светлый б-р, дом № 2, квартира 22</v>
          </cell>
          <cell r="D418" t="str">
            <v>РОССИЯ, 108815, Москва г, Филимонковское п, Марьино п, Светлый б-р, дом № 2, квартира 22</v>
          </cell>
          <cell r="F418" t="str">
            <v>Москва</v>
          </cell>
          <cell r="G418">
            <v>0.66009259259259256</v>
          </cell>
          <cell r="H418">
            <v>0.91009259259259256</v>
          </cell>
          <cell r="I418" t="str">
            <v>ОК</v>
          </cell>
          <cell r="J418" t="str">
            <v>ОК</v>
          </cell>
        </row>
        <row r="419">
          <cell r="B419" t="str">
            <v>В-27315/КЛ.Транш - 1</v>
          </cell>
          <cell r="C419" t="str">
            <v>РОССИЯ, 181611, Псковская обл, р-н Гдовский, п Смуравьево-2, д. 11, кв. 62</v>
          </cell>
          <cell r="D419" t="str">
            <v>РОССИЯ, 181611, Псковская обл, р-н Гдовский, п Смуравьево-2, д. 11, кв. 62</v>
          </cell>
          <cell r="F419" t="str">
            <v>Псковская</v>
          </cell>
          <cell r="G419">
            <v>0.66009259259259256</v>
          </cell>
          <cell r="H419">
            <v>0.91009259259259256</v>
          </cell>
          <cell r="I419" t="str">
            <v>ОК</v>
          </cell>
          <cell r="J419" t="str">
            <v>ОК</v>
          </cell>
        </row>
        <row r="420">
          <cell r="B420" t="str">
            <v>В-18983/КЛ.Транш - 1_В-20211230/Ц</v>
          </cell>
          <cell r="C420" t="str">
            <v>РОССИЯ, Дагестан респ, р-н Бабаюртовский, с Герменчик</v>
          </cell>
          <cell r="D420" t="str">
            <v>РОССИЯ, 603006, Нижегородская обл, г Нижний Новгород, ул Максима Горького, д. 113/30, кв. 43</v>
          </cell>
          <cell r="F420" t="str">
            <v>Нижегородская</v>
          </cell>
          <cell r="G420">
            <v>0.66009259259259256</v>
          </cell>
          <cell r="H420">
            <v>0.91009259259259256</v>
          </cell>
          <cell r="I420" t="str">
            <v>ОК</v>
          </cell>
          <cell r="J420" t="str">
            <v>ОК</v>
          </cell>
        </row>
        <row r="421">
          <cell r="B421" t="str">
            <v>А-04404/АЗ</v>
          </cell>
          <cell r="C421" t="str">
            <v>РОССИЯ, 117628, Москва г, Знаменские Садки ул, дом № 7, корпус 1, квартира 107</v>
          </cell>
          <cell r="D421" t="str">
            <v>РОССИЯ, 117628, Москва г, Знаменские Садки ул, дом № 7, корпус 1, квартира 107</v>
          </cell>
          <cell r="F421" t="str">
            <v>Москва</v>
          </cell>
          <cell r="G421">
            <v>0.66009259259259256</v>
          </cell>
          <cell r="H421">
            <v>0.91009259259259256</v>
          </cell>
          <cell r="I421" t="str">
            <v>ОК</v>
          </cell>
          <cell r="J421" t="str">
            <v>ОК</v>
          </cell>
        </row>
        <row r="422">
          <cell r="B422" t="str">
            <v>А-04070/АЗ</v>
          </cell>
          <cell r="C422" t="str">
            <v>РОССИЯ, 243561, Брянская обл, Погарский р-н, Мирские п, Садовая ул, дом № 18</v>
          </cell>
          <cell r="D422" t="str">
            <v>РОССИЯ, 141734, Московская обл, Лобня г, Текстильная ул, дом № 18, квартира 28</v>
          </cell>
          <cell r="F422" t="str">
            <v>Московская</v>
          </cell>
          <cell r="G422">
            <v>0.66009259259259256</v>
          </cell>
          <cell r="H422">
            <v>0.91009259259259256</v>
          </cell>
          <cell r="I422" t="str">
            <v>ОК</v>
          </cell>
          <cell r="J422" t="str">
            <v>ОК</v>
          </cell>
        </row>
        <row r="423">
          <cell r="B423" t="str">
            <v>А-05114/АЗ</v>
          </cell>
          <cell r="C423" t="str">
            <v>РОССИЯ, 243561, Брянская обл, Погарский р-н, Мирские п, Садовая ул, дом № 18</v>
          </cell>
          <cell r="D423" t="str">
            <v>РОССИЯ, 141734, Московская обл, Лобня г, Текстильная ул, дом № 18, квартира 28</v>
          </cell>
          <cell r="F423" t="str">
            <v>Московская</v>
          </cell>
          <cell r="G423">
            <v>0.66009259259259256</v>
          </cell>
          <cell r="H423">
            <v>0.91009259259259256</v>
          </cell>
          <cell r="I423" t="str">
            <v>ОК</v>
          </cell>
          <cell r="J423" t="str">
            <v>ОК</v>
          </cell>
        </row>
        <row r="424">
          <cell r="B424" t="str">
            <v>В-01072/КЛ.Транш - 1</v>
          </cell>
          <cell r="C424" t="str">
            <v>РОССИЯ, 143989, Московская обл, Балашиха г, Железнодорожный мкр., Рождественская ул, дом 4, квартира 115</v>
          </cell>
          <cell r="D424" t="str">
            <v>РОССИЯ, 143989, Московская обл, Балашиха г, Железнодорожный мкр., Рождественская ул, дом 4, квартира 115</v>
          </cell>
          <cell r="F424" t="str">
            <v>Московская</v>
          </cell>
          <cell r="G424">
            <v>0.66009259259259256</v>
          </cell>
          <cell r="H424">
            <v>0.91009259259259256</v>
          </cell>
          <cell r="I424" t="str">
            <v>ОК</v>
          </cell>
          <cell r="J424" t="str">
            <v>ОК</v>
          </cell>
        </row>
        <row r="425">
          <cell r="B425" t="str">
            <v>А-04357/АЗ</v>
          </cell>
          <cell r="C425" t="str">
            <v>РОССИЯ, 117449, Москва г, Шверника ул, дом № 9, корпус 4, квартира 53</v>
          </cell>
          <cell r="D425" t="str">
            <v>РОССИЯ, 117449, Москва г, Шверника ул, дом № 9, корпус 4, квартира 53</v>
          </cell>
          <cell r="F425" t="str">
            <v>Москва</v>
          </cell>
          <cell r="G425">
            <v>0.66009259259259256</v>
          </cell>
          <cell r="H425">
            <v>0.91009259259259256</v>
          </cell>
          <cell r="I425" t="str">
            <v>ОК</v>
          </cell>
          <cell r="J425" t="str">
            <v>ОК</v>
          </cell>
        </row>
        <row r="426">
          <cell r="B426" t="str">
            <v>В-08348/КЛ.Транш - 7</v>
          </cell>
          <cell r="C426" t="str">
            <v>РОССИЯ, 298612, Крым респ, г Ялта, ул Найденова, д. 31, к. 1, кв. 76</v>
          </cell>
          <cell r="D426" t="str">
            <v>РОССИЯ, 298612, Крым респ, г Ялта, ул Найденова, д. 31, к. 1, кв. 76</v>
          </cell>
          <cell r="F426" t="str">
            <v>Крым</v>
          </cell>
          <cell r="G426">
            <v>0.66009259259259256</v>
          </cell>
          <cell r="H426">
            <v>0.91009259259259256</v>
          </cell>
          <cell r="I426" t="str">
            <v>ОК</v>
          </cell>
          <cell r="J426" t="str">
            <v>ОК</v>
          </cell>
        </row>
        <row r="427">
          <cell r="B427" t="str">
            <v>В-00359/КЛ.Транш - 2</v>
          </cell>
          <cell r="C427" t="str">
            <v>РОССИЯ, 143421, Московская обл, Красногорск г, Глухово д, Рублевское предместье ул, дом 4, корпус 1, квартира 79</v>
          </cell>
          <cell r="D427" t="str">
            <v>РОССИЯ, 143421, Московская обл, Красногорск г, Глухово д, Рублевское предместье ул, дом 4, корпус 1, квартира 79</v>
          </cell>
          <cell r="F427" t="str">
            <v>Московская</v>
          </cell>
          <cell r="G427">
            <v>0.66009259259259256</v>
          </cell>
          <cell r="H427">
            <v>0.91009259259259256</v>
          </cell>
          <cell r="I427" t="str">
            <v>ОК</v>
          </cell>
          <cell r="J427" t="str">
            <v>ОК</v>
          </cell>
        </row>
        <row r="428">
          <cell r="B428" t="str">
            <v>В-20166/КЛ.Транш - 1</v>
          </cell>
          <cell r="C428" t="str">
            <v>РОССИЯ, 140405, Московская обл, г Коломна, ул Весенняя, д. 4, кв. 52</v>
          </cell>
          <cell r="D428" t="str">
            <v>РОССИЯ, 140405, Московская обл, г Коломна, ул Весенняя, д. 4, кв. 52</v>
          </cell>
          <cell r="F428" t="str">
            <v>Московская</v>
          </cell>
          <cell r="G428">
            <v>0.66009259259259256</v>
          </cell>
          <cell r="H428">
            <v>0.91009259259259256</v>
          </cell>
          <cell r="I428" t="str">
            <v>ОК</v>
          </cell>
          <cell r="J428" t="str">
            <v>ОК</v>
          </cell>
        </row>
        <row r="429">
          <cell r="B429" t="str">
            <v>В-15560/КЛ.Транш - 1</v>
          </cell>
          <cell r="C429" t="str">
            <v>РОССИЯ, Краснодарский край, г Сочи, Ленина ул, д. 298В/4, помещ. 8</v>
          </cell>
          <cell r="D429" t="str">
            <v>РОССИЯ, 354340, Краснодарский край, Сочи г, ул Ленина, дом 298В/4, помещение 8</v>
          </cell>
          <cell r="F429" t="str">
            <v>Краснодарский</v>
          </cell>
          <cell r="G429">
            <v>0.66009259259259256</v>
          </cell>
          <cell r="H429">
            <v>0.91009259259259256</v>
          </cell>
          <cell r="I429" t="str">
            <v>ОК</v>
          </cell>
          <cell r="J429" t="str">
            <v>ОК</v>
          </cell>
        </row>
        <row r="430">
          <cell r="B430" t="str">
            <v>В-18958/КЛ.Транш - 1</v>
          </cell>
          <cell r="C430" t="str">
            <v>РОССИЯ, 347010, Ростовская обл, Атаева пос., ул. Колхозная, д. 21</v>
          </cell>
          <cell r="D430" t="str">
            <v>РОССИЯ, 344068, Ростовская обл, г Ростов-на-Дону, пер Орджоникидзе, д. 15а</v>
          </cell>
          <cell r="F430" t="str">
            <v>Ростовская</v>
          </cell>
          <cell r="G430">
            <v>0.66009259259259256</v>
          </cell>
          <cell r="H430">
            <v>0.91009259259259256</v>
          </cell>
          <cell r="I430" t="str">
            <v>ОК</v>
          </cell>
          <cell r="J430" t="str">
            <v>ОК</v>
          </cell>
        </row>
        <row r="431">
          <cell r="B431" t="str">
            <v>В-21630/КЛ.Транш - 1</v>
          </cell>
          <cell r="C431" t="str">
            <v>РОССИЯ, 410009, Саратовская обл, г Саратов, пр-д 1-й Придорожный, д. 5</v>
          </cell>
          <cell r="D431" t="str">
            <v>РОССИЯ, 410009, Саратовская обл, г Саратов, пр-д 1-й Придорожный, д. 5</v>
          </cell>
          <cell r="F431" t="str">
            <v>Саратовская</v>
          </cell>
          <cell r="G431">
            <v>0.66009259259259256</v>
          </cell>
          <cell r="H431">
            <v>0.91009259259259256</v>
          </cell>
          <cell r="I431" t="str">
            <v>ОК</v>
          </cell>
          <cell r="J431" t="str">
            <v>ОК</v>
          </cell>
        </row>
        <row r="432">
          <cell r="B432" t="str">
            <v>В-01182/АЗ</v>
          </cell>
          <cell r="C432" t="str">
            <v>РОССИЯ, 195299, Санкт-Петербург г, пр-кт Маршака, д. 12, к. 2, литера А, кв. 170</v>
          </cell>
          <cell r="D432" t="str">
            <v>РОССИЯ, 195299, Санкт-Петербург г, пр-кт Маршака, д. 12, к. 2, литера А, кв. 170</v>
          </cell>
          <cell r="F432" t="str">
            <v>Москва</v>
          </cell>
          <cell r="G432">
            <v>0.66009259259259256</v>
          </cell>
          <cell r="H432">
            <v>0.91009259259259256</v>
          </cell>
          <cell r="I432" t="str">
            <v>ОК</v>
          </cell>
          <cell r="J432" t="str">
            <v>ОК</v>
          </cell>
        </row>
        <row r="433">
          <cell r="B433" t="str">
            <v>В-25981/АЗ</v>
          </cell>
          <cell r="C433" t="str">
            <v>РОССИЯ, 195299, Санкт-Петербург г, пр-кт Маршака, д. 12, к. 2, литера А, кв. 170</v>
          </cell>
          <cell r="D433" t="str">
            <v>РОССИЯ, 195299, Санкт-Петербург г, пр-кт Маршака, д. 12, к. 2, литера А, кв. 170</v>
          </cell>
          <cell r="F433" t="str">
            <v>Москва</v>
          </cell>
          <cell r="G433">
            <v>0.66009259259259256</v>
          </cell>
          <cell r="H433">
            <v>0.91009259259259256</v>
          </cell>
          <cell r="I433" t="str">
            <v>ОК</v>
          </cell>
          <cell r="J433" t="str">
            <v>ОК</v>
          </cell>
        </row>
        <row r="434">
          <cell r="B434" t="str">
            <v>В-23229/АЗ</v>
          </cell>
          <cell r="C434" t="str">
            <v>РОССИЯ, 185001, Карелия респ, г.о. Петрозаводский, г Петрозаводск, р-н Первомайский, пр-кт Первомайский, д. 72, кв. 4</v>
          </cell>
          <cell r="D434" t="str">
            <v>РОССИЯ, 185001, Карелия респ, г.о. Петрозаводский, г Петрозаводск, р-н Первомайский, пр-кт Первомайский, д. 72, кв. 4</v>
          </cell>
          <cell r="F434" t="str">
            <v>Карелия</v>
          </cell>
          <cell r="G434">
            <v>0.66009259259259256</v>
          </cell>
          <cell r="H434">
            <v>0.91009259259259256</v>
          </cell>
          <cell r="I434" t="str">
            <v>ОК</v>
          </cell>
          <cell r="J434" t="str">
            <v>ОК</v>
          </cell>
        </row>
        <row r="435">
          <cell r="B435" t="str">
            <v>В-23104/КЛ.Транш - 1</v>
          </cell>
          <cell r="C435" t="str">
            <v>РОССИЯ, 393362, Тамбовская обл, Кирсановский р-н, Прямица п, дом 31</v>
          </cell>
          <cell r="D435" t="str">
            <v>РОССИЯ, 142000, Московская обл, Домодедово г, Центральный мкр., Промышленная ул, дом 11, комната 15</v>
          </cell>
          <cell r="F435" t="str">
            <v>Московская</v>
          </cell>
          <cell r="G435">
            <v>0.66009259259259256</v>
          </cell>
          <cell r="H435">
            <v>0.91009259259259256</v>
          </cell>
          <cell r="I435" t="str">
            <v>ОК</v>
          </cell>
          <cell r="J435" t="str">
            <v>ОК</v>
          </cell>
        </row>
        <row r="436">
          <cell r="B436" t="str">
            <v>В-24823/КЛ.Транш - 1</v>
          </cell>
          <cell r="C436" t="str">
            <v>РОССИЯ, 153000, Ивановская обл, г.о. Иваново, г Иваново, ул Кузнецова, д. 8, кв. 153</v>
          </cell>
          <cell r="D436" t="str">
            <v>РОССИЯ, 153000, Ивановская обл, г.о. Иваново, г Иваново, ул Кузнецова, д. 8, кв. 153</v>
          </cell>
          <cell r="F436" t="str">
            <v>Ивановская</v>
          </cell>
          <cell r="G436">
            <v>0.66009259259259256</v>
          </cell>
          <cell r="H436">
            <v>0.91009259259259256</v>
          </cell>
          <cell r="I436" t="str">
            <v>ОК</v>
          </cell>
          <cell r="J436" t="str">
            <v>ОК</v>
          </cell>
        </row>
        <row r="437">
          <cell r="B437" t="str">
            <v>В-22699/КЛ.Транш - 1</v>
          </cell>
          <cell r="C437" t="str">
            <v>РОССИЯ, 109156, Москва г, б-р Жулебинский, д. 25, кв. 65</v>
          </cell>
          <cell r="D437" t="str">
            <v>РОССИЯ, 109156, Москва г, б-р Жулебинский, д. 25, кв. 65</v>
          </cell>
          <cell r="F437" t="str">
            <v>Москва</v>
          </cell>
          <cell r="G437">
            <v>0.66009259259259256</v>
          </cell>
          <cell r="H437">
            <v>0.91009259259259256</v>
          </cell>
          <cell r="I437" t="str">
            <v>ОК</v>
          </cell>
          <cell r="J437" t="str">
            <v>ОК</v>
          </cell>
        </row>
        <row r="438">
          <cell r="B438" t="str">
            <v>В-00592/АЗ</v>
          </cell>
          <cell r="C438" t="str">
            <v>РОССИЯ, 141335, Московская обл, р-н Сергиево-Посадский, с Шеметово, мкр Новый, д. 68, кв. 42</v>
          </cell>
          <cell r="D438" t="str">
            <v>РОССИЯ, 141335, Московская обл, Сергиево-Посадский р-н, Шеметово с, Новый мкр, дом 68, квартира 42</v>
          </cell>
          <cell r="F438" t="str">
            <v>Московская</v>
          </cell>
          <cell r="G438">
            <v>0.66009259259259256</v>
          </cell>
          <cell r="H438">
            <v>0.91009259259259256</v>
          </cell>
          <cell r="I438" t="str">
            <v>ОК</v>
          </cell>
          <cell r="J438" t="str">
            <v>ОК</v>
          </cell>
        </row>
        <row r="439">
          <cell r="B439" t="str">
            <v>В-00009/АЗ</v>
          </cell>
          <cell r="C439" t="str">
            <v>РОССИЯ, 115612, Москва г, Ключевая ул, дом № 24, корпус 1, квартира 260</v>
          </cell>
          <cell r="D439" t="str">
            <v>РОССИЯ, 115612, Москва г, Ключевая ул, дом № 24, корпус 1, квартира 260</v>
          </cell>
          <cell r="F439" t="str">
            <v>Москва</v>
          </cell>
          <cell r="G439">
            <v>0.66009259259259256</v>
          </cell>
          <cell r="H439">
            <v>0.91009259259259256</v>
          </cell>
          <cell r="I439" t="str">
            <v>ОК</v>
          </cell>
          <cell r="J439" t="str">
            <v>ОК</v>
          </cell>
        </row>
        <row r="440">
          <cell r="B440" t="str">
            <v>В-00065/АЗ</v>
          </cell>
          <cell r="C440" t="str">
            <v>РОССИЯ, 142401, Московская обл, г Ногинск, ул Волкова, д. 7</v>
          </cell>
          <cell r="D440" t="str">
            <v>РОССИЯ, 142401, Московская обл, Ногинск г, Волкова ул, дом 7</v>
          </cell>
          <cell r="F440" t="str">
            <v>Московская</v>
          </cell>
          <cell r="G440">
            <v>0.66009259259259256</v>
          </cell>
          <cell r="H440">
            <v>0.91009259259259256</v>
          </cell>
          <cell r="I440" t="str">
            <v>ОК</v>
          </cell>
          <cell r="J440" t="str">
            <v>ОК</v>
          </cell>
        </row>
        <row r="441">
          <cell r="B441" t="str">
            <v>В-04967/КЛ.Транш - 4</v>
          </cell>
          <cell r="C441" t="str">
            <v>РОССИЯ, 119002, Москва г, ул Арбат, д. 52, стр. 2, кв. 103</v>
          </cell>
          <cell r="D441" t="str">
            <v>РОССИЯ, 119002, Москва г, Арбат ул, дом 52, строение 2, квартира 103</v>
          </cell>
          <cell r="F441" t="str">
            <v>Москва</v>
          </cell>
          <cell r="G441">
            <v>0.66009259259259256</v>
          </cell>
          <cell r="H441">
            <v>0.91009259259259256</v>
          </cell>
          <cell r="I441" t="str">
            <v>ОК</v>
          </cell>
          <cell r="J441" t="str">
            <v>ОК</v>
          </cell>
        </row>
        <row r="442">
          <cell r="B442" t="str">
            <v>В-00017/КЛ.Транш - 2</v>
          </cell>
          <cell r="C442" t="str">
            <v>РОССИЯ, 143515, Московская обл, г Истра, д Зыково, д. 34А</v>
          </cell>
          <cell r="D442" t="str">
            <v>РОССИЯ, 143516, Московская обл, Истра г, Зыково д, дом № 34А</v>
          </cell>
          <cell r="F442" t="str">
            <v>Московская</v>
          </cell>
          <cell r="G442">
            <v>0.66009259259259256</v>
          </cell>
          <cell r="H442">
            <v>0.91009259259259256</v>
          </cell>
          <cell r="I442" t="str">
            <v>ОК</v>
          </cell>
          <cell r="J442" t="str">
            <v>ОК</v>
          </cell>
        </row>
        <row r="443">
          <cell r="B443" t="str">
            <v>В-00017/КЛ.Транш - 3</v>
          </cell>
          <cell r="C443" t="str">
            <v>РОССИЯ, 143515, Московская обл, г Истра, д Зыково, д. 34А</v>
          </cell>
          <cell r="D443" t="str">
            <v>РОССИЯ, 143516, Московская обл, Истра г, Зыково д, дом № 34А</v>
          </cell>
          <cell r="F443" t="str">
            <v>Московская</v>
          </cell>
          <cell r="G443">
            <v>0.66009259259259256</v>
          </cell>
          <cell r="H443">
            <v>0.91009259259259256</v>
          </cell>
          <cell r="I443" t="str">
            <v>ОК</v>
          </cell>
          <cell r="J443" t="str">
            <v>ОК</v>
          </cell>
        </row>
        <row r="444">
          <cell r="B444" t="str">
            <v>А-05165/АЗ_А-20200626/Ц</v>
          </cell>
          <cell r="C444" t="str">
            <v>РОССИЯ, 187700, Ленинградская обл, Лодейнопольский р-н, Лодейное Поле г, Гагарина ул, дом 21, квартира 63</v>
          </cell>
          <cell r="D444" t="str">
            <v>РОССИЯ, 192242, Санкт-Петербург г, Белы Куна ул, дом № 2, корпус 1, квартира 252</v>
          </cell>
          <cell r="F444" t="str">
            <v>Москва</v>
          </cell>
          <cell r="G444">
            <v>0.66009259259259256</v>
          </cell>
          <cell r="H444">
            <v>0.91009259259259256</v>
          </cell>
          <cell r="I444" t="str">
            <v>ОК</v>
          </cell>
          <cell r="J444" t="str">
            <v>ОК</v>
          </cell>
        </row>
        <row r="445">
          <cell r="B445" t="str">
            <v>Т-01716/АЗ</v>
          </cell>
          <cell r="C445" t="str">
            <v>РОССИЯ, 143581, Московская обл, Истринский р-н, Павловская Слобода с, Красная Слободка ул, дом № 30</v>
          </cell>
          <cell r="D445" t="str">
            <v>РОССИЯ, 143581, Московская обл, Истринский р-н, Павловская Слобода с, Красная Слободка ул, дом № 30</v>
          </cell>
          <cell r="F445" t="str">
            <v>Московская</v>
          </cell>
          <cell r="G445">
            <v>0.66009259259259256</v>
          </cell>
          <cell r="H445">
            <v>0.91009259259259256</v>
          </cell>
          <cell r="I445" t="str">
            <v>ОК</v>
          </cell>
          <cell r="J445" t="str">
            <v>ОК</v>
          </cell>
        </row>
        <row r="446">
          <cell r="B446" t="str">
            <v>В-00837/АЗ</v>
          </cell>
          <cell r="C446" t="str">
            <v>РОССИЯ, 188678, Ленинградская обл, р-н Всеволожский, г. Мурино, ул Шоссе в Лаврики, д. 83, кв. 518</v>
          </cell>
          <cell r="D446" t="str">
            <v>РОССИЯ, 188662, Ленинградская обл, Всеволожский р-н, Мурино г., Шоссе в Лаврики ул, дом 83, квартира 518</v>
          </cell>
          <cell r="F446" t="str">
            <v>Ленинградская</v>
          </cell>
          <cell r="G446">
            <v>0.66009259259259256</v>
          </cell>
          <cell r="H446">
            <v>0.91009259259259256</v>
          </cell>
          <cell r="I446" t="str">
            <v>ОК</v>
          </cell>
          <cell r="J446" t="str">
            <v>ОК</v>
          </cell>
        </row>
        <row r="447">
          <cell r="B447" t="str">
            <v>В-00838/АЗ</v>
          </cell>
          <cell r="C447" t="str">
            <v>РОССИЯ, 188678, Ленинградская обл, р-н Всеволожский, г. Мурино, ул Шоссе в Лаврики, д. 83, кв. 518</v>
          </cell>
          <cell r="D447" t="str">
            <v>РОССИЯ, 188662, Ленинградская обл, Всеволожский р-н, Мурино г., Шоссе в Лаврики ул, дом 83, квартира 518</v>
          </cell>
          <cell r="F447" t="str">
            <v>Ленинградская</v>
          </cell>
          <cell r="G447">
            <v>0.66009259259259256</v>
          </cell>
          <cell r="H447">
            <v>0.91009259259259256</v>
          </cell>
          <cell r="I447" t="str">
            <v>ОК</v>
          </cell>
          <cell r="J447" t="str">
            <v>ОК</v>
          </cell>
        </row>
        <row r="448">
          <cell r="B448" t="str">
            <v>В-22026/КЛ.Транш - 1_В-20211230/Ц</v>
          </cell>
          <cell r="C448" t="str">
            <v>РОССИЯ, 357364, Ставропольский край, р-н Предгорный, ст-ца Бекешевская, пер Новый, д. 1</v>
          </cell>
          <cell r="D448" t="str">
            <v>РОССИЯ, 357364, Ставропольский край, р-н Предгорный, ст-ца Бекешевская, пер Новый, д. 1</v>
          </cell>
          <cell r="F448" t="str">
            <v>Ставропольский</v>
          </cell>
          <cell r="G448">
            <v>0.66009259259259256</v>
          </cell>
          <cell r="H448">
            <v>0.91009259259259256</v>
          </cell>
          <cell r="I448" t="str">
            <v>ОК</v>
          </cell>
          <cell r="J448" t="str">
            <v>ОК</v>
          </cell>
        </row>
        <row r="449">
          <cell r="B449" t="str">
            <v>В-13530/КЛ.Транш - 1</v>
          </cell>
          <cell r="C449" t="str">
            <v>РОССИЯ, 347453, Ростовская обл, Зимовниковский р-н, Секретев х, Зеленая ул, дом 20</v>
          </cell>
          <cell r="D449" t="str">
            <v>РОССИЯ, 346431, Ростовская обл, Новочеркасск г, Мацоты С.В. ул, дом 46, корпус 3, квартира 191</v>
          </cell>
          <cell r="F449" t="str">
            <v>Ростовская</v>
          </cell>
          <cell r="G449">
            <v>0.66009259259259256</v>
          </cell>
          <cell r="H449">
            <v>0.91009259259259256</v>
          </cell>
          <cell r="I449" t="str">
            <v>ОК</v>
          </cell>
          <cell r="J449" t="str">
            <v>ОК</v>
          </cell>
        </row>
        <row r="450">
          <cell r="B450" t="str">
            <v>В-13530/КЛ.Транш - 2</v>
          </cell>
          <cell r="C450" t="str">
            <v>РОССИЯ, 347453, Ростовская обл, Зимовниковский р-н, Секретев х, Зеленая ул, дом 20</v>
          </cell>
          <cell r="D450" t="str">
            <v>РОССИЯ, 346431, Ростовская обл, Новочеркасск г, Мацоты С.В. ул, дом 46, корпус 3, квартира 191</v>
          </cell>
          <cell r="F450" t="str">
            <v>Ростовская</v>
          </cell>
          <cell r="G450">
            <v>0.66009259259259256</v>
          </cell>
          <cell r="H450">
            <v>0.91009259259259256</v>
          </cell>
          <cell r="I450" t="str">
            <v>ОК</v>
          </cell>
          <cell r="J450" t="str">
            <v>ОК</v>
          </cell>
        </row>
        <row r="451">
          <cell r="B451" t="str">
            <v>В-26474/КЛ.Транш - 1</v>
          </cell>
          <cell r="C451" t="str">
            <v>РОССИЯ, 352031, Краснодарский край, м.р-н Кущевский, с.п. Кущевское, ст-ца Кущевская, ул Зеленая, д. 17</v>
          </cell>
          <cell r="D451" t="str">
            <v>РОССИЯ, 352031, Краснодарский край, м.р-н Кущевский, с.п. Кущевское, ст-ца Кущевская, ул Зеленая, д. 17</v>
          </cell>
          <cell r="F451" t="str">
            <v>Краснодарский</v>
          </cell>
          <cell r="G451">
            <v>0.66009259259259256</v>
          </cell>
          <cell r="H451">
            <v>0.91009259259259256</v>
          </cell>
          <cell r="I451" t="str">
            <v>ОК</v>
          </cell>
          <cell r="J451" t="str">
            <v>ОК</v>
          </cell>
        </row>
        <row r="452">
          <cell r="B452" t="str">
            <v>В-00693/АЗ</v>
          </cell>
          <cell r="C452" t="str">
            <v>РОССИЯ, 194354, Санкт-Петербург г, ул Есенина, д. 15, к. 1, литера А, кв. 227</v>
          </cell>
          <cell r="D452" t="str">
            <v>РОССИЯ, 194354, Санкт-Петербург г, Есенина ул, дом 15, корпус 1, квартира 227</v>
          </cell>
          <cell r="F452" t="str">
            <v>Москва</v>
          </cell>
          <cell r="G452">
            <v>0.66009259259259256</v>
          </cell>
          <cell r="H452">
            <v>0.91009259259259256</v>
          </cell>
          <cell r="I452" t="str">
            <v>ОК</v>
          </cell>
          <cell r="J452" t="str">
            <v>ОК</v>
          </cell>
        </row>
        <row r="453">
          <cell r="B453" t="str">
            <v>В-18894/КЛ.Транш - 1</v>
          </cell>
          <cell r="C453" t="str">
            <v>РОССИЯ, 141070, Московская обл, г Королёв, ул Ленина, д. 11/2, кв. 4</v>
          </cell>
          <cell r="D453" t="str">
            <v>РОССИЯ, 141070, Московская обл, г Королёв, ул Ленина, д. 11/2, кв. 4</v>
          </cell>
          <cell r="F453" t="str">
            <v>Московская</v>
          </cell>
          <cell r="G453">
            <v>0.66009259259259256</v>
          </cell>
          <cell r="H453">
            <v>0.91009259259259256</v>
          </cell>
          <cell r="I453" t="str">
            <v>ОК</v>
          </cell>
          <cell r="J453" t="str">
            <v>ОК</v>
          </cell>
        </row>
        <row r="454">
          <cell r="B454" t="str">
            <v>В-02337/КЛ.Транш - 1</v>
          </cell>
          <cell r="C454" t="str">
            <v>РОССИЯ, 119571, Москва г, Академика Анохина ул, дом № 5, корпус 4, квартира 21, 22</v>
          </cell>
          <cell r="D454" t="str">
            <v>РОССИЯ, 119571, Москва г, Академика Анохина ул, дом № 5, корпус 4, квартира 21, 22</v>
          </cell>
          <cell r="F454" t="str">
            <v>Москва</v>
          </cell>
          <cell r="G454">
            <v>0.66009259259259256</v>
          </cell>
          <cell r="H454">
            <v>0.91009259259259256</v>
          </cell>
          <cell r="I454" t="str">
            <v>ОК</v>
          </cell>
          <cell r="J454" t="str">
            <v>ОК</v>
          </cell>
        </row>
        <row r="455">
          <cell r="B455" t="str">
            <v>В-02337/КЛ.Транш - 2</v>
          </cell>
          <cell r="C455" t="str">
            <v>РОССИЯ, 119571, Москва г, Академика Анохина ул, дом № 5, корпус 4, квартира 21, 22</v>
          </cell>
          <cell r="D455" t="str">
            <v>РОССИЯ, 119571, Москва г, Академика Анохина ул, дом № 5, корпус 4, квартира 21, 22</v>
          </cell>
          <cell r="F455" t="str">
            <v>Москва</v>
          </cell>
          <cell r="G455">
            <v>0.66009259259259256</v>
          </cell>
          <cell r="H455">
            <v>0.91009259259259256</v>
          </cell>
          <cell r="I455" t="str">
            <v>ОК</v>
          </cell>
          <cell r="J455" t="str">
            <v>ОК</v>
          </cell>
        </row>
        <row r="456">
          <cell r="B456" t="str">
            <v>В-02337/КЛ.Транш - 3</v>
          </cell>
          <cell r="C456" t="str">
            <v>РОССИЯ, 119571, Москва г, Академика Анохина ул, дом № 5, корпус 4, квартира 21, 22</v>
          </cell>
          <cell r="D456" t="str">
            <v>РОССИЯ, 119571, Москва г, Академика Анохина ул, дом № 5, корпус 4, квартира 21, 22</v>
          </cell>
          <cell r="F456" t="str">
            <v>Москва</v>
          </cell>
          <cell r="G456">
            <v>0.66009259259259256</v>
          </cell>
          <cell r="H456">
            <v>0.91009259259259256</v>
          </cell>
          <cell r="I456" t="str">
            <v>ОК</v>
          </cell>
          <cell r="J456" t="str">
            <v>ОК</v>
          </cell>
        </row>
        <row r="457">
          <cell r="B457" t="str">
            <v>В-00345/АЗ</v>
          </cell>
          <cell r="C457" t="str">
            <v>РОССИЯ, 119571, Москва г, Академика Анохина ул, дом № 5, корпус 4, квартира 21, 22</v>
          </cell>
          <cell r="D457" t="str">
            <v>РОССИЯ, 119571, Москва г, Академика Анохина ул, дом № 5, корпус 4, квартира 21, 22</v>
          </cell>
          <cell r="F457" t="str">
            <v>Москва</v>
          </cell>
          <cell r="G457">
            <v>0.66009259259259256</v>
          </cell>
          <cell r="H457">
            <v>0.91009259259259256</v>
          </cell>
          <cell r="I457" t="str">
            <v>ОК</v>
          </cell>
          <cell r="J457" t="str">
            <v>ОК</v>
          </cell>
        </row>
        <row r="458">
          <cell r="B458" t="str">
            <v>В-01074/АЗ</v>
          </cell>
          <cell r="C458" t="str">
            <v>РОССИЯ, 119571, Москва г, Академика Анохина ул, дом № 5, корпус 4, квартира 21, 22</v>
          </cell>
          <cell r="D458" t="str">
            <v>РОССИЯ, 119571, Москва г, Академика Анохина ул, дом № 5, корпус 4, квартира 21, 22</v>
          </cell>
          <cell r="F458" t="str">
            <v>Москва</v>
          </cell>
          <cell r="G458">
            <v>0.66009259259259256</v>
          </cell>
          <cell r="H458">
            <v>0.91009259259259256</v>
          </cell>
          <cell r="I458" t="str">
            <v>ОК</v>
          </cell>
          <cell r="J458" t="str">
            <v>ОК</v>
          </cell>
        </row>
        <row r="459">
          <cell r="B459" t="str">
            <v>В-03686/КЛ.Транш - 1_В-20211230/Ц</v>
          </cell>
          <cell r="C459" t="str">
            <v>РОССИЯ, 356137, Ставропольский край, Изобильненский р-н, Московское с, Ленина ул, дом 101</v>
          </cell>
          <cell r="D459" t="str">
            <v>РОССИЯ, 142800, Московская обл, Ступино г, Андропова ул, дом 57, квартира 54</v>
          </cell>
          <cell r="F459" t="str">
            <v>Московская</v>
          </cell>
          <cell r="G459">
            <v>0.66009259259259256</v>
          </cell>
          <cell r="H459">
            <v>0.91009259259259256</v>
          </cell>
          <cell r="I459" t="str">
            <v>ОК</v>
          </cell>
          <cell r="J459" t="str">
            <v>ОК</v>
          </cell>
        </row>
        <row r="460">
          <cell r="B460" t="str">
            <v>В-11553/КЛ.Транш - 1</v>
          </cell>
          <cell r="C460" t="str">
            <v>РОССИЯ, 107370, Москва г, Маршала Рокоссовского б-р, дом 6, корпус 1, квартира 1091</v>
          </cell>
          <cell r="D460" t="str">
            <v>РОССИЯ, 141410, Московская обл, Химки г, Родионова ул, дом 5, квартира 132</v>
          </cell>
          <cell r="F460" t="str">
            <v>Московская</v>
          </cell>
          <cell r="G460">
            <v>0.66009259259259256</v>
          </cell>
          <cell r="H460">
            <v>0.91009259259259256</v>
          </cell>
          <cell r="I460" t="str">
            <v>ОК</v>
          </cell>
          <cell r="J460" t="str">
            <v>ОК</v>
          </cell>
        </row>
        <row r="461">
          <cell r="B461" t="str">
            <v>В-12484/КЛ.Транш - 1</v>
          </cell>
          <cell r="C461" t="str">
            <v>РОССИЯ, 624044, Свердловская обл, Белоярский р-н, Гилёва д, Заречная ул, дом 18А</v>
          </cell>
          <cell r="D461" t="str">
            <v>РОССИЯ, 624044, Свердловская обл, Белоярский р-н, Гилёва д, Заречная ул, дом 18А</v>
          </cell>
          <cell r="F461" t="str">
            <v>Свердловская</v>
          </cell>
          <cell r="G461">
            <v>0.66009259259259256</v>
          </cell>
          <cell r="H461">
            <v>0.99342592592592593</v>
          </cell>
          <cell r="I461" t="str">
            <v>поздно</v>
          </cell>
          <cell r="J461" t="str">
            <v>ОК</v>
          </cell>
        </row>
        <row r="462">
          <cell r="B462" t="str">
            <v>В-25530/КЛ.Транш - 1</v>
          </cell>
          <cell r="C462" t="str">
            <v>РОССИЯ, 623400, Свердловская обл, г Каменск-Уральский, ул Парковая, д. 36, кв. 24</v>
          </cell>
          <cell r="D462" t="str">
            <v>РОССИЯ, 623400, Свердловская обл, г Каменск-Уральский, ул Парковая, д. 36, кв. 24</v>
          </cell>
          <cell r="F462" t="str">
            <v>Свердловская</v>
          </cell>
          <cell r="G462">
            <v>0.66009259259259256</v>
          </cell>
          <cell r="H462">
            <v>0.99342592592592593</v>
          </cell>
          <cell r="I462" t="str">
            <v>поздно</v>
          </cell>
          <cell r="J462" t="str">
            <v>ОК</v>
          </cell>
        </row>
        <row r="463">
          <cell r="B463" t="str">
            <v>В-17051/КЛ.Транш - 1</v>
          </cell>
          <cell r="C463" t="str">
            <v>РОССИЯ, 353230, Краснодарский край, р-н Северский, пгт Ильский, ул Мира, д. 34Г, кв. 3</v>
          </cell>
          <cell r="D463" t="str">
            <v>РОССИЯ, 353230, Краснодарский край, р-н Северский, пгт Ильский, ул Мира, д. 34Г, кв. 3</v>
          </cell>
          <cell r="F463" t="str">
            <v>Краснодарский</v>
          </cell>
          <cell r="G463">
            <v>0.66009259259259256</v>
          </cell>
          <cell r="H463">
            <v>0.91009259259259256</v>
          </cell>
          <cell r="I463" t="str">
            <v>ОК</v>
          </cell>
          <cell r="J463" t="str">
            <v>ОК</v>
          </cell>
        </row>
        <row r="464">
          <cell r="B464" t="str">
            <v>В-25126/КЛ.Транш - 1</v>
          </cell>
          <cell r="C464" t="str">
            <v>РОССИЯ, 413061, Саратовская обл, р-н Марксовский, с Павловка, ул Молодежная, д. 7/1, кв. 2</v>
          </cell>
          <cell r="D464" t="str">
            <v>РОССИЯ, 413061, Саратовская обл, р-н Марксовский, с Павловка, ул Молодежная, д. 7/1, кв. 2</v>
          </cell>
          <cell r="F464" t="str">
            <v>Саратовская</v>
          </cell>
          <cell r="G464">
            <v>0.66009259259259256</v>
          </cell>
          <cell r="H464">
            <v>0.91009259259259256</v>
          </cell>
          <cell r="I464" t="str">
            <v>ОК</v>
          </cell>
          <cell r="J464" t="str">
            <v>ОК</v>
          </cell>
        </row>
        <row r="465">
          <cell r="B465" t="str">
            <v>В-25126/КЛ.Транш - 2</v>
          </cell>
          <cell r="C465" t="str">
            <v>РОССИЯ, 413061, Саратовская обл, р-н Марксовский, с Павловка, ул Молодежная, д. 7/1, кв. 2</v>
          </cell>
          <cell r="D465" t="str">
            <v>РОССИЯ, 413061, Саратовская обл, р-н Марксовский, с Павловка, ул Молодежная, д. 7/1, кв. 2</v>
          </cell>
          <cell r="F465" t="str">
            <v>Саратовская</v>
          </cell>
          <cell r="G465">
            <v>0.66009259259259256</v>
          </cell>
          <cell r="H465">
            <v>0.91009259259259256</v>
          </cell>
          <cell r="I465" t="str">
            <v>ОК</v>
          </cell>
          <cell r="J465" t="str">
            <v>ОК</v>
          </cell>
        </row>
        <row r="466">
          <cell r="B466" t="str">
            <v>А-05139/АЗ_А-20200626/Ц</v>
          </cell>
          <cell r="C466" t="str">
            <v>РОССИЯ, 198329, Санкт-Петербург г, Партизана Германа ул, дом № 19, квартира 50</v>
          </cell>
          <cell r="D466" t="str">
            <v>РОССИЯ, 198329, Санкт-Петербург г, Партизана Германа ул, дом № 19, квартира 50</v>
          </cell>
          <cell r="F466" t="str">
            <v>Москва</v>
          </cell>
          <cell r="G466">
            <v>0.66009259259259256</v>
          </cell>
          <cell r="H466">
            <v>0.91009259259259256</v>
          </cell>
          <cell r="I466" t="str">
            <v>ОК</v>
          </cell>
          <cell r="J466" t="str">
            <v>ОК</v>
          </cell>
        </row>
        <row r="467">
          <cell r="B467" t="str">
            <v>В-04162/КЛ.Транш - 1</v>
          </cell>
          <cell r="C467" t="str">
            <v>РОССИЯ, 142407, Московская обл, г Ногинск, ул Бабушкина, д. 4, кв. 58</v>
          </cell>
          <cell r="D467" t="str">
            <v>РОССИЯ, 142407, Московская обл, Ногинск г, Бабушкина ул, дом 4, квартира 58</v>
          </cell>
          <cell r="F467" t="str">
            <v>Московская</v>
          </cell>
          <cell r="G467">
            <v>0.66009259259259256</v>
          </cell>
          <cell r="H467">
            <v>0.91009259259259256</v>
          </cell>
          <cell r="I467" t="str">
            <v>ОК</v>
          </cell>
          <cell r="J467" t="str">
            <v>ОК</v>
          </cell>
        </row>
        <row r="468">
          <cell r="B468" t="str">
            <v>В-00951/АЗ_В-20211230/Ц</v>
          </cell>
          <cell r="C468" t="str">
            <v>РОССИЯ, 188678, Ленинградская обл, Всеволожский р-н, Мурино г., Шоссе в Лаврики ул, дом 85, квартира 414</v>
          </cell>
          <cell r="D468" t="str">
            <v>РОССИЯ, 188678, Ленинградская обл, Всеволожский р-н, Мурино г., Шоссе в Лаврики ул, дом 85, квартира 414</v>
          </cell>
          <cell r="F468" t="str">
            <v>Ленинградская</v>
          </cell>
          <cell r="G468">
            <v>0.66009259259259256</v>
          </cell>
          <cell r="H468">
            <v>0.91009259259259256</v>
          </cell>
          <cell r="I468" t="str">
            <v>ОК</v>
          </cell>
          <cell r="J468" t="str">
            <v>ОК</v>
          </cell>
        </row>
        <row r="469">
          <cell r="B469" t="str">
            <v>Т-01931/АЗ_Т-20211028/Ц</v>
          </cell>
          <cell r="C469" t="str">
            <v>РОССИЯ, 188678, Ленинградская обл, Всеволожский р-н, Мурино г., Шоссе в Лаврики ул, дом 85, квартира 414</v>
          </cell>
          <cell r="D469" t="str">
            <v>РОССИЯ, 188678, Ленинградская обл, Всеволожский р-н, Мурино г., Шоссе в Лаврики ул, дом 85, квартира 414</v>
          </cell>
          <cell r="F469" t="str">
            <v>Ленинградская</v>
          </cell>
          <cell r="G469">
            <v>0.66009259259259256</v>
          </cell>
          <cell r="H469">
            <v>0.91009259259259256</v>
          </cell>
          <cell r="I469" t="str">
            <v>ОК</v>
          </cell>
          <cell r="J469" t="str">
            <v>ОК</v>
          </cell>
        </row>
        <row r="470">
          <cell r="B470" t="str">
            <v>В-03392/КЛ.Транш - 1</v>
          </cell>
          <cell r="C470" t="str">
            <v>РОССИЯ, 143006, Московская обл, р-н Одинцовский, г Одинцово, ул Союзная, д. 8, кв. 102</v>
          </cell>
          <cell r="D470" t="str">
            <v>РОССИЯ, 143005, Московская обл, Одинцовский р-н, Одинцово г, Говорова ул, дом 26А, квартира 41</v>
          </cell>
          <cell r="F470" t="str">
            <v>Московская</v>
          </cell>
          <cell r="G470">
            <v>0.66009259259259256</v>
          </cell>
          <cell r="H470">
            <v>0.91009259259259256</v>
          </cell>
          <cell r="I470" t="str">
            <v>ОК</v>
          </cell>
          <cell r="J470" t="str">
            <v>ОК</v>
          </cell>
        </row>
        <row r="471">
          <cell r="B471" t="str">
            <v>В-00858/АЗ</v>
          </cell>
          <cell r="C471" t="str">
            <v>РОССИЯ, 188802, Ленинградская обл, Выборгский р-н, Выборг г, Гагарина ул, дом 9, квартира 143</v>
          </cell>
          <cell r="D471" t="str">
            <v>РОССИЯ, 188802, Ленинградская обл, Выборгский р-н, Выборг г, Гагарина ул, дом 9, квартира 143</v>
          </cell>
          <cell r="F471" t="str">
            <v>Ленинградская</v>
          </cell>
          <cell r="G471">
            <v>0.66009259259259256</v>
          </cell>
          <cell r="H471">
            <v>0.91009259259259256</v>
          </cell>
          <cell r="I471" t="str">
            <v>ОК</v>
          </cell>
          <cell r="J471" t="str">
            <v>ОК</v>
          </cell>
        </row>
        <row r="472">
          <cell r="B472" t="str">
            <v>В-00044/КЭ.Транш - 1</v>
          </cell>
          <cell r="C472" t="str">
            <v>119619, Москва г, 6-Я Лазенки ул, дом 2, строение 15, этаж 1, помещение 26</v>
          </cell>
          <cell r="F472" t="str">
            <v>Москва</v>
          </cell>
          <cell r="G472">
            <v>0.66009259259259256</v>
          </cell>
          <cell r="H472">
            <v>0.91009259259259256</v>
          </cell>
          <cell r="I472" t="str">
            <v>ОК</v>
          </cell>
          <cell r="J472" t="str">
            <v>ОК</v>
          </cell>
        </row>
        <row r="473">
          <cell r="B473" t="str">
            <v>В-08268/КЛ.Транш - 2</v>
          </cell>
          <cell r="C473" t="str">
            <v>РОССИЯ, 416474, Астраханская обл, Приволжский р-н, Три Протока с, Пионерская ул, дом 4</v>
          </cell>
          <cell r="D473" t="str">
            <v>РОССИЯ, 416474, Астраханская обл, Приволжский р-н, Три Протока с, Пионерская ул, дом 4</v>
          </cell>
          <cell r="F473" t="str">
            <v>Астраханская</v>
          </cell>
          <cell r="G473">
            <v>0.66009259259259256</v>
          </cell>
          <cell r="H473">
            <v>0.9517592592592593</v>
          </cell>
          <cell r="I473" t="str">
            <v>поздно</v>
          </cell>
          <cell r="J473" t="str">
            <v>ОК</v>
          </cell>
        </row>
        <row r="474">
          <cell r="B474" t="str">
            <v>В-11396/КЛ.Транш - 2</v>
          </cell>
          <cell r="C474" t="str">
            <v>РОССИЯ, 125481, Москва г, Свободы ул, дом 83, корпус 3, квартира 77</v>
          </cell>
          <cell r="D474" t="str">
            <v>РОССИЯ, 125481, Москва г, Свободы ул, дом 83, корпус 3, квартира 77</v>
          </cell>
          <cell r="F474" t="str">
            <v>Москва</v>
          </cell>
          <cell r="G474">
            <v>0.66009259259259256</v>
          </cell>
          <cell r="H474">
            <v>0.91009259259259256</v>
          </cell>
          <cell r="I474" t="str">
            <v>ОК</v>
          </cell>
          <cell r="J474" t="str">
            <v>ОК</v>
          </cell>
        </row>
        <row r="475">
          <cell r="B475" t="str">
            <v>В-07411/КЛ.Транш - 1_В-20211230/Ц</v>
          </cell>
          <cell r="C475" t="str">
            <v>РОССИЯ, 127006, Москва г, Краснопролетарская ул, дом № 7, квартира 141</v>
          </cell>
          <cell r="D475" t="str">
            <v>РОССИЯ, 121352, Москва г, Нежинская ул, дом № 1, корпус 3, квартира 49</v>
          </cell>
          <cell r="F475" t="str">
            <v>Москва</v>
          </cell>
          <cell r="G475">
            <v>0.66009259259259256</v>
          </cell>
          <cell r="H475">
            <v>0.91009259259259256</v>
          </cell>
          <cell r="I475" t="str">
            <v>ОК</v>
          </cell>
          <cell r="J475" t="str">
            <v>ОК</v>
          </cell>
        </row>
        <row r="476">
          <cell r="B476" t="str">
            <v>В-07411/КЛ.Транш - 2_В-20211230/Ц</v>
          </cell>
          <cell r="C476" t="str">
            <v>РОССИЯ, 127006, Москва г, Краснопролетарская ул, дом № 7, квартира 141</v>
          </cell>
          <cell r="D476" t="str">
            <v>РОССИЯ, 121352, Москва г, Нежинская ул, дом № 1, корпус 3, квартира 49</v>
          </cell>
          <cell r="F476" t="str">
            <v>Москва</v>
          </cell>
          <cell r="G476">
            <v>0.66009259259259256</v>
          </cell>
          <cell r="H476">
            <v>0.91009259259259256</v>
          </cell>
          <cell r="I476" t="str">
            <v>ОК</v>
          </cell>
          <cell r="J476" t="str">
            <v>ОК</v>
          </cell>
        </row>
        <row r="477">
          <cell r="B477" t="str">
            <v>В-07411/КЛ.Транш - 3_В-20211230/Ц</v>
          </cell>
          <cell r="C477" t="str">
            <v>РОССИЯ, 127006, Москва г, Краснопролетарская ул, дом № 7, квартира 141</v>
          </cell>
          <cell r="D477" t="str">
            <v>РОССИЯ, 121352, Москва г, Нежинская ул, дом № 1, корпус 3, квартира 49</v>
          </cell>
          <cell r="F477" t="str">
            <v>Москва</v>
          </cell>
          <cell r="G477">
            <v>0.66009259259259256</v>
          </cell>
          <cell r="H477">
            <v>0.91009259259259256</v>
          </cell>
          <cell r="I477" t="str">
            <v>ОК</v>
          </cell>
          <cell r="J477" t="str">
            <v>ОК</v>
          </cell>
        </row>
        <row r="478">
          <cell r="B478" t="str">
            <v>В-07411/КЛ.Транш - 4_В-20211230/Ц</v>
          </cell>
          <cell r="C478" t="str">
            <v>РОССИЯ, 127006, Москва г, Краснопролетарская ул, дом № 7, квартира 141</v>
          </cell>
          <cell r="D478" t="str">
            <v>РОССИЯ, 121352, Москва г, Нежинская ул, дом № 1, корпус 3, квартира 49</v>
          </cell>
          <cell r="F478" t="str">
            <v>Москва</v>
          </cell>
          <cell r="G478">
            <v>0.66009259259259256</v>
          </cell>
          <cell r="H478">
            <v>0.91009259259259256</v>
          </cell>
          <cell r="I478" t="str">
            <v>ОК</v>
          </cell>
          <cell r="J478" t="str">
            <v>ОК</v>
          </cell>
        </row>
        <row r="479">
          <cell r="B479" t="str">
            <v>В-07411/КЛ.Транш - 5_В-20211230/Ц</v>
          </cell>
          <cell r="C479" t="str">
            <v>РОССИЯ, 127006, Москва г, Краснопролетарская ул, дом № 7, квартира 141</v>
          </cell>
          <cell r="D479" t="str">
            <v>РОССИЯ, 121352, Москва г, Нежинская ул, дом № 1, корпус 3, квартира 49</v>
          </cell>
          <cell r="F479" t="str">
            <v>Москва</v>
          </cell>
          <cell r="G479">
            <v>0.66009259259259256</v>
          </cell>
          <cell r="H479">
            <v>0.91009259259259256</v>
          </cell>
          <cell r="I479" t="str">
            <v>ОК</v>
          </cell>
          <cell r="J479" t="str">
            <v>ОК</v>
          </cell>
        </row>
        <row r="480">
          <cell r="B480" t="str">
            <v>В-07411/КЛ.Транш - 6_В-20211230/Ц</v>
          </cell>
          <cell r="C480" t="str">
            <v>РОССИЯ, 127006, Москва г, Краснопролетарская ул, дом № 7, квартира 141</v>
          </cell>
          <cell r="D480" t="str">
            <v>РОССИЯ, 121352, Москва г, Нежинская ул, дом № 1, корпус 3, квартира 49</v>
          </cell>
          <cell r="F480" t="str">
            <v>Москва</v>
          </cell>
          <cell r="G480">
            <v>0.66009259259259256</v>
          </cell>
          <cell r="H480">
            <v>0.91009259259259256</v>
          </cell>
          <cell r="I480" t="str">
            <v>ОК</v>
          </cell>
          <cell r="J480" t="str">
            <v>ОК</v>
          </cell>
        </row>
        <row r="481">
          <cell r="B481" t="str">
            <v>В-14728/КЛ.Транш - 6</v>
          </cell>
          <cell r="C481" t="str">
            <v>РОССИЯ, 143907, Московская обл, г Балашиха, пр-кт Ленина, д. 39, кв. 3</v>
          </cell>
          <cell r="D481" t="str">
            <v>РОССИЯ, 143900, Московская обл, Балашиха г, Ленина пр-кт, дом 39, квартира 3</v>
          </cell>
          <cell r="F481" t="str">
            <v>Московская</v>
          </cell>
          <cell r="G481">
            <v>0.66009259259259256</v>
          </cell>
          <cell r="H481">
            <v>0.91009259259259256</v>
          </cell>
          <cell r="I481" t="str">
            <v>ОК</v>
          </cell>
          <cell r="J481" t="str">
            <v>ОК</v>
          </cell>
        </row>
        <row r="482">
          <cell r="B482" t="str">
            <v>В-14728/КЛ.Транш - 7</v>
          </cell>
          <cell r="C482" t="str">
            <v>РОССИЯ, 143907, Московская обл, г Балашиха, пр-кт Ленина, д. 39, кв. 3</v>
          </cell>
          <cell r="D482" t="str">
            <v>РОССИЯ, 143900, Московская обл, Балашиха г, Ленина пр-кт, дом 39, квартира 3</v>
          </cell>
          <cell r="F482" t="str">
            <v>Московская</v>
          </cell>
          <cell r="G482">
            <v>0.66009259259259256</v>
          </cell>
          <cell r="H482">
            <v>0.91009259259259256</v>
          </cell>
          <cell r="I482" t="str">
            <v>ОК</v>
          </cell>
          <cell r="J482" t="str">
            <v>ОК</v>
          </cell>
        </row>
        <row r="483">
          <cell r="B483" t="str">
            <v>В-14728/КЛ.Транш - 8</v>
          </cell>
          <cell r="C483" t="str">
            <v>РОССИЯ, 143907, Московская обл, г Балашиха, пр-кт Ленина, д. 39, кв. 3</v>
          </cell>
          <cell r="D483" t="str">
            <v>РОССИЯ, 143900, Московская обл, Балашиха г, Ленина пр-кт, дом 39, квартира 3</v>
          </cell>
          <cell r="F483" t="str">
            <v>Московская</v>
          </cell>
          <cell r="G483">
            <v>0.66009259259259256</v>
          </cell>
          <cell r="H483">
            <v>0.91009259259259256</v>
          </cell>
          <cell r="I483" t="str">
            <v>ОК</v>
          </cell>
          <cell r="J483" t="str">
            <v>ОК</v>
          </cell>
        </row>
        <row r="484">
          <cell r="B484" t="str">
            <v>В-14728/КЛ.Транш - 9</v>
          </cell>
          <cell r="C484" t="str">
            <v>РОССИЯ, 143907, Московская обл, г Балашиха, пр-кт Ленина, д. 39, кв. 3</v>
          </cell>
          <cell r="D484" t="str">
            <v>РОССИЯ, 143900, Московская обл, Балашиха г, Ленина пр-кт, дом 39, квартира 3</v>
          </cell>
          <cell r="F484" t="str">
            <v>Московская</v>
          </cell>
          <cell r="G484">
            <v>0.66009259259259256</v>
          </cell>
          <cell r="H484">
            <v>0.91009259259259256</v>
          </cell>
          <cell r="I484" t="str">
            <v>ОК</v>
          </cell>
          <cell r="J484" t="str">
            <v>ОК</v>
          </cell>
        </row>
        <row r="485">
          <cell r="B485" t="str">
            <v>В-00161/АЗ</v>
          </cell>
          <cell r="C485" t="str">
            <v>РОССИЯ, 125635, Москва г, Ангарская ул, дом № 17, квартира 86</v>
          </cell>
          <cell r="D485" t="str">
            <v>РОССИЯ, 125635, Москва г, Ангарская ул, дом № 17, квартира 86</v>
          </cell>
          <cell r="F485" t="str">
            <v>Москва</v>
          </cell>
          <cell r="G485">
            <v>0.66009259259259256</v>
          </cell>
          <cell r="H485">
            <v>0.91009259259259256</v>
          </cell>
          <cell r="I485" t="str">
            <v>ОК</v>
          </cell>
          <cell r="J485" t="str">
            <v>ОК</v>
          </cell>
        </row>
        <row r="486">
          <cell r="B486" t="str">
            <v>В-25757/КЛ.Транш - 1</v>
          </cell>
          <cell r="C486" t="str">
            <v>РОССИЯ, 644052, Омская обл, г Омск, ул 21-я Амурская, д. 1, кв. 26</v>
          </cell>
          <cell r="D486" t="str">
            <v>РОССИЯ, 644052, Омская обл, г Омск, ул 21-я Амурская, д. 1, кв. 26</v>
          </cell>
          <cell r="F486" t="str">
            <v>Омская</v>
          </cell>
          <cell r="G486">
            <v>0.66009259259259256</v>
          </cell>
          <cell r="H486">
            <v>3.5092592592592675E-2</v>
          </cell>
          <cell r="I486" t="str">
            <v>поздно</v>
          </cell>
          <cell r="J486" t="str">
            <v>ОК</v>
          </cell>
        </row>
        <row r="487">
          <cell r="B487" t="str">
            <v>В-25640/КЛ.Транш - 1</v>
          </cell>
          <cell r="C487" t="str">
            <v>РОССИЯ, 108815, Москва г, Филимонковское п, Марьино п, дом 4, квартира 11</v>
          </cell>
          <cell r="D487" t="str">
            <v>РОССИЯ, 108815, Москва г, Филимонковское п, Марьино п, дом 4, квартира 11</v>
          </cell>
          <cell r="F487" t="str">
            <v>Москва</v>
          </cell>
          <cell r="G487">
            <v>0.66009259259259256</v>
          </cell>
          <cell r="H487">
            <v>0.91009259259259256</v>
          </cell>
          <cell r="I487" t="str">
            <v>ОК</v>
          </cell>
          <cell r="J487" t="str">
            <v>ОК</v>
          </cell>
        </row>
        <row r="488">
          <cell r="B488" t="str">
            <v>В-01217/АЗ</v>
          </cell>
          <cell r="C488" t="str">
            <v>РОССИЯ, 195067, Санкт-Петербург г, ул Бестужевская, д. 69, кв. 43</v>
          </cell>
          <cell r="D488" t="str">
            <v>РОССИЯ, 195067, Санкт-Петербург г, ул Бестужевская, д. 69, кв. 43</v>
          </cell>
          <cell r="F488" t="str">
            <v>Москва</v>
          </cell>
          <cell r="G488">
            <v>0.66009259259259256</v>
          </cell>
          <cell r="H488">
            <v>0.91009259259259256</v>
          </cell>
          <cell r="I488" t="str">
            <v>ОК</v>
          </cell>
          <cell r="J488" t="str">
            <v>ОК</v>
          </cell>
        </row>
        <row r="489">
          <cell r="B489" t="str">
            <v>В-20118/КЛ.Транш - 1</v>
          </cell>
          <cell r="C489" t="str">
            <v>РОССИЯ, 413851, Саратовская обл, г Балаково, ул Набережная Леонова, д. 20, кв. 43</v>
          </cell>
          <cell r="D489" t="str">
            <v>РОССИЯ, 413851, Саратовская обл, г Балаково, ул Набережная Леонова, д. 20, кв. 43</v>
          </cell>
          <cell r="F489" t="str">
            <v>Саратовская</v>
          </cell>
          <cell r="G489">
            <v>0.66009259259259256</v>
          </cell>
          <cell r="H489">
            <v>0.91009259259259256</v>
          </cell>
          <cell r="I489" t="str">
            <v>ОК</v>
          </cell>
          <cell r="J489" t="str">
            <v>ОК</v>
          </cell>
        </row>
        <row r="490">
          <cell r="B490" t="str">
            <v>В-18586/КЛ.Транш - 1</v>
          </cell>
          <cell r="C490" t="str">
            <v>РОССИЯ, 399341, Липецкая обл, р-н Усманский, г Усмань, ул Буденного, д. 1</v>
          </cell>
          <cell r="D490" t="str">
            <v>РОССИЯ, 117574, Москва г, вн.тер. г. муниципальный округ Ясенево, пр-кт Новоясеневский, д. 12, к. 1, кв. 341</v>
          </cell>
          <cell r="F490" t="str">
            <v>Москва</v>
          </cell>
          <cell r="G490">
            <v>0.66009259259259256</v>
          </cell>
          <cell r="H490">
            <v>0.91009259259259256</v>
          </cell>
          <cell r="I490" t="str">
            <v>ОК</v>
          </cell>
          <cell r="J490" t="str">
            <v>ОК</v>
          </cell>
        </row>
        <row r="491">
          <cell r="B491" t="str">
            <v>В-00496/АЗ</v>
          </cell>
          <cell r="C491" t="str">
            <v>РОССИЯ, 142611, Московская обл, г Орехово-Зуево, ул Бугрова, д. 11, кв. 46</v>
          </cell>
          <cell r="D491" t="str">
            <v>РОССИЯ, 142611, Московская обл, Орехово-Зуево г, Бугрова ул, дом 11, квартира 46</v>
          </cell>
          <cell r="F491" t="str">
            <v>Московская</v>
          </cell>
          <cell r="G491">
            <v>0.66009259259259256</v>
          </cell>
          <cell r="H491">
            <v>0.91009259259259256</v>
          </cell>
          <cell r="I491" t="str">
            <v>ОК</v>
          </cell>
          <cell r="J491" t="str">
            <v>ОК</v>
          </cell>
        </row>
        <row r="492">
          <cell r="B492" t="str">
            <v>В-00497/АЗ</v>
          </cell>
          <cell r="C492" t="str">
            <v>РОССИЯ, 412511, Саратовская обл, Петровский р-н, Седовка д, Центральная ул, дом 18</v>
          </cell>
          <cell r="D492" t="str">
            <v>РОССИЯ, 117546, Москва г, Харьковская ул, дом 4, корпус 2, квартира 289</v>
          </cell>
          <cell r="F492" t="str">
            <v>Москва</v>
          </cell>
          <cell r="G492">
            <v>0.66009259259259256</v>
          </cell>
          <cell r="H492">
            <v>0.91009259259259256</v>
          </cell>
          <cell r="I492" t="str">
            <v>ОК</v>
          </cell>
          <cell r="J492" t="str">
            <v>ОК</v>
          </cell>
        </row>
        <row r="493">
          <cell r="B493" t="str">
            <v>В-27747/КЛ.Транш - 1</v>
          </cell>
          <cell r="C493" t="str">
            <v>РОССИЯ, 368362, Дагестан респ, р-н Лакский, с Куба</v>
          </cell>
          <cell r="D493" t="str">
            <v>РОССИЯ, 140207, Московская обл, г Воскресенск, ул Зелинского, д. 5в, кв. 100</v>
          </cell>
          <cell r="F493" t="str">
            <v>Московская</v>
          </cell>
          <cell r="G493">
            <v>0.66009259259259256</v>
          </cell>
          <cell r="H493">
            <v>0.91009259259259256</v>
          </cell>
          <cell r="I493" t="str">
            <v>ОК</v>
          </cell>
          <cell r="J493" t="str">
            <v>ОК</v>
          </cell>
        </row>
        <row r="494">
          <cell r="B494" t="str">
            <v>А-05110/АЗ_А-20200626/Ц</v>
          </cell>
          <cell r="C494" t="str">
            <v>РОССИЯ, 143005, Московская обл, Одинцовский р-н, Одинцово г, Можайское ш, дом № 114, квартира 39</v>
          </cell>
          <cell r="D494" t="str">
            <v>РОССИЯ, 143005, Московская обл, Одинцовский р-н, Одинцово г, Можайское ш, дом № 114, квартира 39</v>
          </cell>
          <cell r="F494" t="str">
            <v>Московская</v>
          </cell>
          <cell r="G494">
            <v>0.66009259259259256</v>
          </cell>
          <cell r="H494">
            <v>0.91009259259259256</v>
          </cell>
          <cell r="I494" t="str">
            <v>ОК</v>
          </cell>
          <cell r="J494" t="str">
            <v>ОК</v>
          </cell>
        </row>
        <row r="495">
          <cell r="B495" t="str">
            <v>В-00911/АЗ_В-20211230/Ц</v>
          </cell>
          <cell r="C495" t="str">
            <v>РОССИЯ, 141231, Московская обл, р-н Пушкинский, рп Лесной, ул Ломоносова, д. 40</v>
          </cell>
          <cell r="D495" t="str">
            <v>РОССИЯ, 141231, Московская обл, Пушкинский р-н, Лесной рп, Ломоносова ул, дом 40</v>
          </cell>
          <cell r="F495" t="str">
            <v>Московская</v>
          </cell>
          <cell r="G495">
            <v>0.66009259259259256</v>
          </cell>
          <cell r="H495">
            <v>0.91009259259259256</v>
          </cell>
          <cell r="I495" t="str">
            <v>ОК</v>
          </cell>
          <cell r="J495" t="str">
            <v>ОК</v>
          </cell>
        </row>
        <row r="496">
          <cell r="B496" t="str">
            <v>В-00927/АЗ_В-20211230/Ц</v>
          </cell>
          <cell r="C496" t="str">
            <v>РОССИЯ, 141231, Московская обл, р-н Пушкинский, рп Лесной, ул Ломоносова, д. 40</v>
          </cell>
          <cell r="D496" t="str">
            <v>РОССИЯ, 141231, Московская обл, Пушкинский р-н, Лесной рп, Ломоносова ул, дом 40</v>
          </cell>
          <cell r="F496" t="str">
            <v>Московская</v>
          </cell>
          <cell r="G496">
            <v>0.66009259259259256</v>
          </cell>
          <cell r="H496">
            <v>0.91009259259259256</v>
          </cell>
          <cell r="I496" t="str">
            <v>ОК</v>
          </cell>
          <cell r="J496" t="str">
            <v>ОК</v>
          </cell>
        </row>
        <row r="497">
          <cell r="B497" t="str">
            <v>А-04018/АЗ_А-20200626/Ц</v>
          </cell>
          <cell r="C497" t="str">
            <v>РОССИЯ, 195256, Санкт-Петербург г, Софьи Ковалевской ул, дом № 10, корпус 2, квартира 49</v>
          </cell>
          <cell r="D497" t="str">
            <v>РОССИЯ, 195256, Санкт-Петербург г, Софьи Ковалевской ул, дом № 10, корпус 2, квартира 49</v>
          </cell>
          <cell r="F497" t="str">
            <v>Москва</v>
          </cell>
          <cell r="G497">
            <v>0.66009259259259256</v>
          </cell>
          <cell r="H497">
            <v>0.91009259259259256</v>
          </cell>
          <cell r="I497" t="str">
            <v>ОК</v>
          </cell>
          <cell r="J497" t="str">
            <v>ОК</v>
          </cell>
        </row>
        <row r="498">
          <cell r="B498" t="str">
            <v>В-00581/АЗ</v>
          </cell>
          <cell r="C498" t="str">
            <v>РОССИЯ, 115191, Москва г, Тульская Б. ул, дом № 56, квартира 51</v>
          </cell>
          <cell r="D498" t="str">
            <v>РОССИЯ, 115191, Москва г, Тульская Б. ул, дом № 56, квартира 51</v>
          </cell>
          <cell r="F498" t="str">
            <v>Москва</v>
          </cell>
          <cell r="G498">
            <v>0.66009259259259256</v>
          </cell>
          <cell r="H498">
            <v>0.91009259259259256</v>
          </cell>
          <cell r="I498" t="str">
            <v>ОК</v>
          </cell>
          <cell r="J498" t="str">
            <v>ОК</v>
          </cell>
        </row>
        <row r="499">
          <cell r="B499" t="str">
            <v>В-28437/КЛ.Транш - 1</v>
          </cell>
          <cell r="C499" t="str">
            <v>РОССИЯ, 346850, Ростовская обл, р-н Неклиновский, с Большая Неклиновка, ул Молодежная, д. 24</v>
          </cell>
          <cell r="D499" t="str">
            <v>РОССИЯ, 346850, Ростовская обл, р-н Неклиновский, с Большая Неклиновка, ул Молодежная, д. 24</v>
          </cell>
          <cell r="F499" t="str">
            <v>Ростовская</v>
          </cell>
          <cell r="G499">
            <v>0.66009259259259256</v>
          </cell>
          <cell r="H499">
            <v>0.91009259259259256</v>
          </cell>
          <cell r="I499" t="str">
            <v>ОК</v>
          </cell>
          <cell r="J499" t="str">
            <v>ОК</v>
          </cell>
        </row>
        <row r="500">
          <cell r="B500" t="str">
            <v>В-00431/КЛ.Транш - 1</v>
          </cell>
          <cell r="C500" t="str">
            <v>РОССИЯ, 111672, Москва г, ул Новокосинская, д. 14, к. 3, кв. 584</v>
          </cell>
          <cell r="D500" t="str">
            <v>РОССИЯ, 111673, Москва г, Новокосинская ул, дом 14, корпус 3, квартира 584</v>
          </cell>
          <cell r="F500" t="str">
            <v>Москва</v>
          </cell>
          <cell r="G500">
            <v>0.66009259259259256</v>
          </cell>
          <cell r="H500">
            <v>0.91009259259259256</v>
          </cell>
          <cell r="I500" t="str">
            <v>ОК</v>
          </cell>
          <cell r="J500" t="str">
            <v>ОК</v>
          </cell>
        </row>
        <row r="501">
          <cell r="B501" t="str">
            <v>В-00431/КЛ.Транш - 2</v>
          </cell>
          <cell r="C501" t="str">
            <v>РОССИЯ, 111672, Москва г, ул Новокосинская, д. 14, к. 3, кв. 584</v>
          </cell>
          <cell r="D501" t="str">
            <v>РОССИЯ, 111673, Москва г, Новокосинская ул, дом 14, корпус 3, квартира 584</v>
          </cell>
          <cell r="F501" t="str">
            <v>Москва</v>
          </cell>
          <cell r="G501">
            <v>0.66009259259259256</v>
          </cell>
          <cell r="H501">
            <v>0.91009259259259256</v>
          </cell>
          <cell r="I501" t="str">
            <v>ОК</v>
          </cell>
          <cell r="J501" t="str">
            <v>ОК</v>
          </cell>
        </row>
        <row r="502">
          <cell r="B502" t="str">
            <v>В-12746/КЛ.Транш - 10</v>
          </cell>
          <cell r="C502" t="str">
            <v>РОССИЯ, 368152, Дагестан респ, Дубки пгт, 1-й кв-л, дом 38, квартира 15</v>
          </cell>
          <cell r="D502" t="str">
            <v>РОССИЯ, 141702, Московская обл, Долгопрудный г, Молодежная ул, дом 2, квартира 200</v>
          </cell>
          <cell r="F502" t="str">
            <v>Московская</v>
          </cell>
          <cell r="G502">
            <v>0.66009259259259256</v>
          </cell>
          <cell r="H502">
            <v>0.91009259259259256</v>
          </cell>
          <cell r="I502" t="str">
            <v>ОК</v>
          </cell>
          <cell r="J502" t="str">
            <v>ОК</v>
          </cell>
        </row>
        <row r="503">
          <cell r="B503" t="str">
            <v>В-12746/КЛ.Транш - 15</v>
          </cell>
          <cell r="C503" t="str">
            <v>РОССИЯ, 368152, Дагестан респ, Дубки пгт, 1-й кв-л, дом 38, квартира 15</v>
          </cell>
          <cell r="D503" t="str">
            <v>РОССИЯ, 141702, Московская обл, Долгопрудный г, Молодежная ул, дом 2, квартира 200</v>
          </cell>
          <cell r="F503" t="str">
            <v>Московская</v>
          </cell>
          <cell r="G503">
            <v>0.66009259259259256</v>
          </cell>
          <cell r="H503">
            <v>0.91009259259259256</v>
          </cell>
          <cell r="I503" t="str">
            <v>ОК</v>
          </cell>
          <cell r="J503" t="str">
            <v>ОК</v>
          </cell>
        </row>
        <row r="504">
          <cell r="B504" t="str">
            <v>В-12746/КЛ.Транш - 16</v>
          </cell>
          <cell r="C504" t="str">
            <v>РОССИЯ, 368152, Дагестан респ, Дубки пгт, 1-й кв-л, дом 38, квартира 15</v>
          </cell>
          <cell r="D504" t="str">
            <v>РОССИЯ, 141702, Московская обл, Долгопрудный г, Молодежная ул, дом 2, квартира 200</v>
          </cell>
          <cell r="F504" t="str">
            <v>Московская</v>
          </cell>
          <cell r="G504">
            <v>0.66009259259259256</v>
          </cell>
          <cell r="H504">
            <v>0.91009259259259256</v>
          </cell>
          <cell r="I504" t="str">
            <v>ОК</v>
          </cell>
          <cell r="J504" t="str">
            <v>ОК</v>
          </cell>
        </row>
        <row r="505">
          <cell r="B505" t="str">
            <v>В-12746/КЛ.Транш - 19</v>
          </cell>
          <cell r="C505" t="str">
            <v>РОССИЯ, 368152, Дагестан респ, Дубки пгт, 1-й кв-л, дом 38, квартира 15</v>
          </cell>
          <cell r="D505" t="str">
            <v>РОССИЯ, 141702, Московская обл, Долгопрудный г, Молодежная ул, дом 2, квартира 200</v>
          </cell>
          <cell r="F505" t="str">
            <v>Московская</v>
          </cell>
          <cell r="G505">
            <v>0.66009259259259256</v>
          </cell>
          <cell r="H505">
            <v>0.91009259259259256</v>
          </cell>
          <cell r="I505" t="str">
            <v>ОК</v>
          </cell>
          <cell r="J505" t="str">
            <v>ОК</v>
          </cell>
        </row>
        <row r="506">
          <cell r="B506" t="str">
            <v>В-12746/КЛ.Транш - 23</v>
          </cell>
          <cell r="C506" t="str">
            <v>РОССИЯ, 368152, Дагестан респ, Дубки пгт, 1-й кв-л, дом 38, квартира 15</v>
          </cell>
          <cell r="D506" t="str">
            <v>РОССИЯ, 141702, Московская обл, Долгопрудный г, Молодежная ул, дом 2, квартира 200</v>
          </cell>
          <cell r="F506" t="str">
            <v>Московская</v>
          </cell>
          <cell r="G506">
            <v>0.66009259259259256</v>
          </cell>
          <cell r="H506">
            <v>0.91009259259259256</v>
          </cell>
          <cell r="I506" t="str">
            <v>ОК</v>
          </cell>
          <cell r="J506" t="str">
            <v>ОК</v>
          </cell>
        </row>
        <row r="507">
          <cell r="B507" t="str">
            <v>В-12746/КЛ.Транш - 24</v>
          </cell>
          <cell r="C507" t="str">
            <v>РОССИЯ, 368152, Дагестан респ, Дубки пгт, 1-й кв-л, дом 38, квартира 15</v>
          </cell>
          <cell r="D507" t="str">
            <v>РОССИЯ, 141702, Московская обл, Долгопрудный г, Молодежная ул, дом 2, квартира 200</v>
          </cell>
          <cell r="F507" t="str">
            <v>Московская</v>
          </cell>
          <cell r="G507">
            <v>0.66009259259259256</v>
          </cell>
          <cell r="H507">
            <v>0.91009259259259256</v>
          </cell>
          <cell r="I507" t="str">
            <v>ОК</v>
          </cell>
          <cell r="J507" t="str">
            <v>ОК</v>
          </cell>
        </row>
        <row r="508">
          <cell r="B508" t="str">
            <v>В-12746/КЛ.Транш - 25</v>
          </cell>
          <cell r="C508" t="str">
            <v>РОССИЯ, 368152, Дагестан респ, Дубки пгт, 1-й кв-л, дом 38, квартира 15</v>
          </cell>
          <cell r="D508" t="str">
            <v>РОССИЯ, 141702, Московская обл, Долгопрудный г, Молодежная ул, дом 2, квартира 200</v>
          </cell>
          <cell r="F508" t="str">
            <v>Московская</v>
          </cell>
          <cell r="G508">
            <v>0.66009259259259256</v>
          </cell>
          <cell r="H508">
            <v>0.91009259259259256</v>
          </cell>
          <cell r="I508" t="str">
            <v>ОК</v>
          </cell>
          <cell r="J508" t="str">
            <v>ОК</v>
          </cell>
        </row>
        <row r="509">
          <cell r="B509" t="str">
            <v>В-12746/КЛ.Транш - 7</v>
          </cell>
          <cell r="C509" t="str">
            <v>РОССИЯ, 368152, Дагестан респ, Дубки пгт, 1-й кв-л, дом 38, квартира 15</v>
          </cell>
          <cell r="D509" t="str">
            <v>РОССИЯ, 141702, Московская обл, Долгопрудный г, Молодежная ул, дом 2, квартира 200</v>
          </cell>
          <cell r="F509" t="str">
            <v>Московская</v>
          </cell>
          <cell r="G509">
            <v>0.66009259259259256</v>
          </cell>
          <cell r="H509">
            <v>0.91009259259259256</v>
          </cell>
          <cell r="I509" t="str">
            <v>ОК</v>
          </cell>
          <cell r="J509" t="str">
            <v>ОК</v>
          </cell>
        </row>
        <row r="510">
          <cell r="B510" t="str">
            <v>В-12746/КЛ.Транш - 9</v>
          </cell>
          <cell r="C510" t="str">
            <v>РОССИЯ, 368152, Дагестан респ, Дубки пгт, 1-й кв-л, дом 38, квартира 15</v>
          </cell>
          <cell r="D510" t="str">
            <v>РОССИЯ, 141702, Московская обл, Долгопрудный г, Молодежная ул, дом 2, квартира 200</v>
          </cell>
          <cell r="F510" t="str">
            <v>Московская</v>
          </cell>
          <cell r="G510">
            <v>0.66009259259259256</v>
          </cell>
          <cell r="H510">
            <v>0.91009259259259256</v>
          </cell>
          <cell r="I510" t="str">
            <v>ОК</v>
          </cell>
          <cell r="J510" t="str">
            <v>ОК</v>
          </cell>
        </row>
        <row r="511">
          <cell r="B511" t="str">
            <v>А-03641/АЗ</v>
          </cell>
          <cell r="C511" t="str">
            <v>РОССИЯ, 183005, Мурманская обл, Мурманск г, Охотничий пер, дом № 12, квартира 4</v>
          </cell>
          <cell r="D511" t="str">
            <v>РОССИЯ, 188800, Ленинградская обл, Выборгский р-н, Выборг г, Совхозная ул, дом № 2Б</v>
          </cell>
          <cell r="F511" t="str">
            <v>Ленинградская</v>
          </cell>
          <cell r="G511">
            <v>0.66009259259259256</v>
          </cell>
          <cell r="H511">
            <v>0.91009259259259256</v>
          </cell>
          <cell r="I511" t="str">
            <v>ОК</v>
          </cell>
          <cell r="J511" t="str">
            <v>ОК</v>
          </cell>
        </row>
        <row r="512">
          <cell r="B512" t="str">
            <v>В-26290/КЛ.Транш - 1</v>
          </cell>
          <cell r="C512" t="str">
            <v>РОССИЯ, 613400, Кировская обл, р-н Куменский, пгт Кумены, ул Ключевая, д. 3, кв. 2</v>
          </cell>
          <cell r="D512" t="str">
            <v>РОССИЯ, 141021, Московская обл, г Мытищи, ул Борисовка, д. 16А, кв. 473</v>
          </cell>
          <cell r="F512" t="str">
            <v>Московская</v>
          </cell>
          <cell r="G512">
            <v>0.66009259259259256</v>
          </cell>
          <cell r="H512">
            <v>0.91009259259259256</v>
          </cell>
          <cell r="I512" t="str">
            <v>ОК</v>
          </cell>
          <cell r="J512" t="str">
            <v>ОК</v>
          </cell>
        </row>
        <row r="513">
          <cell r="B513" t="str">
            <v>А-04119/АЗ</v>
          </cell>
          <cell r="C513" t="str">
            <v>РОССИЯ, 109378, Москва г, Волгоградский пр-кт, дом № 153, корпус 1, квартира 57</v>
          </cell>
          <cell r="D513" t="str">
            <v>РОССИЯ, 109378, Москва г, Волгоградский пр-кт, дом № 153, корпус 1, квартира 57</v>
          </cell>
          <cell r="F513" t="str">
            <v>Москва</v>
          </cell>
          <cell r="G513">
            <v>0.66009259259259256</v>
          </cell>
          <cell r="H513">
            <v>0.91009259259259256</v>
          </cell>
          <cell r="I513" t="str">
            <v>ОК</v>
          </cell>
          <cell r="J513" t="str">
            <v>ОК</v>
          </cell>
        </row>
        <row r="514">
          <cell r="B514" t="str">
            <v>В-17533/КЛ.Транш - 1_В-20211230/Ц</v>
          </cell>
          <cell r="C514" t="str">
            <v>РОССИЯ, 196641, Санкт-Петербург г, вн.тер.г. поселок Металлострой, п Металлострой, ул Пушкинская, д. 8, литера А, кв. 2</v>
          </cell>
          <cell r="D514" t="str">
            <v>РОССИЯ, 196641, Санкт-Петербург г, вн.тер.г. поселок Металлострой, п Металлострой, ул Пушкинская, д. 8, литера А, кв. 2</v>
          </cell>
          <cell r="F514" t="str">
            <v>Москва</v>
          </cell>
          <cell r="G514">
            <v>0.66009259259259256</v>
          </cell>
          <cell r="H514">
            <v>0.91009259259259256</v>
          </cell>
          <cell r="I514" t="str">
            <v>ОК</v>
          </cell>
          <cell r="J514" t="str">
            <v>ОК</v>
          </cell>
        </row>
        <row r="515">
          <cell r="B515" t="str">
            <v>А-05421/АЗ_А-20200626/Ц</v>
          </cell>
          <cell r="C515" t="str">
            <v>РОССИЯ, 353204, Краснодарский край, Динской р-н, Динская ст-ца, Суворова пер, дом 1</v>
          </cell>
          <cell r="D515" t="str">
            <v>РОССИЯ, 353204, Краснодарский край, Динской р-н, Динская ст-ца, Суворова пер, дом 1</v>
          </cell>
          <cell r="F515" t="str">
            <v>Краснодарский</v>
          </cell>
          <cell r="G515">
            <v>0.66009259259259256</v>
          </cell>
          <cell r="H515">
            <v>0.91009259259259256</v>
          </cell>
          <cell r="I515" t="str">
            <v>ОК</v>
          </cell>
          <cell r="J515" t="str">
            <v>ОК</v>
          </cell>
        </row>
        <row r="516">
          <cell r="B516" t="str">
            <v>В-00702/АЗ</v>
          </cell>
          <cell r="C516" t="str">
            <v>РОССИЯ, 353204, Краснодарский край, Динской р-н, Динская ст-ца, Суворова пер, дом 1</v>
          </cell>
          <cell r="D516" t="str">
            <v>РОССИЯ, 353204, Краснодарский край, Динской р-н, Динская ст-ца, Суворова пер, дом 1</v>
          </cell>
          <cell r="F516" t="str">
            <v>Краснодарский</v>
          </cell>
          <cell r="G516">
            <v>0.66009259259259256</v>
          </cell>
          <cell r="H516">
            <v>0.91009259259259256</v>
          </cell>
          <cell r="I516" t="str">
            <v>ОК</v>
          </cell>
          <cell r="J516" t="str">
            <v>ОК</v>
          </cell>
        </row>
        <row r="517">
          <cell r="B517" t="str">
            <v>Т-01843/АЗ_Т-20200626/Ц</v>
          </cell>
          <cell r="C517" t="str">
            <v>РОССИЯ, 353204, Краснодарский край, Динской р-н, Динская ст-ца, Суворова пер, дом 1</v>
          </cell>
          <cell r="D517" t="str">
            <v>РОССИЯ, 353204, Краснодарский край, Динской р-н, Динская ст-ца, Суворова пер, дом 1</v>
          </cell>
          <cell r="F517" t="str">
            <v>Краснодарский</v>
          </cell>
          <cell r="G517">
            <v>0.66009259259259256</v>
          </cell>
          <cell r="H517">
            <v>0.91009259259259256</v>
          </cell>
          <cell r="I517" t="str">
            <v>ОК</v>
          </cell>
          <cell r="J517" t="str">
            <v>ОК</v>
          </cell>
        </row>
        <row r="518">
          <cell r="B518" t="str">
            <v>В-19564/КЛ.Транш - 1</v>
          </cell>
          <cell r="C518" t="str">
            <v>РОССИЯ, 450095, Башкортостан респ, г Уфа, ул Левитана, д. 37, кв. 7</v>
          </cell>
          <cell r="D518" t="str">
            <v>РОССИЯ, 450095, Башкортостан респ, г Уфа, ул Левитана, д. 37, кв. 7</v>
          </cell>
          <cell r="F518" t="str">
            <v>Башкортостан</v>
          </cell>
          <cell r="G518">
            <v>0.66009259259259256</v>
          </cell>
          <cell r="H518">
            <v>0.99342592592592593</v>
          </cell>
          <cell r="I518" t="str">
            <v>поздно</v>
          </cell>
          <cell r="J518" t="str">
            <v>ОК</v>
          </cell>
        </row>
        <row r="519">
          <cell r="B519" t="str">
            <v>В-19564/КЛ.Транш - 2</v>
          </cell>
          <cell r="C519" t="str">
            <v>РОССИЯ, 450095, Башкортостан респ, г Уфа, ул Левитана, д. 37, кв. 7</v>
          </cell>
          <cell r="D519" t="str">
            <v>РОССИЯ, 450095, Башкортостан респ, г Уфа, ул Левитана, д. 37, кв. 7</v>
          </cell>
          <cell r="F519" t="str">
            <v>Башкортостан</v>
          </cell>
          <cell r="G519">
            <v>0.66009259259259256</v>
          </cell>
          <cell r="H519">
            <v>0.99342592592592593</v>
          </cell>
          <cell r="I519" t="str">
            <v>поздно</v>
          </cell>
          <cell r="J519" t="str">
            <v>ОК</v>
          </cell>
        </row>
        <row r="520">
          <cell r="B520" t="str">
            <v>В-10909/КЛ.Транш - 1</v>
          </cell>
          <cell r="C520" t="str">
            <v>РОССИЯ, 443087, Самарская обл, Самара г, Кирова пр-кт, дом 190, квартира 19</v>
          </cell>
          <cell r="D520" t="str">
            <v>РОССИЯ, 443087, Самарская обл, Самара г, Кирова пр-кт, дом 190, квартира 19</v>
          </cell>
          <cell r="F520" t="str">
            <v>Самарская</v>
          </cell>
          <cell r="G520">
            <v>0.66009259259259256</v>
          </cell>
          <cell r="H520">
            <v>0.9517592592592593</v>
          </cell>
          <cell r="I520" t="str">
            <v>поздно</v>
          </cell>
          <cell r="J520" t="str">
            <v>ОК</v>
          </cell>
        </row>
        <row r="521">
          <cell r="B521" t="str">
            <v>В-01050/АЗ</v>
          </cell>
          <cell r="C521" t="str">
            <v>РОССИЯ, 353921, Краснодарский край, Новороссийск г, Герцена ул, дом 11, квартира 76</v>
          </cell>
          <cell r="D521" t="str">
            <v>РОССИЯ, 353921, Краснодарский край, Новороссийск г, Герцена ул, дом 11, квартира 76</v>
          </cell>
          <cell r="F521" t="str">
            <v>Краснодарский</v>
          </cell>
          <cell r="G521">
            <v>0.66009259259259256</v>
          </cell>
          <cell r="H521">
            <v>0.91009259259259256</v>
          </cell>
          <cell r="I521" t="str">
            <v>ОК</v>
          </cell>
          <cell r="J521" t="str">
            <v>ОК</v>
          </cell>
        </row>
        <row r="522">
          <cell r="B522" t="str">
            <v>В-01051/АЗ</v>
          </cell>
          <cell r="C522" t="str">
            <v>РОССИЯ, 353921, Краснодарский край, Новороссийск г, Герцена ул, дом 11, квартира 76</v>
          </cell>
          <cell r="D522" t="str">
            <v>РОССИЯ, 353921, Краснодарский край, Новороссийск г, Герцена ул, дом 11, квартира 76</v>
          </cell>
          <cell r="F522" t="str">
            <v>Краснодарский</v>
          </cell>
          <cell r="G522">
            <v>0.66009259259259256</v>
          </cell>
          <cell r="H522">
            <v>0.91009259259259256</v>
          </cell>
          <cell r="I522" t="str">
            <v>ОК</v>
          </cell>
          <cell r="J522" t="str">
            <v>ОК</v>
          </cell>
        </row>
        <row r="523">
          <cell r="B523" t="str">
            <v>В-12380/КЛ.Транш - 1_В-20211230/Ц</v>
          </cell>
          <cell r="C523" t="str">
            <v>РОССИЯ, 309509, Белгородская обл, Старый Оскол г, Кирилловская ул, дом 2</v>
          </cell>
          <cell r="D523" t="str">
            <v>РОССИЯ, 309509, Белгородская обл, Старый Оскол г, Кирилловская ул, дом 2</v>
          </cell>
          <cell r="F523" t="str">
            <v>Белгородская</v>
          </cell>
          <cell r="G523">
            <v>0.66009259259259256</v>
          </cell>
          <cell r="H523">
            <v>0.91009259259259256</v>
          </cell>
          <cell r="I523" t="str">
            <v>ОК</v>
          </cell>
          <cell r="J523" t="str">
            <v>ОК</v>
          </cell>
        </row>
        <row r="524">
          <cell r="B524" t="str">
            <v>В-13070/КЛ.Транш - 2</v>
          </cell>
          <cell r="C524" t="str">
            <v>РОССИЯ, 400111, Волгоградская обл, г Волгоград, ул им. Городовикова, д. 5, кв. 4</v>
          </cell>
          <cell r="D524" t="str">
            <v>РОССИЯ, 400111, Волгоградская обл, г Волгоград, ул им. Городовикова, д. 5, кв. 4</v>
          </cell>
          <cell r="F524" t="str">
            <v>Волгоградская</v>
          </cell>
          <cell r="G524">
            <v>0.66009259259259256</v>
          </cell>
          <cell r="H524">
            <v>0.9517592592592593</v>
          </cell>
          <cell r="I524" t="str">
            <v>поздно</v>
          </cell>
          <cell r="J524" t="str">
            <v>ОК</v>
          </cell>
        </row>
        <row r="525">
          <cell r="B525" t="str">
            <v>В-13070/КЛ.Транш - 3</v>
          </cell>
          <cell r="C525" t="str">
            <v>РОССИЯ, 400111, Волгоградская обл, г Волгоград, ул им. Городовикова, д. 5, кв. 4</v>
          </cell>
          <cell r="D525" t="str">
            <v>РОССИЯ, 400111, Волгоградская обл, г Волгоград, ул им. Городовикова, д. 5, кв. 4</v>
          </cell>
          <cell r="F525" t="str">
            <v>Волгоградская</v>
          </cell>
          <cell r="G525">
            <v>0.66009259259259256</v>
          </cell>
          <cell r="H525">
            <v>0.9517592592592593</v>
          </cell>
          <cell r="I525" t="str">
            <v>поздно</v>
          </cell>
          <cell r="J525" t="str">
            <v>ОК</v>
          </cell>
        </row>
        <row r="526">
          <cell r="B526" t="str">
            <v>В-12401/КЛ.Транш - 1</v>
          </cell>
          <cell r="C526" t="str">
            <v>РОССИЯ, 385141, Адыгея респ, Тахтамукайский р-н, Яблоновский пгт, Герцена 1-й проезд, дом 22</v>
          </cell>
          <cell r="D526" t="str">
            <v>РОССИЯ, 385141, Адыгея респ, Тахтамукайский р-н, Яблоновский пгт, Герцена 1-й проезд, дом 22</v>
          </cell>
          <cell r="F526" t="str">
            <v>Адыгея</v>
          </cell>
          <cell r="G526">
            <v>0.66009259259259256</v>
          </cell>
          <cell r="H526">
            <v>0.91009259259259256</v>
          </cell>
          <cell r="I526" t="str">
            <v>ОК</v>
          </cell>
          <cell r="J526" t="str">
            <v>ОК</v>
          </cell>
        </row>
        <row r="527">
          <cell r="B527" t="str">
            <v>В-12401/КЛ.Транш - 2</v>
          </cell>
          <cell r="C527" t="str">
            <v>РОССИЯ, 385141, Адыгея респ, Тахтамукайский р-н, Яблоновский пгт, Герцена 1-й проезд, дом 22</v>
          </cell>
          <cell r="D527" t="str">
            <v>РОССИЯ, 385141, Адыгея респ, Тахтамукайский р-н, Яблоновский пгт, Герцена 1-й проезд, дом 22</v>
          </cell>
          <cell r="F527" t="str">
            <v>Адыгея</v>
          </cell>
          <cell r="G527">
            <v>0.66009259259259256</v>
          </cell>
          <cell r="H527">
            <v>0.91009259259259256</v>
          </cell>
          <cell r="I527" t="str">
            <v>ОК</v>
          </cell>
          <cell r="J527" t="str">
            <v>ОК</v>
          </cell>
        </row>
        <row r="528">
          <cell r="B528" t="str">
            <v>В-24594/АЗ</v>
          </cell>
          <cell r="C528" t="str">
            <v>РОССИЯ, 360002, Кабардино-Балкарская респ, г Нальчик, ул Тлостанова, двлд. 55</v>
          </cell>
          <cell r="D528" t="str">
            <v>РОССИЯ, 143085, Московская обл, г Одинцово, рп Заречье, ул Медовая, д. 4, кв. 271</v>
          </cell>
          <cell r="F528" t="str">
            <v>Московская</v>
          </cell>
          <cell r="G528">
            <v>0.66009259259259256</v>
          </cell>
          <cell r="H528">
            <v>0.91009259259259256</v>
          </cell>
          <cell r="I528" t="str">
            <v>ОК</v>
          </cell>
          <cell r="J528" t="str">
            <v>ОК</v>
          </cell>
        </row>
        <row r="529">
          <cell r="B529" t="str">
            <v>А-10052/КЭ.Транш - 1</v>
          </cell>
          <cell r="C529" t="str">
            <v>193318, Санкт-Петербург г, внутригородская территория муниципальный округ Правобережный, Ворошилова ул, дом № 2, литер АБ, помещение 2-Н</v>
          </cell>
          <cell r="F529" t="str">
            <v>Москва</v>
          </cell>
          <cell r="G529">
            <v>0.66009259259259256</v>
          </cell>
          <cell r="H529">
            <v>0.91009259259259256</v>
          </cell>
          <cell r="I529" t="str">
            <v>ОК</v>
          </cell>
          <cell r="J529" t="str">
            <v>ОК</v>
          </cell>
        </row>
        <row r="530">
          <cell r="B530" t="str">
            <v>В-06481/КЛ.Транш - 7</v>
          </cell>
          <cell r="C530" t="str">
            <v>РОССИЯ, 117525, Москва г, Днепропетровская ул, дом 3, корпус 4, квартира 524</v>
          </cell>
          <cell r="D530" t="str">
            <v>РОССИЯ, 117525, Москва г, Днепропетровская ул, дом 3, корпус 4, квартира 524</v>
          </cell>
          <cell r="F530" t="str">
            <v>Москва</v>
          </cell>
          <cell r="G530">
            <v>0.66009259259259256</v>
          </cell>
          <cell r="H530">
            <v>0.91009259259259256</v>
          </cell>
          <cell r="I530" t="str">
            <v>ОК</v>
          </cell>
          <cell r="J530" t="str">
            <v>ОК</v>
          </cell>
        </row>
        <row r="531">
          <cell r="B531" t="str">
            <v>В-01148/АЗ</v>
          </cell>
          <cell r="C531" t="str">
            <v>РОССИЯ, 150542, Ярославская обл, р-н Ярославский, д Ерсловское, д. 10</v>
          </cell>
          <cell r="D531" t="str">
            <v>РОССИЯ, 109378, Москва г, ул Шумилова, д. 13, к. 2, кв. 56</v>
          </cell>
          <cell r="F531" t="str">
            <v>Москва</v>
          </cell>
          <cell r="G531">
            <v>0.66009259259259256</v>
          </cell>
          <cell r="H531">
            <v>0.91009259259259256</v>
          </cell>
          <cell r="I531" t="str">
            <v>ОК</v>
          </cell>
          <cell r="J531" t="str">
            <v>ОК</v>
          </cell>
        </row>
        <row r="532">
          <cell r="B532" t="str">
            <v>В-20300/КЛ.Транш - 1_В-20211230/Ц</v>
          </cell>
          <cell r="C532" t="str">
            <v>РОССИЯ, 386103, Ингушетия респ, г Назрань, тер Центральный округ, ул Д.А.Кунаева, д. 13</v>
          </cell>
          <cell r="D532" t="str">
            <v>РОССИЯ, 119602, Москва г, вн.тер.г. муниципальный округ Тропарево-Никулино, ул Покрышкина, д. 11, кв. 288</v>
          </cell>
          <cell r="F532" t="str">
            <v>Москва</v>
          </cell>
          <cell r="G532">
            <v>0.66009259259259256</v>
          </cell>
          <cell r="H532">
            <v>0.91009259259259256</v>
          </cell>
          <cell r="I532" t="str">
            <v>ОК</v>
          </cell>
          <cell r="J532" t="str">
            <v>ОК</v>
          </cell>
        </row>
        <row r="533">
          <cell r="B533" t="str">
            <v>В-22409/КЛ.Транш - 1</v>
          </cell>
          <cell r="C533" t="str">
            <v>РОССИЯ, 690022, Приморский край, г Владивосток, ул Чапаева, д. 12, кв. 332</v>
          </cell>
          <cell r="D533" t="str">
            <v>РОССИЯ, 690068, Приморский край, г Владивосток, ул Кирова, д. 8, кв. 27</v>
          </cell>
          <cell r="F533" t="str">
            <v>Приморский</v>
          </cell>
          <cell r="G533">
            <v>0.66009259259259256</v>
          </cell>
          <cell r="H533">
            <v>0.20175925925925919</v>
          </cell>
          <cell r="I533" t="str">
            <v>поздно</v>
          </cell>
          <cell r="J533" t="str">
            <v>поздно</v>
          </cell>
        </row>
        <row r="534">
          <cell r="B534" t="str">
            <v>В-25367/АЗ</v>
          </cell>
          <cell r="C534" t="str">
            <v>РОССИЯ, 142072, Московская обл, г Домодедово, мкр. Востряково, ул Ледовская, д. 8, кв. 4</v>
          </cell>
          <cell r="D534" t="str">
            <v>РОССИЯ, 142072, Московская обл, г Домодедово, мкр. Востряково, ул Ледовская, д. 8, кв. 4</v>
          </cell>
          <cell r="F534" t="str">
            <v>Московская</v>
          </cell>
          <cell r="G534">
            <v>0.66009259259259256</v>
          </cell>
          <cell r="H534">
            <v>0.91009259259259256</v>
          </cell>
          <cell r="I534" t="str">
            <v>ОК</v>
          </cell>
          <cell r="J534" t="str">
            <v>ОК</v>
          </cell>
        </row>
        <row r="535">
          <cell r="B535" t="str">
            <v>В-12256/КЛ.Транш - 1</v>
          </cell>
          <cell r="C535" t="str">
            <v>РОССИЯ, 309540, Белгородская обл, Старооскольский р-н, Незнамово с, Октябрьский пер, дом 17в</v>
          </cell>
          <cell r="D535" t="str">
            <v>РОССИЯ, 309540, Белгородская обл, Старооскольский р-н, Незнамово с, Октябрьский пер, дом 17в</v>
          </cell>
          <cell r="F535" t="str">
            <v>Белгородская</v>
          </cell>
          <cell r="G535">
            <v>0.66009259259259256</v>
          </cell>
          <cell r="H535">
            <v>0.91009259259259256</v>
          </cell>
          <cell r="I535" t="str">
            <v>ОК</v>
          </cell>
          <cell r="J535" t="str">
            <v>ОК</v>
          </cell>
        </row>
        <row r="536">
          <cell r="B536" t="str">
            <v>В-15163/КЛ.Транш - 1</v>
          </cell>
          <cell r="C536" t="str">
            <v>РОССИЯ, 366005, Чеченская респ, Грозненский р-н, Алхан-Кала с, У.Ибрагимова ул, дом 23</v>
          </cell>
          <cell r="D536" t="str">
            <v>РОССИЯ, 141407, Московская обл, Химки г, Молодежная ул, дом 1, квартира 52</v>
          </cell>
          <cell r="F536" t="str">
            <v>Московская</v>
          </cell>
          <cell r="G536">
            <v>0.66009259259259256</v>
          </cell>
          <cell r="H536">
            <v>0.91009259259259256</v>
          </cell>
          <cell r="I536" t="str">
            <v>ОК</v>
          </cell>
          <cell r="J536" t="str">
            <v>ОК</v>
          </cell>
        </row>
        <row r="537">
          <cell r="B537" t="str">
            <v>Т-01890/АЗ_Т-20211028/Ц</v>
          </cell>
          <cell r="C537" t="str">
            <v>РОССИЯ, 109651, Москва г, Батайский проезд, дом 5, квартира 236</v>
          </cell>
          <cell r="D537" t="str">
            <v>РОССИЯ, 109651, Москва г, Батайский проезд, дом 5, квартира 236</v>
          </cell>
          <cell r="F537" t="str">
            <v>Москва</v>
          </cell>
          <cell r="G537">
            <v>0.66009259259259256</v>
          </cell>
          <cell r="H537">
            <v>0.91009259259259256</v>
          </cell>
          <cell r="I537" t="str">
            <v>ОК</v>
          </cell>
          <cell r="J537" t="str">
            <v>ОК</v>
          </cell>
        </row>
        <row r="538">
          <cell r="B538" t="str">
            <v>А-04742/АЗ</v>
          </cell>
          <cell r="C538" t="str">
            <v>РОССИЯ, 117420, Москва г, Новочерёмушкинская ул, дом № 60, корпус 2, квартира 165</v>
          </cell>
          <cell r="D538" t="str">
            <v>РОССИЯ, 117420, Москва г, Новочерёмушкинская ул, дом № 60, корпус 2, квартира 165</v>
          </cell>
          <cell r="F538" t="str">
            <v>Москва</v>
          </cell>
          <cell r="G538">
            <v>0.66009259259259256</v>
          </cell>
          <cell r="H538">
            <v>0.91009259259259256</v>
          </cell>
          <cell r="I538" t="str">
            <v>ОК</v>
          </cell>
          <cell r="J538" t="str">
            <v>ОК</v>
          </cell>
        </row>
        <row r="539">
          <cell r="B539" t="str">
            <v>В-16882/КЛ.Транш - 2</v>
          </cell>
          <cell r="C539" t="str">
            <v>РОССИЯ, 141052, Московская обл, г Мытищи, д Фелисово, ул Деревенская, д. 17</v>
          </cell>
          <cell r="D539" t="str">
            <v>РОССИЯ, 141052, Московская обл, г Мытищи, д Фелисово, ул Деревенская, д. 17</v>
          </cell>
          <cell r="F539" t="str">
            <v>Московская</v>
          </cell>
          <cell r="G539">
            <v>0.66009259259259256</v>
          </cell>
          <cell r="H539">
            <v>0.91009259259259256</v>
          </cell>
          <cell r="I539" t="str">
            <v>ОК</v>
          </cell>
          <cell r="J539" t="str">
            <v>ОК</v>
          </cell>
        </row>
        <row r="540">
          <cell r="B540" t="str">
            <v>В-03259/КЛ.Транш - 1</v>
          </cell>
          <cell r="C540" t="str">
            <v>РОССИЯ, 140013, Московская обл, городской округ Люберцы, Люберцы г, Комсомольский пр-кт, дом 9, квартира 4</v>
          </cell>
          <cell r="D540" t="str">
            <v>РОССИЯ, 140013, Московская обл, городской округ Люберцы, Люберцы г, Комсомольский пр-кт, дом 9, квартира 4</v>
          </cell>
          <cell r="F540" t="str">
            <v>Московская</v>
          </cell>
          <cell r="G540">
            <v>0.66009259259259256</v>
          </cell>
          <cell r="H540">
            <v>0.91009259259259256</v>
          </cell>
          <cell r="I540" t="str">
            <v>ОК</v>
          </cell>
          <cell r="J540" t="str">
            <v>ОК</v>
          </cell>
        </row>
        <row r="541">
          <cell r="B541" t="str">
            <v>В-00272/АЗ_В-20211230/Ц</v>
          </cell>
          <cell r="C541" t="str">
            <v>РОССИЯ, 238300, Калининградская обл, Гурьевский р-н, Гурьевск г., Прудовый пер, дом № 2, квартира 24</v>
          </cell>
          <cell r="D541" t="str">
            <v>РОССИЯ, 140187, Московская обл, Жуковский г, Гагарина ул, дом № 59, квартира 28</v>
          </cell>
          <cell r="F541" t="str">
            <v>Московская</v>
          </cell>
          <cell r="G541">
            <v>0.66009259259259256</v>
          </cell>
          <cell r="H541">
            <v>0.91009259259259256</v>
          </cell>
          <cell r="I541" t="str">
            <v>ОК</v>
          </cell>
          <cell r="J541" t="str">
            <v>ОК</v>
          </cell>
        </row>
        <row r="542">
          <cell r="B542" t="str">
            <v>В-07544/КЛ.Транш - 1</v>
          </cell>
          <cell r="C542" t="str">
            <v>РОССИЯ, Московская обл, Пушкино г, Серебрянка мкр., дом 16, квартира 39</v>
          </cell>
          <cell r="D542" t="str">
            <v>РОССИЯ, Московская обл, Пушкино г, Серебрянка мкр., дом 17, квартира 91</v>
          </cell>
          <cell r="F542" t="str">
            <v>Московская</v>
          </cell>
          <cell r="G542">
            <v>0.66009259259259256</v>
          </cell>
          <cell r="H542">
            <v>0.91009259259259256</v>
          </cell>
          <cell r="I542" t="str">
            <v>ОК</v>
          </cell>
          <cell r="J542" t="str">
            <v>ОК</v>
          </cell>
        </row>
        <row r="543">
          <cell r="B543" t="str">
            <v>В-13719/КЛ.Транш - 1</v>
          </cell>
          <cell r="C543" t="str">
            <v>РОССИЯ, 111531, Москва г, Энтузиастов ш, дом 98, корпус 1, квартира 53</v>
          </cell>
          <cell r="D543" t="str">
            <v>РОССИЯ, 111531, Москва г, Энтузиастов ш, дом 98, корпус 1, квартира 53</v>
          </cell>
          <cell r="F543" t="str">
            <v>Москва</v>
          </cell>
          <cell r="G543">
            <v>0.66009259259259256</v>
          </cell>
          <cell r="H543">
            <v>0.91009259259259256</v>
          </cell>
          <cell r="I543" t="str">
            <v>ОК</v>
          </cell>
          <cell r="J543" t="str">
            <v>ОК</v>
          </cell>
        </row>
        <row r="544">
          <cell r="B544" t="str">
            <v>В-11733/КЛ.Транш - 1_В-20211230/Ц</v>
          </cell>
          <cell r="C544" t="str">
            <v>РОССИЯ, 188760, Ленинградская обл, Приозерский р-н, Приозерск г, Суворова ул, дом 42, квартира 59</v>
          </cell>
          <cell r="D544" t="str">
            <v>РОССИЯ, 188760, Ленинградская обл, Приозерский р-н, Приозерск г, Суворова ул, дом 42, квартира 59</v>
          </cell>
          <cell r="F544" t="str">
            <v>Ленинградская</v>
          </cell>
          <cell r="G544">
            <v>0.66009259259259256</v>
          </cell>
          <cell r="H544">
            <v>0.91009259259259256</v>
          </cell>
          <cell r="I544" t="str">
            <v>ОК</v>
          </cell>
          <cell r="J544" t="str">
            <v>ОК</v>
          </cell>
        </row>
        <row r="545">
          <cell r="B545" t="str">
            <v>В-23074/КЛ.Транш - 1</v>
          </cell>
          <cell r="C545" t="str">
            <v>РОССИЯ, 305022, Курская обл, г.о. город Курск, г Курск, пер Щигровский 6-й, д. 2</v>
          </cell>
          <cell r="D545" t="str">
            <v>РОССИЯ, 305022, Курская обл, г.о. город Курск, г Курск, пер Щигровский 6-й, д. 2</v>
          </cell>
          <cell r="F545" t="str">
            <v>Курская</v>
          </cell>
          <cell r="G545">
            <v>0.66009259259259256</v>
          </cell>
          <cell r="H545">
            <v>0.91009259259259256</v>
          </cell>
          <cell r="I545" t="str">
            <v>ОК</v>
          </cell>
          <cell r="J545" t="str">
            <v>ОК</v>
          </cell>
        </row>
        <row r="546">
          <cell r="B546" t="str">
            <v>В-24493/КЛ.Транш - 1</v>
          </cell>
          <cell r="C546" t="str">
            <v>РОССИЯ, 152931, Ярославская обл, р-н Рыбинский, г Рыбинск, ул Свободы, д. 29, кв. 194</v>
          </cell>
          <cell r="D546" t="str">
            <v>РОССИЯ, 152931, Ярославская обл, р-н Рыбинский, г Рыбинск, ул Свободы, д. 29, кв. 194</v>
          </cell>
          <cell r="F546" t="str">
            <v>Ярославская</v>
          </cell>
          <cell r="G546">
            <v>0.66009259259259256</v>
          </cell>
          <cell r="H546">
            <v>0.91009259259259256</v>
          </cell>
          <cell r="I546" t="str">
            <v>ОК</v>
          </cell>
          <cell r="J546" t="str">
            <v>ОК</v>
          </cell>
        </row>
        <row r="547">
          <cell r="B547" t="str">
            <v>В-00077/КЭ.Транш - 1</v>
          </cell>
          <cell r="C547" t="str">
            <v>357401, Ставропольский край, г Лермонтов, ш Черкесское, д. 15</v>
          </cell>
          <cell r="F547" t="str">
            <v>Москва</v>
          </cell>
          <cell r="G547">
            <v>0.66009259259259256</v>
          </cell>
          <cell r="H547">
            <v>0.91009259259259256</v>
          </cell>
          <cell r="I547" t="str">
            <v>ОК</v>
          </cell>
          <cell r="J547" t="str">
            <v>ОК</v>
          </cell>
        </row>
        <row r="548">
          <cell r="B548" t="str">
            <v>В-24934/КЛ.Транш - 1</v>
          </cell>
          <cell r="C548" t="str">
            <v>РОССИЯ, 431350, Мордовия респ, Ковылкино г, Королева ул, дом 11В, квартира 25</v>
          </cell>
          <cell r="D548" t="str">
            <v>РОССИЯ, 108804, Москва г, Кокошкино п, Дзержинского ул, дом 16, квартира 52</v>
          </cell>
          <cell r="F548" t="str">
            <v>Москва</v>
          </cell>
          <cell r="G548">
            <v>0.66009259259259256</v>
          </cell>
          <cell r="H548">
            <v>0.91009259259259256</v>
          </cell>
          <cell r="I548" t="str">
            <v>ОК</v>
          </cell>
          <cell r="J548" t="str">
            <v>ОК</v>
          </cell>
        </row>
        <row r="549">
          <cell r="B549" t="str">
            <v>В-24934/КЛ.Транш - 2</v>
          </cell>
          <cell r="C549" t="str">
            <v>РОССИЯ, 431350, Мордовия респ, Ковылкино г, Королева ул, дом 11В, квартира 25</v>
          </cell>
          <cell r="D549" t="str">
            <v>РОССИЯ, 108804, Москва г, Кокошкино п, Дзержинского ул, дом 16, квартира 52</v>
          </cell>
          <cell r="F549" t="str">
            <v>Москва</v>
          </cell>
          <cell r="G549">
            <v>0.66009259259259256</v>
          </cell>
          <cell r="H549">
            <v>0.91009259259259256</v>
          </cell>
          <cell r="I549" t="str">
            <v>ОК</v>
          </cell>
          <cell r="J549" t="str">
            <v>ОК</v>
          </cell>
        </row>
        <row r="550">
          <cell r="B550" t="str">
            <v>В-24934/КЛ.Транш - 3</v>
          </cell>
          <cell r="C550" t="str">
            <v>РОССИЯ, 431350, Мордовия респ, Ковылкино г, Королева ул, дом 11В, квартира 25</v>
          </cell>
          <cell r="D550" t="str">
            <v>РОССИЯ, 108804, Москва г, Кокошкино п, Дзержинского ул, дом 16, квартира 52</v>
          </cell>
          <cell r="F550" t="str">
            <v>Москва</v>
          </cell>
          <cell r="G550">
            <v>0.66009259259259256</v>
          </cell>
          <cell r="H550">
            <v>0.91009259259259256</v>
          </cell>
          <cell r="I550" t="str">
            <v>ОК</v>
          </cell>
          <cell r="J550" t="str">
            <v>ОК</v>
          </cell>
        </row>
        <row r="551">
          <cell r="B551" t="str">
            <v>В-19715/КЛ.Транш - 1</v>
          </cell>
          <cell r="C551" t="str">
            <v>РОССИЯ, 196607, Санкт-Петербург г, г Пушкин, б-р Алексея Толстого, д. 34, литера А, кв. 56</v>
          </cell>
          <cell r="D551" t="str">
            <v>РОССИЯ, 196607, Санкт-Петербург г, г Пушкин, б-р Алексея Толстого, д. 34, кв. 56</v>
          </cell>
          <cell r="F551" t="str">
            <v>Москва</v>
          </cell>
          <cell r="G551">
            <v>0.66009259259259256</v>
          </cell>
          <cell r="H551">
            <v>0.91009259259259256</v>
          </cell>
          <cell r="I551" t="str">
            <v>ОК</v>
          </cell>
          <cell r="J551" t="str">
            <v>ОК</v>
          </cell>
        </row>
        <row r="552">
          <cell r="B552" t="str">
            <v>В-20084/КЛ.Транш - 1</v>
          </cell>
          <cell r="C552" t="str">
            <v>РОССИЯ, 127220, Москва г, ул Башиловская, д. 10, кв. 50</v>
          </cell>
          <cell r="D552" t="str">
            <v>РОССИЯ, 125124, Москва г, ул 1-я Ямского Поля, д. 24, кв. 116</v>
          </cell>
          <cell r="F552" t="str">
            <v>Москва</v>
          </cell>
          <cell r="G552">
            <v>0.66009259259259256</v>
          </cell>
          <cell r="H552">
            <v>0.91009259259259256</v>
          </cell>
          <cell r="I552" t="str">
            <v>ОК</v>
          </cell>
          <cell r="J552" t="str">
            <v>ОК</v>
          </cell>
        </row>
        <row r="553">
          <cell r="B553" t="str">
            <v>В-12943/КЛ.Транш - 1</v>
          </cell>
          <cell r="C553" t="str">
            <v>РОССИЯ, 400117, Волгоградская обл, Волгоград г, им Землячки ул, дом 56, квартира 27</v>
          </cell>
          <cell r="D553" t="str">
            <v>РОССИЯ, 400117, Волгоградская обл, Волгоград г, им Землячки ул, дом 56, квартира 27</v>
          </cell>
          <cell r="F553" t="str">
            <v>Волгоградская</v>
          </cell>
          <cell r="G553">
            <v>0.66009259259259256</v>
          </cell>
          <cell r="H553">
            <v>0.9517592592592593</v>
          </cell>
          <cell r="I553" t="str">
            <v>поздно</v>
          </cell>
          <cell r="J553" t="str">
            <v>ОК</v>
          </cell>
        </row>
        <row r="554">
          <cell r="B554" t="str">
            <v>В-19897/КЛ.Транш - 1</v>
          </cell>
          <cell r="C554" t="str">
            <v>РОССИЯ, 117624, Москва г, б-р Адмирала Ушакова, д. 5, кв. 157</v>
          </cell>
          <cell r="D554" t="str">
            <v>РОССИЯ, 119501, Москва г, ул Веерная, д. 40, к. 2, кв. 180</v>
          </cell>
          <cell r="F554" t="str">
            <v>Москва</v>
          </cell>
          <cell r="G554">
            <v>0.66009259259259256</v>
          </cell>
          <cell r="H554">
            <v>0.91009259259259256</v>
          </cell>
          <cell r="I554" t="str">
            <v>ОК</v>
          </cell>
          <cell r="J554" t="str">
            <v>ОК</v>
          </cell>
        </row>
        <row r="555">
          <cell r="B555" t="str">
            <v>Т-01631/АЗ_Т-20201019/Ц</v>
          </cell>
          <cell r="C555" t="str">
            <v>РОССИЯ, 140713, Московская обл, Шатура г, Долгуша п, дом № 27, квартира 1</v>
          </cell>
          <cell r="D555" t="str">
            <v>РОССИЯ, 115407, Москва г, Нагатинская наб, дом № 56, корпус 2, квартира 24</v>
          </cell>
          <cell r="F555" t="str">
            <v>Москва</v>
          </cell>
          <cell r="G555">
            <v>0.66009259259259256</v>
          </cell>
          <cell r="H555">
            <v>0.91009259259259256</v>
          </cell>
          <cell r="I555" t="str">
            <v>ОК</v>
          </cell>
          <cell r="J555" t="str">
            <v>ОК</v>
          </cell>
        </row>
        <row r="556">
          <cell r="B556" t="str">
            <v>В-05840/КЛ.Транш - 2</v>
          </cell>
          <cell r="C556" t="str">
            <v>РОССИЯ, 127572, Москва г, Новгородская ул, дом № 36, квартира 52</v>
          </cell>
          <cell r="D556" t="str">
            <v>РОССИЯ, 141220, Московская обл, Пушкинский р-н, Челюскинский п, Школьная ул, дом 4</v>
          </cell>
          <cell r="F556" t="str">
            <v>Московская</v>
          </cell>
          <cell r="G556">
            <v>0.66009259259259256</v>
          </cell>
          <cell r="H556">
            <v>0.91009259259259256</v>
          </cell>
          <cell r="I556" t="str">
            <v>ОК</v>
          </cell>
          <cell r="J556" t="str">
            <v>ОК</v>
          </cell>
        </row>
        <row r="557">
          <cell r="B557" t="str">
            <v>В-27980/КЛ.Транш - 1</v>
          </cell>
          <cell r="C557" t="str">
            <v>РОССИЯ, 353411, Краснодарский край, Анапский р-н, Супсех с, Лермонтова ул, дом 37</v>
          </cell>
          <cell r="D557" t="str">
            <v>РОССИЯ, 353411, Краснодарский край, Анапский р-н, Супсех с, Лермонтова ул, дом 37</v>
          </cell>
          <cell r="F557" t="str">
            <v>Краснодарский</v>
          </cell>
          <cell r="G557">
            <v>0.66009259259259256</v>
          </cell>
          <cell r="H557">
            <v>0.91009259259259256</v>
          </cell>
          <cell r="I557" t="str">
            <v>ОК</v>
          </cell>
          <cell r="J557" t="str">
            <v>ОК</v>
          </cell>
        </row>
        <row r="558">
          <cell r="B558" t="str">
            <v>В-14987/КЛ.Транш - 1</v>
          </cell>
          <cell r="C558" t="str">
            <v>РОССИЯ, 454080, Челябинская обл, Челябинск г, Коммуны ул, дом 86, квартира 8</v>
          </cell>
          <cell r="D558" t="str">
            <v>РОССИЯ, 454080, Челябинская обл, Челябинск г, Коммуны ул, дом 86, квартира 8</v>
          </cell>
          <cell r="F558" t="str">
            <v>Челябинская</v>
          </cell>
          <cell r="G558">
            <v>0.66009259259259256</v>
          </cell>
          <cell r="H558">
            <v>0.99342592592592593</v>
          </cell>
          <cell r="I558" t="str">
            <v>поздно</v>
          </cell>
          <cell r="J558" t="str">
            <v>ОК</v>
          </cell>
        </row>
        <row r="559">
          <cell r="B559" t="str">
            <v>В-16067/КЛ.Транш - 1</v>
          </cell>
          <cell r="C559" t="str">
            <v>РОССИЯ, 241518, Брянская обл, р-н Брянский, п Пятилетка, ул Вокзальная, д. 7, литера а</v>
          </cell>
          <cell r="D559" t="str">
            <v>РОССИЯ, 241518, Брянская обл, Брянский р-н, Пятилетка п, Вокзальная ул, дом 7</v>
          </cell>
          <cell r="F559" t="str">
            <v>Брянская</v>
          </cell>
          <cell r="G559">
            <v>0.66009259259259256</v>
          </cell>
          <cell r="H559">
            <v>0.91009259259259256</v>
          </cell>
          <cell r="I559" t="str">
            <v>ОК</v>
          </cell>
          <cell r="J559" t="str">
            <v>ОК</v>
          </cell>
        </row>
        <row r="560">
          <cell r="B560" t="str">
            <v>В-10704/КЛ.Транш - 1</v>
          </cell>
          <cell r="C560" t="str">
            <v>РОССИЯ, 143960, Московская обл, Реутов г, Гагарина ул, дом 24, квартира 56</v>
          </cell>
          <cell r="D560" t="str">
            <v>РОССИЯ, 142451, Московская обл, Ногинск г, Бисерово с, дом 47</v>
          </cell>
          <cell r="F560" t="str">
            <v>Московская</v>
          </cell>
          <cell r="G560">
            <v>0.66009259259259256</v>
          </cell>
          <cell r="H560">
            <v>0.91009259259259256</v>
          </cell>
          <cell r="I560" t="str">
            <v>ОК</v>
          </cell>
          <cell r="J560" t="str">
            <v>ОК</v>
          </cell>
        </row>
        <row r="561">
          <cell r="B561" t="str">
            <v>В-10648/КЛ.Транш - 2</v>
          </cell>
          <cell r="C561" t="str">
            <v>РОССИЯ, 361511, Кабардино-Балкарская респ, Баксанский р-н, Куба-Таба с, Советская ул, домовладение 121</v>
          </cell>
          <cell r="D561" t="str">
            <v>РОССИЯ, 141501, Московская обл, Химки г, Молодежная ул, дом 64, квартира 653</v>
          </cell>
          <cell r="F561" t="str">
            <v>Московская</v>
          </cell>
          <cell r="G561">
            <v>0.66009259259259256</v>
          </cell>
          <cell r="H561">
            <v>0.91009259259259256</v>
          </cell>
          <cell r="I561" t="str">
            <v>ОК</v>
          </cell>
          <cell r="J561" t="str">
            <v>ОК</v>
          </cell>
        </row>
        <row r="562">
          <cell r="B562" t="str">
            <v>В-00233/КЛ.Транш - 1</v>
          </cell>
          <cell r="C562" t="str">
            <v>РОССИЯ, 117042, Москва г, муниципальный округ Южное Бутово, Южнобутовская ул, дом 56, квартира 50</v>
          </cell>
          <cell r="D562" t="str">
            <v>РОССИЯ, 117042, Москва г, муниципальный округ Южное Бутово, Южнобутовская ул, дом 56, квартира 50</v>
          </cell>
          <cell r="F562" t="str">
            <v>Москва</v>
          </cell>
          <cell r="G562">
            <v>0.66009259259259256</v>
          </cell>
          <cell r="H562">
            <v>0.91009259259259256</v>
          </cell>
          <cell r="I562" t="str">
            <v>ОК</v>
          </cell>
          <cell r="J562" t="str">
            <v>ОК</v>
          </cell>
        </row>
        <row r="563">
          <cell r="B563" t="str">
            <v>В-10492/КЛ.Транш - 1</v>
          </cell>
          <cell r="C563" t="str">
            <v>РОССИЯ, 454085, Челябинская обл, Челябинск г, Хохрякова ул, дом 22, квартира 180</v>
          </cell>
          <cell r="D563" t="str">
            <v>РОССИЯ, 454085, Челябинская обл, Челябинск г, Хохрякова ул, дом 22, квартира 180</v>
          </cell>
          <cell r="F563" t="str">
            <v>Челябинская</v>
          </cell>
          <cell r="G563">
            <v>0.66009259259259256</v>
          </cell>
          <cell r="H563">
            <v>0.99342592592592593</v>
          </cell>
          <cell r="I563" t="str">
            <v>поздно</v>
          </cell>
          <cell r="J563" t="str">
            <v>ОК</v>
          </cell>
        </row>
        <row r="564">
          <cell r="B564" t="str">
            <v>В-01175/АЗ</v>
          </cell>
          <cell r="C564" t="str">
            <v>РОССИЯ, 170034, Тверская обл, г Тверь, проезд Швейников, д. 4, к. 2, кв. 45</v>
          </cell>
          <cell r="D564" t="str">
            <v>РОССИЯ, 141407, Московская обл, г Химки, ул Горшина, д. 1, кв. 534</v>
          </cell>
          <cell r="F564" t="str">
            <v>Московская</v>
          </cell>
          <cell r="G564">
            <v>0.66009259259259256</v>
          </cell>
          <cell r="H564">
            <v>0.91009259259259256</v>
          </cell>
          <cell r="I564" t="str">
            <v>ОК</v>
          </cell>
          <cell r="J564" t="str">
            <v>ОК</v>
          </cell>
        </row>
        <row r="565">
          <cell r="B565" t="str">
            <v>В-16257/КЛ.Транш - 2</v>
          </cell>
          <cell r="C565" t="str">
            <v>РОССИЯ, 127549, Москва г, Бибиревская ул, дом № 11, квартира 49</v>
          </cell>
          <cell r="D565" t="str">
            <v>РОССИЯ, 127273, Москва г, Олонецкая ул, дом № 15Б, квартира 203</v>
          </cell>
          <cell r="F565" t="str">
            <v>Москва</v>
          </cell>
          <cell r="G565">
            <v>0.66009259259259256</v>
          </cell>
          <cell r="H565">
            <v>0.91009259259259256</v>
          </cell>
          <cell r="I565" t="str">
            <v>ОК</v>
          </cell>
          <cell r="J565" t="str">
            <v>ОК</v>
          </cell>
        </row>
        <row r="566">
          <cell r="B566" t="str">
            <v>В-17605/КЛ.Транш - 1</v>
          </cell>
          <cell r="C566" t="str">
            <v>РОССИЯ, 644021, Омская обл, г Омск, ул 9-я Линия, д. 230</v>
          </cell>
          <cell r="D566" t="str">
            <v>РОССИЯ, 644021, Омская обл, г Омск, ул 9-я Линия, д. 230</v>
          </cell>
          <cell r="F566" t="str">
            <v>Омская</v>
          </cell>
          <cell r="G566">
            <v>0.66009259259259256</v>
          </cell>
          <cell r="H566">
            <v>3.5092592592592675E-2</v>
          </cell>
          <cell r="I566" t="str">
            <v>поздно</v>
          </cell>
          <cell r="J566" t="str">
            <v>ОК</v>
          </cell>
        </row>
        <row r="567">
          <cell r="B567" t="str">
            <v>В-28358/КЛ.Транш - 1</v>
          </cell>
          <cell r="C567" t="str">
            <v>РОССИЯ, Московская обл, г Люберцы, Академика Северина, д. 5, к. 1, кв. 134</v>
          </cell>
          <cell r="D567" t="str">
            <v>РОССИЯ, Московская обл, г Люберцы, Академика Северина, д. 5, к. 1, кв. 134</v>
          </cell>
          <cell r="F567" t="str">
            <v>Московская</v>
          </cell>
          <cell r="G567">
            <v>0.66009259259259256</v>
          </cell>
          <cell r="H567">
            <v>0.91009259259259256</v>
          </cell>
          <cell r="I567" t="str">
            <v>ОК</v>
          </cell>
          <cell r="J567" t="str">
            <v>ОК</v>
          </cell>
        </row>
        <row r="568">
          <cell r="B568" t="str">
            <v>В-29052/КЛ.Транш - 1</v>
          </cell>
          <cell r="C568" t="str">
            <v>РОССИЯ, 301371, Тульская обл, г.о. город Алексин, г Алексин, проезд Октябрьский, д. 4а, кв. 10</v>
          </cell>
          <cell r="D568" t="str">
            <v>РОССИЯ, 301371, Тульская обл, г.о. город Алексин, г Алексин, проезд Октябрьский, д. 4а, кв. 10</v>
          </cell>
          <cell r="F568" t="str">
            <v>Тульская</v>
          </cell>
          <cell r="G568">
            <v>0.66009259259259256</v>
          </cell>
          <cell r="H568">
            <v>0.91009259259259256</v>
          </cell>
          <cell r="I568" t="str">
            <v>ОК</v>
          </cell>
          <cell r="J568" t="str">
            <v>ОК</v>
          </cell>
        </row>
        <row r="569">
          <cell r="B569" t="str">
            <v>В-26251/КЛ.Транш - 1</v>
          </cell>
          <cell r="C569" t="str">
            <v>РОССИЯ, 194355, Санкт-Петербург г, ул Жени Егоровой, д. 5, к. 1, литера А, кв. 317</v>
          </cell>
          <cell r="D569" t="str">
            <v>РОССИЯ, 195299, Санкт-Петербург г, Просвещения пр-кт, дом № 99, квартира 856</v>
          </cell>
          <cell r="F569" t="str">
            <v>Москва</v>
          </cell>
          <cell r="G569">
            <v>0.66009259259259256</v>
          </cell>
          <cell r="H569">
            <v>0.91009259259259256</v>
          </cell>
          <cell r="I569" t="str">
            <v>ОК</v>
          </cell>
          <cell r="J569" t="str">
            <v>ОК</v>
          </cell>
        </row>
        <row r="570">
          <cell r="B570" t="str">
            <v>В-25229/АЗ</v>
          </cell>
          <cell r="C570" t="str">
            <v>РОССИЯ, 192289, Санкт-Петербург г, ул Малая Карпатская, д. 17, литера А, кв. 208</v>
          </cell>
          <cell r="D570" t="str">
            <v>РОССИЯ, 192289, Санкт-Петербург г, ул Малая Карпатская, д. 17, литера А, кв. 208</v>
          </cell>
          <cell r="F570" t="str">
            <v>Москва</v>
          </cell>
          <cell r="G570">
            <v>0.66009259259259256</v>
          </cell>
          <cell r="H570">
            <v>0.91009259259259256</v>
          </cell>
          <cell r="I570" t="str">
            <v>ОК</v>
          </cell>
          <cell r="J570" t="str">
            <v>ОК</v>
          </cell>
        </row>
        <row r="571">
          <cell r="B571" t="str">
            <v>В-00438/КЛ.Транш - 1</v>
          </cell>
          <cell r="C571" t="str">
            <v>РОССИЯ, 440512, Пензенская обл, Пензенский р-н, Старая Каменка с, Воробьевская ул, дом 22</v>
          </cell>
          <cell r="D571" t="str">
            <v>РОССИЯ, 111538, Москва г, Косинская Б. ул, дом 9</v>
          </cell>
          <cell r="F571" t="str">
            <v>Москва</v>
          </cell>
          <cell r="G571">
            <v>0.66009259259259256</v>
          </cell>
          <cell r="H571">
            <v>0.91009259259259256</v>
          </cell>
          <cell r="I571" t="str">
            <v>ОК</v>
          </cell>
          <cell r="J571" t="str">
            <v>ОК</v>
          </cell>
        </row>
        <row r="572">
          <cell r="B572" t="str">
            <v>В-00617/КЛ.Транш - 1_Т-20211028/Ц</v>
          </cell>
          <cell r="C572" t="str">
            <v>РОССИЯ, 125310, Москва г, Ангелов пер., дом 2, квартира 215</v>
          </cell>
          <cell r="D572" t="str">
            <v>РОССИЯ, 125310, Москва г, Ангелов пер., дом 2, квартира 215</v>
          </cell>
          <cell r="F572" t="str">
            <v>Москва</v>
          </cell>
          <cell r="G572">
            <v>0.66009259259259256</v>
          </cell>
          <cell r="H572">
            <v>0.91009259259259256</v>
          </cell>
          <cell r="I572" t="str">
            <v>ОК</v>
          </cell>
          <cell r="J572" t="str">
            <v>ОК</v>
          </cell>
        </row>
        <row r="573">
          <cell r="B573" t="str">
            <v>В-26477/КЛ.Транш - 1</v>
          </cell>
          <cell r="C573" t="str">
            <v>РОССИЯ, 249060, Калужская обл, р-н Малоярославецкий, д Шумятино, ул Новая, д. 5</v>
          </cell>
          <cell r="D573" t="str">
            <v>РОССИЯ, 249060, Калужская обл, р-н Малоярославецкий, д Шумятино, ул Новая, д. 5</v>
          </cell>
          <cell r="F573" t="str">
            <v>Калужская</v>
          </cell>
          <cell r="G573">
            <v>0.66009259259259256</v>
          </cell>
          <cell r="H573">
            <v>0.91009259259259256</v>
          </cell>
          <cell r="I573" t="str">
            <v>ОК</v>
          </cell>
          <cell r="J573" t="str">
            <v>ОК</v>
          </cell>
        </row>
        <row r="574">
          <cell r="B574" t="str">
            <v>В-01038/АЗ</v>
          </cell>
          <cell r="C574" t="str">
            <v>РОССИЯ, 142717, Московская обл, Ленинский р-н, Развилка п, дом № 43, квартира 64</v>
          </cell>
          <cell r="D574" t="str">
            <v>РОССИЯ, 142717, Московская обл, Ленинский р-н, Развилка п, дом № 43, квартира 64</v>
          </cell>
          <cell r="F574" t="str">
            <v>Московская</v>
          </cell>
          <cell r="G574">
            <v>0.66009259259259256</v>
          </cell>
          <cell r="H574">
            <v>0.91009259259259256</v>
          </cell>
          <cell r="I574" t="str">
            <v>ОК</v>
          </cell>
          <cell r="J574" t="str">
            <v>ОК</v>
          </cell>
        </row>
        <row r="575">
          <cell r="B575" t="str">
            <v>В-28549/АЗ</v>
          </cell>
          <cell r="C575" t="str">
            <v>РОССИЯ, 400022, Волгоградская обл, г Волгоград, ул им. Бутлерова, д. 279</v>
          </cell>
          <cell r="D575" t="str">
            <v>РОССИЯ, 400022, Волгоградская обл, г Волгоград, ул им. Бутлерова, д. 279</v>
          </cell>
          <cell r="F575" t="str">
            <v>Волгоградская</v>
          </cell>
          <cell r="G575">
            <v>0.66009259259259256</v>
          </cell>
          <cell r="H575">
            <v>0.9517592592592593</v>
          </cell>
          <cell r="I575" t="str">
            <v>поздно</v>
          </cell>
          <cell r="J575" t="str">
            <v>ОК</v>
          </cell>
        </row>
        <row r="576">
          <cell r="B576" t="str">
            <v>В-28968/АЗ</v>
          </cell>
          <cell r="C576" t="str">
            <v>РОССИЯ, 400022, Волгоградская обл, г Волгоград, ул им. Бутлерова, д. 279</v>
          </cell>
          <cell r="D576" t="str">
            <v>РОССИЯ, 400022, Волгоградская обл, г Волгоград, ул им. Бутлерова, д. 279</v>
          </cell>
          <cell r="F576" t="str">
            <v>Волгоградская</v>
          </cell>
          <cell r="G576">
            <v>0.66009259259259256</v>
          </cell>
          <cell r="H576">
            <v>0.9517592592592593</v>
          </cell>
          <cell r="I576" t="str">
            <v>поздно</v>
          </cell>
          <cell r="J576" t="str">
            <v>ОК</v>
          </cell>
        </row>
        <row r="577">
          <cell r="B577" t="str">
            <v>В-21269/КЛ.Транш - 1_В-20211230/Ц</v>
          </cell>
          <cell r="C577" t="str">
            <v>РОССИЯ, 192284, Санкт-Петербург г, вн.тер. г. муниципальный округ Георгиевский, ул Димитрова, д. 17, литера А, кв. 211</v>
          </cell>
          <cell r="D577" t="str">
            <v>РОССИЯ, 192284, Санкт-Петербург г, вн.тер. г. муниципальный округ Георгиевский, ул Димитрова, д. 17, кв. 211</v>
          </cell>
          <cell r="F577" t="str">
            <v>Москва</v>
          </cell>
          <cell r="G577">
            <v>0.66009259259259256</v>
          </cell>
          <cell r="H577">
            <v>0.91009259259259256</v>
          </cell>
          <cell r="I577" t="str">
            <v>ОК</v>
          </cell>
          <cell r="J577" t="str">
            <v>ОК</v>
          </cell>
        </row>
        <row r="578">
          <cell r="B578" t="str">
            <v>В-01675/КЛ.Транш - 3</v>
          </cell>
          <cell r="C578" t="str">
            <v>РОССИЯ, 141051, Московская обл, г Мытищи, д Красная Горка, снт Радуга, д. 27</v>
          </cell>
          <cell r="D578" t="str">
            <v>РОССИЯ, 141051, Московская обл, г Мытищи, д Красная Горка, снт Радуга, д. 27</v>
          </cell>
          <cell r="F578" t="str">
            <v>Московская</v>
          </cell>
          <cell r="G578">
            <v>0.66009259259259256</v>
          </cell>
          <cell r="H578">
            <v>0.91009259259259256</v>
          </cell>
          <cell r="I578" t="str">
            <v>ОК</v>
          </cell>
          <cell r="J578" t="str">
            <v>ОК</v>
          </cell>
        </row>
        <row r="579">
          <cell r="B579" t="str">
            <v>В-25509/КЛ.Транш - 1</v>
          </cell>
          <cell r="C579" t="str">
            <v>РОССИЯ, 141051, Московская обл, г Мытищи, д Красная Горка, снт Радуга, д. 27</v>
          </cell>
          <cell r="D579" t="str">
            <v>РОССИЯ, 141051, Московская обл, г Мытищи, д Красная Горка, снт Радуга, д. 27</v>
          </cell>
          <cell r="F579" t="str">
            <v>Московская</v>
          </cell>
          <cell r="G579">
            <v>0.66009259259259256</v>
          </cell>
          <cell r="H579">
            <v>0.91009259259259256</v>
          </cell>
          <cell r="I579" t="str">
            <v>ОК</v>
          </cell>
          <cell r="J579" t="str">
            <v>ОК</v>
          </cell>
        </row>
        <row r="580">
          <cell r="B580" t="str">
            <v>В-11447/КЛ.Транш - 1</v>
          </cell>
          <cell r="C580" t="str">
            <v>РОССИЯ, 108850, Москва г, Внуковское п, Самуила Маршака ул, дом 17, квартира 112</v>
          </cell>
          <cell r="D580" t="str">
            <v>РОССИЯ, 125581, Москва г, Флотская ул, дом 13, корпус 5, квартира 748</v>
          </cell>
          <cell r="F580" t="str">
            <v>Москва</v>
          </cell>
          <cell r="G580">
            <v>0.66009259259259256</v>
          </cell>
          <cell r="H580">
            <v>0.91009259259259256</v>
          </cell>
          <cell r="I580" t="str">
            <v>ОК</v>
          </cell>
          <cell r="J580" t="str">
            <v>ОК</v>
          </cell>
        </row>
        <row r="581">
          <cell r="B581" t="str">
            <v>В-01161/АЗ</v>
          </cell>
          <cell r="C581" t="str">
            <v>РОССИЯ, 347803, Ростовская обл, Каменск-Шахтинский г, Танкистов ул, дом 58, квартира 1</v>
          </cell>
          <cell r="D581" t="str">
            <v>РОССИЯ, 119633, Москва г, Первомайское п, Губцево д, Озерная ул, дом 2А</v>
          </cell>
          <cell r="F581" t="str">
            <v>Москва</v>
          </cell>
          <cell r="G581">
            <v>0.66009259259259256</v>
          </cell>
          <cell r="H581">
            <v>0.91009259259259256</v>
          </cell>
          <cell r="I581" t="str">
            <v>ОК</v>
          </cell>
          <cell r="J581" t="str">
            <v>ОК</v>
          </cell>
        </row>
        <row r="582">
          <cell r="B582" t="str">
            <v>В-23655/КЛ.Транш - 3</v>
          </cell>
          <cell r="C582" t="str">
            <v>РОССИЯ, 156019, Костромская обл, г Кострома, ул Индустриальная, д. 55А, кв. 17</v>
          </cell>
          <cell r="D582" t="str">
            <v>РОССИЯ, 156019, Костромская обл, г Кострома, ул Индустриальная, д. 55А, кв. 17</v>
          </cell>
          <cell r="F582" t="str">
            <v>Костромская</v>
          </cell>
          <cell r="G582">
            <v>0.66009259259259256</v>
          </cell>
          <cell r="H582">
            <v>0.91009259259259256</v>
          </cell>
          <cell r="I582" t="str">
            <v>ОК</v>
          </cell>
          <cell r="J582" t="str">
            <v>ОК</v>
          </cell>
        </row>
        <row r="583">
          <cell r="B583" t="str">
            <v>В-14529/КЛ.Транш - 1_В-20211230/Ц</v>
          </cell>
          <cell r="C583" t="str">
            <v>РОССИЯ, 142301, Московская обл, Чехов г, Литейная ул, дом 3, квартира 6</v>
          </cell>
          <cell r="D583" t="str">
            <v>РОССИЯ, Московская обл, Чеховский р-н, п. Новое Горелово, Булычевская ул., дом 7</v>
          </cell>
          <cell r="F583" t="str">
            <v>Московская</v>
          </cell>
          <cell r="G583">
            <v>0.66009259259259256</v>
          </cell>
          <cell r="H583">
            <v>0.91009259259259256</v>
          </cell>
          <cell r="I583" t="str">
            <v>ОК</v>
          </cell>
          <cell r="J583" t="str">
            <v>ОК</v>
          </cell>
        </row>
        <row r="584">
          <cell r="B584" t="str">
            <v>В-12042/КЛ.Транш - 1</v>
          </cell>
          <cell r="C584" t="str">
            <v>РОССИЯ, 429551, Чувашская Республика - Чувашия, Моргаушский р-н, Юнга с, Яблоневая ул, дом 11</v>
          </cell>
          <cell r="D584" t="str">
            <v>РОССИЯ, 428038, Чувашская Республика - Чувашия, Чебоксары г, Мате Залка ул, дом 15</v>
          </cell>
          <cell r="F584" t="str">
            <v>Москва</v>
          </cell>
          <cell r="G584">
            <v>0.66009259259259256</v>
          </cell>
          <cell r="H584">
            <v>0.91009259259259256</v>
          </cell>
          <cell r="I584" t="str">
            <v>ОК</v>
          </cell>
          <cell r="J584" t="str">
            <v>ОК</v>
          </cell>
        </row>
        <row r="585">
          <cell r="B585" t="str">
            <v>В-19349/КЛ.Транш - 1_В-20211230/Ц</v>
          </cell>
          <cell r="C585" t="str">
            <v>РОССИЯ, 172315, Тверская обл, р-н Зубцовский, д Золотилово, д. 2, кв. 1</v>
          </cell>
          <cell r="D585" t="str">
            <v>РОССИЯ, 142119, Московская обл, г Подольск, б-р Красногвардейский, д. 17, кв. 52</v>
          </cell>
          <cell r="F585" t="str">
            <v>Московская</v>
          </cell>
          <cell r="G585">
            <v>0.66009259259259256</v>
          </cell>
          <cell r="H585">
            <v>0.91009259259259256</v>
          </cell>
          <cell r="I585" t="str">
            <v>ОК</v>
          </cell>
          <cell r="J585" t="str">
            <v>ОК</v>
          </cell>
        </row>
        <row r="586">
          <cell r="B586" t="str">
            <v>В-05135/КЛ.Транш - 1</v>
          </cell>
          <cell r="C586" t="str">
            <v>РОССИЯ, 301090, Тульская обл, Чернский р-н, Чернь рп, Свободная ул, дом 23</v>
          </cell>
          <cell r="D586" t="str">
            <v>РОССИЯ, 111531, Москва г, Энтузиастов ш, дом 100, корпус 4</v>
          </cell>
          <cell r="F586" t="str">
            <v>Москва</v>
          </cell>
          <cell r="G586">
            <v>0.66009259259259256</v>
          </cell>
          <cell r="H586">
            <v>0.91009259259259256</v>
          </cell>
          <cell r="I586" t="str">
            <v>ОК</v>
          </cell>
          <cell r="J586" t="str">
            <v>ОК</v>
          </cell>
        </row>
        <row r="587">
          <cell r="B587" t="str">
            <v>В-01156/АЗ</v>
          </cell>
          <cell r="C587" t="str">
            <v>РОССИЯ, 346140, Ростовская обл, р-н Миллеровский, х Зеленая Роща, ул Мира, д. 21</v>
          </cell>
          <cell r="D587" t="str">
            <v>РОССИЯ, 346140, Ростовская обл, р-н Миллеровский, х Зеленая Роща, ул Мира, д. 21</v>
          </cell>
          <cell r="F587" t="str">
            <v>Ростовская</v>
          </cell>
          <cell r="G587">
            <v>0.66009259259259256</v>
          </cell>
          <cell r="H587">
            <v>0.91009259259259256</v>
          </cell>
          <cell r="I587" t="str">
            <v>ОК</v>
          </cell>
          <cell r="J587" t="str">
            <v>ОК</v>
          </cell>
        </row>
        <row r="588">
          <cell r="B588" t="str">
            <v>В-23339/АЗ_В-20211230/Ц</v>
          </cell>
          <cell r="C588" t="str">
            <v>РОССИЯ, 109428, Москва г, ул Михайлова, д. 5, кв. 4</v>
          </cell>
          <cell r="D588" t="str">
            <v>РОССИЯ, 111395, Москва г, ул Молдагуловой, д. 16, к. 3, кв. 68</v>
          </cell>
          <cell r="F588" t="str">
            <v>Москва</v>
          </cell>
          <cell r="G588">
            <v>0.66009259259259256</v>
          </cell>
          <cell r="H588">
            <v>0.91009259259259256</v>
          </cell>
          <cell r="I588" t="str">
            <v>ОК</v>
          </cell>
          <cell r="J588" t="str">
            <v>ОК</v>
          </cell>
        </row>
        <row r="589">
          <cell r="B589" t="str">
            <v>В-01015/КЛ.Транш - 3</v>
          </cell>
          <cell r="C589" t="str">
            <v>РОССИЯ, 115487, Москва г, Садовники ул, дом 10, квартира 156</v>
          </cell>
          <cell r="D589" t="str">
            <v>РОССИЯ, 105062, Москва г, Садовая-Черногрязская ул, дом 16-18, строение 1, квартира 40</v>
          </cell>
          <cell r="F589" t="str">
            <v>Москва</v>
          </cell>
          <cell r="G589">
            <v>0.66009259259259256</v>
          </cell>
          <cell r="H589">
            <v>0.91009259259259256</v>
          </cell>
          <cell r="I589" t="str">
            <v>ОК</v>
          </cell>
          <cell r="J589" t="str">
            <v>ОК</v>
          </cell>
        </row>
        <row r="590">
          <cell r="B590" t="str">
            <v>В-23325/АЗ_В-20211230/Ц</v>
          </cell>
          <cell r="C590" t="str">
            <v>РОССИЯ, 111395, Москва г, ул Молдагуловой, д. 16, к. 3, кв. 68</v>
          </cell>
          <cell r="D590" t="str">
            <v>РОССИЯ, 111395, Москва г, ул Молдагуловой, д. 16, к. 3, кв. 68</v>
          </cell>
          <cell r="F590" t="str">
            <v>Москва</v>
          </cell>
          <cell r="G590">
            <v>0.66009259259259256</v>
          </cell>
          <cell r="H590">
            <v>0.91009259259259256</v>
          </cell>
          <cell r="I590" t="str">
            <v>ОК</v>
          </cell>
          <cell r="J590" t="str">
            <v>ОК</v>
          </cell>
        </row>
        <row r="591">
          <cell r="B591" t="str">
            <v>В-19901/КЛ.Транш - 1_В-20211230/Ц</v>
          </cell>
          <cell r="C591" t="str">
            <v>РОССИЯ, 442710, Пензенская обл, р-н Иссинский, рп Исса, ул Центральная, двлд. 54</v>
          </cell>
          <cell r="D591" t="str">
            <v>РОССИЯ, 143913, Московская обл, г Балашиха, мкр. Авиаторов, ул Летная, д. 1, кв. 439</v>
          </cell>
          <cell r="F591" t="str">
            <v>Московская</v>
          </cell>
          <cell r="G591">
            <v>0.66009259259259256</v>
          </cell>
          <cell r="H591">
            <v>0.91009259259259256</v>
          </cell>
          <cell r="I591" t="str">
            <v>ОК</v>
          </cell>
          <cell r="J591" t="str">
            <v>ОК</v>
          </cell>
        </row>
        <row r="592">
          <cell r="B592" t="str">
            <v>А-05305/АЗ_А-20200626/Ц</v>
          </cell>
          <cell r="C592" t="str">
            <v>РОССИЯ, 127276, Москва г, Марфинская Б. ул, дом № 4, корпус 1, квартира 187</v>
          </cell>
          <cell r="D592" t="str">
            <v>РОССИЯ, 127276, Москва г, Марфинская Б. ул, дом № 4, корпус 1, квартира 187</v>
          </cell>
          <cell r="F592" t="str">
            <v>Москва</v>
          </cell>
          <cell r="G592">
            <v>0.66009259259259256</v>
          </cell>
          <cell r="H592">
            <v>0.91009259259259256</v>
          </cell>
          <cell r="I592" t="str">
            <v>ОК</v>
          </cell>
          <cell r="J592" t="str">
            <v>ОК</v>
          </cell>
        </row>
        <row r="593">
          <cell r="B593" t="str">
            <v>В-00085/АЗ</v>
          </cell>
          <cell r="C593" t="str">
            <v>РОССИЯ, 127276, Москва г, Марфинская Б. ул, дом № 4, корпус 1, квартира 187</v>
          </cell>
          <cell r="D593" t="str">
            <v>РОССИЯ, 127276, Москва г, Марфинская Б. ул, дом № 4, корпус 1, квартира 187</v>
          </cell>
          <cell r="F593" t="str">
            <v>Москва</v>
          </cell>
          <cell r="G593">
            <v>0.66009259259259256</v>
          </cell>
          <cell r="H593">
            <v>0.91009259259259256</v>
          </cell>
          <cell r="I593" t="str">
            <v>ОК</v>
          </cell>
          <cell r="J593" t="str">
            <v>ОК</v>
          </cell>
        </row>
        <row r="594">
          <cell r="B594" t="str">
            <v>В-26743/КЛ.Транш - 1</v>
          </cell>
          <cell r="C594" t="str">
            <v>РОССИЯ, 672038, Забайкальский край, г Чита, ул Автогенная, д. 9, кв. 13</v>
          </cell>
          <cell r="D594" t="str">
            <v>РОССИЯ, 672038, Забайкальский край, г Чита, ул Автогенная, д. 9, кв. 13</v>
          </cell>
          <cell r="F594" t="str">
            <v>Забайкальский</v>
          </cell>
          <cell r="G594">
            <v>0.66009259259259256</v>
          </cell>
          <cell r="H594">
            <v>0.16009259259259268</v>
          </cell>
          <cell r="I594" t="str">
            <v>поздно</v>
          </cell>
          <cell r="J594" t="str">
            <v>ОК</v>
          </cell>
        </row>
        <row r="595">
          <cell r="B595" t="str">
            <v>В-00183/АЗ</v>
          </cell>
          <cell r="C595" t="str">
            <v>РОССИЯ, 143005, Московская обл, Одинцовский р-н, Одинцово г, Чистяковой ул, дом № 2, квартира 452</v>
          </cell>
          <cell r="D595" t="str">
            <v>РОССИЯ, 143005, Московская обл, Одинцовский р-н, Одинцово г, Чистяковой ул, дом № 2, квартира 452</v>
          </cell>
          <cell r="F595" t="str">
            <v>Московская</v>
          </cell>
          <cell r="G595">
            <v>0.66009259259259256</v>
          </cell>
          <cell r="H595">
            <v>0.91009259259259256</v>
          </cell>
          <cell r="I595" t="str">
            <v>ОК</v>
          </cell>
          <cell r="J595" t="str">
            <v>ОК</v>
          </cell>
        </row>
        <row r="596">
          <cell r="B596" t="str">
            <v>А-04639/АЗ</v>
          </cell>
          <cell r="C596" t="str">
            <v>РОССИЯ, 143401, Московская обл, Красногорск г, Павшинский б-р, дом № 1, квартира 166</v>
          </cell>
          <cell r="D596" t="str">
            <v>РОССИЯ, 143401, Московская обл, Красногорск г, Павшинский б-р, дом № 1, квартира 166</v>
          </cell>
          <cell r="F596" t="str">
            <v>Московская</v>
          </cell>
          <cell r="G596">
            <v>0.66009259259259256</v>
          </cell>
          <cell r="H596">
            <v>0.91009259259259256</v>
          </cell>
          <cell r="I596" t="str">
            <v>ОК</v>
          </cell>
          <cell r="J596" t="str">
            <v>ОК</v>
          </cell>
        </row>
        <row r="597">
          <cell r="B597" t="str">
            <v>В-04159/КЛ.Транш - 1</v>
          </cell>
          <cell r="C597" t="str">
            <v>РОССИЯ, 142647, Московская обл, Орехово-Зуево г, Запутное д, дом 119</v>
          </cell>
          <cell r="D597" t="str">
            <v>РОССИЯ, 142647, Московская обл, Орехово-Зуево г, Запутное д, дом 119</v>
          </cell>
          <cell r="F597" t="str">
            <v>Московская</v>
          </cell>
          <cell r="G597">
            <v>0.66009259259259256</v>
          </cell>
          <cell r="H597">
            <v>0.91009259259259256</v>
          </cell>
          <cell r="I597" t="str">
            <v>ОК</v>
          </cell>
          <cell r="J597" t="str">
            <v>ОК</v>
          </cell>
        </row>
        <row r="598">
          <cell r="B598" t="str">
            <v>В-03907/КЛ.Транш - 2</v>
          </cell>
          <cell r="C598" t="str">
            <v>РОССИЯ, 109518, Москва г, Люблинская ул, дом 5, квартира 39</v>
          </cell>
          <cell r="D598" t="str">
            <v>РОССИЯ, 109518, Москва г, Люблинская ул, дом 5, квартира 39</v>
          </cell>
          <cell r="F598" t="str">
            <v>Москва</v>
          </cell>
          <cell r="G598">
            <v>0.66009259259259256</v>
          </cell>
          <cell r="H598">
            <v>0.91009259259259256</v>
          </cell>
          <cell r="I598" t="str">
            <v>ОК</v>
          </cell>
          <cell r="J598" t="str">
            <v>ОК</v>
          </cell>
        </row>
        <row r="599">
          <cell r="B599" t="str">
            <v>В-09470/КЛ.Транш - 2</v>
          </cell>
          <cell r="C599" t="str">
            <v>РОССИЯ, 198411, Санкт-Петербург г, г Ломоносов, ул Заводская, д. 1, литера А, кв. 1</v>
          </cell>
          <cell r="D599" t="str">
            <v>РОССИЯ, 198411, Санкт-Петербург г, Ломоносов г, Заводская ул, дом 1, литер А, квартира 1</v>
          </cell>
          <cell r="F599" t="str">
            <v>Москва</v>
          </cell>
          <cell r="G599">
            <v>0.66009259259259256</v>
          </cell>
          <cell r="H599">
            <v>0.91009259259259256</v>
          </cell>
          <cell r="I599" t="str">
            <v>ОК</v>
          </cell>
          <cell r="J599" t="str">
            <v>ОК</v>
          </cell>
        </row>
        <row r="600">
          <cell r="B600" t="str">
            <v>В-00411/АЗ</v>
          </cell>
          <cell r="C600" t="str">
            <v>РОССИЯ, 109651, Москва г, Подольская ул, дом 25, квартира 113</v>
          </cell>
          <cell r="D600" t="str">
            <v>РОССИЯ, 109651, Москва г, Подольская ул, дом 25, квартира 113</v>
          </cell>
          <cell r="F600" t="str">
            <v>Москва</v>
          </cell>
          <cell r="G600">
            <v>0.66009259259259256</v>
          </cell>
          <cell r="H600">
            <v>0.91009259259259256</v>
          </cell>
          <cell r="I600" t="str">
            <v>ОК</v>
          </cell>
          <cell r="J600" t="str">
            <v>ОК</v>
          </cell>
        </row>
        <row r="601">
          <cell r="B601" t="str">
            <v>В-00540/КЛ.Транш - 1</v>
          </cell>
          <cell r="C601" t="str">
            <v>РОССИЯ, 390516, Рязанская обл, Рязанский р-н, Гавердово с, Центральная ул, дом 6, квартира 2</v>
          </cell>
          <cell r="D601" t="str">
            <v>РОССИЯ, 198332, Санкт-Петербург г, Маршала Казакова ул, дом 84, корпус 1, квартира 467</v>
          </cell>
          <cell r="F601" t="str">
            <v>Москва</v>
          </cell>
          <cell r="G601">
            <v>0.66009259259259256</v>
          </cell>
          <cell r="H601">
            <v>0.91009259259259256</v>
          </cell>
          <cell r="I601" t="str">
            <v>ОК</v>
          </cell>
          <cell r="J601" t="str">
            <v>ОК</v>
          </cell>
        </row>
        <row r="602">
          <cell r="B602" t="str">
            <v>В-12435/КЛ.Транш - 1</v>
          </cell>
          <cell r="C602" t="str">
            <v>РОССИЯ, 188574, Ленинградская обл, Сланцевский р-н, Заовражье д, дом 9</v>
          </cell>
          <cell r="D602" t="str">
            <v>РОССИЯ, 190000, Санкт-Петербург г, Белградская ул, дом 13, квартира 11</v>
          </cell>
          <cell r="F602" t="str">
            <v>Москва</v>
          </cell>
          <cell r="G602">
            <v>0.66009259259259256</v>
          </cell>
          <cell r="H602">
            <v>0.91009259259259256</v>
          </cell>
          <cell r="I602" t="str">
            <v>ОК</v>
          </cell>
          <cell r="J602" t="str">
            <v>ОК</v>
          </cell>
        </row>
        <row r="603">
          <cell r="B603" t="str">
            <v>В-24798/АЗ</v>
          </cell>
          <cell r="C603" t="str">
            <v>РОССИЯ, 391440, Рязанская обл, Сасовский р-н, Нижнее Мальцево с, Центральная ул, дом № 47</v>
          </cell>
          <cell r="D603" t="str">
            <v>РОССИЯ, 129323, Москва г, Седова ул, дом № 5, корпус 2, квартира 89</v>
          </cell>
          <cell r="F603" t="str">
            <v>Москва</v>
          </cell>
          <cell r="G603">
            <v>0.66009259259259256</v>
          </cell>
          <cell r="H603">
            <v>0.91009259259259256</v>
          </cell>
          <cell r="I603" t="str">
            <v>ОК</v>
          </cell>
          <cell r="J603" t="str">
            <v>ОК</v>
          </cell>
        </row>
        <row r="604">
          <cell r="B604" t="str">
            <v>В-22920/КЛ.Транш - 1</v>
          </cell>
          <cell r="C604" t="str">
            <v>РОССИЯ, 660132, Красноярский край, Красноярск г, 40 лет Победы ул, дом 30, квартира 398</v>
          </cell>
          <cell r="D604" t="str">
            <v>РОССИЯ, 353440, Краснодарский край, Анапский р-н, Анапа г, Тургенева ул, дом 45</v>
          </cell>
          <cell r="F604" t="str">
            <v>Краснодарский</v>
          </cell>
          <cell r="G604">
            <v>0.66009259259259256</v>
          </cell>
          <cell r="H604">
            <v>0.91009259259259256</v>
          </cell>
          <cell r="I604" t="str">
            <v>ОК</v>
          </cell>
          <cell r="J604" t="str">
            <v>ОК</v>
          </cell>
        </row>
        <row r="605">
          <cell r="B605" t="str">
            <v>В-00457/АЗ_Т-20211028/Ц</v>
          </cell>
          <cell r="C605" t="str">
            <v>РОССИЯ, 117525, Москва г, Сумской проезд, дом 31, корпус 1, квартира 34</v>
          </cell>
          <cell r="D605" t="str">
            <v>РОССИЯ, 117525, Москва г, Сумской проезд, дом 31, корпус 1, квартира 34</v>
          </cell>
          <cell r="F605" t="str">
            <v>Москва</v>
          </cell>
          <cell r="G605">
            <v>0.66009259259259256</v>
          </cell>
          <cell r="H605">
            <v>0.91009259259259256</v>
          </cell>
          <cell r="I605" t="str">
            <v>ОК</v>
          </cell>
          <cell r="J605" t="str">
            <v>ОК</v>
          </cell>
        </row>
        <row r="606">
          <cell r="B606" t="str">
            <v>А-04223/АЗ</v>
          </cell>
          <cell r="C606" t="str">
            <v>РОССИЯ, 142450, Московская обл, Ногинский р-н, Старая Купавна г, Матросова ул, дом № 16, квартира 36</v>
          </cell>
          <cell r="D606" t="str">
            <v>РОССИЯ, 142450, Московская обл, Ногинский р-н, Старая Купавна г, Матросова ул, дом № 16, квартира 36</v>
          </cell>
          <cell r="F606" t="str">
            <v>Московская</v>
          </cell>
          <cell r="G606">
            <v>0.66009259259259256</v>
          </cell>
          <cell r="H606">
            <v>0.91009259259259256</v>
          </cell>
          <cell r="I606" t="str">
            <v>ОК</v>
          </cell>
          <cell r="J606" t="str">
            <v>ОК</v>
          </cell>
        </row>
        <row r="607">
          <cell r="B607" t="str">
            <v>В-20171/КЛ.Транш - 1</v>
          </cell>
          <cell r="C607" t="str">
            <v>РОССИЯ, 610007, Кировская обл, г Киров, пер Средний, д. 10, кв. 6</v>
          </cell>
          <cell r="D607" t="str">
            <v>РОССИЯ, 610000, Кировская обл, г Киров, ул Московская, д. 21</v>
          </cell>
          <cell r="F607" t="str">
            <v>Кировская</v>
          </cell>
          <cell r="G607">
            <v>0.66009259259259256</v>
          </cell>
          <cell r="H607">
            <v>0.91009259259259256</v>
          </cell>
          <cell r="I607" t="str">
            <v>ОК</v>
          </cell>
          <cell r="J607" t="str">
            <v>ОК</v>
          </cell>
        </row>
        <row r="608">
          <cell r="B608" t="str">
            <v>Т-00395/АЗ</v>
          </cell>
          <cell r="C608" t="str">
            <v>РОССИЯ, 105077, Москва г, Сиреневый б-р, дом № 36, квартира 189</v>
          </cell>
          <cell r="D608" t="str">
            <v>РОССИЯ, 105077, Москва г, Сиреневый б-р, дом № 36, квартира 189</v>
          </cell>
          <cell r="F608" t="str">
            <v>Москва</v>
          </cell>
          <cell r="G608">
            <v>0.66009259259259256</v>
          </cell>
          <cell r="H608">
            <v>0.91009259259259256</v>
          </cell>
          <cell r="I608" t="str">
            <v>ОК</v>
          </cell>
          <cell r="J608" t="str">
            <v>ОК</v>
          </cell>
        </row>
        <row r="609">
          <cell r="B609" t="str">
            <v>В-08644/КЛ.Транш - 1</v>
          </cell>
          <cell r="C609" t="str">
            <v>РОССИЯ, Московская обл, Сергиев Посад г, Богородское рп, дом 28а, квартира 15</v>
          </cell>
          <cell r="D609" t="str">
            <v>РОССИЯ, Московская обл, Сергиев Посад г, Богородское рп, дом 28а, квартира 15</v>
          </cell>
          <cell r="F609" t="str">
            <v>Московская</v>
          </cell>
          <cell r="G609">
            <v>0.66009259259259256</v>
          </cell>
          <cell r="H609">
            <v>0.91009259259259256</v>
          </cell>
          <cell r="I609" t="str">
            <v>ОК</v>
          </cell>
          <cell r="J609" t="str">
            <v>ОК</v>
          </cell>
        </row>
        <row r="610">
          <cell r="B610" t="str">
            <v>В-10495/КЛ.Транш - 1</v>
          </cell>
          <cell r="C610" t="str">
            <v>РОССИЯ, 170033, Тверская обл, Тверь г, Александра Попова ул, дом 33, квартира 2</v>
          </cell>
          <cell r="D610" t="str">
            <v>РОССИЯ, 170033, Тверская обл, Тверь г, Александра Попова ул, дом 33, квартира 2</v>
          </cell>
          <cell r="F610" t="str">
            <v>Тверская</v>
          </cell>
          <cell r="G610">
            <v>0.66009259259259256</v>
          </cell>
          <cell r="H610">
            <v>0.91009259259259256</v>
          </cell>
          <cell r="I610" t="str">
            <v>ОК</v>
          </cell>
          <cell r="J610" t="str">
            <v>ОК</v>
          </cell>
        </row>
        <row r="611">
          <cell r="B611" t="str">
            <v>В-27416/АЗ</v>
          </cell>
          <cell r="C611" t="str">
            <v>РОССИЯ, 105568, Москва г, вн.тер.г. муниципальный округ Ивановское, проезд Большой Купавенский, д. 4, кв. 52</v>
          </cell>
          <cell r="D611" t="str">
            <v>РОССИЯ, 105568, Москва г, вн.тер.г. муниципальный округ Ивановское, проезд Большой Купавенский, д. 4, кв. 52</v>
          </cell>
          <cell r="F611" t="str">
            <v>Москва</v>
          </cell>
          <cell r="G611">
            <v>0.66009259259259256</v>
          </cell>
          <cell r="H611">
            <v>0.91009259259259256</v>
          </cell>
          <cell r="I611" t="str">
            <v>ОК</v>
          </cell>
          <cell r="J611" t="str">
            <v>ОК</v>
          </cell>
        </row>
        <row r="612">
          <cell r="B612" t="str">
            <v>В-16541/КЛ.Транш - 1</v>
          </cell>
          <cell r="C612" t="str">
            <v>РОССИЯ, 454091, Челябинская обл, Челябинск г, Маркса ул, дом 101</v>
          </cell>
          <cell r="D612" t="str">
            <v>РОССИЯ, 454902, Челябинская обл, Челябинск г, Ленина ул, дом 61, квартира 48</v>
          </cell>
          <cell r="F612" t="str">
            <v>Челябинская</v>
          </cell>
          <cell r="G612">
            <v>0.66009259259259256</v>
          </cell>
          <cell r="H612">
            <v>0.99342592592592593</v>
          </cell>
          <cell r="I612" t="str">
            <v>поздно</v>
          </cell>
          <cell r="J612" t="str">
            <v>ОК</v>
          </cell>
        </row>
        <row r="613">
          <cell r="B613" t="str">
            <v>В-19597/КЛ.Транш - 1</v>
          </cell>
          <cell r="C613" t="str">
            <v>РОССИЯ, 658225, Алтайский край, г Рубцовск, ул Маяковского, д. 22</v>
          </cell>
          <cell r="D613" t="str">
            <v>РОССИЯ, 123308, Москва г, вн.тер.г. муниципальный округ Хорошево-Мневники, пр-кт Маршала Жукова, д. 8, к. 2, кв. 75</v>
          </cell>
          <cell r="F613" t="str">
            <v>Москва</v>
          </cell>
          <cell r="G613">
            <v>0.66009259259259256</v>
          </cell>
          <cell r="H613">
            <v>0.91009259259259256</v>
          </cell>
          <cell r="I613" t="str">
            <v>ОК</v>
          </cell>
          <cell r="J613" t="str">
            <v>ОК</v>
          </cell>
        </row>
        <row r="614">
          <cell r="B614" t="str">
            <v>В-19597/КЛ.Транш - 2</v>
          </cell>
          <cell r="C614" t="str">
            <v>РОССИЯ, 658225, Алтайский край, г Рубцовск, ул Маяковского, д. 22</v>
          </cell>
          <cell r="D614" t="str">
            <v>РОССИЯ, 123308, Москва г, вн.тер.г. муниципальный округ Хорошево-Мневники, пр-кт Маршала Жукова, д. 8, к. 2, кв. 75</v>
          </cell>
          <cell r="F614" t="str">
            <v>Москва</v>
          </cell>
          <cell r="G614">
            <v>0.66009259259259256</v>
          </cell>
          <cell r="H614">
            <v>0.91009259259259256</v>
          </cell>
          <cell r="I614" t="str">
            <v>ОК</v>
          </cell>
          <cell r="J614" t="str">
            <v>ОК</v>
          </cell>
        </row>
        <row r="615">
          <cell r="B615" t="str">
            <v>В-19597/КЛ.Транш - 3</v>
          </cell>
          <cell r="C615" t="str">
            <v>РОССИЯ, 658225, Алтайский край, г Рубцовск, ул Маяковского, д. 22</v>
          </cell>
          <cell r="D615" t="str">
            <v>РОССИЯ, 123308, Москва г, вн.тер.г. муниципальный округ Хорошево-Мневники, пр-кт Маршала Жукова, д. 8, к. 2, кв. 75</v>
          </cell>
          <cell r="F615" t="str">
            <v>Москва</v>
          </cell>
          <cell r="G615">
            <v>0.66009259259259256</v>
          </cell>
          <cell r="H615">
            <v>0.91009259259259256</v>
          </cell>
          <cell r="I615" t="str">
            <v>ОК</v>
          </cell>
          <cell r="J615" t="str">
            <v>ОК</v>
          </cell>
        </row>
        <row r="616">
          <cell r="B616" t="str">
            <v>В-19597/КЛ.Транш - 4</v>
          </cell>
          <cell r="C616" t="str">
            <v>РОССИЯ, 658225, Алтайский край, г Рубцовск, ул Маяковского, д. 22</v>
          </cell>
          <cell r="D616" t="str">
            <v>РОССИЯ, 123308, Москва г, вн.тер.г. муниципальный округ Хорошево-Мневники, пр-кт Маршала Жукова, д. 8, к. 2, кв. 75</v>
          </cell>
          <cell r="F616" t="str">
            <v>Москва</v>
          </cell>
          <cell r="G616">
            <v>0.66009259259259256</v>
          </cell>
          <cell r="H616">
            <v>0.91009259259259256</v>
          </cell>
          <cell r="I616" t="str">
            <v>ОК</v>
          </cell>
          <cell r="J616" t="str">
            <v>ОК</v>
          </cell>
        </row>
        <row r="617">
          <cell r="B617" t="str">
            <v>В-19597/КЛ.Транш - 5</v>
          </cell>
          <cell r="C617" t="str">
            <v>РОССИЯ, 658225, Алтайский край, г Рубцовск, ул Маяковского, д. 22</v>
          </cell>
          <cell r="D617" t="str">
            <v>РОССИЯ, 123308, Москва г, вн.тер.г. муниципальный округ Хорошево-Мневники, пр-кт Маршала Жукова, д. 8, к. 2, кв. 75</v>
          </cell>
          <cell r="F617" t="str">
            <v>Москва</v>
          </cell>
          <cell r="G617">
            <v>0.66009259259259256</v>
          </cell>
          <cell r="H617">
            <v>0.91009259259259256</v>
          </cell>
          <cell r="I617" t="str">
            <v>ОК</v>
          </cell>
          <cell r="J617" t="str">
            <v>ОК</v>
          </cell>
        </row>
        <row r="618">
          <cell r="B618" t="str">
            <v>В-19597/КЛ.Транш - 6</v>
          </cell>
          <cell r="C618" t="str">
            <v>РОССИЯ, 658225, Алтайский край, г Рубцовск, ул Маяковского, д. 22</v>
          </cell>
          <cell r="D618" t="str">
            <v>РОССИЯ, 123308, Москва г, вн.тер.г. муниципальный округ Хорошево-Мневники, пр-кт Маршала Жукова, д. 8, к. 2, кв. 75</v>
          </cell>
          <cell r="F618" t="str">
            <v>Москва</v>
          </cell>
          <cell r="G618">
            <v>0.66009259259259256</v>
          </cell>
          <cell r="H618">
            <v>0.91009259259259256</v>
          </cell>
          <cell r="I618" t="str">
            <v>ОК</v>
          </cell>
          <cell r="J618" t="str">
            <v>ОК</v>
          </cell>
        </row>
        <row r="619">
          <cell r="B619" t="str">
            <v>В-25052/КЛ.Транш - 1</v>
          </cell>
          <cell r="C619" t="str">
            <v>РОССИЯ, 613340, Кировская обл, р-н Советский, г Советск, ул Красноармейская, д. 7, кв. 18</v>
          </cell>
          <cell r="D619" t="str">
            <v>РОССИЯ, 613340, Кировская обл, р-н Советский, г Советск, ул Красноармейская, д. 7, кв. 18</v>
          </cell>
          <cell r="F619" t="str">
            <v>Кировская</v>
          </cell>
          <cell r="G619">
            <v>0.66009259259259256</v>
          </cell>
          <cell r="H619">
            <v>0.91009259259259256</v>
          </cell>
          <cell r="I619" t="str">
            <v>ОК</v>
          </cell>
          <cell r="J619" t="str">
            <v>ОК</v>
          </cell>
        </row>
        <row r="620">
          <cell r="B620" t="str">
            <v>В-01098/АЗ</v>
          </cell>
          <cell r="C620" t="str">
            <v>РОССИЯ, 117437, Москва г, Миклухо-Маклая ул, дом 22, квартира 251</v>
          </cell>
          <cell r="D620" t="str">
            <v>РОССИЯ, 125284, Москва г, Беговая ул, дом 15, квартира 72</v>
          </cell>
          <cell r="F620" t="str">
            <v>Москва</v>
          </cell>
          <cell r="G620">
            <v>0.66009259259259256</v>
          </cell>
          <cell r="H620">
            <v>0.91009259259259256</v>
          </cell>
          <cell r="I620" t="str">
            <v>ОК</v>
          </cell>
          <cell r="J620" t="str">
            <v>ОК</v>
          </cell>
        </row>
        <row r="621">
          <cell r="B621" t="str">
            <v>В-21208/КЛ.Транш - 1_В-20211230/Ц</v>
          </cell>
          <cell r="C621" t="str">
            <v>РОССИЯ, 141733, Московская обл, г.о. городской округ Лобня, г Лобня, ул Деповская, д. 2А, кв. 28</v>
          </cell>
          <cell r="D621" t="str">
            <v>РОССИЯ, 141733, Московская обл, г.о. городской округ Лобня, г Лобня, ул Деповская, д. 2А, кв. 28</v>
          </cell>
          <cell r="F621" t="str">
            <v>Московская</v>
          </cell>
          <cell r="G621">
            <v>0.66009259259259256</v>
          </cell>
          <cell r="H621">
            <v>0.91009259259259256</v>
          </cell>
          <cell r="I621" t="str">
            <v>ОК</v>
          </cell>
          <cell r="J621" t="str">
            <v>ОК</v>
          </cell>
        </row>
        <row r="622">
          <cell r="B622" t="str">
            <v>В-21208/КЛ.Транш - 2_В-20211230/Ц</v>
          </cell>
          <cell r="C622" t="str">
            <v>РОССИЯ, 141733, Московская обл, г.о. городской округ Лобня, г Лобня, ул Деповская, д. 2А, кв. 28</v>
          </cell>
          <cell r="D622" t="str">
            <v>РОССИЯ, 141733, Московская обл, г.о. городской округ Лобня, г Лобня, ул Деповская, д. 2А, кв. 28</v>
          </cell>
          <cell r="F622" t="str">
            <v>Московская</v>
          </cell>
          <cell r="G622">
            <v>0.66009259259259256</v>
          </cell>
          <cell r="H622">
            <v>0.91009259259259256</v>
          </cell>
          <cell r="I622" t="str">
            <v>ОК</v>
          </cell>
          <cell r="J622" t="str">
            <v>ОК</v>
          </cell>
        </row>
        <row r="623">
          <cell r="B623" t="str">
            <v>В-01179/АЗ_В-20211230/Ц</v>
          </cell>
          <cell r="C623" t="str">
            <v>РОССИЯ, 198323, Санкт-Петербург г, тер. Горелово, ул Социалистическая, д. 7, литера А</v>
          </cell>
          <cell r="D623" t="str">
            <v>РОССИЯ, 198323, Санкт-Петербург г, тер. Горелово, ул Социалистическая, д. 7, литера А</v>
          </cell>
          <cell r="F623" t="str">
            <v>Москва</v>
          </cell>
          <cell r="G623">
            <v>0.66009259259259256</v>
          </cell>
          <cell r="H623">
            <v>0.91009259259259256</v>
          </cell>
          <cell r="I623" t="str">
            <v>ОК</v>
          </cell>
          <cell r="J623" t="str">
            <v>ОК</v>
          </cell>
        </row>
        <row r="624">
          <cell r="B624" t="str">
            <v>В-24012/КЛ.Транш - 1</v>
          </cell>
          <cell r="C624" t="str">
            <v>РОССИЯ, 426067, Удмуртская респ, г Ижевск, ул им Татьяны Барамзиной, д. 80, кв. 64</v>
          </cell>
          <cell r="D624" t="str">
            <v>РОССИЯ, 109457, Москва г, вн.тер.г. муниципальный округ Кузьминки, ул Фёдора Полетаева, д. 8, к. 1, кв. 18</v>
          </cell>
          <cell r="F624" t="str">
            <v>Москва</v>
          </cell>
          <cell r="G624">
            <v>0.66009259259259256</v>
          </cell>
          <cell r="H624">
            <v>0.91009259259259256</v>
          </cell>
          <cell r="I624" t="str">
            <v>ОК</v>
          </cell>
          <cell r="J624" t="str">
            <v>ОК</v>
          </cell>
        </row>
        <row r="625">
          <cell r="B625" t="str">
            <v>В-15073/КЛ.Транш - 3</v>
          </cell>
          <cell r="C625" t="str">
            <v>РОССИЯ, 140200, Московская обл, Воскресенский р-н, Воскресенск г, Менделеева ул, дом № 28, квартира 15</v>
          </cell>
          <cell r="D625" t="str">
            <v>РОССИЯ, 143000, Московская обл, Ивантеевка г, Можайское ш, дом 112А, квартира 106</v>
          </cell>
          <cell r="F625" t="str">
            <v>Московская</v>
          </cell>
          <cell r="G625">
            <v>0.66009259259259256</v>
          </cell>
          <cell r="H625">
            <v>0.91009259259259256</v>
          </cell>
          <cell r="I625" t="str">
            <v>ОК</v>
          </cell>
          <cell r="J625" t="str">
            <v>ОК</v>
          </cell>
        </row>
        <row r="626">
          <cell r="B626" t="str">
            <v>В-26517/КЛ.Транш - 1</v>
          </cell>
          <cell r="C626" t="str">
            <v>РОССИЯ, 350042, Краснодарский край, г.о. город Краснодар, г Краснодар, проезд 1-й Колхозный, д. 2</v>
          </cell>
          <cell r="D626" t="str">
            <v>РОССИЯ, 350042, Краснодарский край, г.о. город Краснодар, г Краснодар, проезд 1-й Колхозный, д. 2</v>
          </cell>
          <cell r="F626" t="str">
            <v>Краснодарский</v>
          </cell>
          <cell r="G626">
            <v>0.66009259259259256</v>
          </cell>
          <cell r="H626">
            <v>0.91009259259259256</v>
          </cell>
          <cell r="I626" t="str">
            <v>ОК</v>
          </cell>
          <cell r="J626" t="str">
            <v>ОК</v>
          </cell>
        </row>
        <row r="627">
          <cell r="B627" t="str">
            <v>В-17962/КЛ.Транш - 1</v>
          </cell>
          <cell r="C627" t="str">
            <v>РОССИЯ, 123007, Москва г, Полины Осипенко ул, дом № 22, корпус 2, квартира 11</v>
          </cell>
          <cell r="D627" t="str">
            <v>РОССИЯ, 123007, Москва г, Полины Осипенко ул, дом № 22, корпус 2, квартира 11</v>
          </cell>
          <cell r="F627" t="str">
            <v>Москва</v>
          </cell>
          <cell r="G627">
            <v>0.66009259259259256</v>
          </cell>
          <cell r="H627">
            <v>0.91009259259259256</v>
          </cell>
          <cell r="I627" t="str">
            <v>ОК</v>
          </cell>
          <cell r="J627" t="str">
            <v>ОК</v>
          </cell>
        </row>
        <row r="628">
          <cell r="B628" t="str">
            <v>В-25407/КЛ.Транш - 1</v>
          </cell>
          <cell r="C628" t="str">
            <v>РОССИЯ, 462430, Оренбургская обл, г Орск, ул Добровольского, д. 23, кв. 77</v>
          </cell>
          <cell r="D628" t="str">
            <v>РОССИЯ, 140090, Московская обл, г Дзержинский, ул Строителей, д. 1, кв. 141</v>
          </cell>
          <cell r="F628" t="str">
            <v>Московская</v>
          </cell>
          <cell r="G628">
            <v>0.66009259259259256</v>
          </cell>
          <cell r="H628">
            <v>0.91009259259259256</v>
          </cell>
          <cell r="I628" t="str">
            <v>ОК</v>
          </cell>
          <cell r="J628" t="str">
            <v>ОК</v>
          </cell>
        </row>
        <row r="629">
          <cell r="B629" t="str">
            <v>В-04333/КЛ.Транш - 3</v>
          </cell>
          <cell r="C629" t="str">
            <v>РОССИЯ, 129323, Москва г, Седова ул, дом 13, корпус 1, квартира 18</v>
          </cell>
          <cell r="D629" t="str">
            <v>РОССИЯ, 129323, Москва г, Седова ул, дом 13, корпус 1, квартира 18</v>
          </cell>
          <cell r="F629" t="str">
            <v>Москва</v>
          </cell>
          <cell r="G629">
            <v>0.66009259259259256</v>
          </cell>
          <cell r="H629">
            <v>0.91009259259259256</v>
          </cell>
          <cell r="I629" t="str">
            <v>ОК</v>
          </cell>
          <cell r="J629" t="str">
            <v>ОК</v>
          </cell>
        </row>
        <row r="630">
          <cell r="B630" t="str">
            <v>В-04333/КЛ.Транш - 8</v>
          </cell>
          <cell r="C630" t="str">
            <v>РОССИЯ, 129323, Москва г, Седова ул, дом 13, корпус 1, квартира 18</v>
          </cell>
          <cell r="D630" t="str">
            <v>РОССИЯ, 129323, Москва г, Седова ул, дом 13, корпус 1, квартира 18</v>
          </cell>
          <cell r="F630" t="str">
            <v>Москва</v>
          </cell>
          <cell r="G630">
            <v>0.66009259259259256</v>
          </cell>
          <cell r="H630">
            <v>0.91009259259259256</v>
          </cell>
          <cell r="I630" t="str">
            <v>ОК</v>
          </cell>
          <cell r="J630" t="str">
            <v>ОК</v>
          </cell>
        </row>
        <row r="631">
          <cell r="B631" t="str">
            <v>В-14196/КЛ.Транш - 1</v>
          </cell>
          <cell r="C631" t="str">
            <v>РОССИЯ, 443032, Самарская обл, Самара г, Осетинская ул, дом 10, квартира 185</v>
          </cell>
          <cell r="D631" t="str">
            <v>РОССИЯ, 443032, Самарская обл, Самара г, Осетинская ул, дом 10, квартира 185</v>
          </cell>
          <cell r="F631" t="str">
            <v>Самарская</v>
          </cell>
          <cell r="G631">
            <v>0.66009259259259256</v>
          </cell>
          <cell r="H631">
            <v>0.9517592592592593</v>
          </cell>
          <cell r="I631" t="str">
            <v>поздно</v>
          </cell>
          <cell r="J631" t="str">
            <v>ОК</v>
          </cell>
        </row>
        <row r="632">
          <cell r="B632" t="str">
            <v>В-24363/КЛ.Транш - 1</v>
          </cell>
          <cell r="C632" t="str">
            <v>РОССИЯ, 121500, Москва г, вн.тер.г. муниципальный округ Кунцево, ул Василия Ботылёва, д. 14, кв. 80</v>
          </cell>
          <cell r="D632" t="str">
            <v>РОССИЯ, 121500, Москва г, вн.тер.г. муниципальный округ Кунцево, ул Василия Ботылёва, д. 14, кв. 80</v>
          </cell>
          <cell r="F632" t="str">
            <v>Москва</v>
          </cell>
          <cell r="G632">
            <v>0.66009259259259256</v>
          </cell>
          <cell r="H632">
            <v>0.91009259259259256</v>
          </cell>
          <cell r="I632" t="str">
            <v>ОК</v>
          </cell>
          <cell r="J632" t="str">
            <v>ОК</v>
          </cell>
        </row>
        <row r="633">
          <cell r="B633" t="str">
            <v>В-24363/КЛ.Транш - 2</v>
          </cell>
          <cell r="C633" t="str">
            <v>РОССИЯ, 121500, Москва г, вн.тер.г. муниципальный округ Кунцево, ул Василия Ботылёва, д. 14, кв. 80</v>
          </cell>
          <cell r="D633" t="str">
            <v>РОССИЯ, 121500, Москва г, вн.тер.г. муниципальный округ Кунцево, ул Василия Ботылёва, д. 14, кв. 80</v>
          </cell>
          <cell r="F633" t="str">
            <v>Москва</v>
          </cell>
          <cell r="G633">
            <v>0.66009259259259256</v>
          </cell>
          <cell r="H633">
            <v>0.91009259259259256</v>
          </cell>
          <cell r="I633" t="str">
            <v>ОК</v>
          </cell>
          <cell r="J633" t="str">
            <v>ОК</v>
          </cell>
        </row>
        <row r="634">
          <cell r="B634" t="str">
            <v>В-13449/КЛ.Транш - 1</v>
          </cell>
          <cell r="C634" t="str">
            <v>РОССИЯ, 391933, Рязанская обл, Ухоловский р-н, Калинин п, Новоселов ул, дом 11, квартира 4</v>
          </cell>
          <cell r="D634" t="str">
            <v>РОССИЯ, 390048, Рязанская обл, Рязань г, Шереметьевская ул, дом 10, корпус 2, квартира 204</v>
          </cell>
          <cell r="F634" t="str">
            <v>Рязанская</v>
          </cell>
          <cell r="G634">
            <v>0.66009259259259256</v>
          </cell>
          <cell r="H634">
            <v>0.91009259259259256</v>
          </cell>
          <cell r="I634" t="str">
            <v>ОК</v>
          </cell>
          <cell r="J634" t="str">
            <v>ОК</v>
          </cell>
        </row>
        <row r="635">
          <cell r="B635" t="str">
            <v>В-22744/КЛ.Транш - 1</v>
          </cell>
          <cell r="C635" t="str">
            <v>РОССИЯ, 456623, Челябинская обл, г Копейск, пр-кт Славы, д. 16, кв. 69</v>
          </cell>
          <cell r="D635" t="str">
            <v>РОССИЯ, 456623, Челябинская обл, г Копейск, пр-кт Славы, д. 16, кв. 69</v>
          </cell>
          <cell r="F635" t="str">
            <v>Челябинская</v>
          </cell>
          <cell r="G635">
            <v>0.66009259259259256</v>
          </cell>
          <cell r="H635">
            <v>0.99342592592592593</v>
          </cell>
          <cell r="I635" t="str">
            <v>поздно</v>
          </cell>
          <cell r="J635" t="str">
            <v>ОК</v>
          </cell>
        </row>
        <row r="636">
          <cell r="B636" t="str">
            <v>В-02641/КЛ.Транш - 1</v>
          </cell>
          <cell r="C636" t="str">
            <v>РОССИЯ, 115580, Москва г, Задонский проезд, дом 12, корпус 1, квартира 74</v>
          </cell>
          <cell r="D636" t="str">
            <v>РОССИЯ, 115580, Москва г, Задонский проезд, дом 12, корпус 1, квартира 74</v>
          </cell>
          <cell r="F636" t="str">
            <v>Москва</v>
          </cell>
          <cell r="G636">
            <v>0.66009259259259256</v>
          </cell>
          <cell r="H636">
            <v>0.91009259259259256</v>
          </cell>
          <cell r="I636" t="str">
            <v>ОК</v>
          </cell>
          <cell r="J636" t="str">
            <v>ОК</v>
          </cell>
        </row>
        <row r="637">
          <cell r="B637" t="str">
            <v>В-00872/АЗ</v>
          </cell>
          <cell r="C637" t="str">
            <v>РОССИЯ, 143007, Московская обл, Одинцовский р-н, Одинцово г, Свободы ул, дом 2, квартира 3</v>
          </cell>
          <cell r="D637" t="str">
            <v>РОССИЯ, 143007, Московская обл, Одинцовский р-н, Одинцово г, Свободы ул, дом 2, квартира 3</v>
          </cell>
          <cell r="F637" t="str">
            <v>Московская</v>
          </cell>
          <cell r="G637">
            <v>0.66009259259259256</v>
          </cell>
          <cell r="H637">
            <v>0.91009259259259256</v>
          </cell>
          <cell r="I637" t="str">
            <v>ОК</v>
          </cell>
          <cell r="J637" t="str">
            <v>ОК</v>
          </cell>
        </row>
        <row r="638">
          <cell r="B638" t="str">
            <v>В-00678/КЛ.Транш - 1</v>
          </cell>
          <cell r="C638" t="str">
            <v>РОССИЯ, 142440, Московская обл, Ногинск г, Обухово рп, Молодежная ул, дом 17</v>
          </cell>
          <cell r="D638" t="str">
            <v>РОССИЯ, 142440, Московская обл, Ногинск г, Обухово рп, Молодежная ул, дом 17</v>
          </cell>
          <cell r="F638" t="str">
            <v>Московская</v>
          </cell>
          <cell r="G638">
            <v>0.66009259259259256</v>
          </cell>
          <cell r="H638">
            <v>0.91009259259259256</v>
          </cell>
          <cell r="I638" t="str">
            <v>ОК</v>
          </cell>
          <cell r="J638" t="str">
            <v>ОК</v>
          </cell>
        </row>
        <row r="639">
          <cell r="B639" t="str">
            <v>В-15330/КЛ.Транш - 1_В-20211230/Ц</v>
          </cell>
          <cell r="C639" t="str">
            <v>РОССИЯ, 117624, Москва г, Скобелевская ул, дом 3, квартира 15</v>
          </cell>
          <cell r="D639" t="str">
            <v>РОССИЯ, 117624, Москва г, Скобелевская ул, дом 3, квартира 15</v>
          </cell>
          <cell r="F639" t="str">
            <v>Москва</v>
          </cell>
          <cell r="G639">
            <v>0.66009259259259256</v>
          </cell>
          <cell r="H639">
            <v>0.91009259259259256</v>
          </cell>
          <cell r="I639" t="str">
            <v>ОК</v>
          </cell>
          <cell r="J639" t="str">
            <v>ОК</v>
          </cell>
        </row>
        <row r="640">
          <cell r="B640" t="str">
            <v>В-05064/КЛ.Транш - 1</v>
          </cell>
          <cell r="C640" t="str">
            <v>РОССИЯ, 117447, Москва г, Дмитрия Ульянова ул, дом 37, корпус 4, квартира 58</v>
          </cell>
          <cell r="D640" t="str">
            <v>РОССИЯ, 117447, Москва г, Дмитрия Ульянова ул, дом 37, корпус 4, квартира 58</v>
          </cell>
          <cell r="F640" t="str">
            <v>Москва</v>
          </cell>
          <cell r="G640">
            <v>0.66009259259259256</v>
          </cell>
          <cell r="H640">
            <v>0.91009259259259256</v>
          </cell>
          <cell r="I640" t="str">
            <v>ОК</v>
          </cell>
          <cell r="J640" t="str">
            <v>ОК</v>
          </cell>
        </row>
        <row r="641">
          <cell r="B641" t="str">
            <v>В-15156/КЛ.Транш - 1_В-20211230/Ц</v>
          </cell>
          <cell r="C641" t="str">
            <v>РОССИЯ, 452920, Башкортостан респ, Агидель г, Первых Строителей ул, дом 5А, квартира 202</v>
          </cell>
          <cell r="D641" t="str">
            <v>РОССИЯ, 398032, Липецкая обл, Липецк г, Циолковского ул, дом 6/4, квартира 191</v>
          </cell>
          <cell r="F641" t="str">
            <v>Липецкая</v>
          </cell>
          <cell r="G641">
            <v>0.66009259259259256</v>
          </cell>
          <cell r="H641">
            <v>0.91009259259259256</v>
          </cell>
          <cell r="I641" t="str">
            <v>ОК</v>
          </cell>
          <cell r="J641" t="str">
            <v>ОК</v>
          </cell>
        </row>
        <row r="642">
          <cell r="B642" t="str">
            <v>В-01898/КЛ.Транш - 1</v>
          </cell>
          <cell r="C642" t="str">
            <v>РОССИЯ, 141075, Московская обл, Королев г, Матросова проезд, дом 1/6, квартира 88</v>
          </cell>
          <cell r="D642" t="str">
            <v>РОССИЯ, 141075, Московская обл, Королев г, Матросова проезд, дом 1/6, квартира 88</v>
          </cell>
          <cell r="F642" t="str">
            <v>Московская</v>
          </cell>
          <cell r="G642">
            <v>0.66009259259259256</v>
          </cell>
          <cell r="H642">
            <v>0.91009259259259256</v>
          </cell>
          <cell r="I642" t="str">
            <v>ОК</v>
          </cell>
          <cell r="J642" t="str">
            <v>ОК</v>
          </cell>
        </row>
        <row r="643">
          <cell r="B643" t="str">
            <v>В-11847/КЛ.Транш - 1</v>
          </cell>
          <cell r="C643" t="str">
            <v>РОССИЯ, 391962, Рязанская обл, Ряжский р-н, Ряжск г, Пожалостина ул, дом 13, квартира 6</v>
          </cell>
          <cell r="D643" t="str">
            <v>РОССИЯ, 391962, Рязанская обл, Шиловский р-н, поселок Прибрежный, Центральная ул, дом 2, квартира 18</v>
          </cell>
          <cell r="F643" t="str">
            <v>Рязанская</v>
          </cell>
          <cell r="G643">
            <v>0.66009259259259256</v>
          </cell>
          <cell r="H643">
            <v>0.91009259259259256</v>
          </cell>
          <cell r="I643" t="str">
            <v>ОК</v>
          </cell>
          <cell r="J643" t="str">
            <v>ОК</v>
          </cell>
        </row>
        <row r="644">
          <cell r="B644" t="str">
            <v>В-28703/КЛ.Транш - 1</v>
          </cell>
          <cell r="C644" t="str">
            <v>РОССИЯ, 125310, Москва г, пер. Ангелов, д. 6, кв. 164</v>
          </cell>
          <cell r="D644" t="str">
            <v>РОССИЯ, 125310, Москва г, пер. Ангелов, д. 6, кв. 164</v>
          </cell>
          <cell r="F644" t="str">
            <v>Москва</v>
          </cell>
          <cell r="G644">
            <v>0.66009259259259256</v>
          </cell>
          <cell r="H644">
            <v>0.91009259259259256</v>
          </cell>
          <cell r="I644" t="str">
            <v>ОК</v>
          </cell>
          <cell r="J644" t="str">
            <v>ОК</v>
          </cell>
        </row>
        <row r="645">
          <cell r="B645" t="str">
            <v>В-00986/КЛ.Транш - 1</v>
          </cell>
          <cell r="C645" t="str">
            <v>РОССИЯ, 108817, Москва г, Авиаконструктора Петлякова ул, дом № 7, квартира 46</v>
          </cell>
          <cell r="D645" t="str">
            <v>РОССИЯ, 108817, Москва г, Авиаконструктора Петлякова ул, дом № 7, квартира 46</v>
          </cell>
          <cell r="F645" t="str">
            <v>Москва</v>
          </cell>
          <cell r="G645">
            <v>0.66009259259259256</v>
          </cell>
          <cell r="H645">
            <v>0.91009259259259256</v>
          </cell>
          <cell r="I645" t="str">
            <v>ОК</v>
          </cell>
          <cell r="J645" t="str">
            <v>ОК</v>
          </cell>
        </row>
        <row r="646">
          <cell r="B646" t="str">
            <v>В-12912/КЛ.Транш - 1</v>
          </cell>
          <cell r="C646" t="str">
            <v>РОССИЯ, 603000, Нижегородская обл, Нижний Новгород г, Верхне-Волжская наб, дом 6, квартира 7</v>
          </cell>
          <cell r="D646" t="str">
            <v>РОССИЯ, 603000, Нижегородская обл, Нижний Новгород г, Верхне-Волжская наб, дом 6, квартира 7</v>
          </cell>
          <cell r="F646" t="str">
            <v>Нижегородская</v>
          </cell>
          <cell r="G646">
            <v>0.66009259259259256</v>
          </cell>
          <cell r="H646">
            <v>0.91009259259259256</v>
          </cell>
          <cell r="I646" t="str">
            <v>ОК</v>
          </cell>
          <cell r="J646" t="str">
            <v>ОК</v>
          </cell>
        </row>
        <row r="647">
          <cell r="B647" t="str">
            <v>В-08942/КЛ.Транш - 1</v>
          </cell>
          <cell r="C647" t="str">
            <v>РОССИЯ, 125310, Москва г, Пятницкое ш., дом 36, корпус 3, квартира 27</v>
          </cell>
          <cell r="D647" t="str">
            <v>РОССИЯ, 125310, Москва г, Пятницкое ш., дом 36, корпус 3, квартира 27</v>
          </cell>
          <cell r="F647" t="str">
            <v>Москва</v>
          </cell>
          <cell r="G647">
            <v>0.66009259259259256</v>
          </cell>
          <cell r="H647">
            <v>0.91009259259259256</v>
          </cell>
          <cell r="I647" t="str">
            <v>ОК</v>
          </cell>
          <cell r="J647" t="str">
            <v>ОК</v>
          </cell>
        </row>
        <row r="648">
          <cell r="B648" t="str">
            <v>В-00100/АЗ</v>
          </cell>
          <cell r="C648" t="str">
            <v>РОССИЯ, 352272, Краснодарский край, Отрадненский р-н, Удобная ст-ца, Свободы ул, дом № 13</v>
          </cell>
          <cell r="D648" t="str">
            <v>РОССИЯ, 350087, Краснодарский край, Краснодар г, Тепличная ул, дом № 100, квартира 117</v>
          </cell>
          <cell r="F648" t="str">
            <v>Краснодарский</v>
          </cell>
          <cell r="G648">
            <v>0.66009259259259256</v>
          </cell>
          <cell r="H648">
            <v>0.91009259259259256</v>
          </cell>
          <cell r="I648" t="str">
            <v>ОК</v>
          </cell>
          <cell r="J648" t="str">
            <v>ОК</v>
          </cell>
        </row>
        <row r="649">
          <cell r="B649" t="str">
            <v>В-17310/КЛ.Транш - 1</v>
          </cell>
          <cell r="C649" t="str">
            <v>РОССИЯ, 143913, Московская обл, г Балашиха, мкр. Гагарина, д. 19, кв. 66</v>
          </cell>
          <cell r="D649" t="str">
            <v>РОССИЯ, 143913, Московская обл, г Балашиха, мкр. Гагарина, д. 19, кв. 66</v>
          </cell>
          <cell r="F649" t="str">
            <v>Московская</v>
          </cell>
          <cell r="G649">
            <v>0.66009259259259256</v>
          </cell>
          <cell r="H649">
            <v>0.91009259259259256</v>
          </cell>
          <cell r="I649" t="str">
            <v>ОК</v>
          </cell>
          <cell r="J649" t="str">
            <v>ОК</v>
          </cell>
        </row>
        <row r="650">
          <cell r="B650" t="str">
            <v>А-04751/АЗ</v>
          </cell>
          <cell r="C650" t="str">
            <v>РОССИЯ, 410080, Саратовская обл, Саратов г, им Блинова Ф.А. ул, дом № 3, квартира 37</v>
          </cell>
          <cell r="D650" t="str">
            <v>РОССИЯ, 111395, Москва г, Молдагуловой ул, дом № 12, корпус 3, квартира 28</v>
          </cell>
          <cell r="F650" t="str">
            <v>Москва</v>
          </cell>
          <cell r="G650">
            <v>0.66009259259259256</v>
          </cell>
          <cell r="H650">
            <v>0.91009259259259256</v>
          </cell>
          <cell r="I650" t="str">
            <v>ОК</v>
          </cell>
          <cell r="J650" t="str">
            <v>ОК</v>
          </cell>
        </row>
        <row r="651">
          <cell r="B651" t="str">
            <v>В-14560/КЛ.Транш - 2</v>
          </cell>
          <cell r="C651" t="str">
            <v>РОССИЯ, 410074, Саратовская обл, Саратов г, Новосоколовогорский мкр., Ташкентская ул, дом 5</v>
          </cell>
          <cell r="D651" t="str">
            <v>РОССИЯ, 410074, Саратовская обл, Саратов г, Новосоколовогорский мкр., Ташкентская ул, дом 5</v>
          </cell>
          <cell r="F651" t="str">
            <v>Саратовская</v>
          </cell>
          <cell r="G651">
            <v>0.66009259259259256</v>
          </cell>
          <cell r="H651">
            <v>0.91009259259259256</v>
          </cell>
          <cell r="I651" t="str">
            <v>ОК</v>
          </cell>
          <cell r="J651" t="str">
            <v>ОК</v>
          </cell>
        </row>
        <row r="652">
          <cell r="B652" t="str">
            <v>В-14560/КЛ.Транш - 3</v>
          </cell>
          <cell r="C652" t="str">
            <v>РОССИЯ, 410074, Саратовская обл, Саратов г, Новосоколовогорский мкр., Ташкентская ул, дом 5</v>
          </cell>
          <cell r="D652" t="str">
            <v>РОССИЯ, 410074, Саратовская обл, Саратов г, Новосоколовогорский мкр., Ташкентская ул, дом 5</v>
          </cell>
          <cell r="F652" t="str">
            <v>Саратовская</v>
          </cell>
          <cell r="G652">
            <v>0.66009259259259256</v>
          </cell>
          <cell r="H652">
            <v>0.91009259259259256</v>
          </cell>
          <cell r="I652" t="str">
            <v>ОК</v>
          </cell>
          <cell r="J652" t="str">
            <v>ОК</v>
          </cell>
        </row>
        <row r="653">
          <cell r="B653" t="str">
            <v>В-17167/КЛ.Транш - 1_В-20211230/Ц</v>
          </cell>
          <cell r="C653" t="str">
            <v>РОССИЯ, 385019, Адыгея респ, г Майкоп, пер 6-й, д. 5, кв. 37</v>
          </cell>
          <cell r="D653" t="str">
            <v>РОССИЯ, 385019, Адыгея респ, г Майкоп, пер 6-й, д. 5, кв. 37</v>
          </cell>
          <cell r="F653" t="str">
            <v>Адыгея</v>
          </cell>
          <cell r="G653">
            <v>0.66009259259259256</v>
          </cell>
          <cell r="H653">
            <v>0.91009259259259256</v>
          </cell>
          <cell r="I653" t="str">
            <v>ОК</v>
          </cell>
          <cell r="J653" t="str">
            <v>ОК</v>
          </cell>
        </row>
        <row r="654">
          <cell r="B654" t="str">
            <v>В-15831/КЛ.Транш - 1</v>
          </cell>
          <cell r="C654" t="str">
            <v>РОССИЯ, 309509, Белгородская обл, Старый Оскол г, Северный мкр, дом 32, квартира 148</v>
          </cell>
          <cell r="D654" t="str">
            <v>РОССИЯ, 309509, Белгородская обл, Старый Оскол г, Северный мкр, дом 32, квартира 148</v>
          </cell>
          <cell r="F654" t="str">
            <v>Белгородская</v>
          </cell>
          <cell r="G654">
            <v>0.66009259259259256</v>
          </cell>
          <cell r="H654">
            <v>0.91009259259259256</v>
          </cell>
          <cell r="I654" t="str">
            <v>ОК</v>
          </cell>
          <cell r="J654" t="str">
            <v>ОК</v>
          </cell>
        </row>
        <row r="655">
          <cell r="B655" t="str">
            <v>В-00832/АЗ_В-20211230/Ц</v>
          </cell>
          <cell r="C655" t="str">
            <v>РОССИЯ, 125009, Москва г, Глинищевский пер, дом 5/7, квартира 103</v>
          </cell>
          <cell r="D655" t="str">
            <v>РОССИЯ, 125009, Москва г, Глинищевский пер, дом 5/7, квартира 103</v>
          </cell>
          <cell r="F655" t="str">
            <v>Москва</v>
          </cell>
          <cell r="G655">
            <v>0.66009259259259256</v>
          </cell>
          <cell r="H655">
            <v>0.91009259259259256</v>
          </cell>
          <cell r="I655" t="str">
            <v>ОК</v>
          </cell>
          <cell r="J655" t="str">
            <v>ОК</v>
          </cell>
        </row>
        <row r="656">
          <cell r="B656" t="str">
            <v>В-00833/АЗ_В-20211230/Ц</v>
          </cell>
          <cell r="C656" t="str">
            <v>РОССИЯ, 125009, Москва г, Глинищевский пер, дом 5/7, квартира 103</v>
          </cell>
          <cell r="D656" t="str">
            <v>РОССИЯ, 125009, Москва г, Глинищевский пер, дом 5/7, квартира 103</v>
          </cell>
          <cell r="F656" t="str">
            <v>Москва</v>
          </cell>
          <cell r="G656">
            <v>0.66009259259259256</v>
          </cell>
          <cell r="H656">
            <v>0.91009259259259256</v>
          </cell>
          <cell r="I656" t="str">
            <v>ОК</v>
          </cell>
          <cell r="J656" t="str">
            <v>ОК</v>
          </cell>
        </row>
        <row r="657">
          <cell r="B657" t="str">
            <v>В-00835/АЗ_В-20211230/Ц</v>
          </cell>
          <cell r="C657" t="str">
            <v>РОССИЯ, 125009, Москва г, Глинищевский пер, дом 5/7, квартира 103</v>
          </cell>
          <cell r="D657" t="str">
            <v>РОССИЯ, 125009, Москва г, Глинищевский пер, дом 5/7, квартира 103</v>
          </cell>
          <cell r="F657" t="str">
            <v>Москва</v>
          </cell>
          <cell r="G657">
            <v>0.66009259259259256</v>
          </cell>
          <cell r="H657">
            <v>0.91009259259259256</v>
          </cell>
          <cell r="I657" t="str">
            <v>ОК</v>
          </cell>
          <cell r="J657" t="str">
            <v>ОК</v>
          </cell>
        </row>
        <row r="658">
          <cell r="B658" t="str">
            <v>В-00836/АЗ_В-20211230/Ц</v>
          </cell>
          <cell r="C658" t="str">
            <v>РОССИЯ, 125009, Москва г, Глинищевский пер, дом 5/7, квартира 103</v>
          </cell>
          <cell r="D658" t="str">
            <v>РОССИЯ, 125009, Москва г, Глинищевский пер, дом 5/7, квартира 103</v>
          </cell>
          <cell r="F658" t="str">
            <v>Москва</v>
          </cell>
          <cell r="G658">
            <v>0.66009259259259256</v>
          </cell>
          <cell r="H658">
            <v>0.91009259259259256</v>
          </cell>
          <cell r="I658" t="str">
            <v>ОК</v>
          </cell>
          <cell r="J658" t="str">
            <v>ОК</v>
          </cell>
        </row>
        <row r="659">
          <cell r="B659" t="str">
            <v>В-24927/КЛ.Транш - 1</v>
          </cell>
          <cell r="C659" t="str">
            <v>РОССИЯ, 302014, Орловская обл, г Орёл, ул Зеленина, д. 6, кв. 244</v>
          </cell>
          <cell r="D659" t="str">
            <v>РОССИЯ, 302014, Орловская обл, г Орёл, ул Зеленина, д. 6, кв. 244</v>
          </cell>
          <cell r="F659" t="str">
            <v>Орловская</v>
          </cell>
          <cell r="G659">
            <v>0.66009259259259256</v>
          </cell>
          <cell r="H659">
            <v>0.91009259259259256</v>
          </cell>
          <cell r="I659" t="str">
            <v>ОК</v>
          </cell>
          <cell r="J659" t="str">
            <v>ОК</v>
          </cell>
        </row>
        <row r="660">
          <cell r="B660" t="str">
            <v>В-00953/АЗ</v>
          </cell>
          <cell r="C660" t="str">
            <v>РОССИЯ, 197706, Санкт-Петербург г, Сестрорецк г, Приморское ш, дом 261, квартира 35</v>
          </cell>
          <cell r="D660" t="str">
            <v>РОССИЯ, 197706, Санкт-Петербург г, Сестрорецк г, Приморское ш, дом 261, квартира 35</v>
          </cell>
          <cell r="F660" t="str">
            <v>Москва</v>
          </cell>
          <cell r="G660">
            <v>0.66009259259259256</v>
          </cell>
          <cell r="H660">
            <v>0.91009259259259256</v>
          </cell>
          <cell r="I660" t="str">
            <v>ОК</v>
          </cell>
          <cell r="J660" t="str">
            <v>ОК</v>
          </cell>
        </row>
        <row r="661">
          <cell r="B661" t="str">
            <v>В-15735/КЛ.Транш - 2</v>
          </cell>
          <cell r="C661" t="str">
            <v>РОССИЯ, 195299, Санкт-Петербург г, ул Руставели, д. 58, к. 1, литера А, кв. 312</v>
          </cell>
          <cell r="D661" t="str">
            <v>РОССИЯ, 117335, Москва г, Вавилова ул, дом 97, квартира 76</v>
          </cell>
          <cell r="F661" t="str">
            <v>Москва</v>
          </cell>
          <cell r="G661">
            <v>0.66009259259259256</v>
          </cell>
          <cell r="H661">
            <v>0.91009259259259256</v>
          </cell>
          <cell r="I661" t="str">
            <v>ОК</v>
          </cell>
          <cell r="J661" t="str">
            <v>ОК</v>
          </cell>
        </row>
        <row r="662">
          <cell r="B662" t="str">
            <v>В-20713/КЛ.Транш - 1</v>
          </cell>
          <cell r="C662" t="str">
            <v>РОССИЯ, 344094, Ростовская обл, г Ростов-на-Дону, ул Арзамасская, д. 6</v>
          </cell>
          <cell r="D662" t="str">
            <v>РОССИЯ, 344094, Ростовская обл, г Ростов-на-Дону, ул Арзамасская, д. 6</v>
          </cell>
          <cell r="F662" t="str">
            <v>Ростовская</v>
          </cell>
          <cell r="G662">
            <v>0.66009259259259256</v>
          </cell>
          <cell r="H662">
            <v>0.91009259259259256</v>
          </cell>
          <cell r="I662" t="str">
            <v>ОК</v>
          </cell>
          <cell r="J662" t="str">
            <v>ОК</v>
          </cell>
        </row>
        <row r="663">
          <cell r="B663" t="str">
            <v>В-20713/КЛ.Транш - 2</v>
          </cell>
          <cell r="C663" t="str">
            <v>РОССИЯ, 344094, Ростовская обл, г Ростов-на-Дону, ул Арзамасская, д. 6</v>
          </cell>
          <cell r="D663" t="str">
            <v>РОССИЯ, 344094, Ростовская обл, г Ростов-на-Дону, ул Арзамасская, д. 6</v>
          </cell>
          <cell r="F663" t="str">
            <v>Ростовская</v>
          </cell>
          <cell r="G663">
            <v>0.66009259259259256</v>
          </cell>
          <cell r="H663">
            <v>0.91009259259259256</v>
          </cell>
          <cell r="I663" t="str">
            <v>ОК</v>
          </cell>
          <cell r="J663" t="str">
            <v>ОК</v>
          </cell>
        </row>
        <row r="664">
          <cell r="B664" t="str">
            <v>В-23840/КЛ.Транш - 1_В-20211230/Ц</v>
          </cell>
          <cell r="C664" t="str">
            <v>РОССИЯ, 150035, Ярославская обл, г Ярославль, ул Доронина, д. 6, к. 2, кв. 109</v>
          </cell>
          <cell r="D664" t="str">
            <v>РОССИЯ, 150035, Ярославская обл, г Ярославль, ул Доронина, д. 6, к. 2, кв. 109</v>
          </cell>
          <cell r="F664" t="str">
            <v>Ярославская</v>
          </cell>
          <cell r="G664">
            <v>0.66009259259259256</v>
          </cell>
          <cell r="H664">
            <v>0.91009259259259256</v>
          </cell>
          <cell r="I664" t="str">
            <v>ОК</v>
          </cell>
          <cell r="J664" t="str">
            <v>ОК</v>
          </cell>
        </row>
        <row r="665">
          <cell r="B665" t="str">
            <v>В-23555/КЛ.Транш - 1</v>
          </cell>
          <cell r="C665" t="str">
            <v>РОССИЯ, 392543, Тамбовская обл, р-н Тамбовский, д Роща, д. 72</v>
          </cell>
          <cell r="D665" t="str">
            <v>РОССИЯ, 392027, Тамбовская обл, г Тамбов, ул Мичуринская, д. 213Г</v>
          </cell>
          <cell r="F665" t="str">
            <v>Тамбовская</v>
          </cell>
          <cell r="G665">
            <v>0.66009259259259256</v>
          </cell>
          <cell r="H665">
            <v>0.91009259259259256</v>
          </cell>
          <cell r="I665" t="str">
            <v>ОК</v>
          </cell>
          <cell r="J665" t="str">
            <v>ОК</v>
          </cell>
        </row>
        <row r="666">
          <cell r="B666" t="str">
            <v>В-23555/КЛ.Транш - 2</v>
          </cell>
          <cell r="C666" t="str">
            <v>РОССИЯ, 392543, Тамбовская обл, р-н Тамбовский, д Роща, д. 72</v>
          </cell>
          <cell r="D666" t="str">
            <v>РОССИЯ, 392027, Тамбовская обл, г Тамбов, ул Мичуринская, д. 213Г</v>
          </cell>
          <cell r="F666" t="str">
            <v>Тамбовская</v>
          </cell>
          <cell r="G666">
            <v>0.66009259259259256</v>
          </cell>
          <cell r="H666">
            <v>0.91009259259259256</v>
          </cell>
          <cell r="I666" t="str">
            <v>ОК</v>
          </cell>
          <cell r="J666" t="str">
            <v>ОК</v>
          </cell>
        </row>
        <row r="667">
          <cell r="B667" t="str">
            <v>В-06343/КЛ.Транш - 1</v>
          </cell>
          <cell r="C667" t="str">
            <v>РОССИЯ, 129347, Москва г, Ротерта ул, дом 11, квартира 10</v>
          </cell>
          <cell r="D667" t="str">
            <v>РОССИЯ, 129347, Москва г, Ротерта ул, дом 11, квартира 10</v>
          </cell>
          <cell r="F667" t="str">
            <v>Москва</v>
          </cell>
          <cell r="G667">
            <v>0.66009259259259256</v>
          </cell>
          <cell r="H667">
            <v>0.91009259259259256</v>
          </cell>
          <cell r="I667" t="str">
            <v>ОК</v>
          </cell>
          <cell r="J667" t="str">
            <v>ОК</v>
          </cell>
        </row>
        <row r="668">
          <cell r="B668" t="str">
            <v>В-06343/КЛ.Транш - 2</v>
          </cell>
          <cell r="C668" t="str">
            <v>РОССИЯ, 129347, Москва г, Ротерта ул, дом 11, квартира 10</v>
          </cell>
          <cell r="D668" t="str">
            <v>РОССИЯ, 129347, Москва г, Ротерта ул, дом 11, квартира 10</v>
          </cell>
          <cell r="F668" t="str">
            <v>Москва</v>
          </cell>
          <cell r="G668">
            <v>0.66009259259259256</v>
          </cell>
          <cell r="H668">
            <v>0.91009259259259256</v>
          </cell>
          <cell r="I668" t="str">
            <v>ОК</v>
          </cell>
          <cell r="J668" t="str">
            <v>ОК</v>
          </cell>
        </row>
        <row r="669">
          <cell r="B669" t="str">
            <v>В-22996/КЛ.Транш - 1</v>
          </cell>
          <cell r="C669" t="str">
            <v>РОССИЯ, 142517, Московская обл, Павловский Посад г, Евсеево д, дом 11а, квартира 19</v>
          </cell>
          <cell r="D669" t="str">
            <v>РОССИЯ, 142517, Московская обл, Павловский Посад г, Евсеево д, дом 11а, квартира 19</v>
          </cell>
          <cell r="F669" t="str">
            <v>Московская</v>
          </cell>
          <cell r="G669">
            <v>0.66009259259259256</v>
          </cell>
          <cell r="H669">
            <v>0.91009259259259256</v>
          </cell>
          <cell r="I669" t="str">
            <v>ОК</v>
          </cell>
          <cell r="J669" t="str">
            <v>ОК</v>
          </cell>
        </row>
        <row r="670">
          <cell r="B670" t="str">
            <v>В-22996/КЛ.Транш - 2</v>
          </cell>
          <cell r="C670" t="str">
            <v>РОССИЯ, 142517, Московская обл, Павловский Посад г, Евсеево д, дом 11а, квартира 19</v>
          </cell>
          <cell r="D670" t="str">
            <v>РОССИЯ, 142517, Московская обл, Павловский Посад г, Евсеево д, дом 11а, квартира 19</v>
          </cell>
          <cell r="F670" t="str">
            <v>Московская</v>
          </cell>
          <cell r="G670">
            <v>0.66009259259259256</v>
          </cell>
          <cell r="H670">
            <v>0.91009259259259256</v>
          </cell>
          <cell r="I670" t="str">
            <v>ОК</v>
          </cell>
          <cell r="J670" t="str">
            <v>ОК</v>
          </cell>
        </row>
        <row r="671">
          <cell r="B671" t="str">
            <v>В-22996/КЛ.Транш - 3</v>
          </cell>
          <cell r="C671" t="str">
            <v>РОССИЯ, 142517, Московская обл, Павловский Посад г, Евсеево д, дом 11а, квартира 19</v>
          </cell>
          <cell r="D671" t="str">
            <v>РОССИЯ, 142517, Московская обл, Павловский Посад г, Евсеево д, дом 11а, квартира 19</v>
          </cell>
          <cell r="F671" t="str">
            <v>Московская</v>
          </cell>
          <cell r="G671">
            <v>0.66009259259259256</v>
          </cell>
          <cell r="H671">
            <v>0.91009259259259256</v>
          </cell>
          <cell r="I671" t="str">
            <v>ОК</v>
          </cell>
          <cell r="J671" t="str">
            <v>ОК</v>
          </cell>
        </row>
        <row r="672">
          <cell r="B672" t="str">
            <v>В-22996/КЛ.Транш - 4</v>
          </cell>
          <cell r="C672" t="str">
            <v>РОССИЯ, 142517, Московская обл, Павловский Посад г, Евсеево д, дом 11а, квартира 19</v>
          </cell>
          <cell r="D672" t="str">
            <v>РОССИЯ, 142517, Московская обл, Павловский Посад г, Евсеево д, дом 11а, квартира 19</v>
          </cell>
          <cell r="F672" t="str">
            <v>Московская</v>
          </cell>
          <cell r="G672">
            <v>0.66009259259259256</v>
          </cell>
          <cell r="H672">
            <v>0.91009259259259256</v>
          </cell>
          <cell r="I672" t="str">
            <v>ОК</v>
          </cell>
          <cell r="J672" t="str">
            <v>ОК</v>
          </cell>
        </row>
        <row r="673">
          <cell r="B673" t="str">
            <v>А-04955/АЗ</v>
          </cell>
          <cell r="C673" t="str">
            <v>РОССИЯ, 109444, Москва г, Ташкентская ул, дом № 10, корпус 1, квартира 71</v>
          </cell>
          <cell r="D673" t="str">
            <v>РОССИЯ, 109444, Москва г, Ташкентская ул, дом № 10, корпус 1, квартира 71</v>
          </cell>
          <cell r="F673" t="str">
            <v>Москва</v>
          </cell>
          <cell r="G673">
            <v>0.66009259259259256</v>
          </cell>
          <cell r="H673">
            <v>0.91009259259259256</v>
          </cell>
          <cell r="I673" t="str">
            <v>ОК</v>
          </cell>
          <cell r="J673" t="str">
            <v>ОК</v>
          </cell>
        </row>
        <row r="674">
          <cell r="B674" t="str">
            <v>В-01634/КЛ.Транш - 4</v>
          </cell>
          <cell r="C674" t="str">
            <v>РОССИЯ, 141281, Московская обл, Ивантеевка г, Новоселки ул, дом 2, квартира 119</v>
          </cell>
          <cell r="D674" t="str">
            <v>РОССИЯ, 141281, Московская обл, Ивантеевка г, Новоселки ул, дом 2, квартира 119</v>
          </cell>
          <cell r="F674" t="str">
            <v>Московская</v>
          </cell>
          <cell r="G674">
            <v>0.66009259259259256</v>
          </cell>
          <cell r="H674">
            <v>0.91009259259259256</v>
          </cell>
          <cell r="I674" t="str">
            <v>ОК</v>
          </cell>
          <cell r="J674" t="str">
            <v>ОК</v>
          </cell>
        </row>
        <row r="675">
          <cell r="B675" t="str">
            <v>В-11781/КЛ.Транш - 3</v>
          </cell>
          <cell r="C675" t="str">
            <v>РОССИЯ, 111396, Москва г, Зелёный пр-кт, дом 56, квартира 178</v>
          </cell>
          <cell r="D675" t="str">
            <v>РОССИЯ, 109156, Москва г, Авиаконструктора Миля ул, дом 1, квартира 93</v>
          </cell>
          <cell r="F675" t="str">
            <v>Москва</v>
          </cell>
          <cell r="G675">
            <v>0.66009259259259256</v>
          </cell>
          <cell r="H675">
            <v>0.91009259259259256</v>
          </cell>
          <cell r="I675" t="str">
            <v>ОК</v>
          </cell>
          <cell r="J675" t="str">
            <v>ОК</v>
          </cell>
        </row>
        <row r="676">
          <cell r="B676" t="str">
            <v>В-24610/КЛ.Транш - 1</v>
          </cell>
          <cell r="C676" t="str">
            <v>РОССИЯ, Дагестан респ, р-н Агульский, с Гоа</v>
          </cell>
          <cell r="D676" t="str">
            <v>РОССИЯ, 142720, Московская обл, г Видное, рп Дрожжино, ш Новое, д. 2, кв. 409</v>
          </cell>
          <cell r="F676" t="str">
            <v>Московская</v>
          </cell>
          <cell r="G676">
            <v>0.66009259259259256</v>
          </cell>
          <cell r="H676">
            <v>0.91009259259259256</v>
          </cell>
          <cell r="I676" t="str">
            <v>ОК</v>
          </cell>
          <cell r="J676" t="str">
            <v>ОК</v>
          </cell>
        </row>
        <row r="677">
          <cell r="B677" t="str">
            <v>В-06092/КЛ.Транш - 1</v>
          </cell>
          <cell r="C677" t="str">
            <v>РОССИЯ, 364060, Чеченская респ, Грозный г, Тухачевского ул, дом № 23, квартира 195</v>
          </cell>
          <cell r="D677" t="str">
            <v>РОССИЯ, 353913, Краснодарский край, Новороссийск г, Героев Десантников ул, дом 1, квартира 170</v>
          </cell>
          <cell r="F677" t="str">
            <v>Краснодарский</v>
          </cell>
          <cell r="G677">
            <v>0.66009259259259256</v>
          </cell>
          <cell r="H677">
            <v>0.91009259259259256</v>
          </cell>
          <cell r="I677" t="str">
            <v>ОК</v>
          </cell>
          <cell r="J677" t="str">
            <v>ОК</v>
          </cell>
        </row>
        <row r="678">
          <cell r="B678" t="str">
            <v>В-17852/КЛ.Транш - 1_В-20211230/Ц</v>
          </cell>
          <cell r="C678" t="str">
            <v>РОССИЯ, 249096, Калужская обл, р-н Малоярославецкий, г Малоярославец, ул Коммунистическая, д. 4, кв. 86</v>
          </cell>
          <cell r="D678" t="str">
            <v>РОССИЯ, 249096, Калужская обл, р-н Малоярославецкий, г Малоярославец, ул Коммунистическая, д. 4, кв. 86</v>
          </cell>
          <cell r="F678" t="str">
            <v>Калужская</v>
          </cell>
          <cell r="G678">
            <v>0.66009259259259256</v>
          </cell>
          <cell r="H678">
            <v>0.91009259259259256</v>
          </cell>
          <cell r="I678" t="str">
            <v>ОК</v>
          </cell>
          <cell r="J678" t="str">
            <v>ОК</v>
          </cell>
        </row>
        <row r="679">
          <cell r="B679" t="str">
            <v>В-00823/АЗ</v>
          </cell>
          <cell r="C679" t="str">
            <v>РОССИЯ, 191025, Санкт-Петербург г, Невский пр-кт, дом 88, квартира 13</v>
          </cell>
          <cell r="D679" t="str">
            <v>РОССИЯ, 191025, Санкт-Петербург г, Невский пр-кт, дом 88, квартира 13</v>
          </cell>
          <cell r="F679" t="str">
            <v>Москва</v>
          </cell>
          <cell r="G679">
            <v>0.66009259259259256</v>
          </cell>
          <cell r="H679">
            <v>0.91009259259259256</v>
          </cell>
          <cell r="I679" t="str">
            <v>ОК</v>
          </cell>
          <cell r="J679" t="str">
            <v>ОК</v>
          </cell>
        </row>
        <row r="680">
          <cell r="B680" t="str">
            <v>В-23782/КЛ.Транш - 4</v>
          </cell>
          <cell r="C680" t="str">
            <v>РОССИЯ, 127521, Москва г, Старомарьинское ш, дом 16, квартира 66</v>
          </cell>
          <cell r="D680" t="str">
            <v>РОССИЯ, 127521, Москва г, Старомарьинское ш, дом 16, квартира 66</v>
          </cell>
          <cell r="F680" t="str">
            <v>Москва</v>
          </cell>
          <cell r="G680">
            <v>0.66009259259259256</v>
          </cell>
          <cell r="H680">
            <v>0.91009259259259256</v>
          </cell>
          <cell r="I680" t="str">
            <v>ОК</v>
          </cell>
          <cell r="J680" t="str">
            <v>ОК</v>
          </cell>
        </row>
        <row r="681">
          <cell r="B681" t="str">
            <v>В-23782/КЛ.Транш - 5</v>
          </cell>
          <cell r="C681" t="str">
            <v>РОССИЯ, 127521, Москва г, Старомарьинское ш, дом 16, квартира 66</v>
          </cell>
          <cell r="D681" t="str">
            <v>РОССИЯ, 127521, Москва г, Старомарьинское ш, дом 16, квартира 66</v>
          </cell>
          <cell r="F681" t="str">
            <v>Москва</v>
          </cell>
          <cell r="G681">
            <v>0.66009259259259256</v>
          </cell>
          <cell r="H681">
            <v>0.91009259259259256</v>
          </cell>
          <cell r="I681" t="str">
            <v>ОК</v>
          </cell>
          <cell r="J681" t="str">
            <v>ОК</v>
          </cell>
        </row>
        <row r="682">
          <cell r="B682" t="str">
            <v>В-03465/КЛ.Транш - 1</v>
          </cell>
          <cell r="C682" t="str">
            <v>РОССИЯ, 353994, Краснодарский край, Новороссийск г, Северная Озереевка с, Можжевеловая ул, дом 7</v>
          </cell>
          <cell r="D682" t="str">
            <v>РОССИЯ, 353994, Краснодарский край, Новороссийск г, Северная Озереевка с, Можжевеловая ул, дом 7</v>
          </cell>
          <cell r="F682" t="str">
            <v>Краснодарский</v>
          </cell>
          <cell r="G682">
            <v>0.66009259259259256</v>
          </cell>
          <cell r="H682">
            <v>0.91009259259259256</v>
          </cell>
          <cell r="I682" t="str">
            <v>ОК</v>
          </cell>
          <cell r="J682" t="str">
            <v>ОК</v>
          </cell>
        </row>
        <row r="683">
          <cell r="B683" t="str">
            <v>В-17095/КЛ.Транш - 1</v>
          </cell>
          <cell r="C683" t="str">
            <v>РОССИЯ, 143405, Московская обл, г Красногорск, ул Молодежная, д. 4, кв. 807</v>
          </cell>
          <cell r="D683" t="str">
            <v>РОССИЯ, 143405, Московская обл, г Красногорск, ул Молодежная, д. 4, кв. 807</v>
          </cell>
          <cell r="F683" t="str">
            <v>Московская</v>
          </cell>
          <cell r="G683">
            <v>0.66009259259259256</v>
          </cell>
          <cell r="H683">
            <v>0.91009259259259256</v>
          </cell>
          <cell r="I683" t="str">
            <v>ОК</v>
          </cell>
          <cell r="J683" t="str">
            <v>ОК</v>
          </cell>
        </row>
        <row r="684">
          <cell r="B684" t="str">
            <v>В-17625/КЛ.Транш - 1_В-20211230/Ц</v>
          </cell>
          <cell r="C684" t="str">
            <v>РОССИЯ, 171130, Тверская обл, г Вышний Волочек, д Федово, ул Центральная, д. 12, кв. 2</v>
          </cell>
          <cell r="D684" t="str">
            <v>РОССИЯ, 153521, Ивановская обл, р-н Ивановский, с Ново-Талицы, ул Садовая, д. 12, кв. 84</v>
          </cell>
          <cell r="F684" t="str">
            <v>Ивановская</v>
          </cell>
          <cell r="G684">
            <v>0.66009259259259256</v>
          </cell>
          <cell r="H684">
            <v>0.91009259259259256</v>
          </cell>
          <cell r="I684" t="str">
            <v>ОК</v>
          </cell>
          <cell r="J684" t="str">
            <v>ОК</v>
          </cell>
        </row>
        <row r="685">
          <cell r="B685" t="str">
            <v>В-11534/КЛ.Транш - 1</v>
          </cell>
          <cell r="C685" t="str">
            <v>РОССИЯ, 432063, Ульяновская обл, Ульяновск г, Дружбы Народов пр-кт, дом 5, квартира 303</v>
          </cell>
          <cell r="D685" t="str">
            <v>РОССИЯ, 143443, Московская обл, Красногорск г, Игоря Мерлушкина ул, дом 8, квартира 99</v>
          </cell>
          <cell r="F685" t="str">
            <v>Московская</v>
          </cell>
          <cell r="G685">
            <v>0.66009259259259256</v>
          </cell>
          <cell r="H685">
            <v>0.91009259259259256</v>
          </cell>
          <cell r="I685" t="str">
            <v>ОК</v>
          </cell>
          <cell r="J685" t="str">
            <v>ОК</v>
          </cell>
        </row>
        <row r="686">
          <cell r="B686" t="str">
            <v>В-11534/КЛ.Транш - 2</v>
          </cell>
          <cell r="C686" t="str">
            <v>РОССИЯ, 432063, Ульяновская обл, Ульяновск г, Дружбы Народов пр-кт, дом 5, квартира 303</v>
          </cell>
          <cell r="D686" t="str">
            <v>РОССИЯ, 143443, Московская обл, Красногорск г, Игоря Мерлушкина ул, дом 8, квартира 99</v>
          </cell>
          <cell r="F686" t="str">
            <v>Московская</v>
          </cell>
          <cell r="G686">
            <v>0.66009259259259256</v>
          </cell>
          <cell r="H686">
            <v>0.91009259259259256</v>
          </cell>
          <cell r="I686" t="str">
            <v>ОК</v>
          </cell>
          <cell r="J686" t="str">
            <v>ОК</v>
          </cell>
        </row>
        <row r="687">
          <cell r="B687" t="str">
            <v>А-00063/БЭ</v>
          </cell>
          <cell r="C687" t="str">
            <v>РОССИЯ, 143363, Московская обл, Наро-Фоминский р-н, Апрелевка г, Березовая аллея ул, дом № 5, корпус 1, квартира 1</v>
          </cell>
          <cell r="D687" t="str">
            <v>РОССИЯ, 143363, Московская обл, Наро-Фоминский р-н, Апрелевка г, Березовая аллея ул, дом № 5, корпус 1, квартира 1</v>
          </cell>
          <cell r="F687" t="str">
            <v>Московская</v>
          </cell>
          <cell r="G687">
            <v>0.66009259259259256</v>
          </cell>
          <cell r="H687">
            <v>0.91009259259259256</v>
          </cell>
          <cell r="I687" t="str">
            <v>ОК</v>
          </cell>
          <cell r="J687" t="str">
            <v>ОК</v>
          </cell>
        </row>
        <row r="688">
          <cell r="B688" t="str">
            <v>Т-00038/БЭ_Т-20211028/Ц</v>
          </cell>
          <cell r="C688" t="str">
            <v>РОССИЯ, 143363, Московская обл, Наро-Фоминский р-н, Апрелевка г, Березовая аллея ул, дом № 5, корпус 1, квартира 1</v>
          </cell>
          <cell r="D688" t="str">
            <v>РОССИЯ, 143363, Московская обл, Наро-Фоминский р-н, Апрелевка г, Березовая аллея ул, дом № 5, корпус 1, квартира 1</v>
          </cell>
          <cell r="F688" t="str">
            <v>Московская</v>
          </cell>
          <cell r="G688">
            <v>0.66009259259259256</v>
          </cell>
          <cell r="H688">
            <v>0.91009259259259256</v>
          </cell>
          <cell r="I688" t="str">
            <v>ОК</v>
          </cell>
          <cell r="J688" t="str">
            <v>ОК</v>
          </cell>
        </row>
        <row r="689">
          <cell r="B689" t="str">
            <v>В-18216/КЛ.Транш - 1_В-20211230/Ц</v>
          </cell>
          <cell r="C689" t="str">
            <v>РОССИЯ, Ленинградская обл, р-н Кингисеппский, д Большая Пустомержа, д. 17</v>
          </cell>
          <cell r="D689" t="str">
            <v>РОССИЯ, Ленинградская обл, р-н Кингисеппский, д Большая Пустомержа, д. 17</v>
          </cell>
          <cell r="F689" t="str">
            <v>Ленинградская</v>
          </cell>
          <cell r="G689">
            <v>0.66009259259259256</v>
          </cell>
          <cell r="H689">
            <v>0.91009259259259256</v>
          </cell>
          <cell r="I689" t="str">
            <v>ОК</v>
          </cell>
          <cell r="J689" t="str">
            <v>ОК</v>
          </cell>
        </row>
        <row r="690">
          <cell r="B690" t="str">
            <v>В-17061/КЛ.Транш - 1</v>
          </cell>
          <cell r="C690" t="str">
            <v>РОССИЯ, 117418, Москва г, ул Новочерёмушкинская, д. 50, кв. 646</v>
          </cell>
          <cell r="D690" t="str">
            <v>РОССИЯ, 123154, Москва г, наб. Карамышевская, д. 62, к. 1, кв. 89</v>
          </cell>
          <cell r="F690" t="str">
            <v>Москва</v>
          </cell>
          <cell r="G690">
            <v>0.66009259259259256</v>
          </cell>
          <cell r="H690">
            <v>0.91009259259259256</v>
          </cell>
          <cell r="I690" t="str">
            <v>ОК</v>
          </cell>
          <cell r="J690" t="str">
            <v>ОК</v>
          </cell>
        </row>
        <row r="691">
          <cell r="B691" t="str">
            <v>А-05285/АЗ_Т-20200626/Ц</v>
          </cell>
          <cell r="C691" t="str">
            <v>РОССИЯ, 141014, Московская обл, Мытищи г, Семашко ул, дом № 26, корпус 1, квартира 93</v>
          </cell>
          <cell r="D691" t="str">
            <v>РОССИЯ, 141014, Московская обл, Мытищи г, Семашко ул, дом № 26, корпус 1, квартира 93</v>
          </cell>
          <cell r="F691" t="str">
            <v>Московская</v>
          </cell>
          <cell r="G691">
            <v>0.66009259259259256</v>
          </cell>
          <cell r="H691">
            <v>0.91009259259259256</v>
          </cell>
          <cell r="I691" t="str">
            <v>ОК</v>
          </cell>
          <cell r="J691" t="str">
            <v>ОК</v>
          </cell>
        </row>
        <row r="692">
          <cell r="B692" t="str">
            <v>Т-01775/АЗ_Т-20200626/Ц</v>
          </cell>
          <cell r="C692" t="str">
            <v>РОССИЯ, 141014, Московская обл, Мытищи г, Семашко ул, дом № 26, корпус 1, квартира 93</v>
          </cell>
          <cell r="D692" t="str">
            <v>РОССИЯ, 141014, Московская обл, Мытищи г, Семашко ул, дом № 26, корпус 1, квартира 93</v>
          </cell>
          <cell r="F692" t="str">
            <v>Московская</v>
          </cell>
          <cell r="G692">
            <v>0.66009259259259256</v>
          </cell>
          <cell r="H692">
            <v>0.91009259259259256</v>
          </cell>
          <cell r="I692" t="str">
            <v>ОК</v>
          </cell>
          <cell r="J692" t="str">
            <v>ОК</v>
          </cell>
        </row>
        <row r="693">
          <cell r="B693" t="str">
            <v>В-12551/КЛ.Транш - 1_В-20211230/Ц</v>
          </cell>
          <cell r="C693" t="str">
            <v>РОССИЯ, 461350, Оренбургская обл, Илекский р-н, Илек с, Школьная ул, дом 81</v>
          </cell>
          <cell r="D693" t="str">
            <v>РОССИЯ, 461350, Оренбургская обл, Илекский р-н, Илек с, Школьная ул, дом 81</v>
          </cell>
          <cell r="F693" t="str">
            <v>Оренбургская</v>
          </cell>
          <cell r="G693">
            <v>0.66009259259259256</v>
          </cell>
          <cell r="H693">
            <v>0.99342592592592593</v>
          </cell>
          <cell r="I693" t="str">
            <v>поздно</v>
          </cell>
          <cell r="J693" t="str">
            <v>ОК</v>
          </cell>
        </row>
        <row r="694">
          <cell r="B694" t="str">
            <v>В-17362/КЛ.Транш - 1_В-20211230/Ц</v>
          </cell>
          <cell r="C694" t="str">
            <v>РОССИЯ, 347839, Ростовская обл, р-н Каменский, х Михайловка, ул Профильная, двлд. 30</v>
          </cell>
          <cell r="D694" t="str">
            <v>РОССИЯ, 109428, Москва г, вн.тер.г. муниципальный округ Рязанский, ул Коновалова, д. 16А, кв. 2</v>
          </cell>
          <cell r="F694" t="str">
            <v>Москва</v>
          </cell>
          <cell r="G694">
            <v>0.66009259259259256</v>
          </cell>
          <cell r="H694">
            <v>0.91009259259259256</v>
          </cell>
          <cell r="I694" t="str">
            <v>ОК</v>
          </cell>
          <cell r="J694" t="str">
            <v>ОК</v>
          </cell>
        </row>
        <row r="695">
          <cell r="B695" t="str">
            <v>В-00972/АЗ</v>
          </cell>
          <cell r="C695" t="str">
            <v>РОССИЯ, 121609, Москва г, Рублёвское ш, дом 38, корпус 1, квартира 64</v>
          </cell>
          <cell r="D695" t="str">
            <v>РОССИЯ, 143057, Московская обл, Одинцовский р-н, Улитино д, дом 38А</v>
          </cell>
          <cell r="F695" t="str">
            <v>Московская</v>
          </cell>
          <cell r="G695">
            <v>0.66009259259259256</v>
          </cell>
          <cell r="H695">
            <v>0.91009259259259256</v>
          </cell>
          <cell r="I695" t="str">
            <v>ОК</v>
          </cell>
          <cell r="J695" t="str">
            <v>ОК</v>
          </cell>
        </row>
        <row r="696">
          <cell r="B696" t="str">
            <v>В-01146/АЗ</v>
          </cell>
          <cell r="C696" t="str">
            <v>РОССИЯ, 196657, Санкт-Петербург г, г Колпино, ул Пролетарская, д. 50, к. 2, литера А, кв. 36</v>
          </cell>
          <cell r="D696" t="str">
            <v>РОССИЯ, 196657, Санкт-Петербург г, Колпино г, Пролетарская ул, дом № 50, корпус 2, квартира 36</v>
          </cell>
          <cell r="F696" t="str">
            <v>Москва</v>
          </cell>
          <cell r="G696">
            <v>0.66009259259259256</v>
          </cell>
          <cell r="H696">
            <v>0.91009259259259256</v>
          </cell>
          <cell r="I696" t="str">
            <v>ОК</v>
          </cell>
          <cell r="J696" t="str">
            <v>ОК</v>
          </cell>
        </row>
        <row r="697">
          <cell r="B697" t="str">
            <v>В-01145/АЗ</v>
          </cell>
          <cell r="C697" t="str">
            <v>РОССИЯ, 196657, Санкт-Петербург г, г Колпино, ул Пролетарская, д. 50, к. 2, литера А, кв. 36</v>
          </cell>
          <cell r="D697" t="str">
            <v>РОССИЯ, 196657, Санкт-Петербург г, Колпино г, Пролетарская ул, дом 50, корпус 2, квартира 36</v>
          </cell>
          <cell r="F697" t="str">
            <v>Москва</v>
          </cell>
          <cell r="G697">
            <v>0.66009259259259256</v>
          </cell>
          <cell r="H697">
            <v>0.91009259259259256</v>
          </cell>
          <cell r="I697" t="str">
            <v>ОК</v>
          </cell>
          <cell r="J697" t="str">
            <v>ОК</v>
          </cell>
        </row>
        <row r="698">
          <cell r="B698" t="str">
            <v>А-05208/АЗ</v>
          </cell>
          <cell r="C698" t="str">
            <v>РОССИЯ, 354008, Краснодарский край, Центральный р-н, Рахманинова пер, дом № 23/4</v>
          </cell>
          <cell r="D698" t="str">
            <v>РОССИЯ, 354008, Краснодарский край, Центральный р-н, Рахманинова пер, дом № 23/4</v>
          </cell>
          <cell r="F698" t="str">
            <v>Краснодарский</v>
          </cell>
          <cell r="G698">
            <v>0.66009259259259256</v>
          </cell>
          <cell r="H698">
            <v>0.91009259259259256</v>
          </cell>
          <cell r="I698" t="str">
            <v>ОК</v>
          </cell>
          <cell r="J698" t="str">
            <v>ОК</v>
          </cell>
        </row>
        <row r="699">
          <cell r="B699" t="str">
            <v>Т-01758/АЗ_А-20200626/Ц</v>
          </cell>
          <cell r="C699" t="str">
            <v>РОССИЯ, 354008, Краснодарский край, Центральный р-н, Рахманинова пер, дом № 23/4</v>
          </cell>
          <cell r="D699" t="str">
            <v>РОССИЯ, 354008, Краснодарский край, Центральный р-н, Рахманинова пер, дом № 23/4</v>
          </cell>
          <cell r="F699" t="str">
            <v>Краснодарский</v>
          </cell>
          <cell r="G699">
            <v>0.66009259259259256</v>
          </cell>
          <cell r="H699">
            <v>0.91009259259259256</v>
          </cell>
          <cell r="I699" t="str">
            <v>ОК</v>
          </cell>
          <cell r="J699" t="str">
            <v>ОК</v>
          </cell>
        </row>
        <row r="700">
          <cell r="B700" t="str">
            <v>В-19662/КЛ.Транш - 1</v>
          </cell>
          <cell r="C700" t="str">
            <v>РОССИЯ, 143091, Московская обл, г Краснознаменск, ул Генерала Шлыкова, д. 5А, кв. 70</v>
          </cell>
          <cell r="D700" t="str">
            <v>РОССИЯ, 143090, Московская обл, г Краснознаменск, пр-кт Мира, д. 17, кв. 45</v>
          </cell>
          <cell r="F700" t="str">
            <v>Московская</v>
          </cell>
          <cell r="G700">
            <v>0.66009259259259256</v>
          </cell>
          <cell r="H700">
            <v>0.91009259259259256</v>
          </cell>
          <cell r="I700" t="str">
            <v>ОК</v>
          </cell>
          <cell r="J700" t="str">
            <v>ОК</v>
          </cell>
        </row>
        <row r="701">
          <cell r="B701" t="str">
            <v>В-28544/КЛ.Транш - 1</v>
          </cell>
          <cell r="C701" t="str">
            <v>РОССИЯ, 352596, Краснодарский край, м.р-н Мостовский, с.п. Костромское, ст-ца Костромская, ул Гайдара, д. 18, кв. 4</v>
          </cell>
          <cell r="D701" t="str">
            <v>РОССИЯ, 352596, Краснодарский край, м.р-н Мостовский, с.п. Костромское, ст-ца Костромская, ул Гайдара, д. 18, кв. 4</v>
          </cell>
          <cell r="F701" t="str">
            <v>Краснодарский</v>
          </cell>
          <cell r="G701">
            <v>0.66009259259259256</v>
          </cell>
          <cell r="H701">
            <v>0.91009259259259256</v>
          </cell>
          <cell r="I701" t="str">
            <v>ОК</v>
          </cell>
          <cell r="J701" t="str">
            <v>ОК</v>
          </cell>
        </row>
        <row r="702">
          <cell r="B702" t="str">
            <v>В-09203/КЛ.Транш - 1</v>
          </cell>
          <cell r="C702" t="str">
            <v>РОССИЯ, 170042, Тверская обл, Тверь г, Благоева ул, дом 3, корпус 3, квартира 28</v>
          </cell>
          <cell r="D702" t="str">
            <v>РОССИЯ, 170042, Тверская обл, Тверь г, Благоева ул, дом 3, корпус 3, квартира 28</v>
          </cell>
          <cell r="F702" t="str">
            <v>Тверская</v>
          </cell>
          <cell r="G702">
            <v>0.66009259259259256</v>
          </cell>
          <cell r="H702">
            <v>0.91009259259259256</v>
          </cell>
          <cell r="I702" t="str">
            <v>ОК</v>
          </cell>
          <cell r="J702" t="str">
            <v>ОК</v>
          </cell>
        </row>
        <row r="703">
          <cell r="B703" t="str">
            <v>В-16915/КЛ.Транш - 1_В-20211230/Ц</v>
          </cell>
          <cell r="C703" t="str">
            <v>РОССИЯ, 690066, Приморский край, г Владивосток, ул Шилкинская, д. 11А, кв. 66</v>
          </cell>
          <cell r="D703" t="str">
            <v>РОССИЯ, 690066, Приморский край, г Владивосток, ул Шилкинская, д. 11А, кв. 66</v>
          </cell>
          <cell r="F703" t="str">
            <v>Приморский</v>
          </cell>
          <cell r="G703">
            <v>0.66009259259259256</v>
          </cell>
          <cell r="H703">
            <v>0.20175925925925919</v>
          </cell>
          <cell r="I703" t="str">
            <v>поздно</v>
          </cell>
          <cell r="J703" t="str">
            <v>поздно</v>
          </cell>
        </row>
        <row r="704">
          <cell r="B704" t="str">
            <v>В-00320/КЛ.Транш - 1</v>
          </cell>
          <cell r="C704" t="str">
            <v>РОССИЯ, 121351, Москва г, Партизанская ул, дом № 35, корпус 1, квартира 65</v>
          </cell>
          <cell r="D704" t="str">
            <v>РОССИЯ, 121351, Москва г, Партизанская ул, дом № 35, корпус 1, квартира 65</v>
          </cell>
          <cell r="F704" t="str">
            <v>Москва</v>
          </cell>
          <cell r="G704">
            <v>0.66009259259259256</v>
          </cell>
          <cell r="H704">
            <v>0.91009259259259256</v>
          </cell>
          <cell r="I704" t="str">
            <v>ОК</v>
          </cell>
          <cell r="J704" t="str">
            <v>ОК</v>
          </cell>
        </row>
        <row r="705">
          <cell r="B705" t="str">
            <v>В-10278/КЛ.Транш - 1</v>
          </cell>
          <cell r="C705" t="str">
            <v>РОССИЯ, 141014, Московская обл, Мытищи г, 3-я Крестьянская ул, дом 23Б, квартира 2</v>
          </cell>
          <cell r="D705" t="str">
            <v>РОССИЯ, 141014, Московская обл, Мытищи г, 3-я Крестьянская ул, дом 23Б, квартира 2</v>
          </cell>
          <cell r="F705" t="str">
            <v>Московская</v>
          </cell>
          <cell r="G705">
            <v>0.66009259259259256</v>
          </cell>
          <cell r="H705">
            <v>0.91009259259259256</v>
          </cell>
          <cell r="I705" t="str">
            <v>ОК</v>
          </cell>
          <cell r="J705" t="str">
            <v>ОК</v>
          </cell>
        </row>
        <row r="706">
          <cell r="B706" t="str">
            <v>В-25747/КЛ.Транш - 1_В-20211230/Ц</v>
          </cell>
          <cell r="C706" t="str">
            <v>РОССИЯ, 398070, Липецкая обл, г Липецк, ул Осканова, д. 7, кв. 291</v>
          </cell>
          <cell r="D706" t="str">
            <v>РОССИЯ, 398070, Липецкая обл, г Липецк, ул Осканова, д. 7, кв. 291</v>
          </cell>
          <cell r="F706" t="str">
            <v>Липецкая</v>
          </cell>
          <cell r="G706">
            <v>0.66009259259259256</v>
          </cell>
          <cell r="H706">
            <v>0.91009259259259256</v>
          </cell>
          <cell r="I706" t="str">
            <v>ОК</v>
          </cell>
          <cell r="J706" t="str">
            <v>ОК</v>
          </cell>
        </row>
        <row r="707">
          <cell r="B707" t="str">
            <v>А-10045/КЭ.Транш - 2</v>
          </cell>
          <cell r="C707" t="str">
            <v>РОССИЯ, 195197, Санкт-Петербург г, Лабораторная ул, дом № 17, квартира 69</v>
          </cell>
          <cell r="D707" t="str">
            <v>РОССИЯ, 197046, Санкт-Петербург г, Мичуринская ул, дом № 19</v>
          </cell>
          <cell r="F707" t="str">
            <v>Москва</v>
          </cell>
          <cell r="G707">
            <v>0.66009259259259256</v>
          </cell>
          <cell r="H707">
            <v>0.91009259259259256</v>
          </cell>
          <cell r="I707" t="str">
            <v>ОК</v>
          </cell>
          <cell r="J707" t="str">
            <v>ОК</v>
          </cell>
        </row>
        <row r="708">
          <cell r="B708" t="str">
            <v>А-10061/КЭ.Транш - 1</v>
          </cell>
          <cell r="C708" t="str">
            <v>РОССИЯ, 190000, Санкт-Петербург г, Парашютная ул, дом № 25, корпус 1, квартира 44</v>
          </cell>
          <cell r="D708" t="str">
            <v>РОССИЯ, 190000, Санкт-Петербург г, Большой Сампсониевский пр-кт, дом № 30, корпус 2, квартира 70, Литер А</v>
          </cell>
          <cell r="F708" t="str">
            <v>Москва</v>
          </cell>
          <cell r="G708">
            <v>0.66009259259259256</v>
          </cell>
          <cell r="H708">
            <v>0.91009259259259256</v>
          </cell>
          <cell r="I708" t="str">
            <v>ОК</v>
          </cell>
          <cell r="J708" t="str">
            <v>ОК</v>
          </cell>
        </row>
        <row r="709">
          <cell r="B709" t="str">
            <v>А-10100/КЭ.Транш - 2</v>
          </cell>
          <cell r="C709" t="str">
            <v>РОССИЯ, 195276, Санкт-Петербург г, Просвещения пр-кт, дом 70, корпус 1, квартира 35</v>
          </cell>
          <cell r="D709" t="str">
            <v>РОССИЯ, 195276, Санкт-Петербург г, Просвещения пр-кт, дом 70, корпус 1, квартира 35</v>
          </cell>
          <cell r="F709" t="str">
            <v>Москва</v>
          </cell>
          <cell r="G709">
            <v>0.66009259259259256</v>
          </cell>
          <cell r="H709">
            <v>0.91009259259259256</v>
          </cell>
          <cell r="I709" t="str">
            <v>ОК</v>
          </cell>
          <cell r="J709" t="str">
            <v>ОК</v>
          </cell>
        </row>
        <row r="710">
          <cell r="B710" t="str">
            <v>А-10100/КЭ.Транш - 3</v>
          </cell>
          <cell r="C710" t="str">
            <v>РОССИЯ, 195276, Санкт-Петербург г, Просвещения пр-кт, дом 70, корпус 1, квартира 35</v>
          </cell>
          <cell r="D710" t="str">
            <v>РОССИЯ, 195276, Санкт-Петербург г, Просвещения пр-кт, дом 70, корпус 1, квартира 35</v>
          </cell>
          <cell r="F710" t="str">
            <v>Москва</v>
          </cell>
          <cell r="G710">
            <v>0.66009259259259256</v>
          </cell>
          <cell r="H710">
            <v>0.91009259259259256</v>
          </cell>
          <cell r="I710" t="str">
            <v>ОК</v>
          </cell>
          <cell r="J710" t="str">
            <v>ОК</v>
          </cell>
        </row>
        <row r="711">
          <cell r="B711" t="str">
            <v>В-00054/КЭ.Транш - 1</v>
          </cell>
          <cell r="C711" t="str">
            <v>РОССИЯ, 127247, Москва г, ш Дмитровское, д. 107, к. 4, кв. 465</v>
          </cell>
          <cell r="D711" t="str">
            <v>РОССИЯ, 127247, Москва г, ш Дмитровское, д. 107, к. 4, кв. 465</v>
          </cell>
          <cell r="F711" t="str">
            <v>Москва</v>
          </cell>
          <cell r="G711">
            <v>0.66009259259259256</v>
          </cell>
          <cell r="H711">
            <v>0.91009259259259256</v>
          </cell>
          <cell r="I711" t="str">
            <v>ОК</v>
          </cell>
          <cell r="J711" t="str">
            <v>ОК</v>
          </cell>
        </row>
        <row r="712">
          <cell r="B712" t="str">
            <v>А-00292/КЭ.Транш - 1</v>
          </cell>
          <cell r="C712" t="str">
            <v>РОССИЯ, 129626, Москва г, Мира пр-кт, дом 108, квартира 8</v>
          </cell>
          <cell r="D712" t="str">
            <v>РОССИЯ, 129626, Москва г, Мира пр-кт, дом 108, квартира 8</v>
          </cell>
          <cell r="F712" t="str">
            <v>Москва</v>
          </cell>
          <cell r="G712">
            <v>0.66009259259259256</v>
          </cell>
          <cell r="H712">
            <v>0.91009259259259256</v>
          </cell>
          <cell r="I712" t="str">
            <v>ОК</v>
          </cell>
          <cell r="J712" t="str">
            <v>ОК</v>
          </cell>
        </row>
        <row r="713">
          <cell r="B713" t="str">
            <v>В-30007/КЭ.Транш - 1</v>
          </cell>
          <cell r="C713" t="str">
            <v>РОССИЯ, 352140, Краснодарский край, р-н Кавказский, ст-ца Кавказская, ул Малиновского, д. 100</v>
          </cell>
          <cell r="D713" t="str">
            <v>РОССИЯ, 352140, Краснодарский край, р-н Кавказский, ст-ца Кавказская, ул Малиновского, д. 100</v>
          </cell>
          <cell r="F713" t="str">
            <v>Краснодарский</v>
          </cell>
          <cell r="G713">
            <v>0.66009259259259256</v>
          </cell>
          <cell r="H713">
            <v>0.91009259259259256</v>
          </cell>
          <cell r="I713" t="str">
            <v>ОК</v>
          </cell>
          <cell r="J713" t="str">
            <v>ОК</v>
          </cell>
        </row>
        <row r="714">
          <cell r="B714" t="str">
            <v>В-30007/КЭ.Транш - 2</v>
          </cell>
          <cell r="C714" t="str">
            <v>РОССИЯ, 352140, Краснодарский край, р-н Кавказский, ст-ца Кавказская, ул Малиновского, д. 100</v>
          </cell>
          <cell r="D714" t="str">
            <v>РОССИЯ, 352140, Краснодарский край, р-н Кавказский, ст-ца Кавказская, ул Малиновского, д. 100</v>
          </cell>
          <cell r="F714" t="str">
            <v>Краснодарский</v>
          </cell>
          <cell r="G714">
            <v>0.66009259259259256</v>
          </cell>
          <cell r="H714">
            <v>0.91009259259259256</v>
          </cell>
          <cell r="I714" t="str">
            <v>ОК</v>
          </cell>
          <cell r="J714" t="str">
            <v>ОК</v>
          </cell>
        </row>
        <row r="715">
          <cell r="B715" t="str">
            <v>В-00021/КЭ.Транш - 1_В-20211230/Ц</v>
          </cell>
          <cell r="C715" t="str">
            <v>РОССИЯ, 108830, Москва г, Вороновское п, ЛМС п, Солнечный городок мкр, дом 4, квартира 7</v>
          </cell>
          <cell r="D715" t="str">
            <v>РОССИЯ, 108830, Москва г, Вороновское п, ЛМС п, Солнечный городок мкр, дом 4, квартира 7</v>
          </cell>
          <cell r="F715" t="str">
            <v>Москва</v>
          </cell>
          <cell r="G715">
            <v>0.66009259259259256</v>
          </cell>
          <cell r="H715">
            <v>0.91009259259259256</v>
          </cell>
          <cell r="I715" t="str">
            <v>ОК</v>
          </cell>
          <cell r="J715" t="str">
            <v>ОК</v>
          </cell>
        </row>
        <row r="716">
          <cell r="B716" t="str">
            <v>В-00069/КЭ.Транш - 1</v>
          </cell>
          <cell r="C716" t="str">
            <v>РОССИЯ, 119071, Москва г, пр-кт Ленинский, д. 35, кв. 25</v>
          </cell>
          <cell r="D716" t="str">
            <v>РОССИЯ, 119071, Москва г, пр-кт Ленинский, д. 35, кв. 25</v>
          </cell>
          <cell r="F716" t="str">
            <v>Москва</v>
          </cell>
          <cell r="G716">
            <v>0.66009259259259256</v>
          </cell>
          <cell r="H716">
            <v>0.91009259259259256</v>
          </cell>
          <cell r="I716" t="str">
            <v>ОК</v>
          </cell>
          <cell r="J716" t="str">
            <v>ОК</v>
          </cell>
        </row>
        <row r="717">
          <cell r="B717" t="str">
            <v>В-30001/КЭ.Транш - 1</v>
          </cell>
          <cell r="C717" t="str">
            <v>РОССИЯ, 353547, Краснодарский край, Темрюкский р-н, Кучугуры п, Мира ул, дом 30</v>
          </cell>
          <cell r="D717" t="str">
            <v>РОССИЯ, 353547, Краснодарский край, Темрюкский р-н, Кучугуры п, Мира ул, дом 30</v>
          </cell>
          <cell r="F717" t="str">
            <v>Краснодарский</v>
          </cell>
          <cell r="G717">
            <v>0.66009259259259256</v>
          </cell>
          <cell r="H717">
            <v>0.91009259259259256</v>
          </cell>
          <cell r="I717" t="str">
            <v>ОК</v>
          </cell>
          <cell r="J717" t="str">
            <v>ОК</v>
          </cell>
        </row>
        <row r="718">
          <cell r="B718" t="str">
            <v>В-00060/КЭ.Транш - 1</v>
          </cell>
          <cell r="C718" t="str">
            <v>РОССИЯ, 119361, Москва г, ул Озёрная, д. 31, к. 2, кв. 31</v>
          </cell>
          <cell r="D718" t="str">
            <v>РОССИЯ, 119361, Москва г, ул Озёрная, д. 31, к. 2, кв. 31</v>
          </cell>
          <cell r="F718" t="str">
            <v>Москва</v>
          </cell>
          <cell r="G718">
            <v>0.66009259259259256</v>
          </cell>
          <cell r="H718">
            <v>0.91009259259259256</v>
          </cell>
          <cell r="I718" t="str">
            <v>ОК</v>
          </cell>
          <cell r="J718" t="str">
            <v>ОК</v>
          </cell>
        </row>
        <row r="719">
          <cell r="B719" t="str">
            <v>А-10063/КЭ.Транш - 1</v>
          </cell>
          <cell r="C719" t="str">
            <v>РОССИЯ, 190000, Санкт-Петербург г, Тореза пр-кт, дом № 44, корпус 2, квартира 299, Литер А</v>
          </cell>
          <cell r="D719" t="str">
            <v>РОССИЯ, 190000, Санкт-Петербург г, Тореза пр-кт, дом № 44, корпус 2, квартира 299, Литер А</v>
          </cell>
          <cell r="F719" t="str">
            <v>Москва</v>
          </cell>
          <cell r="G719">
            <v>0.66009259259259256</v>
          </cell>
          <cell r="H719">
            <v>0.91009259259259256</v>
          </cell>
          <cell r="I719" t="str">
            <v>ОК</v>
          </cell>
          <cell r="J719" t="str">
            <v>ОК</v>
          </cell>
        </row>
        <row r="720">
          <cell r="B720" t="str">
            <v>Т-10005/КЭ_Т-20211028/Ц</v>
          </cell>
          <cell r="C720" t="str">
            <v>РОССИЯ, 196653, Санкт-Петербург г, Колпино г, Веры Слуцкой ул, дом 19, литера А, квартира 595</v>
          </cell>
          <cell r="D720" t="str">
            <v>РОССИЯ, 196653, Санкт-Петербург г, Колпино г, Веры Слуцкой ул, дом 19, литера А, квартира 595</v>
          </cell>
          <cell r="F720" t="str">
            <v>Москва</v>
          </cell>
          <cell r="G720">
            <v>0.66009259259259256</v>
          </cell>
          <cell r="H720">
            <v>0.91009259259259256</v>
          </cell>
          <cell r="I720" t="str">
            <v>ОК</v>
          </cell>
          <cell r="J720" t="str">
            <v>ОК</v>
          </cell>
        </row>
        <row r="721">
          <cell r="B721" t="str">
            <v>Т-00004/КЭ_Т-20211028/Ц</v>
          </cell>
          <cell r="C721" t="str">
            <v>РОССИЯ, 108850, Москва г, Внуковское п, Лётчика Ульянина ул, дом 6, квартира 185</v>
          </cell>
          <cell r="D721" t="str">
            <v>РОССИЯ, 108850, Москва г, Внуковское п, Лётчика Ульянина ул, дом 6, квартира 185</v>
          </cell>
          <cell r="F721" t="str">
            <v>Москва</v>
          </cell>
          <cell r="G721">
            <v>0.66009259259259256</v>
          </cell>
          <cell r="H721">
            <v>0.91009259259259256</v>
          </cell>
          <cell r="I721" t="str">
            <v>ОК</v>
          </cell>
          <cell r="J721" t="str">
            <v>ОК</v>
          </cell>
        </row>
        <row r="722">
          <cell r="B722" t="str">
            <v>А-10087/КЭ.Транш - 1</v>
          </cell>
          <cell r="C722" t="str">
            <v>РОССИЯ, 191024, Санкт-Петербург г, 4-я Советская ул, дом № 46/8, квартира 7</v>
          </cell>
          <cell r="D722" t="str">
            <v>РОССИЯ, 191024, Санкт-Петербург г, 4-я Советская ул, дом № 46/8, квартира 7</v>
          </cell>
          <cell r="F722" t="str">
            <v>Москва</v>
          </cell>
          <cell r="G722">
            <v>0.66009259259259256</v>
          </cell>
          <cell r="H722">
            <v>0.91009259259259256</v>
          </cell>
          <cell r="I722" t="str">
            <v>ОК</v>
          </cell>
          <cell r="J722" t="str">
            <v>ОК</v>
          </cell>
        </row>
        <row r="723">
          <cell r="B723" t="str">
            <v>В-30003/КЭ.Транш - 1</v>
          </cell>
          <cell r="C723" t="str">
            <v>РОССИЯ, 350900, Краснодарский край, Краснодар г, Садовое кольцо ул, дом 13, квартира 33</v>
          </cell>
          <cell r="D723" t="str">
            <v>РОССИЯ, 350900, Краснодарский край, Краснодар г, Садовое кольцо ул, дом 13, квартира 33</v>
          </cell>
          <cell r="F723" t="str">
            <v>Краснодарский</v>
          </cell>
          <cell r="G723">
            <v>0.66009259259259256</v>
          </cell>
          <cell r="H723">
            <v>0.91009259259259256</v>
          </cell>
          <cell r="I723" t="str">
            <v>ОК</v>
          </cell>
          <cell r="J723" t="str">
            <v>ОК</v>
          </cell>
        </row>
        <row r="724">
          <cell r="B724" t="str">
            <v>А-00281/КЭ.Транш - 3</v>
          </cell>
          <cell r="C724" t="str">
            <v>РОССИЯ, 115280, Москва г, Автозаводский 2-й проезд, дом № 3, квартира 22</v>
          </cell>
          <cell r="D724" t="str">
            <v>РОССИЯ, 115280, Москва г, Автозаводский 2-й проезд, дом № 3, квартира 22</v>
          </cell>
          <cell r="F724" t="str">
            <v>Москва</v>
          </cell>
          <cell r="G724">
            <v>0.66009259259259256</v>
          </cell>
          <cell r="H724">
            <v>0.91009259259259256</v>
          </cell>
          <cell r="I724" t="str">
            <v>ОК</v>
          </cell>
          <cell r="J724" t="str">
            <v>ОК</v>
          </cell>
        </row>
        <row r="725">
          <cell r="B725" t="str">
            <v>А-00389/КЭ.Транш - 1</v>
          </cell>
          <cell r="C725" t="str">
            <v>РОССИЯ, 115280, Москва г, Автозаводский 2-й проезд, дом № 3, квартира 22</v>
          </cell>
          <cell r="D725" t="str">
            <v>РОССИЯ, 115280, Москва г, Автозаводский 2-й проезд, дом № 3, квартира 22</v>
          </cell>
          <cell r="F725" t="str">
            <v>Москва</v>
          </cell>
          <cell r="G725">
            <v>0.66009259259259256</v>
          </cell>
          <cell r="H725">
            <v>0.91009259259259256</v>
          </cell>
          <cell r="I725" t="str">
            <v>ОК</v>
          </cell>
          <cell r="J725" t="str">
            <v>ОК</v>
          </cell>
        </row>
        <row r="726">
          <cell r="B726" t="str">
            <v>А-00389/КЭ.Транш - 2</v>
          </cell>
          <cell r="C726" t="str">
            <v>РОССИЯ, 115280, Москва г, Автозаводский 2-й проезд, дом № 3, квартира 22</v>
          </cell>
          <cell r="D726" t="str">
            <v>РОССИЯ, 115280, Москва г, Автозаводский 2-й проезд, дом № 3, квартира 22</v>
          </cell>
          <cell r="F726" t="str">
            <v>Москва</v>
          </cell>
          <cell r="G726">
            <v>0.66009259259259256</v>
          </cell>
          <cell r="H726">
            <v>0.91009259259259256</v>
          </cell>
          <cell r="I726" t="str">
            <v>ОК</v>
          </cell>
          <cell r="J726" t="str">
            <v>ОК</v>
          </cell>
        </row>
        <row r="727">
          <cell r="B727" t="str">
            <v>В-00079/КЭ.Транш - 1</v>
          </cell>
          <cell r="C727" t="str">
            <v>РОССИЯ, 249026, Калужская обл, р-н Боровский, г Ермолино, ул Калинина, д. 37а</v>
          </cell>
          <cell r="D727" t="str">
            <v>РОССИЯ, 249026, Калужская обл, р-н Боровский, г Ермолино, ул Калинина, д. 37, к. А</v>
          </cell>
          <cell r="F727" t="str">
            <v>Калужская</v>
          </cell>
          <cell r="G727">
            <v>0.66009259259259256</v>
          </cell>
          <cell r="H727">
            <v>0.91009259259259256</v>
          </cell>
          <cell r="I727" t="str">
            <v>ОК</v>
          </cell>
          <cell r="J727" t="str">
            <v>ОК</v>
          </cell>
        </row>
        <row r="728">
          <cell r="B728" t="str">
            <v>В-00043/КЭ.Транш - 1</v>
          </cell>
          <cell r="C728" t="str">
            <v>РОССИЯ, 121596, Москва г, ул Говорова, д. 16, к. 1, кв. 12</v>
          </cell>
          <cell r="D728" t="str">
            <v>РОССИЯ, 121596, Москва г, ул Говорова, д. 16, к. 1, кв. 12</v>
          </cell>
          <cell r="F728" t="str">
            <v>Москва</v>
          </cell>
          <cell r="G728">
            <v>0.66009259259259256</v>
          </cell>
          <cell r="H728">
            <v>0.91009259259259256</v>
          </cell>
          <cell r="I728" t="str">
            <v>ОК</v>
          </cell>
          <cell r="J728" t="str">
            <v>ОК</v>
          </cell>
        </row>
        <row r="729">
          <cell r="B729" t="str">
            <v>Т-10006/КЭ_Т-20211028/Ц</v>
          </cell>
          <cell r="C729" t="str">
            <v>РОССИЯ, 197350, Санкт-Петербург г, Комендантский пр-кт, дом 53, корпус 3, квартира 243</v>
          </cell>
          <cell r="D729" t="str">
            <v>РОССИЯ, 197350, Санкт-Петербург г, Комендантский пр-кт, дом 53, корпус 3, квартира 243</v>
          </cell>
          <cell r="F729" t="str">
            <v>Москва</v>
          </cell>
          <cell r="G729">
            <v>0.66009259259259256</v>
          </cell>
          <cell r="H729">
            <v>0.91009259259259256</v>
          </cell>
          <cell r="I729" t="str">
            <v>ОК</v>
          </cell>
          <cell r="J729" t="str">
            <v>ОК</v>
          </cell>
        </row>
        <row r="730">
          <cell r="B730" t="str">
            <v>Т-00008/КЭ_Т-20211028/Ц</v>
          </cell>
          <cell r="C730" t="str">
            <v>РОССИЯ, 140013, Московская обл, Люберцы г, Коммунистическая ул, дом 18, квартира 121</v>
          </cell>
          <cell r="D730" t="str">
            <v>РОССИЯ, 140013, Московская обл, Люберцы г, Черемухина ул, дом 14, квартира 69</v>
          </cell>
          <cell r="F730" t="str">
            <v>Московская</v>
          </cell>
          <cell r="G730">
            <v>0.66009259259259256</v>
          </cell>
          <cell r="H730">
            <v>0.91009259259259256</v>
          </cell>
          <cell r="I730" t="str">
            <v>ОК</v>
          </cell>
          <cell r="J730" t="str">
            <v>ОК</v>
          </cell>
        </row>
        <row r="731">
          <cell r="B731" t="str">
            <v>В-00051/КЭ.Транш - 1</v>
          </cell>
          <cell r="C731" t="str">
            <v>РОССИЯ, 141420, Московская обл, г Химки, мкр. Сходня, туп 2-й Мичуринский, д. 7, к. 1, кв. 140</v>
          </cell>
          <cell r="D731" t="str">
            <v>РОССИЯ, 141420, Московская обл, г Химки, мкр. Сходня, туп 2-й Мичуринский, д. 7, к. 1, кв. 140</v>
          </cell>
          <cell r="F731" t="str">
            <v>Московская</v>
          </cell>
          <cell r="G731">
            <v>0.66009259259259256</v>
          </cell>
          <cell r="H731">
            <v>0.91009259259259256</v>
          </cell>
          <cell r="I731" t="str">
            <v>ОК</v>
          </cell>
          <cell r="J731" t="str">
            <v>ОК</v>
          </cell>
        </row>
        <row r="732">
          <cell r="B732" t="str">
            <v>А-30002/КЭ.Транш - 1</v>
          </cell>
          <cell r="C732" t="str">
            <v>РОССИЯ, 385141, Адыгея респ, Тахтамукайский р-н, Яблоновский пгт, Лаухина ул, дом № 7, квартира 1</v>
          </cell>
          <cell r="D732" t="str">
            <v>РОССИЯ, 350075, Краснодарский край, Краснодар г, им Селезнева ул, дом № 88/1, квартира 313</v>
          </cell>
          <cell r="F732" t="str">
            <v>Краснодарский</v>
          </cell>
          <cell r="G732">
            <v>0.66009259259259256</v>
          </cell>
          <cell r="H732">
            <v>0.91009259259259256</v>
          </cell>
          <cell r="I732" t="str">
            <v>ОК</v>
          </cell>
          <cell r="J732" t="str">
            <v>ОК</v>
          </cell>
        </row>
        <row r="733">
          <cell r="B733" t="str">
            <v>Т-00002/КЭ_Т-20211028/Ц</v>
          </cell>
          <cell r="C733" t="str">
            <v>РОССИЯ, 129110, Москва г, Олимпийский пр-кт, дом 22, квартира 625</v>
          </cell>
          <cell r="D733" t="str">
            <v>РОССИЯ, 129110, Москва г, Олимпийский пр-кт, дом 22, квартира 625</v>
          </cell>
          <cell r="F733" t="str">
            <v>Москва</v>
          </cell>
          <cell r="G733">
            <v>0.66009259259259256</v>
          </cell>
          <cell r="H733">
            <v>0.91009259259259256</v>
          </cell>
          <cell r="I733" t="str">
            <v>ОК</v>
          </cell>
          <cell r="J733" t="str">
            <v>ОК</v>
          </cell>
        </row>
        <row r="734">
          <cell r="B734" t="str">
            <v>А-00101/КЭ.Транш - 1</v>
          </cell>
          <cell r="C734" t="str">
            <v>РОССИЯ, 119620, Москва г, пр-кт Солнцевский, д. 19, кв. 165</v>
          </cell>
          <cell r="D734" t="str">
            <v>РОССИЯ, 119620, Москва г, пр-кт Солнцевский, д. 19, кв. 165</v>
          </cell>
          <cell r="F734" t="str">
            <v>Москва</v>
          </cell>
          <cell r="G734">
            <v>0.66009259259259256</v>
          </cell>
          <cell r="H734">
            <v>0.91009259259259256</v>
          </cell>
          <cell r="I734" t="str">
            <v>ОК</v>
          </cell>
          <cell r="J734" t="str">
            <v>ОК</v>
          </cell>
        </row>
        <row r="735">
          <cell r="B735" t="str">
            <v>А-10036/КЭ.Транш - 1</v>
          </cell>
          <cell r="C735" t="str">
            <v>РОССИЯ, Санкт-Петербург г, Волхов г, Кирова ул, дом 1, литера А, квартира 35</v>
          </cell>
          <cell r="D735" t="str">
            <v>РОССИЯ, 198216, Санкт-Петербург г, Ленинский пр-кт, дом 135, корпус 5, квартира 97</v>
          </cell>
          <cell r="F735" t="str">
            <v>Москва</v>
          </cell>
          <cell r="G735">
            <v>0.66009259259259256</v>
          </cell>
          <cell r="H735">
            <v>0.91009259259259256</v>
          </cell>
          <cell r="I735" t="str">
            <v>ОК</v>
          </cell>
          <cell r="J735" t="str">
            <v>ОК</v>
          </cell>
        </row>
        <row r="736">
          <cell r="B736" t="str">
            <v>Т-00001/КЭ_Т-20211028/Ц</v>
          </cell>
          <cell r="C736" t="str">
            <v>РОССИЯ, 119571, Москва г, Академика Анохина ул, дом 56, квартира 143</v>
          </cell>
          <cell r="D736" t="str">
            <v>РОССИЯ, 125252, Москва г, Песчаный пер, дом 4, квартира 196</v>
          </cell>
          <cell r="F736" t="str">
            <v>Москва</v>
          </cell>
          <cell r="G736">
            <v>0.66009259259259256</v>
          </cell>
          <cell r="H736">
            <v>0.91009259259259256</v>
          </cell>
          <cell r="I736" t="str">
            <v>ОК</v>
          </cell>
          <cell r="J736" t="str">
            <v>ОК</v>
          </cell>
        </row>
        <row r="737">
          <cell r="B737" t="str">
            <v>В-00081/КЭ.Транш - 1</v>
          </cell>
          <cell r="C737" t="str">
            <v>РОССИЯ, 624140, Свердловская обл, г Кировград, ул Свердлова, д. 62, кв. 48</v>
          </cell>
          <cell r="D737" t="str">
            <v>РОССИЯ, 624140, Свердловская обл, г Кировград, ул Свердлова, д. 62, кв. 48</v>
          </cell>
          <cell r="F737" t="str">
            <v>Свердловская</v>
          </cell>
          <cell r="G737">
            <v>0.66009259259259256</v>
          </cell>
          <cell r="H737">
            <v>0.99342592592592593</v>
          </cell>
          <cell r="I737" t="str">
            <v>поздно</v>
          </cell>
          <cell r="J737" t="str">
            <v>ОК</v>
          </cell>
        </row>
        <row r="738">
          <cell r="B738" t="str">
            <v>А-00314/КЭ.Транш - 1</v>
          </cell>
          <cell r="C738" t="str">
            <v>РОССИЯ, 111558, Москва г, Федеративный пр-кт, дом № 39, квартира 58</v>
          </cell>
          <cell r="D738" t="str">
            <v>РОССИЯ, 111558, Москва г, Федеративный пр-кт, дом № 39, квартира 58</v>
          </cell>
          <cell r="F738" t="str">
            <v>Москва</v>
          </cell>
          <cell r="G738">
            <v>0.66009259259259256</v>
          </cell>
          <cell r="H738">
            <v>0.91009259259259256</v>
          </cell>
          <cell r="I738" t="str">
            <v>ОК</v>
          </cell>
          <cell r="J738" t="str">
            <v>ОК</v>
          </cell>
        </row>
        <row r="739">
          <cell r="B739" t="str">
            <v>В-10006/КЭ.Транш - 1</v>
          </cell>
          <cell r="C739" t="str">
            <v>РОССИЯ, 196084, Санкт-Петербург г, Московский пр-кт, дом 73, литера 4, квартира 338</v>
          </cell>
          <cell r="D739" t="str">
            <v>РОССИЯ, 196084, Санкт-Петербург г, Московский пр-кт, дом 73, корпус 4, квартира 338</v>
          </cell>
          <cell r="F739" t="str">
            <v>Москва</v>
          </cell>
          <cell r="G739">
            <v>0.66009259259259256</v>
          </cell>
          <cell r="H739">
            <v>0.91009259259259256</v>
          </cell>
          <cell r="I739" t="str">
            <v>ОК</v>
          </cell>
          <cell r="J739" t="str">
            <v>ОК</v>
          </cell>
        </row>
        <row r="740">
          <cell r="B740" t="str">
            <v>А-10066/КЭ.Транш - 2</v>
          </cell>
          <cell r="C740" t="str">
            <v>РОССИЯ, 199397, Санкт-Петербург г, Новосмоленская наб, дом № 1, квартира 496</v>
          </cell>
          <cell r="D740" t="str">
            <v>РОССИЯ, 199397, Санкт-Петербург г, Новосмоленская наб, дом № 1, квартира 496</v>
          </cell>
          <cell r="F740" t="str">
            <v>Москва</v>
          </cell>
          <cell r="G740">
            <v>0.66009259259259256</v>
          </cell>
          <cell r="H740">
            <v>0.91009259259259256</v>
          </cell>
          <cell r="I740" t="str">
            <v>ОК</v>
          </cell>
          <cell r="J740" t="str">
            <v>ОК</v>
          </cell>
        </row>
        <row r="741">
          <cell r="B741" t="str">
            <v>А-10066/КЭ.Транш - 3</v>
          </cell>
          <cell r="C741" t="str">
            <v>РОССИЯ, 199397, Санкт-Петербург г, Новосмоленская наб, дом № 1, квартира 496</v>
          </cell>
          <cell r="D741" t="str">
            <v>РОССИЯ, 199397, Санкт-Петербург г, Новосмоленская наб, дом № 1, квартира 496</v>
          </cell>
          <cell r="F741" t="str">
            <v>Москва</v>
          </cell>
          <cell r="G741">
            <v>0.66009259259259256</v>
          </cell>
          <cell r="H741">
            <v>0.91009259259259256</v>
          </cell>
          <cell r="I741" t="str">
            <v>ОК</v>
          </cell>
          <cell r="J741" t="str">
            <v>ОК</v>
          </cell>
        </row>
        <row r="742">
          <cell r="B742" t="str">
            <v>А-10066/КЭ.Транш - 4</v>
          </cell>
          <cell r="C742" t="str">
            <v>РОССИЯ, 199397, Санкт-Петербург г, Новосмоленская наб, дом № 1, квартира 496</v>
          </cell>
          <cell r="D742" t="str">
            <v>РОССИЯ, 199397, Санкт-Петербург г, Новосмоленская наб, дом № 1, квартира 496</v>
          </cell>
          <cell r="F742" t="str">
            <v>Москва</v>
          </cell>
          <cell r="G742">
            <v>0.66009259259259256</v>
          </cell>
          <cell r="H742">
            <v>0.91009259259259256</v>
          </cell>
          <cell r="I742" t="str">
            <v>ОК</v>
          </cell>
          <cell r="J742" t="str">
            <v>ОК</v>
          </cell>
        </row>
        <row r="743">
          <cell r="B743" t="str">
            <v>В-00063/КЭ.Транш - 3</v>
          </cell>
          <cell r="C743" t="str">
            <v>РОССИЯ, 248009, Калужская обл, г Калуга, ш Грабцевское, д. 22А, кв. 7</v>
          </cell>
          <cell r="D743" t="str">
            <v>РОССИЯ, 143001, Московская обл, г Одинцово, ул Чистяковой, д. 65, кв. 29</v>
          </cell>
          <cell r="F743" t="str">
            <v>Московская</v>
          </cell>
          <cell r="G743">
            <v>0.66009259259259256</v>
          </cell>
          <cell r="H743">
            <v>0.91009259259259256</v>
          </cell>
          <cell r="I743" t="str">
            <v>ОК</v>
          </cell>
          <cell r="J743" t="str">
            <v>ОК</v>
          </cell>
        </row>
        <row r="744">
          <cell r="B744" t="str">
            <v>А-00255/КЭ.Транш - 1</v>
          </cell>
          <cell r="C744" t="str">
            <v>РОССИЯ, 117628, Москва г, Знаменские Садки ул, дом № 9, корпус 1, квартира 251</v>
          </cell>
          <cell r="D744" t="str">
            <v>РОССИЯ, 140010, Московская обл, Люберцы г, Барыкина ул, дом № 10, корпус 2, квартира 437</v>
          </cell>
          <cell r="F744" t="str">
            <v>Московская</v>
          </cell>
          <cell r="G744">
            <v>0.66009259259259256</v>
          </cell>
          <cell r="H744">
            <v>0.91009259259259256</v>
          </cell>
          <cell r="I744" t="str">
            <v>ОК</v>
          </cell>
          <cell r="J744" t="str">
            <v>ОК</v>
          </cell>
        </row>
        <row r="745">
          <cell r="B745" t="str">
            <v>А-00309/КЭ.Транш - 1</v>
          </cell>
          <cell r="C745" t="str">
            <v>РОССИЯ, Московская обл, Ленинский р-н, Дроздов д, дом 108</v>
          </cell>
          <cell r="D745" t="str">
            <v>РОССИЯ, Московская обл, Ленинский р-н, Дроздов д, дом 108</v>
          </cell>
          <cell r="F745" t="str">
            <v>Московская</v>
          </cell>
          <cell r="G745">
            <v>0.66009259259259256</v>
          </cell>
          <cell r="H745">
            <v>0.91009259259259256</v>
          </cell>
          <cell r="I745" t="str">
            <v>ОК</v>
          </cell>
          <cell r="J745" t="str">
            <v>ОК</v>
          </cell>
        </row>
        <row r="746">
          <cell r="B746" t="str">
            <v>А-00309/КЭ.Транш - 2</v>
          </cell>
          <cell r="C746" t="str">
            <v>РОССИЯ, Московская обл, Ленинский р-н, Дроздов д, дом 108</v>
          </cell>
          <cell r="D746" t="str">
            <v>РОССИЯ, Московская обл, Ленинский р-н, Дроздов д, дом 108</v>
          </cell>
          <cell r="F746" t="str">
            <v>Московская</v>
          </cell>
          <cell r="G746">
            <v>0.66009259259259256</v>
          </cell>
          <cell r="H746">
            <v>0.91009259259259256</v>
          </cell>
          <cell r="I746" t="str">
            <v>ОК</v>
          </cell>
          <cell r="J746" t="str">
            <v>ОК</v>
          </cell>
        </row>
        <row r="747">
          <cell r="B747" t="str">
            <v>В-00052/КЭ.Транш - 1</v>
          </cell>
          <cell r="C747" t="str">
            <v>РОССИЯ, 454111, Челябинская обл, г Челябинск, ул Доватора, д. 10А, кв. 129</v>
          </cell>
          <cell r="D747" t="str">
            <v>РОССИЯ, 454111, Челябинская обл, г Челябинск, ул Доватора, д. 10А, кв. 129</v>
          </cell>
          <cell r="F747" t="str">
            <v>Челябинская</v>
          </cell>
          <cell r="G747">
            <v>0.66009259259259256</v>
          </cell>
          <cell r="H747">
            <v>0.99342592592592593</v>
          </cell>
          <cell r="I747" t="str">
            <v>поздно</v>
          </cell>
          <cell r="J747" t="str">
            <v>ОК</v>
          </cell>
        </row>
        <row r="748">
          <cell r="B748" t="str">
            <v>В-10025/КЭ.Транш - 1</v>
          </cell>
          <cell r="C748" t="str">
            <v>РОССИЯ, Санкт-Петербург г, ул Октябрьская, д. 17/3, кв. 43</v>
          </cell>
          <cell r="D748" t="str">
            <v>РОССИЯ, Санкт-Петербург г, ул Октябрьская, д. 17/3, кв. 43</v>
          </cell>
          <cell r="F748" t="str">
            <v>Москва</v>
          </cell>
          <cell r="G748">
            <v>0.66009259259259256</v>
          </cell>
          <cell r="H748">
            <v>0.91009259259259256</v>
          </cell>
          <cell r="I748" t="str">
            <v>ОК</v>
          </cell>
          <cell r="J748" t="str">
            <v>ОК</v>
          </cell>
        </row>
        <row r="749">
          <cell r="B749" t="str">
            <v>В-30002/КЭ.Транш - 2</v>
          </cell>
          <cell r="C749" t="str">
            <v>РОССИЯ, 350066, Краснодарский край, Краснодар г, Симферопольская ул, дом 3, квартира 101</v>
          </cell>
          <cell r="D749" t="str">
            <v>РОССИЯ, 352040, Краснодарский край, Павловский р-н, Павловская ст-ца, Пащенко ул, дом 1</v>
          </cell>
          <cell r="F749" t="str">
            <v>Краснодарский</v>
          </cell>
          <cell r="G749">
            <v>0.66009259259259256</v>
          </cell>
          <cell r="H749">
            <v>0.91009259259259256</v>
          </cell>
          <cell r="I749" t="str">
            <v>ОК</v>
          </cell>
          <cell r="J749" t="str">
            <v>ОК</v>
          </cell>
        </row>
        <row r="750">
          <cell r="B750" t="str">
            <v>А-30005/КЭ.Транш - 1</v>
          </cell>
          <cell r="C750" t="str">
            <v>РОССИЯ, 353231, Краснодарский край, Северский р-н, Ильский пгт, Свердлова ул, дом 145</v>
          </cell>
          <cell r="D750" t="str">
            <v>РОССИЯ, 353231, Краснодарский край, Северский р-н, Ильский пгт, Свердлова ул, дом 145</v>
          </cell>
          <cell r="F750" t="str">
            <v>Краснодарский</v>
          </cell>
          <cell r="G750">
            <v>0.66009259259259256</v>
          </cell>
          <cell r="H750">
            <v>0.91009259259259256</v>
          </cell>
          <cell r="I750" t="str">
            <v>ОК</v>
          </cell>
          <cell r="J750" t="str">
            <v>ОК</v>
          </cell>
        </row>
        <row r="751">
          <cell r="B751" t="str">
            <v>А-00418/КЭ.Транш - 1</v>
          </cell>
          <cell r="C751" t="str">
            <v>РОССИЯ, 129626, Москва г, Рижский проезд, дом 5, квартира 56</v>
          </cell>
          <cell r="D751" t="str">
            <v>РОССИЯ, 129626, Москва г, Рижский проезд, дом 5, квартира 56</v>
          </cell>
          <cell r="F751" t="str">
            <v>Москва</v>
          </cell>
          <cell r="G751">
            <v>0.66009259259259256</v>
          </cell>
          <cell r="H751">
            <v>0.91009259259259256</v>
          </cell>
          <cell r="I751" t="str">
            <v>ОК</v>
          </cell>
          <cell r="J751" t="str">
            <v>ОК</v>
          </cell>
        </row>
        <row r="752">
          <cell r="B752" t="str">
            <v>В-00047/КЭ.Транш - 1</v>
          </cell>
          <cell r="C752" t="str">
            <v>РОССИЯ, 607225, Нижегородская обл, г Арзамас, ул Пугачёва, д. 5</v>
          </cell>
          <cell r="D752" t="str">
            <v>РОССИЯ, 607225, Краснодарский край, г Сочи, ул Параллельная, д. 10, кв. 3</v>
          </cell>
          <cell r="F752" t="str">
            <v>Краснодарский</v>
          </cell>
          <cell r="G752">
            <v>0.66009259259259256</v>
          </cell>
          <cell r="H752">
            <v>0.91009259259259256</v>
          </cell>
          <cell r="I752" t="str">
            <v>ОК</v>
          </cell>
          <cell r="J752" t="str">
            <v>ОК</v>
          </cell>
        </row>
        <row r="753">
          <cell r="B753" t="str">
            <v>В-00047/КЭ.Транш - 2</v>
          </cell>
          <cell r="C753" t="str">
            <v>РОССИЯ, 607225, Нижегородская обл, г Арзамас, ул Пугачёва, д. 5</v>
          </cell>
          <cell r="D753" t="str">
            <v>РОССИЯ, 607225, Краснодарский край, г Сочи, ул Параллельная, д. 10, кв. 3</v>
          </cell>
          <cell r="F753" t="str">
            <v>Краснодарский</v>
          </cell>
          <cell r="G753">
            <v>0.66009259259259256</v>
          </cell>
          <cell r="H753">
            <v>0.91009259259259256</v>
          </cell>
          <cell r="I753" t="str">
            <v>ОК</v>
          </cell>
          <cell r="J753" t="str">
            <v>ОК</v>
          </cell>
        </row>
        <row r="754">
          <cell r="B754" t="str">
            <v>А-00467/КЭ.Транш - 1</v>
          </cell>
          <cell r="C754" t="str">
            <v>РОССИЯ, 119607, Москва г, Раменки ул, дом 25, корпус 2, квартира 420</v>
          </cell>
          <cell r="D754" t="str">
            <v>РОССИЯ, 119607, Москва г, Раменки ул, дом 25, корпус 2, квартира 420</v>
          </cell>
          <cell r="F754" t="str">
            <v>Москва</v>
          </cell>
          <cell r="G754">
            <v>0.66009259259259256</v>
          </cell>
          <cell r="H754">
            <v>0.91009259259259256</v>
          </cell>
          <cell r="I754" t="str">
            <v>ОК</v>
          </cell>
          <cell r="J754" t="str">
            <v>ОК</v>
          </cell>
        </row>
        <row r="755">
          <cell r="B755" t="str">
            <v>А-00305/КЭ.Транш - 1</v>
          </cell>
          <cell r="C755" t="str">
            <v>РОССИЯ, 107014, Москва г, Русаковская ул, дом 22, квартира 178</v>
          </cell>
          <cell r="D755" t="str">
            <v>РОССИЯ, 107014, Москва г, Русаковская ул, дом 22, квартира 178</v>
          </cell>
          <cell r="F755" t="str">
            <v>Москва</v>
          </cell>
          <cell r="G755">
            <v>0.66009259259259256</v>
          </cell>
          <cell r="H755">
            <v>0.91009259259259256</v>
          </cell>
          <cell r="I755" t="str">
            <v>ОК</v>
          </cell>
          <cell r="J755" t="str">
            <v>ОК</v>
          </cell>
        </row>
        <row r="756">
          <cell r="B756" t="str">
            <v>А-10101/КЭ.Транш - 4</v>
          </cell>
          <cell r="C756" t="str">
            <v>РОССИЯ, 193312, Санкт-Петербург г, пр-кт Солидарности, д. 3, к. 1, литера А, кв. 225</v>
          </cell>
          <cell r="D756" t="str">
            <v>РОССИЯ, 190000, Санкт-Петербург г, Солидарности пр-кт, дом № 3, корпус 1, квартира 225, Литер А</v>
          </cell>
          <cell r="F756" t="str">
            <v>Москва</v>
          </cell>
          <cell r="G756">
            <v>0.66009259259259256</v>
          </cell>
          <cell r="H756">
            <v>0.91009259259259256</v>
          </cell>
          <cell r="I756" t="str">
            <v>ОК</v>
          </cell>
          <cell r="J756" t="str">
            <v>ОК</v>
          </cell>
        </row>
        <row r="757">
          <cell r="B757" t="str">
            <v>В-10008/КЭ.Транш - 1</v>
          </cell>
          <cell r="C757" t="str">
            <v>РОССИЯ, 193312, Санкт-Петербург г, пр-кт Солидарности, д. 3, к. 1, литера А, кв. 225</v>
          </cell>
          <cell r="D757" t="str">
            <v>РОССИЯ, 190000, Санкт-Петербург г, Солидарности пр-кт, дом № 3, корпус 1, квартира 225, Литер А</v>
          </cell>
          <cell r="F757" t="str">
            <v>Москва</v>
          </cell>
          <cell r="G757">
            <v>0.66009259259259256</v>
          </cell>
          <cell r="H757">
            <v>0.91009259259259256</v>
          </cell>
          <cell r="I757" t="str">
            <v>ОК</v>
          </cell>
          <cell r="J757" t="str">
            <v>ОК</v>
          </cell>
        </row>
        <row r="758">
          <cell r="B758" t="str">
            <v>В-10008/КЭ.Транш - 2</v>
          </cell>
          <cell r="C758" t="str">
            <v>РОССИЯ, 193312, Санкт-Петербург г, пр-кт Солидарности, д. 3, к. 1, литера А, кв. 225</v>
          </cell>
          <cell r="D758" t="str">
            <v>РОССИЯ, 190000, Санкт-Петербург г, Солидарности пр-кт, дом № 3, корпус 1, квартира 225, Литер А</v>
          </cell>
          <cell r="F758" t="str">
            <v>Москва</v>
          </cell>
          <cell r="G758">
            <v>0.66009259259259256</v>
          </cell>
          <cell r="H758">
            <v>0.91009259259259256</v>
          </cell>
          <cell r="I758" t="str">
            <v>ОК</v>
          </cell>
          <cell r="J758" t="str">
            <v>ОК</v>
          </cell>
        </row>
        <row r="759">
          <cell r="B759" t="str">
            <v>В-10008/КЭ.Транш - 3</v>
          </cell>
          <cell r="C759" t="str">
            <v>РОССИЯ, 193312, Санкт-Петербург г, пр-кт Солидарности, д. 3, к. 1, литера А, кв. 225</v>
          </cell>
          <cell r="D759" t="str">
            <v>РОССИЯ, 190000, Санкт-Петербург г, Солидарности пр-кт, дом № 3, корпус 1, квартира 225, Литер А</v>
          </cell>
          <cell r="F759" t="str">
            <v>Москва</v>
          </cell>
          <cell r="G759">
            <v>0.66009259259259256</v>
          </cell>
          <cell r="H759">
            <v>0.91009259259259256</v>
          </cell>
          <cell r="I759" t="str">
            <v>ОК</v>
          </cell>
          <cell r="J759" t="str">
            <v>ОК</v>
          </cell>
        </row>
        <row r="760">
          <cell r="B760" t="str">
            <v>В-10024/КЭ.Транш - 1</v>
          </cell>
          <cell r="C760" t="str">
            <v>РОССИЯ, 193312, Санкт-Петербург г, пр-кт Солидарности, д. 3, к. 1, литера А, кв. 225</v>
          </cell>
          <cell r="D760" t="str">
            <v>РОССИЯ, 190000, Санкт-Петербург г, Солидарности пр-кт, дом № 3, корпус 1, квартира 225, Литер А</v>
          </cell>
          <cell r="F760" t="str">
            <v>Москва</v>
          </cell>
          <cell r="G760">
            <v>0.66009259259259256</v>
          </cell>
          <cell r="H760">
            <v>0.91009259259259256</v>
          </cell>
          <cell r="I760" t="str">
            <v>ОК</v>
          </cell>
          <cell r="J760" t="str">
            <v>ОК</v>
          </cell>
        </row>
        <row r="761">
          <cell r="B761" t="str">
            <v>В-00032/КЭ.Транш - 10</v>
          </cell>
          <cell r="C761" t="str">
            <v>РОССИЯ, 119361, Москва г, Большая Очаковская ул, дом 10, корпус 1, квартира 120</v>
          </cell>
          <cell r="D761" t="str">
            <v>РОССИЯ, 119361, Москва г, Большая Очаковская ул, дом 10, корпус 1, квартира 120</v>
          </cell>
          <cell r="F761" t="str">
            <v>Москва</v>
          </cell>
          <cell r="G761">
            <v>0.66009259259259256</v>
          </cell>
          <cell r="H761">
            <v>0.91009259259259256</v>
          </cell>
          <cell r="I761" t="str">
            <v>ОК</v>
          </cell>
          <cell r="J761" t="str">
            <v>ОК</v>
          </cell>
        </row>
        <row r="762">
          <cell r="B762" t="str">
            <v>В-00032/КЭ.Транш - 11</v>
          </cell>
          <cell r="C762" t="str">
            <v>РОССИЯ, 119361, Москва г, Большая Очаковская ул, дом 10, корпус 1, квартира 120</v>
          </cell>
          <cell r="D762" t="str">
            <v>РОССИЯ, 119361, Москва г, Большая Очаковская ул, дом 10, корпус 1, квартира 120</v>
          </cell>
          <cell r="F762" t="str">
            <v>Москва</v>
          </cell>
          <cell r="G762">
            <v>0.66009259259259256</v>
          </cell>
          <cell r="H762">
            <v>0.91009259259259256</v>
          </cell>
          <cell r="I762" t="str">
            <v>ОК</v>
          </cell>
          <cell r="J762" t="str">
            <v>ОК</v>
          </cell>
        </row>
        <row r="763">
          <cell r="B763" t="str">
            <v>В-00032/КЭ.Транш - 12</v>
          </cell>
          <cell r="C763" t="str">
            <v>РОССИЯ, 119361, Москва г, Большая Очаковская ул, дом 10, корпус 1, квартира 120</v>
          </cell>
          <cell r="D763" t="str">
            <v>РОССИЯ, 119361, Москва г, Большая Очаковская ул, дом 10, корпус 1, квартира 120</v>
          </cell>
          <cell r="F763" t="str">
            <v>Москва</v>
          </cell>
          <cell r="G763">
            <v>0.66009259259259256</v>
          </cell>
          <cell r="H763">
            <v>0.91009259259259256</v>
          </cell>
          <cell r="I763" t="str">
            <v>ОК</v>
          </cell>
          <cell r="J763" t="str">
            <v>ОК</v>
          </cell>
        </row>
        <row r="764">
          <cell r="B764" t="str">
            <v>В-00032/КЭ.Транш - 13</v>
          </cell>
          <cell r="C764" t="str">
            <v>РОССИЯ, 119361, Москва г, Большая Очаковская ул, дом 10, корпус 1, квартира 120</v>
          </cell>
          <cell r="D764" t="str">
            <v>РОССИЯ, 119361, Москва г, Большая Очаковская ул, дом 10, корпус 1, квартира 120</v>
          </cell>
          <cell r="F764" t="str">
            <v>Москва</v>
          </cell>
          <cell r="G764">
            <v>0.66009259259259256</v>
          </cell>
          <cell r="H764">
            <v>0.91009259259259256</v>
          </cell>
          <cell r="I764" t="str">
            <v>ОК</v>
          </cell>
          <cell r="J764" t="str">
            <v>ОК</v>
          </cell>
        </row>
        <row r="765">
          <cell r="B765" t="str">
            <v>В-00032/КЭ.Транш - 14</v>
          </cell>
          <cell r="C765" t="str">
            <v>РОССИЯ, 119361, Москва г, Большая Очаковская ул, дом 10, корпус 1, квартира 120</v>
          </cell>
          <cell r="D765" t="str">
            <v>РОССИЯ, 119361, Москва г, Большая Очаковская ул, дом 10, корпус 1, квартира 120</v>
          </cell>
          <cell r="F765" t="str">
            <v>Москва</v>
          </cell>
          <cell r="G765">
            <v>0.66009259259259256</v>
          </cell>
          <cell r="H765">
            <v>0.91009259259259256</v>
          </cell>
          <cell r="I765" t="str">
            <v>ОК</v>
          </cell>
          <cell r="J765" t="str">
            <v>ОК</v>
          </cell>
        </row>
        <row r="766">
          <cell r="B766" t="str">
            <v>В-00032/КЭ.Транш - 8</v>
          </cell>
          <cell r="C766" t="str">
            <v>РОССИЯ, 119361, Москва г, Большая Очаковская ул, дом 10, корпус 1, квартира 120</v>
          </cell>
          <cell r="D766" t="str">
            <v>РОССИЯ, 119361, Москва г, Большая Очаковская ул, дом 10, корпус 1, квартира 120</v>
          </cell>
          <cell r="F766" t="str">
            <v>Москва</v>
          </cell>
          <cell r="G766">
            <v>0.66009259259259256</v>
          </cell>
          <cell r="H766">
            <v>0.91009259259259256</v>
          </cell>
          <cell r="I766" t="str">
            <v>ОК</v>
          </cell>
          <cell r="J766" t="str">
            <v>ОК</v>
          </cell>
        </row>
        <row r="767">
          <cell r="B767" t="str">
            <v>А-00404/КЭ.Транш - 1</v>
          </cell>
          <cell r="C767" t="str">
            <v>РОССИЯ, 111558, Москва г, Сталеварова ул, дом 26, корпус 2, квартира 118</v>
          </cell>
          <cell r="D767" t="str">
            <v>РОССИЯ, 111558, Москва г, Сталеварова ул, дом 26, корпус 2, квартира 118</v>
          </cell>
          <cell r="F767" t="str">
            <v>Москва</v>
          </cell>
          <cell r="G767">
            <v>0.66009259259259256</v>
          </cell>
          <cell r="H767">
            <v>0.91009259259259256</v>
          </cell>
          <cell r="I767" t="str">
            <v>ОК</v>
          </cell>
          <cell r="J767" t="str">
            <v>ОК</v>
          </cell>
        </row>
        <row r="768">
          <cell r="B768" t="str">
            <v>А-00428/КЭ.Транш - 1</v>
          </cell>
          <cell r="C768" t="str">
            <v>РОССИЯ, 109117, Москва г, Окская ул, дом 4, корпус 2, квартира 44</v>
          </cell>
          <cell r="D768" t="str">
            <v>РОССИЯ, 109117, Москва г, Окская ул, дом 4, корпус 2, квартира 44</v>
          </cell>
          <cell r="F768" t="str">
            <v>Москва</v>
          </cell>
          <cell r="G768">
            <v>0.66009259259259256</v>
          </cell>
          <cell r="H768">
            <v>0.91009259259259256</v>
          </cell>
          <cell r="I768" t="str">
            <v>ОК</v>
          </cell>
          <cell r="J768" t="str">
            <v>ОК</v>
          </cell>
        </row>
        <row r="769">
          <cell r="B769" t="str">
            <v>В-00058/КЭ.Транш - 1</v>
          </cell>
          <cell r="C769" t="str">
            <v>РОССИЯ, 117447, Москва г, ул Винокурова, д. 12, к. 1, кв. 14</v>
          </cell>
          <cell r="D769" t="str">
            <v>РОССИЯ, 117447, Москва г, ул Винокурова, д. 12, к. 1, кв. 14</v>
          </cell>
          <cell r="F769" t="str">
            <v>Москва</v>
          </cell>
          <cell r="G769">
            <v>0.66009259259259256</v>
          </cell>
          <cell r="H769">
            <v>0.91009259259259256</v>
          </cell>
          <cell r="I769" t="str">
            <v>ОК</v>
          </cell>
          <cell r="J769" t="str">
            <v>ОК</v>
          </cell>
        </row>
        <row r="770">
          <cell r="B770" t="str">
            <v>А-00161/КЭ.Транш - 1</v>
          </cell>
          <cell r="C770" t="str">
            <v>РОССИЯ, 125466, Москва г, ш. Новокуркинское, д. 27, кв. 83</v>
          </cell>
          <cell r="D770" t="str">
            <v>РОССИЯ, 125466, Москва г, ш. Новокуркинское, д. 27, кв. 83</v>
          </cell>
          <cell r="F770" t="str">
            <v>Москва</v>
          </cell>
          <cell r="G770">
            <v>0.66009259259259256</v>
          </cell>
          <cell r="H770">
            <v>0.91009259259259256</v>
          </cell>
          <cell r="I770" t="str">
            <v>ОК</v>
          </cell>
          <cell r="J770" t="str">
            <v>ОК</v>
          </cell>
        </row>
        <row r="771">
          <cell r="B771" t="str">
            <v>В-00012/КЭ.Транш - 1_В-20211230/Ц</v>
          </cell>
          <cell r="C771" t="str">
            <v>РОССИЯ, 117042, Москва г, Адмирала Лазарева ул, дом № 19, квартира 38</v>
          </cell>
          <cell r="D771" t="str">
            <v>РОССИЯ, 117042, Москва г, Адмирала Лазарева ул, дом № 19, квартира 38</v>
          </cell>
          <cell r="F771" t="str">
            <v>Москва</v>
          </cell>
          <cell r="G771">
            <v>0.66009259259259256</v>
          </cell>
          <cell r="H771">
            <v>0.91009259259259256</v>
          </cell>
          <cell r="I771" t="str">
            <v>ОК</v>
          </cell>
          <cell r="J771" t="str">
            <v>ОК</v>
          </cell>
        </row>
        <row r="772">
          <cell r="B772" t="str">
            <v>А-10102/КЭ.Транш - 1</v>
          </cell>
          <cell r="C772" t="str">
            <v>РОССИЯ, 198215, Санкт-Петербург г, Новаторов б-р, дом 69, квартира 41</v>
          </cell>
          <cell r="D772" t="str">
            <v>РОССИЯ, 198215, Санкт-Петербург г, Новаторов б-р, дом 69, квартира 41</v>
          </cell>
          <cell r="F772" t="str">
            <v>Москва</v>
          </cell>
          <cell r="G772">
            <v>0.66009259259259256</v>
          </cell>
          <cell r="H772">
            <v>0.91009259259259256</v>
          </cell>
          <cell r="I772" t="str">
            <v>ОК</v>
          </cell>
          <cell r="J772" t="str">
            <v>ОК</v>
          </cell>
        </row>
        <row r="773">
          <cell r="B773" t="str">
            <v>А-00435/КЭ.Транш - 1</v>
          </cell>
          <cell r="C773" t="str">
            <v>РОССИЯ, 125239, Москва г, Коптевская ул, дом 18Б, квартира 5</v>
          </cell>
          <cell r="D773" t="str">
            <v>РОССИЯ, 125239, Москва г, Коптевская ул, дом 18Б, квартира 5</v>
          </cell>
          <cell r="F773" t="str">
            <v>Москва</v>
          </cell>
          <cell r="G773">
            <v>0.66009259259259256</v>
          </cell>
          <cell r="H773">
            <v>0.91009259259259256</v>
          </cell>
          <cell r="I773" t="str">
            <v>ОК</v>
          </cell>
          <cell r="J773" t="str">
            <v>ОК</v>
          </cell>
        </row>
        <row r="774">
          <cell r="B774" t="str">
            <v>А-10039/КЭ.Транш - 1</v>
          </cell>
          <cell r="C774" t="str">
            <v>РОССИЯ, 197706, Санкт-Петербург г, Сестрорецк г, Токарева ул, дом 15, квартира 350</v>
          </cell>
          <cell r="D774" t="str">
            <v>РОССИЯ, 197706, Санкт-Петербург г, Сестрорецк г, Токарева ул, дом 15, квартира 350</v>
          </cell>
          <cell r="F774" t="str">
            <v>Москва</v>
          </cell>
          <cell r="G774">
            <v>0.66009259259259256</v>
          </cell>
          <cell r="H774">
            <v>0.91009259259259256</v>
          </cell>
          <cell r="I774" t="str">
            <v>ОК</v>
          </cell>
          <cell r="J774" t="str">
            <v>ОК</v>
          </cell>
        </row>
        <row r="775">
          <cell r="B775" t="str">
            <v>В-30009/КЭ.Транш - 1_В-20211230/Ц</v>
          </cell>
          <cell r="C775" t="str">
            <v>РОССИЯ, 353281, Краснодарский край, г Горячий Ключ, п Приреченский, ул Парковая, д. 1, к. А, кв. 4</v>
          </cell>
          <cell r="D775" t="str">
            <v>РОССИЯ, 353281, Краснодарский край, г Горячий Ключ, п Приреченский, ул Парковая, д. 1, к. А, кв. 4</v>
          </cell>
          <cell r="F775" t="str">
            <v>Краснодарский</v>
          </cell>
          <cell r="G775">
            <v>0.66009259259259256</v>
          </cell>
          <cell r="H775">
            <v>0.91009259259259256</v>
          </cell>
          <cell r="I775" t="str">
            <v>ОК</v>
          </cell>
          <cell r="J775" t="str">
            <v>ОК</v>
          </cell>
        </row>
        <row r="776">
          <cell r="B776" t="str">
            <v>А-10032/КЭ.Транш - 1</v>
          </cell>
          <cell r="C776" t="str">
            <v>РОССИЯ, 197183, Санкт-Петербург г, Школьная ул, дом № 6, квартира 128</v>
          </cell>
          <cell r="D776" t="str">
            <v>РОССИЯ, 197183, Санкт-Петербург г, Школьная ул, дом № 6, квартира 128</v>
          </cell>
          <cell r="F776" t="str">
            <v>Москва</v>
          </cell>
          <cell r="G776">
            <v>0.66009259259259256</v>
          </cell>
          <cell r="H776">
            <v>0.91009259259259256</v>
          </cell>
          <cell r="I776" t="str">
            <v>ОК</v>
          </cell>
          <cell r="J776" t="str">
            <v>ОК</v>
          </cell>
        </row>
        <row r="777">
          <cell r="B777" t="str">
            <v>А-10032/КЭ.Транш - 2</v>
          </cell>
          <cell r="C777" t="str">
            <v>РОССИЯ, 197183, Санкт-Петербург г, Школьная ул, дом № 6, квартира 128</v>
          </cell>
          <cell r="D777" t="str">
            <v>РОССИЯ, 197183, Санкт-Петербург г, Школьная ул, дом № 6, квартира 128</v>
          </cell>
          <cell r="F777" t="str">
            <v>Москва</v>
          </cell>
          <cell r="G777">
            <v>0.66009259259259256</v>
          </cell>
          <cell r="H777">
            <v>0.91009259259259256</v>
          </cell>
          <cell r="I777" t="str">
            <v>ОК</v>
          </cell>
          <cell r="J777" t="str">
            <v>ОК</v>
          </cell>
        </row>
        <row r="778">
          <cell r="B778" t="str">
            <v>А-00332/КЭ.Транш - 1</v>
          </cell>
          <cell r="C778" t="str">
            <v>РОССИЯ, 111621, Москва г, Оренбургская ул, дом № 16, квартира 79</v>
          </cell>
          <cell r="D778" t="str">
            <v>РОССИЯ, 111621, Москва г, Оренбургская ул, дом № 16, квартира 79</v>
          </cell>
          <cell r="F778" t="str">
            <v>Москва</v>
          </cell>
          <cell r="G778">
            <v>0.66009259259259256</v>
          </cell>
          <cell r="H778">
            <v>0.91009259259259256</v>
          </cell>
          <cell r="I778" t="str">
            <v>ОК</v>
          </cell>
          <cell r="J778" t="str">
            <v>ОК</v>
          </cell>
        </row>
        <row r="779">
          <cell r="B779" t="str">
            <v>А-00458/КЭ.Транш - 1</v>
          </cell>
          <cell r="C779" t="str">
            <v>РОССИЯ, 111621, Москва г, Оренбургская ул, дом № 16, квартира 79</v>
          </cell>
          <cell r="D779" t="str">
            <v>РОССИЯ, 111621, Москва г, Оренбургская ул, дом № 16, квартира 79</v>
          </cell>
          <cell r="F779" t="str">
            <v>Москва</v>
          </cell>
          <cell r="G779">
            <v>0.66009259259259256</v>
          </cell>
          <cell r="H779">
            <v>0.91009259259259256</v>
          </cell>
          <cell r="I779" t="str">
            <v>ОК</v>
          </cell>
          <cell r="J779" t="str">
            <v>ОК</v>
          </cell>
        </row>
        <row r="780">
          <cell r="B780" t="str">
            <v>В-00022/КЭ.Транш - 1_А-20210929/Ц</v>
          </cell>
          <cell r="C780" t="str">
            <v>РОССИЯ, 111621, Москва г, Оренбургская ул, дом № 16, квартира 79</v>
          </cell>
          <cell r="D780" t="str">
            <v>РОССИЯ, 111621, Москва г, Оренбургская ул, дом № 16, квартира 79</v>
          </cell>
          <cell r="F780" t="str">
            <v>Москва</v>
          </cell>
          <cell r="G780">
            <v>0.66009259259259256</v>
          </cell>
          <cell r="H780">
            <v>0.91009259259259256</v>
          </cell>
          <cell r="I780" t="str">
            <v>ОК</v>
          </cell>
          <cell r="J780" t="str">
            <v>ОК</v>
          </cell>
        </row>
        <row r="781">
          <cell r="B781" t="str">
            <v>А-00327/КЭ.Транш - 1</v>
          </cell>
          <cell r="C781" t="str">
            <v>РОССИЯ, 142701, Московская обл, Ленинский р-н, Видное г, Олимпийская ул, дом № 1, корпус 1, квартира 405</v>
          </cell>
          <cell r="D781" t="str">
            <v>РОССИЯ, 142701, Московская обл, Ленинский р-н, Видное г, Олимпийская ул, дом № 1, корпус 1, квартира 405</v>
          </cell>
          <cell r="F781" t="str">
            <v>Московская</v>
          </cell>
          <cell r="G781">
            <v>0.66009259259259256</v>
          </cell>
          <cell r="H781">
            <v>0.91009259259259256</v>
          </cell>
          <cell r="I781" t="str">
            <v>ОК</v>
          </cell>
          <cell r="J781" t="str">
            <v>ОК</v>
          </cell>
        </row>
        <row r="782">
          <cell r="B782" t="str">
            <v>А-00357/КЭ.Транш - 1</v>
          </cell>
          <cell r="C782" t="str">
            <v>РОССИЯ, 140002, Московская обл, Городской округ Люберцы, Кирова ул, дом № 9, корпус 1, квартира 121</v>
          </cell>
          <cell r="D782" t="str">
            <v>РОССИЯ, 140002, Московская обл, Городской округ Люберцы, Кирова ул, дом № 9, корпус 1, квартира 121</v>
          </cell>
          <cell r="F782" t="str">
            <v>Московская</v>
          </cell>
          <cell r="G782">
            <v>0.66009259259259256</v>
          </cell>
          <cell r="H782">
            <v>0.91009259259259256</v>
          </cell>
          <cell r="I782" t="str">
            <v>ОК</v>
          </cell>
          <cell r="J782" t="str">
            <v>ОК</v>
          </cell>
        </row>
        <row r="783">
          <cell r="B783" t="str">
            <v>В-00061/КЭ.Транш - 1</v>
          </cell>
          <cell r="C783" t="str">
            <v>РОССИЯ, 109156, Москва г, Жулебинский б-р, дом № 28, корпус 1, квартира 67</v>
          </cell>
          <cell r="D783" t="str">
            <v>РОССИЯ, 109156, Москва г, Жулебинский б-р, дом № 28, корпус 1, квартира 67</v>
          </cell>
          <cell r="F783" t="str">
            <v>Москва</v>
          </cell>
          <cell r="G783">
            <v>0.66009259259259256</v>
          </cell>
          <cell r="H783">
            <v>0.91009259259259256</v>
          </cell>
          <cell r="I783" t="str">
            <v>ОК</v>
          </cell>
          <cell r="J783" t="str">
            <v>ОК</v>
          </cell>
        </row>
        <row r="784">
          <cell r="B784" t="str">
            <v>А-10092/КЭ.Транш - 1</v>
          </cell>
          <cell r="C784" t="str">
            <v>РОССИЯ, 195269, Санкт-Петербург г, Светлановский пр-кт, дом 60, корпус 2, квартира 1</v>
          </cell>
          <cell r="D784" t="str">
            <v>РОССИЯ, 195269, Санкт-Петербург г, Светлановский пр-кт, дом 60, корпус 2, квартира 1</v>
          </cell>
          <cell r="F784" t="str">
            <v>Москва</v>
          </cell>
          <cell r="G784">
            <v>0.66009259259259256</v>
          </cell>
          <cell r="H784">
            <v>0.91009259259259256</v>
          </cell>
          <cell r="I784" t="str">
            <v>ОК</v>
          </cell>
          <cell r="J784" t="str">
            <v>ОК</v>
          </cell>
        </row>
        <row r="785">
          <cell r="B785" t="str">
            <v>А-10092/КЭ.Транш - 2</v>
          </cell>
          <cell r="C785" t="str">
            <v>РОССИЯ, 195269, Санкт-Петербург г, Светлановский пр-кт, дом 60, корпус 2, квартира 1</v>
          </cell>
          <cell r="D785" t="str">
            <v>РОССИЯ, 195269, Санкт-Петербург г, Светлановский пр-кт, дом 60, корпус 2, квартира 1</v>
          </cell>
          <cell r="F785" t="str">
            <v>Москва</v>
          </cell>
          <cell r="G785">
            <v>0.66009259259259256</v>
          </cell>
          <cell r="H785">
            <v>0.91009259259259256</v>
          </cell>
          <cell r="I785" t="str">
            <v>ОК</v>
          </cell>
          <cell r="J785" t="str">
            <v>ОК</v>
          </cell>
        </row>
        <row r="786">
          <cell r="B786" t="str">
            <v>А-10092/КЭ.Транш - 3</v>
          </cell>
          <cell r="C786" t="str">
            <v>РОССИЯ, 195269, Санкт-Петербург г, Светлановский пр-кт, дом 60, корпус 2, квартира 1</v>
          </cell>
          <cell r="D786" t="str">
            <v>РОССИЯ, 195269, Санкт-Петербург г, Светлановский пр-кт, дом 60, корпус 2, квартира 1</v>
          </cell>
          <cell r="F786" t="str">
            <v>Москва</v>
          </cell>
          <cell r="G786">
            <v>0.66009259259259256</v>
          </cell>
          <cell r="H786">
            <v>0.91009259259259256</v>
          </cell>
          <cell r="I786" t="str">
            <v>ОК</v>
          </cell>
          <cell r="J786" t="str">
            <v>ОК</v>
          </cell>
        </row>
        <row r="787">
          <cell r="B787" t="str">
            <v>В-28538/КЛ.Транш - 1</v>
          </cell>
          <cell r="C787" t="str">
            <v>РОССИЯ, 109341, Москва г, ул Верхние Поля, д. 22, к. 1, кв. 183</v>
          </cell>
          <cell r="D787" t="str">
            <v>РОССИЯ, 109341, Москва г, ул Верхние Поля, д. 22, к. 1, кв. 183</v>
          </cell>
          <cell r="F787" t="str">
            <v>Москва</v>
          </cell>
          <cell r="G787">
            <v>0.66009259259259256</v>
          </cell>
          <cell r="H787">
            <v>0.91009259259259256</v>
          </cell>
          <cell r="I787" t="str">
            <v>ОК</v>
          </cell>
          <cell r="J787" t="str">
            <v>ОК</v>
          </cell>
        </row>
        <row r="788">
          <cell r="B788" t="str">
            <v>В-20430/КЛ.Транш - 1</v>
          </cell>
          <cell r="C788" t="str">
            <v>РОССИЯ, 308024, Белгородская обл, г Белгород, пр-кт Ватутина, д. 6, кв. 52</v>
          </cell>
          <cell r="D788" t="str">
            <v>РОССИЯ, 308024, Белгородская обл, г Белгород, пр-кт Ватутина, д. 6, кв. 52</v>
          </cell>
          <cell r="F788" t="str">
            <v>Белгородская</v>
          </cell>
          <cell r="G788">
            <v>0.66009259259259256</v>
          </cell>
          <cell r="H788">
            <v>0.91009259259259256</v>
          </cell>
          <cell r="I788" t="str">
            <v>ОК</v>
          </cell>
          <cell r="J788" t="str">
            <v>ОК</v>
          </cell>
        </row>
        <row r="789">
          <cell r="B789" t="str">
            <v>В-20787/КЛ.Транш - 1</v>
          </cell>
          <cell r="C789" t="str">
            <v>РОССИЯ, 614500, Пермский край, р-н Пермский, д Крохово, тракт Казанский, д. 28</v>
          </cell>
          <cell r="D789" t="str">
            <v>РОССИЯ, 614500, Пермский край, р-н Пермский, д Крохово, тракт Казанский, д. 28</v>
          </cell>
          <cell r="F789" t="str">
            <v>Пермский</v>
          </cell>
          <cell r="G789">
            <v>0.66009259259259256</v>
          </cell>
          <cell r="H789">
            <v>0.99342592592592593</v>
          </cell>
          <cell r="I789" t="str">
            <v>поздно</v>
          </cell>
          <cell r="J789" t="str">
            <v>ОК</v>
          </cell>
        </row>
        <row r="790">
          <cell r="B790" t="str">
            <v>В-12016/КЛ.Транш - 1</v>
          </cell>
          <cell r="C790" t="str">
            <v>РОССИЯ, 367009, Дагестан респ, Махачкала г, Тахо-Годи ул, дом 54А, квартира 85</v>
          </cell>
          <cell r="D790" t="str">
            <v>РОССИЯ, 107143, Москва г, Николая Химушина ул, дом 19, корпус 3, квартира 27</v>
          </cell>
          <cell r="F790" t="str">
            <v>Москва</v>
          </cell>
          <cell r="G790">
            <v>0.66009259259259256</v>
          </cell>
          <cell r="H790">
            <v>0.91009259259259256</v>
          </cell>
          <cell r="I790" t="str">
            <v>ОК</v>
          </cell>
          <cell r="J790" t="str">
            <v>ОК</v>
          </cell>
        </row>
        <row r="791">
          <cell r="B791" t="str">
            <v>В-12016/КЛ.Транш - 2</v>
          </cell>
          <cell r="C791" t="str">
            <v>РОССИЯ, 367009, Дагестан респ, Махачкала г, Тахо-Годи ул, дом 54А, квартира 85</v>
          </cell>
          <cell r="D791" t="str">
            <v>РОССИЯ, 107143, Москва г, Николая Химушина ул, дом 19, корпус 3, квартира 27</v>
          </cell>
          <cell r="F791" t="str">
            <v>Москва</v>
          </cell>
          <cell r="G791">
            <v>0.66009259259259256</v>
          </cell>
          <cell r="H791">
            <v>0.91009259259259256</v>
          </cell>
          <cell r="I791" t="str">
            <v>ОК</v>
          </cell>
          <cell r="J791" t="str">
            <v>ОК</v>
          </cell>
        </row>
        <row r="792">
          <cell r="B792" t="str">
            <v>В-12016/КЛ.Транш - 3</v>
          </cell>
          <cell r="C792" t="str">
            <v>РОССИЯ, 367009, Дагестан респ, Махачкала г, Тахо-Годи ул, дом 54А, квартира 85</v>
          </cell>
          <cell r="D792" t="str">
            <v>РОССИЯ, 107143, Москва г, Николая Химушина ул, дом 19, корпус 3, квартира 27</v>
          </cell>
          <cell r="F792" t="str">
            <v>Москва</v>
          </cell>
          <cell r="G792">
            <v>0.66009259259259256</v>
          </cell>
          <cell r="H792">
            <v>0.91009259259259256</v>
          </cell>
          <cell r="I792" t="str">
            <v>ОК</v>
          </cell>
          <cell r="J792" t="str">
            <v>ОК</v>
          </cell>
        </row>
        <row r="793">
          <cell r="B793" t="str">
            <v>В-12016/КЛ.Транш - 4</v>
          </cell>
          <cell r="C793" t="str">
            <v>РОССИЯ, 367009, Дагестан респ, Махачкала г, Тахо-Годи ул, дом 54А, квартира 85</v>
          </cell>
          <cell r="D793" t="str">
            <v>РОССИЯ, 107143, Москва г, Николая Химушина ул, дом 19, корпус 3, квартира 27</v>
          </cell>
          <cell r="F793" t="str">
            <v>Москва</v>
          </cell>
          <cell r="G793">
            <v>0.66009259259259256</v>
          </cell>
          <cell r="H793">
            <v>0.91009259259259256</v>
          </cell>
          <cell r="I793" t="str">
            <v>ОК</v>
          </cell>
          <cell r="J793" t="str">
            <v>ОК</v>
          </cell>
        </row>
        <row r="794">
          <cell r="B794" t="str">
            <v>В-00683/КЛ.Транш - 1</v>
          </cell>
          <cell r="C794" t="str">
            <v>РОССИЯ, 140105, Московская обл, Раменский р-н, Раменское г, Воровского ул, дом 16, квартира 11</v>
          </cell>
          <cell r="D794" t="str">
            <v>РОССИЯ, 140105, Московская обл, Раменский р-н, Раменское г, Воровского ул, дом 16, квартира 11</v>
          </cell>
          <cell r="F794" t="str">
            <v>Московская</v>
          </cell>
          <cell r="G794">
            <v>0.66009259259259256</v>
          </cell>
          <cell r="H794">
            <v>0.91009259259259256</v>
          </cell>
          <cell r="I794" t="str">
            <v>ОК</v>
          </cell>
          <cell r="J794" t="str">
            <v>ОК</v>
          </cell>
        </row>
        <row r="795">
          <cell r="B795" t="str">
            <v>В-11407/КЛ.Транш - 1</v>
          </cell>
          <cell r="C795" t="str">
            <v>РОССИЯ, 140053, Московская обл, Котельники г, Южный мкр, дом № 9, квартира 209</v>
          </cell>
          <cell r="D795" t="str">
            <v>РОССИЯ, 140053, Московская обл, Котельники г, Южный мкр, дом № 9, квартира 209</v>
          </cell>
          <cell r="F795" t="str">
            <v>Московская</v>
          </cell>
          <cell r="G795">
            <v>0.66009259259259256</v>
          </cell>
          <cell r="H795">
            <v>0.91009259259259256</v>
          </cell>
          <cell r="I795" t="str">
            <v>ОК</v>
          </cell>
          <cell r="J795" t="str">
            <v>ОК</v>
          </cell>
        </row>
        <row r="796">
          <cell r="B796" t="str">
            <v>В-23978/КЛ.Транш - 1</v>
          </cell>
          <cell r="C796" t="str">
            <v>РОССИЯ, 367030, Дагестан респ, г Махачкала, ул Ирчи Казака, д. 18В, кв. 2</v>
          </cell>
          <cell r="D796" t="str">
            <v>РОССИЯ, 115487, Москва г, ул Академика Миллионщикова, д. 7, к. 2, кв. 234</v>
          </cell>
          <cell r="F796" t="str">
            <v>Москва</v>
          </cell>
          <cell r="G796">
            <v>0.66009259259259256</v>
          </cell>
          <cell r="H796">
            <v>0.91009259259259256</v>
          </cell>
          <cell r="I796" t="str">
            <v>ОК</v>
          </cell>
          <cell r="J796" t="str">
            <v>ОК</v>
          </cell>
        </row>
        <row r="797">
          <cell r="B797" t="str">
            <v>В-23978/КЛ.Транш - 2</v>
          </cell>
          <cell r="C797" t="str">
            <v>РОССИЯ, 367030, Дагестан респ, г Махачкала, ул Ирчи Казака, д. 18В, кв. 2</v>
          </cell>
          <cell r="D797" t="str">
            <v>РОССИЯ, 115487, Москва г, ул Академика Миллионщикова, д. 7, к. 2, кв. 234</v>
          </cell>
          <cell r="F797" t="str">
            <v>Москва</v>
          </cell>
          <cell r="G797">
            <v>0.66009259259259256</v>
          </cell>
          <cell r="H797">
            <v>0.91009259259259256</v>
          </cell>
          <cell r="I797" t="str">
            <v>ОК</v>
          </cell>
          <cell r="J797" t="str">
            <v>ОК</v>
          </cell>
        </row>
        <row r="798">
          <cell r="B798" t="str">
            <v>В-22728/КЛ.Транш - 1</v>
          </cell>
          <cell r="C798" t="str">
            <v>РОССИЯ, 685000, Магаданская обл, г Магадан, ул Парковая, д. 21, кв. 39</v>
          </cell>
          <cell r="D798" t="str">
            <v>РОССИЯ, 414014, Астраханская обл, г Астрахань, ул Сен-Симона, д. 46, кв. 3</v>
          </cell>
          <cell r="F798" t="str">
            <v>Астраханская</v>
          </cell>
          <cell r="G798">
            <v>0.66009259259259256</v>
          </cell>
          <cell r="H798">
            <v>0.9517592592592593</v>
          </cell>
          <cell r="I798" t="str">
            <v>поздно</v>
          </cell>
          <cell r="J798" t="str">
            <v>ОК</v>
          </cell>
        </row>
        <row r="799">
          <cell r="B799" t="str">
            <v>А-10070/КЭ.Транш - 1</v>
          </cell>
          <cell r="C799" t="str">
            <v>191186, Санкт-Петербург г, Канала Грибоедова наб, дом № 35, корпус Корпус Лит А, помещение 12Н</v>
          </cell>
          <cell r="F799" t="str">
            <v>Москва</v>
          </cell>
          <cell r="G799">
            <v>0.66009259259259256</v>
          </cell>
          <cell r="H799">
            <v>0.91009259259259256</v>
          </cell>
          <cell r="I799" t="str">
            <v>ОК</v>
          </cell>
          <cell r="J799" t="str">
            <v>ОК</v>
          </cell>
        </row>
        <row r="800">
          <cell r="B800" t="str">
            <v>В-00477/АЗ</v>
          </cell>
          <cell r="C800" t="str">
            <v>РОССИЯ, 125167, Москва г, Красноармейская ул, дом 8, корпус 3, квартира 31</v>
          </cell>
          <cell r="D800" t="str">
            <v>РОССИЯ, 125167, Москва г, Красноармейская ул, дом 8, корпус 3, квартира 31</v>
          </cell>
          <cell r="F800" t="str">
            <v>Москва</v>
          </cell>
          <cell r="G800">
            <v>0.66009259259259256</v>
          </cell>
          <cell r="H800">
            <v>0.91009259259259256</v>
          </cell>
          <cell r="I800" t="str">
            <v>ОК</v>
          </cell>
          <cell r="J800" t="str">
            <v>ОК</v>
          </cell>
        </row>
        <row r="801">
          <cell r="B801" t="str">
            <v>В-16873/КЛ.Транш - 1</v>
          </cell>
          <cell r="C801" t="str">
            <v>РОССИЯ, 188505, Ленинградская обл, р-н Ломоносовский, п Аннино, ул Центральная, д. 9, кв. 15</v>
          </cell>
          <cell r="D801" t="str">
            <v>РОССИЯ, 188505, Ленинградская обл, р-н Ломоносовский, п Аннино, ул Центральная, д. 9, кв. 15</v>
          </cell>
          <cell r="F801" t="str">
            <v>Ленинградская</v>
          </cell>
          <cell r="G801">
            <v>0.66009259259259256</v>
          </cell>
          <cell r="H801">
            <v>0.91009259259259256</v>
          </cell>
          <cell r="I801" t="str">
            <v>ОК</v>
          </cell>
          <cell r="J801" t="str">
            <v>ОК</v>
          </cell>
        </row>
        <row r="802">
          <cell r="B802" t="str">
            <v>В-00398/АЗ</v>
          </cell>
          <cell r="C802" t="str">
            <v>РОССИЯ, 155612, Ивановская обл, Палехский р-н, Хмельники д, домовладение 11</v>
          </cell>
          <cell r="D802" t="str">
            <v>РОССИЯ, 141301, Московская обл, Сергиево-Посадский р-н, Сергиев Посад г, Дружбы ул, дом 9а, квартира 150</v>
          </cell>
          <cell r="F802" t="str">
            <v>Московская</v>
          </cell>
          <cell r="G802">
            <v>0.66009259259259256</v>
          </cell>
          <cell r="H802">
            <v>0.91009259259259256</v>
          </cell>
          <cell r="I802" t="str">
            <v>ОК</v>
          </cell>
          <cell r="J802" t="str">
            <v>ОК</v>
          </cell>
        </row>
        <row r="803">
          <cell r="B803" t="str">
            <v>В-17201/КЛ.Транш - 1</v>
          </cell>
          <cell r="C803" t="str">
            <v>РОССИЯ, 352922, Краснодарский край, г Армавир, ул Ковтюха, д. 10</v>
          </cell>
          <cell r="D803" t="str">
            <v>РОССИЯ, 352922, Краснодарский край, г Армавир, ул Ковтюха, д. 10</v>
          </cell>
          <cell r="F803" t="str">
            <v>Краснодарский</v>
          </cell>
          <cell r="G803">
            <v>0.66009259259259256</v>
          </cell>
          <cell r="H803">
            <v>0.91009259259259256</v>
          </cell>
          <cell r="I803" t="str">
            <v>ОК</v>
          </cell>
          <cell r="J803" t="str">
            <v>ОК</v>
          </cell>
        </row>
        <row r="804">
          <cell r="B804" t="str">
            <v>В-17201/КЛ.Транш - 2</v>
          </cell>
          <cell r="C804" t="str">
            <v>РОССИЯ, 352922, Краснодарский край, г Армавир, ул Ковтюха, д. 10</v>
          </cell>
          <cell r="D804" t="str">
            <v>РОССИЯ, 352922, Краснодарский край, г Армавир, ул Ковтюха, д. 10</v>
          </cell>
          <cell r="F804" t="str">
            <v>Краснодарский</v>
          </cell>
          <cell r="G804">
            <v>0.66009259259259256</v>
          </cell>
          <cell r="H804">
            <v>0.91009259259259256</v>
          </cell>
          <cell r="I804" t="str">
            <v>ОК</v>
          </cell>
          <cell r="J804" t="str">
            <v>ОК</v>
          </cell>
        </row>
        <row r="805">
          <cell r="B805" t="str">
            <v>В-27630/КЛ.Транш - 1</v>
          </cell>
          <cell r="C805" t="str">
            <v>РОССИЯ, 358011, Калмыкия респ, г Элиста, мкр 4, д. 8, кв. 56</v>
          </cell>
          <cell r="D805" t="str">
            <v>РОССИЯ, 358011, Калмыкия респ, г Элиста, мкр 4, д. 8, кв. 56</v>
          </cell>
          <cell r="F805" t="str">
            <v>Калмыкия</v>
          </cell>
          <cell r="G805">
            <v>0.66009259259259256</v>
          </cell>
          <cell r="H805">
            <v>0.91009259259259256</v>
          </cell>
          <cell r="I805" t="str">
            <v>ОК</v>
          </cell>
          <cell r="J805" t="str">
            <v>ОК</v>
          </cell>
        </row>
        <row r="806">
          <cell r="B806" t="str">
            <v>В-00660/АЗ_В-20211230/Ц</v>
          </cell>
          <cell r="C806" t="str">
            <v>РОССИЯ, 456783, Челябинская обл, Озерск г, Свердлова ул, дом 36, квартира 19</v>
          </cell>
          <cell r="D806" t="str">
            <v>РОССИЯ, 142003, Московская обл, Домодедово г, Западный мкр., Лунная ул, дом 33, квартира 110</v>
          </cell>
          <cell r="F806" t="str">
            <v>Московская</v>
          </cell>
          <cell r="G806">
            <v>0.66009259259259256</v>
          </cell>
          <cell r="H806">
            <v>0.91009259259259256</v>
          </cell>
          <cell r="I806" t="str">
            <v>ОК</v>
          </cell>
          <cell r="J806" t="str">
            <v>ОК</v>
          </cell>
        </row>
        <row r="807">
          <cell r="B807" t="str">
            <v>В-10509/КЛ.Транш - 1</v>
          </cell>
          <cell r="C807" t="str">
            <v>РОССИЯ, 453289, Башкортостан респ, Федоровский р-н, Юрматы с, Уляй ул, дом 42</v>
          </cell>
          <cell r="D807" t="str">
            <v>РОССИЯ, 453851, Башкортостан респ, Мелеузовский р-н, Мелеуз г, 65 лет Победы ул, дом 199</v>
          </cell>
          <cell r="F807" t="str">
            <v>Башкортостан</v>
          </cell>
          <cell r="G807">
            <v>0.66009259259259256</v>
          </cell>
          <cell r="H807">
            <v>0.99342592592592593</v>
          </cell>
          <cell r="I807" t="str">
            <v>поздно</v>
          </cell>
          <cell r="J807" t="str">
            <v>ОК</v>
          </cell>
        </row>
        <row r="808">
          <cell r="B808" t="str">
            <v>А-00027/КЭ.Транш - 1</v>
          </cell>
          <cell r="C808" t="str">
            <v>142704, Москва г, вн.тер.г. поселение ""Мосрентген"", д Мамыри, д. 4</v>
          </cell>
          <cell r="F808" t="str">
            <v>Москва</v>
          </cell>
          <cell r="G808">
            <v>0.66009259259259256</v>
          </cell>
          <cell r="H808">
            <v>0.91009259259259256</v>
          </cell>
          <cell r="I808" t="str">
            <v>ОК</v>
          </cell>
          <cell r="J808" t="str">
            <v>ОК</v>
          </cell>
        </row>
        <row r="809">
          <cell r="B809" t="str">
            <v>В-20653/КЛ.Транш - 1</v>
          </cell>
          <cell r="C809" t="str">
            <v>РОССИЯ, 344006, Ростовская обл, г Ростов-на-Дону, ул Станиславского, д. 103, кв. 1 комн.13</v>
          </cell>
          <cell r="D809" t="str">
            <v>РОССИЯ, 344006, Ростовская обл, г Ростов-на-Дону, ул Станиславского, д. 103, кв. 1 комн.13</v>
          </cell>
          <cell r="F809" t="str">
            <v>Ростовская</v>
          </cell>
          <cell r="G809">
            <v>0.66009259259259256</v>
          </cell>
          <cell r="H809">
            <v>0.91009259259259256</v>
          </cell>
          <cell r="I809" t="str">
            <v>ОК</v>
          </cell>
          <cell r="J809" t="str">
            <v>ОК</v>
          </cell>
        </row>
        <row r="810">
          <cell r="B810" t="str">
            <v>В-00687/АЗ</v>
          </cell>
          <cell r="C810" t="str">
            <v>РОССИЯ, 141051, Московская обл, Мытищи г.о., Мытищи г, Новосельцево д, Восточная ул, дом № 94А</v>
          </cell>
          <cell r="D810" t="str">
            <v>РОССИЯ, 141734, Московская обл, Лобня г, 9 квартал ул, дом № 8, квартира 99</v>
          </cell>
          <cell r="F810" t="str">
            <v>Московская</v>
          </cell>
          <cell r="G810">
            <v>0.66009259259259256</v>
          </cell>
          <cell r="H810">
            <v>0.91009259259259256</v>
          </cell>
          <cell r="I810" t="str">
            <v>ОК</v>
          </cell>
          <cell r="J810" t="str">
            <v>ОК</v>
          </cell>
        </row>
        <row r="811">
          <cell r="B811" t="str">
            <v>В-09250/КЛ.Транш - 1_В-20211230/Ц</v>
          </cell>
          <cell r="C811" t="str">
            <v>РОССИЯ, 170100, Тверская обл, Тверь г, Смоленский пер, дом 8, корпус 2, квартира 54</v>
          </cell>
          <cell r="D811" t="str">
            <v>РОССИЯ, 170100, Тверская обл, Тверь г, Смоленский пер, дом 8, корпус 2, квартира 54</v>
          </cell>
          <cell r="F811" t="str">
            <v>Тверская</v>
          </cell>
          <cell r="G811">
            <v>0.66009259259259256</v>
          </cell>
          <cell r="H811">
            <v>0.91009259259259256</v>
          </cell>
          <cell r="I811" t="str">
            <v>ОК</v>
          </cell>
          <cell r="J811" t="str">
            <v>ОК</v>
          </cell>
        </row>
        <row r="812">
          <cell r="B812" t="str">
            <v>В-27855/КЛ.Транш - 1</v>
          </cell>
          <cell r="C812" t="str">
            <v>РОССИЯ, 296400, Крым респ, р-н Черноморский, пгт Черноморское, ул Южная, д. 38а, кв. 2</v>
          </cell>
          <cell r="D812" t="str">
            <v>РОССИЯ, 299014, Севастополь г, ул Павла Корчагина, д. 4, кв. 39</v>
          </cell>
          <cell r="F812" t="str">
            <v>Москва</v>
          </cell>
          <cell r="G812">
            <v>0.66009259259259256</v>
          </cell>
          <cell r="H812">
            <v>0.91009259259259256</v>
          </cell>
          <cell r="I812" t="str">
            <v>ОК</v>
          </cell>
          <cell r="J812" t="str">
            <v>ОК</v>
          </cell>
        </row>
        <row r="813">
          <cell r="B813" t="str">
            <v>В-01187/АЗ</v>
          </cell>
          <cell r="C813" t="str">
            <v>РОССИЯ, Краснодарский край, г Сочи, ул Цимлянская, д. 21А, кв. 6</v>
          </cell>
          <cell r="D813" t="str">
            <v>РОССИЯ, 354340, Краснодарский край, г Сочи, ул Цимлянская, д. 21А, кв. 6</v>
          </cell>
          <cell r="F813" t="str">
            <v>Краснодарский</v>
          </cell>
          <cell r="G813">
            <v>0.66009259259259256</v>
          </cell>
          <cell r="H813">
            <v>0.91009259259259256</v>
          </cell>
          <cell r="I813" t="str">
            <v>ОК</v>
          </cell>
          <cell r="J813" t="str">
            <v>ОК</v>
          </cell>
        </row>
        <row r="814">
          <cell r="B814" t="str">
            <v>В-17067/КЛ.Транш - 1</v>
          </cell>
          <cell r="C814" t="str">
            <v>РОССИЯ, 356896, Ставропольский край, р-н Нефтекумский, аул Тукуй-Мектеб, ул Гагарина, д. 8, кв. 2</v>
          </cell>
          <cell r="D814" t="str">
            <v>РОССИЯ, 115682, Москва г, вн.тер. г. муниципальный округ Зябликово, ул Кустанайская, д. 9, к. 1, кв. 343</v>
          </cell>
          <cell r="F814" t="str">
            <v>Москва</v>
          </cell>
          <cell r="G814">
            <v>0.66009259259259256</v>
          </cell>
          <cell r="H814">
            <v>0.91009259259259256</v>
          </cell>
          <cell r="I814" t="str">
            <v>ОК</v>
          </cell>
          <cell r="J814" t="str">
            <v>ОК</v>
          </cell>
        </row>
        <row r="815">
          <cell r="B815" t="str">
            <v>В-01198/АЗ</v>
          </cell>
          <cell r="C815" t="str">
            <v>РОССИЯ, 124498, Москва г, Зеленоград г, корпус 469, квартира 57</v>
          </cell>
          <cell r="D815" t="str">
            <v>РОССИЯ, 124498, Москва г, Зеленоград г, корпус 469, квартира 57</v>
          </cell>
          <cell r="F815" t="str">
            <v>Москва</v>
          </cell>
          <cell r="G815">
            <v>0.66009259259259256</v>
          </cell>
          <cell r="H815">
            <v>0.91009259259259256</v>
          </cell>
          <cell r="I815" t="str">
            <v>ОК</v>
          </cell>
          <cell r="J815" t="str">
            <v>ОК</v>
          </cell>
        </row>
        <row r="816">
          <cell r="B816" t="str">
            <v>В-25795/АЗ</v>
          </cell>
          <cell r="C816" t="str">
            <v>РОССИЯ, 127576, Москва г, вн.тер.г. муниципальный округ Лианозово, ул Илимская, д. 10, кв. 209</v>
          </cell>
          <cell r="D816" t="str">
            <v>РОССИЯ, 127576, Москва г, вн.тер.г. муниципальный округ Лианозово, ул Илимская, д. 10, кв. 209</v>
          </cell>
          <cell r="F816" t="str">
            <v>Москва</v>
          </cell>
          <cell r="G816">
            <v>0.66009259259259256</v>
          </cell>
          <cell r="H816">
            <v>0.91009259259259256</v>
          </cell>
          <cell r="I816" t="str">
            <v>ОК</v>
          </cell>
          <cell r="J816" t="str">
            <v>ОК</v>
          </cell>
        </row>
        <row r="817">
          <cell r="B817" t="str">
            <v>В-03473/КЛ.Транш - 1</v>
          </cell>
          <cell r="C817" t="str">
            <v>РОССИЯ, 115580, Москва г, Мусы Джалиля ул, дом 31, корпус 2, квартира 35</v>
          </cell>
          <cell r="D817" t="str">
            <v>РОССИЯ, 115580, Москва г, Мусы Джалиля ул, дом 31, корпус 2, квартира 35</v>
          </cell>
          <cell r="F817" t="str">
            <v>Москва</v>
          </cell>
          <cell r="G817">
            <v>0.66009259259259256</v>
          </cell>
          <cell r="H817">
            <v>0.91009259259259256</v>
          </cell>
          <cell r="I817" t="str">
            <v>ОК</v>
          </cell>
          <cell r="J817" t="str">
            <v>ОК</v>
          </cell>
        </row>
        <row r="818">
          <cell r="B818" t="str">
            <v>В-01911/КЛ.Транш - 1</v>
          </cell>
          <cell r="C818" t="str">
            <v>РОССИЯ, 412035, Саратовская обл, Ртищево г, Летняя ул, дом 3, квартира 2</v>
          </cell>
          <cell r="D818" t="str">
            <v>РОССИЯ, 412035, Москва г, Есенинский б-р, дом 3, квартира 1</v>
          </cell>
          <cell r="F818" t="str">
            <v>Москва</v>
          </cell>
          <cell r="G818">
            <v>0.66009259259259256</v>
          </cell>
          <cell r="H818">
            <v>0.91009259259259256</v>
          </cell>
          <cell r="I818" t="str">
            <v>ОК</v>
          </cell>
          <cell r="J818" t="str">
            <v>ОК</v>
          </cell>
        </row>
        <row r="819">
          <cell r="B819" t="str">
            <v>В-19846/КЛ.Транш - 1_В-20211230/Ц</v>
          </cell>
          <cell r="C819" t="str">
            <v>РОССИЯ, 140184, Московская обл, г Жуковский, ул Мичурина, д. 10, кв. 10</v>
          </cell>
          <cell r="D819" t="str">
            <v>РОССИЯ, 140184, Московская обл, г Жуковский, ул Мичурина, д. 10, кв. 10</v>
          </cell>
          <cell r="F819" t="str">
            <v>Московская</v>
          </cell>
          <cell r="G819">
            <v>0.66009259259259256</v>
          </cell>
          <cell r="H819">
            <v>0.91009259259259256</v>
          </cell>
          <cell r="I819" t="str">
            <v>ОК</v>
          </cell>
          <cell r="J819" t="str">
            <v>ОК</v>
          </cell>
        </row>
        <row r="820">
          <cell r="B820" t="str">
            <v>В-25687/АЗ</v>
          </cell>
          <cell r="C820" t="str">
            <v>РОССИЯ, 344034, Ростовская обл, г Ростов-на-Дону, ул 2-я Володарского, д. 15</v>
          </cell>
          <cell r="D820" t="str">
            <v>РОССИЯ, 141401, Московская обл, г Химки, ул Германа Титова, д. 2, к. 2, кв. 83</v>
          </cell>
          <cell r="F820" t="str">
            <v>Московская</v>
          </cell>
          <cell r="G820">
            <v>0.66009259259259256</v>
          </cell>
          <cell r="H820">
            <v>0.91009259259259256</v>
          </cell>
          <cell r="I820" t="str">
            <v>ОК</v>
          </cell>
          <cell r="J820" t="str">
            <v>ОК</v>
          </cell>
        </row>
        <row r="821">
          <cell r="B821" t="str">
            <v>А-00053/БЭ</v>
          </cell>
          <cell r="C821" t="str">
            <v>РОССИЯ, 142712, Московская обл, Ленинский р-н, Белеутово д, Центральная ул, дом № 4</v>
          </cell>
          <cell r="D821" t="str">
            <v>РОССИЯ, 142712, Московская обл, Ленинский р-н, Белеутово д, Центральная ул, дом № 4</v>
          </cell>
          <cell r="F821" t="str">
            <v>Московская</v>
          </cell>
          <cell r="G821">
            <v>0.66009259259259256</v>
          </cell>
          <cell r="H821">
            <v>0.91009259259259256</v>
          </cell>
          <cell r="I821" t="str">
            <v>ОК</v>
          </cell>
          <cell r="J821" t="str">
            <v>ОК</v>
          </cell>
        </row>
        <row r="822">
          <cell r="B822" t="str">
            <v>А-00051/БЭ</v>
          </cell>
          <cell r="C822" t="str">
            <v>РОССИЯ, 109378, Москва г, Волгоградский пр-кт, дом № 153, корпус 1, квартира 57</v>
          </cell>
          <cell r="D822" t="str">
            <v>РОССИЯ, 109378, Москва г, Волгоградский пр-кт, дом № 153, корпус 1, квартира 57</v>
          </cell>
          <cell r="F822" t="str">
            <v>Москва</v>
          </cell>
          <cell r="G822">
            <v>0.66009259259259256</v>
          </cell>
          <cell r="H822">
            <v>0.91009259259259256</v>
          </cell>
          <cell r="I822" t="str">
            <v>ОК</v>
          </cell>
          <cell r="J822" t="str">
            <v>ОК</v>
          </cell>
        </row>
        <row r="823">
          <cell r="B823" t="str">
            <v>А-04328/АЗ</v>
          </cell>
          <cell r="C823" t="str">
            <v>РОССИЯ, 109378, Москва г, Волгоградский пр-кт, дом № 153, корпус 1, квартира 57</v>
          </cell>
          <cell r="D823" t="str">
            <v>РОССИЯ, 109378, Москва г, Волгоградский пр-кт, дом № 153, корпус 1, квартира 57</v>
          </cell>
          <cell r="F823" t="str">
            <v>Москва</v>
          </cell>
          <cell r="G823">
            <v>0.66009259259259256</v>
          </cell>
          <cell r="H823">
            <v>0.91009259259259256</v>
          </cell>
          <cell r="I823" t="str">
            <v>ОК</v>
          </cell>
          <cell r="J823" t="str">
            <v>ОК</v>
          </cell>
        </row>
        <row r="824">
          <cell r="B824" t="str">
            <v>Т-00030/БЭ_Т-20211028/Ц</v>
          </cell>
          <cell r="C824" t="str">
            <v>РОССИЯ, 109378, Москва г, Волгоградский пр-кт, дом № 153, корпус 1, квартира 57</v>
          </cell>
          <cell r="D824" t="str">
            <v>РОССИЯ, 109378, Москва г, Волгоградский пр-кт, дом № 153, корпус 1, квартира 57</v>
          </cell>
          <cell r="F824" t="str">
            <v>Москва</v>
          </cell>
          <cell r="G824">
            <v>0.66009259259259256</v>
          </cell>
          <cell r="H824">
            <v>0.91009259259259256</v>
          </cell>
          <cell r="I824" t="str">
            <v>ОК</v>
          </cell>
          <cell r="J824" t="str">
            <v>ОК</v>
          </cell>
        </row>
        <row r="825">
          <cell r="B825" t="str">
            <v>В-19766/КЛ.Транш - 1_В-20211230/Ц</v>
          </cell>
          <cell r="C825" t="str">
            <v>РОССИЯ, 180002, Псковская обл, г Псков, ул Мирная, д. 2, кв. 39</v>
          </cell>
          <cell r="D825" t="str">
            <v>РОССИЯ, 180002, Псковская обл, г Псков, ул Мирная, д. 2, кв. 39</v>
          </cell>
          <cell r="F825" t="str">
            <v>Псковская</v>
          </cell>
          <cell r="G825">
            <v>0.66009259259259256</v>
          </cell>
          <cell r="H825">
            <v>0.91009259259259256</v>
          </cell>
          <cell r="I825" t="str">
            <v>ОК</v>
          </cell>
          <cell r="J825" t="str">
            <v>ОК</v>
          </cell>
        </row>
        <row r="826">
          <cell r="B826" t="str">
            <v>В-00907/КЛ.Транш - 7</v>
          </cell>
          <cell r="C826" t="str">
            <v>РОССИЯ, 410004, Саратовская обл, г Саратов, 1 пос. им Пугачева Е.И., д. А-47А</v>
          </cell>
          <cell r="D826" t="str">
            <v>РОССИЯ, 107143, Москва г, ш Открытое, д. 29, к. 2, кв. 45</v>
          </cell>
          <cell r="F826" t="str">
            <v>Москва</v>
          </cell>
          <cell r="G826">
            <v>0.66009259259259256</v>
          </cell>
          <cell r="H826">
            <v>0.91009259259259256</v>
          </cell>
          <cell r="I826" t="str">
            <v>ОК</v>
          </cell>
          <cell r="J826" t="str">
            <v>ОК</v>
          </cell>
        </row>
        <row r="827">
          <cell r="B827" t="str">
            <v>В-00907/КЛ.Транш - 8</v>
          </cell>
          <cell r="C827" t="str">
            <v>РОССИЯ, 410004, Саратовская обл, г Саратов, 1 пос. им Пугачева Е.И., д. А-47А</v>
          </cell>
          <cell r="D827" t="str">
            <v>РОССИЯ, 107143, Москва г, ш Открытое, д. 29, к. 2, кв. 45</v>
          </cell>
          <cell r="F827" t="str">
            <v>Москва</v>
          </cell>
          <cell r="G827">
            <v>0.66009259259259256</v>
          </cell>
          <cell r="H827">
            <v>0.91009259259259256</v>
          </cell>
          <cell r="I827" t="str">
            <v>ОК</v>
          </cell>
          <cell r="J827" t="str">
            <v>ОК</v>
          </cell>
        </row>
        <row r="828">
          <cell r="B828" t="str">
            <v>В-24618/АЗ</v>
          </cell>
          <cell r="C828" t="str">
            <v>РОССИЯ, 410004, Саратовская обл, г Саратов, 1 пос. им Пугачева Е.И., д. А-47А</v>
          </cell>
          <cell r="D828" t="str">
            <v>РОССИЯ, 107143, Москва г, ш Открытое, д. 29, к. 2, кв. 45</v>
          </cell>
          <cell r="F828" t="str">
            <v>Москва</v>
          </cell>
          <cell r="G828">
            <v>0.66009259259259256</v>
          </cell>
          <cell r="H828">
            <v>0.91009259259259256</v>
          </cell>
          <cell r="I828" t="str">
            <v>ОК</v>
          </cell>
          <cell r="J828" t="str">
            <v>ОК</v>
          </cell>
        </row>
        <row r="829">
          <cell r="B829" t="str">
            <v>В-25494/АЗ</v>
          </cell>
          <cell r="C829" t="str">
            <v>РОССИЯ, 410004, Саратовская обл, г Саратов, 1 пос. им Пугачева Е.И., д. А-47А</v>
          </cell>
          <cell r="D829" t="str">
            <v>РОССИЯ, 107143, Москва г, ш Открытое, д. 29, к. 2, кв. 45</v>
          </cell>
          <cell r="F829" t="str">
            <v>Москва</v>
          </cell>
          <cell r="G829">
            <v>0.66009259259259256</v>
          </cell>
          <cell r="H829">
            <v>0.91009259259259256</v>
          </cell>
          <cell r="I829" t="str">
            <v>ОК</v>
          </cell>
          <cell r="J829" t="str">
            <v>ОК</v>
          </cell>
        </row>
        <row r="830">
          <cell r="B830" t="str">
            <v>В-27038/АЗ</v>
          </cell>
          <cell r="C830" t="str">
            <v>РОССИЯ, 410004, Саратовская обл, г Саратов, 1 пос. им Пугачева Е.И., д. А-47А</v>
          </cell>
          <cell r="D830" t="str">
            <v>РОССИЯ, 107143, Москва г, ш Открытое, д. 29, к. 2, кв. 45</v>
          </cell>
          <cell r="F830" t="str">
            <v>Москва</v>
          </cell>
          <cell r="G830">
            <v>0.66009259259259256</v>
          </cell>
          <cell r="H830">
            <v>0.91009259259259256</v>
          </cell>
          <cell r="I830" t="str">
            <v>ОК</v>
          </cell>
          <cell r="J830" t="str">
            <v>ОК</v>
          </cell>
        </row>
        <row r="831">
          <cell r="B831" t="str">
            <v>А-10113/КЭ.Транш - 1</v>
          </cell>
          <cell r="C831" t="str">
            <v>197183, Санкт-Петербург г, Полевая Сабировская ул, дом 3, литер А, офис 9</v>
          </cell>
          <cell r="F831" t="str">
            <v>Москва</v>
          </cell>
          <cell r="G831">
            <v>0.66009259259259256</v>
          </cell>
          <cell r="H831">
            <v>0.91009259259259256</v>
          </cell>
          <cell r="I831" t="str">
            <v>ОК</v>
          </cell>
          <cell r="J831" t="str">
            <v>ОК</v>
          </cell>
        </row>
        <row r="832">
          <cell r="B832" t="str">
            <v>В-15770/КЛ.Транш - 2</v>
          </cell>
          <cell r="C832" t="str">
            <v>РОССИЯ, 142402, Московская обл, Ногинск г, Академика Фортова ул, дом 1, квартира 333</v>
          </cell>
          <cell r="D832" t="str">
            <v>РОССИЯ, 142402, Московская обл, Ногинск г, Академика Фортова ул, дом 1, квартира 333</v>
          </cell>
          <cell r="F832" t="str">
            <v>Московская</v>
          </cell>
          <cell r="G832">
            <v>0.66009259259259256</v>
          </cell>
          <cell r="H832">
            <v>0.91009259259259256</v>
          </cell>
          <cell r="I832" t="str">
            <v>ОК</v>
          </cell>
          <cell r="J832" t="str">
            <v>ОК</v>
          </cell>
        </row>
        <row r="833">
          <cell r="B833" t="str">
            <v>В-10001/КЛ.Транш - 1</v>
          </cell>
          <cell r="C833" t="str">
            <v>РОССИЯ, 347933, Ростовская обл, г Таганрог, ул Чехова, д. 365-1, кв. 168</v>
          </cell>
          <cell r="D833" t="str">
            <v>РОССИЯ, 347933, Ростовская обл, г Таганрог, ул Чехова, д. 365-1, кв. 168</v>
          </cell>
          <cell r="F833" t="str">
            <v>Ростовская</v>
          </cell>
          <cell r="G833">
            <v>0.66009259259259256</v>
          </cell>
          <cell r="H833">
            <v>0.91009259259259256</v>
          </cell>
          <cell r="I833" t="str">
            <v>ОК</v>
          </cell>
          <cell r="J833" t="str">
            <v>ОК</v>
          </cell>
        </row>
        <row r="834">
          <cell r="B834" t="str">
            <v>В-10001/КЛ.Транш - 2</v>
          </cell>
          <cell r="C834" t="str">
            <v>РОССИЯ, 347933, Ростовская обл, г Таганрог, ул Чехова, д. 365-1, кв. 168</v>
          </cell>
          <cell r="D834" t="str">
            <v>РОССИЯ, 347933, Ростовская обл, г Таганрог, ул Чехова, д. 365-1, кв. 168</v>
          </cell>
          <cell r="F834" t="str">
            <v>Ростовская</v>
          </cell>
          <cell r="G834">
            <v>0.66009259259259256</v>
          </cell>
          <cell r="H834">
            <v>0.91009259259259256</v>
          </cell>
          <cell r="I834" t="str">
            <v>ОК</v>
          </cell>
          <cell r="J834" t="str">
            <v>ОК</v>
          </cell>
        </row>
        <row r="835">
          <cell r="B835" t="str">
            <v>В-10001/КЛ.Транш - 3</v>
          </cell>
          <cell r="C835" t="str">
            <v>РОССИЯ, 347933, Ростовская обл, г Таганрог, ул Чехова, д. 365-1, кв. 168</v>
          </cell>
          <cell r="D835" t="str">
            <v>РОССИЯ, 347933, Ростовская обл, г Таганрог, ул Чехова, д. 365-1, кв. 168</v>
          </cell>
          <cell r="F835" t="str">
            <v>Ростовская</v>
          </cell>
          <cell r="G835">
            <v>0.66009259259259256</v>
          </cell>
          <cell r="H835">
            <v>0.91009259259259256</v>
          </cell>
          <cell r="I835" t="str">
            <v>ОК</v>
          </cell>
          <cell r="J835" t="str">
            <v>ОК</v>
          </cell>
        </row>
        <row r="836">
          <cell r="B836" t="str">
            <v>А-03853/АЗ</v>
          </cell>
          <cell r="C836" t="str">
            <v>РОССИЯ, 302023, Орловская обл, Орёл г, Силикатная ул, дом № 24, квартира 12</v>
          </cell>
          <cell r="D836" t="str">
            <v>РОССИЯ, 125481, Москва г, Фомичёвой ул, дом № 16, корпус 2, квартира 167</v>
          </cell>
          <cell r="F836" t="str">
            <v>Москва</v>
          </cell>
          <cell r="G836">
            <v>0.66009259259259256</v>
          </cell>
          <cell r="H836">
            <v>0.91009259259259256</v>
          </cell>
          <cell r="I836" t="str">
            <v>ОК</v>
          </cell>
          <cell r="J836" t="str">
            <v>ОК</v>
          </cell>
        </row>
        <row r="837">
          <cell r="B837" t="str">
            <v>В-10018/КЭ.Транш - 1</v>
          </cell>
          <cell r="C837" t="str">
            <v>195279, Санкт-Петербург г, Индустриальный пр-кт, дом 27, литер А, помещение 15-Н</v>
          </cell>
          <cell r="F837" t="str">
            <v>Москва</v>
          </cell>
          <cell r="G837">
            <v>0.66009259259259256</v>
          </cell>
          <cell r="H837">
            <v>0.91009259259259256</v>
          </cell>
          <cell r="I837" t="str">
            <v>ОК</v>
          </cell>
          <cell r="J837" t="str">
            <v>ОК</v>
          </cell>
        </row>
        <row r="838">
          <cell r="B838" t="str">
            <v>В-28159/КЛ.Транш - 1</v>
          </cell>
          <cell r="C838" t="str">
            <v>РОССИЯ, 350059, Краснодарский край, г Краснодар, ул Уральская, д. 75, к. 2, кв. 339</v>
          </cell>
          <cell r="D838" t="str">
            <v>РОССИЯ, 350059, Краснодарский край, г Краснодар, ул Уральская, д. 75, к. 2, кв. 339</v>
          </cell>
          <cell r="F838" t="str">
            <v>Краснодарский</v>
          </cell>
          <cell r="G838">
            <v>0.66009259259259256</v>
          </cell>
          <cell r="H838">
            <v>0.91009259259259256</v>
          </cell>
          <cell r="I838" t="str">
            <v>ОК</v>
          </cell>
          <cell r="J838" t="str">
            <v>ОК</v>
          </cell>
        </row>
        <row r="839">
          <cell r="B839" t="str">
            <v>В-13600/КЛ.Транш - 1_В-20211230/Ц</v>
          </cell>
          <cell r="C839" t="str">
            <v>РОССИЯ, 143203, Московская обл, Можайск г, Рыльково д, дом 13</v>
          </cell>
          <cell r="D839" t="str">
            <v>РОССИЯ, 143968, Московская обл, Реутов г, Реутовских ополченцев ул, дом 14, квартира 479</v>
          </cell>
          <cell r="F839" t="str">
            <v>Московская</v>
          </cell>
          <cell r="G839">
            <v>0.66009259259259256</v>
          </cell>
          <cell r="H839">
            <v>0.91009259259259256</v>
          </cell>
          <cell r="I839" t="str">
            <v>ОК</v>
          </cell>
          <cell r="J839" t="str">
            <v>ОК</v>
          </cell>
        </row>
        <row r="840">
          <cell r="B840" t="str">
            <v>В-17597/КЛ.Транш - 1</v>
          </cell>
          <cell r="C840" t="str">
            <v>РОССИЯ, 354376, Краснодарский край, г Сочи, с Веселое, пер Васильковый, д. 31</v>
          </cell>
          <cell r="D840" t="str">
            <v>РОССИЯ, 354376, Краснодарский край, г Сочи, с Веселое, пер Васильковый, д. 31</v>
          </cell>
          <cell r="F840" t="str">
            <v>Краснодарский</v>
          </cell>
          <cell r="G840">
            <v>0.66009259259259256</v>
          </cell>
          <cell r="H840">
            <v>0.91009259259259256</v>
          </cell>
          <cell r="I840" t="str">
            <v>ОК</v>
          </cell>
          <cell r="J840" t="str">
            <v>ОК</v>
          </cell>
        </row>
        <row r="841">
          <cell r="B841" t="str">
            <v>В-17597/КЛ.Транш - 2</v>
          </cell>
          <cell r="C841" t="str">
            <v>РОССИЯ, 354376, Краснодарский край, г Сочи, с Веселое, пер Васильковый, д. 31</v>
          </cell>
          <cell r="D841" t="str">
            <v>РОССИЯ, 354376, Краснодарский край, г Сочи, с Веселое, пер Васильковый, д. 31</v>
          </cell>
          <cell r="F841" t="str">
            <v>Краснодарский</v>
          </cell>
          <cell r="G841">
            <v>0.66009259259259256</v>
          </cell>
          <cell r="H841">
            <v>0.91009259259259256</v>
          </cell>
          <cell r="I841" t="str">
            <v>ОК</v>
          </cell>
          <cell r="J841" t="str">
            <v>ОК</v>
          </cell>
        </row>
        <row r="842">
          <cell r="B842" t="str">
            <v>В-09500/КЛ.Транш - 1</v>
          </cell>
          <cell r="C842" t="str">
            <v>РОССИЯ, 352213, Краснодарский край, Новокубанский р-н, Восход п, Школьная ул, дом 7, квартира 2</v>
          </cell>
          <cell r="D842" t="str">
            <v>РОССИЯ, 352213, Краснодарский край, Новокубанский р-н, Восход п, Школьная ул, дом 7, квартира 2</v>
          </cell>
          <cell r="F842" t="str">
            <v>Краснодарский</v>
          </cell>
          <cell r="G842">
            <v>0.66009259259259256</v>
          </cell>
          <cell r="H842">
            <v>0.91009259259259256</v>
          </cell>
          <cell r="I842" t="str">
            <v>ОК</v>
          </cell>
          <cell r="J842" t="str">
            <v>ОК</v>
          </cell>
        </row>
        <row r="843">
          <cell r="B843" t="str">
            <v>В-11472/КЛ.Транш - 2</v>
          </cell>
          <cell r="C843" t="str">
            <v>РОССИЯ, 297491, Крым респ, Евпатория г, Новоозерное пгт, Морская ул, дом 4, квартира 61</v>
          </cell>
          <cell r="D843" t="str">
            <v>РОССИЯ, 297408, Крым респ, Евпатория г, Дмитрия Ульянова ул, дом 24, квартира 7</v>
          </cell>
          <cell r="F843" t="str">
            <v>Крым</v>
          </cell>
          <cell r="G843">
            <v>0.66009259259259256</v>
          </cell>
          <cell r="H843">
            <v>0.91009259259259256</v>
          </cell>
          <cell r="I843" t="str">
            <v>ОК</v>
          </cell>
          <cell r="J843" t="str">
            <v>ОК</v>
          </cell>
        </row>
        <row r="844">
          <cell r="B844" t="str">
            <v>В-11472/КЛ.Транш - 3</v>
          </cell>
          <cell r="C844" t="str">
            <v>РОССИЯ, 297491, Крым респ, Евпатория г, Новоозерное пгт, Морская ул, дом 4, квартира 61</v>
          </cell>
          <cell r="D844" t="str">
            <v>РОССИЯ, 297408, Крым респ, Евпатория г, Дмитрия Ульянова ул, дом 24, квартира 7</v>
          </cell>
          <cell r="F844" t="str">
            <v>Крым</v>
          </cell>
          <cell r="G844">
            <v>0.66009259259259256</v>
          </cell>
          <cell r="H844">
            <v>0.91009259259259256</v>
          </cell>
          <cell r="I844" t="str">
            <v>ОК</v>
          </cell>
          <cell r="J844" t="str">
            <v>ОК</v>
          </cell>
        </row>
        <row r="845">
          <cell r="B845" t="str">
            <v>В-21222/КЛ.Транш - 1</v>
          </cell>
          <cell r="C845" t="str">
            <v>РОССИЯ, 141075, Московская обл, г Королёв, ул Полевая, д. 80, кв. 6</v>
          </cell>
          <cell r="D845" t="str">
            <v>РОССИЯ, 141075, Московская обл, г Королёв, ул Полевая, д. 80, кв. 6</v>
          </cell>
          <cell r="F845" t="str">
            <v>Московская</v>
          </cell>
          <cell r="G845">
            <v>0.66009259259259256</v>
          </cell>
          <cell r="H845">
            <v>0.91009259259259256</v>
          </cell>
          <cell r="I845" t="str">
            <v>ОК</v>
          </cell>
          <cell r="J845" t="str">
            <v>ОК</v>
          </cell>
        </row>
        <row r="846">
          <cell r="B846" t="str">
            <v>В-22897/КЛ.Транш - 1</v>
          </cell>
          <cell r="C846" t="str">
            <v>РОССИЯ, 127566, Москва г, Алтуфьевское ш, дом 40А, квартира 216</v>
          </cell>
          <cell r="D846" t="str">
            <v>РОССИЯ, 127566, Москва г, Алтуфьевское ш, дом 40А, квартира 216</v>
          </cell>
          <cell r="F846" t="str">
            <v>Москва</v>
          </cell>
          <cell r="G846">
            <v>0.66009259259259256</v>
          </cell>
          <cell r="H846">
            <v>0.91009259259259256</v>
          </cell>
          <cell r="I846" t="str">
            <v>ОК</v>
          </cell>
          <cell r="J846" t="str">
            <v>ОК</v>
          </cell>
        </row>
        <row r="847">
          <cell r="B847" t="str">
            <v>В-22434/АЗ_В-20211230/Ц</v>
          </cell>
          <cell r="C847" t="str">
            <v>РОССИЯ, 143442, Московская обл, г.о. Красногорск, г Красногорск, с Ангелово, ул Школьная, двлд. 27</v>
          </cell>
          <cell r="D847" t="str">
            <v>РОССИЯ, 143442, Московская обл, г.о. Красногорск, г Красногорск, с Ангелово, ул Школьная, двлд. 27</v>
          </cell>
          <cell r="F847" t="str">
            <v>Московская</v>
          </cell>
          <cell r="G847">
            <v>0.66009259259259256</v>
          </cell>
          <cell r="H847">
            <v>0.91009259259259256</v>
          </cell>
          <cell r="I847" t="str">
            <v>ОК</v>
          </cell>
          <cell r="J847" t="str">
            <v>ОК</v>
          </cell>
        </row>
        <row r="848">
          <cell r="B848" t="str">
            <v>В-22436/АЗ_В-20211230/Ц</v>
          </cell>
          <cell r="C848" t="str">
            <v>РОССИЯ, 109387, Москва г, ул Ставропольская, д. 7Б, кв. 47</v>
          </cell>
          <cell r="D848" t="str">
            <v>РОССИЯ, 109387, Москва г, ул Ставропольская, д. 7Б, кв. 47</v>
          </cell>
          <cell r="F848" t="str">
            <v>Москва</v>
          </cell>
          <cell r="G848">
            <v>0.66009259259259256</v>
          </cell>
          <cell r="H848">
            <v>0.91009259259259256</v>
          </cell>
          <cell r="I848" t="str">
            <v>ОК</v>
          </cell>
          <cell r="J848" t="str">
            <v>ОК</v>
          </cell>
        </row>
        <row r="849">
          <cell r="B849" t="str">
            <v>В-14937/КЛ.Транш - 1</v>
          </cell>
          <cell r="C849" t="str">
            <v>РОССИЯ, 109559, Москва г, Тихорецкий б-р, дом 16, квартира 128</v>
          </cell>
          <cell r="D849" t="str">
            <v>РОССИЯ, 109559, Москва г, Тихорецкий б-р, дом 16, квартира 128</v>
          </cell>
          <cell r="F849" t="str">
            <v>Москва</v>
          </cell>
          <cell r="G849">
            <v>0.66009259259259256</v>
          </cell>
          <cell r="H849">
            <v>0.91009259259259256</v>
          </cell>
          <cell r="I849" t="str">
            <v>ОК</v>
          </cell>
          <cell r="J849" t="str">
            <v>ОК</v>
          </cell>
        </row>
        <row r="850">
          <cell r="B850" t="str">
            <v>В-14937/КЛ.Транш - 2</v>
          </cell>
          <cell r="C850" t="str">
            <v>РОССИЯ, 109559, Москва г, Тихорецкий б-р, дом 16, квартира 128</v>
          </cell>
          <cell r="D850" t="str">
            <v>РОССИЯ, 109559, Москва г, Тихорецкий б-р, дом 16, квартира 128</v>
          </cell>
          <cell r="F850" t="str">
            <v>Москва</v>
          </cell>
          <cell r="G850">
            <v>0.66009259259259256</v>
          </cell>
          <cell r="H850">
            <v>0.91009259259259256</v>
          </cell>
          <cell r="I850" t="str">
            <v>ОК</v>
          </cell>
          <cell r="J850" t="str">
            <v>ОК</v>
          </cell>
        </row>
        <row r="851">
          <cell r="B851" t="str">
            <v>В-14937/КЛ.Транш - 3</v>
          </cell>
          <cell r="C851" t="str">
            <v>РОССИЯ, 109559, Москва г, Тихорецкий б-р, дом 16, квартира 128</v>
          </cell>
          <cell r="D851" t="str">
            <v>РОССИЯ, 109559, Москва г, Тихорецкий б-р, дом 16, квартира 128</v>
          </cell>
          <cell r="F851" t="str">
            <v>Москва</v>
          </cell>
          <cell r="G851">
            <v>0.66009259259259256</v>
          </cell>
          <cell r="H851">
            <v>0.91009259259259256</v>
          </cell>
          <cell r="I851" t="str">
            <v>ОК</v>
          </cell>
          <cell r="J851" t="str">
            <v>ОК</v>
          </cell>
        </row>
        <row r="852">
          <cell r="B852" t="str">
            <v>В-14937/КЛ.Транш - 4</v>
          </cell>
          <cell r="C852" t="str">
            <v>РОССИЯ, 109559, Москва г, Тихорецкий б-р, дом 16, квартира 128</v>
          </cell>
          <cell r="D852" t="str">
            <v>РОССИЯ, 109559, Москва г, Тихорецкий б-р, дом 16, квартира 128</v>
          </cell>
          <cell r="F852" t="str">
            <v>Москва</v>
          </cell>
          <cell r="G852">
            <v>0.66009259259259256</v>
          </cell>
          <cell r="H852">
            <v>0.91009259259259256</v>
          </cell>
          <cell r="I852" t="str">
            <v>ОК</v>
          </cell>
          <cell r="J852" t="str">
            <v>ОК</v>
          </cell>
        </row>
        <row r="853">
          <cell r="B853" t="str">
            <v>В-06453/КЛ.Транш - 3</v>
          </cell>
          <cell r="C853" t="str">
            <v>РОССИЯ, 140008, Московская обл, Люберцы г, 3-е Почтовое отделение ул, дом 74, квартира 94, 95</v>
          </cell>
          <cell r="D853" t="str">
            <v>РОССИЯ, 140008, Московская обл, Люберцы г, 3-е Почтовое отделение ул, дом 74, квартира 94, 95</v>
          </cell>
          <cell r="F853" t="str">
            <v>Московская</v>
          </cell>
          <cell r="G853">
            <v>0.66009259259259256</v>
          </cell>
          <cell r="H853">
            <v>0.91009259259259256</v>
          </cell>
          <cell r="I853" t="str">
            <v>ОК</v>
          </cell>
          <cell r="J853" t="str">
            <v>ОК</v>
          </cell>
        </row>
        <row r="854">
          <cell r="B854" t="str">
            <v>В-06453/КЛ.Транш - 4</v>
          </cell>
          <cell r="C854" t="str">
            <v>РОССИЯ, 140008, Московская обл, Люберцы г, 3-е Почтовое отделение ул, дом 74, квартира 94, 95</v>
          </cell>
          <cell r="D854" t="str">
            <v>РОССИЯ, 140008, Московская обл, Люберцы г, 3-е Почтовое отделение ул, дом 74, квартира 94, 95</v>
          </cell>
          <cell r="F854" t="str">
            <v>Московская</v>
          </cell>
          <cell r="G854">
            <v>0.66009259259259256</v>
          </cell>
          <cell r="H854">
            <v>0.91009259259259256</v>
          </cell>
          <cell r="I854" t="str">
            <v>ОК</v>
          </cell>
          <cell r="J854" t="str">
            <v>ОК</v>
          </cell>
        </row>
        <row r="855">
          <cell r="B855" t="str">
            <v>В-17106/КЛ.Транш - 1</v>
          </cell>
          <cell r="C855" t="str">
            <v>РОССИЯ, 119027, Москва г, ул Внуковская Б., д. 1, кв. 46</v>
          </cell>
          <cell r="D855" t="str">
            <v>РОССИЯ, 119027, Москва г, ул Внуковская Б., д. 1, кв. 46</v>
          </cell>
          <cell r="F855" t="str">
            <v>Москва</v>
          </cell>
          <cell r="G855">
            <v>0.66009259259259256</v>
          </cell>
          <cell r="H855">
            <v>0.91009259259259256</v>
          </cell>
          <cell r="I855" t="str">
            <v>ОК</v>
          </cell>
          <cell r="J855" t="str">
            <v>ОК</v>
          </cell>
        </row>
        <row r="856">
          <cell r="B856" t="str">
            <v>В-00042/КЭ.Транш - 1</v>
          </cell>
          <cell r="C856" t="str">
            <v>115230, Москва г, Хлебозаводский проезд, дом 7, строение 9, этаж 9, помещение XVI, комната 2, офис 5</v>
          </cell>
          <cell r="F856" t="str">
            <v>Москва</v>
          </cell>
          <cell r="G856">
            <v>0.66009259259259256</v>
          </cell>
          <cell r="H856">
            <v>0.91009259259259256</v>
          </cell>
          <cell r="I856" t="str">
            <v>ОК</v>
          </cell>
          <cell r="J856" t="str">
            <v>ОК</v>
          </cell>
        </row>
        <row r="857">
          <cell r="B857" t="str">
            <v>В-01092/КЛ.Транш - 1</v>
          </cell>
          <cell r="C857" t="str">
            <v>РОССИЯ, 357820, Ставропольский край, Георгиевск г, Вехова ул, дом 62</v>
          </cell>
          <cell r="D857" t="str">
            <v>РОССИЯ, 140000, Московская обл, Люберцы г, Смирновская ул, дом 8, квартира 36</v>
          </cell>
          <cell r="F857" t="str">
            <v>Московская</v>
          </cell>
          <cell r="G857">
            <v>0.66009259259259256</v>
          </cell>
          <cell r="H857">
            <v>0.91009259259259256</v>
          </cell>
          <cell r="I857" t="str">
            <v>ОК</v>
          </cell>
          <cell r="J857" t="str">
            <v>ОК</v>
          </cell>
        </row>
        <row r="858">
          <cell r="B858" t="str">
            <v>В-18438/КЛ.Транш - 1</v>
          </cell>
          <cell r="C858" t="str">
            <v>РОССИЯ, 352855, Краснодарский край, р-н Туапсинский, пгт Новомихайловский, мкр. 1-й, д. 9, кв. 3</v>
          </cell>
          <cell r="D858" t="str">
            <v>РОССИЯ, 352855, Краснодарский край, р-н Туапсинский, пгт Новомихайловский, мкр. 1-й, д. 9, кв. 3</v>
          </cell>
          <cell r="F858" t="str">
            <v>Краснодарский</v>
          </cell>
          <cell r="G858">
            <v>0.66009259259259256</v>
          </cell>
          <cell r="H858">
            <v>0.91009259259259256</v>
          </cell>
          <cell r="I858" t="str">
            <v>ОК</v>
          </cell>
          <cell r="J858" t="str">
            <v>ОК</v>
          </cell>
        </row>
        <row r="859">
          <cell r="B859" t="str">
            <v>В-07877/КЛ.Транш - 12</v>
          </cell>
          <cell r="C859" t="str">
            <v>РОССИЯ, 431261, Мордовия респ, Краснослободский р-н, Старые Горяши с, Молодежная ул, дом 15, квартира 1</v>
          </cell>
          <cell r="D859" t="str">
            <v>РОССИЯ, 430024, Мордовия респ, Саранск г, Т.Бибиной ул, дом 3/4, квартира 112</v>
          </cell>
          <cell r="F859" t="str">
            <v>Мордовия</v>
          </cell>
          <cell r="G859">
            <v>0.66009259259259256</v>
          </cell>
          <cell r="H859">
            <v>0.91009259259259256</v>
          </cell>
          <cell r="I859" t="str">
            <v>ОК</v>
          </cell>
          <cell r="J859" t="str">
            <v>ОК</v>
          </cell>
        </row>
        <row r="860">
          <cell r="B860" t="str">
            <v>В-07877/КЛ.Транш - 14</v>
          </cell>
          <cell r="C860" t="str">
            <v>РОССИЯ, 431261, Мордовия респ, Краснослободский р-н, Старые Горяши с, Молодежная ул, дом 15, квартира 1</v>
          </cell>
          <cell r="D860" t="str">
            <v>РОССИЯ, 430024, Мордовия респ, Саранск г, Т.Бибиной ул, дом 3/4, квартира 112</v>
          </cell>
          <cell r="F860" t="str">
            <v>Мордовия</v>
          </cell>
          <cell r="G860">
            <v>0.66009259259259256</v>
          </cell>
          <cell r="H860">
            <v>0.91009259259259256</v>
          </cell>
          <cell r="I860" t="str">
            <v>ОК</v>
          </cell>
          <cell r="J860" t="str">
            <v>ОК</v>
          </cell>
        </row>
        <row r="861">
          <cell r="B861" t="str">
            <v>В-07877/КЛ.Транш - 15</v>
          </cell>
          <cell r="C861" t="str">
            <v>РОССИЯ, 431261, Мордовия респ, Краснослободский р-н, Старые Горяши с, Молодежная ул, дом 15, квартира 1</v>
          </cell>
          <cell r="D861" t="str">
            <v>РОССИЯ, 430024, Мордовия респ, Саранск г, Т.Бибиной ул, дом 3/4, квартира 112</v>
          </cell>
          <cell r="F861" t="str">
            <v>Мордовия</v>
          </cell>
          <cell r="G861">
            <v>0.66009259259259256</v>
          </cell>
          <cell r="H861">
            <v>0.91009259259259256</v>
          </cell>
          <cell r="I861" t="str">
            <v>ОК</v>
          </cell>
          <cell r="J861" t="str">
            <v>ОК</v>
          </cell>
        </row>
        <row r="862">
          <cell r="B862" t="str">
            <v>В-25351/КЛ.Транш - 1</v>
          </cell>
          <cell r="C862" t="str">
            <v>РОССИЯ, 361041, Кабардино-Балкарская респ, г Прохладный, ул Ленинградская, д. 132</v>
          </cell>
          <cell r="D862" t="str">
            <v>РОССИЯ, 394053, Воронежская обл, г Воронеж, пр-кт Московский, д. 120, кв. 647</v>
          </cell>
          <cell r="F862" t="str">
            <v>Воронежская</v>
          </cell>
          <cell r="G862">
            <v>0.66009259259259256</v>
          </cell>
          <cell r="H862">
            <v>0.91009259259259256</v>
          </cell>
          <cell r="I862" t="str">
            <v>ОК</v>
          </cell>
          <cell r="J862" t="str">
            <v>ОК</v>
          </cell>
        </row>
        <row r="863">
          <cell r="B863" t="str">
            <v>В-25351/КЛ.Транш - 2</v>
          </cell>
          <cell r="C863" t="str">
            <v>РОССИЯ, 361041, Кабардино-Балкарская респ, г Прохладный, ул Ленинградская, д. 132</v>
          </cell>
          <cell r="D863" t="str">
            <v>РОССИЯ, 394053, Воронежская обл, г Воронеж, пр-кт Московский, д. 120, кв. 647</v>
          </cell>
          <cell r="F863" t="str">
            <v>Воронежская</v>
          </cell>
          <cell r="G863">
            <v>0.66009259259259256</v>
          </cell>
          <cell r="H863">
            <v>0.91009259259259256</v>
          </cell>
          <cell r="I863" t="str">
            <v>ОК</v>
          </cell>
          <cell r="J863" t="str">
            <v>ОК</v>
          </cell>
        </row>
        <row r="864">
          <cell r="B864" t="str">
            <v>В-14835/КЛ.Транш - 1</v>
          </cell>
          <cell r="C864" t="str">
            <v>РОССИЯ, 614095, Пермский край, Пермь г, Самолетная ул, дом 50, квартира 78</v>
          </cell>
          <cell r="D864" t="str">
            <v>РОССИЯ, 614095, Пермский край, Пермь г, Самолетная ул, дом 50, квартира 78</v>
          </cell>
          <cell r="F864" t="str">
            <v>Пермский</v>
          </cell>
          <cell r="G864">
            <v>0.66009259259259256</v>
          </cell>
          <cell r="H864">
            <v>0.99342592592592593</v>
          </cell>
          <cell r="I864" t="str">
            <v>поздно</v>
          </cell>
          <cell r="J864" t="str">
            <v>ОК</v>
          </cell>
        </row>
        <row r="865">
          <cell r="B865" t="str">
            <v>В-14835/КЛ.Транш - 2</v>
          </cell>
          <cell r="C865" t="str">
            <v>РОССИЯ, 614095, Пермский край, Пермь г, Самолетная ул, дом 50, квартира 78</v>
          </cell>
          <cell r="D865" t="str">
            <v>РОССИЯ, 614095, Пермский край, Пермь г, Самолетная ул, дом 50, квартира 78</v>
          </cell>
          <cell r="F865" t="str">
            <v>Пермский</v>
          </cell>
          <cell r="G865">
            <v>0.66009259259259256</v>
          </cell>
          <cell r="H865">
            <v>0.99342592592592593</v>
          </cell>
          <cell r="I865" t="str">
            <v>поздно</v>
          </cell>
          <cell r="J865" t="str">
            <v>ОК</v>
          </cell>
        </row>
        <row r="866">
          <cell r="B866" t="str">
            <v>В-20703/КЛ.Транш - 1_В-20211230/Ц</v>
          </cell>
          <cell r="C866" t="str">
            <v>РОССИЯ, 452040, Башкортостан респ, р-н Бижбулякский, д Калиновка, ул Шоссейная, д. 22</v>
          </cell>
          <cell r="D866" t="str">
            <v>РОССИЯ, 420087, Татарстан респ, г Казань, ул Даурская, д. 20, кв. 135</v>
          </cell>
          <cell r="F866" t="str">
            <v>Татарстан</v>
          </cell>
          <cell r="G866">
            <v>0.66009259259259256</v>
          </cell>
          <cell r="H866">
            <v>0.91009259259259256</v>
          </cell>
          <cell r="I866" t="str">
            <v>ОК</v>
          </cell>
          <cell r="J866" t="str">
            <v>ОК</v>
          </cell>
        </row>
        <row r="867">
          <cell r="B867" t="str">
            <v>В-20377/КЛ.Транш - 1</v>
          </cell>
          <cell r="C867" t="str">
            <v>РОССИЯ, 195276, Санкт-Петербург г, вн.тер.г. муниципальный округ Северный, пр-кт Культуры, д. 25, к. 3, литера А, кв. 181</v>
          </cell>
          <cell r="D867" t="str">
            <v>РОССИЯ, 195276, Санкт-Петербург г, вн.тер.г. муниципальный округ Северный, пр-кт Культуры, д. 25, к. 3, литера А, кв. 181</v>
          </cell>
          <cell r="F867" t="str">
            <v>Москва</v>
          </cell>
          <cell r="G867">
            <v>0.66009259259259256</v>
          </cell>
          <cell r="H867">
            <v>0.91009259259259256</v>
          </cell>
          <cell r="I867" t="str">
            <v>ОК</v>
          </cell>
          <cell r="J867" t="str">
            <v>ОК</v>
          </cell>
        </row>
        <row r="868">
          <cell r="B868" t="str">
            <v>В-28927/КЛ.Транш - 1</v>
          </cell>
          <cell r="C868" t="str">
            <v>РОССИЯ, 456787, Челябинская обл, г Озерск, б-р Луначарского, д. 23, кв. 243</v>
          </cell>
          <cell r="D868" t="str">
            <v>РОССИЯ, 456787, Челябинская обл, г Озерск, б-р Луначарского, д. 23, кв. 243</v>
          </cell>
          <cell r="F868" t="str">
            <v>Челябинская</v>
          </cell>
          <cell r="G868">
            <v>0.66009259259259256</v>
          </cell>
          <cell r="H868">
            <v>0.99342592592592593</v>
          </cell>
          <cell r="I868" t="str">
            <v>поздно</v>
          </cell>
          <cell r="J868" t="str">
            <v>ОК</v>
          </cell>
        </row>
        <row r="869">
          <cell r="B869" t="str">
            <v>В-19346/КЛ.Транш - 2</v>
          </cell>
          <cell r="C869" t="str">
            <v>РОССИЯ, 302005, Орловская обл, г Орёл, ул Солнцевская, д. 14, кв. 73</v>
          </cell>
          <cell r="D869" t="str">
            <v>РОССИЯ, 302005, Орловская обл, г Орёл, ул Солнцевская, д. 14, кв. 73</v>
          </cell>
          <cell r="F869" t="str">
            <v>Орловская</v>
          </cell>
          <cell r="G869">
            <v>0.66009259259259256</v>
          </cell>
          <cell r="H869">
            <v>0.91009259259259256</v>
          </cell>
          <cell r="I869" t="str">
            <v>ОК</v>
          </cell>
          <cell r="J869" t="str">
            <v>ОК</v>
          </cell>
        </row>
        <row r="870">
          <cell r="B870" t="str">
            <v>В-19346/КЛ.Транш - 3</v>
          </cell>
          <cell r="C870" t="str">
            <v>РОССИЯ, 302005, Орловская обл, г Орёл, ул Солнцевская, д. 14, кв. 73</v>
          </cell>
          <cell r="D870" t="str">
            <v>РОССИЯ, 302005, Орловская обл, г Орёл, ул Солнцевская, д. 14, кв. 73</v>
          </cell>
          <cell r="F870" t="str">
            <v>Орловская</v>
          </cell>
          <cell r="G870">
            <v>0.66009259259259256</v>
          </cell>
          <cell r="H870">
            <v>0.91009259259259256</v>
          </cell>
          <cell r="I870" t="str">
            <v>ОК</v>
          </cell>
          <cell r="J870" t="str">
            <v>ОК</v>
          </cell>
        </row>
        <row r="871">
          <cell r="B871" t="str">
            <v>В-14178/КЛ.Транш - 1</v>
          </cell>
          <cell r="C871" t="str">
            <v>РОССИЯ, 390518, Рязанская обл, Рязанский р-н, Вышетравино с, дом 8, квартира 3</v>
          </cell>
          <cell r="D871" t="str">
            <v>РОССИЯ, 390518, Рязанская обл, Рязанский р-н, Вышетравино с, дом 8, квартира 3</v>
          </cell>
          <cell r="F871" t="str">
            <v>Рязанская</v>
          </cell>
          <cell r="G871">
            <v>0.66009259259259256</v>
          </cell>
          <cell r="H871">
            <v>0.91009259259259256</v>
          </cell>
          <cell r="I871" t="str">
            <v>ОК</v>
          </cell>
          <cell r="J871" t="str">
            <v>ОК</v>
          </cell>
        </row>
        <row r="872">
          <cell r="B872" t="str">
            <v>В-12553/КЛ.Транш - 1</v>
          </cell>
          <cell r="C872" t="str">
            <v>РОССИЯ, 305005, Курская обл, Курск г, Вячеслава Клыкова пр-кт, дом 46, квартира 242</v>
          </cell>
          <cell r="D872" t="str">
            <v>РОССИЯ, 305005, Курская обл, Курск г, Вячеслава Клыкова пр-кт, дом 46, квартира 242</v>
          </cell>
          <cell r="F872" t="str">
            <v>Курская</v>
          </cell>
          <cell r="G872">
            <v>0.66009259259259256</v>
          </cell>
          <cell r="H872">
            <v>0.91009259259259256</v>
          </cell>
          <cell r="I872" t="str">
            <v>ОК</v>
          </cell>
          <cell r="J872" t="str">
            <v>ОК</v>
          </cell>
        </row>
        <row r="873">
          <cell r="B873" t="str">
            <v>В-00433/КЛ.Транш - 1</v>
          </cell>
          <cell r="C873" t="str">
            <v>РОССИЯ, 117447, Москва г, Винокурова ул, дом 28, корпус 2, квартира 62</v>
          </cell>
          <cell r="D873" t="str">
            <v>РОССИЯ, 117447, Москва г, Винокурова ул, дом 28, корпус 2, квартира 62</v>
          </cell>
          <cell r="F873" t="str">
            <v>Москва</v>
          </cell>
          <cell r="G873">
            <v>0.66009259259259256</v>
          </cell>
          <cell r="H873">
            <v>0.91009259259259256</v>
          </cell>
          <cell r="I873" t="str">
            <v>ОК</v>
          </cell>
          <cell r="J873" t="str">
            <v>ОК</v>
          </cell>
        </row>
        <row r="874">
          <cell r="B874" t="str">
            <v>В-13477/КЛ.Транш - 2</v>
          </cell>
          <cell r="C874" t="str">
            <v>РОССИЯ, 423808, Татарстан респ, Набережные Челны г, Юности пер, дом 5, квартира 80</v>
          </cell>
          <cell r="D874" t="str">
            <v>РОССИЯ, 423808, Татарстан респ, Набережные Челны г, Юности пер, дом 5, квартира 80</v>
          </cell>
          <cell r="F874" t="str">
            <v>Татарстан</v>
          </cell>
          <cell r="G874">
            <v>0.66009259259259256</v>
          </cell>
          <cell r="H874">
            <v>0.91009259259259256</v>
          </cell>
          <cell r="I874" t="str">
            <v>ОК</v>
          </cell>
          <cell r="J874" t="str">
            <v>ОК</v>
          </cell>
        </row>
        <row r="875">
          <cell r="B875" t="str">
            <v>В-09890/КЛ.Транш - 1</v>
          </cell>
          <cell r="C875" t="str">
            <v>РОССИЯ, 197183, Санкт-Петербург г, Приморский пр-кт, дом 27, квартира 7</v>
          </cell>
          <cell r="D875" t="str">
            <v>РОССИЯ, 197183, Санкт-Петербург г, Приморский пр-кт, дом 27, квартира 7</v>
          </cell>
          <cell r="F875" t="str">
            <v>Москва</v>
          </cell>
          <cell r="G875">
            <v>0.66009259259259256</v>
          </cell>
          <cell r="H875">
            <v>0.91009259259259256</v>
          </cell>
          <cell r="I875" t="str">
            <v>ОК</v>
          </cell>
          <cell r="J875" t="str">
            <v>ОК</v>
          </cell>
        </row>
        <row r="876">
          <cell r="B876" t="str">
            <v>В-29080/КЛ.Транш - 1</v>
          </cell>
          <cell r="C876" t="str">
            <v>РОССИЯ, 142118, Московская обл, г.о. Подольск, г Подольск, ул 43-й Армии, д. 23, кв. 52</v>
          </cell>
          <cell r="D876" t="str">
            <v>РОССИЯ, 142118, Московская обл, г.о. Подольск, г Подольск, ул 43-й Армии, д. 23, кв. 52</v>
          </cell>
          <cell r="F876" t="str">
            <v>Московская</v>
          </cell>
          <cell r="G876">
            <v>0.66009259259259256</v>
          </cell>
          <cell r="H876">
            <v>0.91009259259259256</v>
          </cell>
          <cell r="I876" t="str">
            <v>ОК</v>
          </cell>
          <cell r="J876" t="str">
            <v>ОК</v>
          </cell>
        </row>
        <row r="877">
          <cell r="B877" t="str">
            <v>В-19593/КЛ.Транш - 1</v>
          </cell>
          <cell r="C877" t="str">
            <v>РОССИЯ, 109377, Москва г, вн.тер.г. внутригородская территория муниципальный округ Рязанский, ул 4-я Новокузьминская, кв. 56</v>
          </cell>
          <cell r="D877" t="str">
            <v>РОССИЯ, 109377, Москва г, вн.тер.г. внутригородская территория муниципальный округ Рязанский, ул 4-я Новокузьминская, кв. 56</v>
          </cell>
          <cell r="F877" t="str">
            <v>Москва</v>
          </cell>
          <cell r="G877">
            <v>0.66009259259259256</v>
          </cell>
          <cell r="H877">
            <v>0.91009259259259256</v>
          </cell>
          <cell r="I877" t="str">
            <v>ОК</v>
          </cell>
          <cell r="J877" t="str">
            <v>ОК</v>
          </cell>
        </row>
        <row r="878">
          <cell r="B878" t="str">
            <v>В-12372/КЛ.Транш - 1</v>
          </cell>
          <cell r="C878" t="str">
            <v>РОССИЯ, 620102, Свердловская обл, Екатеринбург г, Ясная ул, дом 8, квартира 42</v>
          </cell>
          <cell r="D878" t="str">
            <v>РОССИЯ, 620102, Свердловская обл, Екатеринбург г, Ясная ул, дом 8, квартира 42</v>
          </cell>
          <cell r="F878" t="str">
            <v>Свердловская</v>
          </cell>
          <cell r="G878">
            <v>0.66009259259259256</v>
          </cell>
          <cell r="H878">
            <v>0.99342592592592593</v>
          </cell>
          <cell r="I878" t="str">
            <v>поздно</v>
          </cell>
          <cell r="J878" t="str">
            <v>ОК</v>
          </cell>
        </row>
        <row r="879">
          <cell r="B879" t="str">
            <v>В-16768/КЛ.Транш - 1</v>
          </cell>
          <cell r="C879" t="str">
            <v>РОССИЯ, 143300, Московская обл, г.о. городской округ Наро-Фоминский, ул Школьная, д. 14, кв. 7</v>
          </cell>
          <cell r="D879" t="str">
            <v>РОССИЯ, 143300, Московская обл, г.о. городской округ Наро-Фоминский, ул Школьная, д. 14, кв. 7</v>
          </cell>
          <cell r="F879" t="str">
            <v>Московская</v>
          </cell>
          <cell r="G879">
            <v>0.66009259259259256</v>
          </cell>
          <cell r="H879">
            <v>0.91009259259259256</v>
          </cell>
          <cell r="I879" t="str">
            <v>ОК</v>
          </cell>
          <cell r="J879" t="str">
            <v>ОК</v>
          </cell>
        </row>
        <row r="880">
          <cell r="B880" t="str">
            <v>В-08368/КЛ.Транш - 2</v>
          </cell>
          <cell r="C880" t="str">
            <v>РОССИЯ, 141005, Московская обл, Мытищи г, 2-я Институтская ул, дом 33</v>
          </cell>
          <cell r="D880" t="str">
            <v>РОССИЯ, 141005, Московская обл, Мытищи г, 2-я Институтская ул, дом 33</v>
          </cell>
          <cell r="F880" t="str">
            <v>Московская</v>
          </cell>
          <cell r="G880">
            <v>0.66009259259259256</v>
          </cell>
          <cell r="H880">
            <v>0.91009259259259256</v>
          </cell>
          <cell r="I880" t="str">
            <v>ОК</v>
          </cell>
          <cell r="J880" t="str">
            <v>ОК</v>
          </cell>
        </row>
        <row r="881">
          <cell r="B881" t="str">
            <v>В-00018/КЭ.Транш - 1</v>
          </cell>
          <cell r="C881" t="str">
            <v>140010, Московская обл, Люберцы г, Назаровская ул, дом 5/8, квартира 61</v>
          </cell>
          <cell r="F881" t="str">
            <v>Москва</v>
          </cell>
          <cell r="G881">
            <v>0.66009259259259256</v>
          </cell>
          <cell r="H881">
            <v>0.91009259259259256</v>
          </cell>
          <cell r="I881" t="str">
            <v>ОК</v>
          </cell>
          <cell r="J881" t="str">
            <v>ОК</v>
          </cell>
        </row>
        <row r="882">
          <cell r="B882" t="str">
            <v>В-00073/КЭ.Транш - 1</v>
          </cell>
          <cell r="C882" t="str">
            <v>140010, Московская обл, Люберцы г, Назаровская ул, дом 5/8, квартира 61</v>
          </cell>
          <cell r="F882" t="str">
            <v>Москва</v>
          </cell>
          <cell r="G882">
            <v>0.66009259259259256</v>
          </cell>
          <cell r="H882">
            <v>0.91009259259259256</v>
          </cell>
          <cell r="I882" t="str">
            <v>ОК</v>
          </cell>
          <cell r="J882" t="str">
            <v>ОК</v>
          </cell>
        </row>
        <row r="883">
          <cell r="B883" t="str">
            <v>В-15778/КЛ.Транш - 1</v>
          </cell>
          <cell r="C883" t="str">
            <v>РОССИЯ, 142100, Московская обл, Подольск г, Ленина пр-кт, дом 152/63, квартира 10</v>
          </cell>
          <cell r="D883" t="str">
            <v>РОССИЯ, 142100, Московская обл, Подольск г, Ленина пр-кт, дом 152/63, квартира 10</v>
          </cell>
          <cell r="F883" t="str">
            <v>Московская</v>
          </cell>
          <cell r="G883">
            <v>0.66009259259259256</v>
          </cell>
          <cell r="H883">
            <v>0.91009259259259256</v>
          </cell>
          <cell r="I883" t="str">
            <v>ОК</v>
          </cell>
          <cell r="J883" t="str">
            <v>ОК</v>
          </cell>
        </row>
        <row r="884">
          <cell r="B884" t="str">
            <v>В-15778/КЛ.Транш - 2</v>
          </cell>
          <cell r="C884" t="str">
            <v>РОССИЯ, 142100, Московская обл, Подольск г, Ленина пр-кт, дом 152/63, квартира 10</v>
          </cell>
          <cell r="D884" t="str">
            <v>РОССИЯ, 142100, Московская обл, Подольск г, Ленина пр-кт, дом 152/63, квартира 10</v>
          </cell>
          <cell r="F884" t="str">
            <v>Московская</v>
          </cell>
          <cell r="G884">
            <v>0.66009259259259256</v>
          </cell>
          <cell r="H884">
            <v>0.91009259259259256</v>
          </cell>
          <cell r="I884" t="str">
            <v>ОК</v>
          </cell>
          <cell r="J884" t="str">
            <v>ОК</v>
          </cell>
        </row>
        <row r="885">
          <cell r="B885" t="str">
            <v>В-12231/КЛ.Транш - 1</v>
          </cell>
          <cell r="C885" t="str">
            <v>РОССИЯ, 392003, Тамбовская обл, Тамбов г, Энтузиастов б-р, дом 2а, квартира 36</v>
          </cell>
          <cell r="D885" t="str">
            <v>РОССИЯ, 392003, Тамбовская обл, Тамбов г, Энтузиастов б-р, дом 2а, квартира 36</v>
          </cell>
          <cell r="F885" t="str">
            <v>Тамбовская</v>
          </cell>
          <cell r="G885">
            <v>0.66009259259259256</v>
          </cell>
          <cell r="H885">
            <v>0.91009259259259256</v>
          </cell>
          <cell r="I885" t="str">
            <v>ОК</v>
          </cell>
          <cell r="J885" t="str">
            <v>ОК</v>
          </cell>
        </row>
        <row r="886">
          <cell r="B886" t="str">
            <v>А-04684/АЗ</v>
          </cell>
          <cell r="C886" t="str">
            <v>РОССИЯ, 141060, Московская обл, Королев г, Болшево мкр, Колхозная пл, дом № 3, квартира 65</v>
          </cell>
          <cell r="D886" t="str">
            <v>РОССИЯ, 141060, Московская обл, Королев г, Болшево мкр, Колхозная пл, дом № 3, квартира 65</v>
          </cell>
          <cell r="F886" t="str">
            <v>Московская</v>
          </cell>
          <cell r="G886">
            <v>0.66009259259259256</v>
          </cell>
          <cell r="H886">
            <v>0.91009259259259256</v>
          </cell>
          <cell r="I886" t="str">
            <v>ОК</v>
          </cell>
          <cell r="J886" t="str">
            <v>ОК</v>
          </cell>
        </row>
        <row r="887">
          <cell r="B887" t="str">
            <v>Т-01646/АЗ_А-20200626/Ц</v>
          </cell>
          <cell r="C887" t="str">
            <v>РОССИЯ, 141060, Московская обл, Королев г, Болшево мкр, Колхозная пл, дом № 3, квартира 65</v>
          </cell>
          <cell r="D887" t="str">
            <v>РОССИЯ, 141060, Московская обл, Королев г, Болшево мкр, Колхозная пл, дом № 3, квартира 65</v>
          </cell>
          <cell r="F887" t="str">
            <v>Московская</v>
          </cell>
          <cell r="G887">
            <v>0.66009259259259256</v>
          </cell>
          <cell r="H887">
            <v>0.91009259259259256</v>
          </cell>
          <cell r="I887" t="str">
            <v>ОК</v>
          </cell>
          <cell r="J887" t="str">
            <v>ОК</v>
          </cell>
        </row>
        <row r="888">
          <cell r="B888" t="str">
            <v>В-17380/КЛ.Транш - 1</v>
          </cell>
          <cell r="C888" t="str">
            <v>РОССИЯ, 115547, Москва г, вн.тер. г. муниципальный округ Бирюлево Восточное, проезд Михневский, д. 6, кв. 281</v>
          </cell>
          <cell r="D888" t="str">
            <v>РОССИЯ, 115547, Москва г, вн.тер. г. муниципальный округ Бирюлево Восточное, проезд Михневский, д. 6, кв. 281</v>
          </cell>
          <cell r="F888" t="str">
            <v>Москва</v>
          </cell>
          <cell r="G888">
            <v>0.66009259259259256</v>
          </cell>
          <cell r="H888">
            <v>0.91009259259259256</v>
          </cell>
          <cell r="I888" t="str">
            <v>ОК</v>
          </cell>
          <cell r="J888" t="str">
            <v>ОК</v>
          </cell>
        </row>
        <row r="889">
          <cell r="B889" t="str">
            <v>В-00783/КЛ.Транш - 2</v>
          </cell>
          <cell r="C889" t="str">
            <v>РОССИЯ, 143420, Московская обл, Красногорск г, Новый п, дом 8, корпус 2, квартира 12</v>
          </cell>
          <cell r="D889" t="str">
            <v>РОССИЯ, 143420, Московская обл, Красногорск г, Новый п, дом 8, корпус 2, квартира 12</v>
          </cell>
          <cell r="F889" t="str">
            <v>Московская</v>
          </cell>
          <cell r="G889">
            <v>0.66009259259259256</v>
          </cell>
          <cell r="H889">
            <v>0.91009259259259256</v>
          </cell>
          <cell r="I889" t="str">
            <v>ОК</v>
          </cell>
          <cell r="J889" t="str">
            <v>ОК</v>
          </cell>
        </row>
        <row r="890">
          <cell r="B890" t="str">
            <v>А-03533/АЗ_А-20210517/Ц</v>
          </cell>
          <cell r="C890" t="str">
            <v>РОССИЯ, 117208, Москва г, Сумской проезд, дом № 12, корпус 4, квартира 33</v>
          </cell>
          <cell r="D890" t="str">
            <v>РОССИЯ, 117208, Москва г, Сумской проезд, дом № 12, корпус 4, квартира 33</v>
          </cell>
          <cell r="F890" t="str">
            <v>Москва</v>
          </cell>
          <cell r="G890">
            <v>0.66009259259259256</v>
          </cell>
          <cell r="H890">
            <v>0.91009259259259256</v>
          </cell>
          <cell r="I890" t="str">
            <v>ОК</v>
          </cell>
          <cell r="J890" t="str">
            <v>ОК</v>
          </cell>
        </row>
        <row r="891">
          <cell r="B891" t="str">
            <v>Т-01681/АЗ_Т-20210517/Ц</v>
          </cell>
          <cell r="C891" t="str">
            <v>РОССИЯ, 117208, Москва г, Сумской проезд, дом № 12, корпус 4, квартира 33</v>
          </cell>
          <cell r="D891" t="str">
            <v>РОССИЯ, 117208, Москва г, Сумской проезд, дом № 12, корпус 4, квартира 33</v>
          </cell>
          <cell r="F891" t="str">
            <v>Москва</v>
          </cell>
          <cell r="G891">
            <v>0.66009259259259256</v>
          </cell>
          <cell r="H891">
            <v>0.91009259259259256</v>
          </cell>
          <cell r="I891" t="str">
            <v>ОК</v>
          </cell>
          <cell r="J891" t="str">
            <v>ОК</v>
          </cell>
        </row>
        <row r="892">
          <cell r="B892" t="str">
            <v>В-19104/КЛ.Транш - 1</v>
          </cell>
          <cell r="C892" t="str">
            <v>РОССИЯ, 344064, Ростовская обл, г Ростов-на-Дону, ул 2-й Пятилетки, д. 6/1, кв. 18</v>
          </cell>
          <cell r="D892" t="str">
            <v>РОССИЯ, 344064, Ростовская обл, г Ростов-на-Дону, ул 2-й Пятилетки, д. 6/1, кв. 18</v>
          </cell>
          <cell r="F892" t="str">
            <v>Ростовская</v>
          </cell>
          <cell r="G892">
            <v>0.66009259259259256</v>
          </cell>
          <cell r="H892">
            <v>0.91009259259259256</v>
          </cell>
          <cell r="I892" t="str">
            <v>ОК</v>
          </cell>
          <cell r="J892" t="str">
            <v>ОК</v>
          </cell>
        </row>
        <row r="893">
          <cell r="B893" t="str">
            <v>В-28598/КЛ.Транш - 1</v>
          </cell>
          <cell r="C893" t="str">
            <v>РОССИЯ, 192174, Санкт-Петербург г, вн.тер.г. муниципальный округ Обуховский, ул Седова, д. 87, к. 4, литера В, кв. 40</v>
          </cell>
          <cell r="D893" t="str">
            <v>РОССИЯ, 192174, Санкт-Петербург г, вн.тер.г. муниципальный округ Обуховский, ул Седова, д. 87, к. 4, литера В, кв. 40</v>
          </cell>
          <cell r="F893" t="str">
            <v>Москва</v>
          </cell>
          <cell r="G893">
            <v>0.66009259259259256</v>
          </cell>
          <cell r="H893">
            <v>0.91009259259259256</v>
          </cell>
          <cell r="I893" t="str">
            <v>ОК</v>
          </cell>
          <cell r="J893" t="str">
            <v>ОК</v>
          </cell>
        </row>
        <row r="894">
          <cell r="B894" t="str">
            <v>В-26409/КЛ.Транш - 1</v>
          </cell>
          <cell r="C894" t="str">
            <v>РОССИЯ, 249842, Калужская обл, р-н Дзержинский, д Староскаковское, д. 11</v>
          </cell>
          <cell r="D894" t="str">
            <v>РОССИЯ, 249842, Калужская обл, р-н Дзержинский, д Староскаковское, д. 11</v>
          </cell>
          <cell r="F894" t="str">
            <v>Калужская</v>
          </cell>
          <cell r="G894">
            <v>0.66009259259259256</v>
          </cell>
          <cell r="H894">
            <v>0.91009259259259256</v>
          </cell>
          <cell r="I894" t="str">
            <v>ОК</v>
          </cell>
          <cell r="J894" t="str">
            <v>ОК</v>
          </cell>
        </row>
        <row r="895">
          <cell r="B895" t="str">
            <v>В-01131/АЗ_А-20210929/Ц</v>
          </cell>
          <cell r="C895" t="str">
            <v>РОССИЯ, 140009, Московская обл, Люберцы г, Марусино д, Заречная ул, дом 33, корпус 11, квартира 149</v>
          </cell>
          <cell r="D895" t="str">
            <v>РОССИЯ, 140009, Московская обл, Люберцы г, Марусино д, Заречная ул, дом 33, корпус 11, квартира 149</v>
          </cell>
          <cell r="F895" t="str">
            <v>Московская</v>
          </cell>
          <cell r="G895">
            <v>0.66009259259259256</v>
          </cell>
          <cell r="H895">
            <v>0.91009259259259256</v>
          </cell>
          <cell r="I895" t="str">
            <v>ОК</v>
          </cell>
          <cell r="J895" t="str">
            <v>ОК</v>
          </cell>
        </row>
        <row r="896">
          <cell r="B896" t="str">
            <v>В-09513/КЛ.Транш - 1_В-20211230/Ц</v>
          </cell>
          <cell r="C896" t="str">
            <v>РОССИЯ, 196128, Санкт-Петербург г, Новоизмайловский пр-кт, дом № 3, квартира 282</v>
          </cell>
          <cell r="D896" t="str">
            <v>РОССИЯ, 196128, Санкт-Петербург г, Новоизмайловский пр-кт, дом № 3, квартира 282</v>
          </cell>
          <cell r="F896" t="str">
            <v>Москва</v>
          </cell>
          <cell r="G896">
            <v>0.66009259259259256</v>
          </cell>
          <cell r="H896">
            <v>0.91009259259259256</v>
          </cell>
          <cell r="I896" t="str">
            <v>ОК</v>
          </cell>
          <cell r="J896" t="str">
            <v>ОК</v>
          </cell>
        </row>
        <row r="897">
          <cell r="B897" t="str">
            <v>В-09513/КЛ.Транш - 2_В-20211230/Ц</v>
          </cell>
          <cell r="C897" t="str">
            <v>РОССИЯ, 196128, Санкт-Петербург г, Новоизмайловский пр-кт, дом № 3, квартира 282</v>
          </cell>
          <cell r="D897" t="str">
            <v>РОССИЯ, 196128, Санкт-Петербург г, Новоизмайловский пр-кт, дом № 3, квартира 282</v>
          </cell>
          <cell r="F897" t="str">
            <v>Москва</v>
          </cell>
          <cell r="G897">
            <v>0.66009259259259256</v>
          </cell>
          <cell r="H897">
            <v>0.91009259259259256</v>
          </cell>
          <cell r="I897" t="str">
            <v>ОК</v>
          </cell>
          <cell r="J897" t="str">
            <v>ОК</v>
          </cell>
        </row>
        <row r="898">
          <cell r="B898" t="str">
            <v>В-09513/КЛ.Транш - 3_В-20211230/Ц</v>
          </cell>
          <cell r="C898" t="str">
            <v>РОССИЯ, 196128, Санкт-Петербург г, Новоизмайловский пр-кт, дом № 3, квартира 282</v>
          </cell>
          <cell r="D898" t="str">
            <v>РОССИЯ, 196128, Санкт-Петербург г, Новоизмайловский пр-кт, дом № 3, квартира 282</v>
          </cell>
          <cell r="F898" t="str">
            <v>Москва</v>
          </cell>
          <cell r="G898">
            <v>0.66009259259259256</v>
          </cell>
          <cell r="H898">
            <v>0.91009259259259256</v>
          </cell>
          <cell r="I898" t="str">
            <v>ОК</v>
          </cell>
          <cell r="J898" t="str">
            <v>ОК</v>
          </cell>
        </row>
        <row r="899">
          <cell r="B899" t="str">
            <v>В-09513/КЛ.Транш - 4_В-20211230/Ц</v>
          </cell>
          <cell r="C899" t="str">
            <v>РОССИЯ, 196128, Санкт-Петербург г, Новоизмайловский пр-кт, дом № 3, квартира 282</v>
          </cell>
          <cell r="D899" t="str">
            <v>РОССИЯ, 196128, Санкт-Петербург г, Новоизмайловский пр-кт, дом № 3, квартира 282</v>
          </cell>
          <cell r="F899" t="str">
            <v>Москва</v>
          </cell>
          <cell r="G899">
            <v>0.66009259259259256</v>
          </cell>
          <cell r="H899">
            <v>0.91009259259259256</v>
          </cell>
          <cell r="I899" t="str">
            <v>ОК</v>
          </cell>
          <cell r="J899" t="str">
            <v>ОК</v>
          </cell>
        </row>
        <row r="900">
          <cell r="B900" t="str">
            <v>В-14546/КЛ.Транш - 1</v>
          </cell>
          <cell r="C900" t="str">
            <v>РОССИЯ, 161388, Вологодская обл, Нюксенский р-н, Игмас п, Советская ул, дом 36, квартира 1</v>
          </cell>
          <cell r="D900" t="str">
            <v>РОССИЯ, 150064, Ярославская обл, Ярославль г, Бабича ул, дом 11, корпус 5, квартира 31</v>
          </cell>
          <cell r="F900" t="str">
            <v>Ярославская</v>
          </cell>
          <cell r="G900">
            <v>0.66009259259259256</v>
          </cell>
          <cell r="H900">
            <v>0.91009259259259256</v>
          </cell>
          <cell r="I900" t="str">
            <v>ОК</v>
          </cell>
          <cell r="J900" t="str">
            <v>ОК</v>
          </cell>
        </row>
        <row r="901">
          <cell r="B901" t="str">
            <v>В-16728/КЛ.Транш - 1</v>
          </cell>
          <cell r="C901" t="str">
            <v>РОССИЯ, 155828, Ивановская обл, р-н Кинешемский, д Галицкая, д. 27</v>
          </cell>
          <cell r="D901" t="str">
            <v>РОССИЯ, 125368, Москва г, ул Барышиха, д. 20, кв. 75</v>
          </cell>
          <cell r="F901" t="str">
            <v>Москва</v>
          </cell>
          <cell r="G901">
            <v>0.66009259259259256</v>
          </cell>
          <cell r="H901">
            <v>0.91009259259259256</v>
          </cell>
          <cell r="I901" t="str">
            <v>ОК</v>
          </cell>
          <cell r="J901" t="str">
            <v>ОК</v>
          </cell>
        </row>
        <row r="902">
          <cell r="B902" t="str">
            <v>В-15583/КЛ.Транш - 1</v>
          </cell>
          <cell r="C902" t="str">
            <v>РОССИЯ, 414056, Астраханская обл, г.о. город Астрахань, г Астрахань, пер 1-й Акварельный, д. 1</v>
          </cell>
          <cell r="D902" t="str">
            <v>РОССИЯ, 414056, Астраханская обл, Астрахань г, Татищева ул, корпус 13, квартира 37</v>
          </cell>
          <cell r="F902" t="str">
            <v>Астраханская</v>
          </cell>
          <cell r="G902">
            <v>0.66009259259259256</v>
          </cell>
          <cell r="H902">
            <v>0.9517592592592593</v>
          </cell>
          <cell r="I902" t="str">
            <v>поздно</v>
          </cell>
          <cell r="J902" t="str">
            <v>ОК</v>
          </cell>
        </row>
        <row r="903">
          <cell r="B903" t="str">
            <v>В-11713/КЛ.Транш - 1</v>
          </cell>
          <cell r="C903" t="str">
            <v>РОССИЯ, 127566, Москва г, Бестужевых ул, дом 3А, квартира 55</v>
          </cell>
          <cell r="D903" t="str">
            <v>РОССИЯ, 127566, Москва г, Бестужевых ул, дом 3А, квартира 55</v>
          </cell>
          <cell r="F903" t="str">
            <v>Москва</v>
          </cell>
          <cell r="G903">
            <v>0.66009259259259256</v>
          </cell>
          <cell r="H903">
            <v>0.91009259259259256</v>
          </cell>
          <cell r="I903" t="str">
            <v>ОК</v>
          </cell>
          <cell r="J903" t="str">
            <v>ОК</v>
          </cell>
        </row>
        <row r="904">
          <cell r="B904" t="str">
            <v>В-12880/КЛ.Транш - 1</v>
          </cell>
          <cell r="C904" t="str">
            <v>РОССИЯ, 607226, Нижегородская обл, Арзамас г, Куликова ул, дом 33а, квартира 62</v>
          </cell>
          <cell r="D904" t="str">
            <v>РОССИЯ, 607226, Нижегородская обл, Арзамас г, Куликова ул, дом 33а, квартира 62</v>
          </cell>
          <cell r="F904" t="str">
            <v>Нижегородская</v>
          </cell>
          <cell r="G904">
            <v>0.66009259259259256</v>
          </cell>
          <cell r="H904">
            <v>0.91009259259259256</v>
          </cell>
          <cell r="I904" t="str">
            <v>ОК</v>
          </cell>
          <cell r="J904" t="str">
            <v>ОК</v>
          </cell>
        </row>
        <row r="905">
          <cell r="B905" t="str">
            <v>В-18921/КЛ.Транш - 1</v>
          </cell>
          <cell r="C905" t="str">
            <v>РОССИЯ, 664056, Иркутская обл, г Иркутск, мкр. Приморский, д. 4, кв. 73</v>
          </cell>
          <cell r="D905" t="str">
            <v>РОССИЯ, 664056, Иркутская обл, г Иркутск, мкр. Приморский, д. 4, кв. 73</v>
          </cell>
          <cell r="F905" t="str">
            <v>Иркутская</v>
          </cell>
          <cell r="G905">
            <v>0.66009259259259256</v>
          </cell>
          <cell r="H905">
            <v>0.11842592592592593</v>
          </cell>
          <cell r="I905" t="str">
            <v>поздно</v>
          </cell>
          <cell r="J905" t="str">
            <v>ОК</v>
          </cell>
        </row>
        <row r="906">
          <cell r="B906" t="str">
            <v>В-28090/АЗ</v>
          </cell>
          <cell r="C906" t="str">
            <v>РОССИЯ, 355030, Ставропольский край, г.о. город Ставрополь, г Ставрополь, проезд 2 Юго-Западный, д. 2Г, кв. 252</v>
          </cell>
          <cell r="D906" t="str">
            <v>РОССИЯ, 355030, Ставропольский край, г.о. город Ставрополь, г Ставрополь, проезд 2 Юго-Западный, д. 2Г, кв. 252</v>
          </cell>
          <cell r="F906" t="str">
            <v>Ставропольский</v>
          </cell>
          <cell r="G906">
            <v>0.66009259259259256</v>
          </cell>
          <cell r="H906">
            <v>0.91009259259259256</v>
          </cell>
          <cell r="I906" t="str">
            <v>ОК</v>
          </cell>
          <cell r="J906" t="str">
            <v>ОК</v>
          </cell>
        </row>
        <row r="907">
          <cell r="B907" t="str">
            <v>В-22663/КЛ.Транш - 1</v>
          </cell>
          <cell r="C907" t="str">
            <v>РОССИЯ, 119634, Москва г, Боровское ш., дом № 37, квартира 60</v>
          </cell>
          <cell r="D907" t="str">
            <v>РОССИЯ, 119634, Москва г, Боровское ш., дом № 37, квартира 60</v>
          </cell>
          <cell r="F907" t="str">
            <v>Москва</v>
          </cell>
          <cell r="G907">
            <v>0.66009259259259256</v>
          </cell>
          <cell r="H907">
            <v>0.91009259259259256</v>
          </cell>
          <cell r="I907" t="str">
            <v>ОК</v>
          </cell>
          <cell r="J907" t="str">
            <v>ОК</v>
          </cell>
        </row>
        <row r="908">
          <cell r="B908" t="str">
            <v>В-15668/КЛ.Транш - 1</v>
          </cell>
          <cell r="C908" t="str">
            <v>РОССИЯ, 197183, Санкт-Петербург г, ул Дибуновская, д. 50, литера А, кв. 242</v>
          </cell>
          <cell r="D908" t="str">
            <v>РОССИЯ, 197183, Санкт-Петербург г, Дибуновская ул, дом № 50, квартира 242</v>
          </cell>
          <cell r="F908" t="str">
            <v>Москва</v>
          </cell>
          <cell r="G908">
            <v>0.66009259259259256</v>
          </cell>
          <cell r="H908">
            <v>0.91009259259259256</v>
          </cell>
          <cell r="I908" t="str">
            <v>ОК</v>
          </cell>
          <cell r="J908" t="str">
            <v>ОК</v>
          </cell>
        </row>
        <row r="909">
          <cell r="B909" t="str">
            <v>В-19880/КЛ.Транш - 1</v>
          </cell>
          <cell r="C909" t="str">
            <v>РОССИЯ, 141410, Московская обл, г Химки, ул Дружбы, д. 5, кв. 105</v>
          </cell>
          <cell r="D909" t="str">
            <v>РОССИЯ, 141420, Московская обл, г Химки, мкр. Сходня, пер 2-й Чапаевский, д. 4, кв. 61</v>
          </cell>
          <cell r="F909" t="str">
            <v>Московская</v>
          </cell>
          <cell r="G909">
            <v>0.66009259259259256</v>
          </cell>
          <cell r="H909">
            <v>0.91009259259259256</v>
          </cell>
          <cell r="I909" t="str">
            <v>ОК</v>
          </cell>
          <cell r="J909" t="str">
            <v>ОК</v>
          </cell>
        </row>
        <row r="910">
          <cell r="B910" t="str">
            <v>В-11334/КЛ.Транш - 1_В-20211230/Ц</v>
          </cell>
          <cell r="C910" t="str">
            <v>РОССИЯ, 197375, Санкт-Петербург г, Новосельковская ул, дом 39</v>
          </cell>
          <cell r="D910" t="str">
            <v>РОССИЯ, 196634, Санкт-Петербург г, внутригородская территория поселок Шушары, Шушары п, Славянка тер., Галицкая ул, дом 11, квартира 85</v>
          </cell>
          <cell r="F910" t="str">
            <v>Москва</v>
          </cell>
          <cell r="G910">
            <v>0.66009259259259256</v>
          </cell>
          <cell r="H910">
            <v>0.91009259259259256</v>
          </cell>
          <cell r="I910" t="str">
            <v>ОК</v>
          </cell>
          <cell r="J910" t="str">
            <v>ОК</v>
          </cell>
        </row>
        <row r="911">
          <cell r="B911" t="str">
            <v>В-26776/КЛ.Транш - 1</v>
          </cell>
          <cell r="C911" t="str">
            <v>РОССИЯ, 344033, Ростовская обл, г Ростов-на-Дону, ул Войкова, д. 158</v>
          </cell>
          <cell r="D911" t="str">
            <v>РОССИЯ, 344033, Ростовская обл, г Ростов-на-Дону, ул Войкова, д. 158</v>
          </cell>
          <cell r="F911" t="str">
            <v>Ростовская</v>
          </cell>
          <cell r="G911">
            <v>0.66009259259259256</v>
          </cell>
          <cell r="H911">
            <v>0.91009259259259256</v>
          </cell>
          <cell r="I911" t="str">
            <v>ОК</v>
          </cell>
          <cell r="J911" t="str">
            <v>ОК</v>
          </cell>
        </row>
        <row r="912">
          <cell r="B912" t="str">
            <v>В-25401/КЛ.Транш - 1</v>
          </cell>
          <cell r="C912" t="str">
            <v>РОССИЯ, 143590, Московская обл, г Истра, дп Снегири, ул Чкалова, д. 17</v>
          </cell>
          <cell r="D912" t="str">
            <v>РОССИЯ, 143590, Московская обл, г Истра, дп Снегири, ул Чкалова, д. 17</v>
          </cell>
          <cell r="F912" t="str">
            <v>Московская</v>
          </cell>
          <cell r="G912">
            <v>0.66009259259259256</v>
          </cell>
          <cell r="H912">
            <v>0.91009259259259256</v>
          </cell>
          <cell r="I912" t="str">
            <v>ОК</v>
          </cell>
          <cell r="J912" t="str">
            <v>ОК</v>
          </cell>
        </row>
        <row r="913">
          <cell r="B913" t="str">
            <v>В-00884/КЛ.Транш - 1</v>
          </cell>
          <cell r="C913" t="str">
            <v>РОССИЯ, 140108, Московская обл, Раменский р-н, Раменское г, Гурьева ул, дом № 4а, квартира 41</v>
          </cell>
          <cell r="D913" t="str">
            <v>РОССИЯ, 140108, Московская обл, Раменский р-н, Раменское г, Гурьева ул, дом № 4а, квартира 41</v>
          </cell>
          <cell r="F913" t="str">
            <v>Московская</v>
          </cell>
          <cell r="G913">
            <v>0.66009259259259256</v>
          </cell>
          <cell r="H913">
            <v>0.91009259259259256</v>
          </cell>
          <cell r="I913" t="str">
            <v>ОК</v>
          </cell>
          <cell r="J913" t="str">
            <v>ОК</v>
          </cell>
        </row>
        <row r="914">
          <cell r="B914" t="str">
            <v>В-00884/КЛ.Транш - 2</v>
          </cell>
          <cell r="C914" t="str">
            <v>РОССИЯ, 140108, Московская обл, Раменский р-н, Раменское г, Гурьева ул, дом № 4а, квартира 41</v>
          </cell>
          <cell r="D914" t="str">
            <v>РОССИЯ, 140108, Московская обл, Раменский р-н, Раменское г, Гурьева ул, дом № 4а, квартира 41</v>
          </cell>
          <cell r="F914" t="str">
            <v>Московская</v>
          </cell>
          <cell r="G914">
            <v>0.66009259259259256</v>
          </cell>
          <cell r="H914">
            <v>0.91009259259259256</v>
          </cell>
          <cell r="I914" t="str">
            <v>ОК</v>
          </cell>
          <cell r="J914" t="str">
            <v>ОК</v>
          </cell>
        </row>
        <row r="915">
          <cell r="B915" t="str">
            <v>В-11630/КЛ.Транш - 1</v>
          </cell>
          <cell r="C915" t="str">
            <v>РОССИЯ, 300028, Тульская обл, Тула г, Оружейная ул, дом 44, квартира 20</v>
          </cell>
          <cell r="D915" t="str">
            <v>РОССИЯ, 300911, Тульская обл, Тула г, Овсянниково п, Железнодорожная ул, дом 2А</v>
          </cell>
          <cell r="F915" t="str">
            <v>Тульская</v>
          </cell>
          <cell r="G915">
            <v>0.66009259259259256</v>
          </cell>
          <cell r="H915">
            <v>0.91009259259259256</v>
          </cell>
          <cell r="I915" t="str">
            <v>ОК</v>
          </cell>
          <cell r="J915" t="str">
            <v>ОК</v>
          </cell>
        </row>
        <row r="916">
          <cell r="B916" t="str">
            <v>В-16933/КЛ.Транш - 2</v>
          </cell>
          <cell r="C916" t="str">
            <v>РОССИЯ, 143904, Московская обл, г Балашиха, ул Парковая, д. 11, кв. 51</v>
          </cell>
          <cell r="D916" t="str">
            <v>РОССИЯ, 143904, Московская обл, г Балашиха, ул Парковая, д. 11, кв. 51</v>
          </cell>
          <cell r="F916" t="str">
            <v>Московская</v>
          </cell>
          <cell r="G916">
            <v>0.66009259259259256</v>
          </cell>
          <cell r="H916">
            <v>0.91009259259259256</v>
          </cell>
          <cell r="I916" t="str">
            <v>ОК</v>
          </cell>
          <cell r="J916" t="str">
            <v>ОК</v>
          </cell>
        </row>
        <row r="917">
          <cell r="B917" t="str">
            <v>В-24308/КЛ.Транш - 1</v>
          </cell>
          <cell r="C917" t="str">
            <v>РОССИЯ, 142100, Московская обл, г Подольск, ул Веллинга, д. 3, кв. 169</v>
          </cell>
          <cell r="D917" t="str">
            <v>РОССИЯ, 142100, Московская обл, г Подольск, ул Веллинга, д. 3, кв. 169</v>
          </cell>
          <cell r="F917" t="str">
            <v>Московская</v>
          </cell>
          <cell r="G917">
            <v>0.66009259259259256</v>
          </cell>
          <cell r="H917">
            <v>0.91009259259259256</v>
          </cell>
          <cell r="I917" t="str">
            <v>ОК</v>
          </cell>
          <cell r="J917" t="str">
            <v>ОК</v>
          </cell>
        </row>
        <row r="918">
          <cell r="B918" t="str">
            <v>В-24308/КЛ.Транш - 2</v>
          </cell>
          <cell r="C918" t="str">
            <v>РОССИЯ, 142100, Московская обл, г Подольск, ул Веллинга, д. 3, кв. 169</v>
          </cell>
          <cell r="D918" t="str">
            <v>РОССИЯ, 142100, Московская обл, г Подольск, ул Веллинга, д. 3, кв. 169</v>
          </cell>
          <cell r="F918" t="str">
            <v>Московская</v>
          </cell>
          <cell r="G918">
            <v>0.66009259259259256</v>
          </cell>
          <cell r="H918">
            <v>0.91009259259259256</v>
          </cell>
          <cell r="I918" t="str">
            <v>ОК</v>
          </cell>
          <cell r="J918" t="str">
            <v>ОК</v>
          </cell>
        </row>
        <row r="919">
          <cell r="B919" t="str">
            <v>В-16455/КЛ.Транш - 1</v>
          </cell>
          <cell r="C919" t="str">
            <v>РОССИЯ, 142530, Московская обл, Электрогорск г, М.Горького ул, дом 12, квартира 43</v>
          </cell>
          <cell r="D919" t="str">
            <v>РОССИЯ, 142530, Московская обл, Электрогорск г, М.Горького ул, дом 12, квартира 43</v>
          </cell>
          <cell r="F919" t="str">
            <v>Московская</v>
          </cell>
          <cell r="G919">
            <v>0.66009259259259256</v>
          </cell>
          <cell r="H919">
            <v>0.91009259259259256</v>
          </cell>
          <cell r="I919" t="str">
            <v>ОК</v>
          </cell>
          <cell r="J919" t="str">
            <v>ОК</v>
          </cell>
        </row>
        <row r="920">
          <cell r="B920" t="str">
            <v>В-01184/АЗ</v>
          </cell>
          <cell r="C920" t="str">
            <v>РОССИЯ, 117534, Москва г, ул Чертановская, д. 64, к. 1, кв. 125</v>
          </cell>
          <cell r="D920" t="str">
            <v>РОССИЯ, 117534, Москва г, ул Чертановская, д. 64, к. 1, кв. 125</v>
          </cell>
          <cell r="F920" t="str">
            <v>Москва</v>
          </cell>
          <cell r="G920">
            <v>0.66009259259259256</v>
          </cell>
          <cell r="H920">
            <v>0.91009259259259256</v>
          </cell>
          <cell r="I920" t="str">
            <v>ОК</v>
          </cell>
          <cell r="J920" t="str">
            <v>ОК</v>
          </cell>
        </row>
        <row r="921">
          <cell r="B921" t="str">
            <v>А-05308/АЗ_В-20211230/Ц</v>
          </cell>
          <cell r="C921" t="str">
            <v>РОССИЯ, 117418, Москва г, Цюрупы ул, дом № 17, квартира 39</v>
          </cell>
          <cell r="D921" t="str">
            <v>РОССИЯ, 117418, Москва г, Цюрупы ул, дом № 17, квартира 39</v>
          </cell>
          <cell r="F921" t="str">
            <v>Москва</v>
          </cell>
          <cell r="G921">
            <v>0.66009259259259256</v>
          </cell>
          <cell r="H921">
            <v>0.91009259259259256</v>
          </cell>
          <cell r="I921" t="str">
            <v>ОК</v>
          </cell>
          <cell r="J921" t="str">
            <v>ОК</v>
          </cell>
        </row>
        <row r="922">
          <cell r="B922" t="str">
            <v>В-27646/КЛ.Транш - 1</v>
          </cell>
          <cell r="C922" t="str">
            <v>РОССИЯ, 144010, Московская обл, г. Электросталь, ул Журавлева, д. 11, к. 1, кв. 165</v>
          </cell>
          <cell r="D922" t="str">
            <v>РОССИЯ, 144010, Московская обл, г. Электросталь, ул Журавлева, д. 11, к. 1, кв. 165</v>
          </cell>
          <cell r="F922" t="str">
            <v>Московская</v>
          </cell>
          <cell r="G922">
            <v>0.66009259259259256</v>
          </cell>
          <cell r="H922">
            <v>0.91009259259259256</v>
          </cell>
          <cell r="I922" t="str">
            <v>ОК</v>
          </cell>
          <cell r="J922" t="str">
            <v>ОК</v>
          </cell>
        </row>
        <row r="923">
          <cell r="B923" t="str">
            <v>В-17469/КЛ.Транш - 1</v>
          </cell>
          <cell r="C923" t="str">
            <v>РОССИЯ, 679016, Еврейская Аобл, Биробиджан г, Советская ул, дом № 64, квартира 64</v>
          </cell>
          <cell r="D923" t="str">
            <v>РОССИЯ, 115516, Москва г, Бакинская ул, дом № 25, корпус 2, квартира 83</v>
          </cell>
          <cell r="F923" t="str">
            <v>Москва</v>
          </cell>
          <cell r="G923">
            <v>0.66009259259259256</v>
          </cell>
          <cell r="H923">
            <v>0.91009259259259256</v>
          </cell>
          <cell r="I923" t="str">
            <v>ОК</v>
          </cell>
          <cell r="J923" t="str">
            <v>ОК</v>
          </cell>
        </row>
        <row r="924">
          <cell r="B924" t="str">
            <v>В-17469/КЛ.Транш - 2</v>
          </cell>
          <cell r="C924" t="str">
            <v>РОССИЯ, 679016, Еврейская Аобл, Биробиджан г, Советская ул, дом № 64, квартира 64</v>
          </cell>
          <cell r="D924" t="str">
            <v>РОССИЯ, 115516, Москва г, Бакинская ул, дом № 25, корпус 2, квартира 83</v>
          </cell>
          <cell r="F924" t="str">
            <v>Москва</v>
          </cell>
          <cell r="G924">
            <v>0.66009259259259256</v>
          </cell>
          <cell r="H924">
            <v>0.91009259259259256</v>
          </cell>
          <cell r="I924" t="str">
            <v>ОК</v>
          </cell>
          <cell r="J924" t="str">
            <v>ОК</v>
          </cell>
        </row>
        <row r="925">
          <cell r="B925" t="str">
            <v>В-03758/КЛ.Транш - 1</v>
          </cell>
          <cell r="C925" t="str">
            <v>РОССИЯ, 188230, Ленинградская обл, Лужский р-н, Луга г, Гагарина ул, дом 33</v>
          </cell>
          <cell r="D925" t="str">
            <v>РОССИЯ, 188230, Ленинградская обл, Лужский р-н, Луга г, Луга-3 тер, дом 8/12, квартира 4</v>
          </cell>
          <cell r="F925" t="str">
            <v>Ленинградская</v>
          </cell>
          <cell r="G925">
            <v>0.66009259259259256</v>
          </cell>
          <cell r="H925">
            <v>0.91009259259259256</v>
          </cell>
          <cell r="I925" t="str">
            <v>ОК</v>
          </cell>
          <cell r="J925" t="str">
            <v>ОК</v>
          </cell>
        </row>
        <row r="926">
          <cell r="B926" t="str">
            <v>В-19991/КЛ.Транш - 1</v>
          </cell>
          <cell r="C926" t="str">
            <v>РОССИЯ, 390048, Рязанская обл, Рязань г, Зубковой ул, дом 31, квартира 23</v>
          </cell>
          <cell r="D926" t="str">
            <v>РОССИЯ, 390048, Рязанская обл, Рязань г, Зубковой ул, дом 31, квартира 23</v>
          </cell>
          <cell r="F926" t="str">
            <v>Рязанская</v>
          </cell>
          <cell r="G926">
            <v>0.66009259259259256</v>
          </cell>
          <cell r="H926">
            <v>0.91009259259259256</v>
          </cell>
          <cell r="I926" t="str">
            <v>ОК</v>
          </cell>
          <cell r="J926" t="str">
            <v>ОК</v>
          </cell>
        </row>
        <row r="927">
          <cell r="B927" t="str">
            <v>В-19991/КЛ.Транш - 2</v>
          </cell>
          <cell r="C927" t="str">
            <v>РОССИЯ, 390048, Рязанская обл, Рязань г, Зубковой ул, дом 31, квартира 23</v>
          </cell>
          <cell r="D927" t="str">
            <v>РОССИЯ, 390048, Рязанская обл, Рязань г, Зубковой ул, дом 31, квартира 23</v>
          </cell>
          <cell r="F927" t="str">
            <v>Рязанская</v>
          </cell>
          <cell r="G927">
            <v>0.66009259259259256</v>
          </cell>
          <cell r="H927">
            <v>0.91009259259259256</v>
          </cell>
          <cell r="I927" t="str">
            <v>ОК</v>
          </cell>
          <cell r="J927" t="str">
            <v>ОК</v>
          </cell>
        </row>
        <row r="928">
          <cell r="B928" t="str">
            <v>В-19991/КЛ.Транш - 3</v>
          </cell>
          <cell r="C928" t="str">
            <v>РОССИЯ, 390048, Рязанская обл, Рязань г, Зубковой ул, дом 31, квартира 23</v>
          </cell>
          <cell r="D928" t="str">
            <v>РОССИЯ, 390048, Рязанская обл, Рязань г, Зубковой ул, дом 31, квартира 23</v>
          </cell>
          <cell r="F928" t="str">
            <v>Рязанская</v>
          </cell>
          <cell r="G928">
            <v>0.66009259259259256</v>
          </cell>
          <cell r="H928">
            <v>0.91009259259259256</v>
          </cell>
          <cell r="I928" t="str">
            <v>ОК</v>
          </cell>
          <cell r="J928" t="str">
            <v>ОК</v>
          </cell>
        </row>
        <row r="929">
          <cell r="B929" t="str">
            <v>В-28252/КЛ.Транш - 1</v>
          </cell>
          <cell r="C929" t="str">
            <v>РОССИЯ, 248032, Калужская обл, г Калуга, ул Льва Толстого, д. 3, кв. 44</v>
          </cell>
          <cell r="D929" t="str">
            <v>РОССИЯ, 248032, Калужская обл, г Калуга, ул Льва Толстого, д. 3, кв. 44</v>
          </cell>
          <cell r="F929" t="str">
            <v>Калужская</v>
          </cell>
          <cell r="G929">
            <v>0.66009259259259256</v>
          </cell>
          <cell r="H929">
            <v>0.91009259259259256</v>
          </cell>
          <cell r="I929" t="str">
            <v>ОК</v>
          </cell>
          <cell r="J929" t="str">
            <v>ОК</v>
          </cell>
        </row>
        <row r="930">
          <cell r="B930" t="str">
            <v>В-07328/КЛ.Транш - 1</v>
          </cell>
          <cell r="C930" t="str">
            <v>РОССИЯ, 192283, Санкт-Петербург г, Будапештская ул, дом № 99, литера А, квартира 22</v>
          </cell>
          <cell r="D930" t="str">
            <v>РОССИЯ, 192283, Санкт-Петербург г, Будапештская ул, дом № 99, литера А, квартира 22</v>
          </cell>
          <cell r="F930" t="str">
            <v>Москва</v>
          </cell>
          <cell r="G930">
            <v>0.66009259259259256</v>
          </cell>
          <cell r="H930">
            <v>0.91009259259259256</v>
          </cell>
          <cell r="I930" t="str">
            <v>ОК</v>
          </cell>
          <cell r="J930" t="str">
            <v>ОК</v>
          </cell>
        </row>
        <row r="931">
          <cell r="B931" t="str">
            <v>В-07328/КЛ.Транш - 2</v>
          </cell>
          <cell r="C931" t="str">
            <v>РОССИЯ, 192283, Санкт-Петербург г, Будапештская ул, дом № 99, литера А, квартира 22</v>
          </cell>
          <cell r="D931" t="str">
            <v>РОССИЯ, 192283, Санкт-Петербург г, Будапештская ул, дом № 99, литера А, квартира 22</v>
          </cell>
          <cell r="F931" t="str">
            <v>Москва</v>
          </cell>
          <cell r="G931">
            <v>0.66009259259259256</v>
          </cell>
          <cell r="H931">
            <v>0.91009259259259256</v>
          </cell>
          <cell r="I931" t="str">
            <v>ОК</v>
          </cell>
          <cell r="J931" t="str">
            <v>ОК</v>
          </cell>
        </row>
        <row r="932">
          <cell r="B932" t="str">
            <v>В-03846/КЛ.Транш - 1</v>
          </cell>
          <cell r="C932" t="str">
            <v>РОССИЯ, 142931, Московская обл, Кашира г, Маслово п, дом 40</v>
          </cell>
          <cell r="D932" t="str">
            <v>РОССИЯ, 111673, Москва г, Новокосинская ул, дом 19, квартира 205</v>
          </cell>
          <cell r="F932" t="str">
            <v>Москва</v>
          </cell>
          <cell r="G932">
            <v>0.66009259259259256</v>
          </cell>
          <cell r="H932">
            <v>0.91009259259259256</v>
          </cell>
          <cell r="I932" t="str">
            <v>ОК</v>
          </cell>
          <cell r="J932" t="str">
            <v>ОК</v>
          </cell>
        </row>
        <row r="933">
          <cell r="B933" t="str">
            <v>В-03846/КЛ.Транш - 2</v>
          </cell>
          <cell r="C933" t="str">
            <v>РОССИЯ, 142931, Московская обл, Кашира г, Маслово п, дом 40</v>
          </cell>
          <cell r="D933" t="str">
            <v>РОССИЯ, 111673, Москва г, Новокосинская ул, дом 19, квартира 205</v>
          </cell>
          <cell r="F933" t="str">
            <v>Москва</v>
          </cell>
          <cell r="G933">
            <v>0.66009259259259256</v>
          </cell>
          <cell r="H933">
            <v>0.91009259259259256</v>
          </cell>
          <cell r="I933" t="str">
            <v>ОК</v>
          </cell>
          <cell r="J933" t="str">
            <v>ОК</v>
          </cell>
        </row>
        <row r="934">
          <cell r="B934" t="str">
            <v>В-22352/АЗ_В-20211230/Ц</v>
          </cell>
          <cell r="C934" t="str">
            <v>РОССИЯ, 195271, Санкт-Петербург г, пр-кт Мечникова, д. 21, литера А, кв. 78</v>
          </cell>
          <cell r="D934" t="str">
            <v>РОССИЯ, 195271, Санкт-Петербург г, Замшина ул, дом 56, квартира 51</v>
          </cell>
          <cell r="F934" t="str">
            <v>Москва</v>
          </cell>
          <cell r="G934">
            <v>0.66009259259259256</v>
          </cell>
          <cell r="H934">
            <v>0.91009259259259256</v>
          </cell>
          <cell r="I934" t="str">
            <v>ОК</v>
          </cell>
          <cell r="J934" t="str">
            <v>ОК</v>
          </cell>
        </row>
        <row r="935">
          <cell r="B935" t="str">
            <v>В-19681/КЛ.Транш - 1</v>
          </cell>
          <cell r="C935" t="str">
            <v>РОССИЯ, 677013, Саха /Якутия/ респ, г Якутск, ул Кулаковского, д. 44, кв. 58</v>
          </cell>
          <cell r="D935" t="str">
            <v>РОССИЯ, 677013, Саха /Якутия/ респ, г Якутск, ул Кулаковского, д. 44, кв. 58</v>
          </cell>
          <cell r="F935" t="str">
            <v>/Якутия/</v>
          </cell>
          <cell r="G935">
            <v>0.66009259259259256</v>
          </cell>
          <cell r="H935">
            <v>0.16009259259259268</v>
          </cell>
          <cell r="I935" t="str">
            <v>поздно</v>
          </cell>
          <cell r="J935" t="str">
            <v>ОК</v>
          </cell>
        </row>
        <row r="936">
          <cell r="B936" t="str">
            <v>В-18496/КЛ.Транш - 1</v>
          </cell>
          <cell r="C936" t="str">
            <v>РОССИЯ, 429216, Чувашская Республика - Чувашия, р-н Вурнарский, д Ослаба, ул Первомайская, двлд. 16</v>
          </cell>
          <cell r="D936" t="str">
            <v>РОССИЯ, 144005, Московская обл, г. Электросталь, ул Пушкина, д. 19/16, кв. 14</v>
          </cell>
          <cell r="F936" t="str">
            <v>Московская</v>
          </cell>
          <cell r="G936">
            <v>0.66009259259259256</v>
          </cell>
          <cell r="H936">
            <v>0.91009259259259256</v>
          </cell>
          <cell r="I936" t="str">
            <v>ОК</v>
          </cell>
          <cell r="J936" t="str">
            <v>ОК</v>
          </cell>
        </row>
        <row r="937">
          <cell r="B937" t="str">
            <v>В-09290/КЛ.Транш - 1</v>
          </cell>
          <cell r="C937" t="str">
            <v>РОССИЯ, 454007, Челябинская обл, Челябинск г, Белостоцкого ул, дом 9, квартира 30</v>
          </cell>
          <cell r="D937" t="str">
            <v>РОССИЯ, 454007, Челябинская обл, Челябинск г, Белостоцкого ул, дом 9, квартира 30</v>
          </cell>
          <cell r="F937" t="str">
            <v>Челябинская</v>
          </cell>
          <cell r="G937">
            <v>0.66009259259259256</v>
          </cell>
          <cell r="H937">
            <v>0.99342592592592593</v>
          </cell>
          <cell r="I937" t="str">
            <v>поздно</v>
          </cell>
          <cell r="J937" t="str">
            <v>ОК</v>
          </cell>
        </row>
        <row r="938">
          <cell r="B938" t="str">
            <v>А-00934/АЗ</v>
          </cell>
          <cell r="C938" t="str">
            <v>РОССИЯ, 127486, Москва г, Коровинское ш, дом № 11, корпус 1, квартира 147</v>
          </cell>
          <cell r="D938" t="str">
            <v>РОССИЯ, 127486, Москва г, Коровинское ш, дом № 11, корпус 1, квартира 147</v>
          </cell>
          <cell r="F938" t="str">
            <v>Москва</v>
          </cell>
          <cell r="G938">
            <v>0.66009259259259256</v>
          </cell>
          <cell r="H938">
            <v>0.91009259259259256</v>
          </cell>
          <cell r="I938" t="str">
            <v>ОК</v>
          </cell>
          <cell r="J938" t="str">
            <v>ОК</v>
          </cell>
        </row>
        <row r="939">
          <cell r="B939" t="str">
            <v>А-00035/БЭ</v>
          </cell>
          <cell r="C939" t="str">
            <v>РОССИЯ, 142000, Московская обл, Домодедово г, Южный мкр, Южный мкр, дом № 17, квартира 2</v>
          </cell>
          <cell r="D939" t="str">
            <v>РОССИЯ, 142000, Московская обл, Домодедово г, Южный мкр, Южный мкр, дом № 17, квартира 2</v>
          </cell>
          <cell r="F939" t="str">
            <v>Московская</v>
          </cell>
          <cell r="G939">
            <v>0.66009259259259256</v>
          </cell>
          <cell r="H939">
            <v>0.91009259259259256</v>
          </cell>
          <cell r="I939" t="str">
            <v>ОК</v>
          </cell>
          <cell r="J939" t="str">
            <v>ОК</v>
          </cell>
        </row>
        <row r="940">
          <cell r="B940" t="str">
            <v>В-00586/АЗ_В-20211230/Ц</v>
          </cell>
          <cell r="C940" t="str">
            <v>РОССИЯ, 109145, Москва г, Жулебинский б-р, дом 1, квартира 169</v>
          </cell>
          <cell r="D940" t="str">
            <v>РОССИЯ, 143968, Московская обл, Реутов г, Н.А.Некрасова ул, дом 19, квартира 5</v>
          </cell>
          <cell r="F940" t="str">
            <v>Московская</v>
          </cell>
          <cell r="G940">
            <v>0.66009259259259256</v>
          </cell>
          <cell r="H940">
            <v>0.91009259259259256</v>
          </cell>
          <cell r="I940" t="str">
            <v>ОК</v>
          </cell>
          <cell r="J940" t="str">
            <v>ОК</v>
          </cell>
        </row>
        <row r="941">
          <cell r="B941" t="str">
            <v>В-18141/КЛ.Транш - 1</v>
          </cell>
          <cell r="C941" t="str">
            <v>РОССИЯ, 195298, Санкт-Петербург г, пр-кт Индустриальный, д. 23, литера А, кв. 327</v>
          </cell>
          <cell r="D941" t="str">
            <v>РОССИЯ, 195298, Санкт-Петербург г, пр-кт Индустриальный, д. 23, кв. 327</v>
          </cell>
          <cell r="F941" t="str">
            <v>Москва</v>
          </cell>
          <cell r="G941">
            <v>0.66009259259259256</v>
          </cell>
          <cell r="H941">
            <v>0.91009259259259256</v>
          </cell>
          <cell r="I941" t="str">
            <v>ОК</v>
          </cell>
          <cell r="J941" t="str">
            <v>ОК</v>
          </cell>
        </row>
        <row r="942">
          <cell r="B942" t="str">
            <v>В-22935/КЛ.Транш - 1</v>
          </cell>
          <cell r="C942" t="str">
            <v>РОССИЯ, 353265, Краснодарский край, р-н Северский, пгт Черноморский, ул Мира, д. 18, кв. 2,3</v>
          </cell>
          <cell r="D942" t="str">
            <v>РОССИЯ, 353265, Краснодарский край, р-н Северский, пгт Черноморский, ул Мира, д. 18, кв. 2,3</v>
          </cell>
          <cell r="F942" t="str">
            <v>Краснодарский</v>
          </cell>
          <cell r="G942">
            <v>0.66009259259259256</v>
          </cell>
          <cell r="H942">
            <v>0.91009259259259256</v>
          </cell>
          <cell r="I942" t="str">
            <v>ОК</v>
          </cell>
          <cell r="J942" t="str">
            <v>ОК</v>
          </cell>
        </row>
        <row r="943">
          <cell r="B943" t="str">
            <v>В-22935/КЛ.Транш - 2</v>
          </cell>
          <cell r="C943" t="str">
            <v>РОССИЯ, 353265, Краснодарский край, р-н Северский, пгт Черноморский, ул Мира, д. 18, кв. 2,3</v>
          </cell>
          <cell r="D943" t="str">
            <v>РОССИЯ, 353265, Краснодарский край, р-н Северский, пгт Черноморский, ул Мира, д. 18, кв. 2,3</v>
          </cell>
          <cell r="F943" t="str">
            <v>Краснодарский</v>
          </cell>
          <cell r="G943">
            <v>0.66009259259259256</v>
          </cell>
          <cell r="H943">
            <v>0.91009259259259256</v>
          </cell>
          <cell r="I943" t="str">
            <v>ОК</v>
          </cell>
          <cell r="J943" t="str">
            <v>ОК</v>
          </cell>
        </row>
        <row r="944">
          <cell r="B944" t="str">
            <v>В-19070/КЛ.Транш - 2</v>
          </cell>
          <cell r="C944" t="str">
            <v>РОССИЯ, 115612, Москва г, вн.тер. г. муниципальный округ Братеево, ул Братеевская, д. 25, к. 1, кв. 237</v>
          </cell>
          <cell r="D944" t="str">
            <v>РОССИЯ, 141204, Московская обл, г Пушкино, пр-кт Московский, д. 2, кв. 4</v>
          </cell>
          <cell r="F944" t="str">
            <v>Московская</v>
          </cell>
          <cell r="G944">
            <v>0.66009259259259256</v>
          </cell>
          <cell r="H944">
            <v>0.91009259259259256</v>
          </cell>
          <cell r="I944" t="str">
            <v>ОК</v>
          </cell>
          <cell r="J944" t="str">
            <v>ОК</v>
          </cell>
        </row>
        <row r="945">
          <cell r="B945" t="str">
            <v>В-19070/КЛ.Транш - 3</v>
          </cell>
          <cell r="C945" t="str">
            <v>РОССИЯ, 115612, Москва г, вн.тер. г. муниципальный округ Братеево, ул Братеевская, д. 25, к. 1, кв. 237</v>
          </cell>
          <cell r="D945" t="str">
            <v>РОССИЯ, 141204, Московская обл, г Пушкино, пр-кт Московский, д. 2, кв. 4</v>
          </cell>
          <cell r="F945" t="str">
            <v>Московская</v>
          </cell>
          <cell r="G945">
            <v>0.66009259259259256</v>
          </cell>
          <cell r="H945">
            <v>0.91009259259259256</v>
          </cell>
          <cell r="I945" t="str">
            <v>ОК</v>
          </cell>
          <cell r="J945" t="str">
            <v>ОК</v>
          </cell>
        </row>
        <row r="946">
          <cell r="B946" t="str">
            <v>В-19070/КЛ.Транш - 4</v>
          </cell>
          <cell r="C946" t="str">
            <v>РОССИЯ, 115612, Москва г, вн.тер. г. муниципальный округ Братеево, ул Братеевская, д. 25, к. 1, кв. 237</v>
          </cell>
          <cell r="D946" t="str">
            <v>РОССИЯ, 141204, Московская обл, г Пушкино, пр-кт Московский, д. 2, кв. 4</v>
          </cell>
          <cell r="F946" t="str">
            <v>Московская</v>
          </cell>
          <cell r="G946">
            <v>0.66009259259259256</v>
          </cell>
          <cell r="H946">
            <v>0.91009259259259256</v>
          </cell>
          <cell r="I946" t="str">
            <v>ОК</v>
          </cell>
          <cell r="J946" t="str">
            <v>ОК</v>
          </cell>
        </row>
        <row r="947">
          <cell r="B947" t="str">
            <v>В-01191/АЗ</v>
          </cell>
          <cell r="C947" t="str">
            <v>РОССИЯ, 117545, Москва г, ул Подольских Курсантов, д. 18, к. 1, кв. 75</v>
          </cell>
          <cell r="D947" t="str">
            <v>РОССИЯ, 117545, Москва г, ул Подольских Курсантов, д. 18, к. 1, кв. 75</v>
          </cell>
          <cell r="F947" t="str">
            <v>Москва</v>
          </cell>
          <cell r="G947">
            <v>0.66009259259259256</v>
          </cell>
          <cell r="H947">
            <v>0.91009259259259256</v>
          </cell>
          <cell r="I947" t="str">
            <v>ОК</v>
          </cell>
          <cell r="J947" t="str">
            <v>ОК</v>
          </cell>
        </row>
        <row r="948">
          <cell r="B948" t="str">
            <v>А-05332/АЗ_А-20210517/Ц</v>
          </cell>
          <cell r="C948" t="str">
            <v>РОССИЯ, 127018, Москва г, Лазаревский пер, дом № 2, квартира 74-75</v>
          </cell>
          <cell r="D948" t="str">
            <v>РОССИЯ, 117452, Москва г, Ялтинская ул, дом № 1, квартира 40</v>
          </cell>
          <cell r="F948" t="str">
            <v>Москва</v>
          </cell>
          <cell r="G948">
            <v>0.66009259259259256</v>
          </cell>
          <cell r="H948">
            <v>0.91009259259259256</v>
          </cell>
          <cell r="I948" t="str">
            <v>ОК</v>
          </cell>
          <cell r="J948" t="str">
            <v>ОК</v>
          </cell>
        </row>
        <row r="949">
          <cell r="B949" t="str">
            <v>Т-01797/АЗ_Т-20210517/Ц</v>
          </cell>
          <cell r="C949" t="str">
            <v>РОССИЯ, 127018, Москва г, Лазаревский пер, дом № 2, квартира 74-75</v>
          </cell>
          <cell r="D949" t="str">
            <v>РОССИЯ, 117452, Москва г, Ялтинская ул, дом № 1, квартира 40</v>
          </cell>
          <cell r="F949" t="str">
            <v>Москва</v>
          </cell>
          <cell r="G949">
            <v>0.66009259259259256</v>
          </cell>
          <cell r="H949">
            <v>0.91009259259259256</v>
          </cell>
          <cell r="I949" t="str">
            <v>ОК</v>
          </cell>
          <cell r="J949" t="str">
            <v>ОК</v>
          </cell>
        </row>
        <row r="950">
          <cell r="B950" t="str">
            <v>В-22100/КЛ.Транш - 1_В-20211230/Ц</v>
          </cell>
          <cell r="C950" t="str">
            <v>РОССИЯ, 142380, Московская обл, г Чехов, п Любучаны, тер. Биотехнологического развития Любучаны, д. 18, стр. 1, ком. 1</v>
          </cell>
          <cell r="D950" t="str">
            <v>РОССИЯ, 142380, Московская обл, г Чехов, п Любучаны, тер. Биотехнологического развития Любучаны, д. 18, к. 1, ком. 1</v>
          </cell>
          <cell r="F950" t="str">
            <v>Московская</v>
          </cell>
          <cell r="G950">
            <v>0.66009259259259256</v>
          </cell>
          <cell r="H950">
            <v>0.91009259259259256</v>
          </cell>
          <cell r="I950" t="str">
            <v>ОК</v>
          </cell>
          <cell r="J950" t="str">
            <v>ОК</v>
          </cell>
        </row>
        <row r="951">
          <cell r="B951" t="str">
            <v>В-24021/КЛ.Транш - 1</v>
          </cell>
          <cell r="C951" t="str">
            <v>РОССИЯ, 141284, Московская обл, г Ивантеевка, ул Станционная, д. 16</v>
          </cell>
          <cell r="D951" t="str">
            <v>РОССИЯ, 141284, Московская обл, г Ивантеевка, ул Станционная, д. 16</v>
          </cell>
          <cell r="F951" t="str">
            <v>Московская</v>
          </cell>
          <cell r="G951">
            <v>0.66009259259259256</v>
          </cell>
          <cell r="H951">
            <v>0.91009259259259256</v>
          </cell>
          <cell r="I951" t="str">
            <v>ОК</v>
          </cell>
          <cell r="J951" t="str">
            <v>ОК</v>
          </cell>
        </row>
        <row r="952">
          <cell r="B952" t="str">
            <v>В-09928/КЛ.Транш - 1</v>
          </cell>
          <cell r="C952" t="str">
            <v>РОССИЯ, 296020, Крым респ, Красноперекопский р-н, Почетное с, Октябрьская ул, дом 74</v>
          </cell>
          <cell r="D952" t="str">
            <v>РОССИЯ, 296020, Крым респ, Красноперекопский р-н, Почетное с, Октябрьская ул, дом 74</v>
          </cell>
          <cell r="F952" t="str">
            <v>Крым</v>
          </cell>
          <cell r="G952">
            <v>0.66009259259259256</v>
          </cell>
          <cell r="H952">
            <v>0.91009259259259256</v>
          </cell>
          <cell r="I952" t="str">
            <v>ОК</v>
          </cell>
          <cell r="J952" t="str">
            <v>ОК</v>
          </cell>
        </row>
        <row r="953">
          <cell r="B953" t="str">
            <v>В-05611/КЛ.Транш - 1</v>
          </cell>
          <cell r="C953" t="str">
            <v>РОССИЯ, 143500, Московская обл, Истра г, Шнырева ул, дом 2, квартира 2</v>
          </cell>
          <cell r="D953" t="str">
            <v>РОССИЯ, 143500, Московская обл, Истра г, Шнырева ул, дом 2, квартира 2</v>
          </cell>
          <cell r="F953" t="str">
            <v>Московская</v>
          </cell>
          <cell r="G953">
            <v>0.66009259259259256</v>
          </cell>
          <cell r="H953">
            <v>0.91009259259259256</v>
          </cell>
          <cell r="I953" t="str">
            <v>ОК</v>
          </cell>
          <cell r="J953" t="str">
            <v>ОК</v>
          </cell>
        </row>
        <row r="954">
          <cell r="B954" t="str">
            <v>В-12740/КЛ.Транш - 2</v>
          </cell>
          <cell r="C954" t="str">
            <v>РОССИЯ, 410001, Саратовская обл, г.о. город Саратов, г Саратов, ул Ново-Астраханская, д. 37/43А, кв. 73</v>
          </cell>
          <cell r="D954" t="str">
            <v>РОССИЯ, 410001, Саратовская обл, г.о. город Саратов, г Саратов, ул Ново-Астраханская, д. 37/43А, кв. 73</v>
          </cell>
          <cell r="F954" t="str">
            <v>Саратовская</v>
          </cell>
          <cell r="G954">
            <v>0.66009259259259256</v>
          </cell>
          <cell r="H954">
            <v>0.91009259259259256</v>
          </cell>
          <cell r="I954" t="str">
            <v>ОК</v>
          </cell>
          <cell r="J954" t="str">
            <v>ОК</v>
          </cell>
        </row>
        <row r="955">
          <cell r="B955" t="str">
            <v>В-08513/КЛ.Транш - 1</v>
          </cell>
          <cell r="C955" t="str">
            <v>РОССИЯ, 140054, Московская обл, Котельники г, Колхозная М. ул, дом № 28</v>
          </cell>
          <cell r="D955" t="str">
            <v>РОССИЯ, 140054, Московская обл, Котельники г, Колхозная М. ул, дом № 28</v>
          </cell>
          <cell r="F955" t="str">
            <v>Московская</v>
          </cell>
          <cell r="G955">
            <v>0.66009259259259256</v>
          </cell>
          <cell r="H955">
            <v>0.91009259259259256</v>
          </cell>
          <cell r="I955" t="str">
            <v>ОК</v>
          </cell>
          <cell r="J955" t="str">
            <v>ОК</v>
          </cell>
        </row>
        <row r="956">
          <cell r="B956" t="str">
            <v>В-00737/АЗ</v>
          </cell>
          <cell r="C956" t="str">
            <v>РОССИЯ, 350089, Краснодарский край, Краснодар г, им. Клары Лучко б-р, дом 8, квартира 98</v>
          </cell>
          <cell r="D956" t="str">
            <v>РОССИЯ, 350089, Краснодарский край, Краснодар г, им. Клары Лучко б-р, дом 8, квартира 98</v>
          </cell>
          <cell r="F956" t="str">
            <v>Краснодарский</v>
          </cell>
          <cell r="G956">
            <v>0.66009259259259256</v>
          </cell>
          <cell r="H956">
            <v>0.91009259259259256</v>
          </cell>
          <cell r="I956" t="str">
            <v>ОК</v>
          </cell>
          <cell r="J956" t="str">
            <v>ОК</v>
          </cell>
        </row>
        <row r="957">
          <cell r="B957" t="str">
            <v>В-13219/КЛ.Транш - 1</v>
          </cell>
          <cell r="C957" t="str">
            <v>РОССИЯ, 396385, Воронежская обл, Репьевский р-н, Краснолипье с, Дубинина ул, дом 136</v>
          </cell>
          <cell r="D957" t="str">
            <v>РОССИЯ, 394042, Воронежская обл, Воронеж г, Остужева ул, дом 28, квартира 11</v>
          </cell>
          <cell r="F957" t="str">
            <v>Воронежская</v>
          </cell>
          <cell r="G957">
            <v>0.66009259259259256</v>
          </cell>
          <cell r="H957">
            <v>0.91009259259259256</v>
          </cell>
          <cell r="I957" t="str">
            <v>ОК</v>
          </cell>
          <cell r="J957" t="str">
            <v>ОК</v>
          </cell>
        </row>
        <row r="958">
          <cell r="B958" t="str">
            <v>В-21666/КЛ.Транш - 1</v>
          </cell>
          <cell r="C958" t="str">
            <v>РОССИЯ, 624285, Свердловская обл, пгт Рефтинский, ул Гагарина, д. 13а, ком. 99</v>
          </cell>
          <cell r="D958" t="str">
            <v>РОССИЯ, 624285, Свердловская обл, пгт Рефтинский, ул Гагарина, д. 13а, ком. 99</v>
          </cell>
          <cell r="F958" t="str">
            <v>Свердловская</v>
          </cell>
          <cell r="G958">
            <v>0.66009259259259256</v>
          </cell>
          <cell r="H958">
            <v>0.99342592592592593</v>
          </cell>
          <cell r="I958" t="str">
            <v>поздно</v>
          </cell>
          <cell r="J958" t="str">
            <v>ОК</v>
          </cell>
        </row>
        <row r="959">
          <cell r="B959" t="str">
            <v>В-02029/КЛ.Транш - 2</v>
          </cell>
          <cell r="C959" t="str">
            <v>РОССИЯ, 249440, Калужская обл, м.р-н Кировский, г.п. город Киров, г Киров, ул Фурманова, д. 12, кв. 14</v>
          </cell>
          <cell r="D959" t="str">
            <v>РОССИЯ, 141070, Московская обл, Королев г, Маяковского ул, дом № 18, квартира 97</v>
          </cell>
          <cell r="F959" t="str">
            <v>Московская</v>
          </cell>
          <cell r="G959">
            <v>0.66009259259259256</v>
          </cell>
          <cell r="H959">
            <v>0.91009259259259256</v>
          </cell>
          <cell r="I959" t="str">
            <v>ОК</v>
          </cell>
          <cell r="J959" t="str">
            <v>ОК</v>
          </cell>
        </row>
        <row r="960">
          <cell r="B960" t="str">
            <v>В-26318/КЛ.Транш - 1</v>
          </cell>
          <cell r="C960" t="str">
            <v>РОССИЯ, 249440, Калужская обл, м.р-н Кировский, г.п. город Киров, г Киров, ул Фурманова, д. 12, кв. 14</v>
          </cell>
          <cell r="D960" t="str">
            <v>РОССИЯ, 141070, Московская обл, Королев г, Маяковского ул, дом № 18, квартира 97</v>
          </cell>
          <cell r="F960" t="str">
            <v>Московская</v>
          </cell>
          <cell r="G960">
            <v>0.66009259259259256</v>
          </cell>
          <cell r="H960">
            <v>0.91009259259259256</v>
          </cell>
          <cell r="I960" t="str">
            <v>ОК</v>
          </cell>
          <cell r="J960" t="str">
            <v>ОК</v>
          </cell>
        </row>
        <row r="961">
          <cell r="B961" t="str">
            <v>Т-01466/АЗ</v>
          </cell>
          <cell r="C961" t="str">
            <v>РОССИЯ, 163035, Архангельская обл, Архангельск г, Дежневцев ул, дом № 8, корпус 1, квартира 38</v>
          </cell>
          <cell r="D961" t="str">
            <v>РОССИЯ, 193313, Санкт-Петербург г, Коллонтай ул, дом № 5/1, квартира 2039</v>
          </cell>
          <cell r="F961" t="str">
            <v>Москва</v>
          </cell>
          <cell r="G961">
            <v>0.66009259259259256</v>
          </cell>
          <cell r="H961">
            <v>0.91009259259259256</v>
          </cell>
          <cell r="I961" t="str">
            <v>ОК</v>
          </cell>
          <cell r="J961" t="str">
            <v>ОК</v>
          </cell>
        </row>
        <row r="962">
          <cell r="B962" t="str">
            <v>В-23633/КЛ.Транш - 1_В-20211230/Ц</v>
          </cell>
          <cell r="C962" t="str">
            <v>РОССИЯ, 140103, Московская обл, г.о. Раменский, г Раменское, ул Молодежная, д. 8, кв. 21</v>
          </cell>
          <cell r="D962" t="str">
            <v>РОССИЯ, 140103, Московская обл, г.о. Раменский, г Раменское, ул Молодежная, д. 8, кв. 21</v>
          </cell>
          <cell r="F962" t="str">
            <v>Московская</v>
          </cell>
          <cell r="G962">
            <v>0.66009259259259256</v>
          </cell>
          <cell r="H962">
            <v>0.91009259259259256</v>
          </cell>
          <cell r="I962" t="str">
            <v>ОК</v>
          </cell>
          <cell r="J962" t="str">
            <v>ОК</v>
          </cell>
        </row>
        <row r="963">
          <cell r="B963" t="str">
            <v>В-05725/КЛ.Транш - 5</v>
          </cell>
          <cell r="C963" t="str">
            <v>РОССИЯ, 108851, Москва г, г Щербинка, ул 40 лет Октября, д. 15/1, кв. 26</v>
          </cell>
          <cell r="D963" t="str">
            <v>РОССИЯ, 108831, Москва г, Щербинка г, 40 лет Октября ул, дом 15/1, квартира 26</v>
          </cell>
          <cell r="F963" t="str">
            <v>Москва</v>
          </cell>
          <cell r="G963">
            <v>0.66009259259259256</v>
          </cell>
          <cell r="H963">
            <v>0.91009259259259256</v>
          </cell>
          <cell r="I963" t="str">
            <v>ОК</v>
          </cell>
          <cell r="J963" t="str">
            <v>ОК</v>
          </cell>
        </row>
        <row r="964">
          <cell r="B964" t="str">
            <v>В-05725/КЛ.Транш - 6</v>
          </cell>
          <cell r="C964" t="str">
            <v>РОССИЯ, 108851, Москва г, г Щербинка, ул 40 лет Октября, д. 15/1, кв. 26</v>
          </cell>
          <cell r="D964" t="str">
            <v>РОССИЯ, 108831, Москва г, Щербинка г, 40 лет Октября ул, дом 15/1, квартира 26</v>
          </cell>
          <cell r="F964" t="str">
            <v>Москва</v>
          </cell>
          <cell r="G964">
            <v>0.66009259259259256</v>
          </cell>
          <cell r="H964">
            <v>0.91009259259259256</v>
          </cell>
          <cell r="I964" t="str">
            <v>ОК</v>
          </cell>
          <cell r="J964" t="str">
            <v>ОК</v>
          </cell>
        </row>
        <row r="965">
          <cell r="B965" t="str">
            <v>В-21960/КЛ.Транш - 1</v>
          </cell>
          <cell r="C965" t="str">
            <v>РОССИЯ, 109651, Москва г, вн.тер.г. муниципальный округ Марьино, проезд Батайский, д. 1, кв. 132</v>
          </cell>
          <cell r="D965" t="str">
            <v>РОССИЯ, 109651, Москва г, вн.тер.г. муниципальный округ Марьино, проезд Батайский, д. 1, кв. 132</v>
          </cell>
          <cell r="F965" t="str">
            <v>Москва</v>
          </cell>
          <cell r="G965">
            <v>0.66009259259259256</v>
          </cell>
          <cell r="H965">
            <v>0.91009259259259256</v>
          </cell>
          <cell r="I965" t="str">
            <v>ОК</v>
          </cell>
          <cell r="J965" t="str">
            <v>ОК</v>
          </cell>
        </row>
        <row r="966">
          <cell r="B966" t="str">
            <v>В-21960/КЛ.Транш - 2</v>
          </cell>
          <cell r="C966" t="str">
            <v>РОССИЯ, 109651, Москва г, вн.тер.г. муниципальный округ Марьино, проезд Батайский, д. 1, кв. 132</v>
          </cell>
          <cell r="D966" t="str">
            <v>РОССИЯ, 109651, Москва г, вн.тер.г. муниципальный округ Марьино, проезд Батайский, д. 1, кв. 132</v>
          </cell>
          <cell r="F966" t="str">
            <v>Москва</v>
          </cell>
          <cell r="G966">
            <v>0.66009259259259256</v>
          </cell>
          <cell r="H966">
            <v>0.91009259259259256</v>
          </cell>
          <cell r="I966" t="str">
            <v>ОК</v>
          </cell>
          <cell r="J966" t="str">
            <v>ОК</v>
          </cell>
        </row>
        <row r="967">
          <cell r="B967" t="str">
            <v>В-14094/КЛ.Транш - 2</v>
          </cell>
          <cell r="C967" t="str">
            <v>РОССИЯ, 347343, Ростовская обл, Волгодонской р-н, Парамонов х, Степная ул, дом 40</v>
          </cell>
          <cell r="D967" t="str">
            <v>РОССИЯ, 347360, Ростовская обл, Волгодонск г, Ленина ул, дом 77, квартира 29</v>
          </cell>
          <cell r="F967" t="str">
            <v>Ростовская</v>
          </cell>
          <cell r="G967">
            <v>0.66009259259259256</v>
          </cell>
          <cell r="H967">
            <v>0.91009259259259256</v>
          </cell>
          <cell r="I967" t="str">
            <v>ОК</v>
          </cell>
          <cell r="J967" t="str">
            <v>ОК</v>
          </cell>
        </row>
        <row r="968">
          <cell r="B968" t="str">
            <v>В-28684/КЛ.Транш - 1</v>
          </cell>
          <cell r="C968" t="str">
            <v>РОССИЯ, 413502, Саратовская обл, р-н Ершовский, г Ершов, ул Мелиоративная, д. 45, кв. 16</v>
          </cell>
          <cell r="D968" t="str">
            <v>РОССИЯ, 413502, Саратовская обл, р-н Ершовский, г Ершов, ул Мелиоративная, д. 45, кв. 16</v>
          </cell>
          <cell r="F968" t="str">
            <v>Саратовская</v>
          </cell>
          <cell r="G968">
            <v>0.66009259259259256</v>
          </cell>
          <cell r="H968">
            <v>0.91009259259259256</v>
          </cell>
          <cell r="I968" t="str">
            <v>ОК</v>
          </cell>
          <cell r="J968" t="str">
            <v>ОК</v>
          </cell>
        </row>
        <row r="969">
          <cell r="B969" t="str">
            <v>В-00083/КЭ.Транш - 1</v>
          </cell>
          <cell r="C969" t="str">
            <v>107564, Москва г, Миллионная ул, дом 12, квартира 32</v>
          </cell>
          <cell r="F969" t="str">
            <v>Москва</v>
          </cell>
          <cell r="G969">
            <v>0.66009259259259256</v>
          </cell>
          <cell r="H969">
            <v>0.91009259259259256</v>
          </cell>
          <cell r="I969" t="str">
            <v>ОК</v>
          </cell>
          <cell r="J969" t="str">
            <v>ОК</v>
          </cell>
        </row>
        <row r="970">
          <cell r="B970" t="str">
            <v>В-26099/КЛ.Транш - 1</v>
          </cell>
          <cell r="C970" t="str">
            <v>РОССИЯ, 142702, Московская обл, р-н Ленинский, рп Лопатино, ул Сухановская, д. 8, кв. 172</v>
          </cell>
          <cell r="D970" t="str">
            <v>РОССИЯ, 142702, Московская обл, Ленинский р-н, Лопатино рп, Сухановская ул, дом 8, квартира 172</v>
          </cell>
          <cell r="F970" t="str">
            <v>Московская</v>
          </cell>
          <cell r="G970">
            <v>0.66009259259259256</v>
          </cell>
          <cell r="H970">
            <v>0.91009259259259256</v>
          </cell>
          <cell r="I970" t="str">
            <v>ОК</v>
          </cell>
          <cell r="J970" t="str">
            <v>ОК</v>
          </cell>
        </row>
        <row r="971">
          <cell r="B971" t="str">
            <v>В-26099/КЛ.Транш - 2</v>
          </cell>
          <cell r="C971" t="str">
            <v>РОССИЯ, 142702, Московская обл, р-н Ленинский, рп Лопатино, ул Сухановская, д. 8, кв. 172</v>
          </cell>
          <cell r="D971" t="str">
            <v>РОССИЯ, 142702, Московская обл, Ленинский р-н, Лопатино рп, Сухановская ул, дом 8, квартира 172</v>
          </cell>
          <cell r="F971" t="str">
            <v>Московская</v>
          </cell>
          <cell r="G971">
            <v>0.66009259259259256</v>
          </cell>
          <cell r="H971">
            <v>0.91009259259259256</v>
          </cell>
          <cell r="I971" t="str">
            <v>ОК</v>
          </cell>
          <cell r="J971" t="str">
            <v>ОК</v>
          </cell>
        </row>
        <row r="972">
          <cell r="B972" t="str">
            <v>В-07706/КЛ.Транш - 1</v>
          </cell>
          <cell r="C972" t="str">
            <v>РОССИЯ, 412323, Саратовская обл, Балашовский р-н, Пинеровка рп, Луначарского ул, дом 132</v>
          </cell>
          <cell r="D972" t="str">
            <v>РОССИЯ, 412323, Саратовская обл, Балашовский р-н, Пинеровка рп, Луначарского ул, дом 124</v>
          </cell>
          <cell r="F972" t="str">
            <v>Саратовская</v>
          </cell>
          <cell r="G972">
            <v>0.66009259259259256</v>
          </cell>
          <cell r="H972">
            <v>0.91009259259259256</v>
          </cell>
          <cell r="I972" t="str">
            <v>ОК</v>
          </cell>
          <cell r="J972" t="str">
            <v>ОК</v>
          </cell>
        </row>
        <row r="973">
          <cell r="B973" t="str">
            <v>В-26649/АЗ</v>
          </cell>
          <cell r="C973" t="str">
            <v>РОССИЯ, 197343, Санкт-Петербург г, вн.тер.г. муниципальный округ Черная речка, ул Земледельческая, д. 5, к. 2, литера А, кв. 495</v>
          </cell>
          <cell r="D973" t="str">
            <v>РОССИЯ, 197343, Санкт-Петербург г, ул Земледельческая, д. 5, к. 2, кв. 495</v>
          </cell>
          <cell r="F973" t="str">
            <v>Москва</v>
          </cell>
          <cell r="G973">
            <v>0.66009259259259256</v>
          </cell>
          <cell r="H973">
            <v>0.91009259259259256</v>
          </cell>
          <cell r="I973" t="str">
            <v>ОК</v>
          </cell>
          <cell r="J973" t="str">
            <v>ОК</v>
          </cell>
        </row>
        <row r="974">
          <cell r="B974" t="str">
            <v>В-26651/АЗ</v>
          </cell>
          <cell r="C974" t="str">
            <v>РОССИЯ, 197343, Санкт-Петербург г, вн.тер.г. муниципальный округ Черная речка, ул Земледельческая, д. 5, к. 2, литера А, кв. 495</v>
          </cell>
          <cell r="D974" t="str">
            <v>РОССИЯ, 197343, Санкт-Петербург г, ул Земледельческая, д. 5, к. 2, кв. 495</v>
          </cell>
          <cell r="F974" t="str">
            <v>Москва</v>
          </cell>
          <cell r="G974">
            <v>0.66009259259259256</v>
          </cell>
          <cell r="H974">
            <v>0.91009259259259256</v>
          </cell>
          <cell r="I974" t="str">
            <v>ОК</v>
          </cell>
          <cell r="J974" t="str">
            <v>ОК</v>
          </cell>
        </row>
        <row r="975">
          <cell r="B975" t="str">
            <v>А-00375/КЭ.Транш - 1</v>
          </cell>
          <cell r="C975" t="str">
            <v>115230, Москва г, Варшавское ш, дом № 46, офис 115</v>
          </cell>
          <cell r="F975" t="str">
            <v>Москва</v>
          </cell>
          <cell r="G975">
            <v>0.66009259259259256</v>
          </cell>
          <cell r="H975">
            <v>0.91009259259259256</v>
          </cell>
          <cell r="I975" t="str">
            <v>ОК</v>
          </cell>
          <cell r="J975" t="str">
            <v>ОК</v>
          </cell>
        </row>
        <row r="976">
          <cell r="B976" t="str">
            <v>В-02402/КЛ.Транш - 1</v>
          </cell>
          <cell r="C976" t="str">
            <v>РОССИЯ, 121357, Москва г, Загорского проезд, дом 5, квартира 43</v>
          </cell>
          <cell r="D976" t="str">
            <v>РОССИЯ, 121357, Москва г, Загорского проезд, дом 5, квартира 43</v>
          </cell>
          <cell r="F976" t="str">
            <v>Москва</v>
          </cell>
          <cell r="G976">
            <v>0.66009259259259256</v>
          </cell>
          <cell r="H976">
            <v>0.91009259259259256</v>
          </cell>
          <cell r="I976" t="str">
            <v>ОК</v>
          </cell>
          <cell r="J976" t="str">
            <v>ОК</v>
          </cell>
        </row>
        <row r="977">
          <cell r="B977" t="str">
            <v>В-07632/КЛ.Транш - 1</v>
          </cell>
          <cell r="C977" t="str">
            <v>РОССИЯ, 404113, Волгоградская обл, Волжский г, тер. днт Труд, Труд тер. снт, 1-й Зеленый пер, дом 24</v>
          </cell>
          <cell r="D977" t="str">
            <v>РОССИЯ, 404113, Волгоградская обл, Волжский г, тер. днт Труд, Труд тер. снт, 1-й Зеленый пер, дом 24</v>
          </cell>
          <cell r="F977" t="str">
            <v>Волгоградская</v>
          </cell>
          <cell r="G977">
            <v>0.66009259259259256</v>
          </cell>
          <cell r="H977">
            <v>0.9517592592592593</v>
          </cell>
          <cell r="I977" t="str">
            <v>поздно</v>
          </cell>
          <cell r="J977" t="str">
            <v>ОК</v>
          </cell>
        </row>
        <row r="978">
          <cell r="B978" t="str">
            <v>А-00211/КЭ.Транш - 2</v>
          </cell>
          <cell r="C978" t="str">
            <v>125239, Москва г, Матроса Железняка б-р, дом 29А</v>
          </cell>
          <cell r="F978" t="str">
            <v>Москва</v>
          </cell>
          <cell r="G978">
            <v>0.66009259259259256</v>
          </cell>
          <cell r="H978">
            <v>0.91009259259259256</v>
          </cell>
          <cell r="I978" t="str">
            <v>ОК</v>
          </cell>
          <cell r="J978" t="str">
            <v>ОК</v>
          </cell>
        </row>
        <row r="979">
          <cell r="B979" t="str">
            <v>В-18715/КЛ.Транш - 1</v>
          </cell>
          <cell r="C979" t="str">
            <v>РОССИЯ, 196084, Санкт-Петербург г, пр-кт Московский, д. 73, к. 5, литера А, кв. 1620</v>
          </cell>
          <cell r="D979" t="str">
            <v>РОССИЯ, 196084, Санкт-Петербург г, Московский пр-кт, дом 73, корпус 5, литер А, квартира 1620</v>
          </cell>
          <cell r="F979" t="str">
            <v>Москва</v>
          </cell>
          <cell r="G979">
            <v>0.66009259259259256</v>
          </cell>
          <cell r="H979">
            <v>0.91009259259259256</v>
          </cell>
          <cell r="I979" t="str">
            <v>ОК</v>
          </cell>
          <cell r="J979" t="str">
            <v>ОК</v>
          </cell>
        </row>
        <row r="980">
          <cell r="B980" t="str">
            <v>В-18715/КЛ.Транш - 2</v>
          </cell>
          <cell r="C980" t="str">
            <v>РОССИЯ, 196084, Санкт-Петербург г, пр-кт Московский, д. 73, к. 5, литера А, кв. 1620</v>
          </cell>
          <cell r="D980" t="str">
            <v>РОССИЯ, 196084, Санкт-Петербург г, Московский пр-кт, дом 73, корпус 5, литер А, квартира 1620</v>
          </cell>
          <cell r="F980" t="str">
            <v>Москва</v>
          </cell>
          <cell r="G980">
            <v>0.66009259259259256</v>
          </cell>
          <cell r="H980">
            <v>0.91009259259259256</v>
          </cell>
          <cell r="I980" t="str">
            <v>ОК</v>
          </cell>
          <cell r="J980" t="str">
            <v>ОК</v>
          </cell>
        </row>
        <row r="981">
          <cell r="B981" t="str">
            <v>В-18715/КЛ.Транш - 4</v>
          </cell>
          <cell r="C981" t="str">
            <v>РОССИЯ, 196084, Санкт-Петербург г, пр-кт Московский, д. 73, к. 5, литера А, кв. 1620</v>
          </cell>
          <cell r="D981" t="str">
            <v>РОССИЯ, 196084, Санкт-Петербург г, Московский пр-кт, дом 73, корпус 5, литер А, квартира 1620</v>
          </cell>
          <cell r="F981" t="str">
            <v>Москва</v>
          </cell>
          <cell r="G981">
            <v>0.66009259259259256</v>
          </cell>
          <cell r="H981">
            <v>0.91009259259259256</v>
          </cell>
          <cell r="I981" t="str">
            <v>ОК</v>
          </cell>
          <cell r="J981" t="str">
            <v>ОК</v>
          </cell>
        </row>
        <row r="982">
          <cell r="B982" t="str">
            <v>А-05392/АЗ</v>
          </cell>
          <cell r="C982" t="str">
            <v>РОССИЯ, 142300, Московская обл, Чехов г, Молодежная ул, дом 13, квартира 28</v>
          </cell>
          <cell r="D982" t="str">
            <v>РОССИЯ, 142300, Московская обл, Чехов г, Молодежная ул, дом 13, квартира 28</v>
          </cell>
          <cell r="F982" t="str">
            <v>Московская</v>
          </cell>
          <cell r="G982">
            <v>0.66009259259259256</v>
          </cell>
          <cell r="H982">
            <v>0.91009259259259256</v>
          </cell>
          <cell r="I982" t="str">
            <v>ОК</v>
          </cell>
          <cell r="J982" t="str">
            <v>ОК</v>
          </cell>
        </row>
        <row r="983">
          <cell r="B983" t="str">
            <v>В-00280/КЛ.Транш - 1</v>
          </cell>
          <cell r="C983" t="str">
            <v>РОССИЯ, 142300, Московская обл, Чехов г, Молодежная ул, дом 13, квартира 28</v>
          </cell>
          <cell r="D983" t="str">
            <v>РОССИЯ, 142300, Московская обл, Чехов г, Молодежная ул, дом 13, квартира 28</v>
          </cell>
          <cell r="F983" t="str">
            <v>Московская</v>
          </cell>
          <cell r="G983">
            <v>0.66009259259259256</v>
          </cell>
          <cell r="H983">
            <v>0.91009259259259256</v>
          </cell>
          <cell r="I983" t="str">
            <v>ОК</v>
          </cell>
          <cell r="J983" t="str">
            <v>ОК</v>
          </cell>
        </row>
        <row r="984">
          <cell r="B984" t="str">
            <v>В-00280/КЛ.Транш - 2</v>
          </cell>
          <cell r="C984" t="str">
            <v>РОССИЯ, 142300, Московская обл, Чехов г, Молодежная ул, дом 13, квартира 28</v>
          </cell>
          <cell r="D984" t="str">
            <v>РОССИЯ, 142300, Московская обл, Чехов г, Молодежная ул, дом 13, квартира 28</v>
          </cell>
          <cell r="F984" t="str">
            <v>Московская</v>
          </cell>
          <cell r="G984">
            <v>0.66009259259259256</v>
          </cell>
          <cell r="H984">
            <v>0.91009259259259256</v>
          </cell>
          <cell r="I984" t="str">
            <v>ОК</v>
          </cell>
          <cell r="J984" t="str">
            <v>ОК</v>
          </cell>
        </row>
        <row r="985">
          <cell r="B985" t="str">
            <v>Т-01827/АЗ_Т-20211028/Ц</v>
          </cell>
          <cell r="C985" t="str">
            <v>РОССИЯ, 142300, Московская обл, Чехов г, Молодежная ул, дом 13, квартира 28</v>
          </cell>
          <cell r="D985" t="str">
            <v>РОССИЯ, 142300, Московская обл, Чехов г, Молодежная ул, дом 13, квартира 28</v>
          </cell>
          <cell r="F985" t="str">
            <v>Московская</v>
          </cell>
          <cell r="G985">
            <v>0.66009259259259256</v>
          </cell>
          <cell r="H985">
            <v>0.91009259259259256</v>
          </cell>
          <cell r="I985" t="str">
            <v>ОК</v>
          </cell>
          <cell r="J985" t="str">
            <v>ОК</v>
          </cell>
        </row>
        <row r="986">
          <cell r="B986" t="str">
            <v>В-25457/КЛ.Транш - 1</v>
          </cell>
          <cell r="C986" t="str">
            <v>РОССИЯ, 453839, Башкортостан респ, г. Сибай, ул Сарбаева, д. 20, кв. 2</v>
          </cell>
          <cell r="D986" t="str">
            <v>РОССИЯ, 453839, Башкортостан респ, г. Сибай, ул Сарбаева, д. 20, кв. 2</v>
          </cell>
          <cell r="F986" t="str">
            <v>Башкортостан</v>
          </cell>
          <cell r="G986">
            <v>0.66009259259259256</v>
          </cell>
          <cell r="H986">
            <v>0.99342592592592593</v>
          </cell>
          <cell r="I986" t="str">
            <v>поздно</v>
          </cell>
          <cell r="J986" t="str">
            <v>ОК</v>
          </cell>
        </row>
        <row r="987">
          <cell r="B987" t="str">
            <v>В-24596/АЗ</v>
          </cell>
          <cell r="C987" t="str">
            <v>РОССИЯ, 125284, Москва г, ш Хорошёвское, д. 38Д, стр. 2</v>
          </cell>
          <cell r="D987" t="str">
            <v>РОССИЯ, 143085, Московская обл, г Одинцово, рп Заречье, ул Медовая, д. 4, кв. 271</v>
          </cell>
          <cell r="F987" t="str">
            <v>Московская</v>
          </cell>
          <cell r="G987">
            <v>0.66009259259259256</v>
          </cell>
          <cell r="H987">
            <v>0.91009259259259256</v>
          </cell>
          <cell r="I987" t="str">
            <v>ОК</v>
          </cell>
          <cell r="J987" t="str">
            <v>ОК</v>
          </cell>
        </row>
        <row r="988">
          <cell r="B988" t="str">
            <v>В-25529/КЛ.Транш - 1</v>
          </cell>
          <cell r="C988" t="str">
            <v>РОССИЯ, 390035, Рязанская обл, г Рязань, проезд Гоголя, д. 2, кв. 92</v>
          </cell>
          <cell r="D988" t="str">
            <v>РОССИЯ, 390035, Рязанская обл, г Рязань, проезд Гоголя, д. 2, кв. 92</v>
          </cell>
          <cell r="F988" t="str">
            <v>Рязанская</v>
          </cell>
          <cell r="G988">
            <v>0.66009259259259256</v>
          </cell>
          <cell r="H988">
            <v>0.91009259259259256</v>
          </cell>
          <cell r="I988" t="str">
            <v>ОК</v>
          </cell>
          <cell r="J988" t="str">
            <v>ОК</v>
          </cell>
        </row>
        <row r="989">
          <cell r="B989" t="str">
            <v>В-12548/КЛ.Транш - 2_В-20211230/Ц</v>
          </cell>
          <cell r="C989" t="str">
            <v>РОССИЯ, 125480, Москва г, Героев Панфиловцев ул, дом № 9, корпус 1, квартира 208</v>
          </cell>
          <cell r="D989" t="str">
            <v>РОССИЯ, 125480, Москва г, Героев Панфиловцев ул, дом № 9, корпус 1, квартира 208</v>
          </cell>
          <cell r="F989" t="str">
            <v>Москва</v>
          </cell>
          <cell r="G989">
            <v>0.66009259259259256</v>
          </cell>
          <cell r="H989">
            <v>0.91009259259259256</v>
          </cell>
          <cell r="I989" t="str">
            <v>ОК</v>
          </cell>
          <cell r="J989" t="str">
            <v>ОК</v>
          </cell>
        </row>
        <row r="990">
          <cell r="B990" t="str">
            <v>В-25573/КЛ.Транш - 1</v>
          </cell>
          <cell r="C990" t="str">
            <v>РОССИЯ, 144009, Московская обл, Электросталь г., Юбилейная ул, дом 5а, квартира 37</v>
          </cell>
          <cell r="D990" t="str">
            <v>РОССИЯ, 144009, Московская обл, Электросталь г., Юбилейная ул, дом 5а, квартира 37</v>
          </cell>
          <cell r="F990" t="str">
            <v>Московская</v>
          </cell>
          <cell r="G990">
            <v>0.66009259259259256</v>
          </cell>
          <cell r="H990">
            <v>0.91009259259259256</v>
          </cell>
          <cell r="I990" t="str">
            <v>ОК</v>
          </cell>
          <cell r="J990" t="str">
            <v>ОК</v>
          </cell>
        </row>
        <row r="991">
          <cell r="B991" t="str">
            <v>В-25573/КЛ.Транш - 2</v>
          </cell>
          <cell r="C991" t="str">
            <v>РОССИЯ, 144009, Московская обл, Электросталь г., Юбилейная ул, дом 5а, квартира 37</v>
          </cell>
          <cell r="D991" t="str">
            <v>РОССИЯ, 144009, Московская обл, Электросталь г., Юбилейная ул, дом 5а, квартира 37</v>
          </cell>
          <cell r="F991" t="str">
            <v>Московская</v>
          </cell>
          <cell r="G991">
            <v>0.66009259259259256</v>
          </cell>
          <cell r="H991">
            <v>0.91009259259259256</v>
          </cell>
          <cell r="I991" t="str">
            <v>ОК</v>
          </cell>
          <cell r="J991" t="str">
            <v>ОК</v>
          </cell>
        </row>
        <row r="992">
          <cell r="B992" t="str">
            <v>В-22048/КЛ.Транш - 1</v>
          </cell>
          <cell r="C992" t="str">
            <v>РОССИЯ, 249855, Калужская обл, р-н Дзержинский, п Товарково, мкр Молодежный, д. 6, кв. 30</v>
          </cell>
          <cell r="D992" t="str">
            <v>РОССИЯ, 249855, Калужская обл, р-н Дзержинский, п Товарково, мкр Молодежный, д. 6, кв. 30</v>
          </cell>
          <cell r="F992" t="str">
            <v>Калужская</v>
          </cell>
          <cell r="G992">
            <v>0.66009259259259256</v>
          </cell>
          <cell r="H992">
            <v>0.91009259259259256</v>
          </cell>
          <cell r="I992" t="str">
            <v>ОК</v>
          </cell>
          <cell r="J992" t="str">
            <v>ОК</v>
          </cell>
        </row>
        <row r="993">
          <cell r="B993" t="str">
            <v>В-16516/КЛ.Транш - 1</v>
          </cell>
          <cell r="C993" t="str">
            <v>РОССИЯ, 196620, Санкт-Петербург г, Павловск г, 1-я Советская ул, дом 10, квартира 11</v>
          </cell>
          <cell r="D993" t="str">
            <v>РОССИЯ, 191014, Санкт-Петербург г, Виленский пер, дом 15, квартира 78</v>
          </cell>
          <cell r="F993" t="str">
            <v>Москва</v>
          </cell>
          <cell r="G993">
            <v>0.66009259259259256</v>
          </cell>
          <cell r="H993">
            <v>0.91009259259259256</v>
          </cell>
          <cell r="I993" t="str">
            <v>ОК</v>
          </cell>
          <cell r="J993" t="str">
            <v>ОК</v>
          </cell>
        </row>
        <row r="994">
          <cell r="B994" t="str">
            <v>В-16516/КЛ.Транш - 3</v>
          </cell>
          <cell r="C994" t="str">
            <v>РОССИЯ, 196620, Санкт-Петербург г, Павловск г, 1-я Советская ул, дом 10, квартира 11</v>
          </cell>
          <cell r="D994" t="str">
            <v>РОССИЯ, 191014, Санкт-Петербург г, Виленский пер, дом 15, квартира 78</v>
          </cell>
          <cell r="F994" t="str">
            <v>Москва</v>
          </cell>
          <cell r="G994">
            <v>0.66009259259259256</v>
          </cell>
          <cell r="H994">
            <v>0.91009259259259256</v>
          </cell>
          <cell r="I994" t="str">
            <v>ОК</v>
          </cell>
          <cell r="J994" t="str">
            <v>ОК</v>
          </cell>
        </row>
        <row r="995">
          <cell r="B995" t="str">
            <v>В-16516/КЛ.Транш - 4</v>
          </cell>
          <cell r="C995" t="str">
            <v>РОССИЯ, 196620, Санкт-Петербург г, Павловск г, 1-я Советская ул, дом 10, квартира 11</v>
          </cell>
          <cell r="D995" t="str">
            <v>РОССИЯ, 191014, Санкт-Петербург г, Виленский пер, дом 15, квартира 78</v>
          </cell>
          <cell r="F995" t="str">
            <v>Москва</v>
          </cell>
          <cell r="G995">
            <v>0.66009259259259256</v>
          </cell>
          <cell r="H995">
            <v>0.91009259259259256</v>
          </cell>
          <cell r="I995" t="str">
            <v>ОК</v>
          </cell>
          <cell r="J995" t="str">
            <v>ОК</v>
          </cell>
        </row>
        <row r="996">
          <cell r="B996" t="str">
            <v>В-16516/КЛ.Транш - 5</v>
          </cell>
          <cell r="C996" t="str">
            <v>РОССИЯ, 196620, Санкт-Петербург г, Павловск г, 1-я Советская ул, дом 10, квартира 11</v>
          </cell>
          <cell r="D996" t="str">
            <v>РОССИЯ, 191014, Санкт-Петербург г, Виленский пер, дом 15, квартира 78</v>
          </cell>
          <cell r="F996" t="str">
            <v>Москва</v>
          </cell>
          <cell r="G996">
            <v>0.66009259259259256</v>
          </cell>
          <cell r="H996">
            <v>0.91009259259259256</v>
          </cell>
          <cell r="I996" t="str">
            <v>ОК</v>
          </cell>
          <cell r="J996" t="str">
            <v>ОК</v>
          </cell>
        </row>
        <row r="997">
          <cell r="B997" t="str">
            <v>В-16516/КЛ.Транш - 6</v>
          </cell>
          <cell r="C997" t="str">
            <v>РОССИЯ, 196620, Санкт-Петербург г, Павловск г, 1-я Советская ул, дом 10, квартира 11</v>
          </cell>
          <cell r="D997" t="str">
            <v>РОССИЯ, 191014, Санкт-Петербург г, Виленский пер, дом 15, квартира 78</v>
          </cell>
          <cell r="F997" t="str">
            <v>Москва</v>
          </cell>
          <cell r="G997">
            <v>0.66009259259259256</v>
          </cell>
          <cell r="H997">
            <v>0.91009259259259256</v>
          </cell>
          <cell r="I997" t="str">
            <v>ОК</v>
          </cell>
          <cell r="J997" t="str">
            <v>ОК</v>
          </cell>
        </row>
        <row r="998">
          <cell r="B998" t="str">
            <v>В-16516/КЛ.Транш - 7</v>
          </cell>
          <cell r="C998" t="str">
            <v>РОССИЯ, 196620, Санкт-Петербург г, Павловск г, 1-я Советская ул, дом 10, квартира 11</v>
          </cell>
          <cell r="D998" t="str">
            <v>РОССИЯ, 191014, Санкт-Петербург г, Виленский пер, дом 15, квартира 78</v>
          </cell>
          <cell r="F998" t="str">
            <v>Москва</v>
          </cell>
          <cell r="G998">
            <v>0.66009259259259256</v>
          </cell>
          <cell r="H998">
            <v>0.91009259259259256</v>
          </cell>
          <cell r="I998" t="str">
            <v>ОК</v>
          </cell>
          <cell r="J998" t="str">
            <v>ОК</v>
          </cell>
        </row>
        <row r="999">
          <cell r="B999" t="str">
            <v>В-22683/КЛ.Транш - 1</v>
          </cell>
          <cell r="C999" t="str">
            <v>РОССИЯ, 119192, Москва г, пр-кт Мичуринский, д. 48, кв. 83</v>
          </cell>
          <cell r="D999" t="str">
            <v>РОССИЯ, 123112, Москва г, проезд 1-й Красногвардейский, д. 22, стр. 2, кв. 268</v>
          </cell>
          <cell r="F999" t="str">
            <v>Москва</v>
          </cell>
          <cell r="G999">
            <v>0.66009259259259256</v>
          </cell>
          <cell r="H999">
            <v>0.91009259259259256</v>
          </cell>
          <cell r="I999" t="str">
            <v>ОК</v>
          </cell>
          <cell r="J999" t="str">
            <v>ОК</v>
          </cell>
        </row>
        <row r="1000">
          <cell r="B1000" t="str">
            <v>В-18929/КЛ.Транш - 1</v>
          </cell>
          <cell r="C1000" t="str">
            <v>РОССИЯ, 109341, Москва г, вн.тер.г. муниципальный округ Марьино, ул Братиславская, д. 8, кв. 233</v>
          </cell>
          <cell r="D1000" t="str">
            <v>РОССИЯ, 109341, Москва г, вн.тер.г. муниципальный округ Марьино, ул Братиславская, д. 8, кв. 233</v>
          </cell>
          <cell r="F1000" t="str">
            <v>Москва</v>
          </cell>
          <cell r="G1000">
            <v>0.66009259259259256</v>
          </cell>
          <cell r="H1000">
            <v>0.91009259259259256</v>
          </cell>
          <cell r="I1000" t="str">
            <v>ОК</v>
          </cell>
          <cell r="J1000" t="str">
            <v>ОК</v>
          </cell>
        </row>
        <row r="1001">
          <cell r="B1001" t="str">
            <v>А-10026/БЭ</v>
          </cell>
          <cell r="C1001" t="str">
            <v>РОССИЯ, 195279, Санкт-Петербург г, Ириновский пр-кт, дом 31/48, литера А, квартира 218</v>
          </cell>
          <cell r="D1001" t="str">
            <v>РОССИЯ, 195279, Санкт-Петербург г, Ириновский пр-кт, дом 31/48, литера А, квартира 218</v>
          </cell>
          <cell r="F1001" t="str">
            <v>Москва</v>
          </cell>
          <cell r="G1001">
            <v>0.66009259259259256</v>
          </cell>
          <cell r="H1001">
            <v>0.91009259259259256</v>
          </cell>
          <cell r="I1001" t="str">
            <v>ОК</v>
          </cell>
          <cell r="J1001" t="str">
            <v>ОК</v>
          </cell>
        </row>
        <row r="1002">
          <cell r="B1002" t="str">
            <v>В-04395/КЛ.Транш - 4</v>
          </cell>
          <cell r="C1002" t="str">
            <v>РОССИЯ, 188689, Ленинградская обл, Всеволожский р-н, Янино-1 гп, Ясная ул, дом 9, корпус 1, квартира 156</v>
          </cell>
          <cell r="D1002" t="str">
            <v>РОССИЯ, 188689, Ленинградская обл, Всеволожский р-н, Янино-1 гп, Ясная ул, дом 9, корпус 1, квартира 156</v>
          </cell>
          <cell r="F1002" t="str">
            <v>Ленинградская</v>
          </cell>
          <cell r="G1002">
            <v>0.66009259259259256</v>
          </cell>
          <cell r="H1002">
            <v>0.91009259259259256</v>
          </cell>
          <cell r="I1002" t="str">
            <v>ОК</v>
          </cell>
          <cell r="J1002" t="str">
            <v>ОК</v>
          </cell>
        </row>
        <row r="1003">
          <cell r="B1003" t="str">
            <v>В-06920/КЛ.Транш - 1</v>
          </cell>
          <cell r="C1003" t="str">
            <v>РОССИЯ, 197349, Санкт-Петербург г, вн.тер.г. муниципальный округ Озеро Долгое, пр-кт Испытателей, д. 31, к. 1, литера А, кв. 62</v>
          </cell>
          <cell r="D1003" t="str">
            <v>РОССИЯ, 197349, Санкт-Петербург г, Испытателей пр-кт, дом 31, корпус 1, квартира 62</v>
          </cell>
          <cell r="F1003" t="str">
            <v>Москва</v>
          </cell>
          <cell r="G1003">
            <v>0.66009259259259256</v>
          </cell>
          <cell r="H1003">
            <v>0.91009259259259256</v>
          </cell>
          <cell r="I1003" t="str">
            <v>ОК</v>
          </cell>
          <cell r="J1003" t="str">
            <v>ОК</v>
          </cell>
        </row>
        <row r="1004">
          <cell r="B1004" t="str">
            <v>В-06920/КЛ.Транш - 2</v>
          </cell>
          <cell r="C1004" t="str">
            <v>РОССИЯ, 197349, Санкт-Петербург г, вн.тер.г. муниципальный округ Озеро Долгое, пр-кт Испытателей, д. 31, к. 1, литера А, кв. 62</v>
          </cell>
          <cell r="D1004" t="str">
            <v>РОССИЯ, 197349, Санкт-Петербург г, Испытателей пр-кт, дом 31, корпус 1, квартира 62</v>
          </cell>
          <cell r="F1004" t="str">
            <v>Москва</v>
          </cell>
          <cell r="G1004">
            <v>0.66009259259259256</v>
          </cell>
          <cell r="H1004">
            <v>0.91009259259259256</v>
          </cell>
          <cell r="I1004" t="str">
            <v>ОК</v>
          </cell>
          <cell r="J1004" t="str">
            <v>ОК</v>
          </cell>
        </row>
        <row r="1005">
          <cell r="B1005" t="str">
            <v>В-06920/КЛ.Транш - 3</v>
          </cell>
          <cell r="C1005" t="str">
            <v>РОССИЯ, 197349, Санкт-Петербург г, вн.тер.г. муниципальный округ Озеро Долгое, пр-кт Испытателей, д. 31, к. 1, литера А, кв. 62</v>
          </cell>
          <cell r="D1005" t="str">
            <v>РОССИЯ, 197349, Санкт-Петербург г, Испытателей пр-кт, дом 31, корпус 1, квартира 62</v>
          </cell>
          <cell r="F1005" t="str">
            <v>Москва</v>
          </cell>
          <cell r="G1005">
            <v>0.66009259259259256</v>
          </cell>
          <cell r="H1005">
            <v>0.91009259259259256</v>
          </cell>
          <cell r="I1005" t="str">
            <v>ОК</v>
          </cell>
          <cell r="J1005" t="str">
            <v>ОК</v>
          </cell>
        </row>
        <row r="1006">
          <cell r="B1006" t="str">
            <v>В-12113/КЛ.Транш - 1</v>
          </cell>
          <cell r="C1006" t="str">
            <v>РОССИЯ, 190121, Санкт-Петербург г, Галерная ул, дом 32, квартира 10</v>
          </cell>
          <cell r="D1006" t="str">
            <v>РОССИЯ, 190121, Санкт-Петербург г, Галерная ул, дом 32, квартира 10</v>
          </cell>
          <cell r="F1006" t="str">
            <v>Москва</v>
          </cell>
          <cell r="G1006">
            <v>0.66009259259259256</v>
          </cell>
          <cell r="H1006">
            <v>0.91009259259259256</v>
          </cell>
          <cell r="I1006" t="str">
            <v>ОК</v>
          </cell>
          <cell r="J1006" t="str">
            <v>ОК</v>
          </cell>
        </row>
        <row r="1007">
          <cell r="B1007" t="str">
            <v>В-20731/КЛ.Транш - 1</v>
          </cell>
          <cell r="C1007" t="str">
            <v>РОССИЯ, 107065, Москва г, ул Камчатская, д. 2, кв. 105</v>
          </cell>
          <cell r="D1007" t="str">
            <v>РОССИЯ, 107065, Москва г, ул Камчатская, д. 2, к. 1, кв. 105</v>
          </cell>
          <cell r="F1007" t="str">
            <v>Москва</v>
          </cell>
          <cell r="G1007">
            <v>0.66009259259259256</v>
          </cell>
          <cell r="H1007">
            <v>0.91009259259259256</v>
          </cell>
          <cell r="I1007" t="str">
            <v>ОК</v>
          </cell>
          <cell r="J1007" t="str">
            <v>ОК</v>
          </cell>
        </row>
        <row r="1008">
          <cell r="B1008" t="str">
            <v>В-20731/КЛ.Транш - 2</v>
          </cell>
          <cell r="C1008" t="str">
            <v>РОССИЯ, 107065, Москва г, ул Камчатская, д. 2, кв. 105</v>
          </cell>
          <cell r="D1008" t="str">
            <v>РОССИЯ, 107065, Москва г, ул Камчатская, д. 2, к. 1, кв. 105</v>
          </cell>
          <cell r="F1008" t="str">
            <v>Москва</v>
          </cell>
          <cell r="G1008">
            <v>0.66009259259259256</v>
          </cell>
          <cell r="H1008">
            <v>0.91009259259259256</v>
          </cell>
          <cell r="I1008" t="str">
            <v>ОК</v>
          </cell>
          <cell r="J1008" t="str">
            <v>ОК</v>
          </cell>
        </row>
        <row r="1009">
          <cell r="B1009" t="str">
            <v>В-20731/КЛ.Транш - 3</v>
          </cell>
          <cell r="C1009" t="str">
            <v>РОССИЯ, 107065, Москва г, ул Камчатская, д. 2, кв. 105</v>
          </cell>
          <cell r="D1009" t="str">
            <v>РОССИЯ, 107065, Москва г, ул Камчатская, д. 2, к. 1, кв. 105</v>
          </cell>
          <cell r="F1009" t="str">
            <v>Москва</v>
          </cell>
          <cell r="G1009">
            <v>0.66009259259259256</v>
          </cell>
          <cell r="H1009">
            <v>0.91009259259259256</v>
          </cell>
          <cell r="I1009" t="str">
            <v>ОК</v>
          </cell>
          <cell r="J1009" t="str">
            <v>ОК</v>
          </cell>
        </row>
        <row r="1010">
          <cell r="B1010" t="str">
            <v>В-20731/КЛ.Транш - 4</v>
          </cell>
          <cell r="C1010" t="str">
            <v>РОССИЯ, 107065, Москва г, ул Камчатская, д. 2, кв. 105</v>
          </cell>
          <cell r="D1010" t="str">
            <v>РОССИЯ, 107065, Москва г, ул Камчатская, д. 2, к. 1, кв. 105</v>
          </cell>
          <cell r="F1010" t="str">
            <v>Москва</v>
          </cell>
          <cell r="G1010">
            <v>0.66009259259259256</v>
          </cell>
          <cell r="H1010">
            <v>0.91009259259259256</v>
          </cell>
          <cell r="I1010" t="str">
            <v>ОК</v>
          </cell>
          <cell r="J1010" t="str">
            <v>ОК</v>
          </cell>
        </row>
        <row r="1011">
          <cell r="B1011" t="str">
            <v>В-20731/КЛ.Транш - 5</v>
          </cell>
          <cell r="C1011" t="str">
            <v>РОССИЯ, 107065, Москва г, ул Камчатская, д. 2, кв. 105</v>
          </cell>
          <cell r="D1011" t="str">
            <v>РОССИЯ, 107065, Москва г, ул Камчатская, д. 2, к. 1, кв. 105</v>
          </cell>
          <cell r="F1011" t="str">
            <v>Москва</v>
          </cell>
          <cell r="G1011">
            <v>0.66009259259259256</v>
          </cell>
          <cell r="H1011">
            <v>0.91009259259259256</v>
          </cell>
          <cell r="I1011" t="str">
            <v>ОК</v>
          </cell>
          <cell r="J1011" t="str">
            <v>ОК</v>
          </cell>
        </row>
        <row r="1012">
          <cell r="B1012" t="str">
            <v>В-12163/КЛ.Транш - 1</v>
          </cell>
          <cell r="C1012" t="str">
            <v>РОССИЯ, 308009, Белгородская обл, Белгород г, Свято-Троицкий б-р, дом 11, квартира 94</v>
          </cell>
          <cell r="D1012" t="str">
            <v>РОССИЯ, 308009, Белгородская обл, Белгород г, Свято-Троицкий б-р, дом 11, квартира 94</v>
          </cell>
          <cell r="F1012" t="str">
            <v>Белгородская</v>
          </cell>
          <cell r="G1012">
            <v>0.66009259259259256</v>
          </cell>
          <cell r="H1012">
            <v>0.91009259259259256</v>
          </cell>
          <cell r="I1012" t="str">
            <v>ОК</v>
          </cell>
          <cell r="J1012" t="str">
            <v>ОК</v>
          </cell>
        </row>
        <row r="1013">
          <cell r="B1013" t="str">
            <v>В-12163/КЛ.Транш - 2</v>
          </cell>
          <cell r="C1013" t="str">
            <v>РОССИЯ, 308009, Белгородская обл, Белгород г, Свято-Троицкий б-р, дом 11, квартира 94</v>
          </cell>
          <cell r="D1013" t="str">
            <v>РОССИЯ, 308009, Белгородская обл, Белгород г, Свято-Троицкий б-р, дом 11, квартира 94</v>
          </cell>
          <cell r="F1013" t="str">
            <v>Белгородская</v>
          </cell>
          <cell r="G1013">
            <v>0.66009259259259256</v>
          </cell>
          <cell r="H1013">
            <v>0.91009259259259256</v>
          </cell>
          <cell r="I1013" t="str">
            <v>ОК</v>
          </cell>
          <cell r="J1013" t="str">
            <v>ОК</v>
          </cell>
        </row>
        <row r="1014">
          <cell r="B1014" t="str">
            <v>В-03460/КЛ.Транш - 1</v>
          </cell>
          <cell r="C1014" t="str">
            <v>РОССИЯ, 143124, Московская обл, Руза г., Брикет п, Н.Кузьминова ул, дом 27, квартира 6</v>
          </cell>
          <cell r="D1014" t="str">
            <v>РОССИЯ, 143124, Московская обл, Руза г., Брикет п, Н.Кузьминова ул, дом 27, квартира 6</v>
          </cell>
          <cell r="F1014" t="str">
            <v>Московская</v>
          </cell>
          <cell r="G1014">
            <v>0.66009259259259256</v>
          </cell>
          <cell r="H1014">
            <v>0.91009259259259256</v>
          </cell>
          <cell r="I1014" t="str">
            <v>ОК</v>
          </cell>
          <cell r="J1014" t="str">
            <v>ОК</v>
          </cell>
        </row>
        <row r="1015">
          <cell r="B1015" t="str">
            <v>А-05387/АЗ</v>
          </cell>
          <cell r="C1015" t="str">
            <v>РОССИЯ, 199178, Санкт-Петербург г, Камская ул, дом 10, квартира 101</v>
          </cell>
          <cell r="D1015" t="str">
            <v>РОССИЯ, 199178, Санкт-Петербург г, Камская ул, дом 10, квартира 101</v>
          </cell>
          <cell r="F1015" t="str">
            <v>Москва</v>
          </cell>
          <cell r="G1015">
            <v>0.66009259259259256</v>
          </cell>
          <cell r="H1015">
            <v>0.91009259259259256</v>
          </cell>
          <cell r="I1015" t="str">
            <v>ОК</v>
          </cell>
          <cell r="J1015" t="str">
            <v>ОК</v>
          </cell>
        </row>
        <row r="1016">
          <cell r="B1016" t="str">
            <v>В-01210/АЗ</v>
          </cell>
          <cell r="C1016" t="str">
            <v>РОССИЯ, 141044, Московская обл, г Мытищи, д Грибки, ул Новопоселковая, д. 2</v>
          </cell>
          <cell r="D1016" t="str">
            <v>РОССИЯ, 141044, Московская обл, г Мытищи, д Грибки, ул Новопоселковая, д. 2</v>
          </cell>
          <cell r="F1016" t="str">
            <v>Московская</v>
          </cell>
          <cell r="G1016">
            <v>0.66009259259259256</v>
          </cell>
          <cell r="H1016">
            <v>0.91009259259259256</v>
          </cell>
          <cell r="I1016" t="str">
            <v>ОК</v>
          </cell>
          <cell r="J1016" t="str">
            <v>ОК</v>
          </cell>
        </row>
        <row r="1017">
          <cell r="B1017" t="str">
            <v>В-20384/КЛ.Транш - 1</v>
          </cell>
          <cell r="C1017" t="str">
            <v>РОССИЯ, 344019, Ростовская обл, г Ростов-на-Дону, ул 9-я линия, д. 64а</v>
          </cell>
          <cell r="D1017" t="str">
            <v>РОССИЯ, 344019, Ростовская обл, г Ростов-на-Дону, ул 9-я линия, д. 64а</v>
          </cell>
          <cell r="F1017" t="str">
            <v>Ростовская</v>
          </cell>
          <cell r="G1017">
            <v>0.66009259259259256</v>
          </cell>
          <cell r="H1017">
            <v>0.91009259259259256</v>
          </cell>
          <cell r="I1017" t="str">
            <v>ОК</v>
          </cell>
          <cell r="J1017" t="str">
            <v>ОК</v>
          </cell>
        </row>
        <row r="1018">
          <cell r="B1018" t="str">
            <v>В-08270/КЛ.Транш - 1</v>
          </cell>
          <cell r="C1018" t="str">
            <v>РОССИЯ, 142209, Московская обл, Серпухов г, Космонавтов ул, дом 34/2, квартира 18</v>
          </cell>
          <cell r="D1018" t="str">
            <v>РОССИЯ, 142209, Московская обл, Серпухов г, Космонавтов ул, дом 34/2, квартира 18</v>
          </cell>
          <cell r="F1018" t="str">
            <v>Московская</v>
          </cell>
          <cell r="G1018">
            <v>0.66009259259259256</v>
          </cell>
          <cell r="H1018">
            <v>0.91009259259259256</v>
          </cell>
          <cell r="I1018" t="str">
            <v>ОК</v>
          </cell>
          <cell r="J1018" t="str">
            <v>ОК</v>
          </cell>
        </row>
        <row r="1019">
          <cell r="B1019" t="str">
            <v>В-24366/КЛ.Транш - 1</v>
          </cell>
          <cell r="C1019" t="str">
            <v>РОССИЯ, 364024, Чеченская респ, г Грозный, ул Воронежская, двлд. 161</v>
          </cell>
          <cell r="D1019" t="str">
            <v>РОССИЯ, 400048, Волгоградская обл, г Волгоград, ул Баргузинская, влд. 80</v>
          </cell>
          <cell r="F1019" t="str">
            <v>Волгоградская</v>
          </cell>
          <cell r="G1019">
            <v>0.66009259259259256</v>
          </cell>
          <cell r="H1019">
            <v>0.9517592592592593</v>
          </cell>
          <cell r="I1019" t="str">
            <v>поздно</v>
          </cell>
          <cell r="J1019" t="str">
            <v>ОК</v>
          </cell>
        </row>
        <row r="1020">
          <cell r="B1020" t="str">
            <v>В-11882/КЛ.Транш - 1</v>
          </cell>
          <cell r="C1020" t="str">
            <v>РОССИЯ, 300010, Тульская обл, Тула г, Майская ул, дом 2, квартира 43</v>
          </cell>
          <cell r="D1020" t="str">
            <v>РОССИЯ, 300010, Тульская обл, Тула г, Майская ул, дом 2, квартира 43</v>
          </cell>
          <cell r="F1020" t="str">
            <v>Тульская</v>
          </cell>
          <cell r="G1020">
            <v>0.66009259259259256</v>
          </cell>
          <cell r="H1020">
            <v>0.91009259259259256</v>
          </cell>
          <cell r="I1020" t="str">
            <v>ОК</v>
          </cell>
          <cell r="J1020" t="str">
            <v>ОК</v>
          </cell>
        </row>
        <row r="1021">
          <cell r="B1021" t="str">
            <v>В-11882/КЛ.Транш - 2</v>
          </cell>
          <cell r="C1021" t="str">
            <v>РОССИЯ, 300010, Тульская обл, Тула г, Майская ул, дом 2, квартира 43</v>
          </cell>
          <cell r="D1021" t="str">
            <v>РОССИЯ, 300010, Тульская обл, Тула г, Майская ул, дом 2, квартира 43</v>
          </cell>
          <cell r="F1021" t="str">
            <v>Тульская</v>
          </cell>
          <cell r="G1021">
            <v>0.66009259259259256</v>
          </cell>
          <cell r="H1021">
            <v>0.91009259259259256</v>
          </cell>
          <cell r="I1021" t="str">
            <v>ОК</v>
          </cell>
          <cell r="J1021" t="str">
            <v>ОК</v>
          </cell>
        </row>
        <row r="1022">
          <cell r="B1022" t="str">
            <v>В-11882/КЛ.Транш - 3</v>
          </cell>
          <cell r="C1022" t="str">
            <v>РОССИЯ, 300010, Тульская обл, Тула г, Майская ул, дом 2, квартира 43</v>
          </cell>
          <cell r="D1022" t="str">
            <v>РОССИЯ, 300010, Тульская обл, Тула г, Майская ул, дом 2, квартира 43</v>
          </cell>
          <cell r="F1022" t="str">
            <v>Тульская</v>
          </cell>
          <cell r="G1022">
            <v>0.66009259259259256</v>
          </cell>
          <cell r="H1022">
            <v>0.91009259259259256</v>
          </cell>
          <cell r="I1022" t="str">
            <v>ОК</v>
          </cell>
          <cell r="J1022" t="str">
            <v>ОК</v>
          </cell>
        </row>
        <row r="1023">
          <cell r="B1023" t="str">
            <v>В-23897/КЛ.Транш - 1</v>
          </cell>
          <cell r="C1023" t="str">
            <v>РОССИЯ, 180528, Псковская обл, р-н Псковский, с Карамышево, ул Энергетиков, д. 14</v>
          </cell>
          <cell r="D1023" t="str">
            <v>РОССИЯ, 142181, Московская обл, г Подольск, д Бережки, ул Строителей, д. 27, кв. 1</v>
          </cell>
          <cell r="F1023" t="str">
            <v>Московская</v>
          </cell>
          <cell r="G1023">
            <v>0.66009259259259256</v>
          </cell>
          <cell r="H1023">
            <v>0.91009259259259256</v>
          </cell>
          <cell r="I1023" t="str">
            <v>ОК</v>
          </cell>
          <cell r="J1023" t="str">
            <v>ОК</v>
          </cell>
        </row>
        <row r="1024">
          <cell r="B1024" t="str">
            <v>В-26742/КЛ.Транш - 1</v>
          </cell>
          <cell r="C1024" t="str">
            <v>РОССИЯ, 125222, Москва г, Волоцкой пер., дом 13, корпус 2, квартира 112</v>
          </cell>
          <cell r="D1024" t="str">
            <v>РОССИЯ, 125222, Москва г, Волоцкой пер., дом 13, корпус 2, квартира 112</v>
          </cell>
          <cell r="F1024" t="str">
            <v>Москва</v>
          </cell>
          <cell r="G1024">
            <v>0.66009259259259256</v>
          </cell>
          <cell r="H1024">
            <v>0.91009259259259256</v>
          </cell>
          <cell r="I1024" t="str">
            <v>ОК</v>
          </cell>
          <cell r="J1024" t="str">
            <v>ОК</v>
          </cell>
        </row>
        <row r="1025">
          <cell r="B1025" t="str">
            <v>В-26742/КЛ.Транш - 2</v>
          </cell>
          <cell r="C1025" t="str">
            <v>РОССИЯ, 125222, Москва г, Волоцкой пер., дом 13, корпус 2, квартира 112</v>
          </cell>
          <cell r="D1025" t="str">
            <v>РОССИЯ, 125222, Москва г, Волоцкой пер., дом 13, корпус 2, квартира 112</v>
          </cell>
          <cell r="F1025" t="str">
            <v>Москва</v>
          </cell>
          <cell r="G1025">
            <v>0.66009259259259256</v>
          </cell>
          <cell r="H1025">
            <v>0.91009259259259256</v>
          </cell>
          <cell r="I1025" t="str">
            <v>ОК</v>
          </cell>
          <cell r="J1025" t="str">
            <v>ОК</v>
          </cell>
        </row>
        <row r="1026">
          <cell r="B1026" t="str">
            <v>А-04827/АЗ</v>
          </cell>
          <cell r="C1026" t="str">
            <v>РОССИЯ, 142050, Московская обл, Городской округ Домодедово, Белые Столбы мкр., Мечты ул, дом № 26, корпус 1, квартира 11</v>
          </cell>
          <cell r="D1026" t="str">
            <v>РОССИЯ, 142064, Московская обл, Городской округ Домодедово, Ильинское с, Бригадная ул, дом № 109, квартира 44</v>
          </cell>
          <cell r="F1026" t="str">
            <v>Московская</v>
          </cell>
          <cell r="G1026">
            <v>0.66009259259259256</v>
          </cell>
          <cell r="H1026">
            <v>0.91009259259259256</v>
          </cell>
          <cell r="I1026" t="str">
            <v>ОК</v>
          </cell>
          <cell r="J1026" t="str">
            <v>ОК</v>
          </cell>
        </row>
        <row r="1027">
          <cell r="B1027" t="str">
            <v>В-15451/КЛ.Транш - 1</v>
          </cell>
          <cell r="C1027" t="str">
            <v>РОССИЯ, 142600, Московская обл, городской округ Орехово-Зуевский, Мадонская ул, дом 10, квартира 138</v>
          </cell>
          <cell r="D1027" t="str">
            <v>РОССИЯ, 142602, Московская обл, городской округ Орехово-Зуевский, Иванова ул, дом 1, квартира 140</v>
          </cell>
          <cell r="F1027" t="str">
            <v>Московская</v>
          </cell>
          <cell r="G1027">
            <v>0.66009259259259256</v>
          </cell>
          <cell r="H1027">
            <v>0.91009259259259256</v>
          </cell>
          <cell r="I1027" t="str">
            <v>ОК</v>
          </cell>
          <cell r="J1027" t="str">
            <v>ОК</v>
          </cell>
        </row>
        <row r="1028">
          <cell r="B1028" t="str">
            <v>В-21933/КЛ.Транш - 1</v>
          </cell>
          <cell r="C1028" t="str">
            <v>РОССИЯ, 356220, Ставропольский край, р-н Шпаковский, х Ташла, ул Центральная, двлд. 89</v>
          </cell>
          <cell r="D1028" t="str">
            <v>РОССИЯ, 355013, Ставропольский край, г Ставрополь, ул Чехова, д. 120, кв. 5</v>
          </cell>
          <cell r="F1028" t="str">
            <v>Ставропольский</v>
          </cell>
          <cell r="G1028">
            <v>0.66009259259259256</v>
          </cell>
          <cell r="H1028">
            <v>0.91009259259259256</v>
          </cell>
          <cell r="I1028" t="str">
            <v>ОК</v>
          </cell>
          <cell r="J1028" t="str">
            <v>ОК</v>
          </cell>
        </row>
        <row r="1029">
          <cell r="B1029" t="str">
            <v>В-19791/КЛ.Транш - 1_В-20211230/Ц</v>
          </cell>
          <cell r="C1029" t="str">
            <v>РОССИЯ, 299014, Севастополь г, ш Фиолентовское, д. 118-Б</v>
          </cell>
          <cell r="D1029" t="str">
            <v>РОССИЯ, 299007, Севастополь г, ул Гоголя, д. 47, кв. 37</v>
          </cell>
          <cell r="F1029" t="str">
            <v>Москва</v>
          </cell>
          <cell r="G1029">
            <v>0.66009259259259256</v>
          </cell>
          <cell r="H1029">
            <v>0.91009259259259256</v>
          </cell>
          <cell r="I1029" t="str">
            <v>ОК</v>
          </cell>
          <cell r="J1029" t="str">
            <v>ОК</v>
          </cell>
        </row>
        <row r="1030">
          <cell r="B1030" t="str">
            <v>В-00103/КЛ.Транш - 1_В-20211230/Ц</v>
          </cell>
          <cell r="C1030" t="str">
            <v>РОССИЯ, 111020, Москва г, Ухтомская ул, дом 20, квартира 10</v>
          </cell>
          <cell r="D1030" t="str">
            <v>РОССИЯ, 111020, Москва г, Ухтомская ул, дом 20, квартира 10</v>
          </cell>
          <cell r="F1030" t="str">
            <v>Москва</v>
          </cell>
          <cell r="G1030">
            <v>0.66009259259259256</v>
          </cell>
          <cell r="H1030">
            <v>0.91009259259259256</v>
          </cell>
          <cell r="I1030" t="str">
            <v>ОК</v>
          </cell>
          <cell r="J1030" t="str">
            <v>ОК</v>
          </cell>
        </row>
        <row r="1031">
          <cell r="B1031" t="str">
            <v>А-00395/КЭ.Транш - 2</v>
          </cell>
          <cell r="C1031" t="str">
            <v>115583, Москва г, Елецкая ул, дом № 19, корпус 2, офис 126</v>
          </cell>
          <cell r="F1031" t="str">
            <v>Москва</v>
          </cell>
          <cell r="G1031">
            <v>0.66009259259259256</v>
          </cell>
          <cell r="H1031">
            <v>0.91009259259259256</v>
          </cell>
          <cell r="I1031" t="str">
            <v>ОК</v>
          </cell>
          <cell r="J1031" t="str">
            <v>ОК</v>
          </cell>
        </row>
        <row r="1032">
          <cell r="B1032" t="str">
            <v>А-00395/КЭ.Транш - 3</v>
          </cell>
          <cell r="C1032" t="str">
            <v>115583, Москва г, Елецкая ул, дом № 19, корпус 2, офис 126</v>
          </cell>
          <cell r="F1032" t="str">
            <v>Москва</v>
          </cell>
          <cell r="G1032">
            <v>0.66009259259259256</v>
          </cell>
          <cell r="H1032">
            <v>0.91009259259259256</v>
          </cell>
          <cell r="I1032" t="str">
            <v>ОК</v>
          </cell>
          <cell r="J1032" t="str">
            <v>ОК</v>
          </cell>
        </row>
        <row r="1033">
          <cell r="B1033" t="str">
            <v>В-04536/КЛ.Транш - 3</v>
          </cell>
          <cell r="C1033" t="str">
            <v>РОССИЯ, 188360, Ленинградская обл, Гатчинский р-н, Войсковицы д, пл. Манина, дом № 10, квартира 42</v>
          </cell>
          <cell r="D1033" t="str">
            <v>РОССИЯ, 188360, Ленинградская обл, Гатчинский р-н, Тяглино д, пл. Манина, дом № 28а, квартира 42</v>
          </cell>
          <cell r="F1033" t="str">
            <v>Ленинградская</v>
          </cell>
          <cell r="G1033">
            <v>0.66009259259259256</v>
          </cell>
          <cell r="H1033">
            <v>0.91009259259259256</v>
          </cell>
          <cell r="I1033" t="str">
            <v>ОК</v>
          </cell>
          <cell r="J1033" t="str">
            <v>ОК</v>
          </cell>
        </row>
        <row r="1034">
          <cell r="B1034" t="str">
            <v>В-04536/КЛ.Транш - 4</v>
          </cell>
          <cell r="C1034" t="str">
            <v>РОССИЯ, 188360, Ленинградская обл, Гатчинский р-н, Войсковицы д, пл. Манина, дом № 10, квартира 42</v>
          </cell>
          <cell r="D1034" t="str">
            <v>РОССИЯ, 188360, Ленинградская обл, Гатчинский р-н, Тяглино д, пл. Манина, дом № 28а, квартира 42</v>
          </cell>
          <cell r="F1034" t="str">
            <v>Ленинградская</v>
          </cell>
          <cell r="G1034">
            <v>0.66009259259259256</v>
          </cell>
          <cell r="H1034">
            <v>0.91009259259259256</v>
          </cell>
          <cell r="I1034" t="str">
            <v>ОК</v>
          </cell>
          <cell r="J1034" t="str">
            <v>ОК</v>
          </cell>
        </row>
        <row r="1035">
          <cell r="B1035" t="str">
            <v>В-20200/КЛ.Транш - 1</v>
          </cell>
          <cell r="C1035" t="str">
            <v>РОССИЯ, 357502, Ставропольский край, г Пятигорск, ул Нежнова, д. 21, к. 4, кв. 17</v>
          </cell>
          <cell r="D1035" t="str">
            <v>РОССИЯ, 357538, Ставропольский край, г Пятигорск, ул Матвеева, д. 144</v>
          </cell>
          <cell r="F1035" t="str">
            <v>Ставропольский</v>
          </cell>
          <cell r="G1035">
            <v>0.66009259259259256</v>
          </cell>
          <cell r="H1035">
            <v>0.91009259259259256</v>
          </cell>
          <cell r="I1035" t="str">
            <v>ОК</v>
          </cell>
          <cell r="J1035" t="str">
            <v>ОК</v>
          </cell>
        </row>
        <row r="1036">
          <cell r="B1036" t="str">
            <v>В-20200/КЛ.Транш - 2</v>
          </cell>
          <cell r="C1036" t="str">
            <v>РОССИЯ, 357502, Ставропольский край, г Пятигорск, ул Нежнова, д. 21, к. 4, кв. 17</v>
          </cell>
          <cell r="D1036" t="str">
            <v>РОССИЯ, 357538, Ставропольский край, г Пятигорск, ул Матвеева, д. 144</v>
          </cell>
          <cell r="F1036" t="str">
            <v>Ставропольский</v>
          </cell>
          <cell r="G1036">
            <v>0.66009259259259256</v>
          </cell>
          <cell r="H1036">
            <v>0.91009259259259256</v>
          </cell>
          <cell r="I1036" t="str">
            <v>ОК</v>
          </cell>
          <cell r="J1036" t="str">
            <v>ОК</v>
          </cell>
        </row>
        <row r="1037">
          <cell r="B1037" t="str">
            <v>В-17724/КЛ.Транш - 1_В-20211230/Ц</v>
          </cell>
          <cell r="C1037" t="str">
            <v>РОССИЯ, 186810, Карелия респ, р-н Питкярантский, г Питкяранта, ул Титова, д. 2, кв. 60</v>
          </cell>
          <cell r="D1037" t="str">
            <v>РОССИЯ, 186810, Карелия респ, р-н Питкярантский, г Питкяранта, ул Титова, д. 2, кв. 60</v>
          </cell>
          <cell r="F1037" t="str">
            <v>Карелия</v>
          </cell>
          <cell r="G1037">
            <v>0.66009259259259256</v>
          </cell>
          <cell r="H1037">
            <v>0.91009259259259256</v>
          </cell>
          <cell r="I1037" t="str">
            <v>ОК</v>
          </cell>
          <cell r="J1037" t="str">
            <v>ОК</v>
          </cell>
        </row>
        <row r="1038">
          <cell r="B1038" t="str">
            <v>В-23930/АЗ</v>
          </cell>
          <cell r="C1038" t="str">
            <v>РОССИЯ, 115598, Москва г, ул Липецкая, д. 15, к. 1, кв. 103</v>
          </cell>
          <cell r="D1038" t="str">
            <v>РОССИЯ, 115598, Москва г, ул Липецкая, д. 15, к. 1, кв. 103</v>
          </cell>
          <cell r="F1038" t="str">
            <v>Москва</v>
          </cell>
          <cell r="G1038">
            <v>0.66009259259259256</v>
          </cell>
          <cell r="H1038">
            <v>0.91009259259259256</v>
          </cell>
          <cell r="I1038" t="str">
            <v>ОК</v>
          </cell>
          <cell r="J1038" t="str">
            <v>ОК</v>
          </cell>
        </row>
        <row r="1039">
          <cell r="B1039" t="str">
            <v>В-13202/КЛ.Транш - 2</v>
          </cell>
          <cell r="C1039" t="str">
            <v>РОССИЯ, 150001, Ярославская обл, Ярославль г, Большая Федоровская ул, домовладение 8, квартира 39</v>
          </cell>
          <cell r="D1039" t="str">
            <v>РОССИЯ, 150001, Ярославская обл, Ярославль г, Большая Федоровская ул, домовладение 8, квартира 39</v>
          </cell>
          <cell r="F1039" t="str">
            <v>Ярославская</v>
          </cell>
          <cell r="G1039">
            <v>0.66009259259259256</v>
          </cell>
          <cell r="H1039">
            <v>0.91009259259259256</v>
          </cell>
          <cell r="I1039" t="str">
            <v>ОК</v>
          </cell>
          <cell r="J1039" t="str">
            <v>ОК</v>
          </cell>
        </row>
        <row r="1040">
          <cell r="B1040" t="str">
            <v>В-13202/КЛ.Транш - 3</v>
          </cell>
          <cell r="C1040" t="str">
            <v>РОССИЯ, 150001, Ярославская обл, Ярославль г, Большая Федоровская ул, домовладение 8, квартира 39</v>
          </cell>
          <cell r="D1040" t="str">
            <v>РОССИЯ, 150001, Ярославская обл, Ярославль г, Большая Федоровская ул, домовладение 8, квартира 39</v>
          </cell>
          <cell r="F1040" t="str">
            <v>Ярославская</v>
          </cell>
          <cell r="G1040">
            <v>0.66009259259259256</v>
          </cell>
          <cell r="H1040">
            <v>0.91009259259259256</v>
          </cell>
          <cell r="I1040" t="str">
            <v>ОК</v>
          </cell>
          <cell r="J1040" t="str">
            <v>ОК</v>
          </cell>
        </row>
        <row r="1041">
          <cell r="B1041" t="str">
            <v>В-10050/КЛ.Транш - 1</v>
          </cell>
          <cell r="C1041" t="str">
            <v>РОССИЯ, 117041, Москва г, Адмирала Лазарева ул, дом 42, корпус 2, квартира 27</v>
          </cell>
          <cell r="D1041" t="str">
            <v>РОССИЯ, 117041, Москва г, Адмирала Лазарева ул, дом 42, корпус 2, квартира 27</v>
          </cell>
          <cell r="F1041" t="str">
            <v>Москва</v>
          </cell>
          <cell r="G1041">
            <v>0.66009259259259256</v>
          </cell>
          <cell r="H1041">
            <v>0.91009259259259256</v>
          </cell>
          <cell r="I1041" t="str">
            <v>ОК</v>
          </cell>
          <cell r="J1041" t="str">
            <v>ОК</v>
          </cell>
        </row>
        <row r="1042">
          <cell r="B1042" t="str">
            <v>В-25217/КЛ.Транш - 1</v>
          </cell>
          <cell r="C1042" t="str">
            <v>РОССИЯ, 659316, Алтайский край, г Бийск, ул Михаила Ломоносова, д. 29, кв. 84</v>
          </cell>
          <cell r="D1042" t="str">
            <v>РОССИЯ, 659316, Алтайский край, г Бийск, ул Михаила Ломоносова, д. 29, кв. 84</v>
          </cell>
          <cell r="F1042" t="str">
            <v>Алтайский</v>
          </cell>
          <cell r="G1042">
            <v>0.66009259259259256</v>
          </cell>
          <cell r="H1042">
            <v>7.6759259259259194E-2</v>
          </cell>
          <cell r="I1042" t="str">
            <v>поздно</v>
          </cell>
          <cell r="J1042" t="str">
            <v>ОК</v>
          </cell>
        </row>
        <row r="1043">
          <cell r="B1043" t="str">
            <v>В-12033/КЛ.Транш - 1</v>
          </cell>
          <cell r="C1043" t="str">
            <v>РОССИЯ, 188640, Ленинградская обл, Всеволожский р-н, Всеволожск г, Константиновская ул, дом 85</v>
          </cell>
          <cell r="D1043" t="str">
            <v>РОССИЯ, 188640, Ленинградская обл, Всеволожский р-н, Всеволожск г, Константиновская ул, дом 85</v>
          </cell>
          <cell r="F1043" t="str">
            <v>Ленинградская</v>
          </cell>
          <cell r="G1043">
            <v>0.66009259259259256</v>
          </cell>
          <cell r="H1043">
            <v>0.91009259259259256</v>
          </cell>
          <cell r="I1043" t="str">
            <v>ОК</v>
          </cell>
          <cell r="J1043" t="str">
            <v>ОК</v>
          </cell>
        </row>
        <row r="1044">
          <cell r="B1044" t="str">
            <v>В-01120/АЗ_А-20210929/Ц</v>
          </cell>
          <cell r="C1044" t="str">
            <v>РОССИЯ, 623286, Свердловская обл, Ревда г, Российская ул, дом 11, квартира 51</v>
          </cell>
          <cell r="D1044" t="str">
            <v>РОССИЯ, 143006, Московская обл, Одинцово г, Союзная ул, дом 2, квартира 35</v>
          </cell>
          <cell r="F1044" t="str">
            <v>Московская</v>
          </cell>
          <cell r="G1044">
            <v>0.66009259259259256</v>
          </cell>
          <cell r="H1044">
            <v>0.91009259259259256</v>
          </cell>
          <cell r="I1044" t="str">
            <v>ОК</v>
          </cell>
          <cell r="J1044" t="str">
            <v>ОК</v>
          </cell>
        </row>
        <row r="1045">
          <cell r="B1045" t="str">
            <v>В-20855/КЛ.Транш - 1</v>
          </cell>
          <cell r="C1045" t="str">
            <v>РОССИЯ, 143441, Московская обл, г Красногорск, д Путилково, ул Садовая, д. 18, кв. 128</v>
          </cell>
          <cell r="D1045" t="str">
            <v>РОССИЯ, 125222, Москва г, ул Барышиха, д. 8, кв. 35</v>
          </cell>
          <cell r="F1045" t="str">
            <v>Москва</v>
          </cell>
          <cell r="G1045">
            <v>0.66009259259259256</v>
          </cell>
          <cell r="H1045">
            <v>0.91009259259259256</v>
          </cell>
          <cell r="I1045" t="str">
            <v>ОК</v>
          </cell>
          <cell r="J1045" t="str">
            <v>ОК</v>
          </cell>
        </row>
        <row r="1046">
          <cell r="B1046" t="str">
            <v>В-20046/КЛ.Транш - 1</v>
          </cell>
          <cell r="C1046" t="str">
            <v>РОССИЯ, 242731, Брянская обл, р-н Жуковский, п Гостиловка, ул Школьная, д. 8, кв. 13</v>
          </cell>
          <cell r="D1046" t="str">
            <v>РОССИЯ, 242731, Брянская обл, р-н Жуковский, п Гостиловка, ул Школьная, д. 8, кв. 13</v>
          </cell>
          <cell r="F1046" t="str">
            <v>Брянская</v>
          </cell>
          <cell r="G1046">
            <v>0.66009259259259256</v>
          </cell>
          <cell r="H1046">
            <v>0.91009259259259256</v>
          </cell>
          <cell r="I1046" t="str">
            <v>ОК</v>
          </cell>
          <cell r="J1046" t="str">
            <v>ОК</v>
          </cell>
        </row>
        <row r="1047">
          <cell r="B1047" t="str">
            <v>В-18367/КЛ.Транш - 1</v>
          </cell>
          <cell r="C1047" t="str">
            <v>РОССИЯ, 350000, Краснодарский край, г Краснодар, ул им. Ленина, д. 78</v>
          </cell>
          <cell r="D1047" t="str">
            <v>РОССИЯ, 350000, Краснодарский край, г Краснодар, ул им. Ленина, д. 78</v>
          </cell>
          <cell r="F1047" t="str">
            <v>Краснодарский</v>
          </cell>
          <cell r="G1047">
            <v>0.66009259259259256</v>
          </cell>
          <cell r="H1047">
            <v>0.91009259259259256</v>
          </cell>
          <cell r="I1047" t="str">
            <v>ОК</v>
          </cell>
          <cell r="J1047" t="str">
            <v>ОК</v>
          </cell>
        </row>
        <row r="1048">
          <cell r="B1048" t="str">
            <v>В-11967/КЛ.Транш - 1</v>
          </cell>
          <cell r="C1048" t="str">
            <v>РОССИЯ, 152130, Ярославская обл, Ростовский р-н, Деревни с, дом 57, квартира 2</v>
          </cell>
          <cell r="D1048" t="str">
            <v>РОССИЯ, 152130, Ярославская обл, Ростовский р-н, Деревни с, дом 57, квартира 2</v>
          </cell>
          <cell r="F1048" t="str">
            <v>Ярославская</v>
          </cell>
          <cell r="G1048">
            <v>0.66009259259259256</v>
          </cell>
          <cell r="H1048">
            <v>0.91009259259259256</v>
          </cell>
          <cell r="I1048" t="str">
            <v>ОК</v>
          </cell>
          <cell r="J1048" t="str">
            <v>ОК</v>
          </cell>
        </row>
        <row r="1049">
          <cell r="B1049" t="str">
            <v>В-11967/КЛ.Транш - 2</v>
          </cell>
          <cell r="C1049" t="str">
            <v>РОССИЯ, 152130, Ярославская обл, Ростовский р-н, Деревни с, дом 57, квартира 2</v>
          </cell>
          <cell r="D1049" t="str">
            <v>РОССИЯ, 152130, Ярославская обл, Ростовский р-н, Деревни с, дом 57, квартира 2</v>
          </cell>
          <cell r="F1049" t="str">
            <v>Ярославская</v>
          </cell>
          <cell r="G1049">
            <v>0.66009259259259256</v>
          </cell>
          <cell r="H1049">
            <v>0.91009259259259256</v>
          </cell>
          <cell r="I1049" t="str">
            <v>ОК</v>
          </cell>
          <cell r="J1049" t="str">
            <v>ОК</v>
          </cell>
        </row>
        <row r="1050">
          <cell r="B1050" t="str">
            <v>Т-01753/АЗ</v>
          </cell>
          <cell r="C1050" t="str">
            <v>РОССИЯ, 115597, Москва г, Ясеневая ул, дом № 39, корпус 1, квартира 148</v>
          </cell>
          <cell r="D1050" t="str">
            <v>РОССИЯ, 115597, Москва г, Ясеневая ул, дом № 39, корпус 1, квартира 148</v>
          </cell>
          <cell r="F1050" t="str">
            <v>Москва</v>
          </cell>
          <cell r="G1050">
            <v>0.66009259259259256</v>
          </cell>
          <cell r="H1050">
            <v>0.91009259259259256</v>
          </cell>
          <cell r="I1050" t="str">
            <v>ОК</v>
          </cell>
          <cell r="J1050" t="str">
            <v>ОК</v>
          </cell>
        </row>
        <row r="1051">
          <cell r="B1051" t="str">
            <v>В-28436/АЗ</v>
          </cell>
          <cell r="C1051" t="str">
            <v>РОССИЯ, 344015, Ростовская обл, г Ростов-на-Дону, ул Зорге, д. 27/4, кв. 59</v>
          </cell>
          <cell r="D1051" t="str">
            <v>РОССИЯ, 344020, Ростовская обл, г.о. город Ростов-на-Дону, г Ростов-на-Дону, ул Конституционная, д. 63, кв. 64</v>
          </cell>
          <cell r="F1051" t="str">
            <v>Ростовская</v>
          </cell>
          <cell r="G1051">
            <v>0.66009259259259256</v>
          </cell>
          <cell r="H1051">
            <v>0.91009259259259256</v>
          </cell>
          <cell r="I1051" t="str">
            <v>ОК</v>
          </cell>
          <cell r="J1051" t="str">
            <v>ОК</v>
          </cell>
        </row>
        <row r="1052">
          <cell r="B1052" t="str">
            <v>В-13264/КЛ.Транш - 1</v>
          </cell>
          <cell r="C1052" t="str">
            <v>РОССИЯ, 309996, Белгородская обл, Валуйский р-н, Валуйки г, Пушкина ул, дом 44</v>
          </cell>
          <cell r="D1052" t="str">
            <v>РОССИЯ, 309996, Белгородская обл, Валуйский р-н, Валуйки г, Пушкина ул, дом 44</v>
          </cell>
          <cell r="F1052" t="str">
            <v>Белгородская</v>
          </cell>
          <cell r="G1052">
            <v>0.66009259259259256</v>
          </cell>
          <cell r="H1052">
            <v>0.91009259259259256</v>
          </cell>
          <cell r="I1052" t="str">
            <v>ОК</v>
          </cell>
          <cell r="J1052" t="str">
            <v>ОК</v>
          </cell>
        </row>
        <row r="1053">
          <cell r="B1053" t="str">
            <v>В-13264/КЛ.Транш - 2</v>
          </cell>
          <cell r="C1053" t="str">
            <v>РОССИЯ, 309996, Белгородская обл, Валуйский р-н, Валуйки г, Пушкина ул, дом 44</v>
          </cell>
          <cell r="D1053" t="str">
            <v>РОССИЯ, 309996, Белгородская обл, Валуйский р-н, Валуйки г, Пушкина ул, дом 44</v>
          </cell>
          <cell r="F1053" t="str">
            <v>Белгородская</v>
          </cell>
          <cell r="G1053">
            <v>0.66009259259259256</v>
          </cell>
          <cell r="H1053">
            <v>0.91009259259259256</v>
          </cell>
          <cell r="I1053" t="str">
            <v>ОК</v>
          </cell>
          <cell r="J1053" t="str">
            <v>ОК</v>
          </cell>
        </row>
        <row r="1054">
          <cell r="B1054" t="str">
            <v>В-13264/КЛ.Транш - 3</v>
          </cell>
          <cell r="C1054" t="str">
            <v>РОССИЯ, 309996, Белгородская обл, Валуйский р-н, Валуйки г, Пушкина ул, дом 44</v>
          </cell>
          <cell r="D1054" t="str">
            <v>РОССИЯ, 309996, Белгородская обл, Валуйский р-н, Валуйки г, Пушкина ул, дом 44</v>
          </cell>
          <cell r="F1054" t="str">
            <v>Белгородская</v>
          </cell>
          <cell r="G1054">
            <v>0.66009259259259256</v>
          </cell>
          <cell r="H1054">
            <v>0.91009259259259256</v>
          </cell>
          <cell r="I1054" t="str">
            <v>ОК</v>
          </cell>
          <cell r="J1054" t="str">
            <v>ОК</v>
          </cell>
        </row>
        <row r="1055">
          <cell r="B1055" t="str">
            <v>В-12098/КЛ.Транш - 1</v>
          </cell>
          <cell r="C1055" t="str">
            <v>РОССИЯ, 141875, Московская обл, г Дмитров, рп Некрасовский, мкр Трудовая, д. 30, кв. 1</v>
          </cell>
          <cell r="D1055" t="str">
            <v>РОССИЯ, 141865, Московская обл, Дмитров г, Некрасовский рп, Трудовая мкр, дом 30, квартира 1</v>
          </cell>
          <cell r="F1055" t="str">
            <v>Московская</v>
          </cell>
          <cell r="G1055">
            <v>0.66009259259259256</v>
          </cell>
          <cell r="H1055">
            <v>0.91009259259259256</v>
          </cell>
          <cell r="I1055" t="str">
            <v>ОК</v>
          </cell>
          <cell r="J1055" t="str">
            <v>ОК</v>
          </cell>
        </row>
        <row r="1056">
          <cell r="B1056" t="str">
            <v>В-12098/КЛ.Транш - 2</v>
          </cell>
          <cell r="C1056" t="str">
            <v>РОССИЯ, 141875, Московская обл, г Дмитров, рп Некрасовский, мкр Трудовая, д. 30, кв. 1</v>
          </cell>
          <cell r="D1056" t="str">
            <v>РОССИЯ, 141865, Московская обл, Дмитров г, Некрасовский рп, Трудовая мкр, дом 30, квартира 1</v>
          </cell>
          <cell r="F1056" t="str">
            <v>Московская</v>
          </cell>
          <cell r="G1056">
            <v>0.66009259259259256</v>
          </cell>
          <cell r="H1056">
            <v>0.91009259259259256</v>
          </cell>
          <cell r="I1056" t="str">
            <v>ОК</v>
          </cell>
          <cell r="J1056" t="str">
            <v>ОК</v>
          </cell>
        </row>
        <row r="1057">
          <cell r="B1057" t="str">
            <v>В-26664/КЛ.Транш - 1</v>
          </cell>
          <cell r="C1057" t="str">
            <v>РОССИЯ, 423802, Татарстан респ, г Набережные Челны, наб Комсомольская, д. 40, кв. 14</v>
          </cell>
          <cell r="D1057" t="str">
            <v>РОССИЯ, 423802, Татарстан респ, г Набережные Челны, наб Комсомольская, д. 40, кв. 14</v>
          </cell>
          <cell r="F1057" t="str">
            <v>Татарстан</v>
          </cell>
          <cell r="G1057">
            <v>0.66009259259259256</v>
          </cell>
          <cell r="H1057">
            <v>0.91009259259259256</v>
          </cell>
          <cell r="I1057" t="str">
            <v>ОК</v>
          </cell>
          <cell r="J1057" t="str">
            <v>ОК</v>
          </cell>
        </row>
        <row r="1058">
          <cell r="B1058" t="str">
            <v>В-27287/КЛ.Транш - 1</v>
          </cell>
          <cell r="C1058" t="str">
            <v>РОССИЯ, 140103, Московская обл, г Раменское, ш Донинское, д. 2а, кв. 41</v>
          </cell>
          <cell r="D1058" t="str">
            <v>РОССИЯ, 140103, Московская обл, г Раменское, ш Донинское, д. 2а, кв. 41</v>
          </cell>
          <cell r="F1058" t="str">
            <v>Московская</v>
          </cell>
          <cell r="G1058">
            <v>0.66009259259259256</v>
          </cell>
          <cell r="H1058">
            <v>0.91009259259259256</v>
          </cell>
          <cell r="I1058" t="str">
            <v>ОК</v>
          </cell>
          <cell r="J1058" t="str">
            <v>ОК</v>
          </cell>
        </row>
        <row r="1059">
          <cell r="B1059" t="str">
            <v>В-15085/КЛ.Транш - 1</v>
          </cell>
          <cell r="C1059" t="str">
            <v>РОССИЯ, 127055, Москва г, Внутригородская территория муниципальный округ Тверской, Новослободская ул, дом 50/1, строение 1, квартира 15</v>
          </cell>
          <cell r="D1059" t="str">
            <v>РОССИЯ, 127055, Москва г, Внутригородская территория муниципальный округ Тверской, Новослободская ул, дом 50/1, строение 1, квартира 15</v>
          </cell>
          <cell r="F1059" t="str">
            <v>Москва</v>
          </cell>
          <cell r="G1059">
            <v>0.66009259259259256</v>
          </cell>
          <cell r="H1059">
            <v>0.91009259259259256</v>
          </cell>
          <cell r="I1059" t="str">
            <v>ОК</v>
          </cell>
          <cell r="J1059" t="str">
            <v>ОК</v>
          </cell>
        </row>
        <row r="1060">
          <cell r="B1060" t="str">
            <v>В-01107/АЗ_В-20211230/Ц</v>
          </cell>
          <cell r="C1060" t="str">
            <v>РОССИЯ, 188650, Ленинградская обл, Всеволожский р-н, Сертолово г, Центральная ул, дом 4, корпус 2, квартира 18</v>
          </cell>
          <cell r="D1060" t="str">
            <v>РОССИЯ, 188650, Ленинградская обл, Всеволожский р-н, Сертолово г, Центральная ул, дом 4, корпус 2, квартира 18</v>
          </cell>
          <cell r="F1060" t="str">
            <v>Ленинградская</v>
          </cell>
          <cell r="G1060">
            <v>0.66009259259259256</v>
          </cell>
          <cell r="H1060">
            <v>0.91009259259259256</v>
          </cell>
          <cell r="I1060" t="str">
            <v>ОК</v>
          </cell>
          <cell r="J1060" t="str">
            <v>ОК</v>
          </cell>
        </row>
        <row r="1061">
          <cell r="B1061" t="str">
            <v>В-17171/КЛ.Транш - 2</v>
          </cell>
          <cell r="C1061" t="str">
            <v>РОССИЯ, 624760, Свердловская обл, г Верхняя Салда, ул Калинина, д. 1, кв. 29</v>
          </cell>
          <cell r="D1061" t="str">
            <v>РОССИЯ, 624760, Свердловская обл, г Верхняя Салда, ул Калинина, д. 1, кв. 29</v>
          </cell>
          <cell r="F1061" t="str">
            <v>Свердловская</v>
          </cell>
          <cell r="G1061">
            <v>0.66009259259259256</v>
          </cell>
          <cell r="H1061">
            <v>0.99342592592592593</v>
          </cell>
          <cell r="I1061" t="str">
            <v>поздно</v>
          </cell>
          <cell r="J1061" t="str">
            <v>ОК</v>
          </cell>
        </row>
        <row r="1062">
          <cell r="B1062" t="str">
            <v>В-20381/КЛ.Транш - 1</v>
          </cell>
          <cell r="C1062" t="str">
            <v>РОССИЯ, 188911, Ленинградская обл, р-н Выборгский, п Ермилово, ул Физкультурная, д. 3, кв. 6</v>
          </cell>
          <cell r="D1062" t="str">
            <v>РОССИЯ, 193313, Санкт-Петербург г, вн.тер.г. внутригородская территория муниципальный округ Невский округ, ул Белышева, д. 8, к. 1, кв. 471</v>
          </cell>
          <cell r="F1062" t="str">
            <v>Москва</v>
          </cell>
          <cell r="G1062">
            <v>0.66009259259259256</v>
          </cell>
          <cell r="H1062">
            <v>0.91009259259259256</v>
          </cell>
          <cell r="I1062" t="str">
            <v>ОК</v>
          </cell>
          <cell r="J1062" t="str">
            <v>ОК</v>
          </cell>
        </row>
        <row r="1063">
          <cell r="B1063" t="str">
            <v>В-00011/КЭ.Транш - 1_А-20210929/Ц</v>
          </cell>
          <cell r="C1063" t="str">
            <v>125009, Москва г, Воздвиженка ул, дом 10, офис ОФИС/МЕСТО 347/5</v>
          </cell>
          <cell r="F1063" t="str">
            <v>Москва</v>
          </cell>
          <cell r="G1063">
            <v>0.66009259259259256</v>
          </cell>
          <cell r="H1063">
            <v>0.91009259259259256</v>
          </cell>
          <cell r="I1063" t="str">
            <v>ОК</v>
          </cell>
          <cell r="J1063" t="str">
            <v>ОК</v>
          </cell>
        </row>
        <row r="1064">
          <cell r="B1064" t="str">
            <v>В-26761/АЗ</v>
          </cell>
          <cell r="C1064" t="str">
            <v>РОССИЯ, 117208, Москва г, проезд Сумской, д. 4, к. 1, кв. 9</v>
          </cell>
          <cell r="D1064" t="str">
            <v>РОССИЯ, 117208, Москва г, проезд Сумской, д. 4, к. 1, кв. 9</v>
          </cell>
          <cell r="F1064" t="str">
            <v>Москва</v>
          </cell>
          <cell r="G1064">
            <v>0.66009259259259256</v>
          </cell>
          <cell r="H1064">
            <v>0.91009259259259256</v>
          </cell>
          <cell r="I1064" t="str">
            <v>ОК</v>
          </cell>
          <cell r="J1064" t="str">
            <v>ОК</v>
          </cell>
        </row>
        <row r="1065">
          <cell r="B1065" t="str">
            <v>В-26233/КЛ.Транш - 1</v>
          </cell>
          <cell r="C1065" t="str">
            <v>РОССИЯ, 644112, Омская обл, г Омск, ул Б.Г.Шаронова, д. 19, кв. 74</v>
          </cell>
          <cell r="D1065" t="str">
            <v>РОССИЯ, 143405, Московская обл, г Красногорск, ул Авангардная, д. 3, кв. 207</v>
          </cell>
          <cell r="F1065" t="str">
            <v>Московская</v>
          </cell>
          <cell r="G1065">
            <v>0.66009259259259256</v>
          </cell>
          <cell r="H1065">
            <v>0.91009259259259256</v>
          </cell>
          <cell r="I1065" t="str">
            <v>ОК</v>
          </cell>
          <cell r="J1065" t="str">
            <v>ОК</v>
          </cell>
        </row>
        <row r="1066">
          <cell r="B1066" t="str">
            <v>В-14310/КЛ.Транш - 1_В-20211230/Ц</v>
          </cell>
          <cell r="C1066" t="str">
            <v>РОССИЯ, 652210, Кемеровская область - Кузбасс, Тисульский р-н, Тисуль пгт, Леонова ул, дом 8, квартира 2</v>
          </cell>
          <cell r="D1066" t="str">
            <v>РОССИЯ, 652210, Кемеровская область - Кузбасс, Тисульский р-н, Тисуль пгт, Леонова ул, дом 8, квартира 2</v>
          </cell>
          <cell r="F1066" t="str">
            <v>Кемеровская</v>
          </cell>
          <cell r="G1066">
            <v>0.66009259259259256</v>
          </cell>
          <cell r="H1066">
            <v>7.6759259259259194E-2</v>
          </cell>
          <cell r="I1066" t="str">
            <v>поздно</v>
          </cell>
          <cell r="J1066" t="str">
            <v>ОК</v>
          </cell>
        </row>
        <row r="1067">
          <cell r="B1067" t="str">
            <v>В-00044/КЛ.Транш - 1</v>
          </cell>
          <cell r="C1067" t="str">
            <v>РОССИЯ, 394004, Воронежская обл, Воронеж г, Ленинский пр-кт, дом 39, квартира 190</v>
          </cell>
          <cell r="D1067" t="str">
            <v>РОССИЯ, 117461, Москва г, Каховка ул, дом 18, корпус 1, квартира 197</v>
          </cell>
          <cell r="F1067" t="str">
            <v>Москва</v>
          </cell>
          <cell r="G1067">
            <v>0.66009259259259256</v>
          </cell>
          <cell r="H1067">
            <v>0.91009259259259256</v>
          </cell>
          <cell r="I1067" t="str">
            <v>ОК</v>
          </cell>
          <cell r="J1067" t="str">
            <v>ОК</v>
          </cell>
        </row>
        <row r="1068">
          <cell r="B1068" t="str">
            <v>В-11277/КЛ.Транш - 1</v>
          </cell>
          <cell r="C1068" t="str">
            <v>РОССИЯ, 142121, Московская обл, Подольск г, 43-й Армии ул, дом 5, квартира 27</v>
          </cell>
          <cell r="D1068" t="str">
            <v>РОССИЯ, 142121, Московская обл, Подольск г, 43-й Армии ул, дом 5, квартира 27</v>
          </cell>
          <cell r="F1068" t="str">
            <v>Московская</v>
          </cell>
          <cell r="G1068">
            <v>0.66009259259259256</v>
          </cell>
          <cell r="H1068">
            <v>0.91009259259259256</v>
          </cell>
          <cell r="I1068" t="str">
            <v>ОК</v>
          </cell>
          <cell r="J1068" t="str">
            <v>ОК</v>
          </cell>
        </row>
        <row r="1069">
          <cell r="B1069" t="str">
            <v>В-11277/КЛ.Транш - 2</v>
          </cell>
          <cell r="C1069" t="str">
            <v>РОССИЯ, 142121, Московская обл, Подольск г, 43-й Армии ул, дом 5, квартира 27</v>
          </cell>
          <cell r="D1069" t="str">
            <v>РОССИЯ, 142121, Московская обл, Подольск г, 43-й Армии ул, дом 5, квартира 27</v>
          </cell>
          <cell r="F1069" t="str">
            <v>Московская</v>
          </cell>
          <cell r="G1069">
            <v>0.66009259259259256</v>
          </cell>
          <cell r="H1069">
            <v>0.91009259259259256</v>
          </cell>
          <cell r="I1069" t="str">
            <v>ОК</v>
          </cell>
          <cell r="J1069" t="str">
            <v>ОК</v>
          </cell>
        </row>
        <row r="1070">
          <cell r="B1070" t="str">
            <v>В-22057/КЛ.Транш - 1</v>
          </cell>
          <cell r="C1070" t="str">
            <v>РОССИЯ, 674670, Забайкальский край, р-н Краснокаменский, д. 410, кв. 169</v>
          </cell>
          <cell r="D1070" t="str">
            <v>РОССИЯ, 672049, Забайкальский край, г Чита, ул Федора Гладкова, д. 14</v>
          </cell>
          <cell r="F1070" t="str">
            <v>Забайкальский</v>
          </cell>
          <cell r="G1070">
            <v>0.66009259259259256</v>
          </cell>
          <cell r="H1070">
            <v>0.16009259259259268</v>
          </cell>
          <cell r="I1070" t="str">
            <v>поздно</v>
          </cell>
          <cell r="J1070" t="str">
            <v>ОК</v>
          </cell>
        </row>
        <row r="1071">
          <cell r="B1071" t="str">
            <v>В-22057/КЛ.Транш - 2</v>
          </cell>
          <cell r="C1071" t="str">
            <v>РОССИЯ, 674670, Забайкальский край, р-н Краснокаменский, д. 410, кв. 169</v>
          </cell>
          <cell r="D1071" t="str">
            <v>РОССИЯ, 672049, Забайкальский край, г Чита, ул Федора Гладкова, д. 14</v>
          </cell>
          <cell r="F1071" t="str">
            <v>Забайкальский</v>
          </cell>
          <cell r="G1071">
            <v>0.66009259259259256</v>
          </cell>
          <cell r="H1071">
            <v>0.16009259259259268</v>
          </cell>
          <cell r="I1071" t="str">
            <v>поздно</v>
          </cell>
          <cell r="J1071" t="str">
            <v>ОК</v>
          </cell>
        </row>
        <row r="1072">
          <cell r="B1072" t="str">
            <v>А-01830/АЗ</v>
          </cell>
          <cell r="C1072" t="str">
            <v>РОССИЯ, 109202, Москва г, Карачаровская 3-я ул, дом № 6, корпус 2, квартира 18</v>
          </cell>
          <cell r="D1072" t="str">
            <v>РОССИЯ, 109202, Москва г, Карачаровская 3-я ул, дом № 6, корпус 2, квартира 18</v>
          </cell>
          <cell r="F1072" t="str">
            <v>Москва</v>
          </cell>
          <cell r="G1072">
            <v>0.66009259259259256</v>
          </cell>
          <cell r="H1072">
            <v>0.91009259259259256</v>
          </cell>
          <cell r="I1072" t="str">
            <v>ОК</v>
          </cell>
          <cell r="J1072" t="str">
            <v>ОК</v>
          </cell>
        </row>
        <row r="1073">
          <cell r="B1073" t="str">
            <v>А-03766/АЗ</v>
          </cell>
          <cell r="C1073" t="str">
            <v>РОССИЯ, 111524, Москва г, Плющева ул, дом № 14, квартира 8</v>
          </cell>
          <cell r="D1073" t="str">
            <v>РОССИЯ, 117461, Москва г, Каховка ул, дом № 37, корпус 1, квартира 148</v>
          </cell>
          <cell r="F1073" t="str">
            <v>Москва</v>
          </cell>
          <cell r="G1073">
            <v>0.66009259259259256</v>
          </cell>
          <cell r="H1073">
            <v>0.91009259259259256</v>
          </cell>
          <cell r="I1073" t="str">
            <v>ОК</v>
          </cell>
          <cell r="J1073" t="str">
            <v>ОК</v>
          </cell>
        </row>
        <row r="1074">
          <cell r="B1074" t="str">
            <v>В-18366/КЛ.Транш - 1_В-20211230/Ц</v>
          </cell>
          <cell r="C1074" t="str">
            <v>РОССИЯ, 175310, Новгородская обл, р-н Демянский, рп Демянск, пер Льнозаводской, д. 2</v>
          </cell>
          <cell r="D1074" t="str">
            <v>РОССИЯ, 175310, Московская обл, г Наро-Фоминск, д Сумино, д. 53</v>
          </cell>
          <cell r="F1074" t="str">
            <v>Московская</v>
          </cell>
          <cell r="G1074">
            <v>0.66009259259259256</v>
          </cell>
          <cell r="H1074">
            <v>0.91009259259259256</v>
          </cell>
          <cell r="I1074" t="str">
            <v>ОК</v>
          </cell>
          <cell r="J1074" t="str">
            <v>ОК</v>
          </cell>
        </row>
        <row r="1075">
          <cell r="B1075" t="str">
            <v>В-24967/АЗ</v>
          </cell>
          <cell r="C1075" t="str">
            <v>РОССИЯ, 634062, Томская обл, г Томск, тракт Иркутский, д. 106, кв. 20</v>
          </cell>
          <cell r="D1075" t="str">
            <v>РОССИЯ, 634062, Томская обл, г Томск, тракт Иркутский, д. 106, кв. 20</v>
          </cell>
          <cell r="F1075" t="str">
            <v>Томская</v>
          </cell>
          <cell r="G1075">
            <v>0.66009259259259256</v>
          </cell>
          <cell r="H1075">
            <v>7.6759259259259194E-2</v>
          </cell>
          <cell r="I1075" t="str">
            <v>поздно</v>
          </cell>
          <cell r="J1075" t="str">
            <v>ОК</v>
          </cell>
        </row>
        <row r="1076">
          <cell r="B1076" t="str">
            <v>В-00036/КЭ.Транш - 2</v>
          </cell>
          <cell r="C1076" t="str">
            <v>127576, Москва г, Алтуфьевское ш, дом 83, офис 96</v>
          </cell>
          <cell r="F1076" t="str">
            <v>Москва</v>
          </cell>
          <cell r="G1076">
            <v>0.66009259259259256</v>
          </cell>
          <cell r="H1076">
            <v>0.91009259259259256</v>
          </cell>
          <cell r="I1076" t="str">
            <v>ОК</v>
          </cell>
          <cell r="J1076" t="str">
            <v>ОК</v>
          </cell>
        </row>
        <row r="1077">
          <cell r="B1077" t="str">
            <v>В-00078/КЭ.Транш - 1</v>
          </cell>
          <cell r="C1077" t="str">
            <v>214510, Смоленская обл, р-н Смоленский, д Богородицкое, ул Пригородная, дом 4</v>
          </cell>
          <cell r="F1077" t="str">
            <v>Москва</v>
          </cell>
          <cell r="G1077">
            <v>0.66009259259259256</v>
          </cell>
          <cell r="H1077">
            <v>0.91009259259259256</v>
          </cell>
          <cell r="I1077" t="str">
            <v>ОК</v>
          </cell>
          <cell r="J1077" t="str">
            <v>ОК</v>
          </cell>
        </row>
        <row r="1078">
          <cell r="B1078" t="str">
            <v>В-22642/КЛ.Транш - 1</v>
          </cell>
          <cell r="C1078" t="str">
            <v>РОССИЯ, 143240, Московская обл, г Можайск, п станции Колочь, д. 40</v>
          </cell>
          <cell r="D1078" t="str">
            <v>РОССИЯ, 143240, Московская обл, г Можайск, п станции Колочь, д. 40</v>
          </cell>
          <cell r="F1078" t="str">
            <v>Московская</v>
          </cell>
          <cell r="G1078">
            <v>0.66009259259259256</v>
          </cell>
          <cell r="H1078">
            <v>0.91009259259259256</v>
          </cell>
          <cell r="I1078" t="str">
            <v>ОК</v>
          </cell>
          <cell r="J1078" t="str">
            <v>ОК</v>
          </cell>
        </row>
        <row r="1079">
          <cell r="B1079" t="str">
            <v>В-23919/КЛ.Транш - 1</v>
          </cell>
          <cell r="C1079" t="str">
            <v>РОССИЯ, 614007, Пермский край, г Пермь, ул Революции, д. 7, кв. 64</v>
          </cell>
          <cell r="D1079" t="str">
            <v>РОССИЯ, 614113, Пермский край, г Пермь, ул Сапфирная, д. 14, кв. 279</v>
          </cell>
          <cell r="F1079" t="str">
            <v>Пермский</v>
          </cell>
          <cell r="G1079">
            <v>0.66009259259259256</v>
          </cell>
          <cell r="H1079">
            <v>0.99342592592592593</v>
          </cell>
          <cell r="I1079" t="str">
            <v>поздно</v>
          </cell>
          <cell r="J1079" t="str">
            <v>ОК</v>
          </cell>
        </row>
        <row r="1080">
          <cell r="B1080" t="str">
            <v>В-26357/АЗ</v>
          </cell>
          <cell r="C1080" t="str">
            <v>РОССИЯ, 109316, Москва г, Мельникова ул, дом № 3, корпус 2, квартира 220</v>
          </cell>
          <cell r="D1080" t="str">
            <v>РОССИЯ, 109316, Москва г, Мельникова ул, дом № 3, корпус 2, квартира 220</v>
          </cell>
          <cell r="F1080" t="str">
            <v>Москва</v>
          </cell>
          <cell r="G1080">
            <v>0.66009259259259256</v>
          </cell>
          <cell r="H1080">
            <v>0.91009259259259256</v>
          </cell>
          <cell r="I1080" t="str">
            <v>ОК</v>
          </cell>
          <cell r="J1080" t="str">
            <v>ОК</v>
          </cell>
        </row>
        <row r="1081">
          <cell r="B1081" t="str">
            <v>В-20546/КЛ.Транш - 1</v>
          </cell>
          <cell r="C1081" t="str">
            <v>РОССИЯ, 398036, Липецкая обл, г Липецк, ул Катукова, д. 38, кв. 46</v>
          </cell>
          <cell r="D1081" t="str">
            <v>РОССИЯ, 398036, Липецкая обл, г Липецк, ул Катукова, д. 38, кв. 46</v>
          </cell>
          <cell r="F1081" t="str">
            <v>Липецкая</v>
          </cell>
          <cell r="G1081">
            <v>0.66009259259259256</v>
          </cell>
          <cell r="H1081">
            <v>0.91009259259259256</v>
          </cell>
          <cell r="I1081" t="str">
            <v>ОК</v>
          </cell>
          <cell r="J1081" t="str">
            <v>ОК</v>
          </cell>
        </row>
        <row r="1082">
          <cell r="B1082" t="str">
            <v>В-26394/АЗ</v>
          </cell>
          <cell r="C1082" t="str">
            <v>РОССИЯ, 109316, Москва г, ул Мельникова, д. 3, к. 2, кв. 220</v>
          </cell>
          <cell r="D1082" t="str">
            <v>РОССИЯ, 109316, Москва г, ул Мельникова, д. 3, к. 2, кв. 220</v>
          </cell>
          <cell r="F1082" t="str">
            <v>Москва</v>
          </cell>
          <cell r="G1082">
            <v>0.66009259259259256</v>
          </cell>
          <cell r="H1082">
            <v>0.91009259259259256</v>
          </cell>
          <cell r="I1082" t="str">
            <v>ОК</v>
          </cell>
          <cell r="J1082" t="str">
            <v>ОК</v>
          </cell>
        </row>
        <row r="1083">
          <cell r="B1083" t="str">
            <v>В-19585/КЛ.Транш - 1</v>
          </cell>
          <cell r="C1083" t="str">
            <v>РОССИЯ, 198323, Санкт-Петербург г, вн.тер.г. муниципальный округ Горелово, тер. Горелово, ул Коммунаров, д. 118, к. 1, литера А, кв. 169</v>
          </cell>
          <cell r="D1083" t="str">
            <v>РОССИЯ, 198323, Санкт-Петербург г, вн.тер.г. муниципальный округ Горелово, тер. Горелово, ул Коммунаров, д. 118, к. 1, литера А, кв. 169</v>
          </cell>
          <cell r="F1083" t="str">
            <v>Москва</v>
          </cell>
          <cell r="G1083">
            <v>0.66009259259259256</v>
          </cell>
          <cell r="H1083">
            <v>0.91009259259259256</v>
          </cell>
          <cell r="I1083" t="str">
            <v>ОК</v>
          </cell>
          <cell r="J1083" t="str">
            <v>ОК</v>
          </cell>
        </row>
        <row r="1084">
          <cell r="B1084" t="str">
            <v>В-08391/КЛ.Транш - 1_В-20211230/Ц</v>
          </cell>
          <cell r="C1084" t="str">
            <v>РОССИЯ, 143180, Московская обл, Звенигород г, Ветеранов проезд, дом 10, корпус 4, квартира 10</v>
          </cell>
          <cell r="D1084" t="str">
            <v>РОССИЯ, 143180, Московская обл, Звенигород г, Ветеранов проезд, дом 10, корпус 4, квартира 10</v>
          </cell>
          <cell r="F1084" t="str">
            <v>Московская</v>
          </cell>
          <cell r="G1084">
            <v>0.66009259259259256</v>
          </cell>
          <cell r="H1084">
            <v>0.91009259259259256</v>
          </cell>
          <cell r="I1084" t="str">
            <v>ОК</v>
          </cell>
          <cell r="J1084" t="str">
            <v>ОК</v>
          </cell>
        </row>
        <row r="1085">
          <cell r="B1085" t="str">
            <v>В-16100/КЛ.Транш - 1</v>
          </cell>
          <cell r="C1085" t="str">
            <v>РОССИЯ, 346254, Ростовская обл, Боковский р-н, Белавин х, Центральная ул, дом 64</v>
          </cell>
          <cell r="D1085" t="str">
            <v>РОССИЯ, 346254, Ростовская обл, Боковский р-н, Белавин х, Центральная ул, дом 64</v>
          </cell>
          <cell r="F1085" t="str">
            <v>Ростовская</v>
          </cell>
          <cell r="G1085">
            <v>0.66009259259259256</v>
          </cell>
          <cell r="H1085">
            <v>0.91009259259259256</v>
          </cell>
          <cell r="I1085" t="str">
            <v>ОК</v>
          </cell>
          <cell r="J1085" t="str">
            <v>ОК</v>
          </cell>
        </row>
        <row r="1086">
          <cell r="B1086" t="str">
            <v>В-14415/КЛ.Транш - 1</v>
          </cell>
          <cell r="C1086" t="str">
            <v>РОССИЯ, 344064, Ростовская обл, Ростов-на-Дону г, 5-я Канатная ул, дом 43</v>
          </cell>
          <cell r="D1086" t="str">
            <v>РОССИЯ, 344064, Ростовская обл, Ростов-на-Дону г, 5-я Канатная ул, дом 43</v>
          </cell>
          <cell r="F1086" t="str">
            <v>Ростовская</v>
          </cell>
          <cell r="G1086">
            <v>0.66009259259259256</v>
          </cell>
          <cell r="H1086">
            <v>0.91009259259259256</v>
          </cell>
          <cell r="I1086" t="str">
            <v>ОК</v>
          </cell>
          <cell r="J1086" t="str">
            <v>ОК</v>
          </cell>
        </row>
        <row r="1087">
          <cell r="B1087" t="str">
            <v>В-23066/КЛ.Транш - 1</v>
          </cell>
          <cell r="C1087" t="str">
            <v>РОССИЯ, 413100, Саратовская обл, г Энгельс, ул Степная, д. 61, кв. 124</v>
          </cell>
          <cell r="D1087" t="str">
            <v>РОССИЯ, 413100, Саратовская обл, г Энгельс, ул Степная, д. 61, кв. 124</v>
          </cell>
          <cell r="F1087" t="str">
            <v>Саратовская</v>
          </cell>
          <cell r="G1087">
            <v>0.66009259259259256</v>
          </cell>
          <cell r="H1087">
            <v>0.91009259259259256</v>
          </cell>
          <cell r="I1087" t="str">
            <v>ОК</v>
          </cell>
          <cell r="J1087" t="str">
            <v>ОК</v>
          </cell>
        </row>
        <row r="1088">
          <cell r="B1088" t="str">
            <v>В-10123/КЛ.Транш - 6_В-20211230/Ц</v>
          </cell>
          <cell r="C1088" t="str">
            <v>РОССИЯ, 607605, Нижегородская обл, Богородский р-н, Богородск г, Туркова ул, дом 14, квартира 14</v>
          </cell>
          <cell r="D1088" t="str">
            <v>РОССИЯ, 350065, Краснодарский край, Краснодар г, им. писателя Знаменского пр-кт, дом 14, квартира 31</v>
          </cell>
          <cell r="F1088" t="str">
            <v>Краснодарский</v>
          </cell>
          <cell r="G1088">
            <v>0.66009259259259256</v>
          </cell>
          <cell r="H1088">
            <v>0.91009259259259256</v>
          </cell>
          <cell r="I1088" t="str">
            <v>ОК</v>
          </cell>
          <cell r="J1088" t="str">
            <v>ОК</v>
          </cell>
        </row>
        <row r="1089">
          <cell r="B1089" t="str">
            <v>В-10123/КЛ.Транш - 8_В-20211230/Ц</v>
          </cell>
          <cell r="C1089" t="str">
            <v>РОССИЯ, 607605, Нижегородская обл, Богородский р-н, Богородск г, Туркова ул, дом 14, квартира 14</v>
          </cell>
          <cell r="D1089" t="str">
            <v>РОССИЯ, 350065, Краснодарский край, Краснодар г, им. писателя Знаменского пр-кт, дом 14, квартира 31</v>
          </cell>
          <cell r="F1089" t="str">
            <v>Краснодарский</v>
          </cell>
          <cell r="G1089">
            <v>0.66009259259259256</v>
          </cell>
          <cell r="H1089">
            <v>0.91009259259259256</v>
          </cell>
          <cell r="I1089" t="str">
            <v>ОК</v>
          </cell>
          <cell r="J1089" t="str">
            <v>ОК</v>
          </cell>
        </row>
        <row r="1090">
          <cell r="B1090" t="str">
            <v>В-10123/КЛ.Транш - 9_В-20211230/Ц</v>
          </cell>
          <cell r="C1090" t="str">
            <v>РОССИЯ, 607605, Нижегородская обл, Богородский р-н, Богородск г, Туркова ул, дом 14, квартира 14</v>
          </cell>
          <cell r="D1090" t="str">
            <v>РОССИЯ, 350065, Краснодарский край, Краснодар г, им. писателя Знаменского пр-кт, дом 14, квартира 31</v>
          </cell>
          <cell r="F1090" t="str">
            <v>Краснодарский</v>
          </cell>
          <cell r="G1090">
            <v>0.66009259259259256</v>
          </cell>
          <cell r="H1090">
            <v>0.91009259259259256</v>
          </cell>
          <cell r="I1090" t="str">
            <v>ОК</v>
          </cell>
          <cell r="J1090" t="str">
            <v>ОК</v>
          </cell>
        </row>
        <row r="1091">
          <cell r="B1091" t="str">
            <v>В-00175/АЗ_Т-20211028/Ц</v>
          </cell>
          <cell r="C1091" t="str">
            <v>РОССИЯ, 302016, Орловская обл, Орёл г, Некрасова ул, дом № 23, квартира 11</v>
          </cell>
          <cell r="D1091" t="str">
            <v>РОССИЯ, 117535, Москва г, Дорожная ул, дом № 7, корпус 3, квартира 20</v>
          </cell>
          <cell r="F1091" t="str">
            <v>Москва</v>
          </cell>
          <cell r="G1091">
            <v>0.66009259259259256</v>
          </cell>
          <cell r="H1091">
            <v>0.91009259259259256</v>
          </cell>
          <cell r="I1091" t="str">
            <v>ОК</v>
          </cell>
          <cell r="J1091" t="str">
            <v>ОК</v>
          </cell>
        </row>
        <row r="1092">
          <cell r="B1092" t="str">
            <v>Т-01230/АЗ</v>
          </cell>
          <cell r="C1092" t="str">
            <v>РОССИЯ, 143005, Московская обл, Одинцовский р-н, Одинцово г, Можайское ш, дом № 122, квартира 672</v>
          </cell>
          <cell r="D1092" t="str">
            <v>РОССИЯ, 121359, Москва г, Маршала Тимошенко ул, дом № 7, квартира 92</v>
          </cell>
          <cell r="F1092" t="str">
            <v>Москва</v>
          </cell>
          <cell r="G1092">
            <v>0.66009259259259256</v>
          </cell>
          <cell r="H1092">
            <v>0.91009259259259256</v>
          </cell>
          <cell r="I1092" t="str">
            <v>ОК</v>
          </cell>
          <cell r="J1092" t="str">
            <v>ОК</v>
          </cell>
        </row>
        <row r="1093">
          <cell r="B1093" t="str">
            <v>В-02961/КЛ.Транш - 1</v>
          </cell>
          <cell r="C1093" t="str">
            <v>РОССИЯ, 115580, Москва г, Мусы Джалиля ул, дом 5, корпус 1, квартира 270</v>
          </cell>
          <cell r="D1093" t="str">
            <v>РОССИЯ, 115580, Москва г, Мусы Джалиля ул, дом 5, корпус 1, квартира 270</v>
          </cell>
          <cell r="F1093" t="str">
            <v>Москва</v>
          </cell>
          <cell r="G1093">
            <v>0.66009259259259256</v>
          </cell>
          <cell r="H1093">
            <v>0.91009259259259256</v>
          </cell>
          <cell r="I1093" t="str">
            <v>ОК</v>
          </cell>
          <cell r="J1093" t="str">
            <v>ОК</v>
          </cell>
        </row>
        <row r="1094">
          <cell r="B1094" t="str">
            <v>В-16037/КЛ.Транш - 1</v>
          </cell>
          <cell r="C1094" t="str">
            <v>РОССИЯ, 188855, Ленинградская обл, р-н Выборгский, п Первомайское, проезд Бельгийский, д. 2, стр. 2</v>
          </cell>
          <cell r="D1094" t="str">
            <v>РОССИЯ, 197350, Санкт-Петербург г, Парашютная ул, дом 58, квартира 534</v>
          </cell>
          <cell r="F1094" t="str">
            <v>Москва</v>
          </cell>
          <cell r="G1094">
            <v>0.66009259259259256</v>
          </cell>
          <cell r="H1094">
            <v>0.91009259259259256</v>
          </cell>
          <cell r="I1094" t="str">
            <v>ОК</v>
          </cell>
          <cell r="J1094" t="str">
            <v>ОК</v>
          </cell>
        </row>
        <row r="1095">
          <cell r="B1095" t="str">
            <v>В-16037/КЛ.Транш - 2</v>
          </cell>
          <cell r="C1095" t="str">
            <v>РОССИЯ, 188855, Ленинградская обл, р-н Выборгский, п Первомайское, проезд Бельгийский, д. 2, стр. 2</v>
          </cell>
          <cell r="D1095" t="str">
            <v>РОССИЯ, 197350, Санкт-Петербург г, Парашютная ул, дом 58, квартира 534</v>
          </cell>
          <cell r="F1095" t="str">
            <v>Москва</v>
          </cell>
          <cell r="G1095">
            <v>0.66009259259259256</v>
          </cell>
          <cell r="H1095">
            <v>0.91009259259259256</v>
          </cell>
          <cell r="I1095" t="str">
            <v>ОК</v>
          </cell>
          <cell r="J1095" t="str">
            <v>ОК</v>
          </cell>
        </row>
        <row r="1096">
          <cell r="B1096" t="str">
            <v>В-12000/КЛ.Транш - 1</v>
          </cell>
          <cell r="C1096" t="str">
            <v>РОССИЯ, 347375, Ростовская обл, Волгодонск г, Ленинградская ул, дом 5, квартира 51</v>
          </cell>
          <cell r="D1096" t="str">
            <v>РОССИЯ, 347375, Ростовская обл, Волгодонск г, Ленинградская ул, дом 5, квартира 51</v>
          </cell>
          <cell r="F1096" t="str">
            <v>Ростовская</v>
          </cell>
          <cell r="G1096">
            <v>0.66009259259259256</v>
          </cell>
          <cell r="H1096">
            <v>0.91009259259259256</v>
          </cell>
          <cell r="I1096" t="str">
            <v>ОК</v>
          </cell>
          <cell r="J1096" t="str">
            <v>ОК</v>
          </cell>
        </row>
        <row r="1097">
          <cell r="B1097" t="str">
            <v>В-16242/КЛ.Транш - 2</v>
          </cell>
          <cell r="C1097" t="str">
            <v>РОССИЯ, 125459, Москва г, Туристская ул, дом 2, корпус 4, квартира 239</v>
          </cell>
          <cell r="D1097" t="str">
            <v>РОССИЯ, 125459, Москва г, Туристская ул, дом 2, корпус 4, квартира 239</v>
          </cell>
          <cell r="F1097" t="str">
            <v>Москва</v>
          </cell>
          <cell r="G1097">
            <v>0.66009259259259256</v>
          </cell>
          <cell r="H1097">
            <v>0.91009259259259256</v>
          </cell>
          <cell r="I1097" t="str">
            <v>ОК</v>
          </cell>
          <cell r="J1097" t="str">
            <v>ОК</v>
          </cell>
        </row>
        <row r="1098">
          <cell r="B1098" t="str">
            <v>В-19025/КЛ.Транш - 1_В-20211230/Ц</v>
          </cell>
          <cell r="C1098" t="str">
            <v>РОССИЯ, 612962, Кировская обл, р-н Вятскополянский, г Вятские Поляны, ул Чехова, д. 69, кв. 1</v>
          </cell>
          <cell r="D1098" t="str">
            <v>РОССИЯ, 612960, Кировская обл, р-н Вятскополянский, г Вятские Поляны, ул Школьная, д. 49, кв. 31</v>
          </cell>
          <cell r="F1098" t="str">
            <v>Кировская</v>
          </cell>
          <cell r="G1098">
            <v>0.66009259259259256</v>
          </cell>
          <cell r="H1098">
            <v>0.91009259259259256</v>
          </cell>
          <cell r="I1098" t="str">
            <v>ОК</v>
          </cell>
          <cell r="J1098" t="str">
            <v>ОК</v>
          </cell>
        </row>
        <row r="1099">
          <cell r="B1099" t="str">
            <v>В-00814/АЗ</v>
          </cell>
          <cell r="C1099" t="str">
            <v>РОССИЯ, 612974, Кировская обл, Вятскополянский р-н, Слудка с, Молодежная ул, дом 3, квартира 2</v>
          </cell>
          <cell r="D1099" t="str">
            <v>РОССИЯ, 187000, Ленинградская обл, Тосненский р-н, Тосно г, Московское ш, дом 2</v>
          </cell>
          <cell r="F1099" t="str">
            <v>Ленинградская</v>
          </cell>
          <cell r="G1099">
            <v>0.66009259259259256</v>
          </cell>
          <cell r="H1099">
            <v>0.91009259259259256</v>
          </cell>
          <cell r="I1099" t="str">
            <v>ОК</v>
          </cell>
          <cell r="J1099" t="str">
            <v>ОК</v>
          </cell>
        </row>
        <row r="1100">
          <cell r="B1100" t="str">
            <v>А-04950/АЗ</v>
          </cell>
          <cell r="C1100" t="str">
            <v>РОССИЯ, 142611, Московская обл, Орехово-Зуево г, Бугрова ул, дом № 28, квартира 16</v>
          </cell>
          <cell r="D1100" t="str">
            <v>РОССИЯ, 142611, Московская обл, Орехово-Зуево г, Бугрова ул, дом № 28, квартира 16</v>
          </cell>
          <cell r="F1100" t="str">
            <v>Московская</v>
          </cell>
          <cell r="G1100">
            <v>0.66009259259259256</v>
          </cell>
          <cell r="H1100">
            <v>0.91009259259259256</v>
          </cell>
          <cell r="I1100" t="str">
            <v>ОК</v>
          </cell>
          <cell r="J1100" t="str">
            <v>ОК</v>
          </cell>
        </row>
        <row r="1101">
          <cell r="B1101" t="str">
            <v>В-14837/КЛ.Транш - 1</v>
          </cell>
          <cell r="C1101" t="str">
            <v>РОССИЯ, 443030, Самарская обл, г Самара, пл Никитинская, д. 66а, кв. 141</v>
          </cell>
          <cell r="D1101" t="str">
            <v>РОССИЯ, 443015, Самарская обл, Самара г, Петра Алабина ул, дом 28, квартира 63</v>
          </cell>
          <cell r="F1101" t="str">
            <v>Самарская</v>
          </cell>
          <cell r="G1101">
            <v>0.66009259259259256</v>
          </cell>
          <cell r="H1101">
            <v>0.9517592592592593</v>
          </cell>
          <cell r="I1101" t="str">
            <v>поздно</v>
          </cell>
          <cell r="J1101" t="str">
            <v>ОК</v>
          </cell>
        </row>
        <row r="1102">
          <cell r="B1102" t="str">
            <v>В-18163/КЛ.Транш - 1</v>
          </cell>
          <cell r="C1102" t="str">
            <v>РОССИЯ, 115547, Москва г, Михневский проезд, дом 8, корпус 1, квартира 75</v>
          </cell>
          <cell r="D1102" t="str">
            <v>РОССИЯ, 127349, Москва г, Алтуфьевское ш, дом 92, квартира 223</v>
          </cell>
          <cell r="F1102" t="str">
            <v>Москва</v>
          </cell>
          <cell r="G1102">
            <v>0.66009259259259256</v>
          </cell>
          <cell r="H1102">
            <v>0.91009259259259256</v>
          </cell>
          <cell r="I1102" t="str">
            <v>ОК</v>
          </cell>
          <cell r="J1102" t="str">
            <v>ОК</v>
          </cell>
        </row>
        <row r="1103">
          <cell r="B1103" t="str">
            <v>В-26170/КЛ.Транш - 1</v>
          </cell>
          <cell r="C1103" t="str">
            <v>РОССИЯ, 368109, Дагестан респ, р-н Кизилюртовский, с Нечаевка, ул М.Меселова, д. 35</v>
          </cell>
          <cell r="D1103" t="str">
            <v>РОССИЯ, 197350, Санкт-Петербург г, пр-кт Комендантский, д. 71, стр. 1, кв. 317</v>
          </cell>
          <cell r="F1103" t="str">
            <v>Москва</v>
          </cell>
          <cell r="G1103">
            <v>0.66009259259259256</v>
          </cell>
          <cell r="H1103">
            <v>0.91009259259259256</v>
          </cell>
          <cell r="I1103" t="str">
            <v>ОК</v>
          </cell>
          <cell r="J1103" t="str">
            <v>ОК</v>
          </cell>
        </row>
        <row r="1104">
          <cell r="B1104" t="str">
            <v>А-04910/АЗ_А-20200626/Ц</v>
          </cell>
          <cell r="C1104" t="str">
            <v>РОССИЯ, 109428, Москва г, Луховицкая ул, дом № 1/55, квартира 5</v>
          </cell>
          <cell r="D1104" t="str">
            <v>РОССИЯ, 109428, Москва г, Луховицкая ул, дом № 1/55, квартира 5</v>
          </cell>
          <cell r="F1104" t="str">
            <v>Москва</v>
          </cell>
          <cell r="G1104">
            <v>0.66009259259259256</v>
          </cell>
          <cell r="H1104">
            <v>0.91009259259259256</v>
          </cell>
          <cell r="I1104" t="str">
            <v>ОК</v>
          </cell>
          <cell r="J1104" t="str">
            <v>ОК</v>
          </cell>
        </row>
        <row r="1105">
          <cell r="B1105" t="str">
            <v>В-13528/КЛ.Транш - 1</v>
          </cell>
          <cell r="C1105" t="str">
            <v>РОССИЯ, 249144, Калужская обл, Перемышльский р-н, Корекозево с, Центральная ул, дом 211</v>
          </cell>
          <cell r="D1105" t="str">
            <v>РОССИЯ, 141212, Московская обл, Пушкино г, Лесные Поляны п, Ленина ул, дом 5, квартира 83</v>
          </cell>
          <cell r="F1105" t="str">
            <v>Московская</v>
          </cell>
          <cell r="G1105">
            <v>0.66009259259259256</v>
          </cell>
          <cell r="H1105">
            <v>0.91009259259259256</v>
          </cell>
          <cell r="I1105" t="str">
            <v>ОК</v>
          </cell>
          <cell r="J1105" t="str">
            <v>ОК</v>
          </cell>
        </row>
        <row r="1106">
          <cell r="B1106" t="str">
            <v>В-13528/КЛ.Транш - 2</v>
          </cell>
          <cell r="C1106" t="str">
            <v>РОССИЯ, 249144, Калужская обл, Перемышльский р-н, Корекозево с, Центральная ул, дом 211</v>
          </cell>
          <cell r="D1106" t="str">
            <v>РОССИЯ, 141212, Московская обл, Пушкино г, Лесные Поляны п, Ленина ул, дом 5, квартира 83</v>
          </cell>
          <cell r="F1106" t="str">
            <v>Московская</v>
          </cell>
          <cell r="G1106">
            <v>0.66009259259259256</v>
          </cell>
          <cell r="H1106">
            <v>0.91009259259259256</v>
          </cell>
          <cell r="I1106" t="str">
            <v>ОК</v>
          </cell>
          <cell r="J1106" t="str">
            <v>ОК</v>
          </cell>
        </row>
        <row r="1107">
          <cell r="B1107" t="str">
            <v>В-13528/КЛ.Транш - 3</v>
          </cell>
          <cell r="C1107" t="str">
            <v>РОССИЯ, 249144, Калужская обл, Перемышльский р-н, Корекозево с, Центральная ул, дом 211</v>
          </cell>
          <cell r="D1107" t="str">
            <v>РОССИЯ, 141212, Московская обл, Пушкино г, Лесные Поляны п, Ленина ул, дом 5, квартира 83</v>
          </cell>
          <cell r="F1107" t="str">
            <v>Московская</v>
          </cell>
          <cell r="G1107">
            <v>0.66009259259259256</v>
          </cell>
          <cell r="H1107">
            <v>0.91009259259259256</v>
          </cell>
          <cell r="I1107" t="str">
            <v>ОК</v>
          </cell>
          <cell r="J1107" t="str">
            <v>ОК</v>
          </cell>
        </row>
        <row r="1108">
          <cell r="B1108" t="str">
            <v>В-01099/АЗ</v>
          </cell>
          <cell r="C1108" t="str">
            <v>РОССИЯ, Московская обл, г Солнечногорск-30, ул Центральная, дом 15, квартира 58</v>
          </cell>
          <cell r="D1108" t="str">
            <v>РОССИЯ, Московская обл, г Солнечногорск-30, ул Центральная, дом 15, квартира 58</v>
          </cell>
          <cell r="F1108" t="str">
            <v>Московская</v>
          </cell>
          <cell r="G1108">
            <v>0.66009259259259256</v>
          </cell>
          <cell r="H1108">
            <v>0.91009259259259256</v>
          </cell>
          <cell r="I1108" t="str">
            <v>ОК</v>
          </cell>
          <cell r="J1108" t="str">
            <v>ОК</v>
          </cell>
        </row>
        <row r="1109">
          <cell r="B1109" t="str">
            <v>В-01109/АЗ</v>
          </cell>
          <cell r="C1109" t="str">
            <v>РОССИЯ, Московская обл, г Солнечногорск-30, ул Центральная, дом 15, квартира 58</v>
          </cell>
          <cell r="D1109" t="str">
            <v>РОССИЯ, Московская обл, г Солнечногорск-30, ул Центральная, дом 15, квартира 58</v>
          </cell>
          <cell r="F1109" t="str">
            <v>Московская</v>
          </cell>
          <cell r="G1109">
            <v>0.66009259259259256</v>
          </cell>
          <cell r="H1109">
            <v>0.91009259259259256</v>
          </cell>
          <cell r="I1109" t="str">
            <v>ОК</v>
          </cell>
          <cell r="J1109" t="str">
            <v>ОК</v>
          </cell>
        </row>
        <row r="1110">
          <cell r="B1110" t="str">
            <v>В-07072/КЛ.Транш - 1</v>
          </cell>
          <cell r="C1110" t="str">
            <v>РОССИЯ, Московская обл, г Старая Купавна, ул Ленина, дом 57, квартира 18</v>
          </cell>
          <cell r="D1110" t="str">
            <v>РОССИЯ, Московская обл, г Старая Купавна, тер Микрорайон, дом 14, квартира 32</v>
          </cell>
          <cell r="F1110" t="str">
            <v>Московская</v>
          </cell>
          <cell r="G1110">
            <v>0.66009259259259256</v>
          </cell>
          <cell r="H1110">
            <v>0.91009259259259256</v>
          </cell>
          <cell r="I1110" t="str">
            <v>ОК</v>
          </cell>
          <cell r="J1110" t="str">
            <v>ОК</v>
          </cell>
        </row>
        <row r="1111">
          <cell r="B1111" t="str">
            <v>В-07072/КЛ.Транш - 2</v>
          </cell>
          <cell r="C1111" t="str">
            <v>РОССИЯ, Московская обл, г Старая Купавна, ул Ленина, дом 57, квартира 18</v>
          </cell>
          <cell r="D1111" t="str">
            <v>РОССИЯ, Московская обл, г Старая Купавна, тер Микрорайон, дом 14, квартира 32</v>
          </cell>
          <cell r="F1111" t="str">
            <v>Московская</v>
          </cell>
          <cell r="G1111">
            <v>0.66009259259259256</v>
          </cell>
          <cell r="H1111">
            <v>0.91009259259259256</v>
          </cell>
          <cell r="I1111" t="str">
            <v>ОК</v>
          </cell>
          <cell r="J1111" t="str">
            <v>ОК</v>
          </cell>
        </row>
        <row r="1112">
          <cell r="B1112" t="str">
            <v>В-07072/КЛ.Транш - 3</v>
          </cell>
          <cell r="C1112" t="str">
            <v>РОССИЯ, Московская обл, г Старая Купавна, ул Ленина, дом 57, квартира 18</v>
          </cell>
          <cell r="D1112" t="str">
            <v>РОССИЯ, Московская обл, г Старая Купавна, тер Микрорайон, дом 14, квартира 32</v>
          </cell>
          <cell r="F1112" t="str">
            <v>Московская</v>
          </cell>
          <cell r="G1112">
            <v>0.66009259259259256</v>
          </cell>
          <cell r="H1112">
            <v>0.91009259259259256</v>
          </cell>
          <cell r="I1112" t="str">
            <v>ОК</v>
          </cell>
          <cell r="J1112" t="str">
            <v>ОК</v>
          </cell>
        </row>
        <row r="1113">
          <cell r="B1113" t="str">
            <v>В-21219/КЛ.Транш - 1_В-20211230/Ц</v>
          </cell>
          <cell r="C1113" t="str">
            <v>РОССИЯ, 652560, Кемеровская область - Кузбасс, г Полысаево, ул Космонавтов, д. 82, кв. 31</v>
          </cell>
          <cell r="D1113" t="str">
            <v>РОССИЯ, 652560, Кемеровская область - Кузбасс, г Полысаево, ул Космонавтов, д. 82, кв. 31</v>
          </cell>
          <cell r="F1113" t="str">
            <v>Кемеровская</v>
          </cell>
          <cell r="G1113">
            <v>0.66009259259259256</v>
          </cell>
          <cell r="H1113">
            <v>7.6759259259259194E-2</v>
          </cell>
          <cell r="I1113" t="str">
            <v>поздно</v>
          </cell>
          <cell r="J1113" t="str">
            <v>ОК</v>
          </cell>
        </row>
        <row r="1114">
          <cell r="B1114" t="str">
            <v>В-18237/КЛ.Транш - 1_В-20211230/Ц</v>
          </cell>
          <cell r="C1114" t="str">
            <v>РОССИЯ, 356354, Ставропольский край, р-н Новоселицкий, п Новый Маяк, ул Садовая, двлд. 27, кв. 1</v>
          </cell>
          <cell r="D1114" t="str">
            <v>РОССИЯ, 356354, Ставропольский край, р-н Новоселицкий, п Новый Маяк, ул Садовая, двлд. 27, кв. 1</v>
          </cell>
          <cell r="F1114" t="str">
            <v>Ставропольский</v>
          </cell>
          <cell r="G1114">
            <v>0.66009259259259256</v>
          </cell>
          <cell r="H1114">
            <v>0.91009259259259256</v>
          </cell>
          <cell r="I1114" t="str">
            <v>ОК</v>
          </cell>
          <cell r="J1114" t="str">
            <v>ОК</v>
          </cell>
        </row>
        <row r="1115">
          <cell r="B1115" t="str">
            <v>В-26950/КЛ.Транш - 1</v>
          </cell>
          <cell r="C1115" t="str">
            <v>РОССИЯ, 243265, Брянская обл, р-н Стародубский, с Курковичи, ул Октябрьская, д. 50</v>
          </cell>
          <cell r="D1115" t="str">
            <v>РОССИЯ, 243265, Брянская обл, р-н Стародубский, с Курковичи, ул Октябрьская, д. 50</v>
          </cell>
          <cell r="F1115" t="str">
            <v>Брянская</v>
          </cell>
          <cell r="G1115">
            <v>0.66009259259259256</v>
          </cell>
          <cell r="H1115">
            <v>0.91009259259259256</v>
          </cell>
          <cell r="I1115" t="str">
            <v>ОК</v>
          </cell>
          <cell r="J1115" t="str">
            <v>ОК</v>
          </cell>
        </row>
        <row r="1116">
          <cell r="B1116" t="str">
            <v>В-24037/КЛ.Транш - 1</v>
          </cell>
          <cell r="C1116" t="str">
            <v>РОССИЯ, 662155, Красноярский край, г Ачинск, тер 3-й микрорайон Привокзального района, д. 18, кв. 270</v>
          </cell>
          <cell r="D1116" t="str">
            <v>РОССИЯ, 662150, Красноярский край, г Ачинск, 24 квартал, д. 2, кв. 61</v>
          </cell>
          <cell r="F1116" t="str">
            <v>Красноярский</v>
          </cell>
          <cell r="G1116">
            <v>0.66009259259259256</v>
          </cell>
          <cell r="H1116">
            <v>7.6759259259259194E-2</v>
          </cell>
          <cell r="I1116" t="str">
            <v>поздно</v>
          </cell>
          <cell r="J1116" t="str">
            <v>ОК</v>
          </cell>
        </row>
        <row r="1117">
          <cell r="B1117" t="str">
            <v>В-12294/КЛ.Транш - 1</v>
          </cell>
          <cell r="C1117" t="str">
            <v>РОССИЯ, 127221, Москва г, Молодцова ул, дом 1А, квартира 45</v>
          </cell>
          <cell r="D1117" t="str">
            <v>РОССИЯ, 127221, Москва г, Молодцова ул, дом 1А, квартира 45</v>
          </cell>
          <cell r="F1117" t="str">
            <v>Москва</v>
          </cell>
          <cell r="G1117">
            <v>0.66009259259259256</v>
          </cell>
          <cell r="H1117">
            <v>0.91009259259259256</v>
          </cell>
          <cell r="I1117" t="str">
            <v>ОК</v>
          </cell>
          <cell r="J1117" t="str">
            <v>ОК</v>
          </cell>
        </row>
        <row r="1118">
          <cell r="B1118" t="str">
            <v>В-00766/АЗ</v>
          </cell>
          <cell r="C1118" t="str">
            <v>РОССИЯ, 115582, Москва г, Шипиловский проезд, дом № 63, корпус 1, квартира 57</v>
          </cell>
          <cell r="D1118" t="str">
            <v>РОССИЯ, 115582, Москва г, Шипиловский проезд, дом № 63, корпус 1, квартира 57</v>
          </cell>
          <cell r="F1118" t="str">
            <v>Москва</v>
          </cell>
          <cell r="G1118">
            <v>0.66009259259259256</v>
          </cell>
          <cell r="H1118">
            <v>0.91009259259259256</v>
          </cell>
          <cell r="I1118" t="str">
            <v>ОК</v>
          </cell>
          <cell r="J1118" t="str">
            <v>ОК</v>
          </cell>
        </row>
        <row r="1119">
          <cell r="B1119" t="str">
            <v>В-01196/АЗ</v>
          </cell>
          <cell r="C1119" t="str">
            <v>РОССИЯ, 194355, Санкт-Петербург г, пр-кт Просвещения, д. 14, к. 4, литера А, кв. 62</v>
          </cell>
          <cell r="D1119" t="str">
            <v>РОССИЯ, 194355, Санкт-Петербург г, пр-кт Просвещения, д. 14, к. 4, кв. 62</v>
          </cell>
          <cell r="F1119" t="str">
            <v>Москва</v>
          </cell>
          <cell r="G1119">
            <v>0.66009259259259256</v>
          </cell>
          <cell r="H1119">
            <v>0.91009259259259256</v>
          </cell>
          <cell r="I1119" t="str">
            <v>ОК</v>
          </cell>
          <cell r="J1119" t="str">
            <v>ОК</v>
          </cell>
        </row>
        <row r="1120">
          <cell r="B1120" t="str">
            <v>В-01174/КЛ.Транш - 1</v>
          </cell>
          <cell r="C1120" t="str">
            <v>РОССИЯ, 197022, Санкт-Петербург г, Каменноостровский пр-кт, дом 29, квартира 31</v>
          </cell>
          <cell r="D1120" t="str">
            <v>РОССИЯ, 143442, Московская обл, Красногорск г, Отрадное п, Айвазовского ул, дом 7, квартира 13</v>
          </cell>
          <cell r="F1120" t="str">
            <v>Московская</v>
          </cell>
          <cell r="G1120">
            <v>0.66009259259259256</v>
          </cell>
          <cell r="H1120">
            <v>0.91009259259259256</v>
          </cell>
          <cell r="I1120" t="str">
            <v>ОК</v>
          </cell>
          <cell r="J1120" t="str">
            <v>ОК</v>
          </cell>
        </row>
        <row r="1121">
          <cell r="B1121" t="str">
            <v>В-10027/КЭ.Транш - 1</v>
          </cell>
          <cell r="C1121" t="str">
            <v>196084, Санкт-Петербург г, Заставская ул, дом № 15, литера В, помещение 5-Н, офис 1</v>
          </cell>
          <cell r="F1121" t="str">
            <v>Москва</v>
          </cell>
          <cell r="G1121">
            <v>0.66009259259259256</v>
          </cell>
          <cell r="H1121">
            <v>0.91009259259259256</v>
          </cell>
          <cell r="I1121" t="str">
            <v>ОК</v>
          </cell>
          <cell r="J1121" t="str">
            <v>ОК</v>
          </cell>
        </row>
        <row r="1122">
          <cell r="B1122" t="str">
            <v>В-00030/КЭ.Транш - 1</v>
          </cell>
          <cell r="C1122" t="str">
            <v>142306, Московская обл., Чехов г., Московская ул., дом 44, этаж 1, кабинет 1</v>
          </cell>
          <cell r="F1122" t="str">
            <v>Москва</v>
          </cell>
          <cell r="G1122">
            <v>0.66009259259259256</v>
          </cell>
          <cell r="H1122">
            <v>0.91009259259259256</v>
          </cell>
          <cell r="I1122" t="str">
            <v>ОК</v>
          </cell>
          <cell r="J1122" t="str">
            <v>ОК</v>
          </cell>
        </row>
        <row r="1123">
          <cell r="B1123" t="str">
            <v>В-16432/КЛ.Транш - 1</v>
          </cell>
          <cell r="C1123" t="str">
            <v>РОССИЯ, 144000, Московская обл, Электросталь г., Чернышевского ул, дом 11, квартира 18</v>
          </cell>
          <cell r="D1123" t="str">
            <v>РОССИЯ, 144000, Московская обл, Электросталь г., Чернышевского ул, дом 11, квартира 18</v>
          </cell>
          <cell r="F1123" t="str">
            <v>Московская</v>
          </cell>
          <cell r="G1123">
            <v>0.66009259259259256</v>
          </cell>
          <cell r="H1123">
            <v>0.91009259259259256</v>
          </cell>
          <cell r="I1123" t="str">
            <v>ОК</v>
          </cell>
          <cell r="J1123" t="str">
            <v>ОК</v>
          </cell>
        </row>
        <row r="1124">
          <cell r="B1124" t="str">
            <v>В-15138/КЛ.Транш - 1</v>
          </cell>
          <cell r="C1124" t="str">
            <v>РОССИЯ, 192029, Санкт-Петербург г, пр-кт Обуховской Обороны, д. 90, литера А, кв. 5</v>
          </cell>
          <cell r="D1124" t="str">
            <v>РОССИЯ, 192029, Санкт-Петербург г, Обуховской Обороны пр-кт, дом 90, квартира 5</v>
          </cell>
          <cell r="F1124" t="str">
            <v>Москва</v>
          </cell>
          <cell r="G1124">
            <v>0.66009259259259256</v>
          </cell>
          <cell r="H1124">
            <v>0.91009259259259256</v>
          </cell>
          <cell r="I1124" t="str">
            <v>ОК</v>
          </cell>
          <cell r="J1124" t="str">
            <v>ОК</v>
          </cell>
        </row>
        <row r="1125">
          <cell r="B1125" t="str">
            <v>В-27434/КЛ.Транш - 1</v>
          </cell>
          <cell r="C1125" t="str">
            <v>РОССИЯ, 140105, Московская обл, г Раменское, ул Чугунова, д. 15б, кв. 233</v>
          </cell>
          <cell r="D1125" t="str">
            <v>РОССИЯ, 140105, Московская обл, г Раменское, ул Чугунова, д. 15б, кв. 233</v>
          </cell>
          <cell r="F1125" t="str">
            <v>Московская</v>
          </cell>
          <cell r="G1125">
            <v>0.66009259259259256</v>
          </cell>
          <cell r="H1125">
            <v>0.91009259259259256</v>
          </cell>
          <cell r="I1125" t="str">
            <v>ОК</v>
          </cell>
          <cell r="J1125" t="str">
            <v>ОК</v>
          </cell>
        </row>
        <row r="1126">
          <cell r="B1126" t="str">
            <v>В-00355/АЗ</v>
          </cell>
          <cell r="C1126" t="str">
            <v>РОССИЯ, 369358, Карачаево-Черкесская респ, Ногайский р-н, Адиль-Халк аул, Первомайская ул, дом 5</v>
          </cell>
          <cell r="D1126" t="str">
            <v>РОССИЯ, 197136, Санкт-Петербург г, Гатчинская ул, дом 23-25, квартира 9</v>
          </cell>
          <cell r="F1126" t="str">
            <v>Москва</v>
          </cell>
          <cell r="G1126">
            <v>0.66009259259259256</v>
          </cell>
          <cell r="H1126">
            <v>0.91009259259259256</v>
          </cell>
          <cell r="I1126" t="str">
            <v>ОК</v>
          </cell>
          <cell r="J1126" t="str">
            <v>ОК</v>
          </cell>
        </row>
        <row r="1127">
          <cell r="B1127" t="str">
            <v>В-05253/КЛ.Транш - 4</v>
          </cell>
          <cell r="C1127" t="str">
            <v>РОССИЯ, 117639, Москва г, Варшавское ш, дом 104, квартира 92</v>
          </cell>
          <cell r="D1127" t="str">
            <v>РОССИЯ, 117639, Москва г, Варшавское ш, дом 104, квартира 92</v>
          </cell>
          <cell r="F1127" t="str">
            <v>Москва</v>
          </cell>
          <cell r="G1127">
            <v>0.66009259259259256</v>
          </cell>
          <cell r="H1127">
            <v>0.91009259259259256</v>
          </cell>
          <cell r="I1127" t="str">
            <v>ОК</v>
          </cell>
          <cell r="J1127" t="str">
            <v>ОК</v>
          </cell>
        </row>
        <row r="1128">
          <cell r="B1128" t="str">
            <v>В-15391/КЛ.Транш - 2</v>
          </cell>
          <cell r="C1128" t="str">
            <v>РОССИЯ, 624140, Свердловская обл, Кировград г, Свердлова ул, дом 62, квартира 48</v>
          </cell>
          <cell r="D1128" t="str">
            <v>РОССИЯ, 623131, Свердловская обл, Первоуральск г, Новоуткинск п, Гоголя ул, дом 45, квартира 18</v>
          </cell>
          <cell r="F1128" t="str">
            <v>Свердловская</v>
          </cell>
          <cell r="G1128">
            <v>0.66009259259259256</v>
          </cell>
          <cell r="H1128">
            <v>0.99342592592592593</v>
          </cell>
          <cell r="I1128" t="str">
            <v>поздно</v>
          </cell>
          <cell r="J1128" t="str">
            <v>ОК</v>
          </cell>
        </row>
        <row r="1129">
          <cell r="B1129" t="str">
            <v>В-15391/КЛ.Транш - 3</v>
          </cell>
          <cell r="C1129" t="str">
            <v>РОССИЯ, 624140, Свердловская обл, Кировград г, Свердлова ул, дом 62, квартира 48</v>
          </cell>
          <cell r="D1129" t="str">
            <v>РОССИЯ, 623131, Свердловская обл, Первоуральск г, Новоуткинск п, Гоголя ул, дом 45, квартира 18</v>
          </cell>
          <cell r="F1129" t="str">
            <v>Свердловская</v>
          </cell>
          <cell r="G1129">
            <v>0.66009259259259256</v>
          </cell>
          <cell r="H1129">
            <v>0.99342592592592593</v>
          </cell>
          <cell r="I1129" t="str">
            <v>поздно</v>
          </cell>
          <cell r="J1129" t="str">
            <v>ОК</v>
          </cell>
        </row>
        <row r="1130">
          <cell r="B1130" t="str">
            <v>В-15391/КЛ.Транш - 4</v>
          </cell>
          <cell r="C1130" t="str">
            <v>РОССИЯ, 624140, Свердловская обл, Кировград г, Свердлова ул, дом 62, квартира 48</v>
          </cell>
          <cell r="D1130" t="str">
            <v>РОССИЯ, 623131, Свердловская обл, Первоуральск г, Новоуткинск п, Гоголя ул, дом 45, квартира 18</v>
          </cell>
          <cell r="F1130" t="str">
            <v>Свердловская</v>
          </cell>
          <cell r="G1130">
            <v>0.66009259259259256</v>
          </cell>
          <cell r="H1130">
            <v>0.99342592592592593</v>
          </cell>
          <cell r="I1130" t="str">
            <v>поздно</v>
          </cell>
          <cell r="J1130" t="str">
            <v>ОК</v>
          </cell>
        </row>
        <row r="1131">
          <cell r="B1131" t="str">
            <v>В-15391/КЛ.Транш - 5</v>
          </cell>
          <cell r="C1131" t="str">
            <v>РОССИЯ, 624140, Свердловская обл, Кировград г, Свердлова ул, дом 62, квартира 48</v>
          </cell>
          <cell r="D1131" t="str">
            <v>РОССИЯ, 623131, Свердловская обл, Первоуральск г, Новоуткинск п, Гоголя ул, дом 45, квартира 18</v>
          </cell>
          <cell r="F1131" t="str">
            <v>Свердловская</v>
          </cell>
          <cell r="G1131">
            <v>0.66009259259259256</v>
          </cell>
          <cell r="H1131">
            <v>0.99342592592592593</v>
          </cell>
          <cell r="I1131" t="str">
            <v>поздно</v>
          </cell>
          <cell r="J1131" t="str">
            <v>ОК</v>
          </cell>
        </row>
        <row r="1132">
          <cell r="B1132" t="str">
            <v>В-15391/КЛ.Транш - 6</v>
          </cell>
          <cell r="C1132" t="str">
            <v>РОССИЯ, 624140, Свердловская обл, Кировград г, Свердлова ул, дом 62, квартира 48</v>
          </cell>
          <cell r="D1132" t="str">
            <v>РОССИЯ, 623131, Свердловская обл, Первоуральск г, Новоуткинск п, Гоголя ул, дом 45, квартира 18</v>
          </cell>
          <cell r="F1132" t="str">
            <v>Свердловская</v>
          </cell>
          <cell r="G1132">
            <v>0.66009259259259256</v>
          </cell>
          <cell r="H1132">
            <v>0.99342592592592593</v>
          </cell>
          <cell r="I1132" t="str">
            <v>поздно</v>
          </cell>
          <cell r="J1132" t="str">
            <v>ОК</v>
          </cell>
        </row>
        <row r="1133">
          <cell r="B1133" t="str">
            <v>В-27421/КЛ.Транш - 1</v>
          </cell>
          <cell r="C1133" t="str">
            <v>РОССИЯ, 109443, Москва г, вн.тер.г. муниципальный округ Кузьминки, ул Юных Ленинцев, д. 62, кв. 70</v>
          </cell>
          <cell r="D1133" t="str">
            <v>РОССИЯ, 109443, Москва г, вн.тер.г. муниципальный округ Кузьминки, ул Юных Ленинцев, д. 62, кв. 70</v>
          </cell>
          <cell r="F1133" t="str">
            <v>Москва</v>
          </cell>
          <cell r="G1133">
            <v>0.66009259259259256</v>
          </cell>
          <cell r="H1133">
            <v>0.91009259259259256</v>
          </cell>
          <cell r="I1133" t="str">
            <v>ОК</v>
          </cell>
          <cell r="J1133" t="str">
            <v>ОК</v>
          </cell>
        </row>
        <row r="1134">
          <cell r="B1134" t="str">
            <v>В-11605/КЛ.Транш - 1</v>
          </cell>
          <cell r="C1134" t="str">
            <v>РОССИЯ, 394036, Воронежская обл, Воронеж г, Студенческая ул, дом 34, квартира 47</v>
          </cell>
          <cell r="D1134" t="str">
            <v>РОССИЯ, 394036, Воронежская обл, Воронеж г, Студенческая ул, дом 34, квартира 47</v>
          </cell>
          <cell r="F1134" t="str">
            <v>Воронежская</v>
          </cell>
          <cell r="G1134">
            <v>0.66009259259259256</v>
          </cell>
          <cell r="H1134">
            <v>0.91009259259259256</v>
          </cell>
          <cell r="I1134" t="str">
            <v>ОК</v>
          </cell>
          <cell r="J1134" t="str">
            <v>ОК</v>
          </cell>
        </row>
        <row r="1135">
          <cell r="B1135" t="str">
            <v>В-19464/КЛ.Транш - 1</v>
          </cell>
          <cell r="C1135" t="str">
            <v>РОССИЯ, 305018, Курская обл, г Курск, ул Черняховского, д. 52, кв. 163</v>
          </cell>
          <cell r="D1135" t="str">
            <v>РОССИЯ, 142717, Московская обл, г Видное, поселок Развилка, д. 48</v>
          </cell>
          <cell r="F1135" t="str">
            <v>Московская</v>
          </cell>
          <cell r="G1135">
            <v>0.66009259259259256</v>
          </cell>
          <cell r="H1135">
            <v>0.91009259259259256</v>
          </cell>
          <cell r="I1135" t="str">
            <v>ОК</v>
          </cell>
          <cell r="J1135" t="str">
            <v>ОК</v>
          </cell>
        </row>
        <row r="1136">
          <cell r="B1136" t="str">
            <v>В-19504/КЛ.Транш - 1</v>
          </cell>
          <cell r="C1136" t="str">
            <v>РОССИЯ, 111675, Москва г, Святоозерская ул, дом № 14, квартира 97</v>
          </cell>
          <cell r="D1136" t="str">
            <v>РОССИЯ, 111675, Москва г, Святоозерская ул, дом № 14, квартира 97</v>
          </cell>
          <cell r="F1136" t="str">
            <v>Москва</v>
          </cell>
          <cell r="G1136">
            <v>0.66009259259259256</v>
          </cell>
          <cell r="H1136">
            <v>0.91009259259259256</v>
          </cell>
          <cell r="I1136" t="str">
            <v>ОК</v>
          </cell>
          <cell r="J1136" t="str">
            <v>ОК</v>
          </cell>
        </row>
        <row r="1137">
          <cell r="B1137" t="str">
            <v>В-24841/КЛ.Транш - 1</v>
          </cell>
          <cell r="C1137" t="str">
            <v>РОССИЯ, 188355, Ленинградская обл, р-н Гатчинский, п Кобринское, ул Центральная, д. 12б, кв. 26</v>
          </cell>
          <cell r="D1137" t="str">
            <v>РОССИЯ, 188355, Ленинградская обл, р-н Гатчинский, п Кобринское, ул Центральная, д. 12б, кв. 26</v>
          </cell>
          <cell r="F1137" t="str">
            <v>Ленинградская</v>
          </cell>
          <cell r="G1137">
            <v>0.66009259259259256</v>
          </cell>
          <cell r="H1137">
            <v>0.91009259259259256</v>
          </cell>
          <cell r="I1137" t="str">
            <v>ОК</v>
          </cell>
          <cell r="J1137" t="str">
            <v>ОК</v>
          </cell>
        </row>
        <row r="1138">
          <cell r="B1138" t="str">
            <v>В-04293/КЛ.Транш - 1_В-20211230/Ц</v>
          </cell>
          <cell r="C1138" t="str">
            <v>РОССИЯ, 141008, Московская обл, Мытищи г, Мира ул, дом 9, корпус 1, квартира 81</v>
          </cell>
          <cell r="D1138" t="str">
            <v>РОССИЯ, 141008, Московская обл, Мытищи г, Мира ул, дом 9, корпус 1, квартира 81</v>
          </cell>
          <cell r="F1138" t="str">
            <v>Московская</v>
          </cell>
          <cell r="G1138">
            <v>0.66009259259259256</v>
          </cell>
          <cell r="H1138">
            <v>0.91009259259259256</v>
          </cell>
          <cell r="I1138" t="str">
            <v>ОК</v>
          </cell>
          <cell r="J1138" t="str">
            <v>ОК</v>
          </cell>
        </row>
        <row r="1139">
          <cell r="B1139" t="str">
            <v>В-15280/КЛ.Транш - 1</v>
          </cell>
          <cell r="C1139" t="str">
            <v>РОССИЯ, 143005, Московская обл, Одинцово г, Вырубово д, дом 107</v>
          </cell>
          <cell r="D1139" t="str">
            <v>РОССИЯ, 107258, Москва г, Игральная ул, дом 5, квартира 81</v>
          </cell>
          <cell r="F1139" t="str">
            <v>Москва</v>
          </cell>
          <cell r="G1139">
            <v>0.66009259259259256</v>
          </cell>
          <cell r="H1139">
            <v>0.91009259259259256</v>
          </cell>
          <cell r="I1139" t="str">
            <v>ОК</v>
          </cell>
          <cell r="J1139" t="str">
            <v>ОК</v>
          </cell>
        </row>
        <row r="1140">
          <cell r="B1140" t="str">
            <v>В-00622/АЗ_Т-20211028/Ц</v>
          </cell>
          <cell r="C1140" t="str">
            <v>РОССИЯ, 354393, Краснодарский край, Сочи г, Адлерский р-н, Молдовка с, Тимашевская ул, дом 208А</v>
          </cell>
          <cell r="D1140" t="str">
            <v>РОССИЯ, 354393, Краснодарский край, Сочи г, Адлерский р-н, Молдовка с, Тимашевская ул, дом 208А</v>
          </cell>
          <cell r="F1140" t="str">
            <v>Краснодарский</v>
          </cell>
          <cell r="G1140">
            <v>0.66009259259259256</v>
          </cell>
          <cell r="H1140">
            <v>0.91009259259259256</v>
          </cell>
          <cell r="I1140" t="str">
            <v>ОК</v>
          </cell>
          <cell r="J1140" t="str">
            <v>ОК</v>
          </cell>
        </row>
        <row r="1141">
          <cell r="B1141" t="str">
            <v>А-04401/АЗ</v>
          </cell>
          <cell r="C1141" t="str">
            <v>РОССИЯ, 140054, Московская обл, Котельники г, Кузьминская ул, дом № 11, квартира 112</v>
          </cell>
          <cell r="D1141" t="str">
            <v>РОССИЯ, 140054, Московская обл, Котельники г, Кузьминская ул, дом № 11, квартира 112</v>
          </cell>
          <cell r="F1141" t="str">
            <v>Московская</v>
          </cell>
          <cell r="G1141">
            <v>0.66009259259259256</v>
          </cell>
          <cell r="H1141">
            <v>0.91009259259259256</v>
          </cell>
          <cell r="I1141" t="str">
            <v>ОК</v>
          </cell>
          <cell r="J1141" t="str">
            <v>ОК</v>
          </cell>
        </row>
        <row r="1142">
          <cell r="B1142" t="str">
            <v>В-01176/АЗ_В-20211230/Ц</v>
          </cell>
          <cell r="C1142" t="str">
            <v>РОССИЯ, 143090, Московская обл, г Краснознаменск, ул Октябрьская, д. 3</v>
          </cell>
          <cell r="D1142" t="str">
            <v>РОССИЯ, 143185, Московская обл, г Одинцово, г Звенигород, мкр Супонево, д. 5, кв. 192</v>
          </cell>
          <cell r="F1142" t="str">
            <v>Московская</v>
          </cell>
          <cell r="G1142">
            <v>0.66009259259259256</v>
          </cell>
          <cell r="H1142">
            <v>0.91009259259259256</v>
          </cell>
          <cell r="I1142" t="str">
            <v>ОК</v>
          </cell>
          <cell r="J1142" t="str">
            <v>ОК</v>
          </cell>
        </row>
        <row r="1143">
          <cell r="B1143" t="str">
            <v>В-07093/КЛ.Транш - 6</v>
          </cell>
          <cell r="C1143" t="str">
            <v>РОССИЯ, 188514, Ленинградская обл, р-н Ломоносовский, д Малые Горки, ул Парковая, д. 1</v>
          </cell>
          <cell r="D1143" t="str">
            <v>РОССИЯ, 188514, Ленинградская обл, Ломоносовский р-н, Малые Горки д, Парковая ул, дом 1, литера А</v>
          </cell>
          <cell r="F1143" t="str">
            <v>Ленинградская</v>
          </cell>
          <cell r="G1143">
            <v>0.66009259259259256</v>
          </cell>
          <cell r="H1143">
            <v>0.91009259259259256</v>
          </cell>
          <cell r="I1143" t="str">
            <v>ОК</v>
          </cell>
          <cell r="J1143" t="str">
            <v>ОК</v>
          </cell>
        </row>
        <row r="1144">
          <cell r="B1144" t="str">
            <v>В-26247/КЛ.Транш - 1</v>
          </cell>
          <cell r="C1144" t="str">
            <v>РОССИЯ, 396310, Воронежская обл, р-н Новоусманский, с Новая Усмань, пер Больничный, д. 9, кв. 10</v>
          </cell>
          <cell r="D1144" t="str">
            <v>РОССИЯ, 396310, Воронежская обл, р-н Новоусманский, с Новая Усмань, пер Больничный, д. 9, кв. 10</v>
          </cell>
          <cell r="F1144" t="str">
            <v>Воронежская</v>
          </cell>
          <cell r="G1144">
            <v>0.66009259259259256</v>
          </cell>
          <cell r="H1144">
            <v>0.91009259259259256</v>
          </cell>
          <cell r="I1144" t="str">
            <v>ОК</v>
          </cell>
          <cell r="J1144" t="str">
            <v>ОК</v>
          </cell>
        </row>
        <row r="1145">
          <cell r="B1145" t="str">
            <v>В-03615/КЛ.Транш - 1</v>
          </cell>
          <cell r="C1145" t="str">
            <v>РОССИЯ, 111123, Москва г, Энтузиастов ш, дом 82/2, корпус 1, квартира 1</v>
          </cell>
          <cell r="D1145" t="str">
            <v>РОССИЯ, 111123, Москва г, Энтузиастов ш, дом 82/2, корпус 1, квартира 1</v>
          </cell>
          <cell r="F1145" t="str">
            <v>Москва</v>
          </cell>
          <cell r="G1145">
            <v>0.66009259259259256</v>
          </cell>
          <cell r="H1145">
            <v>0.91009259259259256</v>
          </cell>
          <cell r="I1145" t="str">
            <v>ОК</v>
          </cell>
          <cell r="J1145" t="str">
            <v>ОК</v>
          </cell>
        </row>
        <row r="1146">
          <cell r="B1146" t="str">
            <v>А-00466/КЭ.Транш - 1</v>
          </cell>
          <cell r="C1146" t="str">
            <v>107076, Москва г, Электрозаводская ул, дом 29, строение 1, этаж 2, комната 6</v>
          </cell>
          <cell r="F1146" t="str">
            <v>Москва</v>
          </cell>
          <cell r="G1146">
            <v>0.66009259259259256</v>
          </cell>
          <cell r="H1146">
            <v>0.91009259259259256</v>
          </cell>
          <cell r="I1146" t="str">
            <v>ОК</v>
          </cell>
          <cell r="J1146" t="str">
            <v>ОК</v>
          </cell>
        </row>
        <row r="1147">
          <cell r="B1147" t="str">
            <v>В-22386/КЛ.Транш - 1</v>
          </cell>
          <cell r="C1147" t="str">
            <v>РОССИЯ, 129515, Москва г, вн.тер.г. муниципальный округ Останкинский, ул Академика Королева, д. 9, к. 2, кв. 38</v>
          </cell>
          <cell r="D1147" t="str">
            <v>РОССИЯ, 129515, Москва г, вн.тер.г. муниципальный округ Останкинский, ул Академика Королева, д. 8, к. 2, кв. 683</v>
          </cell>
          <cell r="F1147" t="str">
            <v>Москва</v>
          </cell>
          <cell r="G1147">
            <v>0.66009259259259256</v>
          </cell>
          <cell r="H1147">
            <v>0.91009259259259256</v>
          </cell>
          <cell r="I1147" t="str">
            <v>ОК</v>
          </cell>
          <cell r="J1147" t="str">
            <v>ОК</v>
          </cell>
        </row>
        <row r="1148">
          <cell r="B1148" t="str">
            <v>В-22386/КЛ.Транш - 2</v>
          </cell>
          <cell r="C1148" t="str">
            <v>РОССИЯ, 129515, Москва г, вн.тер.г. муниципальный округ Останкинский, ул Академика Королева, д. 9, к. 2, кв. 38</v>
          </cell>
          <cell r="D1148" t="str">
            <v>РОССИЯ, 129515, Москва г, вн.тер.г. муниципальный округ Останкинский, ул Академика Королева, д. 8, к. 2, кв. 683</v>
          </cell>
          <cell r="F1148" t="str">
            <v>Москва</v>
          </cell>
          <cell r="G1148">
            <v>0.66009259259259256</v>
          </cell>
          <cell r="H1148">
            <v>0.91009259259259256</v>
          </cell>
          <cell r="I1148" t="str">
            <v>ОК</v>
          </cell>
          <cell r="J1148" t="str">
            <v>ОК</v>
          </cell>
        </row>
        <row r="1149">
          <cell r="B1149" t="str">
            <v>В-22386/КЛ.Транш - 3</v>
          </cell>
          <cell r="C1149" t="str">
            <v>РОССИЯ, 129515, Москва г, вн.тер.г. муниципальный округ Останкинский, ул Академика Королева, д. 9, к. 2, кв. 38</v>
          </cell>
          <cell r="D1149" t="str">
            <v>РОССИЯ, 129515, Москва г, вн.тер.г. муниципальный округ Останкинский, ул Академика Королева, д. 8, к. 2, кв. 683</v>
          </cell>
          <cell r="F1149" t="str">
            <v>Москва</v>
          </cell>
          <cell r="G1149">
            <v>0.66009259259259256</v>
          </cell>
          <cell r="H1149">
            <v>0.91009259259259256</v>
          </cell>
          <cell r="I1149" t="str">
            <v>ОК</v>
          </cell>
          <cell r="J1149" t="str">
            <v>ОК</v>
          </cell>
        </row>
        <row r="1150">
          <cell r="B1150" t="str">
            <v>В-22386/КЛ.Транш - 4</v>
          </cell>
          <cell r="C1150" t="str">
            <v>РОССИЯ, 129515, Москва г, вн.тер.г. муниципальный округ Останкинский, ул Академика Королева, д. 9, к. 2, кв. 38</v>
          </cell>
          <cell r="D1150" t="str">
            <v>РОССИЯ, 129515, Москва г, вн.тер.г. муниципальный округ Останкинский, ул Академика Королева, д. 8, к. 2, кв. 683</v>
          </cell>
          <cell r="F1150" t="str">
            <v>Москва</v>
          </cell>
          <cell r="G1150">
            <v>0.66009259259259256</v>
          </cell>
          <cell r="H1150">
            <v>0.91009259259259256</v>
          </cell>
          <cell r="I1150" t="str">
            <v>ОК</v>
          </cell>
          <cell r="J1150" t="str">
            <v>ОК</v>
          </cell>
        </row>
        <row r="1151">
          <cell r="B1151" t="str">
            <v>В-22386/КЛ.Транш - 5</v>
          </cell>
          <cell r="C1151" t="str">
            <v>РОССИЯ, 129515, Москва г, вн.тер.г. муниципальный округ Останкинский, ул Академика Королева, д. 9, к. 2, кв. 38</v>
          </cell>
          <cell r="D1151" t="str">
            <v>РОССИЯ, 129515, Москва г, вн.тер.г. муниципальный округ Останкинский, ул Академика Королева, д. 8, к. 2, кв. 683</v>
          </cell>
          <cell r="F1151" t="str">
            <v>Москва</v>
          </cell>
          <cell r="G1151">
            <v>0.66009259259259256</v>
          </cell>
          <cell r="H1151">
            <v>0.91009259259259256</v>
          </cell>
          <cell r="I1151" t="str">
            <v>ОК</v>
          </cell>
          <cell r="J1151" t="str">
            <v>ОК</v>
          </cell>
        </row>
        <row r="1152">
          <cell r="B1152" t="str">
            <v>В-20497/КЛ.Транш - 1</v>
          </cell>
          <cell r="C1152" t="str">
            <v>РОССИЯ, 143150, Московская обл, г. Руза, д Нестерово, д. 42, кв. 5</v>
          </cell>
          <cell r="D1152" t="str">
            <v>РОССИЯ, 143150, Московская обл, г. Руза, д Нестерово, д. 42, кв. 5</v>
          </cell>
          <cell r="F1152" t="str">
            <v>Московская</v>
          </cell>
          <cell r="G1152">
            <v>0.66009259259259256</v>
          </cell>
          <cell r="H1152">
            <v>0.91009259259259256</v>
          </cell>
          <cell r="I1152" t="str">
            <v>ОК</v>
          </cell>
          <cell r="J1152" t="str">
            <v>ОК</v>
          </cell>
        </row>
        <row r="1153">
          <cell r="B1153" t="str">
            <v>В-20497/КЛ.Транш - 2</v>
          </cell>
          <cell r="C1153" t="str">
            <v>РОССИЯ, 143150, Московская обл, г. Руза, д Нестерово, д. 42, кв. 5</v>
          </cell>
          <cell r="D1153" t="str">
            <v>РОССИЯ, 143150, Московская обл, г. Руза, д Нестерово, д. 42, кв. 5</v>
          </cell>
          <cell r="F1153" t="str">
            <v>Московская</v>
          </cell>
          <cell r="G1153">
            <v>0.66009259259259256</v>
          </cell>
          <cell r="H1153">
            <v>0.91009259259259256</v>
          </cell>
          <cell r="I1153" t="str">
            <v>ОК</v>
          </cell>
          <cell r="J1153" t="str">
            <v>ОК</v>
          </cell>
        </row>
        <row r="1154">
          <cell r="B1154" t="str">
            <v>В-26816/КЛ.Транш - 1</v>
          </cell>
          <cell r="C1154" t="str">
            <v>РОССИЯ, 352902, Краснодарский край, г.о. город Армавир, г Армавир, тер. Поселок Мясокомбинат, д. 10, кв. 7</v>
          </cell>
          <cell r="D1154" t="str">
            <v>РОССИЯ, 352902, Краснодарский край, г.о. город Армавир, г Армавир, тер. Поселок Мясокомбинат, д. 10, кв. 7</v>
          </cell>
          <cell r="F1154" t="str">
            <v>Краснодарский</v>
          </cell>
          <cell r="G1154">
            <v>0.66009259259259256</v>
          </cell>
          <cell r="H1154">
            <v>0.91009259259259256</v>
          </cell>
          <cell r="I1154" t="str">
            <v>ОК</v>
          </cell>
          <cell r="J1154" t="str">
            <v>ОК</v>
          </cell>
        </row>
        <row r="1155">
          <cell r="B1155" t="str">
            <v>В-25098/КЛ.Транш - 1</v>
          </cell>
          <cell r="C1155" t="str">
            <v>РОССИЯ, 142711, Московская обл, г Видное, п Петровское, д. 134, кв. 8</v>
          </cell>
          <cell r="D1155" t="str">
            <v>РОССИЯ, 142703, Московская обл, г Видное, б-р Зеленые аллеи, д. 14, кв. 521</v>
          </cell>
          <cell r="F1155" t="str">
            <v>Московская</v>
          </cell>
          <cell r="G1155">
            <v>0.66009259259259256</v>
          </cell>
          <cell r="H1155">
            <v>0.91009259259259256</v>
          </cell>
          <cell r="I1155" t="str">
            <v>ОК</v>
          </cell>
          <cell r="J1155" t="str">
            <v>ОК</v>
          </cell>
        </row>
        <row r="1156">
          <cell r="B1156" t="str">
            <v>В-19475/КЛ.Транш - 1</v>
          </cell>
          <cell r="C1156" t="str">
            <v>РОССИЯ, 115563, Москва г, вн.тер. г. муниципальный округ Орехово-Борисово Северное, ул Генерала Белова, д. 3, кв. 88</v>
          </cell>
          <cell r="D1156" t="str">
            <v>РОССИЯ, 115563, Москва г, вн.тер. г. муниципальный округ Орехово-Борисово Северное, ул Генерала Белова, д. 3, кв. 88</v>
          </cell>
          <cell r="F1156" t="str">
            <v>Москва</v>
          </cell>
          <cell r="G1156">
            <v>0.66009259259259256</v>
          </cell>
          <cell r="H1156">
            <v>0.91009259259259256</v>
          </cell>
          <cell r="I1156" t="str">
            <v>ОК</v>
          </cell>
          <cell r="J1156" t="str">
            <v>ОК</v>
          </cell>
        </row>
        <row r="1157">
          <cell r="B1157" t="str">
            <v>В-12368/КЛ.Транш - 1</v>
          </cell>
          <cell r="C1157" t="str">
            <v>РОССИЯ, 174160, Новгородская обл, Шимский р-н, Закибье д, Центральная ул, дом 27</v>
          </cell>
          <cell r="D1157" t="str">
            <v>РОССИЯ, 195197, Санкт-Петербург г, Васенко ул, дом 11, квартира 65</v>
          </cell>
          <cell r="F1157" t="str">
            <v>Москва</v>
          </cell>
          <cell r="G1157">
            <v>0.66009259259259256</v>
          </cell>
          <cell r="H1157">
            <v>0.91009259259259256</v>
          </cell>
          <cell r="I1157" t="str">
            <v>ОК</v>
          </cell>
          <cell r="J1157" t="str">
            <v>ОК</v>
          </cell>
        </row>
        <row r="1158">
          <cell r="B1158" t="str">
            <v>В-12525/КЛ.Транш - 1</v>
          </cell>
          <cell r="C1158" t="str">
            <v>РОССИЯ, 353913, Краснодарский край, Новороссийск г, Ленина пр-кт, дом 45, квартира 42</v>
          </cell>
          <cell r="D1158" t="str">
            <v>РОССИЯ, 454045, Челябинская обл, Челябинск г, Вишневая ул, дом 40А</v>
          </cell>
          <cell r="F1158" t="str">
            <v>Челябинская</v>
          </cell>
          <cell r="G1158">
            <v>0.66009259259259256</v>
          </cell>
          <cell r="H1158">
            <v>0.99342592592592593</v>
          </cell>
          <cell r="I1158" t="str">
            <v>поздно</v>
          </cell>
          <cell r="J1158" t="str">
            <v>ОК</v>
          </cell>
        </row>
        <row r="1159">
          <cell r="B1159" t="str">
            <v>В-21737/КЛ.Транш - 1</v>
          </cell>
          <cell r="C1159" t="str">
            <v>РОССИЯ, 350087, Краснодарский край, г Краснодар, ул Тепличная, д. 15, кв. 4</v>
          </cell>
          <cell r="D1159" t="str">
            <v>РОССИЯ, 350087, Краснодарский край, г Краснодар, ул Тепличная, д. 15, кв. 4</v>
          </cell>
          <cell r="F1159" t="str">
            <v>Краснодарский</v>
          </cell>
          <cell r="G1159">
            <v>0.66009259259259256</v>
          </cell>
          <cell r="H1159">
            <v>0.91009259259259256</v>
          </cell>
          <cell r="I1159" t="str">
            <v>ОК</v>
          </cell>
          <cell r="J1159" t="str">
            <v>ОК</v>
          </cell>
        </row>
        <row r="1160">
          <cell r="B1160" t="str">
            <v>А-03822/АЗ</v>
          </cell>
          <cell r="C1160" t="str">
            <v>РОССИЯ, 143800, Московская обл, Лотошинский р-н, Стрешневы Горы д, Клубная ул, дом № 26</v>
          </cell>
          <cell r="D1160" t="str">
            <v>РОССИЯ, 115419, Москва г, Михайловский Верхн. 4-й проезд, дом № 10, корпус 4, квартира 220</v>
          </cell>
          <cell r="F1160" t="str">
            <v>Москва</v>
          </cell>
          <cell r="G1160">
            <v>0.66009259259259256</v>
          </cell>
          <cell r="H1160">
            <v>0.91009259259259256</v>
          </cell>
          <cell r="I1160" t="str">
            <v>ОК</v>
          </cell>
          <cell r="J1160" t="str">
            <v>ОК</v>
          </cell>
        </row>
        <row r="1161">
          <cell r="B1161" t="str">
            <v>В-28329/КЛ.Транш - 1</v>
          </cell>
          <cell r="C1161" t="str">
            <v>РОССИЯ, 392027, Тамбовская обл, г Тамбов, ул Агапкина/им.генерал-майора В.А.Глазкова, д. 22/2, к. 1, кв. 113</v>
          </cell>
          <cell r="D1161" t="str">
            <v>РОССИЯ, 392027, Тамбовская обл, г Тамбов, ул Агапкина/им.генерал-майора В.А.Глазкова, д. 22/2, к. 1, кв. 113</v>
          </cell>
          <cell r="F1161" t="str">
            <v>Тамбовская</v>
          </cell>
          <cell r="G1161">
            <v>0.66009259259259256</v>
          </cell>
          <cell r="H1161">
            <v>0.91009259259259256</v>
          </cell>
          <cell r="I1161" t="str">
            <v>ОК</v>
          </cell>
          <cell r="J1161" t="str">
            <v>ОК</v>
          </cell>
        </row>
        <row r="1162">
          <cell r="B1162" t="str">
            <v>В-09795/КЛ.Транш - 1</v>
          </cell>
          <cell r="C1162" t="str">
            <v>РОССИЯ, 353740, Краснодарский край, Ленинградский р-н, Ленинградская ст-ца, Красная ул, дом 140, квартира 39</v>
          </cell>
          <cell r="D1162" t="str">
            <v>РОССИЯ, 353740, Краснодарский край, Сочи г, Орел-Изумруд с, Петрозаводская ул, дом 49, квартира 2</v>
          </cell>
          <cell r="F1162" t="str">
            <v>Краснодарский</v>
          </cell>
          <cell r="G1162">
            <v>0.66009259259259256</v>
          </cell>
          <cell r="H1162">
            <v>0.91009259259259256</v>
          </cell>
          <cell r="I1162" t="str">
            <v>ОК</v>
          </cell>
          <cell r="J1162" t="str">
            <v>ОК</v>
          </cell>
        </row>
        <row r="1163">
          <cell r="B1163" t="str">
            <v>В-13828/КЛ.Транш - 1</v>
          </cell>
          <cell r="C1163" t="str">
            <v>РОССИЯ, 115516, Москва г, Бехтерева ул, дом 41, корпус 3, квартира 480</v>
          </cell>
          <cell r="D1163" t="str">
            <v>РОССИЯ, 115516, Москва г, Бехтерева ул, дом 41, корпус 3, квартира 480</v>
          </cell>
          <cell r="F1163" t="str">
            <v>Москва</v>
          </cell>
          <cell r="G1163">
            <v>0.66009259259259256</v>
          </cell>
          <cell r="H1163">
            <v>0.91009259259259256</v>
          </cell>
          <cell r="I1163" t="str">
            <v>ОК</v>
          </cell>
          <cell r="J1163" t="str">
            <v>ОК</v>
          </cell>
        </row>
        <row r="1164">
          <cell r="B1164" t="str">
            <v>А-04352/АЗ</v>
          </cell>
          <cell r="C1164" t="str">
            <v>РОССИЯ, 142438, Московская обл, Ногинский р-н, Затишье п, дом № 2, квартира 2</v>
          </cell>
          <cell r="D1164" t="str">
            <v>РОССИЯ, 142438, Московская обл, Ногинский р-н, Затишье п, дом № 2, квартира 2</v>
          </cell>
          <cell r="F1164" t="str">
            <v>Московская</v>
          </cell>
          <cell r="G1164">
            <v>0.66009259259259256</v>
          </cell>
          <cell r="H1164">
            <v>0.91009259259259256</v>
          </cell>
          <cell r="I1164" t="str">
            <v>ОК</v>
          </cell>
          <cell r="J1164" t="str">
            <v>ОК</v>
          </cell>
        </row>
        <row r="1165">
          <cell r="B1165" t="str">
            <v>В-24883/КЛ.Транш - 1</v>
          </cell>
          <cell r="C1165" t="str">
            <v>РОССИЯ, 127562, Москва г, ул Декабристов, д. 10, к. 3, кв. 1</v>
          </cell>
          <cell r="D1165" t="str">
            <v>РОССИЯ, 127562, Москва г, ул Декабристов, д. 10, к. 3, кв. 1</v>
          </cell>
          <cell r="F1165" t="str">
            <v>Москва</v>
          </cell>
          <cell r="G1165">
            <v>0.66009259259259256</v>
          </cell>
          <cell r="H1165">
            <v>0.91009259259259256</v>
          </cell>
          <cell r="I1165" t="str">
            <v>ОК</v>
          </cell>
          <cell r="J1165" t="str">
            <v>ОК</v>
          </cell>
        </row>
        <row r="1166">
          <cell r="B1166" t="str">
            <v>В-24883/КЛ.Транш - 2</v>
          </cell>
          <cell r="C1166" t="str">
            <v>РОССИЯ, 127562, Москва г, ул Декабристов, д. 10, к. 3, кв. 1</v>
          </cell>
          <cell r="D1166" t="str">
            <v>РОССИЯ, 127562, Москва г, ул Декабристов, д. 10, к. 3, кв. 1</v>
          </cell>
          <cell r="F1166" t="str">
            <v>Москва</v>
          </cell>
          <cell r="G1166">
            <v>0.66009259259259256</v>
          </cell>
          <cell r="H1166">
            <v>0.91009259259259256</v>
          </cell>
          <cell r="I1166" t="str">
            <v>ОК</v>
          </cell>
          <cell r="J1166" t="str">
            <v>ОК</v>
          </cell>
        </row>
        <row r="1167">
          <cell r="B1167" t="str">
            <v>В-04229/КЛ.Транш - 1_В-20211230/Ц</v>
          </cell>
          <cell r="C1167" t="str">
            <v>РОССИЯ, 195276, Санкт-Петербург г, Суздальский пр-кт, дом 67, квартира 57</v>
          </cell>
          <cell r="D1167" t="str">
            <v>РОССИЯ, 195276, Санкт-Петербург г, Суздальский пр-кт, дом 67, квартира 57</v>
          </cell>
          <cell r="F1167" t="str">
            <v>Москва</v>
          </cell>
          <cell r="G1167">
            <v>0.66009259259259256</v>
          </cell>
          <cell r="H1167">
            <v>0.91009259259259256</v>
          </cell>
          <cell r="I1167" t="str">
            <v>ОК</v>
          </cell>
          <cell r="J1167" t="str">
            <v>ОК</v>
          </cell>
        </row>
        <row r="1168">
          <cell r="B1168" t="str">
            <v>В-21048/КЛ.Транш - 1</v>
          </cell>
          <cell r="C1168" t="str">
            <v>РОССИЯ, 115597, Москва г, вн.тер. г. муниципальный округ Орехово-Борисово Южное, ул Воронежская, д. 56, кв. 71</v>
          </cell>
          <cell r="D1168" t="str">
            <v>РОССИЯ, 115597, Москва г, вн.тер. г. муниципальный округ Орехово-Борисово Южное, ул Воронежская, д. 56, кв. 71</v>
          </cell>
          <cell r="F1168" t="str">
            <v>Москва</v>
          </cell>
          <cell r="G1168">
            <v>0.66009259259259256</v>
          </cell>
          <cell r="H1168">
            <v>0.91009259259259256</v>
          </cell>
          <cell r="I1168" t="str">
            <v>ОК</v>
          </cell>
          <cell r="J1168" t="str">
            <v>ОК</v>
          </cell>
        </row>
        <row r="1169">
          <cell r="B1169" t="str">
            <v>В-08204/КЛ.Транш - 1</v>
          </cell>
          <cell r="C1169" t="str">
            <v>РОССИЯ, 142261, Московская обл, Серпухов г, Липицы с, Спортивная ул, дом 35</v>
          </cell>
          <cell r="D1169" t="str">
            <v>РОССИЯ, 142261, Московская обл, Серпухов г, Липицы с, Спортивная ул, дом 35</v>
          </cell>
          <cell r="F1169" t="str">
            <v>Московская</v>
          </cell>
          <cell r="G1169">
            <v>0.66009259259259256</v>
          </cell>
          <cell r="H1169">
            <v>0.91009259259259256</v>
          </cell>
          <cell r="I1169" t="str">
            <v>ОК</v>
          </cell>
          <cell r="J1169" t="str">
            <v>ОК</v>
          </cell>
        </row>
        <row r="1170">
          <cell r="B1170" t="str">
            <v>В-01119/АЗ_А-20210929/Ц</v>
          </cell>
          <cell r="C1170" t="str">
            <v>РОССИЯ, 125480, Москва г, Героев Панфиловцев ул, дом 9, корпус 2, квартира 460</v>
          </cell>
          <cell r="D1170" t="str">
            <v>РОССИЯ, 125480, Москва г, Героев Панфиловцев ул, дом 9, корпус 2, квартира 460</v>
          </cell>
          <cell r="F1170" t="str">
            <v>Москва</v>
          </cell>
          <cell r="G1170">
            <v>0.66009259259259256</v>
          </cell>
          <cell r="H1170">
            <v>0.91009259259259256</v>
          </cell>
          <cell r="I1170" t="str">
            <v>ОК</v>
          </cell>
          <cell r="J1170" t="str">
            <v>ОК</v>
          </cell>
        </row>
        <row r="1171">
          <cell r="B1171" t="str">
            <v>В-27407/КЛ.Транш - 1</v>
          </cell>
          <cell r="C1171" t="str">
            <v>РОССИЯ, 414004, Астраханская обл, г.о. город Астрахань, г Астрахань, ул Красная Набережная, д. 117</v>
          </cell>
          <cell r="D1171" t="str">
            <v>РОССИЯ, Московская обл, р-н Ленинский, г Видное, Березовая ул, д. 10В, кв. 241</v>
          </cell>
          <cell r="F1171" t="str">
            <v>Московская</v>
          </cell>
          <cell r="G1171">
            <v>0.66009259259259256</v>
          </cell>
          <cell r="H1171">
            <v>0.91009259259259256</v>
          </cell>
          <cell r="I1171" t="str">
            <v>ОК</v>
          </cell>
          <cell r="J1171" t="str">
            <v>ОК</v>
          </cell>
        </row>
        <row r="1172">
          <cell r="B1172" t="str">
            <v>В-25593/КЛ.Транш - 1</v>
          </cell>
          <cell r="C1172" t="str">
            <v>РОССИЯ, 354008, Краснодарский край, г.о. город-курорт Сочи, г Сочи, р-н Центральный, пер Рахманинова, д. 8/2</v>
          </cell>
          <cell r="D1172" t="str">
            <v>РОССИЯ, 354008, Краснодарский край, г.о. город-курорт Сочи, г Сочи, р-н Центральный, пер Рахманинова, д. 8/2</v>
          </cell>
          <cell r="F1172" t="str">
            <v>Краснодарский</v>
          </cell>
          <cell r="G1172">
            <v>0.66009259259259256</v>
          </cell>
          <cell r="H1172">
            <v>0.91009259259259256</v>
          </cell>
          <cell r="I1172" t="str">
            <v>ОК</v>
          </cell>
          <cell r="J1172" t="str">
            <v>ОК</v>
          </cell>
        </row>
        <row r="1173">
          <cell r="B1173" t="str">
            <v>В-17062/КЛ.Транш - 1</v>
          </cell>
          <cell r="C1173" t="str">
            <v>РОССИЯ, 309024, Белгородская обл, р-н Прохоровский, с Боброво, ул Привольная, д. 33</v>
          </cell>
          <cell r="D1173" t="str">
            <v>РОССИЯ, 308012, Белгородская обл, г Белгород, ул Костюкова, д. 47</v>
          </cell>
          <cell r="F1173" t="str">
            <v>Белгородская</v>
          </cell>
          <cell r="G1173">
            <v>0.66009259259259256</v>
          </cell>
          <cell r="H1173">
            <v>0.91009259259259256</v>
          </cell>
          <cell r="I1173" t="str">
            <v>ОК</v>
          </cell>
          <cell r="J1173" t="str">
            <v>ОК</v>
          </cell>
        </row>
        <row r="1174">
          <cell r="B1174" t="str">
            <v>В-17062/КЛ.Транш - 2</v>
          </cell>
          <cell r="C1174" t="str">
            <v>РОССИЯ, 309024, Белгородская обл, р-н Прохоровский, с Боброво, ул Привольная, д. 33</v>
          </cell>
          <cell r="D1174" t="str">
            <v>РОССИЯ, 308012, Белгородская обл, г Белгород, ул Костюкова, д. 47</v>
          </cell>
          <cell r="F1174" t="str">
            <v>Белгородская</v>
          </cell>
          <cell r="G1174">
            <v>0.66009259259259256</v>
          </cell>
          <cell r="H1174">
            <v>0.91009259259259256</v>
          </cell>
          <cell r="I1174" t="str">
            <v>ОК</v>
          </cell>
          <cell r="J1174" t="str">
            <v>ОК</v>
          </cell>
        </row>
        <row r="1175">
          <cell r="B1175" t="str">
            <v>В-17062/КЛ.Транш - 3</v>
          </cell>
          <cell r="C1175" t="str">
            <v>РОССИЯ, 309024, Белгородская обл, р-н Прохоровский, с Боброво, ул Привольная, д. 33</v>
          </cell>
          <cell r="D1175" t="str">
            <v>РОССИЯ, 308012, Белгородская обл, г Белгород, ул Костюкова, д. 47</v>
          </cell>
          <cell r="F1175" t="str">
            <v>Белгородская</v>
          </cell>
          <cell r="G1175">
            <v>0.66009259259259256</v>
          </cell>
          <cell r="H1175">
            <v>0.91009259259259256</v>
          </cell>
          <cell r="I1175" t="str">
            <v>ОК</v>
          </cell>
          <cell r="J1175" t="str">
            <v>ОК</v>
          </cell>
        </row>
        <row r="1176">
          <cell r="B1176" t="str">
            <v>В-00469/АЗ_В-20211230/Ц</v>
          </cell>
          <cell r="C1176" t="str">
            <v>РОССИЯ, 249250, Калужская обл, Мещовский р-н, Филинка д, Садовая ул, дом 1</v>
          </cell>
          <cell r="D1176" t="str">
            <v>РОССИЯ, 115404, Москва г, Липецкая ул, дом 22, корпус 1, квартира 90</v>
          </cell>
          <cell r="F1176" t="str">
            <v>Москва</v>
          </cell>
          <cell r="G1176">
            <v>0.66009259259259256</v>
          </cell>
          <cell r="H1176">
            <v>0.91009259259259256</v>
          </cell>
          <cell r="I1176" t="str">
            <v>ОК</v>
          </cell>
          <cell r="J1176" t="str">
            <v>ОК</v>
          </cell>
        </row>
        <row r="1177">
          <cell r="B1177" t="str">
            <v>В-13104/КЛ.Транш - 1</v>
          </cell>
          <cell r="C1177" t="str">
            <v>РОССИЯ, 141704, Московская обл, Долгопрудный г, Старое Дмитровское ш, дом 11, квартира 1023</v>
          </cell>
          <cell r="D1177" t="str">
            <v>РОССИЯ, 141704, Московская обл, Долгопрудный г, Старое Дмитровское ш, дом 11, квартира 1023</v>
          </cell>
          <cell r="F1177" t="str">
            <v>Московская</v>
          </cell>
          <cell r="G1177">
            <v>0.66009259259259256</v>
          </cell>
          <cell r="H1177">
            <v>0.91009259259259256</v>
          </cell>
          <cell r="I1177" t="str">
            <v>ОК</v>
          </cell>
          <cell r="J1177" t="str">
            <v>ОК</v>
          </cell>
        </row>
        <row r="1178">
          <cell r="B1178" t="str">
            <v>В-18757/КЛ.Транш - 1</v>
          </cell>
          <cell r="C1178" t="str">
            <v>РОССИЯ, 143009, Московская обл, г Одинцово, ул Северная, д. 5, к. 4, кв. 306</v>
          </cell>
          <cell r="D1178" t="str">
            <v>РОССИЯ, 143009, Московская обл, г Одинцово, ул Северная, д. 5, к. 4, кв. 306</v>
          </cell>
          <cell r="F1178" t="str">
            <v>Московская</v>
          </cell>
          <cell r="G1178">
            <v>0.66009259259259256</v>
          </cell>
          <cell r="H1178">
            <v>0.91009259259259256</v>
          </cell>
          <cell r="I1178" t="str">
            <v>ОК</v>
          </cell>
          <cell r="J1178" t="str">
            <v>ОК</v>
          </cell>
        </row>
        <row r="1179">
          <cell r="B1179" t="str">
            <v>В-23728/КЛ.Транш - 1</v>
          </cell>
          <cell r="C1179" t="str">
            <v>РОССИЯ, 344016, Ростовская обл, г Ростов-на-Дону, ул Таганрогская, д. 112/1, кв. 60</v>
          </cell>
          <cell r="D1179" t="str">
            <v>РОССИЯ, 344016, Ростовская обл, г Ростов-на-Дону, ул Таганрогская, д. 112/1, кв. 60</v>
          </cell>
          <cell r="F1179" t="str">
            <v>Ростовская</v>
          </cell>
          <cell r="G1179">
            <v>0.66009259259259256</v>
          </cell>
          <cell r="H1179">
            <v>0.91009259259259256</v>
          </cell>
          <cell r="I1179" t="str">
            <v>ОК</v>
          </cell>
          <cell r="J1179" t="str">
            <v>ОК</v>
          </cell>
        </row>
        <row r="1180">
          <cell r="B1180" t="str">
            <v>А-04022/АЗ</v>
          </cell>
          <cell r="C1180" t="str">
            <v>РОССИЯ, 127081, Москва г, Молодцова ул, дом № 19, корпус 2, квартира 15</v>
          </cell>
          <cell r="D1180" t="str">
            <v>РОССИЯ, 127081, Москва г, Молодцова ул, дом № 19, корпус 2, квартира 15</v>
          </cell>
          <cell r="F1180" t="str">
            <v>Москва</v>
          </cell>
          <cell r="G1180">
            <v>0.66009259259259256</v>
          </cell>
          <cell r="H1180">
            <v>0.91009259259259256</v>
          </cell>
          <cell r="I1180" t="str">
            <v>ОК</v>
          </cell>
          <cell r="J1180" t="str">
            <v>ОК</v>
          </cell>
        </row>
        <row r="1181">
          <cell r="B1181" t="str">
            <v>В-05425/КЛ.Транш - 1_В-20211230/Ц</v>
          </cell>
          <cell r="C1181" t="str">
            <v>РОССИЯ, 140050, Московская обл, городской округ Люберцы, Красково дп, 2-й Осоавиахимовский проезд, дом 12, квартира 364</v>
          </cell>
          <cell r="D1181" t="str">
            <v>РОССИЯ, 140051, Московская обл, городской округ Люберцы, Красково дп, Лорха ул, дом 15, строение 1, квартира 232</v>
          </cell>
          <cell r="F1181" t="str">
            <v>Московская</v>
          </cell>
          <cell r="G1181">
            <v>0.66009259259259256</v>
          </cell>
          <cell r="H1181">
            <v>0.91009259259259256</v>
          </cell>
          <cell r="I1181" t="str">
            <v>ОК</v>
          </cell>
          <cell r="J1181" t="str">
            <v>ОК</v>
          </cell>
        </row>
        <row r="1182">
          <cell r="B1182" t="str">
            <v>В-05425/КЛ.Транш - 2_В-20211230/Ц</v>
          </cell>
          <cell r="C1182" t="str">
            <v>РОССИЯ, 140050, Московская обл, городской округ Люберцы, Красково дп, 2-й Осоавиахимовский проезд, дом 12, квартира 364</v>
          </cell>
          <cell r="D1182" t="str">
            <v>РОССИЯ, 140051, Московская обл, городской округ Люберцы, Красково дп, Лорха ул, дом 15, строение 1, квартира 232</v>
          </cell>
          <cell r="F1182" t="str">
            <v>Московская</v>
          </cell>
          <cell r="G1182">
            <v>0.66009259259259256</v>
          </cell>
          <cell r="H1182">
            <v>0.91009259259259256</v>
          </cell>
          <cell r="I1182" t="str">
            <v>ОК</v>
          </cell>
          <cell r="J1182" t="str">
            <v>ОК</v>
          </cell>
        </row>
        <row r="1183">
          <cell r="B1183" t="str">
            <v>В-27878/АЗ</v>
          </cell>
          <cell r="C1183" t="str">
            <v>РОССИЯ, 143021, Московская обл, г Одинцово, д Семенково, ГП-10 тер, д. 11</v>
          </cell>
          <cell r="D1183" t="str">
            <v>РОССИЯ, 143021, Московская обл, г Одинцово, д Семенково, ГП-10 тер, д. 11</v>
          </cell>
          <cell r="F1183" t="str">
            <v>Московская</v>
          </cell>
          <cell r="G1183">
            <v>0.66009259259259256</v>
          </cell>
          <cell r="H1183">
            <v>0.91009259259259256</v>
          </cell>
          <cell r="I1183" t="str">
            <v>ОК</v>
          </cell>
          <cell r="J1183" t="str">
            <v>ОК</v>
          </cell>
        </row>
        <row r="1184">
          <cell r="B1184" t="str">
            <v>В-20205/КЛ.Транш - 1</v>
          </cell>
          <cell r="C1184" t="str">
            <v>РОССИЯ, 299003, Севастополь г, ул Харьковская, д. 35/70, кв. 2</v>
          </cell>
          <cell r="D1184" t="str">
            <v>РОССИЯ, 299003, Севастополь г, ул Харьковская, д. 35/70, кв. 2</v>
          </cell>
          <cell r="F1184" t="str">
            <v>Москва</v>
          </cell>
          <cell r="G1184">
            <v>0.66009259259259256</v>
          </cell>
          <cell r="H1184">
            <v>0.91009259259259256</v>
          </cell>
          <cell r="I1184" t="str">
            <v>ОК</v>
          </cell>
          <cell r="J1184" t="str">
            <v>ОК</v>
          </cell>
        </row>
        <row r="1185">
          <cell r="B1185" t="str">
            <v>В-15682/КЛ.Транш - 1</v>
          </cell>
          <cell r="C1185" t="str">
            <v>РОССИЯ, 344092, Ростовская обл, Ростов-на-Дону г, Капустина ул, дом 10, квартира 34</v>
          </cell>
          <cell r="D1185" t="str">
            <v>РОССИЯ, 350003, Краснодарский край, Краснодар г, им. 70-летия Октября ул, дом 12, корпус 1, квартира 94</v>
          </cell>
          <cell r="F1185" t="str">
            <v>Краснодарский</v>
          </cell>
          <cell r="G1185">
            <v>0.66009259259259256</v>
          </cell>
          <cell r="H1185">
            <v>0.91009259259259256</v>
          </cell>
          <cell r="I1185" t="str">
            <v>ОК</v>
          </cell>
          <cell r="J1185" t="str">
            <v>ОК</v>
          </cell>
        </row>
        <row r="1186">
          <cell r="B1186" t="str">
            <v>В-17910/КЛ.Транш - 1</v>
          </cell>
          <cell r="C1186" t="str">
            <v>РОССИЯ, 297536, Крым респ, р-н Симферопольский, с Укромное, ул Октябрьская, д. 130</v>
          </cell>
          <cell r="D1186" t="str">
            <v>РОССИЯ, 297536, Крым респ, р-н Симферопольский, с Укромное, ул Октябрьская, д. 130</v>
          </cell>
          <cell r="F1186" t="str">
            <v>Крым</v>
          </cell>
          <cell r="G1186">
            <v>0.66009259259259256</v>
          </cell>
          <cell r="H1186">
            <v>0.91009259259259256</v>
          </cell>
          <cell r="I1186" t="str">
            <v>ОК</v>
          </cell>
          <cell r="J1186" t="str">
            <v>ОК</v>
          </cell>
        </row>
        <row r="1187">
          <cell r="B1187" t="str">
            <v>В-24521/КЛ.Транш - 1</v>
          </cell>
          <cell r="C1187" t="str">
            <v>РОССИЯ, 410005, Саратовская обл, г Саратов, ул Большая Горная, д. 245/265, кв. 26</v>
          </cell>
          <cell r="D1187" t="str">
            <v>РОССИЯ, 410010, Саратовская обл, г Саратов, ул Артиллерийская, д. 12, кв. 152</v>
          </cell>
          <cell r="F1187" t="str">
            <v>Саратовская</v>
          </cell>
          <cell r="G1187">
            <v>0.66009259259259256</v>
          </cell>
          <cell r="H1187">
            <v>0.91009259259259256</v>
          </cell>
          <cell r="I1187" t="str">
            <v>ОК</v>
          </cell>
          <cell r="J1187" t="str">
            <v>ОК</v>
          </cell>
        </row>
        <row r="1188">
          <cell r="B1188" t="str">
            <v>Т-01885/АЗ_Т-20211028/Ц</v>
          </cell>
          <cell r="C1188" t="str">
            <v>РОССИЯ, 248009, Калужская обл, Калуга г, Грабцевское ш, дом 22А, квартира 7</v>
          </cell>
          <cell r="D1188" t="str">
            <v>РОССИЯ, 143002, Московская обл, г Одинцово, п ВНИИССОК, ул Бородинская, д. 3, кв. 137</v>
          </cell>
          <cell r="F1188" t="str">
            <v>Московская</v>
          </cell>
          <cell r="G1188">
            <v>0.66009259259259256</v>
          </cell>
          <cell r="H1188">
            <v>0.91009259259259256</v>
          </cell>
          <cell r="I1188" t="str">
            <v>ОК</v>
          </cell>
          <cell r="J1188" t="str">
            <v>ОК</v>
          </cell>
        </row>
        <row r="1189">
          <cell r="B1189" t="str">
            <v>В-06379/КЛ.Транш - 1</v>
          </cell>
          <cell r="C1189" t="str">
            <v>РОССИЯ, 140125, Московская обл, Раменское г, Островцы д, Подмосковная ул, дом 29, квартира 307</v>
          </cell>
          <cell r="D1189" t="str">
            <v>РОССИЯ, 140125, Московская обл, Раменское г, Островцы д, Подмосковная ул, дом 29, квартира 307</v>
          </cell>
          <cell r="F1189" t="str">
            <v>Московская</v>
          </cell>
          <cell r="G1189">
            <v>0.66009259259259256</v>
          </cell>
          <cell r="H1189">
            <v>0.91009259259259256</v>
          </cell>
          <cell r="I1189" t="str">
            <v>ОК</v>
          </cell>
          <cell r="J1189" t="str">
            <v>ОК</v>
          </cell>
        </row>
        <row r="1190">
          <cell r="B1190" t="str">
            <v>В-23424/КЛ.Транш - 1</v>
          </cell>
          <cell r="C1190" t="str">
            <v>РОССИЯ, 117042, Москва г, ул Южнобутовская, д. 113, кв. 29</v>
          </cell>
          <cell r="D1190" t="str">
            <v>РОССИЯ, 117042, Москва г, ул Южнобутовская, д. 113, кв. 29</v>
          </cell>
          <cell r="F1190" t="str">
            <v>Москва</v>
          </cell>
          <cell r="G1190">
            <v>0.66009259259259256</v>
          </cell>
          <cell r="H1190">
            <v>0.91009259259259256</v>
          </cell>
          <cell r="I1190" t="str">
            <v>ОК</v>
          </cell>
          <cell r="J1190" t="str">
            <v>ОК</v>
          </cell>
        </row>
        <row r="1191">
          <cell r="B1191" t="str">
            <v>В-12226/КЛ.Транш - 2</v>
          </cell>
          <cell r="C1191" t="str">
            <v>РОССИЯ, 140055, Московская обл, Котельники г, 3-й Покровский проезд, дом 3, квартира 88</v>
          </cell>
          <cell r="D1191" t="str">
            <v>РОССИЯ, 140055, Московская обл, Котельники г, 3-й Покровский проезд, дом 3, квартира 88</v>
          </cell>
          <cell r="F1191" t="str">
            <v>Московская</v>
          </cell>
          <cell r="G1191">
            <v>0.66009259259259256</v>
          </cell>
          <cell r="H1191">
            <v>0.91009259259259256</v>
          </cell>
          <cell r="I1191" t="str">
            <v>ОК</v>
          </cell>
          <cell r="J1191" t="str">
            <v>ОК</v>
          </cell>
        </row>
        <row r="1192">
          <cell r="B1192" t="str">
            <v>В-12276/КЛ.Транш - 2</v>
          </cell>
          <cell r="C1192" t="str">
            <v>РОССИЯ, 108803, Москва г, поселение Воскресенское, Милорадово д, дом 123</v>
          </cell>
          <cell r="D1192" t="str">
            <v>РОССИЯ, 108803, Москва г, поселение Воскресенское, Милорадово д, дом 123</v>
          </cell>
          <cell r="F1192" t="str">
            <v>Москва</v>
          </cell>
          <cell r="G1192">
            <v>0.66009259259259256</v>
          </cell>
          <cell r="H1192">
            <v>0.91009259259259256</v>
          </cell>
          <cell r="I1192" t="str">
            <v>ОК</v>
          </cell>
          <cell r="J1192" t="str">
            <v>ОК</v>
          </cell>
        </row>
        <row r="1193">
          <cell r="B1193" t="str">
            <v>В-19326/КЛ.Транш - 1</v>
          </cell>
          <cell r="C1193" t="str">
            <v>РОССИЯ, 107065, Москва г, Хабаровская ул, дом 23, корпус 3, квартира 449</v>
          </cell>
          <cell r="D1193" t="str">
            <v>РОССИЯ, 107065, Москва г, Хабаровская ул, дом 23, корпус 3, квартира 449</v>
          </cell>
          <cell r="F1193" t="str">
            <v>Москва</v>
          </cell>
          <cell r="G1193">
            <v>0.66009259259259256</v>
          </cell>
          <cell r="H1193">
            <v>0.91009259259259256</v>
          </cell>
          <cell r="I1193" t="str">
            <v>ОК</v>
          </cell>
          <cell r="J1193" t="str">
            <v>ОК</v>
          </cell>
        </row>
        <row r="1194">
          <cell r="B1194" t="str">
            <v>В-17417/КЛ.Транш - 1</v>
          </cell>
          <cell r="C1194" t="str">
            <v>РОССИЯ, 117624, Москва г, ул Скобелевская, д. 26, кв. 164</v>
          </cell>
          <cell r="D1194" t="str">
            <v>РОССИЯ, 107150, Москва г, ул Ивантеевская, д. 13, кв. 86</v>
          </cell>
          <cell r="F1194" t="str">
            <v>Москва</v>
          </cell>
          <cell r="G1194">
            <v>0.66009259259259256</v>
          </cell>
          <cell r="H1194">
            <v>0.91009259259259256</v>
          </cell>
          <cell r="I1194" t="str">
            <v>ОК</v>
          </cell>
          <cell r="J1194" t="str">
            <v>ОК</v>
          </cell>
        </row>
        <row r="1195">
          <cell r="B1195" t="str">
            <v>В-26452/КЛ.Транш - 1</v>
          </cell>
          <cell r="C1195" t="str">
            <v>РОССИЯ, 344030, Ростовская обл, г Ростов-на-Дону, ул Буйнакская, д. 29/93, кв. 21</v>
          </cell>
          <cell r="D1195" t="str">
            <v>РОССИЯ, 344030, Ростовская обл, г Ростов-на-Дону, ул Буйнакская, д. 29/93, кв. 21</v>
          </cell>
          <cell r="F1195" t="str">
            <v>Ростовская</v>
          </cell>
          <cell r="G1195">
            <v>0.66009259259259256</v>
          </cell>
          <cell r="H1195">
            <v>0.91009259259259256</v>
          </cell>
          <cell r="I1195" t="str">
            <v>ОК</v>
          </cell>
          <cell r="J1195" t="str">
            <v>ОК</v>
          </cell>
        </row>
        <row r="1196">
          <cell r="B1196" t="str">
            <v>В-01061/АЗ</v>
          </cell>
          <cell r="C1196" t="str">
            <v>РОССИЯ, 129346, Москва г, Норильская ул, дом 6, квартира 326</v>
          </cell>
          <cell r="D1196" t="str">
            <v>РОССИЯ, 117148, Москва г, Брусилова ул, дом 11, квартира 56</v>
          </cell>
          <cell r="F1196" t="str">
            <v>Москва</v>
          </cell>
          <cell r="G1196">
            <v>0.66009259259259256</v>
          </cell>
          <cell r="H1196">
            <v>0.91009259259259256</v>
          </cell>
          <cell r="I1196" t="str">
            <v>ОК</v>
          </cell>
          <cell r="J1196" t="str">
            <v>ОК</v>
          </cell>
        </row>
        <row r="1197">
          <cell r="B1197" t="str">
            <v>В-00147/АЗ_Т-20211028/Ц</v>
          </cell>
          <cell r="C1197" t="str">
            <v>РОССИЯ, 142631, Московская обл, Орехово-Зуевский р-н, Трусово д, дом № 43</v>
          </cell>
          <cell r="D1197" t="str">
            <v>РОССИЯ, 142631, Московская обл, Орехово-Зуевский р-н, Трусово д, дом № 43</v>
          </cell>
          <cell r="F1197" t="str">
            <v>Московская</v>
          </cell>
          <cell r="G1197">
            <v>0.66009259259259256</v>
          </cell>
          <cell r="H1197">
            <v>0.91009259259259256</v>
          </cell>
          <cell r="I1197" t="str">
            <v>ОК</v>
          </cell>
          <cell r="J1197" t="str">
            <v>ОК</v>
          </cell>
        </row>
        <row r="1198">
          <cell r="B1198" t="str">
            <v>В-16457/КЛ.Транш - 1_В-20211230/Ц</v>
          </cell>
          <cell r="C1198" t="str">
            <v>РОССИЯ, 295022, Крым респ, Симферополь г, Виноградная ул, дом 31</v>
          </cell>
          <cell r="D1198" t="str">
            <v>РОССИЯ, 295022, Крым респ, Симферополь г, Виноградная ул, дом 31</v>
          </cell>
          <cell r="F1198" t="str">
            <v>Крым</v>
          </cell>
          <cell r="G1198">
            <v>0.66009259259259256</v>
          </cell>
          <cell r="H1198">
            <v>0.91009259259259256</v>
          </cell>
          <cell r="I1198" t="str">
            <v>ОК</v>
          </cell>
          <cell r="J1198" t="str">
            <v>ОК</v>
          </cell>
        </row>
        <row r="1199">
          <cell r="B1199" t="str">
            <v>В-22309/АЗ</v>
          </cell>
          <cell r="C1199" t="str">
            <v>РОССИЯ, 300062, Тульская обл, г Тула, ул М.Горького, д. 15, кв. 86</v>
          </cell>
          <cell r="D1199" t="str">
            <v>РОССИЯ, 300062, Тульская обл, г Тула, ул М.Горького, д. 15, кв. 86</v>
          </cell>
          <cell r="F1199" t="str">
            <v>Тульская</v>
          </cell>
          <cell r="G1199">
            <v>0.66009259259259256</v>
          </cell>
          <cell r="H1199">
            <v>0.91009259259259256</v>
          </cell>
          <cell r="I1199" t="str">
            <v>ОК</v>
          </cell>
          <cell r="J1199" t="str">
            <v>ОК</v>
          </cell>
        </row>
        <row r="1200">
          <cell r="B1200" t="str">
            <v>В-11892/КЛ.Транш - 1_А-20210929/Ц</v>
          </cell>
          <cell r="C1200" t="str">
            <v>РОССИЯ, 119192, Москва г, Мичуринский пр-кт, дом 38, квартира 125</v>
          </cell>
          <cell r="D1200" t="str">
            <v>РОССИЯ, 119136, Москва г, 2-й Сетуньский пр-д, дом 13, квартира 2</v>
          </cell>
          <cell r="F1200" t="str">
            <v>Москва</v>
          </cell>
          <cell r="G1200">
            <v>0.66009259259259256</v>
          </cell>
          <cell r="H1200">
            <v>0.91009259259259256</v>
          </cell>
          <cell r="I1200" t="str">
            <v>ОК</v>
          </cell>
          <cell r="J1200" t="str">
            <v>ОК</v>
          </cell>
        </row>
        <row r="1201">
          <cell r="B1201" t="str">
            <v>В-23085/КЛ.Транш - 1</v>
          </cell>
          <cell r="C1201" t="str">
            <v>РОССИЯ, 364058, Чеченская респ, г Грозный, ул им Бородина, двлд. 62</v>
          </cell>
          <cell r="D1201" t="str">
            <v>РОССИЯ, 364058, Иркутская обл, г Иркутск, ул. СНТ 6-я Пятилетка, Сторожевая, д. 18</v>
          </cell>
          <cell r="F1201" t="str">
            <v>Иркутская</v>
          </cell>
          <cell r="G1201">
            <v>0.66009259259259256</v>
          </cell>
          <cell r="H1201">
            <v>0.11842592592592593</v>
          </cell>
          <cell r="I1201" t="str">
            <v>поздно</v>
          </cell>
          <cell r="J1201" t="str">
            <v>ОК</v>
          </cell>
        </row>
        <row r="1202">
          <cell r="B1202" t="str">
            <v>А-05130/АЗ</v>
          </cell>
          <cell r="C1202" t="str">
            <v>РОССИЯ, 142611, Московская обл, Орехово-Зуево г, Пролетарская ул, дом № 11, квартира 98</v>
          </cell>
          <cell r="D1202" t="str">
            <v>РОССИЯ, 142611, Московская обл, Орехово-Зуево г, Пролетарская ул, дом № 11, квартира 98</v>
          </cell>
          <cell r="F1202" t="str">
            <v>Московская</v>
          </cell>
          <cell r="G1202">
            <v>0.66009259259259256</v>
          </cell>
          <cell r="H1202">
            <v>0.91009259259259256</v>
          </cell>
          <cell r="I1202" t="str">
            <v>ОК</v>
          </cell>
          <cell r="J1202" t="str">
            <v>ОК</v>
          </cell>
        </row>
        <row r="1203">
          <cell r="B1203" t="str">
            <v>В-19949/КЛ.Транш - 1</v>
          </cell>
          <cell r="C1203" t="str">
            <v>РОССИЯ, 164000, Архангельская обл, р-н Коношский, п Ерцево, ул Северная, д. 16, кв. 10</v>
          </cell>
          <cell r="D1203" t="str">
            <v>РОССИЯ, 150518, Ярославская обл, р-н Ярославский, п Красный Бор, кв-л Светлояр, д. 3, кв. 140</v>
          </cell>
          <cell r="F1203" t="str">
            <v>Ярославская</v>
          </cell>
          <cell r="G1203">
            <v>0.66009259259259256</v>
          </cell>
          <cell r="H1203">
            <v>0.91009259259259256</v>
          </cell>
          <cell r="I1203" t="str">
            <v>ОК</v>
          </cell>
          <cell r="J1203" t="str">
            <v>ОК</v>
          </cell>
        </row>
        <row r="1204">
          <cell r="B1204" t="str">
            <v>В-09649/КЛ.Транш - 1</v>
          </cell>
          <cell r="C1204" t="str">
            <v>РОССИЯ, 624221, Свердловская обл, Нижняя Тура г, Скорынина ул, дом 7, квартира 45</v>
          </cell>
          <cell r="D1204" t="str">
            <v>РОССИЯ, 624221, Свердловская обл, Нижняя Тура г, Скорынина ул, дом 7, квартира 45</v>
          </cell>
          <cell r="F1204" t="str">
            <v>Свердловская</v>
          </cell>
          <cell r="G1204">
            <v>0.66009259259259256</v>
          </cell>
          <cell r="H1204">
            <v>0.99342592592592593</v>
          </cell>
          <cell r="I1204" t="str">
            <v>поздно</v>
          </cell>
          <cell r="J1204" t="str">
            <v>ОК</v>
          </cell>
        </row>
        <row r="1205">
          <cell r="B1205" t="str">
            <v>В-07520/КЛ.Транш - 2</v>
          </cell>
          <cell r="C1205" t="str">
            <v>РОССИЯ, 141292, Московская обл, Красноармейск г, Дачная ул, дом 11, квартира 32</v>
          </cell>
          <cell r="D1205" t="str">
            <v>РОССИЯ, 141292, Московская обл, Красноармейск г, Дачная ул, дом 11, квартира 32</v>
          </cell>
          <cell r="F1205" t="str">
            <v>Московская</v>
          </cell>
          <cell r="G1205">
            <v>0.66009259259259256</v>
          </cell>
          <cell r="H1205">
            <v>0.91009259259259256</v>
          </cell>
          <cell r="I1205" t="str">
            <v>ОК</v>
          </cell>
          <cell r="J1205" t="str">
            <v>ОК</v>
          </cell>
        </row>
        <row r="1206">
          <cell r="B1206" t="str">
            <v>В-07559/КЛ.Транш - 1</v>
          </cell>
          <cell r="C1206" t="str">
            <v>РОССИЯ, 143906, Московская обл, Балашиха г, Изумрудный кв-л, дом 1, квартира 270</v>
          </cell>
          <cell r="D1206" t="str">
            <v>РОССИЯ, 143906, Московская обл, Балашиха г, Изумрудный кв-л, дом 1, квартира 270</v>
          </cell>
          <cell r="F1206" t="str">
            <v>Московская</v>
          </cell>
          <cell r="G1206">
            <v>0.66009259259259256</v>
          </cell>
          <cell r="H1206">
            <v>0.91009259259259256</v>
          </cell>
          <cell r="I1206" t="str">
            <v>ОК</v>
          </cell>
          <cell r="J1206" t="str">
            <v>ОК</v>
          </cell>
        </row>
        <row r="1207">
          <cell r="B1207" t="str">
            <v>В-07559/КЛ.Транш - 3</v>
          </cell>
          <cell r="C1207" t="str">
            <v>РОССИЯ, 143906, Московская обл, Балашиха г, Изумрудный кв-л, дом 1, квартира 270</v>
          </cell>
          <cell r="D1207" t="str">
            <v>РОССИЯ, 143906, Московская обл, Балашиха г, Изумрудный кв-л, дом 1, квартира 270</v>
          </cell>
          <cell r="F1207" t="str">
            <v>Московская</v>
          </cell>
          <cell r="G1207">
            <v>0.66009259259259256</v>
          </cell>
          <cell r="H1207">
            <v>0.91009259259259256</v>
          </cell>
          <cell r="I1207" t="str">
            <v>ОК</v>
          </cell>
          <cell r="J1207" t="str">
            <v>ОК</v>
          </cell>
        </row>
        <row r="1208">
          <cell r="B1208" t="str">
            <v>В-07559/КЛ.Транш - 4</v>
          </cell>
          <cell r="C1208" t="str">
            <v>РОССИЯ, 143906, Московская обл, Балашиха г, Изумрудный кв-л, дом 1, квартира 270</v>
          </cell>
          <cell r="D1208" t="str">
            <v>РОССИЯ, 143906, Московская обл, Балашиха г, Изумрудный кв-л, дом 1, квартира 270</v>
          </cell>
          <cell r="F1208" t="str">
            <v>Московская</v>
          </cell>
          <cell r="G1208">
            <v>0.66009259259259256</v>
          </cell>
          <cell r="H1208">
            <v>0.91009259259259256</v>
          </cell>
          <cell r="I1208" t="str">
            <v>ОК</v>
          </cell>
          <cell r="J1208" t="str">
            <v>ОК</v>
          </cell>
        </row>
        <row r="1209">
          <cell r="B1209" t="str">
            <v>В-07559/КЛ.Транш - 5</v>
          </cell>
          <cell r="C1209" t="str">
            <v>РОССИЯ, 143906, Московская обл, Балашиха г, Изумрудный кв-л, дом 1, квартира 270</v>
          </cell>
          <cell r="D1209" t="str">
            <v>РОССИЯ, 143906, Московская обл, Балашиха г, Изумрудный кв-л, дом 1, квартира 270</v>
          </cell>
          <cell r="F1209" t="str">
            <v>Московская</v>
          </cell>
          <cell r="G1209">
            <v>0.66009259259259256</v>
          </cell>
          <cell r="H1209">
            <v>0.91009259259259256</v>
          </cell>
          <cell r="I1209" t="str">
            <v>ОК</v>
          </cell>
          <cell r="J1209" t="str">
            <v>ОК</v>
          </cell>
        </row>
        <row r="1210">
          <cell r="B1210" t="str">
            <v>В-13742/КЛ.Транш - 1</v>
          </cell>
          <cell r="C1210" t="str">
            <v>РОССИЯ, 117534, Москва г, Чертановская ул, дом 66, корпус 1, квартира 26</v>
          </cell>
          <cell r="D1210" t="str">
            <v>РОССИЯ, 117534, Москва г, Чертановская ул, дом 66, корпус 1, квартира 26</v>
          </cell>
          <cell r="F1210" t="str">
            <v>Москва</v>
          </cell>
          <cell r="G1210">
            <v>0.66009259259259256</v>
          </cell>
          <cell r="H1210">
            <v>0.91009259259259256</v>
          </cell>
          <cell r="I1210" t="str">
            <v>ОК</v>
          </cell>
          <cell r="J1210" t="str">
            <v>ОК</v>
          </cell>
        </row>
        <row r="1211">
          <cell r="B1211" t="str">
            <v>В-24878/КЛ.Транш - 1</v>
          </cell>
          <cell r="C1211" t="str">
            <v>РОССИЯ, 412170, Саратовская обл, р-н Татищевский, рп Татищево, ул Аткарская</v>
          </cell>
          <cell r="D1211" t="str">
            <v>РОССИЯ, 412170, Саратовская обл, р-н Татищевский, рп Татищево, ул Аткарская, д. 2</v>
          </cell>
          <cell r="F1211" t="str">
            <v>Саратовская</v>
          </cell>
          <cell r="G1211">
            <v>0.66009259259259256</v>
          </cell>
          <cell r="H1211">
            <v>0.91009259259259256</v>
          </cell>
          <cell r="I1211" t="str">
            <v>ОК</v>
          </cell>
          <cell r="J1211" t="str">
            <v>ОК</v>
          </cell>
        </row>
        <row r="1212">
          <cell r="B1212" t="str">
            <v>В-01875/КЛ.Транш - 1</v>
          </cell>
          <cell r="C1212" t="str">
            <v>РОССИЯ, 191028, Санкт-Петербург г, Манежный пер, дом 2, квартира 27</v>
          </cell>
          <cell r="D1212" t="str">
            <v>РОССИЯ, 191028, Санкт-Петербург г, Манежный пер, дом 2, квартира 27</v>
          </cell>
          <cell r="F1212" t="str">
            <v>Москва</v>
          </cell>
          <cell r="G1212">
            <v>0.66009259259259256</v>
          </cell>
          <cell r="H1212">
            <v>0.91009259259259256</v>
          </cell>
          <cell r="I1212" t="str">
            <v>ОК</v>
          </cell>
          <cell r="J1212" t="str">
            <v>ОК</v>
          </cell>
        </row>
        <row r="1213">
          <cell r="B1213" t="str">
            <v>В-01165/АЗ</v>
          </cell>
          <cell r="C1213" t="str">
            <v>РОССИЯ, 199058, Санкт-Петербург г, ул Кораблестроителей, д. 40, к. 7, литера А, кв. 57</v>
          </cell>
          <cell r="D1213" t="str">
            <v>РОССИЯ, 199058, Санкт-Петербург г, ул Кораблестроителей, д. 40, к. 7, кв. 57</v>
          </cell>
          <cell r="F1213" t="str">
            <v>Москва</v>
          </cell>
          <cell r="G1213">
            <v>0.66009259259259256</v>
          </cell>
          <cell r="H1213">
            <v>0.91009259259259256</v>
          </cell>
          <cell r="I1213" t="str">
            <v>ОК</v>
          </cell>
          <cell r="J1213" t="str">
            <v>ОК</v>
          </cell>
        </row>
        <row r="1214">
          <cell r="B1214" t="str">
            <v>В-13185/КЛ.Транш - 1</v>
          </cell>
          <cell r="C1214" t="str">
            <v>РОССИЯ, 127206, Москва г, Соломенной Сторожки проезд, дом № 10А, квартира 19</v>
          </cell>
          <cell r="D1214" t="str">
            <v>РОССИЯ, 127206, Москва г, Соломенной Сторожки проезд, дом № 10А, квартира 19</v>
          </cell>
          <cell r="F1214" t="str">
            <v>Москва</v>
          </cell>
          <cell r="G1214">
            <v>0.66009259259259256</v>
          </cell>
          <cell r="H1214">
            <v>0.91009259259259256</v>
          </cell>
          <cell r="I1214" t="str">
            <v>ОК</v>
          </cell>
          <cell r="J1214" t="str">
            <v>ОК</v>
          </cell>
        </row>
        <row r="1215">
          <cell r="B1215" t="str">
            <v>В-15091/КЛ.Транш - 3</v>
          </cell>
          <cell r="C1215" t="str">
            <v>РОССИЯ, 141100, Московская обл, Щелковский р-н, Щелково г, Комсомольская ул, дом 20, квартира 102</v>
          </cell>
          <cell r="D1215" t="str">
            <v>РОССИЯ, 141100, Московская обл, Щелковский р-н, Щелково г, Комсомольская ул, дом 20, квартира 102</v>
          </cell>
          <cell r="F1215" t="str">
            <v>Московская</v>
          </cell>
          <cell r="G1215">
            <v>0.66009259259259256</v>
          </cell>
          <cell r="H1215">
            <v>0.91009259259259256</v>
          </cell>
          <cell r="I1215" t="str">
            <v>ОК</v>
          </cell>
          <cell r="J1215" t="str">
            <v>ОК</v>
          </cell>
        </row>
        <row r="1216">
          <cell r="B1216" t="str">
            <v>В-22052/КЛ.Транш - 1</v>
          </cell>
          <cell r="C1216" t="str">
            <v>РОССИЯ, 350037, Краснодарский край, Краснодар г, Ленина х, Буковая ул, дом 8, квартира 43</v>
          </cell>
          <cell r="D1216" t="str">
            <v>РОССИЯ, 127055, Москва г, Новослободская ул, дом 57/65, квартира 19</v>
          </cell>
          <cell r="F1216" t="str">
            <v>Москва</v>
          </cell>
          <cell r="G1216">
            <v>0.66009259259259256</v>
          </cell>
          <cell r="H1216">
            <v>0.91009259259259256</v>
          </cell>
          <cell r="I1216" t="str">
            <v>ОК</v>
          </cell>
          <cell r="J1216" t="str">
            <v>ОК</v>
          </cell>
        </row>
        <row r="1217">
          <cell r="B1217" t="str">
            <v>В-22052/КЛ.Транш - 2</v>
          </cell>
          <cell r="C1217" t="str">
            <v>РОССИЯ, 350037, Краснодарский край, Краснодар г, Ленина х, Буковая ул, дом 8, квартира 43</v>
          </cell>
          <cell r="D1217" t="str">
            <v>РОССИЯ, 127055, Москва г, Новослободская ул, дом 57/65, квартира 19</v>
          </cell>
          <cell r="F1217" t="str">
            <v>Москва</v>
          </cell>
          <cell r="G1217">
            <v>0.66009259259259256</v>
          </cell>
          <cell r="H1217">
            <v>0.91009259259259256</v>
          </cell>
          <cell r="I1217" t="str">
            <v>ОК</v>
          </cell>
          <cell r="J1217" t="str">
            <v>ОК</v>
          </cell>
        </row>
        <row r="1218">
          <cell r="B1218" t="str">
            <v>В-19425/КЛ.Транш - 1</v>
          </cell>
          <cell r="C1218" t="str">
            <v>РОССИЯ, 105568, Москва г, вн.тер.г. муниципальный округ Ивановское, ул Магнитогорская, д. 13, кв. 346</v>
          </cell>
          <cell r="D1218" t="str">
            <v>РОССИЯ, 105568, Москва г, вн.тер.г. муниципальный округ Ивановское, ул Магнитогорская, д. 13, кв. 346</v>
          </cell>
          <cell r="F1218" t="str">
            <v>Москва</v>
          </cell>
          <cell r="G1218">
            <v>0.66009259259259256</v>
          </cell>
          <cell r="H1218">
            <v>0.91009259259259256</v>
          </cell>
          <cell r="I1218" t="str">
            <v>ОК</v>
          </cell>
          <cell r="J1218" t="str">
            <v>ОК</v>
          </cell>
        </row>
        <row r="1219">
          <cell r="B1219" t="str">
            <v>В-27065/АЗ</v>
          </cell>
          <cell r="C1219" t="str">
            <v>РОССИЯ, 462775, Оренбургская обл, г Ясный, п Веселовский, ул Садовая, д. 10, кв. 4</v>
          </cell>
          <cell r="D1219" t="str">
            <v>РОССИЯ, 462781, Оренбургская обл, г Ясный, ш Фабричное, д. 2а</v>
          </cell>
          <cell r="F1219" t="str">
            <v>Оренбургская</v>
          </cell>
          <cell r="G1219">
            <v>0.66009259259259256</v>
          </cell>
          <cell r="H1219">
            <v>0.99342592592592593</v>
          </cell>
          <cell r="I1219" t="str">
            <v>поздно</v>
          </cell>
          <cell r="J1219" t="str">
            <v>ОК</v>
          </cell>
        </row>
        <row r="1220">
          <cell r="B1220" t="str">
            <v>В-17785/КЛ.Транш - 1</v>
          </cell>
          <cell r="C1220" t="str">
            <v>РОССИЯ, 412906, Саратовская обл, Вольск г, Октябрьская ул, дом 132, квартира 4</v>
          </cell>
          <cell r="D1220" t="str">
            <v>РОССИЯ, 141801, Московская обл, Дмитров г, Спасская ул, дом 3, квартира 199</v>
          </cell>
          <cell r="F1220" t="str">
            <v>Московская</v>
          </cell>
          <cell r="G1220">
            <v>0.66009259259259256</v>
          </cell>
          <cell r="H1220">
            <v>0.91009259259259256</v>
          </cell>
          <cell r="I1220" t="str">
            <v>ОК</v>
          </cell>
          <cell r="J1220" t="str">
            <v>ОК</v>
          </cell>
        </row>
        <row r="1221">
          <cell r="B1221" t="str">
            <v>В-00239/КЛ.Транш - 1</v>
          </cell>
          <cell r="C1221" t="str">
            <v>РОССИЯ, 143965, Московская обл, Реутов г, Юбилейный пр-кт, дом 1, квартира 182</v>
          </cell>
          <cell r="D1221" t="str">
            <v>РОССИЯ, 143965, Московская обл, Реутов г, Юбилейный пр-кт, дом 1, квартира 182</v>
          </cell>
          <cell r="F1221" t="str">
            <v>Московская</v>
          </cell>
          <cell r="G1221">
            <v>0.66009259259259256</v>
          </cell>
          <cell r="H1221">
            <v>0.91009259259259256</v>
          </cell>
          <cell r="I1221" t="str">
            <v>ОК</v>
          </cell>
          <cell r="J1221" t="str">
            <v>ОК</v>
          </cell>
        </row>
        <row r="1222">
          <cell r="B1222" t="str">
            <v>А-03942/АЗ</v>
          </cell>
          <cell r="C1222" t="str">
            <v>РОССИЯ, 141830, Московская обл, Дмитровский р-н, Автополигон п, нет, дом 5, квартира 45</v>
          </cell>
          <cell r="D1222" t="str">
            <v>РОССИЯ, 141830, Московская обл, Дмитровский р-н, Автополигон п, нет, дом 5, квартира 45</v>
          </cell>
          <cell r="F1222" t="str">
            <v>Московская</v>
          </cell>
          <cell r="G1222">
            <v>0.66009259259259256</v>
          </cell>
          <cell r="H1222">
            <v>0.91009259259259256</v>
          </cell>
          <cell r="I1222" t="str">
            <v>ОК</v>
          </cell>
          <cell r="J1222" t="str">
            <v>ОК</v>
          </cell>
        </row>
        <row r="1223">
          <cell r="B1223" t="str">
            <v>В-03585/КЛ.Транш - 1</v>
          </cell>
          <cell r="C1223" t="str">
            <v>РОССИЯ, 127543, Москва г, Белозерская ул, дом 1А, квартира 275</v>
          </cell>
          <cell r="D1223" t="str">
            <v>РОССИЯ, 127543, Москва г, Белозерская ул, дом 1А, квартира 275</v>
          </cell>
          <cell r="F1223" t="str">
            <v>Москва</v>
          </cell>
          <cell r="G1223">
            <v>0.66009259259259256</v>
          </cell>
          <cell r="H1223">
            <v>0.91009259259259256</v>
          </cell>
          <cell r="I1223" t="str">
            <v>ОК</v>
          </cell>
          <cell r="J1223" t="str">
            <v>ОК</v>
          </cell>
        </row>
        <row r="1224">
          <cell r="B1224" t="str">
            <v>А-05463/АЗ_А-20210920/Ц</v>
          </cell>
          <cell r="C1224" t="str">
            <v>РОССИЯ, 141207, Московская обл, Пушкино г, Московский пр-кт, дом 29, квартира 37</v>
          </cell>
          <cell r="D1224" t="str">
            <v>РОССИЯ, 129594, Москва г, Марьиной Рощи 3-й проезд, дом 3, квартира 41</v>
          </cell>
          <cell r="F1224" t="str">
            <v>Москва</v>
          </cell>
          <cell r="G1224">
            <v>0.66009259259259256</v>
          </cell>
          <cell r="H1224">
            <v>0.91009259259259256</v>
          </cell>
          <cell r="I1224" t="str">
            <v>ОК</v>
          </cell>
          <cell r="J1224" t="str">
            <v>ОК</v>
          </cell>
        </row>
        <row r="1225">
          <cell r="B1225" t="str">
            <v>В-00963/АЗ</v>
          </cell>
          <cell r="C1225" t="str">
            <v>РОССИЯ, 141207, Московская обл, Пушкино г, Московский пр-кт, дом 29, квартира 37</v>
          </cell>
          <cell r="D1225" t="str">
            <v>РОССИЯ, 129594, Москва г, Марьиной Рощи 3-й проезд, дом 3, квартира 41</v>
          </cell>
          <cell r="F1225" t="str">
            <v>Москва</v>
          </cell>
          <cell r="G1225">
            <v>0.66009259259259256</v>
          </cell>
          <cell r="H1225">
            <v>0.91009259259259256</v>
          </cell>
          <cell r="I1225" t="str">
            <v>ОК</v>
          </cell>
          <cell r="J1225" t="str">
            <v>ОК</v>
          </cell>
        </row>
        <row r="1226">
          <cell r="B1226" t="str">
            <v>Т-01935/АЗ_Т-20210920/Ц</v>
          </cell>
          <cell r="C1226" t="str">
            <v>РОССИЯ, 141207, Московская обл, Пушкино г, Московский пр-кт, дом 29, квартира 37</v>
          </cell>
          <cell r="D1226" t="str">
            <v>РОССИЯ, 129594, Москва г, Марьиной Рощи 3-й проезд, дом 3, квартира 41</v>
          </cell>
          <cell r="F1226" t="str">
            <v>Москва</v>
          </cell>
          <cell r="G1226">
            <v>0.66009259259259256</v>
          </cell>
          <cell r="H1226">
            <v>0.91009259259259256</v>
          </cell>
          <cell r="I1226" t="str">
            <v>ОК</v>
          </cell>
          <cell r="J1226" t="str">
            <v>ОК</v>
          </cell>
        </row>
        <row r="1227">
          <cell r="B1227" t="str">
            <v>В-12535/КЛ.Транш - 2</v>
          </cell>
          <cell r="C1227" t="str">
            <v>РОССИЯ, 624202, Свердловская обл, Лесной г, Мальского б-р, дом 9, квартира 6</v>
          </cell>
          <cell r="D1227" t="str">
            <v>РОССИЯ, 624202, Свердловская обл, Лесной г, Мальского б-р, дом 9, квартира 6</v>
          </cell>
          <cell r="F1227" t="str">
            <v>Свердловская</v>
          </cell>
          <cell r="G1227">
            <v>0.66009259259259256</v>
          </cell>
          <cell r="H1227">
            <v>0.99342592592592593</v>
          </cell>
          <cell r="I1227" t="str">
            <v>поздно</v>
          </cell>
          <cell r="J1227" t="str">
            <v>ОК</v>
          </cell>
        </row>
        <row r="1228">
          <cell r="B1228" t="str">
            <v>В-15532/КЛ.Транш - 1</v>
          </cell>
          <cell r="C1228" t="str">
            <v>РОССИЯ, 181420, Псковская обл, Пыталовский р-н, Вышгородок д, Ленина ул, дом 3, квартира 5</v>
          </cell>
          <cell r="D1228" t="str">
            <v>РОССИЯ, 181420, Псковская обл, Пыталовский р-н, Вышгородок д, Ленина ул, дом 3, квартира 5</v>
          </cell>
          <cell r="F1228" t="str">
            <v>Псковская</v>
          </cell>
          <cell r="G1228">
            <v>0.66009259259259256</v>
          </cell>
          <cell r="H1228">
            <v>0.91009259259259256</v>
          </cell>
          <cell r="I1228" t="str">
            <v>ОК</v>
          </cell>
          <cell r="J1228" t="str">
            <v>ОК</v>
          </cell>
        </row>
        <row r="1229">
          <cell r="B1229" t="str">
            <v>В-00557/АЗ</v>
          </cell>
          <cell r="C1229" t="str">
            <v>РОССИЯ, 194223, Санкт-Петербург г, Светлановский пр-кт, дом № 47, квартира 205</v>
          </cell>
          <cell r="D1229" t="str">
            <v>РОССИЯ, 194223, Санкт-Петербург г, Светлановский пр-кт, дом № 47, квартира 205</v>
          </cell>
          <cell r="F1229" t="str">
            <v>Москва</v>
          </cell>
          <cell r="G1229">
            <v>0.66009259259259256</v>
          </cell>
          <cell r="H1229">
            <v>0.91009259259259256</v>
          </cell>
          <cell r="I1229" t="str">
            <v>ОК</v>
          </cell>
          <cell r="J1229" t="str">
            <v>ОК</v>
          </cell>
        </row>
        <row r="1230">
          <cell r="B1230" t="str">
            <v>В-16934/КЛ.Транш - 1</v>
          </cell>
          <cell r="C1230" t="str">
            <v>РОССИЯ, 117546, Москва г, ул Харьковская, д. 4, к. 2, кв. 267</v>
          </cell>
          <cell r="D1230" t="str">
            <v>РОССИЯ, 117546, Москва г, ул Харьковская, д. 4, к. 2, кв. 267</v>
          </cell>
          <cell r="F1230" t="str">
            <v>Москва</v>
          </cell>
          <cell r="G1230">
            <v>0.66009259259259256</v>
          </cell>
          <cell r="H1230">
            <v>0.91009259259259256</v>
          </cell>
          <cell r="I1230" t="str">
            <v>ОК</v>
          </cell>
          <cell r="J1230" t="str">
            <v>ОК</v>
          </cell>
        </row>
        <row r="1231">
          <cell r="B1231" t="str">
            <v>В-16934/КЛ.Транш - 3</v>
          </cell>
          <cell r="C1231" t="str">
            <v>РОССИЯ, 117546, Москва г, ул Харьковская, д. 4, к. 2, кв. 267</v>
          </cell>
          <cell r="D1231" t="str">
            <v>РОССИЯ, 117546, Москва г, ул Харьковская, д. 4, к. 2, кв. 267</v>
          </cell>
          <cell r="F1231" t="str">
            <v>Москва</v>
          </cell>
          <cell r="G1231">
            <v>0.66009259259259256</v>
          </cell>
          <cell r="H1231">
            <v>0.91009259259259256</v>
          </cell>
          <cell r="I1231" t="str">
            <v>ОК</v>
          </cell>
          <cell r="J1231" t="str">
            <v>ОК</v>
          </cell>
        </row>
        <row r="1232">
          <cell r="B1232" t="str">
            <v>В-16934/КЛ.Транш - 4</v>
          </cell>
          <cell r="C1232" t="str">
            <v>РОССИЯ, 117546, Москва г, ул Харьковская, д. 4, к. 2, кв. 267</v>
          </cell>
          <cell r="D1232" t="str">
            <v>РОССИЯ, 117546, Москва г, ул Харьковская, д. 4, к. 2, кв. 267</v>
          </cell>
          <cell r="F1232" t="str">
            <v>Москва</v>
          </cell>
          <cell r="G1232">
            <v>0.66009259259259256</v>
          </cell>
          <cell r="H1232">
            <v>0.91009259259259256</v>
          </cell>
          <cell r="I1232" t="str">
            <v>ОК</v>
          </cell>
          <cell r="J1232" t="str">
            <v>ОК</v>
          </cell>
        </row>
        <row r="1233">
          <cell r="B1233" t="str">
            <v>В-16934/КЛ.Транш - 5</v>
          </cell>
          <cell r="C1233" t="str">
            <v>РОССИЯ, 117546, Москва г, ул Харьковская, д. 4, к. 2, кв. 267</v>
          </cell>
          <cell r="D1233" t="str">
            <v>РОССИЯ, 117546, Москва г, ул Харьковская, д. 4, к. 2, кв. 267</v>
          </cell>
          <cell r="F1233" t="str">
            <v>Москва</v>
          </cell>
          <cell r="G1233">
            <v>0.66009259259259256</v>
          </cell>
          <cell r="H1233">
            <v>0.91009259259259256</v>
          </cell>
          <cell r="I1233" t="str">
            <v>ОК</v>
          </cell>
          <cell r="J1233" t="str">
            <v>ОК</v>
          </cell>
        </row>
        <row r="1234">
          <cell r="B1234" t="str">
            <v>В-00508/АЗ</v>
          </cell>
          <cell r="C1234" t="str">
            <v>РОССИЯ, 109044, Москва г, Дубровская 1-я ул, дом 1, корпус 2, квартира 138</v>
          </cell>
          <cell r="D1234" t="str">
            <v>РОССИЯ, 109044, Москва г, Дубровская 1-я ул, дом 1, корпус 2, квартира 138</v>
          </cell>
          <cell r="F1234" t="str">
            <v>Москва</v>
          </cell>
          <cell r="G1234">
            <v>0.66009259259259256</v>
          </cell>
          <cell r="H1234">
            <v>0.91009259259259256</v>
          </cell>
          <cell r="I1234" t="str">
            <v>ОК</v>
          </cell>
          <cell r="J1234" t="str">
            <v>ОК</v>
          </cell>
        </row>
        <row r="1235">
          <cell r="B1235" t="str">
            <v>В-19227/КЛ.Транш - 1</v>
          </cell>
          <cell r="C1235" t="str">
            <v>РОССИЯ, 356264, Ставропольский край, р-н Грачевский, с Кугульта, ул Верхняя Орловка, двлд. 79</v>
          </cell>
          <cell r="D1235" t="str">
            <v>РОССИЯ, 141863, Московская обл, г Дмитров, п опытного хоз-ва "Ермолино", ул Центральная, д. 2</v>
          </cell>
          <cell r="F1235" t="str">
            <v>Московская</v>
          </cell>
          <cell r="G1235">
            <v>0.66009259259259256</v>
          </cell>
          <cell r="H1235">
            <v>0.91009259259259256</v>
          </cell>
          <cell r="I1235" t="str">
            <v>ОК</v>
          </cell>
          <cell r="J1235" t="str">
            <v>ОК</v>
          </cell>
        </row>
        <row r="1236">
          <cell r="B1236" t="str">
            <v>В-19227/КЛ.Транш - 2</v>
          </cell>
          <cell r="C1236" t="str">
            <v>РОССИЯ, 356264, Ставропольский край, р-н Грачевский, с Кугульта, ул Верхняя Орловка, двлд. 79</v>
          </cell>
          <cell r="D1236" t="str">
            <v>РОССИЯ, 141863, Московская обл, г Дмитров, п опытного хоз-ва "Ермолино", ул Центральная, д. 2</v>
          </cell>
          <cell r="F1236" t="str">
            <v>Московская</v>
          </cell>
          <cell r="G1236">
            <v>0.66009259259259256</v>
          </cell>
          <cell r="H1236">
            <v>0.91009259259259256</v>
          </cell>
          <cell r="I1236" t="str">
            <v>ОК</v>
          </cell>
          <cell r="J1236" t="str">
            <v>ОК</v>
          </cell>
        </row>
        <row r="1237">
          <cell r="B1237" t="str">
            <v>А-00084/КЭ.Транш - 3</v>
          </cell>
          <cell r="C1237" t="str">
            <v>109429, Москва г, кв-л Капотня 2-й, д. 6, к. 2, офис 14</v>
          </cell>
          <cell r="F1237" t="str">
            <v>Москва</v>
          </cell>
          <cell r="G1237">
            <v>0.66009259259259256</v>
          </cell>
          <cell r="H1237">
            <v>0.91009259259259256</v>
          </cell>
          <cell r="I1237" t="str">
            <v>ОК</v>
          </cell>
          <cell r="J1237" t="str">
            <v>ОК</v>
          </cell>
        </row>
        <row r="1238">
          <cell r="B1238" t="str">
            <v>В-00075/КЭ.Транш - 1</v>
          </cell>
          <cell r="C1238" t="str">
            <v>142717, Московская обл, г. Видное, п Развилка, дом 45, квартира 50</v>
          </cell>
          <cell r="F1238" t="str">
            <v>Москва</v>
          </cell>
          <cell r="G1238">
            <v>0.66009259259259256</v>
          </cell>
          <cell r="H1238">
            <v>0.91009259259259256</v>
          </cell>
          <cell r="I1238" t="str">
            <v>ОК</v>
          </cell>
          <cell r="J1238" t="str">
            <v>ОК</v>
          </cell>
        </row>
        <row r="1239">
          <cell r="B1239" t="str">
            <v>В-20458/КЛ.Транш - 1</v>
          </cell>
          <cell r="C1239" t="str">
            <v>РОССИЯ, 298450, Крым респ, р-н Бахчисарайский, с Фурмановка, ул Юбилейная, д. 83</v>
          </cell>
          <cell r="D1239" t="str">
            <v>РОССИЯ, 299040, Севастополь г, ул Лоцманская, д. 3, кв. 36</v>
          </cell>
          <cell r="F1239" t="str">
            <v>Москва</v>
          </cell>
          <cell r="G1239">
            <v>0.66009259259259256</v>
          </cell>
          <cell r="H1239">
            <v>0.91009259259259256</v>
          </cell>
          <cell r="I1239" t="str">
            <v>ОК</v>
          </cell>
          <cell r="J1239" t="str">
            <v>ОК</v>
          </cell>
        </row>
        <row r="1240">
          <cell r="B1240" t="str">
            <v>В-24612/АЗ</v>
          </cell>
          <cell r="C1240" t="str">
            <v>РОССИЯ, 141013, Московская обл, г Мытищи, ул Силикатная, д. 37Г, кв. 39</v>
          </cell>
          <cell r="D1240" t="str">
            <v>РОССИЯ, 141013, Московская обл, г Мытищи, ул Силикатная, д. 37Г, кв. 39</v>
          </cell>
          <cell r="F1240" t="str">
            <v>Московская</v>
          </cell>
          <cell r="G1240">
            <v>0.66009259259259256</v>
          </cell>
          <cell r="H1240">
            <v>0.91009259259259256</v>
          </cell>
          <cell r="I1240" t="str">
            <v>ОК</v>
          </cell>
          <cell r="J1240" t="str">
            <v>ОК</v>
          </cell>
        </row>
        <row r="1241">
          <cell r="B1241" t="str">
            <v>В-01023/КЛ.Транш - 1</v>
          </cell>
          <cell r="C1241" t="str">
            <v>РОССИЯ, 368615, Дагестан респ, Дербентский р-н, Белиджи п, Гагарина ул, дом 12</v>
          </cell>
          <cell r="D1241" t="str">
            <v>РОССИЯ, 141983, Московская обл, Дубна г, Свободы ул, дом 20, квартира 58</v>
          </cell>
          <cell r="F1241" t="str">
            <v>Московская</v>
          </cell>
          <cell r="G1241">
            <v>0.66009259259259256</v>
          </cell>
          <cell r="H1241">
            <v>0.91009259259259256</v>
          </cell>
          <cell r="I1241" t="str">
            <v>ОК</v>
          </cell>
          <cell r="J1241" t="str">
            <v>ОК</v>
          </cell>
        </row>
        <row r="1242">
          <cell r="B1242" t="str">
            <v>В-01147/АЗ</v>
          </cell>
          <cell r="C1242" t="str">
            <v>РОССИЯ, 142121, Московская обл, г Подольск, мкр. Кузнечики, ул Академика Доллежаля, д. 40, кв. 49</v>
          </cell>
          <cell r="D1242" t="str">
            <v>РОССИЯ, 109378, Москва г, ул Шумилова, д. 13, к. 2, кв. 56</v>
          </cell>
          <cell r="F1242" t="str">
            <v>Москва</v>
          </cell>
          <cell r="G1242">
            <v>0.66009259259259256</v>
          </cell>
          <cell r="H1242">
            <v>0.91009259259259256</v>
          </cell>
          <cell r="I1242" t="str">
            <v>ОК</v>
          </cell>
          <cell r="J1242" t="str">
            <v>ОК</v>
          </cell>
        </row>
        <row r="1243">
          <cell r="B1243" t="str">
            <v>В-20490/КЛ.Транш - 1</v>
          </cell>
          <cell r="C1243" t="str">
            <v>РОССИЯ, 303140, Орловская обл, р-н Болховский, г Болхов, пер Ленинский 1-й, д. 18</v>
          </cell>
          <cell r="D1243" t="str">
            <v>РОССИЯ, 303140, Орловская обл, р-н Болховский, г Болхов, пер Ленинский 1-й, д. 18</v>
          </cell>
          <cell r="F1243" t="str">
            <v>Орловская</v>
          </cell>
          <cell r="G1243">
            <v>0.66009259259259256</v>
          </cell>
          <cell r="H1243">
            <v>0.91009259259259256</v>
          </cell>
          <cell r="I1243" t="str">
            <v>ОК</v>
          </cell>
          <cell r="J1243" t="str">
            <v>ОК</v>
          </cell>
        </row>
        <row r="1244">
          <cell r="B1244" t="str">
            <v>В-26102/АЗ</v>
          </cell>
          <cell r="C1244" t="str">
            <v>РОССИЯ, 141407, Московская обл, г Химки, ул Горшина, д. 3, к. 2, кв. 176</v>
          </cell>
          <cell r="D1244" t="str">
            <v>РОССИЯ, 141407, Московская обл, г Химки, ул Горшина, д. 3, к. 2, кв. 176</v>
          </cell>
          <cell r="F1244" t="str">
            <v>Московская</v>
          </cell>
          <cell r="G1244">
            <v>0.66009259259259256</v>
          </cell>
          <cell r="H1244">
            <v>0.91009259259259256</v>
          </cell>
          <cell r="I1244" t="str">
            <v>ОК</v>
          </cell>
          <cell r="J1244" t="str">
            <v>ОК</v>
          </cell>
        </row>
        <row r="1245">
          <cell r="B1245" t="str">
            <v>В-07133/КЛ.Транш - 1</v>
          </cell>
          <cell r="C1245" t="str">
            <v>РОССИЯ, 141109, Московская обл, Щёлково г, Полевая ул, дом 6Б, квартира 48</v>
          </cell>
          <cell r="D1245" t="str">
            <v>РОССИЯ, 141109, Московская обл, Щёлково г, Полевая ул, дом 6Б, квартира 48</v>
          </cell>
          <cell r="F1245" t="str">
            <v>Московская</v>
          </cell>
          <cell r="G1245">
            <v>0.66009259259259256</v>
          </cell>
          <cell r="H1245">
            <v>0.91009259259259256</v>
          </cell>
          <cell r="I1245" t="str">
            <v>ОК</v>
          </cell>
          <cell r="J1245" t="str">
            <v>ОК</v>
          </cell>
        </row>
        <row r="1246">
          <cell r="B1246" t="str">
            <v>В-07133/КЛ.Транш - 4</v>
          </cell>
          <cell r="C1246" t="str">
            <v>РОССИЯ, 141109, Московская обл, Щёлково г, Полевая ул, дом 6Б, квартира 48</v>
          </cell>
          <cell r="D1246" t="str">
            <v>РОССИЯ, 141109, Московская обл, Щёлково г, Полевая ул, дом 6Б, квартира 48</v>
          </cell>
          <cell r="F1246" t="str">
            <v>Московская</v>
          </cell>
          <cell r="G1246">
            <v>0.66009259259259256</v>
          </cell>
          <cell r="H1246">
            <v>0.91009259259259256</v>
          </cell>
          <cell r="I1246" t="str">
            <v>ОК</v>
          </cell>
          <cell r="J1246" t="str">
            <v>ОК</v>
          </cell>
        </row>
        <row r="1247">
          <cell r="B1247" t="str">
            <v>В-08077/КЛ.Транш - 1</v>
          </cell>
          <cell r="C1247" t="str">
            <v>РОССИЯ, 140166, Московская обл, Раменское г, ДНП Морозово тер., дом 25</v>
          </cell>
          <cell r="D1247" t="str">
            <v>РОССИЯ, 140166, Московская обл, Раменское г, ДНП Морозово тер., дом 25</v>
          </cell>
          <cell r="F1247" t="str">
            <v>Московская</v>
          </cell>
          <cell r="G1247">
            <v>0.66009259259259256</v>
          </cell>
          <cell r="H1247">
            <v>0.91009259259259256</v>
          </cell>
          <cell r="I1247" t="str">
            <v>ОК</v>
          </cell>
          <cell r="J1247" t="str">
            <v>ОК</v>
          </cell>
        </row>
        <row r="1248">
          <cell r="B1248" t="str">
            <v>В-01216/КЛ.Транш - 4_В-20211230/Ц</v>
          </cell>
          <cell r="C1248" t="str">
            <v>РОССИЯ, 416510, Астраханская обл, Ахтубинский р-н, Капустин Яр с, 8 Марта ул, дом 53</v>
          </cell>
          <cell r="D1248" t="str">
            <v>РОССИЯ, 142613, Московская обл, Орехово-Зуево г, Парковская ул, дом 3, квартира 11</v>
          </cell>
          <cell r="F1248" t="str">
            <v>Московская</v>
          </cell>
          <cell r="G1248">
            <v>0.66009259259259256</v>
          </cell>
          <cell r="H1248">
            <v>0.91009259259259256</v>
          </cell>
          <cell r="I1248" t="str">
            <v>ОК</v>
          </cell>
          <cell r="J1248" t="str">
            <v>ОК</v>
          </cell>
        </row>
        <row r="1249">
          <cell r="B1249" t="str">
            <v>В-01216/КЛ.Транш - 5_В-20211230/Ц</v>
          </cell>
          <cell r="C1249" t="str">
            <v>РОССИЯ, 416510, Астраханская обл, Ахтубинский р-н, Капустин Яр с, 8 Марта ул, дом 53</v>
          </cell>
          <cell r="D1249" t="str">
            <v>РОССИЯ, 142613, Московская обл, Орехово-Зуево г, Парковская ул, дом 3, квартира 11</v>
          </cell>
          <cell r="F1249" t="str">
            <v>Московская</v>
          </cell>
          <cell r="G1249">
            <v>0.66009259259259256</v>
          </cell>
          <cell r="H1249">
            <v>0.91009259259259256</v>
          </cell>
          <cell r="I1249" t="str">
            <v>ОК</v>
          </cell>
          <cell r="J1249" t="str">
            <v>ОК</v>
          </cell>
        </row>
        <row r="1250">
          <cell r="B1250" t="str">
            <v>В-06411/КЛ.Транш - 1</v>
          </cell>
          <cell r="C1250" t="str">
            <v>РОССИЯ, 140108, Московская обл, Раменское г, Гурьева ул, дом 26, квартира 8</v>
          </cell>
          <cell r="D1250" t="str">
            <v>РОССИЯ, 140108, Московская обл, Раменское г, Гурьева ул, дом 26, квартира 8</v>
          </cell>
          <cell r="F1250" t="str">
            <v>Московская</v>
          </cell>
          <cell r="G1250">
            <v>0.66009259259259256</v>
          </cell>
          <cell r="H1250">
            <v>0.91009259259259256</v>
          </cell>
          <cell r="I1250" t="str">
            <v>ОК</v>
          </cell>
          <cell r="J1250" t="str">
            <v>ОК</v>
          </cell>
        </row>
        <row r="1251">
          <cell r="B1251" t="str">
            <v>В-12483/КЛ.Транш - 1</v>
          </cell>
          <cell r="C1251" t="str">
            <v>РОССИЯ, 301847, Тульская обл, Ефремовский р-н, Пушкари д, дом 137</v>
          </cell>
          <cell r="D1251" t="str">
            <v>РОССИЯ, 115304, Москва г, Кавказский б-р, дом 29, корпус 1, квартира 29</v>
          </cell>
          <cell r="F1251" t="str">
            <v>Москва</v>
          </cell>
          <cell r="G1251">
            <v>0.66009259259259256</v>
          </cell>
          <cell r="H1251">
            <v>0.91009259259259256</v>
          </cell>
          <cell r="I1251" t="str">
            <v>ОК</v>
          </cell>
          <cell r="J1251" t="str">
            <v>ОК</v>
          </cell>
        </row>
        <row r="1252">
          <cell r="B1252" t="str">
            <v>В-00102/АЗ</v>
          </cell>
          <cell r="C1252" t="str">
            <v>РОССИЯ, 125008, Москва г, Академическая Б. ул, дом № 59/1, квартира 58</v>
          </cell>
          <cell r="D1252" t="str">
            <v>РОССИЯ, 125008, Москва г, Академическая Б. ул, дом № 59/1, квартира 58</v>
          </cell>
          <cell r="F1252" t="str">
            <v>Москва</v>
          </cell>
          <cell r="G1252">
            <v>0.66009259259259256</v>
          </cell>
          <cell r="H1252">
            <v>0.91009259259259256</v>
          </cell>
          <cell r="I1252" t="str">
            <v>ОК</v>
          </cell>
          <cell r="J1252" t="str">
            <v>ОК</v>
          </cell>
        </row>
        <row r="1253">
          <cell r="B1253" t="str">
            <v>В-04596/КЛ.Транш - 2</v>
          </cell>
          <cell r="C1253" t="str">
            <v>РОССИЯ, 142701, Московская обл, р-н Ленинский, г Видное, ул Героя Советского Союза В.Н.Фокина, д. 2, кв. 43</v>
          </cell>
          <cell r="D1253" t="str">
            <v>РОССИЯ, 142701, Московская обл, Ленинский р-н, Видное г, Героя Советского Союза В.Н.Фокина ул, дом 2, квартира 43</v>
          </cell>
          <cell r="F1253" t="str">
            <v>Московская</v>
          </cell>
          <cell r="G1253">
            <v>0.66009259259259256</v>
          </cell>
          <cell r="H1253">
            <v>0.91009259259259256</v>
          </cell>
          <cell r="I1253" t="str">
            <v>ОК</v>
          </cell>
          <cell r="J1253" t="str">
            <v>ОК</v>
          </cell>
        </row>
        <row r="1254">
          <cell r="B1254" t="str">
            <v>В-24350/КЛ.Транш - 1</v>
          </cell>
          <cell r="C1254" t="str">
            <v>РОССИЯ, 356540, Ставропольский край, р-н Туркменский, с Летняя Ставка, ул Чапаева, д. 21</v>
          </cell>
          <cell r="D1254" t="str">
            <v>РОССИЯ, 356540, Ставропольский край, р-н Туркменский, с Летняя Ставка, ул Чапаева, д. 21</v>
          </cell>
          <cell r="F1254" t="str">
            <v>Ставропольский</v>
          </cell>
          <cell r="G1254">
            <v>0.66009259259259256</v>
          </cell>
          <cell r="H1254">
            <v>0.91009259259259256</v>
          </cell>
          <cell r="I1254" t="str">
            <v>ОК</v>
          </cell>
          <cell r="J1254" t="str">
            <v>ОК</v>
          </cell>
        </row>
        <row r="1255">
          <cell r="B1255" t="str">
            <v>В-25627/КЛ.Транш - 1</v>
          </cell>
          <cell r="C1255" t="str">
            <v>РОССИЯ, 196158, Санкт-Петербург г, Пулковская ул, дом 8, корпус 1, литер А, квартира 381</v>
          </cell>
          <cell r="D1255" t="str">
            <v>РОССИЯ, 196158, Санкт-Петербург г, Пулковская ул, дом 8, корпус 1, литер А, квартира 381</v>
          </cell>
          <cell r="F1255" t="str">
            <v>Москва</v>
          </cell>
          <cell r="G1255">
            <v>0.66009259259259256</v>
          </cell>
          <cell r="H1255">
            <v>0.91009259259259256</v>
          </cell>
          <cell r="I1255" t="str">
            <v>ОК</v>
          </cell>
          <cell r="J1255" t="str">
            <v>ОК</v>
          </cell>
        </row>
        <row r="1256">
          <cell r="B1256" t="str">
            <v>А-04412/АЗ</v>
          </cell>
          <cell r="C1256" t="str">
            <v>РОССИЯ, 142321, Московская обл, Чехов г, Волосово д, дом № 20</v>
          </cell>
          <cell r="D1256" t="str">
            <v>РОССИЯ, 142321, Московская обл, Чехов г, Волосово д, дом № 20</v>
          </cell>
          <cell r="F1256" t="str">
            <v>Московская</v>
          </cell>
          <cell r="G1256">
            <v>0.66009259259259256</v>
          </cell>
          <cell r="H1256">
            <v>0.91009259259259256</v>
          </cell>
          <cell r="I1256" t="str">
            <v>ОК</v>
          </cell>
          <cell r="J1256" t="str">
            <v>ОК</v>
          </cell>
        </row>
        <row r="1257">
          <cell r="B1257" t="str">
            <v>В-17687/КЛ.Транш - 1_В-20211230/Ц</v>
          </cell>
          <cell r="C1257" t="str">
            <v>РОССИЯ, 368118, Дагестан респ, Кизилюртовский р-н, Комсомольское с, Школьная ул, дом 15</v>
          </cell>
          <cell r="D1257" t="str">
            <v>РОССИЯ, 117452, Москва г, Болотниковская ул, дом 15, квартира 48</v>
          </cell>
          <cell r="F1257" t="str">
            <v>Москва</v>
          </cell>
          <cell r="G1257">
            <v>0.66009259259259256</v>
          </cell>
          <cell r="H1257">
            <v>0.91009259259259256</v>
          </cell>
          <cell r="I1257" t="str">
            <v>ОК</v>
          </cell>
          <cell r="J1257" t="str">
            <v>ОК</v>
          </cell>
        </row>
        <row r="1258">
          <cell r="B1258" t="str">
            <v>В-17687/КЛ.Транш - 2_В-20211230/Ц</v>
          </cell>
          <cell r="C1258" t="str">
            <v>РОССИЯ, 368118, Дагестан респ, Кизилюртовский р-н, Комсомольское с, Школьная ул, дом 15</v>
          </cell>
          <cell r="D1258" t="str">
            <v>РОССИЯ, 117452, Москва г, Болотниковская ул, дом 15, квартира 48</v>
          </cell>
          <cell r="F1258" t="str">
            <v>Москва</v>
          </cell>
          <cell r="G1258">
            <v>0.66009259259259256</v>
          </cell>
          <cell r="H1258">
            <v>0.91009259259259256</v>
          </cell>
          <cell r="I1258" t="str">
            <v>ОК</v>
          </cell>
          <cell r="J1258" t="str">
            <v>ОК</v>
          </cell>
        </row>
        <row r="1259">
          <cell r="B1259" t="str">
            <v>В-12167/КЛ.Транш - 1_А-20210929/Ц</v>
          </cell>
          <cell r="C1259" t="str">
            <v>РОССИЯ, 346800, Ростовская обл, Мясниковский р-н, Чалтырь с, Жукова ул, дом 29</v>
          </cell>
          <cell r="D1259" t="str">
            <v>РОССИЯ, 346800, Ростовская обл, Мясниковский р-н, Чалтырь с, Жукова ул, дом 29</v>
          </cell>
          <cell r="F1259" t="str">
            <v>Ростовская</v>
          </cell>
          <cell r="G1259">
            <v>0.66009259259259256</v>
          </cell>
          <cell r="H1259">
            <v>0.91009259259259256</v>
          </cell>
          <cell r="I1259" t="str">
            <v>ОК</v>
          </cell>
          <cell r="J1259" t="str">
            <v>ОК</v>
          </cell>
        </row>
        <row r="1260">
          <cell r="B1260" t="str">
            <v>В-17199/КЛ.Транш - 1</v>
          </cell>
          <cell r="C1260" t="str">
            <v>РОССИЯ, 442503, Пензенская обл, р-н Кузнецкий, с Бестянка, ул Полевая, двлд. 36</v>
          </cell>
          <cell r="D1260" t="str">
            <v>РОССИЯ, 442503, Пензенская обл, р-н Кузнецкий, с Бестянка, ул Полевая, двлд. 36</v>
          </cell>
          <cell r="F1260" t="str">
            <v>Пензенская</v>
          </cell>
          <cell r="G1260">
            <v>0.66009259259259256</v>
          </cell>
          <cell r="H1260">
            <v>0.91009259259259256</v>
          </cell>
          <cell r="I1260" t="str">
            <v>ОК</v>
          </cell>
          <cell r="J1260" t="str">
            <v>ОК</v>
          </cell>
        </row>
        <row r="1261">
          <cell r="B1261" t="str">
            <v>В-17199/КЛ.Транш - 2</v>
          </cell>
          <cell r="C1261" t="str">
            <v>РОССИЯ, 442503, Пензенская обл, р-н Кузнецкий, с Бестянка, ул Полевая, двлд. 36</v>
          </cell>
          <cell r="D1261" t="str">
            <v>РОССИЯ, 442503, Пензенская обл, р-н Кузнецкий, с Бестянка, ул Полевая, двлд. 36</v>
          </cell>
          <cell r="F1261" t="str">
            <v>Пензенская</v>
          </cell>
          <cell r="G1261">
            <v>0.66009259259259256</v>
          </cell>
          <cell r="H1261">
            <v>0.91009259259259256</v>
          </cell>
          <cell r="I1261" t="str">
            <v>ОК</v>
          </cell>
          <cell r="J1261" t="str">
            <v>ОК</v>
          </cell>
        </row>
        <row r="1262">
          <cell r="B1262" t="str">
            <v>В-17199/КЛ.Транш - 3</v>
          </cell>
          <cell r="C1262" t="str">
            <v>РОССИЯ, 442503, Пензенская обл, р-н Кузнецкий, с Бестянка, ул Полевая, двлд. 36</v>
          </cell>
          <cell r="D1262" t="str">
            <v>РОССИЯ, 442503, Пензенская обл, р-н Кузнецкий, с Бестянка, ул Полевая, двлд. 36</v>
          </cell>
          <cell r="F1262" t="str">
            <v>Пензенская</v>
          </cell>
          <cell r="G1262">
            <v>0.66009259259259256</v>
          </cell>
          <cell r="H1262">
            <v>0.91009259259259256</v>
          </cell>
          <cell r="I1262" t="str">
            <v>ОК</v>
          </cell>
          <cell r="J1262" t="str">
            <v>ОК</v>
          </cell>
        </row>
        <row r="1263">
          <cell r="B1263" t="str">
            <v>В-24261/КЛ.Транш - 1</v>
          </cell>
          <cell r="C1263" t="str">
            <v>РОССИЯ, 660061, Красноярский край, г Красноярск, пер Каратузский, д. 6</v>
          </cell>
          <cell r="D1263" t="str">
            <v>РОССИЯ, 660061, Красноярский край, г Красноярск, пер Каратузский, д. 6</v>
          </cell>
          <cell r="F1263" t="str">
            <v>Красноярский</v>
          </cell>
          <cell r="G1263">
            <v>0.66009259259259256</v>
          </cell>
          <cell r="H1263">
            <v>7.6759259259259194E-2</v>
          </cell>
          <cell r="I1263" t="str">
            <v>поздно</v>
          </cell>
          <cell r="J1263" t="str">
            <v>ОК</v>
          </cell>
        </row>
        <row r="1264">
          <cell r="B1264" t="str">
            <v>В-22912/КЛ.Транш - 1</v>
          </cell>
          <cell r="C1264" t="str">
            <v>РОССИЯ, 347933, Ростовская обл, г Таганрог, ул Сергея Шило, д. 265г, кв. 166</v>
          </cell>
          <cell r="D1264" t="str">
            <v>РОССИЯ, 347933, Ростовская обл, г Таганрог, ул Сергея Шило, д. 265г, кв. 166</v>
          </cell>
          <cell r="F1264" t="str">
            <v>Ростовская</v>
          </cell>
          <cell r="G1264">
            <v>0.66009259259259256</v>
          </cell>
          <cell r="H1264">
            <v>0.91009259259259256</v>
          </cell>
          <cell r="I1264" t="str">
            <v>ОК</v>
          </cell>
          <cell r="J1264" t="str">
            <v>ОК</v>
          </cell>
        </row>
        <row r="1265">
          <cell r="B1265" t="str">
            <v>В-05402/КЛ.Транш - 4</v>
          </cell>
          <cell r="C1265" t="str">
            <v>РОССИЯ, 142720, Московская обл, р-н Ленинский, рп Дрожжино, ш Новое, д. 3, к. 1, кв. 169</v>
          </cell>
          <cell r="D1265" t="str">
            <v>РОССИЯ, 142720, Московская обл, Ленинский р-н, Дрожжино рп, Новое ш, дом 3, корпус 1, квартира 169</v>
          </cell>
          <cell r="F1265" t="str">
            <v>Московская</v>
          </cell>
          <cell r="G1265">
            <v>0.66009259259259256</v>
          </cell>
          <cell r="H1265">
            <v>0.91009259259259256</v>
          </cell>
          <cell r="I1265" t="str">
            <v>ОК</v>
          </cell>
          <cell r="J1265" t="str">
            <v>ОК</v>
          </cell>
        </row>
        <row r="1266">
          <cell r="B1266" t="str">
            <v>В-13640/КЛ.Транш - 1</v>
          </cell>
          <cell r="C1266" t="str">
            <v>РОССИЯ, 620146, Свердловская обл, Екатеринбург г, Решетникова проезд, дом 7, квартира 25</v>
          </cell>
          <cell r="D1266" t="str">
            <v>РОССИЯ, 620146, Свердловская обл, Екатеринбург г, Решетникова проезд, дом 7, квартира 25</v>
          </cell>
          <cell r="F1266" t="str">
            <v>Свердловская</v>
          </cell>
          <cell r="G1266">
            <v>0.66009259259259256</v>
          </cell>
          <cell r="H1266">
            <v>0.99342592592592593</v>
          </cell>
          <cell r="I1266" t="str">
            <v>поздно</v>
          </cell>
          <cell r="J1266" t="str">
            <v>ОК</v>
          </cell>
        </row>
        <row r="1267">
          <cell r="B1267" t="str">
            <v>В-25865/КЛ.Транш - 1</v>
          </cell>
          <cell r="C1267" t="str">
            <v>РОССИЯ, 299703, Севастополь г, г Инкерман, ул Раенко, д. 6, кв. 12</v>
          </cell>
          <cell r="D1267" t="str">
            <v>РОССИЯ, 299703, Севастополь г, г Инкерман, ул Раенко, д. 6, кв. 12</v>
          </cell>
          <cell r="F1267" t="str">
            <v>Москва</v>
          </cell>
          <cell r="G1267">
            <v>0.66009259259259256</v>
          </cell>
          <cell r="H1267">
            <v>0.91009259259259256</v>
          </cell>
          <cell r="I1267" t="str">
            <v>ОК</v>
          </cell>
          <cell r="J1267" t="str">
            <v>ОК</v>
          </cell>
        </row>
        <row r="1268">
          <cell r="B1268" t="str">
            <v>В-14818/КЛ.Транш - 1</v>
          </cell>
          <cell r="C1268" t="str">
            <v>РОССИЯ, 624031, Свердловская обл, Белоярский р-н, Белоярский пгт, Западная ул, дом 14, квартира 5</v>
          </cell>
          <cell r="D1268" t="str">
            <v>РОССИЯ, 394061, Воронежская обл, Воронеж г, Труда пр-кт, дом 17, квартира 24</v>
          </cell>
          <cell r="F1268" t="str">
            <v>Воронежская</v>
          </cell>
          <cell r="G1268">
            <v>0.66009259259259256</v>
          </cell>
          <cell r="H1268">
            <v>0.91009259259259256</v>
          </cell>
          <cell r="I1268" t="str">
            <v>ОК</v>
          </cell>
          <cell r="J1268" t="str">
            <v>ОК</v>
          </cell>
        </row>
        <row r="1269">
          <cell r="B1269" t="str">
            <v>В-27848/АЗ</v>
          </cell>
          <cell r="C1269" t="str">
            <v>РОССИЯ, 143301, Московская обл, Наро-Фоминск г, Шибанкова ул, дом 14, квартира 4</v>
          </cell>
          <cell r="D1269" t="str">
            <v>РОССИЯ, 143301, Московская обл, Наро-Фоминск г, Шибанкова ул, дом 14, квартира 4</v>
          </cell>
          <cell r="F1269" t="str">
            <v>Московская</v>
          </cell>
          <cell r="G1269">
            <v>0.66009259259259256</v>
          </cell>
          <cell r="H1269">
            <v>0.91009259259259256</v>
          </cell>
          <cell r="I1269" t="str">
            <v>ОК</v>
          </cell>
          <cell r="J1269" t="str">
            <v>ОК</v>
          </cell>
        </row>
        <row r="1270">
          <cell r="B1270" t="str">
            <v>В-25671/АЗ</v>
          </cell>
          <cell r="C1270" t="str">
            <v>РОССИЯ, 683038, Камчатский край, г Петропавловск-Камчатский, ул Академика Курчатова, д. 7, кв. 15</v>
          </cell>
          <cell r="D1270" t="str">
            <v>РОССИЯ, 683038, Камчатский край, г Петропавловск-Камчатский, ул Академика Курчатова, д. 7, кв. 15</v>
          </cell>
          <cell r="F1270" t="str">
            <v>Камчатский</v>
          </cell>
          <cell r="G1270">
            <v>0.66009259259259256</v>
          </cell>
          <cell r="H1270">
            <v>0.28509259259259268</v>
          </cell>
          <cell r="I1270" t="str">
            <v>поздно</v>
          </cell>
          <cell r="J1270" t="str">
            <v>поздно</v>
          </cell>
        </row>
        <row r="1271">
          <cell r="B1271" t="str">
            <v>В-21321/КЛ.Транш - 1</v>
          </cell>
          <cell r="C1271" t="str">
            <v>РОССИЯ, 107078, Москва г, вн.тер.г. муниципальный округ Красносельский, ул Садовая-Спасская, д. 19, к. 1, кв. 59</v>
          </cell>
          <cell r="D1271" t="str">
            <v>РОССИЯ, 107078, Москва г, вн.тер.г. муниципальный округ Красносельский, ул Садовая-Спасская, д. 19, к. 1, кв. 59</v>
          </cell>
          <cell r="F1271" t="str">
            <v>Москва</v>
          </cell>
          <cell r="G1271">
            <v>0.66009259259259256</v>
          </cell>
          <cell r="H1271">
            <v>0.91009259259259256</v>
          </cell>
          <cell r="I1271" t="str">
            <v>ОК</v>
          </cell>
          <cell r="J1271" t="str">
            <v>ОК</v>
          </cell>
        </row>
        <row r="1272">
          <cell r="B1272" t="str">
            <v>В-19740/КЛ.Транш - 5</v>
          </cell>
          <cell r="C1272" t="str">
            <v>РОССИЯ, 115551, Москва г, Каширское ш, дом № 90, корпус 3, квартира 80</v>
          </cell>
          <cell r="D1272" t="str">
            <v>РОССИЯ, 115551, Москва г, Каширское ш, дом № 90, корпус 3, квартира 80</v>
          </cell>
          <cell r="F1272" t="str">
            <v>Москва</v>
          </cell>
          <cell r="G1272">
            <v>0.66009259259259256</v>
          </cell>
          <cell r="H1272">
            <v>0.91009259259259256</v>
          </cell>
          <cell r="I1272" t="str">
            <v>ОК</v>
          </cell>
          <cell r="J1272" t="str">
            <v>ОК</v>
          </cell>
        </row>
        <row r="1273">
          <cell r="B1273" t="str">
            <v>В-19740/КЛ.Транш - 6</v>
          </cell>
          <cell r="C1273" t="str">
            <v>РОССИЯ, 115551, Москва г, Каширское ш, дом № 90, корпус 3, квартира 80</v>
          </cell>
          <cell r="D1273" t="str">
            <v>РОССИЯ, 115551, Москва г, Каширское ш, дом № 90, корпус 3, квартира 80</v>
          </cell>
          <cell r="F1273" t="str">
            <v>Москва</v>
          </cell>
          <cell r="G1273">
            <v>0.66009259259259256</v>
          </cell>
          <cell r="H1273">
            <v>0.91009259259259256</v>
          </cell>
          <cell r="I1273" t="str">
            <v>ОК</v>
          </cell>
          <cell r="J1273" t="str">
            <v>ОК</v>
          </cell>
        </row>
        <row r="1274">
          <cell r="B1274" t="str">
            <v>В-19740/КЛ.Транш - 7</v>
          </cell>
          <cell r="C1274" t="str">
            <v>РОССИЯ, 115551, Москва г, Каширское ш, дом № 90, корпус 3, квартира 80</v>
          </cell>
          <cell r="D1274" t="str">
            <v>РОССИЯ, 115551, Москва г, Каширское ш, дом № 90, корпус 3, квартира 80</v>
          </cell>
          <cell r="F1274" t="str">
            <v>Москва</v>
          </cell>
          <cell r="G1274">
            <v>0.66009259259259256</v>
          </cell>
          <cell r="H1274">
            <v>0.91009259259259256</v>
          </cell>
          <cell r="I1274" t="str">
            <v>ОК</v>
          </cell>
          <cell r="J1274" t="str">
            <v>ОК</v>
          </cell>
        </row>
        <row r="1275">
          <cell r="B1275" t="str">
            <v>В-19740/КЛ.Транш - 8</v>
          </cell>
          <cell r="C1275" t="str">
            <v>РОССИЯ, 115551, Москва г, Каширское ш, дом № 90, корпус 3, квартира 80</v>
          </cell>
          <cell r="D1275" t="str">
            <v>РОССИЯ, 115551, Москва г, Каширское ш, дом № 90, корпус 3, квартира 80</v>
          </cell>
          <cell r="F1275" t="str">
            <v>Москва</v>
          </cell>
          <cell r="G1275">
            <v>0.66009259259259256</v>
          </cell>
          <cell r="H1275">
            <v>0.91009259259259256</v>
          </cell>
          <cell r="I1275" t="str">
            <v>ОК</v>
          </cell>
          <cell r="J1275" t="str">
            <v>ОК</v>
          </cell>
        </row>
        <row r="1276">
          <cell r="B1276" t="str">
            <v>В-19679/КЛ.Транш - 2</v>
          </cell>
          <cell r="C1276" t="str">
            <v>РОССИЯ, 127434, Москва г, Немчинова ул, дом 10, квартира 32</v>
          </cell>
          <cell r="D1276" t="str">
            <v>РОССИЯ, 127434, Москва г, Немчинова ул, дом 10, квартира 32</v>
          </cell>
          <cell r="F1276" t="str">
            <v>Москва</v>
          </cell>
          <cell r="G1276">
            <v>0.66009259259259256</v>
          </cell>
          <cell r="H1276">
            <v>0.91009259259259256</v>
          </cell>
          <cell r="I1276" t="str">
            <v>ОК</v>
          </cell>
          <cell r="J1276" t="str">
            <v>ОК</v>
          </cell>
        </row>
        <row r="1277">
          <cell r="B1277" t="str">
            <v>В-21451/КЛ.Транш - 1</v>
          </cell>
          <cell r="C1277" t="str">
            <v>РОССИЯ, 443051, Самарская обл, г Самара, пр-кт Металлургов, д. 77, кв. 34</v>
          </cell>
          <cell r="D1277" t="str">
            <v>РОССИЯ, 443051, Самарская обл, г Самара, пр-кт Металлургов, д. 77, кв. 34</v>
          </cell>
          <cell r="F1277" t="str">
            <v>Самарская</v>
          </cell>
          <cell r="G1277">
            <v>0.66009259259259256</v>
          </cell>
          <cell r="H1277">
            <v>0.9517592592592593</v>
          </cell>
          <cell r="I1277" t="str">
            <v>поздно</v>
          </cell>
          <cell r="J1277" t="str">
            <v>ОК</v>
          </cell>
        </row>
        <row r="1278">
          <cell r="B1278" t="str">
            <v>В-22201/КЛ.Транш - 1_В-20211230/Ц</v>
          </cell>
          <cell r="C1278" t="str">
            <v>РОССИЯ, Кемеровская область - Кузбасс, г Новокузнецк, пр-кт Октябрьский, д. 53, кв. 88</v>
          </cell>
          <cell r="D1278" t="str">
            <v>РОССИЯ, Кемеровская область - Кузбасс, г Новокузнецк, пр-кт Октябрьский, д. 53, кв. 88</v>
          </cell>
          <cell r="F1278" t="str">
            <v>Кемеровская</v>
          </cell>
          <cell r="G1278">
            <v>0.66009259259259256</v>
          </cell>
          <cell r="H1278">
            <v>7.6759259259259194E-2</v>
          </cell>
          <cell r="I1278" t="str">
            <v>поздно</v>
          </cell>
          <cell r="J1278" t="str">
            <v>ОК</v>
          </cell>
        </row>
        <row r="1279">
          <cell r="B1279" t="str">
            <v>В-19286/КЛ.Транш - 1</v>
          </cell>
          <cell r="C1279" t="str">
            <v>РОССИЯ, 141825, Московская обл, р-н Дмитровский, с Орудьево, Молодость Територия обьединения, д. 4</v>
          </cell>
          <cell r="D1279" t="str">
            <v>РОССИЯ, 129128, Москва г, вн.тер.г. муниципальный округ Ростокино, ул Малахитовая, д. 5, кв. 84</v>
          </cell>
          <cell r="F1279" t="str">
            <v>Москва</v>
          </cell>
          <cell r="G1279">
            <v>0.66009259259259256</v>
          </cell>
          <cell r="H1279">
            <v>0.91009259259259256</v>
          </cell>
          <cell r="I1279" t="str">
            <v>ОК</v>
          </cell>
          <cell r="J1279" t="str">
            <v>ОК</v>
          </cell>
        </row>
        <row r="1280">
          <cell r="B1280" t="str">
            <v>В-27641/КЛ.Транш - 1</v>
          </cell>
          <cell r="C1280" t="str">
            <v>РОССИЯ, 640023, Курганская обл, г Курган, мкр. 6-й, д. 21, кв. 70</v>
          </cell>
          <cell r="D1280" t="str">
            <v>РОССИЯ, 640023, Курганская обл, г Курган, мкр. 6-й, д. 21, кв. 70</v>
          </cell>
          <cell r="F1280" t="str">
            <v>Курганская</v>
          </cell>
          <cell r="G1280">
            <v>0.66009259259259256</v>
          </cell>
          <cell r="H1280">
            <v>0.99342592592592593</v>
          </cell>
          <cell r="I1280" t="str">
            <v>поздно</v>
          </cell>
          <cell r="J1280" t="str">
            <v>ОК</v>
          </cell>
        </row>
        <row r="1281">
          <cell r="B1281" t="str">
            <v>В-25370/АЗ</v>
          </cell>
          <cell r="C1281" t="str">
            <v>РОССИЯ, 142006, Московская обл, г Домодедово, мкр. Востряково, ул Заборье, д. 1А</v>
          </cell>
          <cell r="D1281" t="str">
            <v>РОССИЯ, 142006, Московская обл, г Домодедово, мкр. Востряково, ул Заборье, д. 1А</v>
          </cell>
          <cell r="F1281" t="str">
            <v>Московская</v>
          </cell>
          <cell r="G1281">
            <v>0.66009259259259256</v>
          </cell>
          <cell r="H1281">
            <v>0.91009259259259256</v>
          </cell>
          <cell r="I1281" t="str">
            <v>ОК</v>
          </cell>
          <cell r="J1281" t="str">
            <v>ОК</v>
          </cell>
        </row>
        <row r="1282">
          <cell r="B1282" t="str">
            <v>В-14074/КЛ.Транш - 1</v>
          </cell>
          <cell r="C1282" t="str">
            <v>РОССИЯ, 620018, Свердловская обл, Екатеринбург г, Калинина ул, дом 10, квартира 31</v>
          </cell>
          <cell r="D1282" t="str">
            <v>РОССИЯ, 620018, Свердловская обл, Екатеринбург г, Калинина ул, дом 10, квартира 31</v>
          </cell>
          <cell r="F1282" t="str">
            <v>Свердловская</v>
          </cell>
          <cell r="G1282">
            <v>0.66009259259259256</v>
          </cell>
          <cell r="H1282">
            <v>0.99342592592592593</v>
          </cell>
          <cell r="I1282" t="str">
            <v>поздно</v>
          </cell>
          <cell r="J1282" t="str">
            <v>ОК</v>
          </cell>
        </row>
        <row r="1283">
          <cell r="B1283" t="str">
            <v>В-14074/КЛ.Транш - 2</v>
          </cell>
          <cell r="C1283" t="str">
            <v>РОССИЯ, 620018, Свердловская обл, Екатеринбург г, Калинина ул, дом 10, квартира 31</v>
          </cell>
          <cell r="D1283" t="str">
            <v>РОССИЯ, 620018, Свердловская обл, Екатеринбург г, Калинина ул, дом 10, квартира 31</v>
          </cell>
          <cell r="F1283" t="str">
            <v>Свердловская</v>
          </cell>
          <cell r="G1283">
            <v>0.66009259259259256</v>
          </cell>
          <cell r="H1283">
            <v>0.99342592592592593</v>
          </cell>
          <cell r="I1283" t="str">
            <v>поздно</v>
          </cell>
          <cell r="J1283" t="str">
            <v>ОК</v>
          </cell>
        </row>
        <row r="1284">
          <cell r="B1284" t="str">
            <v>В-12790/КЛ.Транш - 1</v>
          </cell>
          <cell r="C1284" t="str">
            <v>РОССИЯ, 141613, Московская обл, Клин г, Чайковского ул, дом 58, квартира 99</v>
          </cell>
          <cell r="D1284" t="str">
            <v>РОССИЯ, 141613, Московская обл, Клин г, Чайковского ул, дом 58, квартира 99</v>
          </cell>
          <cell r="F1284" t="str">
            <v>Московская</v>
          </cell>
          <cell r="G1284">
            <v>0.66009259259259256</v>
          </cell>
          <cell r="H1284">
            <v>0.91009259259259256</v>
          </cell>
          <cell r="I1284" t="str">
            <v>ОК</v>
          </cell>
          <cell r="J1284" t="str">
            <v>ОК</v>
          </cell>
        </row>
        <row r="1285">
          <cell r="B1285" t="str">
            <v>В-01203/АЗ</v>
          </cell>
          <cell r="C1285" t="str">
            <v>РОССИЯ, 357801, Ставропольский край, р-н Георгиевский, ст-ца Георгиевская, ул Степная, д. 42</v>
          </cell>
          <cell r="D1285" t="str">
            <v>РОССИЯ, 141006, Московская обл, г Мытищи, ул Индустриальная, д. 3, к. 3, кв. 90</v>
          </cell>
          <cell r="F1285" t="str">
            <v>Московская</v>
          </cell>
          <cell r="G1285">
            <v>0.66009259259259256</v>
          </cell>
          <cell r="H1285">
            <v>0.91009259259259256</v>
          </cell>
          <cell r="I1285" t="str">
            <v>ОК</v>
          </cell>
          <cell r="J1285" t="str">
            <v>ОК</v>
          </cell>
        </row>
        <row r="1286">
          <cell r="B1286" t="str">
            <v>А-05344/АЗ</v>
          </cell>
          <cell r="C1286" t="str">
            <v>РОССИЯ, 197375, Санкт-Петербург г, Репищева ул, дом № 11/9, квартира 247</v>
          </cell>
          <cell r="D1286" t="str">
            <v>РОССИЯ, 197375, Санкт-Петербург г, Репищева ул, дом № 11/9, квартира 247</v>
          </cell>
          <cell r="F1286" t="str">
            <v>Москва</v>
          </cell>
          <cell r="G1286">
            <v>0.66009259259259256</v>
          </cell>
          <cell r="H1286">
            <v>0.91009259259259256</v>
          </cell>
          <cell r="I1286" t="str">
            <v>ОК</v>
          </cell>
          <cell r="J1286" t="str">
            <v>ОК</v>
          </cell>
        </row>
        <row r="1287">
          <cell r="B1287" t="str">
            <v>В-02026/КЛ.Транш - 1</v>
          </cell>
          <cell r="C1287" t="str">
            <v>РОССИЯ, 119313, Москва г, Ленинский пр-кт, дом 90, квартира 182</v>
          </cell>
          <cell r="D1287" t="str">
            <v>РОССИЯ, 119313, Москва г, Ленинский пр-кт, дом 90, квартира 182</v>
          </cell>
          <cell r="F1287" t="str">
            <v>Москва</v>
          </cell>
          <cell r="G1287">
            <v>0.66009259259259256</v>
          </cell>
          <cell r="H1287">
            <v>0.91009259259259256</v>
          </cell>
          <cell r="I1287" t="str">
            <v>ОК</v>
          </cell>
          <cell r="J1287" t="str">
            <v>ОК</v>
          </cell>
        </row>
        <row r="1288">
          <cell r="B1288" t="str">
            <v>В-27521/КЛ.Транш - 1</v>
          </cell>
          <cell r="C1288" t="str">
            <v>РОССИЯ, 353165, Краснодарский край, м.р-н Кореновский, с.п. Дядьковское, ст-ца Дядьковская, ул Пушкина, д. 61</v>
          </cell>
          <cell r="D1288" t="str">
            <v>РОССИЯ, 353165, Краснодарский край, м.р-н Кореновский, с.п. Дядьковское, ст-ца Дядьковская, ул Пушкина, д. 61</v>
          </cell>
          <cell r="F1288" t="str">
            <v>Краснодарский</v>
          </cell>
          <cell r="G1288">
            <v>0.66009259259259256</v>
          </cell>
          <cell r="H1288">
            <v>0.91009259259259256</v>
          </cell>
          <cell r="I1288" t="str">
            <v>ОК</v>
          </cell>
          <cell r="J1288" t="str">
            <v>ОК</v>
          </cell>
        </row>
        <row r="1289">
          <cell r="B1289" t="str">
            <v>В-00598/АЗ_В-20211230/Ц</v>
          </cell>
          <cell r="C1289" t="str">
            <v>РОССИЯ, 108811, Москва г, Московский п, Московский г., Радужная ул, дом 14, корпус 5, квартира 44</v>
          </cell>
          <cell r="D1289" t="str">
            <v>РОССИЯ, 108811, Москва г, Московский п, Московский г., Радужная ул, дом 14, корпус 5, квартира 44</v>
          </cell>
          <cell r="F1289" t="str">
            <v>Москва</v>
          </cell>
          <cell r="G1289">
            <v>0.66009259259259256</v>
          </cell>
          <cell r="H1289">
            <v>0.91009259259259256</v>
          </cell>
          <cell r="I1289" t="str">
            <v>ОК</v>
          </cell>
          <cell r="J1289" t="str">
            <v>ОК</v>
          </cell>
        </row>
        <row r="1290">
          <cell r="B1290" t="str">
            <v>В-03114/КЛ.Транш - 1_В-20211230/Ц</v>
          </cell>
          <cell r="C1290" t="str">
            <v>РОССИЯ, 121354, Москва г, Кутузова ул, дом 2, квартира 350</v>
          </cell>
          <cell r="D1290" t="str">
            <v>РОССИЯ, 121354, Москва г, Кутузова ул, дом 2, квартира 350</v>
          </cell>
          <cell r="F1290" t="str">
            <v>Москва</v>
          </cell>
          <cell r="G1290">
            <v>0.66009259259259256</v>
          </cell>
          <cell r="H1290">
            <v>0.91009259259259256</v>
          </cell>
          <cell r="I1290" t="str">
            <v>ОК</v>
          </cell>
          <cell r="J1290" t="str">
            <v>ОК</v>
          </cell>
        </row>
        <row r="1291">
          <cell r="B1291" t="str">
            <v>В-24081/АЗ</v>
          </cell>
          <cell r="C1291" t="str">
            <v>РОССИЯ, 117628, Москва г, Ратная ул, дом № 12, корпус 1, квартира 166</v>
          </cell>
          <cell r="D1291" t="str">
            <v>РОССИЯ, 117628, Москва г, Ратная ул, дом № 12, корпус 1, квартира 166</v>
          </cell>
          <cell r="F1291" t="str">
            <v>Москва</v>
          </cell>
          <cell r="G1291">
            <v>0.66009259259259256</v>
          </cell>
          <cell r="H1291">
            <v>0.91009259259259256</v>
          </cell>
          <cell r="I1291" t="str">
            <v>ОК</v>
          </cell>
          <cell r="J1291" t="str">
            <v>ОК</v>
          </cell>
        </row>
        <row r="1292">
          <cell r="B1292" t="str">
            <v>В-14706/КЛ.Транш - 1</v>
          </cell>
          <cell r="C1292" t="str">
            <v>РОССИЯ, 416111, Астраханская обл, р-н Наримановский, г Нариманов, ул Набережная, д. 8, кв. 5</v>
          </cell>
          <cell r="D1292" t="str">
            <v>РОССИЯ, 416111, Астраханская обл, Наримановский муниципальный район, городское поселение город Нариманов, Нариманов г, Набережная ул, дом 8, квартира 5</v>
          </cell>
          <cell r="F1292" t="str">
            <v>Астраханская</v>
          </cell>
          <cell r="G1292">
            <v>0.66009259259259256</v>
          </cell>
          <cell r="H1292">
            <v>0.9517592592592593</v>
          </cell>
          <cell r="I1292" t="str">
            <v>поздно</v>
          </cell>
          <cell r="J1292" t="str">
            <v>ОК</v>
          </cell>
        </row>
        <row r="1293">
          <cell r="B1293" t="str">
            <v>Т-01897/АЗ_Т-20211028/Ц</v>
          </cell>
          <cell r="C1293" t="str">
            <v>РОССИЯ, 119192, Москва г, Винницкая ул, дом 5, квартира 161</v>
          </cell>
          <cell r="D1293" t="str">
            <v>РОССИЯ, 143003, Московская обл, Одинцовский р-н, Одинцово г, Любы Новоселовой б-р, дом 2, корпус 1, квартира 17</v>
          </cell>
          <cell r="F1293" t="str">
            <v>Московская</v>
          </cell>
          <cell r="G1293">
            <v>0.66009259259259256</v>
          </cell>
          <cell r="H1293">
            <v>0.91009259259259256</v>
          </cell>
          <cell r="I1293" t="str">
            <v>ОК</v>
          </cell>
          <cell r="J1293" t="str">
            <v>ОК</v>
          </cell>
        </row>
        <row r="1294">
          <cell r="B1294" t="str">
            <v>В-00839/КЛ.Транш - 1</v>
          </cell>
          <cell r="C1294" t="str">
            <v>РОССИЯ, 141134, Московская обл, Щелковский р-н, Оболдино д, Радужная ул, дом 5, квартира 9</v>
          </cell>
          <cell r="D1294" t="str">
            <v>РОССИЯ, 141134, Московская обл, Щелковский р-н, Оболдино д, Радужная ул, дом 5, квартира 9</v>
          </cell>
          <cell r="F1294" t="str">
            <v>Московская</v>
          </cell>
          <cell r="G1294">
            <v>0.66009259259259256</v>
          </cell>
          <cell r="H1294">
            <v>0.91009259259259256</v>
          </cell>
          <cell r="I1294" t="str">
            <v>ОК</v>
          </cell>
          <cell r="J1294" t="str">
            <v>ОК</v>
          </cell>
        </row>
        <row r="1295">
          <cell r="B1295" t="str">
            <v>В-05768/КЛ.Транш - 1</v>
          </cell>
          <cell r="C1295" t="str">
            <v>РОССИЯ, 153521, Ивановская обл, Ивановский р-н, Ново-Талицы с, Радужная ул, дом 17, квартира 46</v>
          </cell>
          <cell r="D1295" t="str">
            <v>РОССИЯ, 141005, Московская обл, Мытищи г, 2-я Институтская ул, дом 24, квартира 284</v>
          </cell>
          <cell r="F1295" t="str">
            <v>Московская</v>
          </cell>
          <cell r="G1295">
            <v>0.66009259259259256</v>
          </cell>
          <cell r="H1295">
            <v>0.91009259259259256</v>
          </cell>
          <cell r="I1295" t="str">
            <v>ОК</v>
          </cell>
          <cell r="J1295" t="str">
            <v>ОК</v>
          </cell>
        </row>
        <row r="1296">
          <cell r="B1296" t="str">
            <v>В-11307/КЛ.Транш - 1</v>
          </cell>
          <cell r="C1296" t="str">
            <v>РОССИЯ, 143273, Московская обл, Можайск г, Кусково д, дом 66</v>
          </cell>
          <cell r="D1296" t="str">
            <v>РОССИЯ, 111675, Москва г, Руднёвка ул, дом 4, квартира 104</v>
          </cell>
          <cell r="F1296" t="str">
            <v>Москва</v>
          </cell>
          <cell r="G1296">
            <v>0.66009259259259256</v>
          </cell>
          <cell r="H1296">
            <v>0.91009259259259256</v>
          </cell>
          <cell r="I1296" t="str">
            <v>ОК</v>
          </cell>
          <cell r="J1296" t="str">
            <v>ОК</v>
          </cell>
        </row>
        <row r="1297">
          <cell r="B1297" t="str">
            <v>В-28471/КЛ.Транш - 1</v>
          </cell>
          <cell r="C1297" t="str">
            <v>РОССИЯ, 308519, Белгородская обл, р-н Белгородский, пгт Северный, ул Олимпийская, д. 23, кв. 8</v>
          </cell>
          <cell r="D1297" t="str">
            <v>РОССИЯ, 308519, Белгородская обл, р-н Белгородский, пгт Северный, ул Олимпийская, д. 23, кв. 8</v>
          </cell>
          <cell r="F1297" t="str">
            <v>Белгородская</v>
          </cell>
          <cell r="G1297">
            <v>0.66009259259259256</v>
          </cell>
          <cell r="H1297">
            <v>0.91009259259259256</v>
          </cell>
          <cell r="I1297" t="str">
            <v>ОК</v>
          </cell>
          <cell r="J1297" t="str">
            <v>ОК</v>
          </cell>
        </row>
        <row r="1298">
          <cell r="B1298" t="str">
            <v>В-17924/КЛ.Транш - 1</v>
          </cell>
          <cell r="C1298" t="str">
            <v>РОССИЯ, 142701, Московская обл, г.о. городской округ Ленинский, г Видное, д Дыдылдино, д. 21Б</v>
          </cell>
          <cell r="D1298" t="str">
            <v>РОССИЯ, 142701, Московская обл, г.о. городской округ Ленинский, г Видное, д Дыдылдино, д. 21Б</v>
          </cell>
          <cell r="F1298" t="str">
            <v>Московская</v>
          </cell>
          <cell r="G1298">
            <v>0.66009259259259256</v>
          </cell>
          <cell r="H1298">
            <v>0.91009259259259256</v>
          </cell>
          <cell r="I1298" t="str">
            <v>ОК</v>
          </cell>
          <cell r="J1298" t="str">
            <v>ОК</v>
          </cell>
        </row>
        <row r="1299">
          <cell r="B1299" t="str">
            <v>В-02690/КЛ.Транш - 1</v>
          </cell>
          <cell r="C1299" t="str">
            <v>РОССИЯ, 610051, Кировская обл, Киров г, Лянгасово мкр., Кошевого ул, дом 30, квартира 53</v>
          </cell>
          <cell r="D1299" t="str">
            <v>РОССИЯ, 141300, Московская обл, Сергиево-Посадский р-н, Сергиев Посад г, Вокзальный пер, дом 14</v>
          </cell>
          <cell r="F1299" t="str">
            <v>Московская</v>
          </cell>
          <cell r="G1299">
            <v>0.66009259259259256</v>
          </cell>
          <cell r="H1299">
            <v>0.91009259259259256</v>
          </cell>
          <cell r="I1299" t="str">
            <v>ОК</v>
          </cell>
          <cell r="J1299" t="str">
            <v>ОК</v>
          </cell>
        </row>
        <row r="1300">
          <cell r="B1300" t="str">
            <v>В-03414/КЛ.Транш - 1</v>
          </cell>
          <cell r="C1300" t="str">
            <v>РОССИЯ, 353561, Краснодарский край, Славянский р-н, Славянск-на-Кубани г, Запорожская ул, дом 136</v>
          </cell>
          <cell r="D1300" t="str">
            <v>РОССИЯ, 353561, Краснодарский край, Славянский р-н, Славянск-на-Кубани г, Запорожская ул, дом 136</v>
          </cell>
          <cell r="F1300" t="str">
            <v>Краснодарский</v>
          </cell>
          <cell r="G1300">
            <v>0.66009259259259256</v>
          </cell>
          <cell r="H1300">
            <v>0.91009259259259256</v>
          </cell>
          <cell r="I1300" t="str">
            <v>ОК</v>
          </cell>
          <cell r="J1300" t="str">
            <v>ОК</v>
          </cell>
        </row>
        <row r="1301">
          <cell r="B1301" t="str">
            <v>В-24247/КЛ.Транш - 1</v>
          </cell>
          <cell r="C1301" t="str">
            <v>РОССИЯ, 663332, Красноярский край, г Норильск, ул Игарская, д. 14, кв. 8</v>
          </cell>
          <cell r="D1301" t="str">
            <v>РОССИЯ, 663332, Красноярский край, г Норильск, ул Игарская, д. 14, кв. 8</v>
          </cell>
          <cell r="F1301" t="str">
            <v>Красноярский</v>
          </cell>
          <cell r="G1301">
            <v>0.66009259259259256</v>
          </cell>
          <cell r="H1301">
            <v>7.6759259259259194E-2</v>
          </cell>
          <cell r="I1301" t="str">
            <v>поздно</v>
          </cell>
          <cell r="J1301" t="str">
            <v>ОК</v>
          </cell>
        </row>
        <row r="1302">
          <cell r="B1302" t="str">
            <v>В-25093/КЛ.Транш - 1</v>
          </cell>
          <cell r="C1302" t="str">
            <v>РОССИЯ, 299053, Севастополь г, ул Вакуленчука, д. 14, кв. 77</v>
          </cell>
          <cell r="D1302" t="str">
            <v>РОССИЯ, 299053, Севастополь г, ул Вакуленчука, д. 14, кв. 77</v>
          </cell>
          <cell r="F1302" t="str">
            <v>Москва</v>
          </cell>
          <cell r="G1302">
            <v>0.66009259259259256</v>
          </cell>
          <cell r="H1302">
            <v>0.91009259259259256</v>
          </cell>
          <cell r="I1302" t="str">
            <v>ОК</v>
          </cell>
          <cell r="J1302" t="str">
            <v>ОК</v>
          </cell>
        </row>
        <row r="1303">
          <cell r="B1303" t="str">
            <v>А-00433/КЭ.Транш - 1</v>
          </cell>
          <cell r="C1303" t="str">
            <v>119072, Москва г, Берсеневская наб, дом 6, строение 3</v>
          </cell>
          <cell r="F1303" t="str">
            <v>Москва</v>
          </cell>
          <cell r="G1303">
            <v>0.66009259259259256</v>
          </cell>
          <cell r="H1303">
            <v>0.91009259259259256</v>
          </cell>
          <cell r="I1303" t="str">
            <v>ОК</v>
          </cell>
          <cell r="J1303" t="str">
            <v>ОК</v>
          </cell>
        </row>
        <row r="1304">
          <cell r="B1304" t="str">
            <v>В-24137/КЛ.Транш - 1</v>
          </cell>
          <cell r="C1304" t="str">
            <v>РОССИЯ, 115230, Москва г, вн.тер. г. муниципальный округ Нагатино-Садовники, ш Варшавское, д. 59, к. 3, кв. 208</v>
          </cell>
          <cell r="D1304" t="str">
            <v>РОССИЯ, 115230, Москва г, вн.тер. г. муниципальный округ Нагатино-Садовники, ш Варшавское, д. 59, к. 3, кв. 208</v>
          </cell>
          <cell r="F1304" t="str">
            <v>Москва</v>
          </cell>
          <cell r="G1304">
            <v>0.66009259259259256</v>
          </cell>
          <cell r="H1304">
            <v>0.91009259259259256</v>
          </cell>
          <cell r="I1304" t="str">
            <v>ОК</v>
          </cell>
          <cell r="J1304" t="str">
            <v>ОК</v>
          </cell>
        </row>
        <row r="1305">
          <cell r="B1305" t="str">
            <v>В-24137/КЛ.Транш - 2</v>
          </cell>
          <cell r="C1305" t="str">
            <v>РОССИЯ, 115230, Москва г, вн.тер. г. муниципальный округ Нагатино-Садовники, ш Варшавское, д. 59, к. 3, кв. 208</v>
          </cell>
          <cell r="D1305" t="str">
            <v>РОССИЯ, 115230, Москва г, вн.тер. г. муниципальный округ Нагатино-Садовники, ш Варшавское, д. 59, к. 3, кв. 208</v>
          </cell>
          <cell r="F1305" t="str">
            <v>Москва</v>
          </cell>
          <cell r="G1305">
            <v>0.66009259259259256</v>
          </cell>
          <cell r="H1305">
            <v>0.91009259259259256</v>
          </cell>
          <cell r="I1305" t="str">
            <v>ОК</v>
          </cell>
          <cell r="J1305" t="str">
            <v>ОК</v>
          </cell>
        </row>
        <row r="1306">
          <cell r="B1306" t="str">
            <v>В-24137/КЛ.Транш - 3</v>
          </cell>
          <cell r="C1306" t="str">
            <v>РОССИЯ, 115230, Москва г, вн.тер. г. муниципальный округ Нагатино-Садовники, ш Варшавское, д. 59, к. 3, кв. 208</v>
          </cell>
          <cell r="D1306" t="str">
            <v>РОССИЯ, 115230, Москва г, вн.тер. г. муниципальный округ Нагатино-Садовники, ш Варшавское, д. 59, к. 3, кв. 208</v>
          </cell>
          <cell r="F1306" t="str">
            <v>Москва</v>
          </cell>
          <cell r="G1306">
            <v>0.66009259259259256</v>
          </cell>
          <cell r="H1306">
            <v>0.91009259259259256</v>
          </cell>
          <cell r="I1306" t="str">
            <v>ОК</v>
          </cell>
          <cell r="J1306" t="str">
            <v>ОК</v>
          </cell>
        </row>
        <row r="1307">
          <cell r="B1307" t="str">
            <v>В-03811/КЛ.Транш - 1</v>
          </cell>
          <cell r="C1307" t="str">
            <v>РОССИЯ, 301764, Тульская обл, Донской г, Центральный мкр, Калинина ул, дом 4, квартира 11</v>
          </cell>
          <cell r="D1307" t="str">
            <v>РОССИЯ, 141411, Московская обл, Химки г, Зеленая ул, дом 7, квартира 86</v>
          </cell>
          <cell r="F1307" t="str">
            <v>Московская</v>
          </cell>
          <cell r="G1307">
            <v>0.66009259259259256</v>
          </cell>
          <cell r="H1307">
            <v>0.91009259259259256</v>
          </cell>
          <cell r="I1307" t="str">
            <v>ОК</v>
          </cell>
          <cell r="J1307" t="str">
            <v>ОК</v>
          </cell>
        </row>
        <row r="1308">
          <cell r="B1308" t="str">
            <v>А-02772/АЗ</v>
          </cell>
          <cell r="C1308" t="str">
            <v>РОССИЯ, 140102, Московская обл, Раменский р-н, Раменское г, Коммунистическая ул, дом № 23, квартира 159</v>
          </cell>
          <cell r="D1308" t="str">
            <v>РОССИЯ, 140102, Московская обл, Раменский р-н, Раменское г, Коммунистическая ул, дом № 23, квартира 159</v>
          </cell>
          <cell r="F1308" t="str">
            <v>Московская</v>
          </cell>
          <cell r="G1308">
            <v>0.66009259259259256</v>
          </cell>
          <cell r="H1308">
            <v>0.91009259259259256</v>
          </cell>
          <cell r="I1308" t="str">
            <v>ОК</v>
          </cell>
          <cell r="J1308" t="str">
            <v>ОК</v>
          </cell>
        </row>
        <row r="1309">
          <cell r="B1309" t="str">
            <v>В-19548/КЛ.Транш - 1</v>
          </cell>
          <cell r="C1309" t="str">
            <v>РОССИЯ, 626150, Тюменская обл, г Тобольск, мкр 10, д. 18, кв. 13</v>
          </cell>
          <cell r="D1309" t="str">
            <v>РОССИЯ, 626150, Тюменская обл, г Тобольск, мкр 10, д. 18, кв. 13</v>
          </cell>
          <cell r="F1309" t="str">
            <v>Тюменская</v>
          </cell>
          <cell r="G1309">
            <v>0.66009259259259256</v>
          </cell>
          <cell r="H1309">
            <v>0.99342592592592593</v>
          </cell>
          <cell r="I1309" t="str">
            <v>поздно</v>
          </cell>
          <cell r="J1309" t="str">
            <v>ОК</v>
          </cell>
        </row>
        <row r="1310">
          <cell r="B1310" t="str">
            <v>В-24983/КЛ.Транш - 1_В-20211230/Ц</v>
          </cell>
          <cell r="C1310" t="str">
            <v>РОССИЯ, 249060, Калужская обл, р-н Малоярославецкий, д Трубицино</v>
          </cell>
          <cell r="D1310" t="str">
            <v>РОССИЯ, 400002, Волгоградская обл, г Волгоград, ул Казахская, д. 35, кв. 1</v>
          </cell>
          <cell r="F1310" t="str">
            <v>Волгоградская</v>
          </cell>
          <cell r="G1310">
            <v>0.66009259259259256</v>
          </cell>
          <cell r="H1310">
            <v>0.9517592592592593</v>
          </cell>
          <cell r="I1310" t="str">
            <v>поздно</v>
          </cell>
          <cell r="J1310" t="str">
            <v>ОК</v>
          </cell>
        </row>
        <row r="1311">
          <cell r="B1311" t="str">
            <v>А-10096/КЭ.Транш - 1</v>
          </cell>
          <cell r="C1311" t="str">
            <v>190121, Санкт-Петербург г, Александра Блока ул, дом 5, литера А, помещение 1-Н, офис 203</v>
          </cell>
          <cell r="F1311" t="str">
            <v>Москва</v>
          </cell>
          <cell r="G1311">
            <v>0.66009259259259256</v>
          </cell>
          <cell r="H1311">
            <v>0.91009259259259256</v>
          </cell>
          <cell r="I1311" t="str">
            <v>ОК</v>
          </cell>
          <cell r="J1311" t="str">
            <v>ОК</v>
          </cell>
        </row>
        <row r="1312">
          <cell r="B1312" t="str">
            <v>В-00038/КЭ.Транш - 1</v>
          </cell>
          <cell r="C1312" t="str">
            <v>105082, Москва г., Бакунинская ул., дом 69, строение 1, офис ЭТАЖ/ПОМЕЩ. АНТРЕСОЛЬ 1/I КОМ./ОФИС 16/13А</v>
          </cell>
          <cell r="F1312" t="str">
            <v>Москва</v>
          </cell>
          <cell r="G1312">
            <v>0.66009259259259256</v>
          </cell>
          <cell r="H1312">
            <v>0.91009259259259256</v>
          </cell>
          <cell r="I1312" t="str">
            <v>ОК</v>
          </cell>
          <cell r="J1312" t="str">
            <v>ОК</v>
          </cell>
        </row>
        <row r="1313">
          <cell r="B1313" t="str">
            <v>В-19988/КЛ.Транш - 1</v>
          </cell>
          <cell r="C1313" t="str">
            <v>РОССИЯ, 398016, Липецкая обл, г Липецк, ул Космонавтов, д. 24, кв. 85</v>
          </cell>
          <cell r="D1313" t="str">
            <v>РОССИЯ, 398037, Липецкая обл, г Липецк, проезд Боевой, д. 49, кв. 153</v>
          </cell>
          <cell r="F1313" t="str">
            <v>Липецкая</v>
          </cell>
          <cell r="G1313">
            <v>0.66009259259259256</v>
          </cell>
          <cell r="H1313">
            <v>0.91009259259259256</v>
          </cell>
          <cell r="I1313" t="str">
            <v>ОК</v>
          </cell>
          <cell r="J1313" t="str">
            <v>ОК</v>
          </cell>
        </row>
        <row r="1314">
          <cell r="B1314" t="str">
            <v>В-11333/КЛ.Транш - 1_В-20211230/Ц</v>
          </cell>
          <cell r="C1314" t="str">
            <v>РОССИЯ, 368816, Дагестан респ, Кизлярский р-н, Новокрестьяновское с, 50 лет Октября ул, домовладение 29</v>
          </cell>
          <cell r="D1314" t="str">
            <v>РОССИЯ, 141707, Московская обл, Долгопрудный г, Молодежная ул, дом 10, квартира 15</v>
          </cell>
          <cell r="F1314" t="str">
            <v>Московская</v>
          </cell>
          <cell r="G1314">
            <v>0.66009259259259256</v>
          </cell>
          <cell r="H1314">
            <v>0.91009259259259256</v>
          </cell>
          <cell r="I1314" t="str">
            <v>ОК</v>
          </cell>
          <cell r="J1314" t="str">
            <v>ОК</v>
          </cell>
        </row>
        <row r="1315">
          <cell r="B1315" t="str">
            <v>В-06587/КЛ.Транш - 4</v>
          </cell>
          <cell r="C1315" t="str">
            <v>РОССИЯ, 188532, Ленинградская обл, Ломоносовский р-н, Лебяжье гп, Степаняна ул, дом 35</v>
          </cell>
          <cell r="D1315" t="str">
            <v>РОССИЯ, 188532, Ленинградская обл, Ломоносовский р-н, Лебяжье гп, Степаняна ул, дом 35, квартира 20</v>
          </cell>
          <cell r="F1315" t="str">
            <v>Ленинградская</v>
          </cell>
          <cell r="G1315">
            <v>0.66009259259259256</v>
          </cell>
          <cell r="H1315">
            <v>0.91009259259259256</v>
          </cell>
          <cell r="I1315" t="str">
            <v>ОК</v>
          </cell>
          <cell r="J1315" t="str">
            <v>ОК</v>
          </cell>
        </row>
        <row r="1316">
          <cell r="B1316" t="str">
            <v>В-06587/КЛ.Транш - 5</v>
          </cell>
          <cell r="C1316" t="str">
            <v>РОССИЯ, 188532, Ленинградская обл, Ломоносовский р-н, Лебяжье гп, Степаняна ул, дом 35</v>
          </cell>
          <cell r="D1316" t="str">
            <v>РОССИЯ, 188532, Ленинградская обл, Ломоносовский р-н, Лебяжье гп, Степаняна ул, дом 35, квартира 20</v>
          </cell>
          <cell r="F1316" t="str">
            <v>Ленинградская</v>
          </cell>
          <cell r="G1316">
            <v>0.66009259259259256</v>
          </cell>
          <cell r="H1316">
            <v>0.91009259259259256</v>
          </cell>
          <cell r="I1316" t="str">
            <v>ОК</v>
          </cell>
          <cell r="J1316" t="str">
            <v>ОК</v>
          </cell>
        </row>
        <row r="1317">
          <cell r="B1317" t="str">
            <v>В-06587/КЛ.Транш - 6</v>
          </cell>
          <cell r="C1317" t="str">
            <v>РОССИЯ, 188532, Ленинградская обл, Ломоносовский р-н, Лебяжье гп, Степаняна ул, дом 35</v>
          </cell>
          <cell r="D1317" t="str">
            <v>РОССИЯ, 188532, Ленинградская обл, Ломоносовский р-н, Лебяжье гп, Степаняна ул, дом 35, квартира 20</v>
          </cell>
          <cell r="F1317" t="str">
            <v>Ленинградская</v>
          </cell>
          <cell r="G1317">
            <v>0.66009259259259256</v>
          </cell>
          <cell r="H1317">
            <v>0.91009259259259256</v>
          </cell>
          <cell r="I1317" t="str">
            <v>ОК</v>
          </cell>
          <cell r="J1317" t="str">
            <v>ОК</v>
          </cell>
        </row>
        <row r="1318">
          <cell r="B1318" t="str">
            <v>Т-01910/АЗ_Т-20211028/Ц</v>
          </cell>
          <cell r="C1318" t="str">
            <v>РОССИЯ, 367026, Дагестан респ, Махачкала г, Лесная ул, дом 4, квартира 1</v>
          </cell>
          <cell r="D1318" t="str">
            <v>РОССИЯ, 115580, Москва г, Кустанайская ул, дом 2, квартира 180</v>
          </cell>
          <cell r="F1318" t="str">
            <v>Москва</v>
          </cell>
          <cell r="G1318">
            <v>0.66009259259259256</v>
          </cell>
          <cell r="H1318">
            <v>0.91009259259259256</v>
          </cell>
          <cell r="I1318" t="str">
            <v>ОК</v>
          </cell>
          <cell r="J1318" t="str">
            <v>ОК</v>
          </cell>
        </row>
        <row r="1319">
          <cell r="B1319" t="str">
            <v>В-09421/КЛ.Транш - 1_А-20210929/Ц</v>
          </cell>
          <cell r="C1319" t="str">
            <v>РОССИЯ, 601301, Владимирская обл, Камешковский р-н, Камешково г, Советская ул, дом 25, квартира 7</v>
          </cell>
          <cell r="D1319" t="str">
            <v>РОССИЯ, 141033, Московская обл, Мытищи г, Поселок Пироговский мкр, Фабричная ул, дом 6, корпус 3, квартира 61</v>
          </cell>
          <cell r="F1319" t="str">
            <v>Московская</v>
          </cell>
          <cell r="G1319">
            <v>0.66009259259259256</v>
          </cell>
          <cell r="H1319">
            <v>0.91009259259259256</v>
          </cell>
          <cell r="I1319" t="str">
            <v>ОК</v>
          </cell>
          <cell r="J1319" t="str">
            <v>ОК</v>
          </cell>
        </row>
        <row r="1320">
          <cell r="B1320" t="str">
            <v>В-20786/КЛ.Транш - 1</v>
          </cell>
          <cell r="C1320" t="str">
            <v>РОССИЯ, 394053, Воронежская обл, г Воронеж, б-р Олимпийский, д. 6, кв. 427</v>
          </cell>
          <cell r="D1320" t="str">
            <v>РОССИЯ, 394053, Воронежская обл, г Воронеж, б-р Олимпийский, д. 6, кв. 427</v>
          </cell>
          <cell r="F1320" t="str">
            <v>Воронежская</v>
          </cell>
          <cell r="G1320">
            <v>0.66009259259259256</v>
          </cell>
          <cell r="H1320">
            <v>0.91009259259259256</v>
          </cell>
          <cell r="I1320" t="str">
            <v>ОК</v>
          </cell>
          <cell r="J1320" t="str">
            <v>ОК</v>
          </cell>
        </row>
        <row r="1321">
          <cell r="B1321" t="str">
            <v>В-00634/АЗ</v>
          </cell>
          <cell r="C1321" t="str">
            <v>РОССИЯ, 350038, Краснодарский край, Краснодар г, им. Володи Головатого ул, дом 605</v>
          </cell>
          <cell r="D1321" t="str">
            <v>РОССИЯ, 350038, Краснодарский край, Краснодар г, им. Володи Головатого ул, дом 605</v>
          </cell>
          <cell r="F1321" t="str">
            <v>Краснодарский</v>
          </cell>
          <cell r="G1321">
            <v>0.66009259259259256</v>
          </cell>
          <cell r="H1321">
            <v>0.91009259259259256</v>
          </cell>
          <cell r="I1321" t="str">
            <v>ОК</v>
          </cell>
          <cell r="J1321" t="str">
            <v>ОК</v>
          </cell>
        </row>
        <row r="1322">
          <cell r="B1322" t="str">
            <v>В-28424/АЗ</v>
          </cell>
          <cell r="C1322" t="str">
            <v>РОССИЯ, 119517, Москва г, ул Нежинская, д. 13, к. 1, кв. 62</v>
          </cell>
          <cell r="D1322" t="str">
            <v>РОССИЯ, 119517, Москва г, ул Нежинская, д. 13, к. 1, кв. 62</v>
          </cell>
          <cell r="F1322" t="str">
            <v>Москва</v>
          </cell>
          <cell r="G1322">
            <v>0.66009259259259256</v>
          </cell>
          <cell r="H1322">
            <v>0.91009259259259256</v>
          </cell>
          <cell r="I1322" t="str">
            <v>ОК</v>
          </cell>
          <cell r="J1322" t="str">
            <v>ОК</v>
          </cell>
        </row>
        <row r="1323">
          <cell r="B1323" t="str">
            <v>В-26005/АЗ</v>
          </cell>
          <cell r="C1323" t="str">
            <v>РОССИЯ, 142717, Московская обл, г Видное, п Развилка, д. 45, кв. 50</v>
          </cell>
          <cell r="D1323" t="str">
            <v>РОССИЯ, 142717, Московская обл, г Видное, п Развилка, д. 45, кв. 50</v>
          </cell>
          <cell r="F1323" t="str">
            <v>Московская</v>
          </cell>
          <cell r="G1323">
            <v>0.66009259259259256</v>
          </cell>
          <cell r="H1323">
            <v>0.91009259259259256</v>
          </cell>
          <cell r="I1323" t="str">
            <v>ОК</v>
          </cell>
          <cell r="J1323" t="str">
            <v>ОК</v>
          </cell>
        </row>
        <row r="1324">
          <cell r="B1324" t="str">
            <v>В-20921/КЛ.Транш - 1</v>
          </cell>
          <cell r="C1324" t="str">
            <v>РОССИЯ, 115597, Москва г, Ясеневая ул, дом 39, корпус 1, квартира 264</v>
          </cell>
          <cell r="D1324" t="str">
            <v>РОССИЯ, 115597, Москва г, Ясеневая ул, дом 39, корпус 1, квартира 264</v>
          </cell>
          <cell r="F1324" t="str">
            <v>Москва</v>
          </cell>
          <cell r="G1324">
            <v>0.66009259259259256</v>
          </cell>
          <cell r="H1324">
            <v>0.91009259259259256</v>
          </cell>
          <cell r="I1324" t="str">
            <v>ОК</v>
          </cell>
          <cell r="J1324" t="str">
            <v>ОК</v>
          </cell>
        </row>
        <row r="1325">
          <cell r="B1325" t="str">
            <v>В-21075/КЛ.Транш - 1</v>
          </cell>
          <cell r="C1325" t="str">
            <v>РОССИЯ, 141357, Московская обл, г Сергиев Посад, д Березняки, д. 61</v>
          </cell>
          <cell r="D1325" t="str">
            <v>РОССИЯ, 141357, Московская обл, г Сергиев Посад, д Березняки, д. 61</v>
          </cell>
          <cell r="F1325" t="str">
            <v>Московская</v>
          </cell>
          <cell r="G1325">
            <v>0.66009259259259256</v>
          </cell>
          <cell r="H1325">
            <v>0.91009259259259256</v>
          </cell>
          <cell r="I1325" t="str">
            <v>ОК</v>
          </cell>
          <cell r="J1325" t="str">
            <v>ОК</v>
          </cell>
        </row>
        <row r="1326">
          <cell r="B1326" t="str">
            <v>В-01388/КЛ.Транш - 1</v>
          </cell>
          <cell r="C1326" t="str">
            <v>РОССИЯ, 142840, Московская обл, Ступино г, Михнево рп, Заводская ул, дом 3А</v>
          </cell>
          <cell r="D1326" t="str">
            <v>РОССИЯ, 142840, Московская обл, Ступино г, Михнево рп, Заводская ул, дом 3А</v>
          </cell>
          <cell r="F1326" t="str">
            <v>Московская</v>
          </cell>
          <cell r="G1326">
            <v>0.66009259259259256</v>
          </cell>
          <cell r="H1326">
            <v>0.91009259259259256</v>
          </cell>
          <cell r="I1326" t="str">
            <v>ОК</v>
          </cell>
          <cell r="J1326" t="str">
            <v>ОК</v>
          </cell>
        </row>
        <row r="1327">
          <cell r="B1327" t="str">
            <v>В-01388/КЛ.Транш - 2</v>
          </cell>
          <cell r="C1327" t="str">
            <v>РОССИЯ, 142840, Московская обл, Ступино г, Михнево рп, Заводская ул, дом 3А</v>
          </cell>
          <cell r="D1327" t="str">
            <v>РОССИЯ, 142840, Московская обл, Ступино г, Михнево рп, Заводская ул, дом 3А</v>
          </cell>
          <cell r="F1327" t="str">
            <v>Московская</v>
          </cell>
          <cell r="G1327">
            <v>0.66009259259259256</v>
          </cell>
          <cell r="H1327">
            <v>0.91009259259259256</v>
          </cell>
          <cell r="I1327" t="str">
            <v>ОК</v>
          </cell>
          <cell r="J1327" t="str">
            <v>ОК</v>
          </cell>
        </row>
        <row r="1328">
          <cell r="B1328" t="str">
            <v>В-00610/АЗ</v>
          </cell>
          <cell r="C1328" t="str">
            <v>РОССИЯ, 184530, Мурманская обл, Оленегорск г, Молодежный б-р, дом 5, квартира 8</v>
          </cell>
          <cell r="D1328" t="str">
            <v>РОССИЯ, 143909, Московская обл, Балашиха г, Дмитриева ул, дом 26, квартира 110</v>
          </cell>
          <cell r="F1328" t="str">
            <v>Московская</v>
          </cell>
          <cell r="G1328">
            <v>0.66009259259259256</v>
          </cell>
          <cell r="H1328">
            <v>0.91009259259259256</v>
          </cell>
          <cell r="I1328" t="str">
            <v>ОК</v>
          </cell>
          <cell r="J1328" t="str">
            <v>ОК</v>
          </cell>
        </row>
        <row r="1329">
          <cell r="B1329" t="str">
            <v>В-00847/АЗ</v>
          </cell>
          <cell r="C1329" t="str">
            <v>РОССИЯ, 184530, Мурманская обл, Оленегорск г, Молодежный б-р, дом 5, квартира 8</v>
          </cell>
          <cell r="D1329" t="str">
            <v>РОССИЯ, 143909, Московская обл, Балашиха г, Дмитриева ул, дом 26, квартира 110</v>
          </cell>
          <cell r="F1329" t="str">
            <v>Московская</v>
          </cell>
          <cell r="G1329">
            <v>0.66009259259259256</v>
          </cell>
          <cell r="H1329">
            <v>0.91009259259259256</v>
          </cell>
          <cell r="I1329" t="str">
            <v>ОК</v>
          </cell>
          <cell r="J1329" t="str">
            <v>ОК</v>
          </cell>
        </row>
        <row r="1330">
          <cell r="B1330" t="str">
            <v>В-01104/АЗ</v>
          </cell>
          <cell r="C1330" t="str">
            <v>РОССИЯ, 352700, Краснодарский край, Тимашевский р-н, Тимашевск г, Садовод мкр, дом 20, квартира 7</v>
          </cell>
          <cell r="D1330" t="str">
            <v>РОССИЯ, 352700, Краснодарский край, Тимашевский р-н, Тимашевск г, Садовод мкр, дом 20, квартира 7</v>
          </cell>
          <cell r="F1330" t="str">
            <v>Краснодарский</v>
          </cell>
          <cell r="G1330">
            <v>0.66009259259259256</v>
          </cell>
          <cell r="H1330">
            <v>0.91009259259259256</v>
          </cell>
          <cell r="I1330" t="str">
            <v>ОК</v>
          </cell>
          <cell r="J1330" t="str">
            <v>ОК</v>
          </cell>
        </row>
        <row r="1331">
          <cell r="B1331" t="str">
            <v>В-00317/АЗ_В-20211230/Ц</v>
          </cell>
          <cell r="C1331" t="str">
            <v>РОССИЯ, 301873, Тульская обл, Ефремовский р-н, Лобаново с, дом № 1А, квартира 9</v>
          </cell>
          <cell r="D1331" t="str">
            <v>РОССИЯ, 124498, Москва г, Зеленоград г, корпус 423, квартира 16</v>
          </cell>
          <cell r="F1331" t="str">
            <v>Москва</v>
          </cell>
          <cell r="G1331">
            <v>0.66009259259259256</v>
          </cell>
          <cell r="H1331">
            <v>0.91009259259259256</v>
          </cell>
          <cell r="I1331" t="str">
            <v>ОК</v>
          </cell>
          <cell r="J1331" t="str">
            <v>ОК</v>
          </cell>
        </row>
        <row r="1332">
          <cell r="B1332" t="str">
            <v>В-27256/КЛ.Транш - 1</v>
          </cell>
          <cell r="C1332" t="str">
            <v>РОССИЯ, 346714, Ростовская обл, р-н Аксайский, Грушевская ст, 9 кв, Виноград уч 25, снт Виноград тер.</v>
          </cell>
          <cell r="D1332" t="str">
            <v>РОССИЯ, 346714, Ростовская обл, Аксайский р-н, ст Грушевская, кв 9, уч 25 Виноград, Виноград тер. снт</v>
          </cell>
          <cell r="F1332" t="str">
            <v>Ростовская</v>
          </cell>
          <cell r="G1332">
            <v>0.66009259259259256</v>
          </cell>
          <cell r="H1332">
            <v>0.91009259259259256</v>
          </cell>
          <cell r="I1332" t="str">
            <v>ОК</v>
          </cell>
          <cell r="J1332" t="str">
            <v>ОК</v>
          </cell>
        </row>
        <row r="1333">
          <cell r="B1333" t="str">
            <v>В-12919/КЛ.Транш - 1</v>
          </cell>
          <cell r="C1333" t="str">
            <v>РОССИЯ, 140015, Московская обл, Люберцы г, Инициативная ул, дом 13, квартира 1126</v>
          </cell>
          <cell r="D1333" t="str">
            <v>РОССИЯ, 140015, Московская обл, Люберцы г, Инициативная ул, дом 13, квартира 1126</v>
          </cell>
          <cell r="F1333" t="str">
            <v>Московская</v>
          </cell>
          <cell r="G1333">
            <v>0.66009259259259256</v>
          </cell>
          <cell r="H1333">
            <v>0.91009259259259256</v>
          </cell>
          <cell r="I1333" t="str">
            <v>ОК</v>
          </cell>
          <cell r="J1333" t="str">
            <v>ОК</v>
          </cell>
        </row>
        <row r="1334">
          <cell r="B1334" t="str">
            <v>В-01/АТЛ/12</v>
          </cell>
          <cell r="C1334" t="str">
            <v>123290, Г.Москва, вн.тер. г. Муниципальный Округ Хорошевский, туп 1-Й Магистральный, дом 5А, офис 39</v>
          </cell>
          <cell r="F1334" t="str">
            <v>Москва</v>
          </cell>
          <cell r="G1334">
            <v>0.66009259259259256</v>
          </cell>
          <cell r="H1334">
            <v>0.91009259259259256</v>
          </cell>
          <cell r="I1334" t="str">
            <v>ОК</v>
          </cell>
          <cell r="J1334" t="str">
            <v>ОК</v>
          </cell>
        </row>
        <row r="1335">
          <cell r="B1335" t="str">
            <v>В-01/АТЛ/13</v>
          </cell>
          <cell r="C1335" t="str">
            <v>123290, Г.Москва, вн.тер. г. Муниципальный Округ Хорошевский, туп 1-Й Магистральный, дом 5А, офис 39</v>
          </cell>
          <cell r="F1335" t="str">
            <v>Москва</v>
          </cell>
          <cell r="G1335">
            <v>0.66009259259259256</v>
          </cell>
          <cell r="H1335">
            <v>0.91009259259259256</v>
          </cell>
          <cell r="I1335" t="str">
            <v>ОК</v>
          </cell>
          <cell r="J1335" t="str">
            <v>ОК</v>
          </cell>
        </row>
        <row r="1336">
          <cell r="B1336" t="str">
            <v>В-01/АТЛ/14</v>
          </cell>
          <cell r="C1336" t="str">
            <v>123290, Г.Москва, вн.тер. г. Муниципальный Округ Хорошевский, туп 1-Й Магистральный, дом 5А, офис 39</v>
          </cell>
          <cell r="F1336" t="str">
            <v>Москва</v>
          </cell>
          <cell r="G1336">
            <v>0.66009259259259256</v>
          </cell>
          <cell r="H1336">
            <v>0.91009259259259256</v>
          </cell>
          <cell r="I1336" t="str">
            <v>ОК</v>
          </cell>
          <cell r="J1336" t="str">
            <v>ОК</v>
          </cell>
        </row>
        <row r="1337">
          <cell r="B1337" t="str">
            <v>В-01/АТЛ/16</v>
          </cell>
          <cell r="C1337" t="str">
            <v>123290, Г.Москва, вн.тер. г. Муниципальный Округ Хорошевский, туп 1-Й Магистральный, дом 5А, офис 39</v>
          </cell>
          <cell r="F1337" t="str">
            <v>Москва</v>
          </cell>
          <cell r="G1337">
            <v>0.66009259259259256</v>
          </cell>
          <cell r="H1337">
            <v>0.91009259259259256</v>
          </cell>
          <cell r="I1337" t="str">
            <v>ОК</v>
          </cell>
          <cell r="J1337" t="str">
            <v>ОК</v>
          </cell>
        </row>
        <row r="1338">
          <cell r="B1338" t="str">
            <v>В-01/АЭК/15</v>
          </cell>
          <cell r="C1338" t="str">
            <v>123290, Г.Москва, вн.тер. г. Муниципальный Округ Хорошевский, туп 1-Й Магистральный, дом 5А, офис 39</v>
          </cell>
          <cell r="F1338" t="str">
            <v>Москва</v>
          </cell>
          <cell r="G1338">
            <v>0.66009259259259256</v>
          </cell>
          <cell r="H1338">
            <v>0.91009259259259256</v>
          </cell>
          <cell r="I1338" t="str">
            <v>ОК</v>
          </cell>
          <cell r="J1338" t="str">
            <v>ОК</v>
          </cell>
        </row>
        <row r="1339">
          <cell r="B1339" t="str">
            <v>В-01/АЭК/16</v>
          </cell>
          <cell r="C1339" t="str">
            <v>123290, Г.Москва, вн.тер. г. Муниципальный Округ Хорошевский, туп 1-Й Магистральный, дом 5А, офис 39</v>
          </cell>
          <cell r="F1339" t="str">
            <v>Москва</v>
          </cell>
          <cell r="G1339">
            <v>0.66009259259259256</v>
          </cell>
          <cell r="H1339">
            <v>0.91009259259259256</v>
          </cell>
          <cell r="I1339" t="str">
            <v>ОК</v>
          </cell>
          <cell r="J1339" t="str">
            <v>ОК</v>
          </cell>
        </row>
        <row r="1340">
          <cell r="B1340" t="str">
            <v>В-01/АЭК/19</v>
          </cell>
          <cell r="C1340" t="str">
            <v>123290, Г.Москва, вн.тер. г. Муниципальный Округ Хорошевский, туп 1-Й Магистральный, дом 5А, офис 39</v>
          </cell>
          <cell r="F1340" t="str">
            <v>Москва</v>
          </cell>
          <cell r="G1340">
            <v>0.66009259259259256</v>
          </cell>
          <cell r="H1340">
            <v>0.91009259259259256</v>
          </cell>
          <cell r="I1340" t="str">
            <v>ОК</v>
          </cell>
          <cell r="J1340" t="str">
            <v>ОК</v>
          </cell>
        </row>
        <row r="1341">
          <cell r="B1341" t="str">
            <v>В-01/АЭК/20</v>
          </cell>
          <cell r="C1341" t="str">
            <v>123290, Г.Москва, вн.тер. г. Муниципальный Округ Хорошевский, туп 1-Й Магистральный, дом 5А, офис 39</v>
          </cell>
          <cell r="F1341" t="str">
            <v>Москва</v>
          </cell>
          <cell r="G1341">
            <v>0.66009259259259256</v>
          </cell>
          <cell r="H1341">
            <v>0.91009259259259256</v>
          </cell>
          <cell r="I1341" t="str">
            <v>ОК</v>
          </cell>
          <cell r="J1341" t="str">
            <v>ОК</v>
          </cell>
        </row>
        <row r="1342">
          <cell r="B1342" t="str">
            <v>В-01/АЭК/21</v>
          </cell>
          <cell r="C1342" t="str">
            <v>123290, Г.Москва, вн.тер. г. Муниципальный Округ Хорошевский, туп 1-Й Магистральный, дом 5А, офис 39</v>
          </cell>
          <cell r="F1342" t="str">
            <v>Москва</v>
          </cell>
          <cell r="G1342">
            <v>0.66009259259259256</v>
          </cell>
          <cell r="H1342">
            <v>0.91009259259259256</v>
          </cell>
          <cell r="I1342" t="str">
            <v>ОК</v>
          </cell>
          <cell r="J1342" t="str">
            <v>ОК</v>
          </cell>
        </row>
        <row r="1343">
          <cell r="B1343" t="str">
            <v>В-01/АЭК/22</v>
          </cell>
          <cell r="C1343" t="str">
            <v>123290, Г.Москва, вн.тер. г. Муниципальный Округ Хорошевский, туп 1-Й Магистральный, дом 5А, офис 39</v>
          </cell>
          <cell r="F1343" t="str">
            <v>Москва</v>
          </cell>
          <cell r="G1343">
            <v>0.66009259259259256</v>
          </cell>
          <cell r="H1343">
            <v>0.91009259259259256</v>
          </cell>
          <cell r="I1343" t="str">
            <v>ОК</v>
          </cell>
          <cell r="J1343" t="str">
            <v>ОК</v>
          </cell>
        </row>
        <row r="1344">
          <cell r="B1344" t="str">
            <v>В-01/АЭК/26</v>
          </cell>
          <cell r="C1344" t="str">
            <v>123290, Г.Москва, вн.тер. г. Муниципальный Округ Хорошевский, туп 1-Й Магистральный, дом 5А, офис 39</v>
          </cell>
          <cell r="F1344" t="str">
            <v>Москва</v>
          </cell>
          <cell r="G1344">
            <v>0.66009259259259256</v>
          </cell>
          <cell r="H1344">
            <v>0.91009259259259256</v>
          </cell>
          <cell r="I1344" t="str">
            <v>ОК</v>
          </cell>
          <cell r="J1344" t="str">
            <v>ОК</v>
          </cell>
        </row>
        <row r="1345">
          <cell r="B1345" t="str">
            <v>В-00062/КЭ.Транш - 1</v>
          </cell>
          <cell r="C1345" t="str">
            <v>107140, Москва г, 1-Й Красносельский пер, дом 3, офис ПОДВАЛ 1 ПОМ I КОМ 79 (РМ114)</v>
          </cell>
          <cell r="F1345" t="str">
            <v>Москва</v>
          </cell>
          <cell r="G1345">
            <v>0.66009259259259256</v>
          </cell>
          <cell r="H1345">
            <v>0.91009259259259256</v>
          </cell>
          <cell r="I1345" t="str">
            <v>ОК</v>
          </cell>
          <cell r="J1345" t="str">
            <v>ОК</v>
          </cell>
        </row>
        <row r="1346">
          <cell r="B1346" t="str">
            <v>В-00062/КЭ.Транш - 2</v>
          </cell>
          <cell r="C1346" t="str">
            <v>107140, Москва г, 1-Й Красносельский пер, дом 3, офис ПОДВАЛ 1 ПОМ I КОМ 79 (РМ114)</v>
          </cell>
          <cell r="F1346" t="str">
            <v>Москва</v>
          </cell>
          <cell r="G1346">
            <v>0.66009259259259256</v>
          </cell>
          <cell r="H1346">
            <v>0.91009259259259256</v>
          </cell>
          <cell r="I1346" t="str">
            <v>ОК</v>
          </cell>
          <cell r="J1346" t="str">
            <v>ОК</v>
          </cell>
        </row>
        <row r="1347">
          <cell r="B1347" t="str">
            <v>В-00055/КЭ.Транш - 1</v>
          </cell>
          <cell r="C1347" t="str">
            <v>129110, Москва г., Мира пр-кт, дом 68, строение 2, офис ЭТАЖ 5 ПОМЕЩ. I, ЧАСТЬ КОМ. 5</v>
          </cell>
          <cell r="F1347" t="str">
            <v>Москва</v>
          </cell>
          <cell r="G1347">
            <v>0.66009259259259256</v>
          </cell>
          <cell r="H1347">
            <v>0.91009259259259256</v>
          </cell>
          <cell r="I1347" t="str">
            <v>ОК</v>
          </cell>
          <cell r="J1347" t="str">
            <v>ОК</v>
          </cell>
        </row>
        <row r="1348">
          <cell r="B1348" t="str">
            <v>В-11932/КЛ.Транш - 1</v>
          </cell>
          <cell r="C1348" t="str">
            <v>РОССИЯ, 142718, Московская обл, Ленинский р-н, Дубровский п, Турова ул, дом 6, квартира 85</v>
          </cell>
          <cell r="D1348" t="str">
            <v>РОССИЯ, 142718, Московская обл, Ленинский р-н, Дубровский п, Турова ул, дом 6, квартира 85</v>
          </cell>
          <cell r="F1348" t="str">
            <v>Московская</v>
          </cell>
          <cell r="G1348">
            <v>0.66009259259259256</v>
          </cell>
          <cell r="H1348">
            <v>0.91009259259259256</v>
          </cell>
          <cell r="I1348" t="str">
            <v>ОК</v>
          </cell>
          <cell r="J1348" t="str">
            <v>ОК</v>
          </cell>
        </row>
        <row r="1349">
          <cell r="B1349" t="str">
            <v>В-01509/КЛ.Транш - 1</v>
          </cell>
          <cell r="C1349" t="str">
            <v>РОССИЯ, 143444, Московская обл, Красногорск г, Опалиха мкр, Оптиков ул, дом 9, квартира 2</v>
          </cell>
          <cell r="D1349" t="str">
            <v>РОССИЯ, 143444, Московская обл, Красногорск г, Опалиха мкр, Оптиков ул, дом 9, квартира 2</v>
          </cell>
          <cell r="F1349" t="str">
            <v>Московская</v>
          </cell>
          <cell r="G1349">
            <v>0.66009259259259256</v>
          </cell>
          <cell r="H1349">
            <v>0.91009259259259256</v>
          </cell>
          <cell r="I1349" t="str">
            <v>ОК</v>
          </cell>
          <cell r="J1349" t="str">
            <v>ОК</v>
          </cell>
        </row>
        <row r="1350">
          <cell r="B1350" t="str">
            <v>В-01135/АЗ</v>
          </cell>
          <cell r="C1350" t="str">
            <v>РОССИЯ, 194355, Санкт-Петербург г, пр-кт Просвещения, д. 9, литера А, кв. 134</v>
          </cell>
          <cell r="D1350" t="str">
            <v>РОССИЯ, 194355, Санкт-Петербург г, Просвещения пр-кт, дом № 9, литер А, квартира 134</v>
          </cell>
          <cell r="F1350" t="str">
            <v>Москва</v>
          </cell>
          <cell r="G1350">
            <v>0.66009259259259256</v>
          </cell>
          <cell r="H1350">
            <v>0.91009259259259256</v>
          </cell>
          <cell r="I1350" t="str">
            <v>ОК</v>
          </cell>
          <cell r="J1350" t="str">
            <v>ОК</v>
          </cell>
        </row>
        <row r="1351">
          <cell r="B1351" t="str">
            <v>В-23643/АЗ</v>
          </cell>
          <cell r="C1351" t="str">
            <v>РОССИЯ, 194355, Санкт-Петербург г, пр-кт Просвещения, д. 9, литера А, кв. 134</v>
          </cell>
          <cell r="D1351" t="str">
            <v>РОССИЯ, 194355, Санкт-Петербург г, Просвещения пр-кт, дом № 9, литер А, квартира 134</v>
          </cell>
          <cell r="F1351" t="str">
            <v>Москва</v>
          </cell>
          <cell r="G1351">
            <v>0.66009259259259256</v>
          </cell>
          <cell r="H1351">
            <v>0.91009259259259256</v>
          </cell>
          <cell r="I1351" t="str">
            <v>ОК</v>
          </cell>
          <cell r="J1351" t="str">
            <v>ОК</v>
          </cell>
        </row>
        <row r="1352">
          <cell r="B1352" t="str">
            <v>В-28299/КЛ.Транш - 1</v>
          </cell>
          <cell r="C1352" t="str">
            <v>РОССИЯ, 192284, Санкт-Петербург г, вн.тер. г. муниципальный округ Георгиевский, б-р Загребский, д. 21, литера А, кв. 31</v>
          </cell>
          <cell r="D1352" t="str">
            <v>РОССИЯ, 192284, Санкт-Петербург г, вн.тер. г. муниципальный округ Георгиевский, б-р Загребский, д. 21, литера А, кв. 31</v>
          </cell>
          <cell r="F1352" t="str">
            <v>Москва</v>
          </cell>
          <cell r="G1352">
            <v>0.66009259259259256</v>
          </cell>
          <cell r="H1352">
            <v>0.91009259259259256</v>
          </cell>
          <cell r="I1352" t="str">
            <v>ОК</v>
          </cell>
          <cell r="J1352" t="str">
            <v>ОК</v>
          </cell>
        </row>
        <row r="1353">
          <cell r="B1353" t="str">
            <v>В-20087/КЛ.Транш - 1</v>
          </cell>
          <cell r="C1353" t="str">
            <v>РОССИЯ, 404130, Волгоградская обл, г.о. город Волжский, г Волжский, ул Набережная, д. 41а, кв. 4</v>
          </cell>
          <cell r="D1353" t="str">
            <v>РОССИЯ, Волгоградская обл, г Волжский, Набережная ул, д. 41, к. А, кв. 4</v>
          </cell>
          <cell r="F1353" t="str">
            <v>Волгоградская</v>
          </cell>
          <cell r="G1353">
            <v>0.66009259259259256</v>
          </cell>
          <cell r="H1353">
            <v>0.9517592592592593</v>
          </cell>
          <cell r="I1353" t="str">
            <v>поздно</v>
          </cell>
          <cell r="J1353" t="str">
            <v>ОК</v>
          </cell>
        </row>
        <row r="1354">
          <cell r="B1354" t="str">
            <v>А-05349/АЗ_В-20211230/Ц</v>
          </cell>
          <cell r="C1354" t="str">
            <v>РОССИЯ, 143960, Московская обл, Реутов г, Советская ул, дом № 4, квартира 73</v>
          </cell>
          <cell r="D1354" t="str">
            <v>РОССИЯ, 143960, Московская обл, Реутов г, Советская ул, дом № 4, квартира 73</v>
          </cell>
          <cell r="F1354" t="str">
            <v>Московская</v>
          </cell>
          <cell r="G1354">
            <v>0.66009259259259256</v>
          </cell>
          <cell r="H1354">
            <v>0.91009259259259256</v>
          </cell>
          <cell r="I1354" t="str">
            <v>ОК</v>
          </cell>
          <cell r="J1354" t="str">
            <v>ОК</v>
          </cell>
        </row>
        <row r="1355">
          <cell r="B1355" t="str">
            <v>В-13545/КЛ.Транш - 1</v>
          </cell>
          <cell r="C1355" t="str">
            <v>РОССИЯ, 299020, Севастополь г, вн.тер.г. Гагаринский, тер. СТ Сатурн-2, д. 25</v>
          </cell>
          <cell r="D1355" t="str">
            <v>РОССИЯ, Севастополь г, СТ Сатурн-2 тер., дом 25</v>
          </cell>
          <cell r="F1355" t="str">
            <v>Москва</v>
          </cell>
          <cell r="G1355">
            <v>0.66009259259259256</v>
          </cell>
          <cell r="H1355">
            <v>0.91009259259259256</v>
          </cell>
          <cell r="I1355" t="str">
            <v>ОК</v>
          </cell>
          <cell r="J1355" t="str">
            <v>ОК</v>
          </cell>
        </row>
        <row r="1356">
          <cell r="B1356" t="str">
            <v>В-26125/АЗ</v>
          </cell>
          <cell r="C1356" t="str">
            <v>РОССИЯ, 121099, Москва г, ул Новый Арбат, д. 29, кв. 65</v>
          </cell>
          <cell r="D1356" t="str">
            <v>РОССИЯ, 121099, Москва г, ул Новый Арбат, д. 29, кв. 65</v>
          </cell>
          <cell r="F1356" t="str">
            <v>Москва</v>
          </cell>
          <cell r="G1356">
            <v>0.66009259259259256</v>
          </cell>
          <cell r="H1356">
            <v>0.91009259259259256</v>
          </cell>
          <cell r="I1356" t="str">
            <v>ОК</v>
          </cell>
          <cell r="J1356" t="str">
            <v>ОК</v>
          </cell>
        </row>
        <row r="1357">
          <cell r="B1357" t="str">
            <v>В-26172/АЗ</v>
          </cell>
          <cell r="C1357" t="str">
            <v>РОССИЯ, 121099, Москва г, ул Новый Арбат, д. 29, кв. 65</v>
          </cell>
          <cell r="D1357" t="str">
            <v>РОССИЯ, 121099, Москва г, ул Новый Арбат, д. 29, кв. 65</v>
          </cell>
          <cell r="F1357" t="str">
            <v>Москва</v>
          </cell>
          <cell r="G1357">
            <v>0.66009259259259256</v>
          </cell>
          <cell r="H1357">
            <v>0.91009259259259256</v>
          </cell>
          <cell r="I1357" t="str">
            <v>ОК</v>
          </cell>
          <cell r="J1357" t="str">
            <v>ОК</v>
          </cell>
        </row>
        <row r="1358">
          <cell r="B1358" t="str">
            <v>В-01023/АЗ</v>
          </cell>
          <cell r="C1358" t="str">
            <v>РОССИЯ, 121099, Москва г, Новый Арбат ул, дом 29, квартира 65</v>
          </cell>
          <cell r="D1358" t="str">
            <v>РОССИЯ, 121099, Москва г, Новый Арбат ул, дом 29, квартира 65</v>
          </cell>
          <cell r="F1358" t="str">
            <v>Москва</v>
          </cell>
          <cell r="G1358">
            <v>0.66009259259259256</v>
          </cell>
          <cell r="H1358">
            <v>0.91009259259259256</v>
          </cell>
          <cell r="I1358" t="str">
            <v>ОК</v>
          </cell>
          <cell r="J1358" t="str">
            <v>ОК</v>
          </cell>
        </row>
        <row r="1359">
          <cell r="B1359" t="str">
            <v>В-01022/АЗ</v>
          </cell>
          <cell r="C1359" t="str">
            <v>РОССИЯ, 121099, Москва г, Новый Арбат ул, дом 29, квартира 65</v>
          </cell>
          <cell r="D1359" t="str">
            <v>РОССИЯ, 121099, Москва г, Новый Арбат ул, дом 29, квартира 65</v>
          </cell>
          <cell r="F1359" t="str">
            <v>Москва</v>
          </cell>
          <cell r="G1359">
            <v>0.66009259259259256</v>
          </cell>
          <cell r="H1359">
            <v>0.91009259259259256</v>
          </cell>
          <cell r="I1359" t="str">
            <v>ОК</v>
          </cell>
          <cell r="J1359" t="str">
            <v>ОК</v>
          </cell>
        </row>
        <row r="1360">
          <cell r="B1360" t="str">
            <v>В-13055/КЛ.Транш - 1</v>
          </cell>
          <cell r="C1360" t="str">
            <v>РОССИЯ, Дагестан респ, Махачкала г, ул Маркова(ул Даниялова), дом 17/3, квартира 5</v>
          </cell>
          <cell r="D1360" t="str">
            <v>РОССИЯ, г Санкт-Петербург, Пушкинский р-н, тер Славянка (п Шушары), ул Ростовская, дом 14-16, квартира 455</v>
          </cell>
          <cell r="F1360" t="str">
            <v>Москва</v>
          </cell>
          <cell r="G1360">
            <v>0.66009259259259256</v>
          </cell>
          <cell r="H1360">
            <v>0.91009259259259256</v>
          </cell>
          <cell r="I1360" t="str">
            <v>ОК</v>
          </cell>
          <cell r="J1360" t="str">
            <v>ОК</v>
          </cell>
        </row>
        <row r="1361">
          <cell r="B1361" t="str">
            <v>В-00232/КЛ.Транш - 1_Т-20211028/Ц</v>
          </cell>
          <cell r="C1361" t="str">
            <v>РОССИЯ, 141707, Московская обл, Городской округ Долгопрудный, Новый Бульвар ул, дом № 15, квартира 378</v>
          </cell>
          <cell r="D1361" t="str">
            <v>РОССИЯ, 141707, Московская обл, Городской округ Долгопрудный, Новый Бульвар ул, дом № 15, квартира 378</v>
          </cell>
          <cell r="F1361" t="str">
            <v>Московская</v>
          </cell>
          <cell r="G1361">
            <v>0.66009259259259256</v>
          </cell>
          <cell r="H1361">
            <v>0.91009259259259256</v>
          </cell>
          <cell r="I1361" t="str">
            <v>ОК</v>
          </cell>
          <cell r="J1361" t="str">
            <v>ОК</v>
          </cell>
        </row>
        <row r="1362">
          <cell r="B1362" t="str">
            <v>В-00035/КЭ.Транш - 3</v>
          </cell>
          <cell r="C1362" t="str">
            <v>125130, Москва г, Нарвская ул, дом 1А, помещение 1, комната 10</v>
          </cell>
          <cell r="F1362" t="str">
            <v>Москва</v>
          </cell>
          <cell r="G1362">
            <v>0.66009259259259256</v>
          </cell>
          <cell r="H1362">
            <v>0.91009259259259256</v>
          </cell>
          <cell r="I1362" t="str">
            <v>ОК</v>
          </cell>
          <cell r="J1362" t="str">
            <v>ОК</v>
          </cell>
        </row>
        <row r="1363">
          <cell r="B1363" t="str">
            <v>В-00035/КЭ.Транш - 7</v>
          </cell>
          <cell r="C1363" t="str">
            <v>125130, Москва г, Нарвская ул, дом 1А, помещение 1, комната 10</v>
          </cell>
          <cell r="F1363" t="str">
            <v>Москва</v>
          </cell>
          <cell r="G1363">
            <v>0.66009259259259256</v>
          </cell>
          <cell r="H1363">
            <v>0.91009259259259256</v>
          </cell>
          <cell r="I1363" t="str">
            <v>ОК</v>
          </cell>
          <cell r="J1363" t="str">
            <v>ОК</v>
          </cell>
        </row>
        <row r="1364">
          <cell r="B1364" t="str">
            <v>В-00035/КЭ.Транш - 8</v>
          </cell>
          <cell r="C1364" t="str">
            <v>125130, Москва г, Нарвская ул, дом 1А, помещение 1, комната 10</v>
          </cell>
          <cell r="F1364" t="str">
            <v>Москва</v>
          </cell>
          <cell r="G1364">
            <v>0.66009259259259256</v>
          </cell>
          <cell r="H1364">
            <v>0.91009259259259256</v>
          </cell>
          <cell r="I1364" t="str">
            <v>ОК</v>
          </cell>
          <cell r="J1364" t="str">
            <v>ОК</v>
          </cell>
        </row>
        <row r="1365">
          <cell r="B1365" t="str">
            <v>В-26352/АЗ</v>
          </cell>
          <cell r="C1365" t="str">
            <v>РОССИЯ, 109316, Москва г, Мельникова ул, дом № 3, корпус 2, квартира 220</v>
          </cell>
          <cell r="D1365" t="str">
            <v>РОССИЯ, 109316, Москва г, Мельникова ул, дом № 3, корпус 2, квартира 220</v>
          </cell>
          <cell r="F1365" t="str">
            <v>Москва</v>
          </cell>
          <cell r="G1365">
            <v>0.66009259259259256</v>
          </cell>
          <cell r="H1365">
            <v>0.91009259259259256</v>
          </cell>
          <cell r="I1365" t="str">
            <v>ОК</v>
          </cell>
          <cell r="J1365" t="str">
            <v>ОК</v>
          </cell>
        </row>
        <row r="1366">
          <cell r="B1366" t="str">
            <v>В-19097/КЛ.Транш - 1_В-20211230/Ц</v>
          </cell>
          <cell r="C1366" t="str">
            <v>РОССИЯ, 353331, Краснодарский край, м.р-н Крымский, с.п. сельское поселение Пригородное, х Армянский, ул Труда, д. 1, кв. 8</v>
          </cell>
          <cell r="D1366" t="str">
            <v>РОССИЯ, 353331, Краснодарский край, м.р-н Крымский, с.п. сельское поселение Пригородное, х Армянский, ул Труда, д. 1, кв. 8</v>
          </cell>
          <cell r="F1366" t="str">
            <v>Краснодарский</v>
          </cell>
          <cell r="G1366">
            <v>0.66009259259259256</v>
          </cell>
          <cell r="H1366">
            <v>0.91009259259259256</v>
          </cell>
          <cell r="I1366" t="str">
            <v>ОК</v>
          </cell>
          <cell r="J1366" t="str">
            <v>ОК</v>
          </cell>
        </row>
        <row r="1367">
          <cell r="B1367" t="str">
            <v>В-12523/КЛ.Транш - 2</v>
          </cell>
          <cell r="C1367" t="str">
            <v>РОССИЯ, Ивановская обл, г Шуя, ул Союзная, дом 7, квартира 11</v>
          </cell>
          <cell r="D1367" t="str">
            <v>РОССИЯ, Ивановская обл, г Шуя, ул Союзная, дом 7, квартира 11</v>
          </cell>
          <cell r="F1367" t="str">
            <v>Ивановская</v>
          </cell>
          <cell r="G1367">
            <v>0.66009259259259256</v>
          </cell>
          <cell r="H1367">
            <v>0.91009259259259256</v>
          </cell>
          <cell r="I1367" t="str">
            <v>ОК</v>
          </cell>
          <cell r="J1367" t="str">
            <v>ОК</v>
          </cell>
        </row>
        <row r="1368">
          <cell r="B1368" t="str">
            <v>В-00600/АЗ</v>
          </cell>
          <cell r="C1368" t="str">
            <v>РОССИЯ, 198262, Санкт-Петербург г, Лёни Голикова ул, дом № 2, квартира 234</v>
          </cell>
          <cell r="D1368" t="str">
            <v>РОССИЯ, 198262, Санкт-Петербург г, Лёни Голикова ул, дом № 2, квартира 234</v>
          </cell>
          <cell r="F1368" t="str">
            <v>Москва</v>
          </cell>
          <cell r="G1368">
            <v>0.66009259259259256</v>
          </cell>
          <cell r="H1368">
            <v>0.91009259259259256</v>
          </cell>
          <cell r="I1368" t="str">
            <v>ОК</v>
          </cell>
          <cell r="J1368" t="str">
            <v>ОК</v>
          </cell>
        </row>
        <row r="1369">
          <cell r="B1369" t="str">
            <v>В-12574/КЛ.Транш - 1</v>
          </cell>
          <cell r="C1369" t="str">
            <v>РОССИЯ, 111674, Москва г, Рождественская ул, дом 19, корпус 2, квартира 196</v>
          </cell>
          <cell r="D1369" t="str">
            <v>РОССИЯ, 111674, Москва г, Рождественская ул, дом 19, корпус 2, квартира 196</v>
          </cell>
          <cell r="F1369" t="str">
            <v>Москва</v>
          </cell>
          <cell r="G1369">
            <v>0.66009259259259256</v>
          </cell>
          <cell r="H1369">
            <v>0.91009259259259256</v>
          </cell>
          <cell r="I1369" t="str">
            <v>ОК</v>
          </cell>
          <cell r="J1369" t="str">
            <v>ОК</v>
          </cell>
        </row>
        <row r="1370">
          <cell r="B1370" t="str">
            <v>В-12574/КЛ.Транш - 2</v>
          </cell>
          <cell r="C1370" t="str">
            <v>РОССИЯ, 111674, Москва г, Рождественская ул, дом 19, корпус 2, квартира 196</v>
          </cell>
          <cell r="D1370" t="str">
            <v>РОССИЯ, 111674, Москва г, Рождественская ул, дом 19, корпус 2, квартира 196</v>
          </cell>
          <cell r="F1370" t="str">
            <v>Москва</v>
          </cell>
          <cell r="G1370">
            <v>0.66009259259259256</v>
          </cell>
          <cell r="H1370">
            <v>0.91009259259259256</v>
          </cell>
          <cell r="I1370" t="str">
            <v>ОК</v>
          </cell>
          <cell r="J1370" t="str">
            <v>ОК</v>
          </cell>
        </row>
        <row r="1371">
          <cell r="B1371" t="str">
            <v>В-12574/КЛ.Транш - 3</v>
          </cell>
          <cell r="C1371" t="str">
            <v>РОССИЯ, 111674, Москва г, Рождественская ул, дом 19, корпус 2, квартира 196</v>
          </cell>
          <cell r="D1371" t="str">
            <v>РОССИЯ, 111674, Москва г, Рождественская ул, дом 19, корпус 2, квартира 196</v>
          </cell>
          <cell r="F1371" t="str">
            <v>Москва</v>
          </cell>
          <cell r="G1371">
            <v>0.66009259259259256</v>
          </cell>
          <cell r="H1371">
            <v>0.91009259259259256</v>
          </cell>
          <cell r="I1371" t="str">
            <v>ОК</v>
          </cell>
          <cell r="J1371" t="str">
            <v>ОК</v>
          </cell>
        </row>
        <row r="1372">
          <cell r="B1372" t="str">
            <v>В-03672/КЛ.Транш - 1_В-20211230/Ц</v>
          </cell>
          <cell r="C1372" t="str">
            <v>РОССИЯ, 363754, Северная Осетия - Алания респ, Моздокский р-н, Моздок г, Фабричная ул, владение 1а</v>
          </cell>
          <cell r="D1372" t="str">
            <v>РОССИЯ, 141240, Московская обл, Пушкинский р-н, Пушкино г, Мамонтовка мкр., Гоголевская ул, дом 8, квартира 20</v>
          </cell>
          <cell r="F1372" t="str">
            <v>Московская</v>
          </cell>
          <cell r="G1372">
            <v>0.66009259259259256</v>
          </cell>
          <cell r="H1372">
            <v>0.91009259259259256</v>
          </cell>
          <cell r="I1372" t="str">
            <v>ОК</v>
          </cell>
          <cell r="J1372" t="str">
            <v>ОК</v>
          </cell>
        </row>
        <row r="1373">
          <cell r="B1373" t="str">
            <v>В-12013/КЛ.Транш - 1</v>
          </cell>
          <cell r="C1373" t="str">
            <v>РОССИЯ, 249200, Калужская обл, Бабынинский р-н, Воротынск п, 50 лет Победы ул, дом 7, квартира 13</v>
          </cell>
          <cell r="D1373" t="str">
            <v>РОССИЯ, 249200, Калужская обл, Бабынинский р-н, Воротынск п, 50 лет Победы ул, дом 7, квартира 13</v>
          </cell>
          <cell r="F1373" t="str">
            <v>Калужская</v>
          </cell>
          <cell r="G1373">
            <v>0.66009259259259256</v>
          </cell>
          <cell r="H1373">
            <v>0.91009259259259256</v>
          </cell>
          <cell r="I1373" t="str">
            <v>ОК</v>
          </cell>
          <cell r="J1373" t="str">
            <v>ОК</v>
          </cell>
        </row>
        <row r="1374">
          <cell r="B1374" t="str">
            <v>В-12013/КЛ.Транш - 2</v>
          </cell>
          <cell r="C1374" t="str">
            <v>РОССИЯ, 249200, Калужская обл, Бабынинский р-н, Воротынск п, 50 лет Победы ул, дом 7, квартира 13</v>
          </cell>
          <cell r="D1374" t="str">
            <v>РОССИЯ, 249200, Калужская обл, Бабынинский р-н, Воротынск п, 50 лет Победы ул, дом 7, квартира 13</v>
          </cell>
          <cell r="F1374" t="str">
            <v>Калужская</v>
          </cell>
          <cell r="G1374">
            <v>0.66009259259259256</v>
          </cell>
          <cell r="H1374">
            <v>0.91009259259259256</v>
          </cell>
          <cell r="I1374" t="str">
            <v>ОК</v>
          </cell>
          <cell r="J1374" t="str">
            <v>ОК</v>
          </cell>
        </row>
        <row r="1375">
          <cell r="B1375" t="str">
            <v>В-12013/КЛ.Транш - 3</v>
          </cell>
          <cell r="C1375" t="str">
            <v>РОССИЯ, 249200, Калужская обл, Бабынинский р-н, Воротынск п, 50 лет Победы ул, дом 7, квартира 13</v>
          </cell>
          <cell r="D1375" t="str">
            <v>РОССИЯ, 249200, Калужская обл, Бабынинский р-н, Воротынск п, 50 лет Победы ул, дом 7, квартира 13</v>
          </cell>
          <cell r="F1375" t="str">
            <v>Калужская</v>
          </cell>
          <cell r="G1375">
            <v>0.66009259259259256</v>
          </cell>
          <cell r="H1375">
            <v>0.91009259259259256</v>
          </cell>
          <cell r="I1375" t="str">
            <v>ОК</v>
          </cell>
          <cell r="J1375" t="str">
            <v>ОК</v>
          </cell>
        </row>
        <row r="1376">
          <cell r="B1376" t="str">
            <v>А-04614/АЗ</v>
          </cell>
          <cell r="C1376" t="str">
            <v>РОССИЯ, 125222, Москва г, Генерала Белобородова ул, дом № 18, квартира 140</v>
          </cell>
          <cell r="D1376" t="str">
            <v>РОССИЯ, 125222, Москва г, Генерала Белобородова ул, дом № 18, квартира 140</v>
          </cell>
          <cell r="F1376" t="str">
            <v>Москва</v>
          </cell>
          <cell r="G1376">
            <v>0.66009259259259256</v>
          </cell>
          <cell r="H1376">
            <v>0.91009259259259256</v>
          </cell>
          <cell r="I1376" t="str">
            <v>ОК</v>
          </cell>
          <cell r="J1376" t="str">
            <v>ОК</v>
          </cell>
        </row>
        <row r="1377">
          <cell r="B1377" t="str">
            <v>В-17747/КЛ.Транш - 1</v>
          </cell>
          <cell r="C1377" t="str">
            <v>РОССИЯ, 127591, Москва г, ул 800-летия Москвы, д. 26, к. 1, кв. 359</v>
          </cell>
          <cell r="D1377" t="str">
            <v>РОССИЯ, 127591, Москва г, ул 800-летия Москвы, д. 26, к. 1, кв. 359</v>
          </cell>
          <cell r="F1377" t="str">
            <v>Москва</v>
          </cell>
          <cell r="G1377">
            <v>0.66009259259259256</v>
          </cell>
          <cell r="H1377">
            <v>0.91009259259259256</v>
          </cell>
          <cell r="I1377" t="str">
            <v>ОК</v>
          </cell>
          <cell r="J1377" t="str">
            <v>ОК</v>
          </cell>
        </row>
        <row r="1378">
          <cell r="B1378" t="str">
            <v>В-17747/КЛ.Транш - 2</v>
          </cell>
          <cell r="C1378" t="str">
            <v>РОССИЯ, 127591, Москва г, ул 800-летия Москвы, д. 26, к. 1, кв. 359</v>
          </cell>
          <cell r="D1378" t="str">
            <v>РОССИЯ, 127591, Москва г, ул 800-летия Москвы, д. 26, к. 1, кв. 359</v>
          </cell>
          <cell r="F1378" t="str">
            <v>Москва</v>
          </cell>
          <cell r="G1378">
            <v>0.66009259259259256</v>
          </cell>
          <cell r="H1378">
            <v>0.91009259259259256</v>
          </cell>
          <cell r="I1378" t="str">
            <v>ОК</v>
          </cell>
          <cell r="J1378" t="str">
            <v>ОК</v>
          </cell>
        </row>
        <row r="1379">
          <cell r="B1379" t="str">
            <v>В-03197/КЛ.Транш - 2</v>
          </cell>
          <cell r="C1379" t="str">
            <v>РОССИЯ, 353542, Краснодарский край, Темрюкский р-н, Виноградный п, Гагарина ул, дом 16, квартира 1</v>
          </cell>
          <cell r="D1379" t="str">
            <v>РОССИЯ, 353542, Краснодарский край, Темрюкский р-н, Виноградный п, Гагарина ул, дом 16, квартира 1</v>
          </cell>
          <cell r="F1379" t="str">
            <v>Краснодарский</v>
          </cell>
          <cell r="G1379">
            <v>0.66009259259259256</v>
          </cell>
          <cell r="H1379">
            <v>0.91009259259259256</v>
          </cell>
          <cell r="I1379" t="str">
            <v>ОК</v>
          </cell>
          <cell r="J1379" t="str">
            <v>ОК</v>
          </cell>
        </row>
        <row r="1380">
          <cell r="B1380" t="str">
            <v>В-01160/АЗ</v>
          </cell>
          <cell r="C1380" t="str">
            <v>РОССИЯ, 142410, Московская обл, г Ногинск, д Клюшниково, д. 50А</v>
          </cell>
          <cell r="D1380" t="str">
            <v>РОССИЯ, 142410, Московская обл, г Ногинск, д Клюшниково, д. 50А</v>
          </cell>
          <cell r="F1380" t="str">
            <v>Московская</v>
          </cell>
          <cell r="G1380">
            <v>0.66009259259259256</v>
          </cell>
          <cell r="H1380">
            <v>0.91009259259259256</v>
          </cell>
          <cell r="I1380" t="str">
            <v>ОК</v>
          </cell>
          <cell r="J1380" t="str">
            <v>ОК</v>
          </cell>
        </row>
        <row r="1381">
          <cell r="B1381" t="str">
            <v>В-21632/КЛ.Транш - 1</v>
          </cell>
          <cell r="C1381" t="str">
            <v>РОССИЯ, 420095, Татарстан респ, г Казань, ул Восстания, д. 86а, кв. 65</v>
          </cell>
          <cell r="D1381" t="str">
            <v>РОССИЯ, 420095, Татарстан респ, г Казань, ул Восстания, д. 86а, кв. 65</v>
          </cell>
          <cell r="F1381" t="str">
            <v>Татарстан</v>
          </cell>
          <cell r="G1381">
            <v>0.66009259259259256</v>
          </cell>
          <cell r="H1381">
            <v>0.91009259259259256</v>
          </cell>
          <cell r="I1381" t="str">
            <v>ОК</v>
          </cell>
          <cell r="J1381" t="str">
            <v>ОК</v>
          </cell>
        </row>
        <row r="1382">
          <cell r="B1382" t="str">
            <v>В-09260/КЛ.Транш - 2</v>
          </cell>
          <cell r="C1382" t="str">
            <v>РОССИЯ, 603058, Нижегородская обл, Нижний Новгород г, Суздальская ул, дом 21</v>
          </cell>
          <cell r="D1382" t="str">
            <v>РОССИЯ, 603058, Нижегородская обл, Нижний Новгород г, Суздальская ул, дом 21</v>
          </cell>
          <cell r="F1382" t="str">
            <v>Нижегородская</v>
          </cell>
          <cell r="G1382">
            <v>0.66009259259259256</v>
          </cell>
          <cell r="H1382">
            <v>0.91009259259259256</v>
          </cell>
          <cell r="I1382" t="str">
            <v>ОК</v>
          </cell>
          <cell r="J1382" t="str">
            <v>ОК</v>
          </cell>
        </row>
        <row r="1383">
          <cell r="B1383" t="str">
            <v>В-10611/КЛ.Транш - 1</v>
          </cell>
          <cell r="C1383" t="str">
            <v>РОССИЯ, 125466, Москва г, Ландышевая ул, дом 14, корпус 1, квартира 169</v>
          </cell>
          <cell r="D1383" t="str">
            <v>РОССИЯ, 125466, Москва г, Ландышевая ул, дом 14, корпус 1, квартира 169</v>
          </cell>
          <cell r="F1383" t="str">
            <v>Москва</v>
          </cell>
          <cell r="G1383">
            <v>0.66009259259259256</v>
          </cell>
          <cell r="H1383">
            <v>0.91009259259259256</v>
          </cell>
          <cell r="I1383" t="str">
            <v>ОК</v>
          </cell>
          <cell r="J1383" t="str">
            <v>ОК</v>
          </cell>
        </row>
        <row r="1384">
          <cell r="B1384" t="str">
            <v>В-15405/КЛ.Транш - 1</v>
          </cell>
          <cell r="C1384" t="str">
            <v>РОССИЯ, 117321, Москва г, Профсоюзная ул, дом 136, корпус 3, квартира 241</v>
          </cell>
          <cell r="D1384" t="str">
            <v>РОССИЯ, 117321, Москва г, Профсоюзная ул, дом 136, корпус 3, квартира 241</v>
          </cell>
          <cell r="F1384" t="str">
            <v>Москва</v>
          </cell>
          <cell r="G1384">
            <v>0.66009259259259256</v>
          </cell>
          <cell r="H1384">
            <v>0.91009259259259256</v>
          </cell>
          <cell r="I1384" t="str">
            <v>ОК</v>
          </cell>
          <cell r="J1384" t="str">
            <v>ОК</v>
          </cell>
        </row>
        <row r="1385">
          <cell r="B1385" t="str">
            <v>В-23354/АЗ</v>
          </cell>
          <cell r="C1385" t="str">
            <v>РОССИЯ, 350080, Краснодарский край, г Краснодар, ул Сормовская, д. 163, к. 3, кв. 13</v>
          </cell>
          <cell r="D1385" t="str">
            <v>РОССИЯ, 143005, Московская обл, г Одинцово, б-р Маршала Крылова, д. 4, кв. 35</v>
          </cell>
          <cell r="F1385" t="str">
            <v>Московская</v>
          </cell>
          <cell r="G1385">
            <v>0.66009259259259256</v>
          </cell>
          <cell r="H1385">
            <v>0.91009259259259256</v>
          </cell>
          <cell r="I1385" t="str">
            <v>ОК</v>
          </cell>
          <cell r="J1385" t="str">
            <v>ОК</v>
          </cell>
        </row>
        <row r="1386">
          <cell r="B1386" t="str">
            <v>В-23813/АЗ</v>
          </cell>
          <cell r="C1386" t="str">
            <v>РОССИЯ, 350080, Краснодарский край, г Краснодар, ул Сормовская, д. 163, к. 3, кв. 13</v>
          </cell>
          <cell r="D1386" t="str">
            <v>РОССИЯ, 143005, Московская обл, г Одинцово, б-р Маршала Крылова, д. 4, кв. 35</v>
          </cell>
          <cell r="F1386" t="str">
            <v>Московская</v>
          </cell>
          <cell r="G1386">
            <v>0.66009259259259256</v>
          </cell>
          <cell r="H1386">
            <v>0.91009259259259256</v>
          </cell>
          <cell r="I1386" t="str">
            <v>ОК</v>
          </cell>
          <cell r="J1386" t="str">
            <v>ОК</v>
          </cell>
        </row>
        <row r="1387">
          <cell r="B1387" t="str">
            <v>В-21416/КЛ.Транш - 1</v>
          </cell>
          <cell r="C1387" t="str">
            <v>РОССИЯ, 249051, Калужская обл, Малоярославецкий р-н, Коллонтай с, Ротманово д, 1-я Садовая ул, дом № 19</v>
          </cell>
          <cell r="D1387" t="str">
            <v>РОССИЯ, 115088, Москва г, Симоновский Вал ул, дом № 16, корпус 2, квартира 82</v>
          </cell>
          <cell r="F1387" t="str">
            <v>Москва</v>
          </cell>
          <cell r="G1387">
            <v>0.66009259259259256</v>
          </cell>
          <cell r="H1387">
            <v>0.91009259259259256</v>
          </cell>
          <cell r="I1387" t="str">
            <v>ОК</v>
          </cell>
          <cell r="J1387" t="str">
            <v>ОК</v>
          </cell>
        </row>
        <row r="1388">
          <cell r="B1388" t="str">
            <v>В-21416/КЛ.Транш - 2</v>
          </cell>
          <cell r="C1388" t="str">
            <v>РОССИЯ, 249051, Калужская обл, Малоярославецкий р-н, Коллонтай с, Ротманово д, 1-я Садовая ул, дом № 19</v>
          </cell>
          <cell r="D1388" t="str">
            <v>РОССИЯ, 115088, Москва г, Симоновский Вал ул, дом № 16, корпус 2, квартира 82</v>
          </cell>
          <cell r="F1388" t="str">
            <v>Москва</v>
          </cell>
          <cell r="G1388">
            <v>0.66009259259259256</v>
          </cell>
          <cell r="H1388">
            <v>0.91009259259259256</v>
          </cell>
          <cell r="I1388" t="str">
            <v>ОК</v>
          </cell>
          <cell r="J1388" t="str">
            <v>ОК</v>
          </cell>
        </row>
        <row r="1389">
          <cell r="B1389" t="str">
            <v>В-21416/КЛ.Транш - 3</v>
          </cell>
          <cell r="C1389" t="str">
            <v>РОССИЯ, 249051, Калужская обл, Малоярославецкий р-н, Коллонтай с, Ротманово д, 1-я Садовая ул, дом № 19</v>
          </cell>
          <cell r="D1389" t="str">
            <v>РОССИЯ, 115088, Москва г, Симоновский Вал ул, дом № 16, корпус 2, квартира 82</v>
          </cell>
          <cell r="F1389" t="str">
            <v>Москва</v>
          </cell>
          <cell r="G1389">
            <v>0.66009259259259256</v>
          </cell>
          <cell r="H1389">
            <v>0.91009259259259256</v>
          </cell>
          <cell r="I1389" t="str">
            <v>ОК</v>
          </cell>
          <cell r="J1389" t="str">
            <v>ОК</v>
          </cell>
        </row>
        <row r="1390">
          <cell r="B1390" t="str">
            <v>В-25657/КЛ.Транш - 1</v>
          </cell>
          <cell r="C1390" t="str">
            <v>РОССИЯ, 127474, Москва г, ул Дубнинская, д. 15, к. 1, кв. 29</v>
          </cell>
          <cell r="D1390" t="str">
            <v>РОССИЯ, 127474, Москва г, ул Дубнинская, д. 15, к. 1, кв. 29</v>
          </cell>
          <cell r="F1390" t="str">
            <v>Москва</v>
          </cell>
          <cell r="G1390">
            <v>0.66009259259259256</v>
          </cell>
          <cell r="H1390">
            <v>0.91009259259259256</v>
          </cell>
          <cell r="I1390" t="str">
            <v>ОК</v>
          </cell>
          <cell r="J1390" t="str">
            <v>ОК</v>
          </cell>
        </row>
        <row r="1391">
          <cell r="B1391" t="str">
            <v>В-21847/КЛ.Транш - 1</v>
          </cell>
          <cell r="C1391" t="str">
            <v>РОССИЯ, 241550, Брянская обл, г Сельцо, ул Первомайская, д. 10</v>
          </cell>
          <cell r="D1391" t="str">
            <v>РОССИЯ, 241550, Брянская обл, г Сельцо, ул Первомайская, д. 10</v>
          </cell>
          <cell r="F1391" t="str">
            <v>Брянская</v>
          </cell>
          <cell r="G1391">
            <v>0.66009259259259256</v>
          </cell>
          <cell r="H1391">
            <v>0.91009259259259256</v>
          </cell>
          <cell r="I1391" t="str">
            <v>ОК</v>
          </cell>
          <cell r="J1391" t="str">
            <v>ОК</v>
          </cell>
        </row>
        <row r="1392">
          <cell r="B1392" t="str">
            <v>В-29072/КЛ.Транш - 1</v>
          </cell>
          <cell r="C1392" t="str">
            <v>РОССИЯ, 414004, Астраханская обл, г Астрахань, ул 3-я Зеленгинская, д. 3, к. 2, кв. 5</v>
          </cell>
          <cell r="D1392" t="str">
            <v>РОССИЯ, 414004, Астраханская обл, г Астрахань, ул 3-я Зеленгинская, д. 3, к. 2, кв. 5</v>
          </cell>
          <cell r="F1392" t="str">
            <v>Астраханская</v>
          </cell>
          <cell r="G1392">
            <v>0.66009259259259256</v>
          </cell>
          <cell r="H1392">
            <v>0.9517592592592593</v>
          </cell>
          <cell r="I1392" t="str">
            <v>поздно</v>
          </cell>
          <cell r="J1392" t="str">
            <v>ОК</v>
          </cell>
        </row>
        <row r="1393">
          <cell r="B1393" t="str">
            <v>В-24687/КЛ.Транш - 1</v>
          </cell>
          <cell r="C1393" t="str">
            <v>РОССИЯ, 140250, Московская обл, Воскресенск г, Белоозёрский г., Молодежная ул, дом 18, квартира 100</v>
          </cell>
          <cell r="D1393" t="str">
            <v>РОССИЯ, 140250, Московская обл, Воскресенск г, Белоозёрский г., Молодежная ул, дом 18, квартира 100</v>
          </cell>
          <cell r="F1393" t="str">
            <v>Московская</v>
          </cell>
          <cell r="G1393">
            <v>0.66009259259259256</v>
          </cell>
          <cell r="H1393">
            <v>0.91009259259259256</v>
          </cell>
          <cell r="I1393" t="str">
            <v>ОК</v>
          </cell>
          <cell r="J1393" t="str">
            <v>ОК</v>
          </cell>
        </row>
        <row r="1394">
          <cell r="B1394" t="str">
            <v>В-01082/АЗ</v>
          </cell>
          <cell r="C1394" t="str">
            <v>РОССИЯ, 194214, Санкт-Петербург г, Костромской пр-кт, дом 48, литера А, квартира 36</v>
          </cell>
          <cell r="D1394" t="str">
            <v>РОССИЯ, 194214, Санкт-Петербург г, Костромской пр-кт, дом 48, литера А, квартира 36</v>
          </cell>
          <cell r="F1394" t="str">
            <v>Москва</v>
          </cell>
          <cell r="G1394">
            <v>0.66009259259259256</v>
          </cell>
          <cell r="H1394">
            <v>0.91009259259259256</v>
          </cell>
          <cell r="I1394" t="str">
            <v>ОК</v>
          </cell>
          <cell r="J1394" t="str">
            <v>ОК</v>
          </cell>
        </row>
        <row r="1395">
          <cell r="B1395" t="str">
            <v>В-27151/АЗ</v>
          </cell>
          <cell r="C1395" t="str">
            <v>РОССИЯ, 194214, Санкт-Петербург г, Костромской пр-кт, дом 48, литера А, квартира 36</v>
          </cell>
          <cell r="D1395" t="str">
            <v>РОССИЯ, 194214, Санкт-Петербург г, Костромской пр-кт, дом 48, литера А, квартира 36</v>
          </cell>
          <cell r="F1395" t="str">
            <v>Москва</v>
          </cell>
          <cell r="G1395">
            <v>0.66009259259259256</v>
          </cell>
          <cell r="H1395">
            <v>0.91009259259259256</v>
          </cell>
          <cell r="I1395" t="str">
            <v>ОК</v>
          </cell>
          <cell r="J1395" t="str">
            <v>ОК</v>
          </cell>
        </row>
        <row r="1396">
          <cell r="B1396" t="str">
            <v>В-28323/КЛ.Транш - 1</v>
          </cell>
          <cell r="C1396" t="str">
            <v>РОССИЯ, 305502, Курская обл, р-н Курский, п Подлесный, д. 4, кв. 7</v>
          </cell>
          <cell r="D1396" t="str">
            <v>РОССИЯ, 305502, Курская обл, р-н Курский, п Подлесный, д. 4, кв. 7</v>
          </cell>
          <cell r="F1396" t="str">
            <v>Курская</v>
          </cell>
          <cell r="G1396">
            <v>0.66009259259259256</v>
          </cell>
          <cell r="H1396">
            <v>0.91009259259259256</v>
          </cell>
          <cell r="I1396" t="str">
            <v>ОК</v>
          </cell>
          <cell r="J1396" t="str">
            <v>ОК</v>
          </cell>
        </row>
        <row r="1397">
          <cell r="B1397" t="str">
            <v>В-01180/АЗ</v>
          </cell>
          <cell r="C1397" t="str">
            <v>355016, Ставропольский край, г Ставрополь, ул Чапаева, д. 11, кв. 23</v>
          </cell>
          <cell r="D1397" t="str">
            <v>355016, Ставропольский край, г Ставрополь, ул Чапаева, д. 11, кв. 23</v>
          </cell>
          <cell r="F1397" t="str">
            <v>Ставропольский</v>
          </cell>
          <cell r="G1397">
            <v>0.66009259259259256</v>
          </cell>
          <cell r="H1397">
            <v>0.91009259259259256</v>
          </cell>
          <cell r="I1397" t="str">
            <v>ОК</v>
          </cell>
          <cell r="J1397" t="str">
            <v>ОК</v>
          </cell>
        </row>
        <row r="1398">
          <cell r="B1398" t="str">
            <v>В-13136/КЛ.Транш - 1_В-20211230/Ц</v>
          </cell>
          <cell r="C1398" t="str">
            <v>РОССИЯ, 109469, Москва г, Братиславская ул, дом 26, квартира 306</v>
          </cell>
          <cell r="D1398" t="str">
            <v>РОССИЯ, 109469, Москва г, Братиславская ул, дом 26, квартира 306</v>
          </cell>
          <cell r="F1398" t="str">
            <v>Москва</v>
          </cell>
          <cell r="G1398">
            <v>0.66009259259259256</v>
          </cell>
          <cell r="H1398">
            <v>0.91009259259259256</v>
          </cell>
          <cell r="I1398" t="str">
            <v>ОК</v>
          </cell>
          <cell r="J1398" t="str">
            <v>ОК</v>
          </cell>
        </row>
        <row r="1399">
          <cell r="B1399" t="str">
            <v>В-00793/АЗ</v>
          </cell>
          <cell r="C1399" t="str">
            <v>РОССИЯ, 214025, Смоленская обл, Смоленск г, Нарвская ул, дом № 19, квартира 40</v>
          </cell>
          <cell r="D1399" t="str">
            <v>РОССИЯ, 127224, Москва г, Широкая ул, дом № 24, квартира 226</v>
          </cell>
          <cell r="F1399" t="str">
            <v>Москва</v>
          </cell>
          <cell r="G1399">
            <v>0.66009259259259256</v>
          </cell>
          <cell r="H1399">
            <v>0.91009259259259256</v>
          </cell>
          <cell r="I1399" t="str">
            <v>ОК</v>
          </cell>
          <cell r="J1399" t="str">
            <v>ОК</v>
          </cell>
        </row>
        <row r="1400">
          <cell r="B1400" t="str">
            <v>В-20948/КЛ.Транш - 1</v>
          </cell>
          <cell r="C1400" t="str">
            <v>РОССИЯ, 456653, Челябинская обл, г Копейск, ул Мира, д. 29, кв. 135</v>
          </cell>
          <cell r="D1400" t="str">
            <v>РОССИЯ, 456653, Челябинская обл, г Копейск, ул Мира, д. 29, кв. 135</v>
          </cell>
          <cell r="F1400" t="str">
            <v>Челябинская</v>
          </cell>
          <cell r="G1400">
            <v>0.66009259259259256</v>
          </cell>
          <cell r="H1400">
            <v>0.99342592592592593</v>
          </cell>
          <cell r="I1400" t="str">
            <v>поздно</v>
          </cell>
          <cell r="J1400" t="str">
            <v>ОК</v>
          </cell>
        </row>
        <row r="1401">
          <cell r="B1401" t="str">
            <v>В-23004/КЛ.Транш - 2</v>
          </cell>
          <cell r="C1401" t="str">
            <v>РОССИЯ, 295024, Крым респ, г Симферополь, ул Дружбы, д. 64, кв. 49</v>
          </cell>
          <cell r="D1401" t="str">
            <v>РОССИЯ, 295024, Крым респ, г Симферополь, ул Дружбы, д. 64, кв. 49</v>
          </cell>
          <cell r="F1401" t="str">
            <v>Крым</v>
          </cell>
          <cell r="G1401">
            <v>0.66009259259259256</v>
          </cell>
          <cell r="H1401">
            <v>0.91009259259259256</v>
          </cell>
          <cell r="I1401" t="str">
            <v>ОК</v>
          </cell>
          <cell r="J1401" t="str">
            <v>ОК</v>
          </cell>
        </row>
        <row r="1402">
          <cell r="B1402" t="str">
            <v>В-23004/КЛ.Транш - 3</v>
          </cell>
          <cell r="C1402" t="str">
            <v>РОССИЯ, 295024, Крым респ, г Симферополь, ул Дружбы, д. 64, кв. 49</v>
          </cell>
          <cell r="D1402" t="str">
            <v>РОССИЯ, 295024, Крым респ, г Симферополь, ул Дружбы, д. 64, кв. 49</v>
          </cell>
          <cell r="F1402" t="str">
            <v>Крым</v>
          </cell>
          <cell r="G1402">
            <v>0.66009259259259256</v>
          </cell>
          <cell r="H1402">
            <v>0.91009259259259256</v>
          </cell>
          <cell r="I1402" t="str">
            <v>ОК</v>
          </cell>
          <cell r="J1402" t="str">
            <v>ОК</v>
          </cell>
        </row>
        <row r="1403">
          <cell r="B1403" t="str">
            <v>В-23585/КЛ.Транш - 1</v>
          </cell>
          <cell r="C1403" t="str">
            <v>РОССИЯ, 153014, Ивановская обл, г Иваново, п/о 14-е, д. 313</v>
          </cell>
          <cell r="D1403" t="str">
            <v>РОССИЯ, 153002, Ивановская обл, г Иваново, пр-кт Ленина, д. 88, кв. 76</v>
          </cell>
          <cell r="F1403" t="str">
            <v>Ивановская</v>
          </cell>
          <cell r="G1403">
            <v>0.66009259259259256</v>
          </cell>
          <cell r="H1403">
            <v>0.91009259259259256</v>
          </cell>
          <cell r="I1403" t="str">
            <v>ОК</v>
          </cell>
          <cell r="J1403" t="str">
            <v>ОК</v>
          </cell>
        </row>
        <row r="1404">
          <cell r="B1404" t="str">
            <v>В-25302/КЛ.Транш - 1</v>
          </cell>
          <cell r="C1404" t="str">
            <v>РОССИЯ, 641010, Курганская обл, р-н Щучанский, г Щучье, ул Чаякова, д. 100, кв. 2</v>
          </cell>
          <cell r="D1404" t="str">
            <v>РОССИЯ, 622049, Свердловская обл, г Нижний Тагил, ул Дружинина, д. 59, к. 1, кв. 35</v>
          </cell>
          <cell r="F1404" t="str">
            <v>Свердловская</v>
          </cell>
          <cell r="G1404">
            <v>0.66009259259259256</v>
          </cell>
          <cell r="H1404">
            <v>0.99342592592592593</v>
          </cell>
          <cell r="I1404" t="str">
            <v>поздно</v>
          </cell>
          <cell r="J1404" t="str">
            <v>ОК</v>
          </cell>
        </row>
        <row r="1405">
          <cell r="B1405" t="str">
            <v>В-15165/КЛ.Транш - 1_В-20211230/Ц</v>
          </cell>
          <cell r="C1405" t="str">
            <v>РОССИЯ, 610020, Кировская обл, Киров г, Карла Либкнехта ул, дом 66, квартира 56</v>
          </cell>
          <cell r="D1405" t="str">
            <v>РОССИЯ, 610020, Кировская обл, Киров г, Карла Либкнехта ул, дом 66, квартира 56</v>
          </cell>
          <cell r="F1405" t="str">
            <v>Кировская</v>
          </cell>
          <cell r="G1405">
            <v>0.66009259259259256</v>
          </cell>
          <cell r="H1405">
            <v>0.91009259259259256</v>
          </cell>
          <cell r="I1405" t="str">
            <v>ОК</v>
          </cell>
          <cell r="J1405" t="str">
            <v>ОК</v>
          </cell>
        </row>
        <row r="1406">
          <cell r="B1406" t="str">
            <v>В-07717/КЛ.Транш - 1</v>
          </cell>
          <cell r="C1406" t="str">
            <v>РОССИЯ, 443029, Самарская обл, Самара г, Солнечная ул, дом 47, квартира 107</v>
          </cell>
          <cell r="D1406" t="str">
            <v>РОССИЯ, 443029, Самарская обл, Самара г, Солнечная ул, дом 47, квартира 107</v>
          </cell>
          <cell r="F1406" t="str">
            <v>Самарская</v>
          </cell>
          <cell r="G1406">
            <v>0.66009259259259256</v>
          </cell>
          <cell r="H1406">
            <v>0.9517592592592593</v>
          </cell>
          <cell r="I1406" t="str">
            <v>поздно</v>
          </cell>
          <cell r="J1406" t="str">
            <v>ОК</v>
          </cell>
        </row>
        <row r="1407">
          <cell r="B1407" t="str">
            <v>В-07717/КЛ.Транш - 2</v>
          </cell>
          <cell r="C1407" t="str">
            <v>РОССИЯ, 443029, Самарская обл, Самара г, Солнечная ул, дом 47, квартира 107</v>
          </cell>
          <cell r="D1407" t="str">
            <v>РОССИЯ, 443029, Самарская обл, Самара г, Солнечная ул, дом 47, квартира 107</v>
          </cell>
          <cell r="F1407" t="str">
            <v>Самарская</v>
          </cell>
          <cell r="G1407">
            <v>0.66009259259259256</v>
          </cell>
          <cell r="H1407">
            <v>0.9517592592592593</v>
          </cell>
          <cell r="I1407" t="str">
            <v>поздно</v>
          </cell>
          <cell r="J1407" t="str">
            <v>ОК</v>
          </cell>
        </row>
        <row r="1408">
          <cell r="B1408" t="str">
            <v>В-07717/КЛ.Транш - 3</v>
          </cell>
          <cell r="C1408" t="str">
            <v>РОССИЯ, 443029, Самарская обл, Самара г, Солнечная ул, дом 47, квартира 107</v>
          </cell>
          <cell r="D1408" t="str">
            <v>РОССИЯ, 443029, Самарская обл, Самара г, Солнечная ул, дом 47, квартира 107</v>
          </cell>
          <cell r="F1408" t="str">
            <v>Самарская</v>
          </cell>
          <cell r="G1408">
            <v>0.66009259259259256</v>
          </cell>
          <cell r="H1408">
            <v>0.9517592592592593</v>
          </cell>
          <cell r="I1408" t="str">
            <v>поздно</v>
          </cell>
          <cell r="J1408" t="str">
            <v>ОК</v>
          </cell>
        </row>
        <row r="1409">
          <cell r="B1409" t="str">
            <v>В-07717/КЛ.Транш - 4</v>
          </cell>
          <cell r="C1409" t="str">
            <v>РОССИЯ, 443029, Самарская обл, Самара г, Солнечная ул, дом 47, квартира 107</v>
          </cell>
          <cell r="D1409" t="str">
            <v>РОССИЯ, 443029, Самарская обл, Самара г, Солнечная ул, дом 47, квартира 107</v>
          </cell>
          <cell r="F1409" t="str">
            <v>Самарская</v>
          </cell>
          <cell r="G1409">
            <v>0.66009259259259256</v>
          </cell>
          <cell r="H1409">
            <v>0.9517592592592593</v>
          </cell>
          <cell r="I1409" t="str">
            <v>поздно</v>
          </cell>
          <cell r="J1409" t="str">
            <v>ОК</v>
          </cell>
        </row>
        <row r="1410">
          <cell r="B1410" t="str">
            <v>В-07717/КЛ.Транш - 5</v>
          </cell>
          <cell r="C1410" t="str">
            <v>РОССИЯ, 443029, Самарская обл, Самара г, Солнечная ул, дом 47, квартира 107</v>
          </cell>
          <cell r="D1410" t="str">
            <v>РОССИЯ, 443029, Самарская обл, Самара г, Солнечная ул, дом 47, квартира 107</v>
          </cell>
          <cell r="F1410" t="str">
            <v>Самарская</v>
          </cell>
          <cell r="G1410">
            <v>0.66009259259259256</v>
          </cell>
          <cell r="H1410">
            <v>0.9517592592592593</v>
          </cell>
          <cell r="I1410" t="str">
            <v>поздно</v>
          </cell>
          <cell r="J1410" t="str">
            <v>ОК</v>
          </cell>
        </row>
        <row r="1411">
          <cell r="B1411" t="str">
            <v>В-16877/КЛ.Транш - 1_В-20211230/Ц</v>
          </cell>
          <cell r="C1411" t="str">
            <v>РОССИЯ, 410004, Саратовская обл, г Саратов, мкр. Первомайский, проезд 2-й, д. 9, кв. 4</v>
          </cell>
          <cell r="D1411" t="str">
            <v>РОССИЯ, 410004, Саратовская обл, г Саратов, мкр. Первомайский, проезд 2-й, д. 9, кв. 4</v>
          </cell>
          <cell r="F1411" t="str">
            <v>Саратовская</v>
          </cell>
          <cell r="G1411">
            <v>0.66009259259259256</v>
          </cell>
          <cell r="H1411">
            <v>0.91009259259259256</v>
          </cell>
          <cell r="I1411" t="str">
            <v>ОК</v>
          </cell>
          <cell r="J1411" t="str">
            <v>ОК</v>
          </cell>
        </row>
        <row r="1412">
          <cell r="B1412" t="str">
            <v>А-00425/КЭ.Транш - 1</v>
          </cell>
          <cell r="C1412" t="str">
            <v>129323, Москва г, Лазоревый проезд, дом 6, 144</v>
          </cell>
          <cell r="F1412" t="str">
            <v>Москва</v>
          </cell>
          <cell r="G1412">
            <v>0.66009259259259256</v>
          </cell>
          <cell r="H1412">
            <v>0.91009259259259256</v>
          </cell>
          <cell r="I1412" t="str">
            <v>ОК</v>
          </cell>
          <cell r="J1412" t="str">
            <v>ОК</v>
          </cell>
        </row>
        <row r="1413">
          <cell r="B1413" t="str">
            <v>В-26806/АЗ</v>
          </cell>
          <cell r="C1413" t="str">
            <v>РОССИЯ, 620072, Свердловская обл, г Екатеринбург, б-р Сиреневый, д. 23, кв. 172</v>
          </cell>
          <cell r="D1413" t="str">
            <v>РОССИЯ, 620072, Свердловская обл, г Екатеринбург, б-р Сиреневый, д. 23, кв. 172</v>
          </cell>
          <cell r="F1413" t="str">
            <v>Свердловская</v>
          </cell>
          <cell r="G1413">
            <v>0.66009259259259256</v>
          </cell>
          <cell r="H1413">
            <v>0.99342592592592593</v>
          </cell>
          <cell r="I1413" t="str">
            <v>поздно</v>
          </cell>
          <cell r="J1413" t="str">
            <v>ОК</v>
          </cell>
        </row>
        <row r="1414">
          <cell r="B1414" t="str">
            <v>В-04809/КЛ.Транш - 1</v>
          </cell>
          <cell r="C1414" t="str">
            <v>РОССИЯ, 115404, Москва г, Радиальная 6-я ул, дом 3, корпус 10, квартира 50</v>
          </cell>
          <cell r="D1414" t="str">
            <v>РОССИЯ, 115404, Москва г, Радиальная 6-я ул, дом 3, корпус 10, квартира 50</v>
          </cell>
          <cell r="F1414" t="str">
            <v>Москва</v>
          </cell>
          <cell r="G1414">
            <v>0.66009259259259256</v>
          </cell>
          <cell r="H1414">
            <v>0.91009259259259256</v>
          </cell>
          <cell r="I1414" t="str">
            <v>ОК</v>
          </cell>
          <cell r="J1414" t="str">
            <v>ОК</v>
          </cell>
        </row>
        <row r="1415">
          <cell r="B1415" t="str">
            <v>А-04641/АЗ</v>
          </cell>
          <cell r="C1415" t="str">
            <v>РОССИЯ, 197720, Санкт-Петербург г, Ушково п, сдт Ветеран 1-й проезд, дом № 5, литера Б</v>
          </cell>
          <cell r="D1415" t="str">
            <v>РОССИЯ, 197720, Санкт-Петербург г, Ушково п, сдт Ветеран 1-й проезд, дом № 5, литера Б</v>
          </cell>
          <cell r="F1415" t="str">
            <v>Москва</v>
          </cell>
          <cell r="G1415">
            <v>0.66009259259259256</v>
          </cell>
          <cell r="H1415">
            <v>0.91009259259259256</v>
          </cell>
          <cell r="I1415" t="str">
            <v>ОК</v>
          </cell>
          <cell r="J1415" t="str">
            <v>ОК</v>
          </cell>
        </row>
        <row r="1416">
          <cell r="B1416" t="str">
            <v>В-21987/КЛ.Транш - 1</v>
          </cell>
          <cell r="C1416" t="str">
            <v>РОССИЯ, 295051, Крым респ, г Симферополь, ул Красногвардейская, д. 15, кв. 7</v>
          </cell>
          <cell r="D1416" t="str">
            <v>РОССИЯ, 295051, Крым респ, г Симферополь, ул Красногвардейская, д. 15, кв. 7</v>
          </cell>
          <cell r="F1416" t="str">
            <v>Крым</v>
          </cell>
          <cell r="G1416">
            <v>0.66009259259259256</v>
          </cell>
          <cell r="H1416">
            <v>0.91009259259259256</v>
          </cell>
          <cell r="I1416" t="str">
            <v>ОК</v>
          </cell>
          <cell r="J1416" t="str">
            <v>ОК</v>
          </cell>
        </row>
        <row r="1417">
          <cell r="B1417" t="str">
            <v>В-01113/АЗ</v>
          </cell>
          <cell r="C1417" t="str">
            <v>РОССИЯ, 175310, Новгородская обл, Демянский р-н, Демянск рп, Заводской пер, дом 9, квартира 2</v>
          </cell>
          <cell r="D1417" t="str">
            <v>РОССИЯ, 109377, Москва г, Академика Скрябина ул, дом 5, корпус 1, квартира 78</v>
          </cell>
          <cell r="F1417" t="str">
            <v>Москва</v>
          </cell>
          <cell r="G1417">
            <v>0.66009259259259256</v>
          </cell>
          <cell r="H1417">
            <v>0.91009259259259256</v>
          </cell>
          <cell r="I1417" t="str">
            <v>ОК</v>
          </cell>
          <cell r="J1417" t="str">
            <v>ОК</v>
          </cell>
        </row>
        <row r="1418">
          <cell r="B1418" t="str">
            <v>В-28393/КЛ.Транш - 1</v>
          </cell>
          <cell r="C1418" t="str">
            <v>РОССИЯ, 185003, Карелия респ, г Петрозаводск, р-н Голиковка, ул Калинина, д. 55Б, кв. 81</v>
          </cell>
          <cell r="D1418" t="str">
            <v>РОССИЯ, 185003, Карелия респ, г Петрозаводск, р-н Голиковка, ул Калинина, д. 55Б, кв. 81</v>
          </cell>
          <cell r="F1418" t="str">
            <v>Карелия</v>
          </cell>
          <cell r="G1418">
            <v>0.66009259259259256</v>
          </cell>
          <cell r="H1418">
            <v>0.91009259259259256</v>
          </cell>
          <cell r="I1418" t="str">
            <v>ОК</v>
          </cell>
          <cell r="J1418" t="str">
            <v>ОК</v>
          </cell>
        </row>
        <row r="1419">
          <cell r="B1419" t="str">
            <v>В-17043/КЛ.Транш - 1_В-20211230/Ц</v>
          </cell>
          <cell r="C1419" t="str">
            <v>РОССИЯ, 142180, Московская обл, г Подольск, мкр. Климовск, ул Ленина, д. 10а, кв. 9 комн 14</v>
          </cell>
          <cell r="D1419" t="str">
            <v>РОССИЯ, 142180, Московская обл, г Подольск, мкр. Климовск, ул Ленина, д. 10А, кв. 9 комн 14</v>
          </cell>
          <cell r="F1419" t="str">
            <v>Московская</v>
          </cell>
          <cell r="G1419">
            <v>0.66009259259259256</v>
          </cell>
          <cell r="H1419">
            <v>0.91009259259259256</v>
          </cell>
          <cell r="I1419" t="str">
            <v>ОК</v>
          </cell>
          <cell r="J1419" t="str">
            <v>ОК</v>
          </cell>
        </row>
        <row r="1420">
          <cell r="B1420" t="str">
            <v>В-18167/КЛ.Транш - 1_В-20211230/Ц</v>
          </cell>
          <cell r="C1420" t="str">
            <v>РОССИЯ, 452017, Башкортостан респ, р-н Белебеевский, рп Приютово, ул Ленина, д. 1, кв. 30</v>
          </cell>
          <cell r="D1420" t="str">
            <v>РОССИЯ, 443125, Самарская обл, г Самара, пр-кт Кирова, д. 322А, к. 6, кв. 419</v>
          </cell>
          <cell r="F1420" t="str">
            <v>Самарская</v>
          </cell>
          <cell r="G1420">
            <v>0.66009259259259256</v>
          </cell>
          <cell r="H1420">
            <v>0.9517592592592593</v>
          </cell>
          <cell r="I1420" t="str">
            <v>поздно</v>
          </cell>
          <cell r="J1420" t="str">
            <v>ОК</v>
          </cell>
        </row>
        <row r="1421">
          <cell r="B1421" t="str">
            <v>В-26450/АЗ</v>
          </cell>
          <cell r="C1421" t="str">
            <v>РОССИЯ, 196655, Санкт-Петербург г, г Колпино, ул Октябрьская, д. 17/3, литера А, кв. 43</v>
          </cell>
          <cell r="D1421" t="str">
            <v>РОССИЯ, 196655, Санкт-Петербург г, Колпино г, Октябрьская ул, дом 17/3, квартира 43</v>
          </cell>
          <cell r="F1421" t="str">
            <v>Москва</v>
          </cell>
          <cell r="G1421">
            <v>0.66009259259259256</v>
          </cell>
          <cell r="H1421">
            <v>0.91009259259259256</v>
          </cell>
          <cell r="I1421" t="str">
            <v>ОК</v>
          </cell>
          <cell r="J1421" t="str">
            <v>ОК</v>
          </cell>
        </row>
        <row r="1422">
          <cell r="B1422" t="str">
            <v>В-03974/КЛ.Транш - 3</v>
          </cell>
          <cell r="C1422" t="str">
            <v>РОССИЯ, 141002, Московская обл, Мытищи г, Станционная ул, дом 5, корпус 2, квартира 91</v>
          </cell>
          <cell r="D1422" t="str">
            <v>РОССИЯ, 141002, Московская обл, Мытищи г, Станционная ул, дом 5, корпус 2, квартира 91</v>
          </cell>
          <cell r="F1422" t="str">
            <v>Московская</v>
          </cell>
          <cell r="G1422">
            <v>0.66009259259259256</v>
          </cell>
          <cell r="H1422">
            <v>0.91009259259259256</v>
          </cell>
          <cell r="I1422" t="str">
            <v>ОК</v>
          </cell>
          <cell r="J1422" t="str">
            <v>ОК</v>
          </cell>
        </row>
        <row r="1423">
          <cell r="B1423" t="str">
            <v>В-18215/КЛ.Транш - 1</v>
          </cell>
          <cell r="C1423" t="str">
            <v>РОССИЯ, 215503, Смоленская обл, р-н Сафоновский, г Сафоново, ул Северная, д. 7, кв. 4</v>
          </cell>
          <cell r="D1423" t="str">
            <v>РОССИЯ, 215503, Смоленская обл, р-н Сафоновский, г Сафоново, ул Северная, д. 7, кв. 4</v>
          </cell>
          <cell r="F1423" t="str">
            <v>Смоленская</v>
          </cell>
          <cell r="G1423">
            <v>0.66009259259259256</v>
          </cell>
          <cell r="H1423">
            <v>0.91009259259259256</v>
          </cell>
          <cell r="I1423" t="str">
            <v>ОК</v>
          </cell>
          <cell r="J1423" t="str">
            <v>ОК</v>
          </cell>
        </row>
        <row r="1424">
          <cell r="B1424" t="str">
            <v>В-28753/КЛ.Транш - 1</v>
          </cell>
          <cell r="C1424" t="str">
            <v>РОССИЯ, 141013, Московская обл, г Мытищи, ул Стрелковая, д. 6, кв. 351</v>
          </cell>
          <cell r="D1424" t="str">
            <v>РОССИЯ, 127081, Москва г, проезд Ясный, д. 4, к. 2, кв. 85</v>
          </cell>
          <cell r="F1424" t="str">
            <v>Москва</v>
          </cell>
          <cell r="G1424">
            <v>0.66009259259259256</v>
          </cell>
          <cell r="H1424">
            <v>0.91009259259259256</v>
          </cell>
          <cell r="I1424" t="str">
            <v>ОК</v>
          </cell>
          <cell r="J1424" t="str">
            <v>ОК</v>
          </cell>
        </row>
        <row r="1425">
          <cell r="B1425" t="str">
            <v>В-00850/АЗ</v>
          </cell>
          <cell r="C1425" t="str">
            <v>РОССИЯ, 350066, Краснодарский край, Краснодар г, Симферопольская ул, дом 3, квартира 101</v>
          </cell>
          <cell r="D1425" t="str">
            <v>РОССИЯ, 352040, Краснодарский край, Павловский р-н, Павловская ст-ца, Пащенко ул, дом 1</v>
          </cell>
          <cell r="F1425" t="str">
            <v>Краснодарский</v>
          </cell>
          <cell r="G1425">
            <v>0.66009259259259256</v>
          </cell>
          <cell r="H1425">
            <v>0.91009259259259256</v>
          </cell>
          <cell r="I1425" t="str">
            <v>ОК</v>
          </cell>
          <cell r="J1425" t="str">
            <v>ОК</v>
          </cell>
        </row>
        <row r="1426">
          <cell r="B1426" t="str">
            <v>В-01015/АЗ</v>
          </cell>
          <cell r="C1426" t="str">
            <v>РОССИЯ, 350066, Краснодарский край, Краснодар г, Симферопольская ул, дом 3, квартира 101</v>
          </cell>
          <cell r="D1426" t="str">
            <v>РОССИЯ, 352040, Краснодарский край, Павловский р-н, Павловская ст-ца, Пащенко ул, дом 1</v>
          </cell>
          <cell r="F1426" t="str">
            <v>Краснодарский</v>
          </cell>
          <cell r="G1426">
            <v>0.66009259259259256</v>
          </cell>
          <cell r="H1426">
            <v>0.91009259259259256</v>
          </cell>
          <cell r="I1426" t="str">
            <v>ОК</v>
          </cell>
          <cell r="J1426" t="str">
            <v>ОК</v>
          </cell>
        </row>
        <row r="1427">
          <cell r="B1427" t="str">
            <v>В-01125/АЗ</v>
          </cell>
          <cell r="C1427" t="str">
            <v>РОССИЯ, 350066, Краснодарский край, Краснодар г, Симферопольская ул, дом 3, квартира 101</v>
          </cell>
          <cell r="D1427" t="str">
            <v>РОССИЯ, 352040, Краснодарский край, Павловский р-н, Павловская ст-ца, Пащенко ул, дом 1</v>
          </cell>
          <cell r="F1427" t="str">
            <v>Краснодарский</v>
          </cell>
          <cell r="G1427">
            <v>0.66009259259259256</v>
          </cell>
          <cell r="H1427">
            <v>0.91009259259259256</v>
          </cell>
          <cell r="I1427" t="str">
            <v>ОК</v>
          </cell>
          <cell r="J1427" t="str">
            <v>ОК</v>
          </cell>
        </row>
        <row r="1428">
          <cell r="B1428" t="str">
            <v>В-00473/КЛ.Транш - 3</v>
          </cell>
          <cell r="C1428" t="str">
            <v>РОССИЯ, 188807, Ленинградская обл, Выборгский р-н, Выборг г, Андреевская ул, дом 4, квартира 2</v>
          </cell>
          <cell r="D1428" t="str">
            <v>РОССИЯ, 188801, Ленинградская обл, Выборгский р-н, Выборг г, Рубежная ул, дом 18, квартира 81</v>
          </cell>
          <cell r="F1428" t="str">
            <v>Ленинградская</v>
          </cell>
          <cell r="G1428">
            <v>0.66009259259259256</v>
          </cell>
          <cell r="H1428">
            <v>0.91009259259259256</v>
          </cell>
          <cell r="I1428" t="str">
            <v>ОК</v>
          </cell>
          <cell r="J1428" t="str">
            <v>ОК</v>
          </cell>
        </row>
        <row r="1429">
          <cell r="B1429" t="str">
            <v>В-00473/КЛ.Транш - 4</v>
          </cell>
          <cell r="C1429" t="str">
            <v>РОССИЯ, 188807, Ленинградская обл, Выборгский р-н, Выборг г, Андреевская ул, дом 4, квартира 2</v>
          </cell>
          <cell r="D1429" t="str">
            <v>РОССИЯ, 188801, Ленинградская обл, Выборгский р-н, Выборг г, Рубежная ул, дом 18, квартира 81</v>
          </cell>
          <cell r="F1429" t="str">
            <v>Ленинградская</v>
          </cell>
          <cell r="G1429">
            <v>0.66009259259259256</v>
          </cell>
          <cell r="H1429">
            <v>0.91009259259259256</v>
          </cell>
          <cell r="I1429" t="str">
            <v>ОК</v>
          </cell>
          <cell r="J1429" t="str">
            <v>ОК</v>
          </cell>
        </row>
        <row r="1430">
          <cell r="B1430" t="str">
            <v>В-23712/КЛ.Транш - 1</v>
          </cell>
          <cell r="C1430" t="str">
            <v>РОССИЯ, 188807, Ленинградская обл, Выборгский р-н, Выборг г, Андреевская ул, дом 4, квартира 2</v>
          </cell>
          <cell r="D1430" t="str">
            <v>РОССИЯ, 188801, Ленинградская обл, Выборгский р-н, Выборг г, Рубежная ул, дом 18, квартира 81</v>
          </cell>
          <cell r="F1430" t="str">
            <v>Ленинградская</v>
          </cell>
          <cell r="G1430">
            <v>0.66009259259259256</v>
          </cell>
          <cell r="H1430">
            <v>0.91009259259259256</v>
          </cell>
          <cell r="I1430" t="str">
            <v>ОК</v>
          </cell>
          <cell r="J1430" t="str">
            <v>ОК</v>
          </cell>
        </row>
        <row r="1431">
          <cell r="B1431" t="str">
            <v>В-23712/КЛ.Транш - 2</v>
          </cell>
          <cell r="C1431" t="str">
            <v>РОССИЯ, 188807, Ленинградская обл, Выборгский р-н, Выборг г, Андреевская ул, дом 4, квартира 2</v>
          </cell>
          <cell r="D1431" t="str">
            <v>РОССИЯ, 188801, Ленинградская обл, Выборгский р-н, Выборг г, Рубежная ул, дом 18, квартира 81</v>
          </cell>
          <cell r="F1431" t="str">
            <v>Ленинградская</v>
          </cell>
          <cell r="G1431">
            <v>0.66009259259259256</v>
          </cell>
          <cell r="H1431">
            <v>0.91009259259259256</v>
          </cell>
          <cell r="I1431" t="str">
            <v>ОК</v>
          </cell>
          <cell r="J1431" t="str">
            <v>ОК</v>
          </cell>
        </row>
        <row r="1432">
          <cell r="B1432" t="str">
            <v>В-23712/КЛ.Транш - 3</v>
          </cell>
          <cell r="C1432" t="str">
            <v>РОССИЯ, 188807, Ленинградская обл, Выборгский р-н, Выборг г, Андреевская ул, дом 4, квартира 2</v>
          </cell>
          <cell r="D1432" t="str">
            <v>РОССИЯ, 188801, Ленинградская обл, Выборгский р-н, Выборг г, Рубежная ул, дом 18, квартира 81</v>
          </cell>
          <cell r="F1432" t="str">
            <v>Ленинградская</v>
          </cell>
          <cell r="G1432">
            <v>0.66009259259259256</v>
          </cell>
          <cell r="H1432">
            <v>0.91009259259259256</v>
          </cell>
          <cell r="I1432" t="str">
            <v>ОК</v>
          </cell>
          <cell r="J1432" t="str">
            <v>ОК</v>
          </cell>
        </row>
        <row r="1433">
          <cell r="B1433" t="str">
            <v>В-23712/КЛ.Транш - 4</v>
          </cell>
          <cell r="C1433" t="str">
            <v>РОССИЯ, 188807, Ленинградская обл, Выборгский р-н, Выборг г, Андреевская ул, дом 4, квартира 2</v>
          </cell>
          <cell r="D1433" t="str">
            <v>РОССИЯ, 188801, Ленинградская обл, Выборгский р-н, Выборг г, Рубежная ул, дом 18, квартира 81</v>
          </cell>
          <cell r="F1433" t="str">
            <v>Ленинградская</v>
          </cell>
          <cell r="G1433">
            <v>0.66009259259259256</v>
          </cell>
          <cell r="H1433">
            <v>0.91009259259259256</v>
          </cell>
          <cell r="I1433" t="str">
            <v>ОК</v>
          </cell>
          <cell r="J1433" t="str">
            <v>ОК</v>
          </cell>
        </row>
        <row r="1434">
          <cell r="B1434" t="str">
            <v>В-01085/АЗ</v>
          </cell>
          <cell r="C1434" t="str">
            <v>РОССИЯ, 125475, Москва г, Дыбенко ул, дом 2, корпус 1, квартира 148</v>
          </cell>
          <cell r="D1434" t="str">
            <v>РОССИЯ, 125475, Москва г, Дыбенко ул, дом 2, корпус 1, квартира 148</v>
          </cell>
          <cell r="F1434" t="str">
            <v>Москва</v>
          </cell>
          <cell r="G1434">
            <v>0.66009259259259256</v>
          </cell>
          <cell r="H1434">
            <v>0.91009259259259256</v>
          </cell>
          <cell r="I1434" t="str">
            <v>ОК</v>
          </cell>
          <cell r="J1434" t="str">
            <v>ОК</v>
          </cell>
        </row>
        <row r="1435">
          <cell r="B1435" t="str">
            <v>В-01084/АЗ</v>
          </cell>
          <cell r="C1435" t="str">
            <v>РОССИЯ, 125475, Москва г, Дыбенко ул, дом 2, корпус 1, квартира 148</v>
          </cell>
          <cell r="D1435" t="str">
            <v>РОССИЯ, 125475, Москва г, Дыбенко ул, дом 2, корпус 1, квартира 148</v>
          </cell>
          <cell r="F1435" t="str">
            <v>Москва</v>
          </cell>
          <cell r="G1435">
            <v>0.66009259259259256</v>
          </cell>
          <cell r="H1435">
            <v>0.91009259259259256</v>
          </cell>
          <cell r="I1435" t="str">
            <v>ОК</v>
          </cell>
          <cell r="J1435" t="str">
            <v>ОК</v>
          </cell>
        </row>
        <row r="1436">
          <cell r="B1436" t="str">
            <v>А-05166/АЗ_А-20201019/Ц</v>
          </cell>
          <cell r="C1436" t="str">
            <v>РОССИЯ, 140013, Московская обл, Люберцы г, Победы пр-кт, дом № 16, корпус 2, квартира 216</v>
          </cell>
          <cell r="D1436" t="str">
            <v>РОССИЯ, 140013, Московская обл, Люберцы г, Победы пр-кт, дом № 16, корпус 2, квартира 216</v>
          </cell>
          <cell r="F1436" t="str">
            <v>Московская</v>
          </cell>
          <cell r="G1436">
            <v>0.66009259259259256</v>
          </cell>
          <cell r="H1436">
            <v>0.91009259259259256</v>
          </cell>
          <cell r="I1436" t="str">
            <v>ОК</v>
          </cell>
          <cell r="J1436" t="str">
            <v>ОК</v>
          </cell>
        </row>
        <row r="1437">
          <cell r="B1437" t="str">
            <v>В-00573/АЗ</v>
          </cell>
          <cell r="C1437" t="str">
            <v>РОССИЯ, 140013, Московская обл, Люберцы г, Победы пр-кт, дом № 16, корпус 2, квартира 216</v>
          </cell>
          <cell r="D1437" t="str">
            <v>РОССИЯ, 140013, Московская обл, Люберцы г, Победы пр-кт, дом № 16, корпус 2, квартира 216</v>
          </cell>
          <cell r="F1437" t="str">
            <v>Московская</v>
          </cell>
          <cell r="G1437">
            <v>0.66009259259259256</v>
          </cell>
          <cell r="H1437">
            <v>0.91009259259259256</v>
          </cell>
          <cell r="I1437" t="str">
            <v>ОК</v>
          </cell>
          <cell r="J1437" t="str">
            <v>ОК</v>
          </cell>
        </row>
        <row r="1438">
          <cell r="B1438" t="str">
            <v>В-25852/КЛ.Транш - 1</v>
          </cell>
          <cell r="C1438" t="str">
            <v>РОССИЯ, 350916, Краснодарский край, г Краснодар, ст-ца Елизаветинская, проезд Северный, д. 16</v>
          </cell>
          <cell r="D1438" t="str">
            <v>РОССИЯ, 350916, Краснодарский край, г Краснодар, ст-ца Елизаветинская, проезд Северный, д. 16</v>
          </cell>
          <cell r="F1438" t="str">
            <v>Краснодарский</v>
          </cell>
          <cell r="G1438">
            <v>0.66009259259259256</v>
          </cell>
          <cell r="H1438">
            <v>0.91009259259259256</v>
          </cell>
          <cell r="I1438" t="str">
            <v>ОК</v>
          </cell>
          <cell r="J1438" t="str">
            <v>ОК</v>
          </cell>
        </row>
        <row r="1439">
          <cell r="B1439" t="str">
            <v>В-25950/КЛ.Транш - 1</v>
          </cell>
          <cell r="C1439" t="str">
            <v>РОССИЯ, 108836, Москва г, вн.тер. г. поселение Десеновское, ул 1-я Нововатутинская, д. 1, кв. 377</v>
          </cell>
          <cell r="D1439" t="str">
            <v>РОССИЯ, 108836, Москва г, вн.тер. г. поселение Десеновское, ул 1-я Нововатутинская, д. 1, кв. 377</v>
          </cell>
          <cell r="F1439" t="str">
            <v>Москва</v>
          </cell>
          <cell r="G1439">
            <v>0.66009259259259256</v>
          </cell>
          <cell r="H1439">
            <v>0.91009259259259256</v>
          </cell>
          <cell r="I1439" t="str">
            <v>ОК</v>
          </cell>
          <cell r="J1439" t="str">
            <v>ОК</v>
          </cell>
        </row>
        <row r="1440">
          <cell r="B1440" t="str">
            <v>В-02944/КЛ.Транш - 1</v>
          </cell>
          <cell r="C1440" t="str">
            <v>РОССИЯ, 119602, Москва г, Академика Анохина ул, дом 12, корпус 1, квартира 776</v>
          </cell>
          <cell r="D1440" t="str">
            <v>РОССИЯ, 119602, Москва г, Академика Анохина ул, дом 12, корпус 1, квартира 776</v>
          </cell>
          <cell r="F1440" t="str">
            <v>Москва</v>
          </cell>
          <cell r="G1440">
            <v>0.66009259259259256</v>
          </cell>
          <cell r="H1440">
            <v>0.91009259259259256</v>
          </cell>
          <cell r="I1440" t="str">
            <v>ОК</v>
          </cell>
          <cell r="J1440" t="str">
            <v>ОК</v>
          </cell>
        </row>
        <row r="1441">
          <cell r="B1441" t="str">
            <v>В-21175/КЛ.Транш - 1</v>
          </cell>
          <cell r="C1441" t="str">
            <v>РОССИЯ, 398005, Липецкая обл, г Липецк, ул Адмирала Макарова, д. 28, кв. 47</v>
          </cell>
          <cell r="D1441" t="str">
            <v>РОССИЯ, 398005, Липецкая обл, г Липецк, ул Адмирала Макарова, д. 28, кв. 47</v>
          </cell>
          <cell r="F1441" t="str">
            <v>Липецкая</v>
          </cell>
          <cell r="G1441">
            <v>0.66009259259259256</v>
          </cell>
          <cell r="H1441">
            <v>0.91009259259259256</v>
          </cell>
          <cell r="I1441" t="str">
            <v>ОК</v>
          </cell>
          <cell r="J1441" t="str">
            <v>ОК</v>
          </cell>
        </row>
        <row r="1442">
          <cell r="B1442" t="str">
            <v>Т-01876/АЗ_Т-20211028/Ц</v>
          </cell>
          <cell r="C1442" t="str">
            <v>РОССИЯ, 431106, Мордовия респ, Зубово-Полянский р-н, Мордовская Поляна с, Международная ул, дом 139</v>
          </cell>
          <cell r="D1442" t="str">
            <v>РОССИЯ, 140008, Московская обл, Люберцы г, 3-е Почтовое отделение ул, дом 80, квартира 123</v>
          </cell>
          <cell r="F1442" t="str">
            <v>Московская</v>
          </cell>
          <cell r="G1442">
            <v>0.66009259259259256</v>
          </cell>
          <cell r="H1442">
            <v>0.91009259259259256</v>
          </cell>
          <cell r="I1442" t="str">
            <v>ОК</v>
          </cell>
          <cell r="J1442" t="str">
            <v>ОК</v>
          </cell>
        </row>
        <row r="1443">
          <cell r="B1443" t="str">
            <v>В-00045/КЭ.Транш - 1</v>
          </cell>
          <cell r="C1443" t="str">
            <v>109029, Москва г, Сибирский проезд, дом 2, строение 11, этаж 3, комната 2А</v>
          </cell>
          <cell r="F1443" t="str">
            <v>Москва</v>
          </cell>
          <cell r="G1443">
            <v>0.66009259259259256</v>
          </cell>
          <cell r="H1443">
            <v>0.91009259259259256</v>
          </cell>
          <cell r="I1443" t="str">
            <v>ОК</v>
          </cell>
          <cell r="J1443" t="str">
            <v>ОК</v>
          </cell>
        </row>
        <row r="1444">
          <cell r="B1444" t="str">
            <v>В-25807/АЗ</v>
          </cell>
          <cell r="C1444" t="str">
            <v>РОССИЯ, 456910, Челябинская обл, р-н Саткинский, г Сатка, ул Солнечная, д. 18, кв. 83</v>
          </cell>
          <cell r="D1444" t="str">
            <v>РОССИЯ, 456910, Челябинская обл, р-н Саткинский, г Сатка, ул Солнечная, д. 18, кв. 83</v>
          </cell>
          <cell r="F1444" t="str">
            <v>Челябинская</v>
          </cell>
          <cell r="G1444">
            <v>0.66009259259259256</v>
          </cell>
          <cell r="H1444">
            <v>0.99342592592592593</v>
          </cell>
          <cell r="I1444" t="str">
            <v>поздно</v>
          </cell>
          <cell r="J1444" t="str">
            <v>ОК</v>
          </cell>
        </row>
        <row r="1445">
          <cell r="B1445" t="str">
            <v>А-04384/АЗ</v>
          </cell>
          <cell r="C1445" t="str">
            <v>РОССИЯ, 142660, Московская обл, Орехово-Зуевский р-н, Дрезна г, Южная ул, дом № 7, квартира 75</v>
          </cell>
          <cell r="D1445" t="str">
            <v>РОССИЯ, 142660, Московская обл, Орехово-Зуевский р-н, Дрезна г, Южная ул, дом № 7, квартира 75</v>
          </cell>
          <cell r="F1445" t="str">
            <v>Московская</v>
          </cell>
          <cell r="G1445">
            <v>0.66009259259259256</v>
          </cell>
          <cell r="H1445">
            <v>0.91009259259259256</v>
          </cell>
          <cell r="I1445" t="str">
            <v>ОК</v>
          </cell>
          <cell r="J1445" t="str">
            <v>ОК</v>
          </cell>
        </row>
        <row r="1446">
          <cell r="B1446" t="str">
            <v>В-12696/КЛ.Транш - 3</v>
          </cell>
          <cell r="C1446" t="str">
            <v>РОССИЯ, 141612, Московская обл, Клин г, Мира ул, дом 44, квартира 54</v>
          </cell>
          <cell r="D1446" t="str">
            <v>РОССИЯ, 124575, Москва г, Зеленоград г, корпус 2308А, квартира 114</v>
          </cell>
          <cell r="F1446" t="str">
            <v>Москва</v>
          </cell>
          <cell r="G1446">
            <v>0.66009259259259256</v>
          </cell>
          <cell r="H1446">
            <v>0.91009259259259256</v>
          </cell>
          <cell r="I1446" t="str">
            <v>ОК</v>
          </cell>
          <cell r="J1446" t="str">
            <v>ОК</v>
          </cell>
        </row>
        <row r="1447">
          <cell r="B1447" t="str">
            <v>В-13516/КЛ.Транш - 2</v>
          </cell>
          <cell r="C1447" t="str">
            <v>РОССИЯ, 298330, Крым респ, г Керчь, ул Блюхера, д. 19, кв. 18</v>
          </cell>
          <cell r="D1447" t="str">
            <v>РОССИЯ, Крым респ, Керчь г, Блюхера ул, дом 18, квартира 18</v>
          </cell>
          <cell r="F1447" t="str">
            <v>Крым</v>
          </cell>
          <cell r="G1447">
            <v>0.66009259259259256</v>
          </cell>
          <cell r="H1447">
            <v>0.91009259259259256</v>
          </cell>
          <cell r="I1447" t="str">
            <v>ОК</v>
          </cell>
          <cell r="J1447" t="str">
            <v>ОК</v>
          </cell>
        </row>
        <row r="1448">
          <cell r="B1448" t="str">
            <v>В-13516/КЛ.Транш - 3</v>
          </cell>
          <cell r="C1448" t="str">
            <v>РОССИЯ, 298330, Крым респ, г Керчь, ул Блюхера, д. 19, кв. 18</v>
          </cell>
          <cell r="D1448" t="str">
            <v>РОССИЯ, Крым респ, Керчь г, Блюхера ул, дом 18, квартира 18</v>
          </cell>
          <cell r="F1448" t="str">
            <v>Крым</v>
          </cell>
          <cell r="G1448">
            <v>0.66009259259259256</v>
          </cell>
          <cell r="H1448">
            <v>0.91009259259259256</v>
          </cell>
          <cell r="I1448" t="str">
            <v>ОК</v>
          </cell>
          <cell r="J1448" t="str">
            <v>ОК</v>
          </cell>
        </row>
        <row r="1449">
          <cell r="B1449" t="str">
            <v>В-13516/КЛ.Транш - 4</v>
          </cell>
          <cell r="C1449" t="str">
            <v>РОССИЯ, 298330, Крым респ, г Керчь, ул Блюхера, д. 19, кв. 18</v>
          </cell>
          <cell r="D1449" t="str">
            <v>РОССИЯ, Крым респ, Керчь г, Блюхера ул, дом 18, квартира 18</v>
          </cell>
          <cell r="F1449" t="str">
            <v>Крым</v>
          </cell>
          <cell r="G1449">
            <v>0.66009259259259256</v>
          </cell>
          <cell r="H1449">
            <v>0.91009259259259256</v>
          </cell>
          <cell r="I1449" t="str">
            <v>ОК</v>
          </cell>
          <cell r="J1449" t="str">
            <v>ОК</v>
          </cell>
        </row>
        <row r="1450">
          <cell r="B1450" t="str">
            <v>В-28057/АЗ</v>
          </cell>
          <cell r="C1450" t="str">
            <v>РОССИЯ, 249910, Калужская обл, р-н Юхновский, г Юхнов, ул Коммунистическая, д. 50</v>
          </cell>
          <cell r="D1450" t="str">
            <v>РОССИЯ, 249910, Калужская обл, р-н Юхновский, г Юхнов, ул Коммунистическая, д. 50</v>
          </cell>
          <cell r="F1450" t="str">
            <v>Калужская</v>
          </cell>
          <cell r="G1450">
            <v>0.66009259259259256</v>
          </cell>
          <cell r="H1450">
            <v>0.91009259259259256</v>
          </cell>
          <cell r="I1450" t="str">
            <v>ОК</v>
          </cell>
          <cell r="J1450" t="str">
            <v>ОК</v>
          </cell>
        </row>
        <row r="1451">
          <cell r="B1451" t="str">
            <v>В-21708/КЛ.Транш - 4</v>
          </cell>
          <cell r="C1451" t="str">
            <v>РОССИЯ, 143330, Московская обл, г Наро-Фоминск, г Верея, ул Солнечная, д. 10, кв. 41</v>
          </cell>
          <cell r="D1451" t="str">
            <v>РОССИЯ, 143330, Московская обл, г Наро-Фоминск, г Верея, ул Солнечная, д. 10, кв. 41</v>
          </cell>
          <cell r="F1451" t="str">
            <v>Московская</v>
          </cell>
          <cell r="G1451">
            <v>0.66009259259259256</v>
          </cell>
          <cell r="H1451">
            <v>0.91009259259259256</v>
          </cell>
          <cell r="I1451" t="str">
            <v>ОК</v>
          </cell>
          <cell r="J1451" t="str">
            <v>ОК</v>
          </cell>
        </row>
        <row r="1452">
          <cell r="B1452" t="str">
            <v>В-21708/КЛ.Транш - 5</v>
          </cell>
          <cell r="C1452" t="str">
            <v>РОССИЯ, 143330, Московская обл, г Наро-Фоминск, г Верея, ул Солнечная, д. 10, кв. 41</v>
          </cell>
          <cell r="D1452" t="str">
            <v>РОССИЯ, 143330, Московская обл, г Наро-Фоминск, г Верея, ул Солнечная, д. 10, кв. 41</v>
          </cell>
          <cell r="F1452" t="str">
            <v>Московская</v>
          </cell>
          <cell r="G1452">
            <v>0.66009259259259256</v>
          </cell>
          <cell r="H1452">
            <v>0.91009259259259256</v>
          </cell>
          <cell r="I1452" t="str">
            <v>ОК</v>
          </cell>
          <cell r="J1452" t="str">
            <v>ОК</v>
          </cell>
        </row>
        <row r="1453">
          <cell r="B1453" t="str">
            <v>Т-01915/АЗ_Т-20211028/Ц</v>
          </cell>
          <cell r="C1453" t="str">
            <v>РОССИЯ, 198206, Санкт-Петербург г, Пионерстроя ул, дом 14, корпус 1, квартира 51</v>
          </cell>
          <cell r="D1453" t="str">
            <v>РОССИЯ, 198326, Санкт-Петербург г, Дружный-2 тер. снт, Центральная аллея, дом 8</v>
          </cell>
          <cell r="F1453" t="str">
            <v>Москва</v>
          </cell>
          <cell r="G1453">
            <v>0.66009259259259256</v>
          </cell>
          <cell r="H1453">
            <v>0.91009259259259256</v>
          </cell>
          <cell r="I1453" t="str">
            <v>ОК</v>
          </cell>
          <cell r="J1453" t="str">
            <v>ОК</v>
          </cell>
        </row>
        <row r="1454">
          <cell r="B1454" t="str">
            <v>В-07005/КЛ.Транш - 1</v>
          </cell>
          <cell r="C1454" t="str">
            <v>РОССИЯ, 119136, Москва г, Мосфильмовская ул, дом 70, квартира 554</v>
          </cell>
          <cell r="D1454" t="str">
            <v>РОССИЯ, 119136, Москва г, Мосфильмовская ул, дом 70, квартира 554</v>
          </cell>
          <cell r="F1454" t="str">
            <v>Москва</v>
          </cell>
          <cell r="G1454">
            <v>0.66009259259259256</v>
          </cell>
          <cell r="H1454">
            <v>0.91009259259259256</v>
          </cell>
          <cell r="I1454" t="str">
            <v>ОК</v>
          </cell>
          <cell r="J1454" t="str">
            <v>ОК</v>
          </cell>
        </row>
        <row r="1455">
          <cell r="B1455" t="str">
            <v>В-07005/КЛ.Транш - 2</v>
          </cell>
          <cell r="C1455" t="str">
            <v>РОССИЯ, 119136, Москва г, Мосфильмовская ул, дом 70, квартира 554</v>
          </cell>
          <cell r="D1455" t="str">
            <v>РОССИЯ, 119136, Москва г, Мосфильмовская ул, дом 70, квартира 554</v>
          </cell>
          <cell r="F1455" t="str">
            <v>Москва</v>
          </cell>
          <cell r="G1455">
            <v>0.66009259259259256</v>
          </cell>
          <cell r="H1455">
            <v>0.91009259259259256</v>
          </cell>
          <cell r="I1455" t="str">
            <v>ОК</v>
          </cell>
          <cell r="J1455" t="str">
            <v>ОК</v>
          </cell>
        </row>
        <row r="1456">
          <cell r="B1456" t="str">
            <v>В-07005/КЛ.Транш - 3</v>
          </cell>
          <cell r="C1456" t="str">
            <v>РОССИЯ, 119136, Москва г, Мосфильмовская ул, дом 70, квартира 554</v>
          </cell>
          <cell r="D1456" t="str">
            <v>РОССИЯ, 119136, Москва г, Мосфильмовская ул, дом 70, квартира 554</v>
          </cell>
          <cell r="F1456" t="str">
            <v>Москва</v>
          </cell>
          <cell r="G1456">
            <v>0.66009259259259256</v>
          </cell>
          <cell r="H1456">
            <v>0.91009259259259256</v>
          </cell>
          <cell r="I1456" t="str">
            <v>ОК</v>
          </cell>
          <cell r="J1456" t="str">
            <v>ОК</v>
          </cell>
        </row>
        <row r="1457">
          <cell r="B1457" t="str">
            <v>В-27716/КЛ.Транш - 1</v>
          </cell>
          <cell r="C1457" t="str">
            <v>РОССИЯ, 308510, Белгородская обл, р-н Белгородский, пгт Разумное, ул Полевая, д. 72</v>
          </cell>
          <cell r="D1457" t="str">
            <v>РОССИЯ, 308510, Белгородская обл, р-н Белгородский, пгт Разумное, ул Полевая, д. 72</v>
          </cell>
          <cell r="F1457" t="str">
            <v>Белгородская</v>
          </cell>
          <cell r="G1457">
            <v>0.66009259259259256</v>
          </cell>
          <cell r="H1457">
            <v>0.91009259259259256</v>
          </cell>
          <cell r="I1457" t="str">
            <v>ОК</v>
          </cell>
          <cell r="J1457" t="str">
            <v>ОК</v>
          </cell>
        </row>
        <row r="1458">
          <cell r="B1458" t="str">
            <v>В-00612/АЗ</v>
          </cell>
          <cell r="C1458" t="str">
            <v>РОССИЯ, 109004, Москва г, Товарищеский пер, дом 20, корпус 1, квартира 15</v>
          </cell>
          <cell r="D1458" t="str">
            <v>РОССИЯ, 109004, Москва г, Товарищеский пер, дом 20, корпус 1, квартира 15</v>
          </cell>
          <cell r="F1458" t="str">
            <v>Москва</v>
          </cell>
          <cell r="G1458">
            <v>0.66009259259259256</v>
          </cell>
          <cell r="H1458">
            <v>0.91009259259259256</v>
          </cell>
          <cell r="I1458" t="str">
            <v>ОК</v>
          </cell>
          <cell r="J1458" t="str">
            <v>ОК</v>
          </cell>
        </row>
        <row r="1459">
          <cell r="B1459" t="str">
            <v>В-28274/КЛ.Транш - 1</v>
          </cell>
          <cell r="C1459" t="str">
            <v>РОССИЯ, 307048, Курская обл, р-н Медвенский, с Верхний Реутец, ул Домики, д. 13, кв. 1</v>
          </cell>
          <cell r="D1459" t="str">
            <v>РОССИЯ, 305021, Курская обл, г Курск, ул Карла Маркса, д. 72/15, кв. 93</v>
          </cell>
          <cell r="F1459" t="str">
            <v>Курская</v>
          </cell>
          <cell r="G1459">
            <v>0.66009259259259256</v>
          </cell>
          <cell r="H1459">
            <v>0.91009259259259256</v>
          </cell>
          <cell r="I1459" t="str">
            <v>ОК</v>
          </cell>
          <cell r="J1459" t="str">
            <v>ОК</v>
          </cell>
        </row>
        <row r="1460">
          <cell r="B1460" t="str">
            <v>В-22449/КЛ.Транш - 1</v>
          </cell>
          <cell r="C1460" t="str">
            <v>РОССИЯ, 108822, Москва г, п Рязановское, п Ерино, д. 3, кв. 61</v>
          </cell>
          <cell r="D1460" t="str">
            <v>РОССИЯ, 108822, Москва г, п Рязановское, п Ерино, д. 3, кв. 61</v>
          </cell>
          <cell r="F1460" t="str">
            <v>Москва</v>
          </cell>
          <cell r="G1460">
            <v>0.66009259259259256</v>
          </cell>
          <cell r="H1460">
            <v>0.91009259259259256</v>
          </cell>
          <cell r="I1460" t="str">
            <v>ОК</v>
          </cell>
          <cell r="J1460" t="str">
            <v>ОК</v>
          </cell>
        </row>
        <row r="1461">
          <cell r="B1461" t="str">
            <v>В-13405/КЛ.Транш - 1</v>
          </cell>
          <cell r="C1461" t="str">
            <v>РОССИЯ, 140500, Московская обл, Луховицы г, Пушкина ул, дом 172а, квартира 40</v>
          </cell>
          <cell r="D1461" t="str">
            <v>РОССИЯ, 117623, Москва г, 2-я Мелитопольская ул, дом 15, квартира 123</v>
          </cell>
          <cell r="F1461" t="str">
            <v>Москва</v>
          </cell>
          <cell r="G1461">
            <v>0.66009259259259256</v>
          </cell>
          <cell r="H1461">
            <v>0.91009259259259256</v>
          </cell>
          <cell r="I1461" t="str">
            <v>ОК</v>
          </cell>
          <cell r="J1461" t="str">
            <v>ОК</v>
          </cell>
        </row>
        <row r="1462">
          <cell r="B1462" t="str">
            <v>В-21053/КЛ.Транш - 1</v>
          </cell>
          <cell r="C1462" t="str">
            <v>РОССИЯ, 173024, Новгородская обл, г Великий Новгород, ул Коровникова, д. 9, к. 2, кв. 133</v>
          </cell>
          <cell r="D1462" t="str">
            <v>РОССИЯ, 108808, Москва г, п Первомайское, п Первомайское, ул Центральная, д. 32, кв. 29</v>
          </cell>
          <cell r="F1462" t="str">
            <v>Москва</v>
          </cell>
          <cell r="G1462">
            <v>0.66009259259259256</v>
          </cell>
          <cell r="H1462">
            <v>0.91009259259259256</v>
          </cell>
          <cell r="I1462" t="str">
            <v>ОК</v>
          </cell>
          <cell r="J1462" t="str">
            <v>ОК</v>
          </cell>
        </row>
        <row r="1463">
          <cell r="B1463" t="str">
            <v>В-21053/КЛ.Транш - 4</v>
          </cell>
          <cell r="C1463" t="str">
            <v>РОССИЯ, 173024, Новгородская обл, г Великий Новгород, ул Коровникова, д. 9, к. 2, кв. 133</v>
          </cell>
          <cell r="D1463" t="str">
            <v>РОССИЯ, 108808, Москва г, п Первомайское, п Первомайское, ул Центральная, д. 32, кв. 29</v>
          </cell>
          <cell r="F1463" t="str">
            <v>Москва</v>
          </cell>
          <cell r="G1463">
            <v>0.66009259259259256</v>
          </cell>
          <cell r="H1463">
            <v>0.91009259259259256</v>
          </cell>
          <cell r="I1463" t="str">
            <v>ОК</v>
          </cell>
          <cell r="J1463" t="str">
            <v>ОК</v>
          </cell>
        </row>
        <row r="1464">
          <cell r="B1464" t="str">
            <v>В-20060/КЛ.Транш - 1</v>
          </cell>
          <cell r="C1464" t="str">
            <v>РОССИЯ, 446250, Самарская обл, р-н Безенчукский, пгт Безенчук, ул Специалистов, д. 3, кв. 10</v>
          </cell>
          <cell r="D1464" t="str">
            <v>РОССИЯ, 390042, Рязанская обл, г Рязань, ул Космонавтов, д. 4, кв. 58</v>
          </cell>
          <cell r="F1464" t="str">
            <v>Рязанская</v>
          </cell>
          <cell r="G1464">
            <v>0.66009259259259256</v>
          </cell>
          <cell r="H1464">
            <v>0.91009259259259256</v>
          </cell>
          <cell r="I1464" t="str">
            <v>ОК</v>
          </cell>
          <cell r="J1464" t="str">
            <v>ОК</v>
          </cell>
        </row>
        <row r="1465">
          <cell r="B1465" t="str">
            <v>В-12897/КЛ.Транш - 1</v>
          </cell>
          <cell r="C1465" t="str">
            <v>РОССИЯ, 623701, Свердловская обл, Березовский г, Гагарина ул, дом 27, квартира 323</v>
          </cell>
          <cell r="D1465" t="str">
            <v>РОССИЯ, 623701, Свердловская обл, Березовский г, Гагарина ул, дом 27, квартира 323</v>
          </cell>
          <cell r="F1465" t="str">
            <v>Свердловская</v>
          </cell>
          <cell r="G1465">
            <v>0.66009259259259256</v>
          </cell>
          <cell r="H1465">
            <v>0.99342592592592593</v>
          </cell>
          <cell r="I1465" t="str">
            <v>поздно</v>
          </cell>
          <cell r="J1465" t="str">
            <v>ОК</v>
          </cell>
        </row>
        <row r="1466">
          <cell r="B1466" t="str">
            <v>В-01046/АЗ</v>
          </cell>
          <cell r="C1466" t="str">
            <v>РОССИЯ, 143010, Московская обл, Власиха п, Заозерная ул, дом 30</v>
          </cell>
          <cell r="D1466" t="str">
            <v>РОССИЯ, 143010, Московская обл, Власиха п, Заозерная ул, дом 30</v>
          </cell>
          <cell r="F1466" t="str">
            <v>Московская</v>
          </cell>
          <cell r="G1466">
            <v>0.66009259259259256</v>
          </cell>
          <cell r="H1466">
            <v>0.91009259259259256</v>
          </cell>
          <cell r="I1466" t="str">
            <v>ОК</v>
          </cell>
          <cell r="J1466" t="str">
            <v>ОК</v>
          </cell>
        </row>
        <row r="1467">
          <cell r="B1467" t="str">
            <v>В-07595/КЛ.Транш - 1</v>
          </cell>
          <cell r="C1467" t="str">
            <v>РОССИЯ, 107370, Москва г, Гражданская 4-я ул, дом 39, корпус 2, квартира 42</v>
          </cell>
          <cell r="D1467" t="str">
            <v>РОССИЯ, 107370, Москва г, Гражданская 4-я ул, дом 39, корпус 2, квартира 42</v>
          </cell>
          <cell r="F1467" t="str">
            <v>Москва</v>
          </cell>
          <cell r="G1467">
            <v>0.66009259259259256</v>
          </cell>
          <cell r="H1467">
            <v>0.91009259259259256</v>
          </cell>
          <cell r="I1467" t="str">
            <v>ОК</v>
          </cell>
          <cell r="J1467" t="str">
            <v>ОК</v>
          </cell>
        </row>
        <row r="1468">
          <cell r="B1468" t="str">
            <v>В-01078/АЗ</v>
          </cell>
          <cell r="C1468" t="str">
            <v>РОССИЯ, 143403, Московская обл, Красногорск г, Лесная ул, дом № 13, квартира 20</v>
          </cell>
          <cell r="D1468" t="str">
            <v>РОССИЯ, 143403, Московская обл, Красногорск г, Лесная ул, дом № 13, квартира 20</v>
          </cell>
          <cell r="F1468" t="str">
            <v>Московская</v>
          </cell>
          <cell r="G1468">
            <v>0.66009259259259256</v>
          </cell>
          <cell r="H1468">
            <v>0.91009259259259256</v>
          </cell>
          <cell r="I1468" t="str">
            <v>ОК</v>
          </cell>
          <cell r="J1468" t="str">
            <v>ОК</v>
          </cell>
        </row>
        <row r="1469">
          <cell r="B1469" t="str">
            <v>В-26604/КЛ.Транш - 1</v>
          </cell>
          <cell r="C1469" t="str">
            <v>РОССИЯ, 354066, Краснодарский край, г Сочи, р-н Хостинский, ул Дарвина, д. 91, кв. 130</v>
          </cell>
          <cell r="D1469" t="str">
            <v>РОССИЯ, 115054, Москва г, вн.тер.г. муниципальный округ Замоскворечье, ул Бахрушина, д. 28, кв. 130</v>
          </cell>
          <cell r="F1469" t="str">
            <v>Москва</v>
          </cell>
          <cell r="G1469">
            <v>0.66009259259259256</v>
          </cell>
          <cell r="H1469">
            <v>0.91009259259259256</v>
          </cell>
          <cell r="I1469" t="str">
            <v>ОК</v>
          </cell>
          <cell r="J1469" t="str">
            <v>ОК</v>
          </cell>
        </row>
        <row r="1470">
          <cell r="B1470" t="str">
            <v>В-21306/КЛ.Транш - 1</v>
          </cell>
          <cell r="C1470" t="str">
            <v>РОССИЯ, 125368, Москва г, вн.тер.г. муниципальный округ Митино, пер. Ангелов, д. 11, к. 1, кв. 505</v>
          </cell>
          <cell r="D1470" t="str">
            <v>РОССИЯ, 125368, Москва г, вн.тер.г. муниципальный округ Митино, пер. Ангелов, д. 11, к. 1, кв. 505</v>
          </cell>
          <cell r="F1470" t="str">
            <v>Москва</v>
          </cell>
          <cell r="G1470">
            <v>0.66009259259259256</v>
          </cell>
          <cell r="H1470">
            <v>0.91009259259259256</v>
          </cell>
          <cell r="I1470" t="str">
            <v>ОК</v>
          </cell>
          <cell r="J1470" t="str">
            <v>ОК</v>
          </cell>
        </row>
        <row r="1471">
          <cell r="B1471" t="str">
            <v>В-22423/КЛ.Транш - 1</v>
          </cell>
          <cell r="C1471" t="str">
            <v>РОССИЯ, 115407, Москва г, ул Речников, д. 18, к. 1, кв. 15</v>
          </cell>
          <cell r="D1471" t="str">
            <v>РОССИЯ, 115407, Москва г, ул Речников, д. 18, к. 1, кв. 15</v>
          </cell>
          <cell r="F1471" t="str">
            <v>Москва</v>
          </cell>
          <cell r="G1471">
            <v>0.66009259259259256</v>
          </cell>
          <cell r="H1471">
            <v>0.91009259259259256</v>
          </cell>
          <cell r="I1471" t="str">
            <v>ОК</v>
          </cell>
          <cell r="J1471" t="str">
            <v>ОК</v>
          </cell>
        </row>
        <row r="1472">
          <cell r="B1472" t="str">
            <v>В-25810/АЗ</v>
          </cell>
          <cell r="C1472" t="str">
            <v>РОССИЯ, 456918, Челябинская обл, р-н Саткинский, г Сатка, ул Бригадная, д. 17</v>
          </cell>
          <cell r="D1472" t="str">
            <v>РОССИЯ, 454112, Челябинская обл, г Челябинск, ул Пионерская, д. 7В, кв. 60</v>
          </cell>
          <cell r="F1472" t="str">
            <v>Челябинская</v>
          </cell>
          <cell r="G1472">
            <v>0.66009259259259256</v>
          </cell>
          <cell r="H1472">
            <v>0.99342592592592593</v>
          </cell>
          <cell r="I1472" t="str">
            <v>поздно</v>
          </cell>
          <cell r="J1472" t="str">
            <v>ОК</v>
          </cell>
        </row>
        <row r="1473">
          <cell r="B1473" t="str">
            <v>В-11946/КЛ.Транш - 2_В-20211230/Ц</v>
          </cell>
          <cell r="C1473" t="str">
            <v>РОССИЯ, 121354, Москва г, Маршала Неделина ул, дом 10, квартира 74</v>
          </cell>
          <cell r="D1473" t="str">
            <v>РОССИЯ, 121354, Москва г, Маршала Неделина ул, дом 10, квартира 74</v>
          </cell>
          <cell r="F1473" t="str">
            <v>Москва</v>
          </cell>
          <cell r="G1473">
            <v>0.66009259259259256</v>
          </cell>
          <cell r="H1473">
            <v>0.91009259259259256</v>
          </cell>
          <cell r="I1473" t="str">
            <v>ОК</v>
          </cell>
          <cell r="J1473" t="str">
            <v>ОК</v>
          </cell>
        </row>
        <row r="1474">
          <cell r="B1474" t="str">
            <v>В-11946/КЛ.Транш - 3_В-20211230/Ц</v>
          </cell>
          <cell r="C1474" t="str">
            <v>РОССИЯ, 121354, Москва г, Маршала Неделина ул, дом 10, квартира 74</v>
          </cell>
          <cell r="D1474" t="str">
            <v>РОССИЯ, 121354, Москва г, Маршала Неделина ул, дом 10, квартира 74</v>
          </cell>
          <cell r="F1474" t="str">
            <v>Москва</v>
          </cell>
          <cell r="G1474">
            <v>0.66009259259259256</v>
          </cell>
          <cell r="H1474">
            <v>0.91009259259259256</v>
          </cell>
          <cell r="I1474" t="str">
            <v>ОК</v>
          </cell>
          <cell r="J1474" t="str">
            <v>ОК</v>
          </cell>
        </row>
        <row r="1475">
          <cell r="B1475" t="str">
            <v>А-05354/АЗ</v>
          </cell>
          <cell r="C1475" t="str">
            <v>РОССИЯ, 111675, Москва г, Руднёвка ул, дом № 35, квартира 116</v>
          </cell>
          <cell r="D1475" t="str">
            <v>РОССИЯ, 197350, Санкт-Петербург г, Комендантский пр-кт, дом № 51, корпус 1, квартира 135</v>
          </cell>
          <cell r="F1475" t="str">
            <v>Москва</v>
          </cell>
          <cell r="G1475">
            <v>0.66009259259259256</v>
          </cell>
          <cell r="H1475">
            <v>0.91009259259259256</v>
          </cell>
          <cell r="I1475" t="str">
            <v>ОК</v>
          </cell>
          <cell r="J1475" t="str">
            <v>ОК</v>
          </cell>
        </row>
        <row r="1476">
          <cell r="B1476" t="str">
            <v>Т-01811/АЗ_Т-20211028/Ц</v>
          </cell>
          <cell r="C1476" t="str">
            <v>РОССИЯ, 111675, Москва г, Руднёвка ул, дом № 35, квартира 116</v>
          </cell>
          <cell r="D1476" t="str">
            <v>РОССИЯ, 197350, Санкт-Петербург г, Комендантский пр-кт, дом № 51, корпус 1, квартира 135</v>
          </cell>
          <cell r="F1476" t="str">
            <v>Москва</v>
          </cell>
          <cell r="G1476">
            <v>0.66009259259259256</v>
          </cell>
          <cell r="H1476">
            <v>0.91009259259259256</v>
          </cell>
          <cell r="I1476" t="str">
            <v>ОК</v>
          </cell>
          <cell r="J1476" t="str">
            <v>ОК</v>
          </cell>
        </row>
        <row r="1477">
          <cell r="B1477" t="str">
            <v>В-27435/КЛ.Транш - 1</v>
          </cell>
          <cell r="C1477" t="str">
            <v>РОССИЯ, 357601, Ставропольский край, г Ессентуки, ул Вишневая, д. 12</v>
          </cell>
          <cell r="D1477" t="str">
            <v>РОССИЯ, 357633, Ставропольский край, г Ессентуки, ул Российская, д. 12</v>
          </cell>
          <cell r="F1477" t="str">
            <v>Ставропольский</v>
          </cell>
          <cell r="G1477">
            <v>0.66009259259259256</v>
          </cell>
          <cell r="H1477">
            <v>0.91009259259259256</v>
          </cell>
          <cell r="I1477" t="str">
            <v>ОК</v>
          </cell>
          <cell r="J1477" t="str">
            <v>ОК</v>
          </cell>
        </row>
        <row r="1478">
          <cell r="B1478" t="str">
            <v>В-05187/КЛ.Транш - 1</v>
          </cell>
          <cell r="C1478" t="str">
            <v>РОССИЯ, 142701, Московская обл, Ленинский р-н, Видное г, Олимпийская ул, дом 1, корпус 2, квартира 260</v>
          </cell>
          <cell r="D1478" t="str">
            <v>РОССИЯ, 142701, Московская обл, Ленинский р-н, Видное г, Олимпийская ул, дом 1, корпус 2, квартира 260</v>
          </cell>
          <cell r="F1478" t="str">
            <v>Московская</v>
          </cell>
          <cell r="G1478">
            <v>0.66009259259259256</v>
          </cell>
          <cell r="H1478">
            <v>0.91009259259259256</v>
          </cell>
          <cell r="I1478" t="str">
            <v>ОК</v>
          </cell>
          <cell r="J1478" t="str">
            <v>ОК</v>
          </cell>
        </row>
        <row r="1479">
          <cell r="B1479" t="str">
            <v>В-00884/АЗ</v>
          </cell>
          <cell r="C1479" t="str">
            <v>РОССИЯ, 352333, Краснодарский край, Усть-Лабинский р-н, Усть-Лабинск г, Рабочая ул, дом 65, квартира 4</v>
          </cell>
          <cell r="D1479" t="str">
            <v>РОССИЯ, 352333, Краснодарский край, Усть-Лабинский р-н, Усть-Лабинск г, Рабочая ул, дом 65, квартира 4</v>
          </cell>
          <cell r="F1479" t="str">
            <v>Краснодарский</v>
          </cell>
          <cell r="G1479">
            <v>0.66009259259259256</v>
          </cell>
          <cell r="H1479">
            <v>0.91009259259259256</v>
          </cell>
          <cell r="I1479" t="str">
            <v>ОК</v>
          </cell>
          <cell r="J1479" t="str">
            <v>ОК</v>
          </cell>
        </row>
        <row r="1480">
          <cell r="B1480" t="str">
            <v>В-08822/КЛ.Транш - 1</v>
          </cell>
          <cell r="C1480" t="str">
            <v>РОССИЯ, 248023, Калужская обл, Калуга г, Мичурина ул, дом 12, квартира 33</v>
          </cell>
          <cell r="D1480" t="str">
            <v>РОССИЯ, 248023, Калужская обл, Калуга г, Мичурина ул, дом 12, квартира 33</v>
          </cell>
          <cell r="F1480" t="str">
            <v>Калужская</v>
          </cell>
          <cell r="G1480">
            <v>0.66009259259259256</v>
          </cell>
          <cell r="H1480">
            <v>0.91009259259259256</v>
          </cell>
          <cell r="I1480" t="str">
            <v>ОК</v>
          </cell>
          <cell r="J1480" t="str">
            <v>ОК</v>
          </cell>
        </row>
        <row r="1481">
          <cell r="B1481" t="str">
            <v>А-00049/БЭ</v>
          </cell>
          <cell r="C1481" t="str">
            <v>РОССИЯ, 143405, Московская обл, Красногорск г, Вокзальная ул, дом № 17А, квартира 365</v>
          </cell>
          <cell r="D1481" t="str">
            <v>РОССИЯ, 127474, Москва г, Дубнинская ул, дом № 37, корпус 1, квартира 299</v>
          </cell>
          <cell r="F1481" t="str">
            <v>Москва</v>
          </cell>
          <cell r="G1481">
            <v>0.66009259259259256</v>
          </cell>
          <cell r="H1481">
            <v>0.91009259259259256</v>
          </cell>
          <cell r="I1481" t="str">
            <v>ОК</v>
          </cell>
          <cell r="J1481" t="str">
            <v>ОК</v>
          </cell>
        </row>
        <row r="1482">
          <cell r="B1482" t="str">
            <v>В-13669/КЛ.Транш - 2_В-20211230/Ц</v>
          </cell>
          <cell r="C1482" t="str">
            <v>РОССИЯ, 443011, Самарская обл, Самара г, Советской Армии ул, дом 240Б, квартира 71</v>
          </cell>
          <cell r="D1482" t="str">
            <v>РОССИЯ, 107045, Москва г, Колокольников пер, дом 15, квартира 12</v>
          </cell>
          <cell r="F1482" t="str">
            <v>Москва</v>
          </cell>
          <cell r="G1482">
            <v>0.66009259259259256</v>
          </cell>
          <cell r="H1482">
            <v>0.91009259259259256</v>
          </cell>
          <cell r="I1482" t="str">
            <v>ОК</v>
          </cell>
          <cell r="J1482" t="str">
            <v>ОК</v>
          </cell>
        </row>
        <row r="1483">
          <cell r="B1483" t="str">
            <v>В-13669/КЛ.Транш - 3_В-20211230/Ц</v>
          </cell>
          <cell r="C1483" t="str">
            <v>РОССИЯ, 443011, Самарская обл, Самара г, Советской Армии ул, дом 240Б, квартира 71</v>
          </cell>
          <cell r="D1483" t="str">
            <v>РОССИЯ, 107045, Москва г, Колокольников пер, дом 15, квартира 12</v>
          </cell>
          <cell r="F1483" t="str">
            <v>Москва</v>
          </cell>
          <cell r="G1483">
            <v>0.66009259259259256</v>
          </cell>
          <cell r="H1483">
            <v>0.91009259259259256</v>
          </cell>
          <cell r="I1483" t="str">
            <v>ОК</v>
          </cell>
          <cell r="J1483" t="str">
            <v>ОК</v>
          </cell>
        </row>
        <row r="1484">
          <cell r="B1484" t="str">
            <v>В-13669/КЛ.Транш - 4_В-20211230/Ц</v>
          </cell>
          <cell r="C1484" t="str">
            <v>РОССИЯ, 443011, Самарская обл, Самара г, Советской Армии ул, дом 240Б, квартира 71</v>
          </cell>
          <cell r="D1484" t="str">
            <v>РОССИЯ, 107045, Москва г, Колокольников пер, дом 15, квартира 12</v>
          </cell>
          <cell r="F1484" t="str">
            <v>Москва</v>
          </cell>
          <cell r="G1484">
            <v>0.66009259259259256</v>
          </cell>
          <cell r="H1484">
            <v>0.91009259259259256</v>
          </cell>
          <cell r="I1484" t="str">
            <v>ОК</v>
          </cell>
          <cell r="J1484" t="str">
            <v>ОК</v>
          </cell>
        </row>
        <row r="1485">
          <cell r="B1485" t="str">
            <v>В-13669/КЛ.Транш - 5_В-20211230/Ц</v>
          </cell>
          <cell r="C1485" t="str">
            <v>РОССИЯ, 443011, Самарская обл, Самара г, Советской Армии ул, дом 240Б, квартира 71</v>
          </cell>
          <cell r="D1485" t="str">
            <v>РОССИЯ, 107045, Москва г, Колокольников пер, дом 15, квартира 12</v>
          </cell>
          <cell r="F1485" t="str">
            <v>Москва</v>
          </cell>
          <cell r="G1485">
            <v>0.66009259259259256</v>
          </cell>
          <cell r="H1485">
            <v>0.91009259259259256</v>
          </cell>
          <cell r="I1485" t="str">
            <v>ОК</v>
          </cell>
          <cell r="J1485" t="str">
            <v>ОК</v>
          </cell>
        </row>
        <row r="1486">
          <cell r="B1486" t="str">
            <v>В-13669/КЛ.Транш - 6_В-20211230/Ц</v>
          </cell>
          <cell r="C1486" t="str">
            <v>РОССИЯ, 443011, Самарская обл, Самара г, Советской Армии ул, дом 240Б, квартира 71</v>
          </cell>
          <cell r="D1486" t="str">
            <v>РОССИЯ, 107045, Москва г, Колокольников пер, дом 15, квартира 12</v>
          </cell>
          <cell r="F1486" t="str">
            <v>Москва</v>
          </cell>
          <cell r="G1486">
            <v>0.66009259259259256</v>
          </cell>
          <cell r="H1486">
            <v>0.91009259259259256</v>
          </cell>
          <cell r="I1486" t="str">
            <v>ОК</v>
          </cell>
          <cell r="J1486" t="str">
            <v>ОК</v>
          </cell>
        </row>
        <row r="1487">
          <cell r="B1487" t="str">
            <v>В-08745/КЛ.Транш - 1</v>
          </cell>
          <cell r="C1487" t="str">
            <v>РОССИЯ, 143905, Московская обл, Балашиха г, Свердлова ул, дом 22, квартира 127</v>
          </cell>
          <cell r="D1487" t="str">
            <v>РОССИЯ, 143905, Московская обл, Балашиха г, Свердлова ул, дом 22, квартира 127</v>
          </cell>
          <cell r="F1487" t="str">
            <v>Московская</v>
          </cell>
          <cell r="G1487">
            <v>0.66009259259259256</v>
          </cell>
          <cell r="H1487">
            <v>0.91009259259259256</v>
          </cell>
          <cell r="I1487" t="str">
            <v>ОК</v>
          </cell>
          <cell r="J1487" t="str">
            <v>ОК</v>
          </cell>
        </row>
        <row r="1488">
          <cell r="B1488" t="str">
            <v>В-14029/КЛ.Транш - 1</v>
          </cell>
          <cell r="C1488" t="str">
            <v>РОССИЯ, 610047, Кировская обл, Киров г, Сутырина ул, дом 1, квартира 237</v>
          </cell>
          <cell r="D1488" t="str">
            <v>РОССИЯ, 610047, Кировская обл, Киров г, Сутырина ул, дом 1, квартира 237</v>
          </cell>
          <cell r="F1488" t="str">
            <v>Кировская</v>
          </cell>
          <cell r="G1488">
            <v>0.66009259259259256</v>
          </cell>
          <cell r="H1488">
            <v>0.91009259259259256</v>
          </cell>
          <cell r="I1488" t="str">
            <v>ОК</v>
          </cell>
          <cell r="J1488" t="str">
            <v>ОК</v>
          </cell>
        </row>
        <row r="1489">
          <cell r="B1489" t="str">
            <v>В-20218/КЛ.Транш - 1</v>
          </cell>
          <cell r="C1489" t="str">
            <v>РОССИЯ, 300034, Тульская обл, г Тула, ул Халтурина, д. 10, кв. 62</v>
          </cell>
          <cell r="D1489" t="str">
            <v>РОССИЯ, 300034, Тульская обл, г Тула, ул Халтурина, д. 10, кв. 62</v>
          </cell>
          <cell r="F1489" t="str">
            <v>Тульская</v>
          </cell>
          <cell r="G1489">
            <v>0.66009259259259256</v>
          </cell>
          <cell r="H1489">
            <v>0.91009259259259256</v>
          </cell>
          <cell r="I1489" t="str">
            <v>ОК</v>
          </cell>
          <cell r="J1489" t="str">
            <v>ОК</v>
          </cell>
        </row>
        <row r="1490">
          <cell r="B1490" t="str">
            <v>В-20140/КЛ.Транш - 1</v>
          </cell>
          <cell r="C1490" t="str">
            <v>РОССИЯ, 105264, Москва г, ул 5-я Парковая, д. 42, кв. 62</v>
          </cell>
          <cell r="D1490" t="str">
            <v>РОССИЯ, 105264, Москва г, ул 5-я Парковая, д. 42, кв. 62</v>
          </cell>
          <cell r="F1490" t="str">
            <v>Москва</v>
          </cell>
          <cell r="G1490">
            <v>0.66009259259259256</v>
          </cell>
          <cell r="H1490">
            <v>0.91009259259259256</v>
          </cell>
          <cell r="I1490" t="str">
            <v>ОК</v>
          </cell>
          <cell r="J1490" t="str">
            <v>ОК</v>
          </cell>
        </row>
        <row r="1491">
          <cell r="B1491" t="str">
            <v>В-20140/КЛ.Транш - 2</v>
          </cell>
          <cell r="C1491" t="str">
            <v>РОССИЯ, 105264, Москва г, ул 5-я Парковая, д. 42, кв. 62</v>
          </cell>
          <cell r="D1491" t="str">
            <v>РОССИЯ, 105264, Москва г, ул 5-я Парковая, д. 42, кв. 62</v>
          </cell>
          <cell r="F1491" t="str">
            <v>Москва</v>
          </cell>
          <cell r="G1491">
            <v>0.66009259259259256</v>
          </cell>
          <cell r="H1491">
            <v>0.91009259259259256</v>
          </cell>
          <cell r="I1491" t="str">
            <v>ОК</v>
          </cell>
          <cell r="J1491" t="str">
            <v>ОК</v>
          </cell>
        </row>
        <row r="1492">
          <cell r="B1492" t="str">
            <v>В-20140/КЛ.Транш - 3</v>
          </cell>
          <cell r="C1492" t="str">
            <v>РОССИЯ, 105264, Москва г, ул 5-я Парковая, д. 42, кв. 62</v>
          </cell>
          <cell r="D1492" t="str">
            <v>РОССИЯ, 105264, Москва г, ул 5-я Парковая, д. 42, кв. 62</v>
          </cell>
          <cell r="F1492" t="str">
            <v>Москва</v>
          </cell>
          <cell r="G1492">
            <v>0.66009259259259256</v>
          </cell>
          <cell r="H1492">
            <v>0.91009259259259256</v>
          </cell>
          <cell r="I1492" t="str">
            <v>ОК</v>
          </cell>
          <cell r="J1492" t="str">
            <v>ОК</v>
          </cell>
        </row>
        <row r="1493">
          <cell r="B1493" t="str">
            <v>В-20140/КЛ.Транш - 4</v>
          </cell>
          <cell r="C1493" t="str">
            <v>РОССИЯ, 105264, Москва г, ул 5-я Парковая, д. 42, кв. 62</v>
          </cell>
          <cell r="D1493" t="str">
            <v>РОССИЯ, 105264, Москва г, ул 5-я Парковая, д. 42, кв. 62</v>
          </cell>
          <cell r="F1493" t="str">
            <v>Москва</v>
          </cell>
          <cell r="G1493">
            <v>0.66009259259259256</v>
          </cell>
          <cell r="H1493">
            <v>0.91009259259259256</v>
          </cell>
          <cell r="I1493" t="str">
            <v>ОК</v>
          </cell>
          <cell r="J1493" t="str">
            <v>ОК</v>
          </cell>
        </row>
        <row r="1494">
          <cell r="B1494" t="str">
            <v>В-20140/КЛ.Транш - 5</v>
          </cell>
          <cell r="C1494" t="str">
            <v>РОССИЯ, 105264, Москва г, ул 5-я Парковая, д. 42, кв. 62</v>
          </cell>
          <cell r="D1494" t="str">
            <v>РОССИЯ, 105264, Москва г, ул 5-я Парковая, д. 42, кв. 62</v>
          </cell>
          <cell r="F1494" t="str">
            <v>Москва</v>
          </cell>
          <cell r="G1494">
            <v>0.66009259259259256</v>
          </cell>
          <cell r="H1494">
            <v>0.91009259259259256</v>
          </cell>
          <cell r="I1494" t="str">
            <v>ОК</v>
          </cell>
          <cell r="J1494" t="str">
            <v>ОК</v>
          </cell>
        </row>
        <row r="1495">
          <cell r="B1495" t="str">
            <v>В-20140/КЛ.Транш - 6</v>
          </cell>
          <cell r="C1495" t="str">
            <v>РОССИЯ, 105264, Москва г, ул 5-я Парковая, д. 42, кв. 62</v>
          </cell>
          <cell r="D1495" t="str">
            <v>РОССИЯ, 105264, Москва г, ул 5-я Парковая, д. 42, кв. 62</v>
          </cell>
          <cell r="F1495" t="str">
            <v>Москва</v>
          </cell>
          <cell r="G1495">
            <v>0.66009259259259256</v>
          </cell>
          <cell r="H1495">
            <v>0.91009259259259256</v>
          </cell>
          <cell r="I1495" t="str">
            <v>ОК</v>
          </cell>
          <cell r="J1495" t="str">
            <v>ОК</v>
          </cell>
        </row>
        <row r="1496">
          <cell r="B1496" t="str">
            <v>А-00419/КЭ.Транш - 2</v>
          </cell>
          <cell r="C1496" t="str">
            <v>115093, Москва г, Павловская ул, дом 18</v>
          </cell>
          <cell r="F1496" t="str">
            <v>Москва</v>
          </cell>
          <cell r="G1496">
            <v>0.66009259259259256</v>
          </cell>
          <cell r="H1496">
            <v>0.91009259259259256</v>
          </cell>
          <cell r="I1496" t="str">
            <v>ОК</v>
          </cell>
          <cell r="J1496" t="str">
            <v>ОК</v>
          </cell>
        </row>
        <row r="1497">
          <cell r="B1497" t="str">
            <v>В-00321/АЗ</v>
          </cell>
          <cell r="C1497" t="str">
            <v>РОССИЯ, 347810, Ростовская обл, Каменск-Шахтинский г, Астаховский пер, дом № 82А, квартира 66</v>
          </cell>
          <cell r="D1497" t="str">
            <v>РОССИЯ, 142718, Московская обл, Ленинский р-н, Боброво д, Лесная ул, дом № 22, квартира 344</v>
          </cell>
          <cell r="F1497" t="str">
            <v>Московская</v>
          </cell>
          <cell r="G1497">
            <v>0.66009259259259256</v>
          </cell>
          <cell r="H1497">
            <v>0.91009259259259256</v>
          </cell>
          <cell r="I1497" t="str">
            <v>ОК</v>
          </cell>
          <cell r="J1497" t="str">
            <v>ОК</v>
          </cell>
        </row>
        <row r="1498">
          <cell r="B1498" t="str">
            <v>А-00008/КЭ.Транш - 1</v>
          </cell>
          <cell r="C1498" t="str">
            <v>109316, Москва г, пр-кт Волгоградский, д. 32, стр. 39, офис 301</v>
          </cell>
          <cell r="F1498" t="str">
            <v>Москва</v>
          </cell>
          <cell r="G1498">
            <v>0.66009259259259256</v>
          </cell>
          <cell r="H1498">
            <v>0.91009259259259256</v>
          </cell>
          <cell r="I1498" t="str">
            <v>ОК</v>
          </cell>
          <cell r="J1498" t="str">
            <v>ОК</v>
          </cell>
        </row>
        <row r="1499">
          <cell r="B1499" t="str">
            <v>В-11009/КЛ.Транш - 1</v>
          </cell>
          <cell r="C1499" t="str">
            <v>РОССИЯ, 242500, Брянская обл, Карачевский р-н, Карачев г, Крупской ул, дом 15</v>
          </cell>
          <cell r="D1499" t="str">
            <v>РОССИЯ, 141983, Московская обл, Дубна г, Володарского ул, дом 5А</v>
          </cell>
          <cell r="F1499" t="str">
            <v>Московская</v>
          </cell>
          <cell r="G1499">
            <v>0.66009259259259256</v>
          </cell>
          <cell r="H1499">
            <v>0.91009259259259256</v>
          </cell>
          <cell r="I1499" t="str">
            <v>ОК</v>
          </cell>
          <cell r="J1499" t="str">
            <v>ОК</v>
          </cell>
        </row>
        <row r="1500">
          <cell r="B1500" t="str">
            <v>В-25278/КЛ.Транш - 1</v>
          </cell>
          <cell r="C1500" t="str">
            <v>РОССИЯ, 156001, Костромская обл, г Кострома, ул Нижне-Набережная, д. 8/22, кв. 2</v>
          </cell>
          <cell r="D1500" t="str">
            <v>РОССИЯ, 156001, Костромская обл, г Кострома, ул Нижне-Набережная, д. 8/22, кв. 2</v>
          </cell>
          <cell r="F1500" t="str">
            <v>Костромская</v>
          </cell>
          <cell r="G1500">
            <v>0.66009259259259256</v>
          </cell>
          <cell r="H1500">
            <v>0.91009259259259256</v>
          </cell>
          <cell r="I1500" t="str">
            <v>ОК</v>
          </cell>
          <cell r="J1500" t="str">
            <v>ОК</v>
          </cell>
        </row>
        <row r="1501">
          <cell r="B1501" t="str">
            <v>А-03947/АЗ_А-20210517/Ц</v>
          </cell>
          <cell r="C1501" t="str">
            <v>РОССИЯ, 127220, Москва г, Башиловская ул, дом № 3, корпус 1, квартира 21</v>
          </cell>
          <cell r="D1501" t="str">
            <v>РОССИЯ, 127220, Москва г, Башиловская ул, дом № 3, корпус 1, квартира 21</v>
          </cell>
          <cell r="F1501" t="str">
            <v>Москва</v>
          </cell>
          <cell r="G1501">
            <v>0.66009259259259256</v>
          </cell>
          <cell r="H1501">
            <v>0.91009259259259256</v>
          </cell>
          <cell r="I1501" t="str">
            <v>ОК</v>
          </cell>
          <cell r="J1501" t="str">
            <v>ОК</v>
          </cell>
        </row>
        <row r="1502">
          <cell r="B1502" t="str">
            <v>Т-01497/АЗ_Т-20210517/Ц</v>
          </cell>
          <cell r="C1502" t="str">
            <v>РОССИЯ, 127220, Москва г, Башиловская ул, дом № 3, корпус 1, квартира 21</v>
          </cell>
          <cell r="D1502" t="str">
            <v>РОССИЯ, 127220, Москва г, Башиловская ул, дом № 3, корпус 1, квартира 21</v>
          </cell>
          <cell r="F1502" t="str">
            <v>Москва</v>
          </cell>
          <cell r="G1502">
            <v>0.66009259259259256</v>
          </cell>
          <cell r="H1502">
            <v>0.91009259259259256</v>
          </cell>
          <cell r="I1502" t="str">
            <v>ОК</v>
          </cell>
          <cell r="J1502" t="str">
            <v>ОК</v>
          </cell>
        </row>
        <row r="1503">
          <cell r="B1503" t="str">
            <v>В-16261/КЛ.Транш - 1</v>
          </cell>
          <cell r="C1503" t="str">
            <v>РОССИЯ, 241047, Брянская обл, Брянск г, Есенина ул, дом 30, квартира 190</v>
          </cell>
          <cell r="D1503" t="str">
            <v>РОССИЯ, 241047, Брянская обл, Брянск г, Есенина ул, дом 30, квартира 190</v>
          </cell>
          <cell r="F1503" t="str">
            <v>Брянская</v>
          </cell>
          <cell r="G1503">
            <v>0.66009259259259256</v>
          </cell>
          <cell r="H1503">
            <v>0.91009259259259256</v>
          </cell>
          <cell r="I1503" t="str">
            <v>ОК</v>
          </cell>
          <cell r="J1503" t="str">
            <v>ОК</v>
          </cell>
        </row>
        <row r="1504">
          <cell r="B1504" t="str">
            <v>В-00489/АЗ</v>
          </cell>
          <cell r="C1504" t="str">
            <v>РОССИЯ, 111675, Москва г, Святоозерская ул, дом № 15, квартира 205</v>
          </cell>
          <cell r="D1504" t="str">
            <v>РОССИЯ, 111675, Москва г, Святоозерская ул, дом № 15, квартира 205</v>
          </cell>
          <cell r="F1504" t="str">
            <v>Москва</v>
          </cell>
          <cell r="G1504">
            <v>0.66009259259259256</v>
          </cell>
          <cell r="H1504">
            <v>0.91009259259259256</v>
          </cell>
          <cell r="I1504" t="str">
            <v>ОК</v>
          </cell>
          <cell r="J1504" t="str">
            <v>ОК</v>
          </cell>
        </row>
        <row r="1505">
          <cell r="B1505" t="str">
            <v>В-21019/КЛ.Транш - 1</v>
          </cell>
          <cell r="C1505" t="str">
            <v>РОССИЯ, 353477, Краснодарский край, г Геленджик, мкр. Северный, д. 10, кв. 77</v>
          </cell>
          <cell r="D1505" t="str">
            <v>РОССИЯ, 353477, Краснодарский край, г Геленджик, мкр. Северный, д. 10, кв. 77</v>
          </cell>
          <cell r="F1505" t="str">
            <v>Краснодарский</v>
          </cell>
          <cell r="G1505">
            <v>0.66009259259259256</v>
          </cell>
          <cell r="H1505">
            <v>0.91009259259259256</v>
          </cell>
          <cell r="I1505" t="str">
            <v>ОК</v>
          </cell>
          <cell r="J1505" t="str">
            <v>ОК</v>
          </cell>
        </row>
        <row r="1506">
          <cell r="B1506" t="str">
            <v>В-21454/КЛ.Транш - 1_В-20211230/Ц</v>
          </cell>
          <cell r="C1506" t="str">
            <v>РОССИЯ, 109469, Москва г, вн.тер.г. муниципальный округ Марьино, ул Братиславская, д. 31, к. 3, кв. 111</v>
          </cell>
          <cell r="D1506" t="str">
            <v>РОССИЯ, 109469, Москва г, вн.тер.г. муниципальный округ Марьино, ул Братиславская, д. 31, к. 3, кв. 111</v>
          </cell>
          <cell r="F1506" t="str">
            <v>Москва</v>
          </cell>
          <cell r="G1506">
            <v>0.66009259259259256</v>
          </cell>
          <cell r="H1506">
            <v>0.91009259259259256</v>
          </cell>
          <cell r="I1506" t="str">
            <v>ОК</v>
          </cell>
          <cell r="J1506" t="str">
            <v>ОК</v>
          </cell>
        </row>
        <row r="1507">
          <cell r="B1507" t="str">
            <v>В-15954/КЛ.Транш - 1</v>
          </cell>
          <cell r="C1507" t="str">
            <v>РОССИЯ, 197375, Санкт-Петербург г, вн.тер.г. муниципальный округ Коломяги, ул Главная, д. 31, к. 2, литера А, кв. 188</v>
          </cell>
          <cell r="D1507" t="str">
            <v>РОССИЯ, 197375, Санкт-Петербург г, Внутригородская территория муниципальный округ Коломяги, Главная ул, дом 31, корпус 2, литер А, квартира 188</v>
          </cell>
          <cell r="F1507" t="str">
            <v>Москва</v>
          </cell>
          <cell r="G1507">
            <v>0.66009259259259256</v>
          </cell>
          <cell r="H1507">
            <v>0.91009259259259256</v>
          </cell>
          <cell r="I1507" t="str">
            <v>ОК</v>
          </cell>
          <cell r="J1507" t="str">
            <v>ОК</v>
          </cell>
        </row>
        <row r="1508">
          <cell r="B1508" t="str">
            <v>В-11679/КЛ.Транш - 1</v>
          </cell>
          <cell r="C1508" t="str">
            <v>РОССИЯ, 353145, Краснодарский край, Выселковский р-н, Новобейсугская ст-ца, Октябрьская ул, дом 12</v>
          </cell>
          <cell r="D1508" t="str">
            <v>РОССИЯ, 353145, Краснодарский край, Выселковский р-н, Новобейсугская ст-ца, Октябрьская ул, дом 12</v>
          </cell>
          <cell r="F1508" t="str">
            <v>Краснодарский</v>
          </cell>
          <cell r="G1508">
            <v>0.66009259259259256</v>
          </cell>
          <cell r="H1508">
            <v>0.91009259259259256</v>
          </cell>
          <cell r="I1508" t="str">
            <v>ОК</v>
          </cell>
          <cell r="J1508" t="str">
            <v>ОК</v>
          </cell>
        </row>
        <row r="1509">
          <cell r="B1509" t="str">
            <v>В-22864/КЛ.Транш - 1</v>
          </cell>
          <cell r="C1509" t="str">
            <v>РОССИЯ, 690025, Приморский край, г Владивосток, пер Безымянный, д. 4, кв. 7</v>
          </cell>
          <cell r="D1509" t="str">
            <v>РОССИЯ, 690109, Приморский край, г Владивосток, ул Нейбута, д. 139, кв. 99</v>
          </cell>
          <cell r="F1509" t="str">
            <v>Приморский</v>
          </cell>
          <cell r="G1509">
            <v>0.66009259259259256</v>
          </cell>
          <cell r="H1509">
            <v>0.20175925925925919</v>
          </cell>
          <cell r="I1509" t="str">
            <v>поздно</v>
          </cell>
          <cell r="J1509" t="str">
            <v>поздно</v>
          </cell>
        </row>
        <row r="1510">
          <cell r="B1510" t="str">
            <v>В-22538/КЛ.Транш - 1</v>
          </cell>
          <cell r="C1510" t="str">
            <v>РОССИЯ, 624205, Свердловская обл, г Лесной, ул Ленина, д. 90, кв. 91</v>
          </cell>
          <cell r="D1510" t="str">
            <v>РОССИЯ, 624205, Свердловская обл, г Лесной, ул Ленина, д. 90, кв. 91</v>
          </cell>
          <cell r="F1510" t="str">
            <v>Свердловская</v>
          </cell>
          <cell r="G1510">
            <v>0.66009259259259256</v>
          </cell>
          <cell r="H1510">
            <v>0.99342592592592593</v>
          </cell>
          <cell r="I1510" t="str">
            <v>поздно</v>
          </cell>
          <cell r="J1510" t="str">
            <v>ОК</v>
          </cell>
        </row>
        <row r="1511">
          <cell r="B1511" t="str">
            <v>В-22538/КЛ.Транш - 3</v>
          </cell>
          <cell r="C1511" t="str">
            <v>РОССИЯ, 624205, Свердловская обл, г Лесной, ул Ленина, д. 90, кв. 91</v>
          </cell>
          <cell r="D1511" t="str">
            <v>РОССИЯ, 624205, Свердловская обл, г Лесной, ул Ленина, д. 90, кв. 91</v>
          </cell>
          <cell r="F1511" t="str">
            <v>Свердловская</v>
          </cell>
          <cell r="G1511">
            <v>0.66009259259259256</v>
          </cell>
          <cell r="H1511">
            <v>0.99342592592592593</v>
          </cell>
          <cell r="I1511" t="str">
            <v>поздно</v>
          </cell>
          <cell r="J1511" t="str">
            <v>ОК</v>
          </cell>
        </row>
        <row r="1512">
          <cell r="B1512" t="str">
            <v>В-19595/КЛ.Транш - 1</v>
          </cell>
          <cell r="C1512" t="str">
            <v>РОССИЯ, 344091, Ростовская обл, г Ростов-на-Дону, ул Извилистая, д. 8а, кв. 119</v>
          </cell>
          <cell r="D1512" t="str">
            <v>РОССИЯ, 344091, Ростовская обл, г Ростов-на-Дону, ул Извилистая, д. 8а, кв. 119</v>
          </cell>
          <cell r="F1512" t="str">
            <v>Ростовская</v>
          </cell>
          <cell r="G1512">
            <v>0.66009259259259256</v>
          </cell>
          <cell r="H1512">
            <v>0.91009259259259256</v>
          </cell>
          <cell r="I1512" t="str">
            <v>ОК</v>
          </cell>
          <cell r="J1512" t="str">
            <v>ОК</v>
          </cell>
        </row>
        <row r="1513">
          <cell r="B1513" t="str">
            <v>В-19595/КЛ.Транш - 2</v>
          </cell>
          <cell r="C1513" t="str">
            <v>РОССИЯ, 344091, Ростовская обл, г Ростов-на-Дону, ул Извилистая, д. 8а, кв. 119</v>
          </cell>
          <cell r="D1513" t="str">
            <v>РОССИЯ, 344091, Ростовская обл, г Ростов-на-Дону, ул Извилистая, д. 8а, кв. 119</v>
          </cell>
          <cell r="F1513" t="str">
            <v>Ростовская</v>
          </cell>
          <cell r="G1513">
            <v>0.66009259259259256</v>
          </cell>
          <cell r="H1513">
            <v>0.91009259259259256</v>
          </cell>
          <cell r="I1513" t="str">
            <v>ОК</v>
          </cell>
          <cell r="J1513" t="str">
            <v>ОК</v>
          </cell>
        </row>
        <row r="1514">
          <cell r="B1514" t="str">
            <v>В-19595/КЛ.Транш - 3</v>
          </cell>
          <cell r="C1514" t="str">
            <v>РОССИЯ, 344091, Ростовская обл, г Ростов-на-Дону, ул Извилистая, д. 8а, кв. 119</v>
          </cell>
          <cell r="D1514" t="str">
            <v>РОССИЯ, 344091, Ростовская обл, г Ростов-на-Дону, ул Извилистая, д. 8а, кв. 119</v>
          </cell>
          <cell r="F1514" t="str">
            <v>Ростовская</v>
          </cell>
          <cell r="G1514">
            <v>0.66009259259259256</v>
          </cell>
          <cell r="H1514">
            <v>0.91009259259259256</v>
          </cell>
          <cell r="I1514" t="str">
            <v>ОК</v>
          </cell>
          <cell r="J1514" t="str">
            <v>ОК</v>
          </cell>
        </row>
        <row r="1515">
          <cell r="B1515" t="str">
            <v>В-17315/КЛ.Транш - 1_В-20211230/Ц</v>
          </cell>
          <cell r="C1515" t="str">
            <v>РОССИЯ, 440034, Пензенская обл, г Пенза, проезд Лобачевского 1-й, д. 16, кв. 3</v>
          </cell>
          <cell r="D1515" t="str">
            <v>РОССИЯ, 440034, Пензенская обл, г Пенза, проезд Лобачевского 1-й, д. 16, кв. 3</v>
          </cell>
          <cell r="F1515" t="str">
            <v>Пензенская</v>
          </cell>
          <cell r="G1515">
            <v>0.66009259259259256</v>
          </cell>
          <cell r="H1515">
            <v>0.91009259259259256</v>
          </cell>
          <cell r="I1515" t="str">
            <v>ОК</v>
          </cell>
          <cell r="J1515" t="str">
            <v>ОК</v>
          </cell>
        </row>
        <row r="1516">
          <cell r="B1516" t="str">
            <v>В-02777/КЛ.Транш - 1_В-20211230/Ц</v>
          </cell>
          <cell r="C1516" t="str">
            <v>РОССИЯ, 107061, Москва г, Преображенский Вал ул, дом № 24, корпус 6, квартира 364</v>
          </cell>
          <cell r="D1516" t="str">
            <v>РОССИЯ, 107061, Москва г, Преображенский Вал ул, дом № 24, корпус 6, квартира 364</v>
          </cell>
          <cell r="F1516" t="str">
            <v>Москва</v>
          </cell>
          <cell r="G1516">
            <v>0.66009259259259256</v>
          </cell>
          <cell r="H1516">
            <v>0.91009259259259256</v>
          </cell>
          <cell r="I1516" t="str">
            <v>ОК</v>
          </cell>
          <cell r="J1516" t="str">
            <v>ОК</v>
          </cell>
        </row>
        <row r="1517">
          <cell r="B1517" t="str">
            <v>В-02777/КЛ.Транш - 2_В-20211230/Ц</v>
          </cell>
          <cell r="C1517" t="str">
            <v>РОССИЯ, 107061, Москва г, Преображенский Вал ул, дом № 24, корпус 6, квартира 364</v>
          </cell>
          <cell r="D1517" t="str">
            <v>РОССИЯ, 107061, Москва г, Преображенский Вал ул, дом № 24, корпус 6, квартира 364</v>
          </cell>
          <cell r="F1517" t="str">
            <v>Москва</v>
          </cell>
          <cell r="G1517">
            <v>0.66009259259259256</v>
          </cell>
          <cell r="H1517">
            <v>0.91009259259259256</v>
          </cell>
          <cell r="I1517" t="str">
            <v>ОК</v>
          </cell>
          <cell r="J1517" t="str">
            <v>ОК</v>
          </cell>
        </row>
        <row r="1518">
          <cell r="B1518" t="str">
            <v>В-04527/КЛ.Транш - 8</v>
          </cell>
          <cell r="C1518" t="str">
            <v>РОССИЯ, 115088, Москва г, Шарикоподшипниковская ул, дом 36/18, квартира 266</v>
          </cell>
          <cell r="D1518" t="str">
            <v>РОССИЯ, 115088, Москва г, Шарикоподшипниковская ул, дом 36/18, квартира 266</v>
          </cell>
          <cell r="F1518" t="str">
            <v>Москва</v>
          </cell>
          <cell r="G1518">
            <v>0.66009259259259256</v>
          </cell>
          <cell r="H1518">
            <v>0.91009259259259256</v>
          </cell>
          <cell r="I1518" t="str">
            <v>ОК</v>
          </cell>
          <cell r="J1518" t="str">
            <v>ОК</v>
          </cell>
        </row>
        <row r="1519">
          <cell r="B1519" t="str">
            <v>В-02125/КЛ.Транш - 2</v>
          </cell>
          <cell r="C1519" t="str">
            <v>РОССИЯ, 143032, Московская обл, р-н Одинцовский, п Горки-10, д. 29, кв. 10</v>
          </cell>
          <cell r="D1519" t="str">
            <v>РОССИЯ, 143032, Московская обл, Одинцовский р-н, Горки-10 п, дом 29, квартира 10</v>
          </cell>
          <cell r="F1519" t="str">
            <v>Московская</v>
          </cell>
          <cell r="G1519">
            <v>0.66009259259259256</v>
          </cell>
          <cell r="H1519">
            <v>0.91009259259259256</v>
          </cell>
          <cell r="I1519" t="str">
            <v>ОК</v>
          </cell>
          <cell r="J1519" t="str">
            <v>ОК</v>
          </cell>
        </row>
        <row r="1520">
          <cell r="B1520" t="str">
            <v>В-16861/КЛ.Транш - 1</v>
          </cell>
          <cell r="C1520" t="str">
            <v>РОССИЯ, 300041, Тульская обл, г Тула, пр-кт Красноармейский, д. 16, кв. 40</v>
          </cell>
          <cell r="D1520" t="str">
            <v>РОССИЯ, 300041, Тульская обл, г Тула, пр-кт Красноармейский, д. 16, кв. 40</v>
          </cell>
          <cell r="F1520" t="str">
            <v>Тульская</v>
          </cell>
          <cell r="G1520">
            <v>0.66009259259259256</v>
          </cell>
          <cell r="H1520">
            <v>0.91009259259259256</v>
          </cell>
          <cell r="I1520" t="str">
            <v>ОК</v>
          </cell>
          <cell r="J1520" t="str">
            <v>ОК</v>
          </cell>
        </row>
        <row r="1521">
          <cell r="B1521" t="str">
            <v>В-18532/КЛ.Транш - 1</v>
          </cell>
          <cell r="C1521" t="str">
            <v>РОССИЯ, 140152, Московская обл, Раменский р-н, Бронницы г, Юрово д, Центральная ул, дом № 56</v>
          </cell>
          <cell r="D1521" t="str">
            <v>РОССИЯ, 140152, Московская обл, Раменский р-н, Бронницы г, Юрово д, Центральная ул, дом № 56</v>
          </cell>
          <cell r="F1521" t="str">
            <v>Московская</v>
          </cell>
          <cell r="G1521">
            <v>0.66009259259259256</v>
          </cell>
          <cell r="H1521">
            <v>0.91009259259259256</v>
          </cell>
          <cell r="I1521" t="str">
            <v>ОК</v>
          </cell>
          <cell r="J1521" t="str">
            <v>ОК</v>
          </cell>
        </row>
        <row r="1522">
          <cell r="B1522" t="str">
            <v>В-18532/КЛ.Транш - 2</v>
          </cell>
          <cell r="C1522" t="str">
            <v>РОССИЯ, 140152, Московская обл, Раменский р-н, Бронницы г, Юрово д, Центральная ул, дом № 56</v>
          </cell>
          <cell r="D1522" t="str">
            <v>РОССИЯ, 140152, Московская обл, Раменский р-н, Бронницы г, Юрово д, Центральная ул, дом № 56</v>
          </cell>
          <cell r="F1522" t="str">
            <v>Московская</v>
          </cell>
          <cell r="G1522">
            <v>0.66009259259259256</v>
          </cell>
          <cell r="H1522">
            <v>0.91009259259259256</v>
          </cell>
          <cell r="I1522" t="str">
            <v>ОК</v>
          </cell>
          <cell r="J1522" t="str">
            <v>ОК</v>
          </cell>
        </row>
        <row r="1523">
          <cell r="B1523" t="str">
            <v>В-09640/КЛ.Транш - 1</v>
          </cell>
          <cell r="C1523" t="str">
            <v>РОССИЯ, 141143, Московская обл, Щёлково г, Медвежьи Озера д, В/Ч</v>
          </cell>
          <cell r="D1523" t="str">
            <v>РОССИЯ, 141143, Московская обл, Щёлково г, Новый Городок п, дом 25</v>
          </cell>
          <cell r="F1523" t="str">
            <v>Московская</v>
          </cell>
          <cell r="G1523">
            <v>0.66009259259259256</v>
          </cell>
          <cell r="H1523">
            <v>0.91009259259259256</v>
          </cell>
          <cell r="I1523" t="str">
            <v>ОК</v>
          </cell>
          <cell r="J1523" t="str">
            <v>ОК</v>
          </cell>
        </row>
        <row r="1524">
          <cell r="B1524" t="str">
            <v>В-17916/КЛ.Транш - 1</v>
          </cell>
          <cell r="C1524" t="str">
            <v>РОССИЯ, 368328, Дагестан респ, м.р-н Левашинский, с.п. сельское поселение село Кутиша, с Кутиша</v>
          </cell>
          <cell r="D1524" t="str">
            <v>РОССИЯ, 140013, Московская обл, г Люберцы, ул Гоголя, д. 54, кв. 14</v>
          </cell>
          <cell r="F1524" t="str">
            <v>Московская</v>
          </cell>
          <cell r="G1524">
            <v>0.66009259259259256</v>
          </cell>
          <cell r="H1524">
            <v>0.91009259259259256</v>
          </cell>
          <cell r="I1524" t="str">
            <v>ОК</v>
          </cell>
          <cell r="J1524" t="str">
            <v>ОК</v>
          </cell>
        </row>
        <row r="1525">
          <cell r="B1525" t="str">
            <v>В-08609/КЛ.Транш - 1</v>
          </cell>
          <cell r="C1525" t="str">
            <v>РОССИЯ, 141544, Московская обл, Солнечногорский р-н, Юрлово д, Пятницкая ул, дом 13, помещение 1</v>
          </cell>
          <cell r="D1525" t="str">
            <v>РОССИЯ, 141544, Московская обл, Солнечногорский р-н, Юрлово д, Пятницкая ул, дом 13, помещение 1</v>
          </cell>
          <cell r="F1525" t="str">
            <v>Московская</v>
          </cell>
          <cell r="G1525">
            <v>0.66009259259259256</v>
          </cell>
          <cell r="H1525">
            <v>0.91009259259259256</v>
          </cell>
          <cell r="I1525" t="str">
            <v>ОК</v>
          </cell>
          <cell r="J1525" t="str">
            <v>ОК</v>
          </cell>
        </row>
        <row r="1526">
          <cell r="B1526" t="str">
            <v>В-08609/КЛ.Транш - 2</v>
          </cell>
          <cell r="C1526" t="str">
            <v>РОССИЯ, 141544, Московская обл, Солнечногорский р-н, Юрлово д, Пятницкая ул, дом 13, помещение 1</v>
          </cell>
          <cell r="D1526" t="str">
            <v>РОССИЯ, 141544, Московская обл, Солнечногорский р-н, Юрлово д, Пятницкая ул, дом 13, помещение 1</v>
          </cell>
          <cell r="F1526" t="str">
            <v>Московская</v>
          </cell>
          <cell r="G1526">
            <v>0.66009259259259256</v>
          </cell>
          <cell r="H1526">
            <v>0.91009259259259256</v>
          </cell>
          <cell r="I1526" t="str">
            <v>ОК</v>
          </cell>
          <cell r="J1526" t="str">
            <v>ОК</v>
          </cell>
        </row>
        <row r="1527">
          <cell r="B1527" t="str">
            <v>В-21040/КЛ.Транш - 1_В-20211230/Ц</v>
          </cell>
          <cell r="C1527" t="str">
            <v>РОССИЯ, 141401, Московская обл, г Химки, ул Мичурина, д. 23, кв. 33</v>
          </cell>
          <cell r="D1527" t="str">
            <v>РОССИЯ, 141401, Московская обл, г Химки, ул Мичурина, д. 23, кв. 33</v>
          </cell>
          <cell r="F1527" t="str">
            <v>Московская</v>
          </cell>
          <cell r="G1527">
            <v>0.66009259259259256</v>
          </cell>
          <cell r="H1527">
            <v>0.91009259259259256</v>
          </cell>
          <cell r="I1527" t="str">
            <v>ОК</v>
          </cell>
          <cell r="J1527" t="str">
            <v>ОК</v>
          </cell>
        </row>
        <row r="1528">
          <cell r="B1528" t="str">
            <v>В-14168/КЛ.Транш - 3</v>
          </cell>
          <cell r="C1528" t="str">
            <v>РОССИЯ, 368107, Дагестан респ, городской округ город Кизилюрт, Новый Сулак пгт, Чехова ул, дом 4</v>
          </cell>
          <cell r="D1528" t="str">
            <v>РОССИЯ, 115580, Москва г, муниципальный округ Зябликово, Мусы Джалиля ул, дом 9, корпус 6, квартира 4</v>
          </cell>
          <cell r="F1528" t="str">
            <v>Москва</v>
          </cell>
          <cell r="G1528">
            <v>0.66009259259259256</v>
          </cell>
          <cell r="H1528">
            <v>0.91009259259259256</v>
          </cell>
          <cell r="I1528" t="str">
            <v>ОК</v>
          </cell>
          <cell r="J1528" t="str">
            <v>ОК</v>
          </cell>
        </row>
        <row r="1529">
          <cell r="B1529" t="str">
            <v>В-14168/КЛ.Транш - 4</v>
          </cell>
          <cell r="C1529" t="str">
            <v>РОССИЯ, 368107, Дагестан респ, городской округ город Кизилюрт, Новый Сулак пгт, Чехова ул, дом 4</v>
          </cell>
          <cell r="D1529" t="str">
            <v>РОССИЯ, 115580, Москва г, муниципальный округ Зябликово, Мусы Джалиля ул, дом 9, корпус 6, квартира 4</v>
          </cell>
          <cell r="F1529" t="str">
            <v>Москва</v>
          </cell>
          <cell r="G1529">
            <v>0.66009259259259256</v>
          </cell>
          <cell r="H1529">
            <v>0.91009259259259256</v>
          </cell>
          <cell r="I1529" t="str">
            <v>ОК</v>
          </cell>
          <cell r="J1529" t="str">
            <v>ОК</v>
          </cell>
        </row>
        <row r="1530">
          <cell r="B1530" t="str">
            <v>В-25924/АЗ</v>
          </cell>
          <cell r="C1530" t="str">
            <v>РОССИЯ, 143130, Московская обл, г. Руза, рп Тучково, мкр дружный, д. 6, кв. 18</v>
          </cell>
          <cell r="D1530" t="str">
            <v>РОССИЯ, 143005, Московская обл, г Одинцово, б-р Маршала Крылова, д. 14, кв. 248</v>
          </cell>
          <cell r="F1530" t="str">
            <v>Московская</v>
          </cell>
          <cell r="G1530">
            <v>0.66009259259259256</v>
          </cell>
          <cell r="H1530">
            <v>0.91009259259259256</v>
          </cell>
          <cell r="I1530" t="str">
            <v>ОК</v>
          </cell>
          <cell r="J1530" t="str">
            <v>ОК</v>
          </cell>
        </row>
        <row r="1531">
          <cell r="B1531" t="str">
            <v>А-04236/АЗ</v>
          </cell>
          <cell r="C1531" t="str">
            <v>РОССИЯ, 127474, Москва г, Бескудниковский б-р, дом № 21, корпус 1, квартира 8</v>
          </cell>
          <cell r="D1531" t="str">
            <v>РОССИЯ, 127474, Москва г, Бескудниковский б-р, дом № 21, корпус 1, квартира 8</v>
          </cell>
          <cell r="F1531" t="str">
            <v>Москва</v>
          </cell>
          <cell r="G1531">
            <v>0.66009259259259256</v>
          </cell>
          <cell r="H1531">
            <v>0.91009259259259256</v>
          </cell>
          <cell r="I1531" t="str">
            <v>ОК</v>
          </cell>
          <cell r="J1531" t="str">
            <v>ОК</v>
          </cell>
        </row>
        <row r="1532">
          <cell r="B1532" t="str">
            <v>В-26114/КЛ.Транш - 1</v>
          </cell>
          <cell r="C1532" t="str">
            <v>РОССИЯ, 188302, Ленинградская обл, р-н Гатчинский, г Гатчина, ул Сойту, д. 11</v>
          </cell>
          <cell r="D1532" t="str">
            <v>РОССИЯ, 188302, Ленинградская обл, р-н Гатчинский, г Гатчина, ул Сойту, д. 11</v>
          </cell>
          <cell r="F1532" t="str">
            <v>Ленинградская</v>
          </cell>
          <cell r="G1532">
            <v>0.66009259259259256</v>
          </cell>
          <cell r="H1532">
            <v>0.91009259259259256</v>
          </cell>
          <cell r="I1532" t="str">
            <v>ОК</v>
          </cell>
          <cell r="J1532" t="str">
            <v>ОК</v>
          </cell>
        </row>
        <row r="1533">
          <cell r="B1533" t="str">
            <v>В-15698/КЛ.Транш - 1</v>
          </cell>
          <cell r="C1533" t="str">
            <v>РОССИЯ, 300026, Тульская обл, Тула г, Городской пер, дом 5</v>
          </cell>
          <cell r="D1533" t="str">
            <v>РОССИЯ, 300026, Тульская обл, Тула г, Ленина пр-кт, дом 138, квартира 88</v>
          </cell>
          <cell r="F1533" t="str">
            <v>Тульская</v>
          </cell>
          <cell r="G1533">
            <v>0.66009259259259256</v>
          </cell>
          <cell r="H1533">
            <v>0.91009259259259256</v>
          </cell>
          <cell r="I1533" t="str">
            <v>ОК</v>
          </cell>
          <cell r="J1533" t="str">
            <v>ОК</v>
          </cell>
        </row>
        <row r="1534">
          <cell r="B1534" t="str">
            <v>В-16959/КЛ.Транш - 1</v>
          </cell>
          <cell r="C1534" t="str">
            <v>РОССИЯ, 300002, Тульская обл, г Тула, ул Галкина, д. 15, кв. 43</v>
          </cell>
          <cell r="D1534" t="str">
            <v>РОССИЯ, 300002, Тульская обл, г Тула, ул Галкина, д. 15, кв. 43</v>
          </cell>
          <cell r="F1534" t="str">
            <v>Тульская</v>
          </cell>
          <cell r="G1534">
            <v>0.66009259259259256</v>
          </cell>
          <cell r="H1534">
            <v>0.91009259259259256</v>
          </cell>
          <cell r="I1534" t="str">
            <v>ОК</v>
          </cell>
          <cell r="J1534" t="str">
            <v>ОК</v>
          </cell>
        </row>
        <row r="1535">
          <cell r="B1535" t="str">
            <v>В-16959/КЛ.Транш - 2</v>
          </cell>
          <cell r="C1535" t="str">
            <v>РОССИЯ, 300002, Тульская обл, г Тула, ул Галкина, д. 15, кв. 43</v>
          </cell>
          <cell r="D1535" t="str">
            <v>РОССИЯ, 300002, Тульская обл, г Тула, ул Галкина, д. 15, кв. 43</v>
          </cell>
          <cell r="F1535" t="str">
            <v>Тульская</v>
          </cell>
          <cell r="G1535">
            <v>0.66009259259259256</v>
          </cell>
          <cell r="H1535">
            <v>0.91009259259259256</v>
          </cell>
          <cell r="I1535" t="str">
            <v>ОК</v>
          </cell>
          <cell r="J1535" t="str">
            <v>ОК</v>
          </cell>
        </row>
        <row r="1536">
          <cell r="B1536" t="str">
            <v>В-09247/КЛ.Транш - 1_А-20210929/Ц</v>
          </cell>
          <cell r="C1536" t="str">
            <v>РОССИЯ, 109125, Москва г, Саратовская ул, дом 22, квартира 671</v>
          </cell>
          <cell r="D1536" t="str">
            <v>РОССИЯ, 109125, Москва г, Саратовская ул, дом 22, квартира 671</v>
          </cell>
          <cell r="F1536" t="str">
            <v>Москва</v>
          </cell>
          <cell r="G1536">
            <v>0.66009259259259256</v>
          </cell>
          <cell r="H1536">
            <v>0.91009259259259256</v>
          </cell>
          <cell r="I1536" t="str">
            <v>ОК</v>
          </cell>
          <cell r="J1536" t="str">
            <v>ОК</v>
          </cell>
        </row>
        <row r="1537">
          <cell r="B1537" t="str">
            <v>А-00416/КЭ.Транш - 2</v>
          </cell>
          <cell r="C1537" t="str">
            <v>117042, Москва г, Чечёрский проезд, дом 62</v>
          </cell>
          <cell r="F1537" t="str">
            <v>Москва</v>
          </cell>
          <cell r="G1537">
            <v>0.66009259259259256</v>
          </cell>
          <cell r="H1537">
            <v>0.91009259259259256</v>
          </cell>
          <cell r="I1537" t="str">
            <v>ОК</v>
          </cell>
          <cell r="J1537" t="str">
            <v>ОК</v>
          </cell>
        </row>
        <row r="1538">
          <cell r="B1538" t="str">
            <v>В-03329/КЛ.Транш - 11</v>
          </cell>
          <cell r="C1538" t="str">
            <v>РОССИЯ, 117463, Москва г, Голубинская ул, дом № 29, корпус 2, квартира 639</v>
          </cell>
          <cell r="D1538" t="str">
            <v>РОССИЯ, 117463, Москва г, Голубинская ул, дом № 29, корпус 2, квартира 639</v>
          </cell>
          <cell r="F1538" t="str">
            <v>Москва</v>
          </cell>
          <cell r="G1538">
            <v>0.66009259259259256</v>
          </cell>
          <cell r="H1538">
            <v>0.91009259259259256</v>
          </cell>
          <cell r="I1538" t="str">
            <v>ОК</v>
          </cell>
          <cell r="J1538" t="str">
            <v>ОК</v>
          </cell>
        </row>
        <row r="1539">
          <cell r="B1539" t="str">
            <v>В-03329/КЛ.Транш - 12</v>
          </cell>
          <cell r="C1539" t="str">
            <v>РОССИЯ, 117463, Москва г, Голубинская ул, дом № 29, корпус 2, квартира 639</v>
          </cell>
          <cell r="D1539" t="str">
            <v>РОССИЯ, 117463, Москва г, Голубинская ул, дом № 29, корпус 2, квартира 639</v>
          </cell>
          <cell r="F1539" t="str">
            <v>Москва</v>
          </cell>
          <cell r="G1539">
            <v>0.66009259259259256</v>
          </cell>
          <cell r="H1539">
            <v>0.91009259259259256</v>
          </cell>
          <cell r="I1539" t="str">
            <v>ОК</v>
          </cell>
          <cell r="J1539" t="str">
            <v>ОК</v>
          </cell>
        </row>
        <row r="1540">
          <cell r="B1540" t="str">
            <v>В-03329/КЛ.Транш - 13</v>
          </cell>
          <cell r="C1540" t="str">
            <v>РОССИЯ, 117463, Москва г, Голубинская ул, дом № 29, корпус 2, квартира 639</v>
          </cell>
          <cell r="D1540" t="str">
            <v>РОССИЯ, 117463, Москва г, Голубинская ул, дом № 29, корпус 2, квартира 639</v>
          </cell>
          <cell r="F1540" t="str">
            <v>Москва</v>
          </cell>
          <cell r="G1540">
            <v>0.66009259259259256</v>
          </cell>
          <cell r="H1540">
            <v>0.91009259259259256</v>
          </cell>
          <cell r="I1540" t="str">
            <v>ОК</v>
          </cell>
          <cell r="J1540" t="str">
            <v>ОК</v>
          </cell>
        </row>
        <row r="1541">
          <cell r="B1541" t="str">
            <v>В-03329/КЛ.Транш - 14</v>
          </cell>
          <cell r="C1541" t="str">
            <v>РОССИЯ, 117463, Москва г, Голубинская ул, дом № 29, корпус 2, квартира 639</v>
          </cell>
          <cell r="D1541" t="str">
            <v>РОССИЯ, 117463, Москва г, Голубинская ул, дом № 29, корпус 2, квартира 639</v>
          </cell>
          <cell r="F1541" t="str">
            <v>Москва</v>
          </cell>
          <cell r="G1541">
            <v>0.66009259259259256</v>
          </cell>
          <cell r="H1541">
            <v>0.91009259259259256</v>
          </cell>
          <cell r="I1541" t="str">
            <v>ОК</v>
          </cell>
          <cell r="J1541" t="str">
            <v>ОК</v>
          </cell>
        </row>
        <row r="1542">
          <cell r="B1542" t="str">
            <v>В-13603/КЛ.Транш - 1</v>
          </cell>
          <cell r="C1542" t="str">
            <v>РОССИЯ, 127299, Москва г, ул Большая Академическая, д. 22Б, кв. 61</v>
          </cell>
          <cell r="D1542" t="str">
            <v>РОССИЯ, 127299, Москва г, ул Большая Академическая, д. 22Б, кв. 61</v>
          </cell>
          <cell r="F1542" t="str">
            <v>Москва</v>
          </cell>
          <cell r="G1542">
            <v>0.66009259259259256</v>
          </cell>
          <cell r="H1542">
            <v>0.91009259259259256</v>
          </cell>
          <cell r="I1542" t="str">
            <v>ОК</v>
          </cell>
          <cell r="J1542" t="str">
            <v>ОК</v>
          </cell>
        </row>
        <row r="1543">
          <cell r="B1543" t="str">
            <v>В-13603/КЛ.Транш - 4</v>
          </cell>
          <cell r="C1543" t="str">
            <v>РОССИЯ, 127299, Москва г, ул Большая Академическая, д. 22Б, кв. 61</v>
          </cell>
          <cell r="D1543" t="str">
            <v>РОССИЯ, 127299, Москва г, ул Большая Академическая, д. 22Б, кв. 61</v>
          </cell>
          <cell r="F1543" t="str">
            <v>Москва</v>
          </cell>
          <cell r="G1543">
            <v>0.66009259259259256</v>
          </cell>
          <cell r="H1543">
            <v>0.91009259259259256</v>
          </cell>
          <cell r="I1543" t="str">
            <v>ОК</v>
          </cell>
          <cell r="J1543" t="str">
            <v>ОК</v>
          </cell>
        </row>
        <row r="1544">
          <cell r="B1544" t="str">
            <v>В-13603/КЛ.Транш - 5</v>
          </cell>
          <cell r="C1544" t="str">
            <v>РОССИЯ, 127299, Москва г, ул Большая Академическая, д. 22Б, кв. 61</v>
          </cell>
          <cell r="D1544" t="str">
            <v>РОССИЯ, 127299, Москва г, ул Большая Академическая, д. 22Б, кв. 61</v>
          </cell>
          <cell r="F1544" t="str">
            <v>Москва</v>
          </cell>
          <cell r="G1544">
            <v>0.66009259259259256</v>
          </cell>
          <cell r="H1544">
            <v>0.91009259259259256</v>
          </cell>
          <cell r="I1544" t="str">
            <v>ОК</v>
          </cell>
          <cell r="J1544" t="str">
            <v>ОК</v>
          </cell>
        </row>
        <row r="1545">
          <cell r="B1545" t="str">
            <v>В-13603/КЛ.Транш - 6</v>
          </cell>
          <cell r="C1545" t="str">
            <v>РОССИЯ, 127299, Москва г, ул Большая Академическая, д. 22Б, кв. 61</v>
          </cell>
          <cell r="D1545" t="str">
            <v>РОССИЯ, 127299, Москва г, ул Большая Академическая, д. 22Б, кв. 61</v>
          </cell>
          <cell r="F1545" t="str">
            <v>Москва</v>
          </cell>
          <cell r="G1545">
            <v>0.66009259259259256</v>
          </cell>
          <cell r="H1545">
            <v>0.91009259259259256</v>
          </cell>
          <cell r="I1545" t="str">
            <v>ОК</v>
          </cell>
          <cell r="J1545" t="str">
            <v>ОК</v>
          </cell>
        </row>
        <row r="1546">
          <cell r="B1546" t="str">
            <v>В-13603/КЛ.Транш - 7</v>
          </cell>
          <cell r="C1546" t="str">
            <v>РОССИЯ, 127299, Москва г, ул Большая Академическая, д. 22Б, кв. 61</v>
          </cell>
          <cell r="D1546" t="str">
            <v>РОССИЯ, 127299, Москва г, ул Большая Академическая, д. 22Б, кв. 61</v>
          </cell>
          <cell r="F1546" t="str">
            <v>Москва</v>
          </cell>
          <cell r="G1546">
            <v>0.66009259259259256</v>
          </cell>
          <cell r="H1546">
            <v>0.91009259259259256</v>
          </cell>
          <cell r="I1546" t="str">
            <v>ОК</v>
          </cell>
          <cell r="J1546" t="str">
            <v>ОК</v>
          </cell>
        </row>
        <row r="1547">
          <cell r="B1547" t="str">
            <v>В-01009/АЗ</v>
          </cell>
          <cell r="C1547" t="str">
            <v>РОССИЯ, 111401, Москва г, 1-я Владимирская ул, дом 25, корпус 1, квартира 67</v>
          </cell>
          <cell r="D1547" t="str">
            <v>РОССИЯ, 111401, Москва г, 1-я Владимирская ул, дом 25, корпус 1, квартира 67</v>
          </cell>
          <cell r="F1547" t="str">
            <v>Москва</v>
          </cell>
          <cell r="G1547">
            <v>0.66009259259259256</v>
          </cell>
          <cell r="H1547">
            <v>0.91009259259259256</v>
          </cell>
          <cell r="I1547" t="str">
            <v>ОК</v>
          </cell>
          <cell r="J1547" t="str">
            <v>ОК</v>
          </cell>
        </row>
        <row r="1548">
          <cell r="B1548" t="str">
            <v>Т-01722/АЗ_Т-20211028/Ц</v>
          </cell>
          <cell r="C1548" t="str">
            <v>РОССИЯ, 187553, Ленинградская обл, Тихвинский р-н, Тихвин г, 1 мкр., дом № 21, квартира 49</v>
          </cell>
          <cell r="D1548" t="str">
            <v>РОССИЯ, 187553, Ленинградская обл, Тихвинский р-н, Тихвин г, 1 мкр., дом № 21, квартира 49</v>
          </cell>
          <cell r="F1548" t="str">
            <v>Ленинградская</v>
          </cell>
          <cell r="G1548">
            <v>0.66009259259259256</v>
          </cell>
          <cell r="H1548">
            <v>0.91009259259259256</v>
          </cell>
          <cell r="I1548" t="str">
            <v>ОК</v>
          </cell>
          <cell r="J1548" t="str">
            <v>ОК</v>
          </cell>
        </row>
        <row r="1549">
          <cell r="B1549" t="str">
            <v>В-21094/КЛ.Транш - 1</v>
          </cell>
          <cell r="C1549" t="str">
            <v>РОССИЯ, 198335, Санкт-Петербург г, пр-кт Ленинский, д. 57, к. 1, литера А, кв. 419</v>
          </cell>
          <cell r="D1549" t="str">
            <v>РОССИЯ, 198335, Санкт-Петербург г, пр-кт Ленинский, д. 57, к. 1, кв. 419</v>
          </cell>
          <cell r="F1549" t="str">
            <v>Москва</v>
          </cell>
          <cell r="G1549">
            <v>0.66009259259259256</v>
          </cell>
          <cell r="H1549">
            <v>0.91009259259259256</v>
          </cell>
          <cell r="I1549" t="str">
            <v>ОК</v>
          </cell>
          <cell r="J1549" t="str">
            <v>ОК</v>
          </cell>
        </row>
        <row r="1550">
          <cell r="B1550" t="str">
            <v>В-11595/КЛ.Транш - 1_В-20211230/Ц</v>
          </cell>
          <cell r="C1550" t="str">
            <v>РОССИЯ, 140000, Московская обл, Люберцы г, Хлебозаводской туп, дом 7, квартира 57</v>
          </cell>
          <cell r="D1550" t="str">
            <v>РОССИЯ, 140000, Московская обл, Люберцы г, Хлебозаводской туп, дом 7, квартира 57</v>
          </cell>
          <cell r="F1550" t="str">
            <v>Московская</v>
          </cell>
          <cell r="G1550">
            <v>0.66009259259259256</v>
          </cell>
          <cell r="H1550">
            <v>0.91009259259259256</v>
          </cell>
          <cell r="I1550" t="str">
            <v>ОК</v>
          </cell>
          <cell r="J1550" t="str">
            <v>ОК</v>
          </cell>
        </row>
        <row r="1551">
          <cell r="B1551" t="str">
            <v>В-12813/КЛ.Транш - 1</v>
          </cell>
          <cell r="C1551" t="str">
            <v>РОССИЯ, 125481, Москва г, Свободы ул, дом 91, корпус 1, квартира 179</v>
          </cell>
          <cell r="D1551" t="str">
            <v>РОССИЯ, Московская обл, Химки г, Новогорск мкр., Заречная ул, дом 3, корпус 2, квартира 65</v>
          </cell>
          <cell r="F1551" t="str">
            <v>Московская</v>
          </cell>
          <cell r="G1551">
            <v>0.66009259259259256</v>
          </cell>
          <cell r="H1551">
            <v>0.91009259259259256</v>
          </cell>
          <cell r="I1551" t="str">
            <v>ОК</v>
          </cell>
          <cell r="J1551" t="str">
            <v>ОК</v>
          </cell>
        </row>
        <row r="1552">
          <cell r="B1552" t="str">
            <v>В-00854/АЗ</v>
          </cell>
          <cell r="C1552" t="str">
            <v>РОССИЯ, 124683, Москва г, Зеленоград г, корпус 1557, квартира 223</v>
          </cell>
          <cell r="D1552" t="str">
            <v>РОССИЯ, 141552, Московская обл, Солнечногорский р-н, Солнечногорск г, Ржавки рп, дом 15, квартира 96</v>
          </cell>
          <cell r="F1552" t="str">
            <v>Московская</v>
          </cell>
          <cell r="G1552">
            <v>0.66009259259259256</v>
          </cell>
          <cell r="H1552">
            <v>0.91009259259259256</v>
          </cell>
          <cell r="I1552" t="str">
            <v>ОК</v>
          </cell>
          <cell r="J1552" t="str">
            <v>ОК</v>
          </cell>
        </row>
        <row r="1553">
          <cell r="B1553" t="str">
            <v>В-28368/АЗ</v>
          </cell>
          <cell r="C1553" t="str">
            <v>РОССИЯ, 121087, Москва г, пр-д Береговой, д. 5, к. 1, кв. 667</v>
          </cell>
          <cell r="D1553" t="str">
            <v>РОССИЯ, 121087, Москва г, пр-д Береговой, д. 5, к. 1, кв. 667</v>
          </cell>
          <cell r="F1553" t="str">
            <v>Москва</v>
          </cell>
          <cell r="G1553">
            <v>0.66009259259259256</v>
          </cell>
          <cell r="H1553">
            <v>0.91009259259259256</v>
          </cell>
          <cell r="I1553" t="str">
            <v>ОК</v>
          </cell>
          <cell r="J1553" t="str">
            <v>ОК</v>
          </cell>
        </row>
        <row r="1554">
          <cell r="B1554" t="str">
            <v>В-11948/КЛ.Транш - 1</v>
          </cell>
          <cell r="C1554" t="str">
            <v>РОССИЯ, 445145, Самарская обл, Ставропольский р-н, Луначарский п, Злобина ул, дом 14, квартира 2</v>
          </cell>
          <cell r="D1554" t="str">
            <v>РОССИЯ, 445145, Самарская обл, Ставропольский р-н, Луначарский п, Злобина ул, дом 14, квартира 2</v>
          </cell>
          <cell r="F1554" t="str">
            <v>Самарская</v>
          </cell>
          <cell r="G1554">
            <v>0.66009259259259256</v>
          </cell>
          <cell r="H1554">
            <v>0.9517592592592593</v>
          </cell>
          <cell r="I1554" t="str">
            <v>поздно</v>
          </cell>
          <cell r="J1554" t="str">
            <v>ОК</v>
          </cell>
        </row>
        <row r="1555">
          <cell r="B1555" t="str">
            <v>В-00955/АЗ</v>
          </cell>
          <cell r="C1555" t="str">
            <v>РОССИЯ, 142712, Московская обл, Ленинский р-н, Горки д, дом 69</v>
          </cell>
          <cell r="D1555" t="str">
            <v>РОССИЯ, 142712, Московская обл, Ленинский р-н, Горки д, дом 69</v>
          </cell>
          <cell r="F1555" t="str">
            <v>Московская</v>
          </cell>
          <cell r="G1555">
            <v>0.66009259259259256</v>
          </cell>
          <cell r="H1555">
            <v>0.91009259259259256</v>
          </cell>
          <cell r="I1555" t="str">
            <v>ОК</v>
          </cell>
          <cell r="J1555" t="str">
            <v>ОК</v>
          </cell>
        </row>
        <row r="1556">
          <cell r="B1556" t="str">
            <v>В-27661/КЛ.Транш - 2</v>
          </cell>
          <cell r="C1556" t="str">
            <v>РОССИЯ, 117485, Москва г, Профсоюзная ул, дом 84/32, квартира в/ч</v>
          </cell>
          <cell r="D1556" t="str">
            <v>РОССИЯ, 143090, Московская обл, Краснознаменск г, Строителей ул, дом 4, квартира 106</v>
          </cell>
          <cell r="F1556" t="str">
            <v>Московская</v>
          </cell>
          <cell r="G1556">
            <v>0.66009259259259256</v>
          </cell>
          <cell r="H1556">
            <v>0.91009259259259256</v>
          </cell>
          <cell r="I1556" t="str">
            <v>ОК</v>
          </cell>
          <cell r="J1556" t="str">
            <v>ОК</v>
          </cell>
        </row>
        <row r="1557">
          <cell r="B1557" t="str">
            <v>В-20206/КЛ.Транш - 2</v>
          </cell>
          <cell r="C1557" t="str">
            <v>РОССИЯ, 306616, Курская обл, р-н Советский, д Александровка, д. 20, кв. 13</v>
          </cell>
          <cell r="D1557" t="str">
            <v>РОССИЯ, 306616, Курская обл, р-н Советский, д Александровка, д. 20, кв. 13</v>
          </cell>
          <cell r="F1557" t="str">
            <v>Курская</v>
          </cell>
          <cell r="G1557">
            <v>0.66009259259259256</v>
          </cell>
          <cell r="H1557">
            <v>0.91009259259259256</v>
          </cell>
          <cell r="I1557" t="str">
            <v>ОК</v>
          </cell>
          <cell r="J1557" t="str">
            <v>ОК</v>
          </cell>
        </row>
        <row r="1558">
          <cell r="B1558" t="str">
            <v>В-18538/КЛ.Транш - 1_В-20211230/Ц</v>
          </cell>
          <cell r="C1558" t="str">
            <v>РОССИЯ, 140408, Московская обл, г Коломна, ул Калинина, д. 10, кв. 18</v>
          </cell>
          <cell r="D1558" t="str">
            <v>РОССИЯ, 140408, Московская обл, г Коломна, ул Калинина, д. 10, кв. 18</v>
          </cell>
          <cell r="F1558" t="str">
            <v>Московская</v>
          </cell>
          <cell r="G1558">
            <v>0.66009259259259256</v>
          </cell>
          <cell r="H1558">
            <v>0.91009259259259256</v>
          </cell>
          <cell r="I1558" t="str">
            <v>ОК</v>
          </cell>
          <cell r="J1558" t="str">
            <v>ОК</v>
          </cell>
        </row>
        <row r="1559">
          <cell r="B1559" t="str">
            <v>В-24554/КЛ.Транш - 1</v>
          </cell>
          <cell r="C1559" t="str">
            <v>РОССИЯ, 652815, Кемеровская область - Кузбасс, г Осинники, ул Ефимова, д. 11, кв. 34</v>
          </cell>
          <cell r="D1559" t="str">
            <v>РОССИЯ, 652815, Кемеровская область - Кузбасс, г Осинники, ул Ефимова, д. 11, кв. 34</v>
          </cell>
          <cell r="F1559" t="str">
            <v>Кемеровская</v>
          </cell>
          <cell r="G1559">
            <v>0.66009259259259256</v>
          </cell>
          <cell r="H1559">
            <v>7.6759259259259194E-2</v>
          </cell>
          <cell r="I1559" t="str">
            <v>поздно</v>
          </cell>
          <cell r="J1559" t="str">
            <v>ОК</v>
          </cell>
        </row>
        <row r="1560">
          <cell r="B1560" t="str">
            <v>Т-01868/АЗ_Т-20211028/Ц</v>
          </cell>
          <cell r="C1560" t="str">
            <v>РОССИЯ, 127549, Москва г, Бибиревская ул, дом № 19, квартира 124</v>
          </cell>
          <cell r="D1560" t="str">
            <v>РОССИЯ, 127549, Москва г, Бибиревская ул, дом № 19, квартира 124</v>
          </cell>
          <cell r="F1560" t="str">
            <v>Москва</v>
          </cell>
          <cell r="G1560">
            <v>0.66009259259259256</v>
          </cell>
          <cell r="H1560">
            <v>0.91009259259259256</v>
          </cell>
          <cell r="I1560" t="str">
            <v>ОК</v>
          </cell>
          <cell r="J1560" t="str">
            <v>ОК</v>
          </cell>
        </row>
        <row r="1561">
          <cell r="B1561" t="str">
            <v>А-10089/КЭ.Транш - 1</v>
          </cell>
          <cell r="C1561" t="str">
            <v>196084, Санкт-Петербург г, Заозёрная ул, дом № 8, корпус 2, литер А, помещение 01Н, офис 112</v>
          </cell>
          <cell r="F1561" t="str">
            <v>Москва</v>
          </cell>
          <cell r="G1561">
            <v>0.66009259259259256</v>
          </cell>
          <cell r="H1561">
            <v>0.91009259259259256</v>
          </cell>
          <cell r="I1561" t="str">
            <v>ОК</v>
          </cell>
          <cell r="J1561" t="str">
            <v>ОК</v>
          </cell>
        </row>
        <row r="1562">
          <cell r="B1562" t="str">
            <v>В-00892/АЗ</v>
          </cell>
          <cell r="C1562" t="str">
            <v>РОССИЯ, 117303, Москва г, Одесская ул, дом № 22, корпус 2, квартира 166</v>
          </cell>
          <cell r="D1562" t="str">
            <v>РОССИЯ, 117303, Москва г, Одесская ул, дом № 22, корпус 2, квартира 166</v>
          </cell>
          <cell r="F1562" t="str">
            <v>Москва</v>
          </cell>
          <cell r="G1562">
            <v>0.66009259259259256</v>
          </cell>
          <cell r="H1562">
            <v>0.91009259259259256</v>
          </cell>
          <cell r="I1562" t="str">
            <v>ОК</v>
          </cell>
          <cell r="J1562" t="str">
            <v>ОК</v>
          </cell>
        </row>
        <row r="1563">
          <cell r="B1563" t="str">
            <v>В-21245/КЛ.Транш - 1</v>
          </cell>
          <cell r="C1563" t="str">
            <v>РОССИЯ, 663302, Красноярский край, г Норильск, ул Нансена, д. 30, кв. 36</v>
          </cell>
          <cell r="D1563" t="str">
            <v>РОССИЯ, 663302, Красноярский край, г Норильск, ул Нансена, д. 30, кв. 36</v>
          </cell>
          <cell r="F1563" t="str">
            <v>Красноярский</v>
          </cell>
          <cell r="G1563">
            <v>0.66009259259259256</v>
          </cell>
          <cell r="H1563">
            <v>7.6759259259259194E-2</v>
          </cell>
          <cell r="I1563" t="str">
            <v>поздно</v>
          </cell>
          <cell r="J1563" t="str">
            <v>ОК</v>
          </cell>
        </row>
        <row r="1564">
          <cell r="B1564" t="str">
            <v>В-21245/КЛ.Транш - 2</v>
          </cell>
          <cell r="C1564" t="str">
            <v>РОССИЯ, 663302, Красноярский край, г Норильск, ул Нансена, д. 30, кв. 36</v>
          </cell>
          <cell r="D1564" t="str">
            <v>РОССИЯ, 663302, Красноярский край, г Норильск, ул Нансена, д. 30, кв. 36</v>
          </cell>
          <cell r="F1564" t="str">
            <v>Красноярский</v>
          </cell>
          <cell r="G1564">
            <v>0.66009259259259256</v>
          </cell>
          <cell r="H1564">
            <v>7.6759259259259194E-2</v>
          </cell>
          <cell r="I1564" t="str">
            <v>поздно</v>
          </cell>
          <cell r="J1564" t="str">
            <v>ОК</v>
          </cell>
        </row>
        <row r="1565">
          <cell r="B1565" t="str">
            <v>В-21245/КЛ.Транш - 3</v>
          </cell>
          <cell r="C1565" t="str">
            <v>РОССИЯ, 663302, Красноярский край, г Норильск, ул Нансена, д. 30, кв. 36</v>
          </cell>
          <cell r="D1565" t="str">
            <v>РОССИЯ, 663302, Красноярский край, г Норильск, ул Нансена, д. 30, кв. 36</v>
          </cell>
          <cell r="F1565" t="str">
            <v>Красноярский</v>
          </cell>
          <cell r="G1565">
            <v>0.66009259259259256</v>
          </cell>
          <cell r="H1565">
            <v>7.6759259259259194E-2</v>
          </cell>
          <cell r="I1565" t="str">
            <v>поздно</v>
          </cell>
          <cell r="J1565" t="str">
            <v>ОК</v>
          </cell>
        </row>
        <row r="1566">
          <cell r="B1566" t="str">
            <v>В-01425/КЛ.Транш - 1</v>
          </cell>
          <cell r="C1566" t="str">
            <v>РОССИЯ, 440039, Пензенская обл, Пенза г, Коммунистическая ул, дом 41, корпус А, квартира 53</v>
          </cell>
          <cell r="D1566" t="str">
            <v>РОССИЯ, 125476, Москва г, Окружная ул, дом 15, строение 1</v>
          </cell>
          <cell r="F1566" t="str">
            <v>Москва</v>
          </cell>
          <cell r="G1566">
            <v>0.66009259259259256</v>
          </cell>
          <cell r="H1566">
            <v>0.91009259259259256</v>
          </cell>
          <cell r="I1566" t="str">
            <v>ОК</v>
          </cell>
          <cell r="J1566" t="str">
            <v>ОК</v>
          </cell>
        </row>
        <row r="1567">
          <cell r="B1567" t="str">
            <v>В-13638/КЛ.Транш - 1</v>
          </cell>
          <cell r="C1567" t="str">
            <v>РОССИЯ, 164520, Архангельская обл, Северодвинск г, Индустриальная ул, дом 25, квартира 7</v>
          </cell>
          <cell r="D1567" t="str">
            <v>РОССИЯ, 188544, Ленинградская обл, Сосновый Бор г, Солнечная ул, дом 47, квартира 33</v>
          </cell>
          <cell r="F1567" t="str">
            <v>Ленинградская</v>
          </cell>
          <cell r="G1567">
            <v>0.66009259259259256</v>
          </cell>
          <cell r="H1567">
            <v>0.91009259259259256</v>
          </cell>
          <cell r="I1567" t="str">
            <v>ОК</v>
          </cell>
          <cell r="J1567" t="str">
            <v>ОК</v>
          </cell>
        </row>
        <row r="1568">
          <cell r="B1568" t="str">
            <v>В-28083/КЛ.Транш - 1</v>
          </cell>
          <cell r="C1568" t="str">
            <v>РОССИЯ, 141431, Московская обл, Химки г, Подрезково мкр, Новозаводская ул, дом 4, квартира 34</v>
          </cell>
          <cell r="D1568" t="str">
            <v>РОССИЯ, 141431, Московская обл, Химки г, Подрезково мкр, Новозаводская ул, дом 4, квартира 34</v>
          </cell>
          <cell r="F1568" t="str">
            <v>Московская</v>
          </cell>
          <cell r="G1568">
            <v>0.66009259259259256</v>
          </cell>
          <cell r="H1568">
            <v>0.91009259259259256</v>
          </cell>
          <cell r="I1568" t="str">
            <v>ОК</v>
          </cell>
          <cell r="J1568" t="str">
            <v>ОК</v>
          </cell>
        </row>
        <row r="1569">
          <cell r="B1569" t="str">
            <v>В-20360/КЛ.Транш - 1</v>
          </cell>
          <cell r="C1569" t="str">
            <v>РОССИЯ, 296143, Крым респ, р-н Джанкойский, с Маслово, ул Молодежная, д. 22</v>
          </cell>
          <cell r="D1569" t="str">
            <v>РОССИЯ, 296143, Крым респ, р-н Джанкойский, с Маслово, ул Молодежная, д. 22</v>
          </cell>
          <cell r="F1569" t="str">
            <v>Крым</v>
          </cell>
          <cell r="G1569">
            <v>0.66009259259259256</v>
          </cell>
          <cell r="H1569">
            <v>0.91009259259259256</v>
          </cell>
          <cell r="I1569" t="str">
            <v>ОК</v>
          </cell>
          <cell r="J1569" t="str">
            <v>ОК</v>
          </cell>
        </row>
        <row r="1570">
          <cell r="B1570" t="str">
            <v>В-01422/КЛ.Транш - 1</v>
          </cell>
          <cell r="C1570" t="str">
            <v>РОССИЯ, 115142, Москва г, Коломенская наб, дом 6, квартира 96</v>
          </cell>
          <cell r="D1570" t="str">
            <v>РОССИЯ, 115142, Москва г, Коломенская наб, дом 6, квартира 96</v>
          </cell>
          <cell r="F1570" t="str">
            <v>Москва</v>
          </cell>
          <cell r="G1570">
            <v>0.66009259259259256</v>
          </cell>
          <cell r="H1570">
            <v>0.91009259259259256</v>
          </cell>
          <cell r="I1570" t="str">
            <v>ОК</v>
          </cell>
          <cell r="J1570" t="str">
            <v>ОК</v>
          </cell>
        </row>
        <row r="1571">
          <cell r="B1571" t="str">
            <v>В-21911/КЛ.Транш - 1</v>
          </cell>
          <cell r="C1571" t="str">
            <v>РОССИЯ, 143964, Московская обл, г Реутов, ул Комсомольская, д. 13, кв. 98</v>
          </cell>
          <cell r="D1571" t="str">
            <v>РОССИЯ, 143964, Московская обл, г Реутов, ул Комсомольская, д. 13, кв. 98</v>
          </cell>
          <cell r="F1571" t="str">
            <v>Московская</v>
          </cell>
          <cell r="G1571">
            <v>0.66009259259259256</v>
          </cell>
          <cell r="H1571">
            <v>0.91009259259259256</v>
          </cell>
          <cell r="I1571" t="str">
            <v>ОК</v>
          </cell>
          <cell r="J1571" t="str">
            <v>ОК</v>
          </cell>
        </row>
        <row r="1572">
          <cell r="B1572" t="str">
            <v>В-03450/КЛ.Транш - 1</v>
          </cell>
          <cell r="C1572" t="str">
            <v>РОССИЯ, 141840, Московская обл, Дмитровский р-н, Яхрома г, Спортивная ул, дом 18</v>
          </cell>
          <cell r="D1572" t="str">
            <v>РОССИЯ, 127543, Москва г, Лескова ул, дом 23, квартира 216</v>
          </cell>
          <cell r="F1572" t="str">
            <v>Москва</v>
          </cell>
          <cell r="G1572">
            <v>0.66009259259259256</v>
          </cell>
          <cell r="H1572">
            <v>0.91009259259259256</v>
          </cell>
          <cell r="I1572" t="str">
            <v>ОК</v>
          </cell>
          <cell r="J1572" t="str">
            <v>ОК</v>
          </cell>
        </row>
        <row r="1573">
          <cell r="B1573" t="str">
            <v>В-06852/КЛ.Транш - 1</v>
          </cell>
          <cell r="C1573" t="str">
            <v>РОССИЯ, 141202, Московская обл, Пушкинский р-н, Пушкино г, Просвещения ул, дом 6, корпус 2, квартира 233</v>
          </cell>
          <cell r="D1573" t="str">
            <v>РОССИЯ, 141202, Московская обл, Пушкинский р-н, Пушкино г, Просвещения ул, дом 6, корпус 2, квартира 233</v>
          </cell>
          <cell r="F1573" t="str">
            <v>Московская</v>
          </cell>
          <cell r="G1573">
            <v>0.66009259259259256</v>
          </cell>
          <cell r="H1573">
            <v>0.91009259259259256</v>
          </cell>
          <cell r="I1573" t="str">
            <v>ОК</v>
          </cell>
          <cell r="J1573" t="str">
            <v>ОК</v>
          </cell>
        </row>
        <row r="1574">
          <cell r="B1574" t="str">
            <v>В-06852/КЛ.Транш - 2</v>
          </cell>
          <cell r="C1574" t="str">
            <v>РОССИЯ, 141202, Московская обл, Пушкинский р-н, Пушкино г, Просвещения ул, дом 6, корпус 2, квартира 233</v>
          </cell>
          <cell r="D1574" t="str">
            <v>РОССИЯ, 141202, Московская обл, Пушкинский р-н, Пушкино г, Просвещения ул, дом 6, корпус 2, квартира 233</v>
          </cell>
          <cell r="F1574" t="str">
            <v>Московская</v>
          </cell>
          <cell r="G1574">
            <v>0.66009259259259256</v>
          </cell>
          <cell r="H1574">
            <v>0.91009259259259256</v>
          </cell>
          <cell r="I1574" t="str">
            <v>ОК</v>
          </cell>
          <cell r="J1574" t="str">
            <v>ОК</v>
          </cell>
        </row>
        <row r="1575">
          <cell r="B1575" t="str">
            <v>В-06852/КЛ.Транш - 3</v>
          </cell>
          <cell r="C1575" t="str">
            <v>РОССИЯ, 141202, Московская обл, Пушкинский р-н, Пушкино г, Просвещения ул, дом 6, корпус 2, квартира 233</v>
          </cell>
          <cell r="D1575" t="str">
            <v>РОССИЯ, 141202, Московская обл, Пушкинский р-н, Пушкино г, Просвещения ул, дом 6, корпус 2, квартира 233</v>
          </cell>
          <cell r="F1575" t="str">
            <v>Московская</v>
          </cell>
          <cell r="G1575">
            <v>0.66009259259259256</v>
          </cell>
          <cell r="H1575">
            <v>0.91009259259259256</v>
          </cell>
          <cell r="I1575" t="str">
            <v>ОК</v>
          </cell>
          <cell r="J1575" t="str">
            <v>ОК</v>
          </cell>
        </row>
        <row r="1576">
          <cell r="B1576" t="str">
            <v>В-06992/КЛ.Транш - 1</v>
          </cell>
          <cell r="C1576" t="str">
            <v>РОССИЯ, 143985, Московская обл, Балашиха г, Саввино мкр., Саввинская ул, дом 17Б, квартира 9</v>
          </cell>
          <cell r="D1576" t="str">
            <v>РОССИЯ, 143985, Московская обл, Балашиха г, Саввино мкр., Саввинская ул, дом 17Б, квартира 9</v>
          </cell>
          <cell r="F1576" t="str">
            <v>Московская</v>
          </cell>
          <cell r="G1576">
            <v>0.66009259259259256</v>
          </cell>
          <cell r="H1576">
            <v>0.91009259259259256</v>
          </cell>
          <cell r="I1576" t="str">
            <v>ОК</v>
          </cell>
          <cell r="J1576" t="str">
            <v>ОК</v>
          </cell>
        </row>
        <row r="1577">
          <cell r="B1577" t="str">
            <v>В-18654/КЛ.Транш - 1_В-20211230/Ц</v>
          </cell>
          <cell r="C1577" t="str">
            <v>РОССИЯ, 153510, Ивановская обл, р-н Ивановский, г Кохма, ул Спартаковская, д. 6</v>
          </cell>
          <cell r="D1577" t="str">
            <v>РОССИЯ, 153510, Ивановская обл, р-н Ивановский, г Кохма, ул Спартаковская, д. 6</v>
          </cell>
          <cell r="F1577" t="str">
            <v>Ивановская</v>
          </cell>
          <cell r="G1577">
            <v>0.66009259259259256</v>
          </cell>
          <cell r="H1577">
            <v>0.91009259259259256</v>
          </cell>
          <cell r="I1577" t="str">
            <v>ОК</v>
          </cell>
          <cell r="J1577" t="str">
            <v>ОК</v>
          </cell>
        </row>
        <row r="1578">
          <cell r="B1578" t="str">
            <v>В-13625/КЛ.Транш - 1</v>
          </cell>
          <cell r="C1578" t="str">
            <v>РОССИЯ, 352801, Краснодарский край, Туапсинский р-н, Туапсе г, А.Макарова ул, дом 35, квартира 20</v>
          </cell>
          <cell r="D1578" t="str">
            <v>РОССИЯ, 353477, Краснодарский край, Геленджик г, Маршала Жукова ул, дом 1, корпус 1, квартира 93</v>
          </cell>
          <cell r="F1578" t="str">
            <v>Краснодарский</v>
          </cell>
          <cell r="G1578">
            <v>0.66009259259259256</v>
          </cell>
          <cell r="H1578">
            <v>0.91009259259259256</v>
          </cell>
          <cell r="I1578" t="str">
            <v>ОК</v>
          </cell>
          <cell r="J1578" t="str">
            <v>ОК</v>
          </cell>
        </row>
        <row r="1579">
          <cell r="B1579" t="str">
            <v>В-27438/АЗ</v>
          </cell>
          <cell r="C1579" t="str">
            <v>РОССИЯ, 140571, Московская обл, Полурядинки с, дом 12, квартира 19</v>
          </cell>
          <cell r="D1579" t="str">
            <v>РОССИЯ, 123317, Москва г, Красногвардейский б-р, дом 11, квартира 17</v>
          </cell>
          <cell r="F1579" t="str">
            <v>Москва</v>
          </cell>
          <cell r="G1579">
            <v>0.66009259259259256</v>
          </cell>
          <cell r="H1579">
            <v>0.91009259259259256</v>
          </cell>
          <cell r="I1579" t="str">
            <v>ОК</v>
          </cell>
          <cell r="J1579" t="str">
            <v>ОК</v>
          </cell>
        </row>
        <row r="1580">
          <cell r="B1580" t="str">
            <v>В-17853/КЛ.Транш - 1</v>
          </cell>
          <cell r="C1580" t="str">
            <v>РОССИЯ, 433201, Ульяновская обл, р-н Карсунский, рп Языково, ул Ульянова, д. 6, кв. 2</v>
          </cell>
          <cell r="D1580" t="str">
            <v>РОССИЯ, 141006, Московская обл, г Мытищи, пр-кт Олимпийский, д. 13, к. 4, кв. 26</v>
          </cell>
          <cell r="F1580" t="str">
            <v>Московская</v>
          </cell>
          <cell r="G1580">
            <v>0.66009259259259256</v>
          </cell>
          <cell r="H1580">
            <v>0.91009259259259256</v>
          </cell>
          <cell r="I1580" t="str">
            <v>ОК</v>
          </cell>
          <cell r="J1580" t="str">
            <v>ОК</v>
          </cell>
        </row>
        <row r="1581">
          <cell r="B1581" t="str">
            <v>В-17853/КЛ.Транш - 2</v>
          </cell>
          <cell r="C1581" t="str">
            <v>РОССИЯ, 433201, Ульяновская обл, р-н Карсунский, рп Языково, ул Ульянова, д. 6, кв. 2</v>
          </cell>
          <cell r="D1581" t="str">
            <v>РОССИЯ, 141006, Московская обл, г Мытищи, пр-кт Олимпийский, д. 13, к. 4, кв. 26</v>
          </cell>
          <cell r="F1581" t="str">
            <v>Московская</v>
          </cell>
          <cell r="G1581">
            <v>0.66009259259259256</v>
          </cell>
          <cell r="H1581">
            <v>0.91009259259259256</v>
          </cell>
          <cell r="I1581" t="str">
            <v>ОК</v>
          </cell>
          <cell r="J1581" t="str">
            <v>ОК</v>
          </cell>
        </row>
        <row r="1582">
          <cell r="B1582" t="str">
            <v>В-17853/КЛ.Транш - 3</v>
          </cell>
          <cell r="C1582" t="str">
            <v>РОССИЯ, 433201, Ульяновская обл, р-н Карсунский, рп Языково, ул Ульянова, д. 6, кв. 2</v>
          </cell>
          <cell r="D1582" t="str">
            <v>РОССИЯ, 141006, Московская обл, г Мытищи, пр-кт Олимпийский, д. 13, к. 4, кв. 26</v>
          </cell>
          <cell r="F1582" t="str">
            <v>Московская</v>
          </cell>
          <cell r="G1582">
            <v>0.66009259259259256</v>
          </cell>
          <cell r="H1582">
            <v>0.91009259259259256</v>
          </cell>
          <cell r="I1582" t="str">
            <v>ОК</v>
          </cell>
          <cell r="J1582" t="str">
            <v>ОК</v>
          </cell>
        </row>
        <row r="1583">
          <cell r="B1583" t="str">
            <v>В-17853/КЛ.Транш - 4</v>
          </cell>
          <cell r="C1583" t="str">
            <v>РОССИЯ, 433201, Ульяновская обл, р-н Карсунский, рп Языково, ул Ульянова, д. 6, кв. 2</v>
          </cell>
          <cell r="D1583" t="str">
            <v>РОССИЯ, 141006, Московская обл, г Мытищи, пр-кт Олимпийский, д. 13, к. 4, кв. 26</v>
          </cell>
          <cell r="F1583" t="str">
            <v>Московская</v>
          </cell>
          <cell r="G1583">
            <v>0.66009259259259256</v>
          </cell>
          <cell r="H1583">
            <v>0.91009259259259256</v>
          </cell>
          <cell r="I1583" t="str">
            <v>ОК</v>
          </cell>
          <cell r="J1583" t="str">
            <v>ОК</v>
          </cell>
        </row>
        <row r="1584">
          <cell r="B1584" t="str">
            <v>В-17853/КЛ.Транш - 5</v>
          </cell>
          <cell r="C1584" t="str">
            <v>РОССИЯ, 433201, Ульяновская обл, р-н Карсунский, рп Языково, ул Ульянова, д. 6, кв. 2</v>
          </cell>
          <cell r="D1584" t="str">
            <v>РОССИЯ, 141006, Московская обл, г Мытищи, пр-кт Олимпийский, д. 13, к. 4, кв. 26</v>
          </cell>
          <cell r="F1584" t="str">
            <v>Московская</v>
          </cell>
          <cell r="G1584">
            <v>0.66009259259259256</v>
          </cell>
          <cell r="H1584">
            <v>0.91009259259259256</v>
          </cell>
          <cell r="I1584" t="str">
            <v>ОК</v>
          </cell>
          <cell r="J1584" t="str">
            <v>ОК</v>
          </cell>
        </row>
        <row r="1585">
          <cell r="B1585" t="str">
            <v>В-17853/КЛ.Транш - 6</v>
          </cell>
          <cell r="C1585" t="str">
            <v>РОССИЯ, 433201, Ульяновская обл, р-н Карсунский, рп Языково, ул Ульянова, д. 6, кв. 2</v>
          </cell>
          <cell r="D1585" t="str">
            <v>РОССИЯ, 141006, Московская обл, г Мытищи, пр-кт Олимпийский, д. 13, к. 4, кв. 26</v>
          </cell>
          <cell r="F1585" t="str">
            <v>Московская</v>
          </cell>
          <cell r="G1585">
            <v>0.66009259259259256</v>
          </cell>
          <cell r="H1585">
            <v>0.91009259259259256</v>
          </cell>
          <cell r="I1585" t="str">
            <v>ОК</v>
          </cell>
          <cell r="J1585" t="str">
            <v>ОК</v>
          </cell>
        </row>
        <row r="1586">
          <cell r="B1586" t="str">
            <v>В-17853/КЛ.Транш - 7</v>
          </cell>
          <cell r="C1586" t="str">
            <v>РОССИЯ, 433201, Ульяновская обл, р-н Карсунский, рп Языково, ул Ульянова, д. 6, кв. 2</v>
          </cell>
          <cell r="D1586" t="str">
            <v>РОССИЯ, 141006, Московская обл, г Мытищи, пр-кт Олимпийский, д. 13, к. 4, кв. 26</v>
          </cell>
          <cell r="F1586" t="str">
            <v>Московская</v>
          </cell>
          <cell r="G1586">
            <v>0.66009259259259256</v>
          </cell>
          <cell r="H1586">
            <v>0.91009259259259256</v>
          </cell>
          <cell r="I1586" t="str">
            <v>ОК</v>
          </cell>
          <cell r="J1586" t="str">
            <v>ОК</v>
          </cell>
        </row>
        <row r="1587">
          <cell r="B1587" t="str">
            <v>В-03738/КЛ.Транш - 1</v>
          </cell>
          <cell r="C1587" t="str">
            <v>РОССИЯ, 143985, Московская обл, Балашиха г, Саввино мкр., 1 Мая ул, дом 18, квартира 25</v>
          </cell>
          <cell r="D1587" t="str">
            <v>РОССИЯ, 143985, Московская обл, Балашиха г, Саввино мкр., 1 Мая ул, дом 18, квартира 25</v>
          </cell>
          <cell r="F1587" t="str">
            <v>Московская</v>
          </cell>
          <cell r="G1587">
            <v>0.66009259259259256</v>
          </cell>
          <cell r="H1587">
            <v>0.91009259259259256</v>
          </cell>
          <cell r="I1587" t="str">
            <v>ОК</v>
          </cell>
          <cell r="J1587" t="str">
            <v>ОК</v>
          </cell>
        </row>
        <row r="1588">
          <cell r="B1588" t="str">
            <v>В-08454/КЛ.Транш - 1</v>
          </cell>
          <cell r="C1588" t="str">
            <v>РОССИЯ, 143040, Московская обл, Одинцово г, Голицыно г, 3-й Рабочий пер, дом 7</v>
          </cell>
          <cell r="D1588" t="str">
            <v>РОССИЯ, 143040, Московская обл, Одинцово г, Голицыно г, 3-й Рабочий пер, дом 7</v>
          </cell>
          <cell r="F1588" t="str">
            <v>Московская</v>
          </cell>
          <cell r="G1588">
            <v>0.66009259259259256</v>
          </cell>
          <cell r="H1588">
            <v>0.91009259259259256</v>
          </cell>
          <cell r="I1588" t="str">
            <v>ОК</v>
          </cell>
          <cell r="J1588" t="str">
            <v>ОК</v>
          </cell>
        </row>
        <row r="1589">
          <cell r="B1589" t="str">
            <v>В-19891/КЛ.Транш - 1</v>
          </cell>
          <cell r="C1589" t="str">
            <v>РОССИЯ, 692754, Приморский край, г Артем, пер 1-й Севский, д. 15</v>
          </cell>
          <cell r="D1589" t="str">
            <v>РОССИЯ, 692754, Приморский край, г Артем, пер 1-й Севский, д. 15</v>
          </cell>
          <cell r="F1589" t="str">
            <v>Приморский</v>
          </cell>
          <cell r="G1589">
            <v>0.66009259259259256</v>
          </cell>
          <cell r="H1589">
            <v>0.20175925925925919</v>
          </cell>
          <cell r="I1589" t="str">
            <v>поздно</v>
          </cell>
          <cell r="J1589" t="str">
            <v>поздно</v>
          </cell>
        </row>
        <row r="1590">
          <cell r="B1590" t="str">
            <v>В-21184/КЛ.Транш - 1</v>
          </cell>
          <cell r="C1590" t="str">
            <v>РОССИЯ, 610021, Кировская обл, г Киров, ул Воровского, д. 94, кв. 192</v>
          </cell>
          <cell r="D1590" t="str">
            <v>РОССИЯ, 610021, Кировская обл, г Киров, ул Воровского, д. 94, кв. 192</v>
          </cell>
          <cell r="F1590" t="str">
            <v>Кировская</v>
          </cell>
          <cell r="G1590">
            <v>0.66009259259259256</v>
          </cell>
          <cell r="H1590">
            <v>0.91009259259259256</v>
          </cell>
          <cell r="I1590" t="str">
            <v>ОК</v>
          </cell>
          <cell r="J1590" t="str">
            <v>ОК</v>
          </cell>
        </row>
        <row r="1591">
          <cell r="B1591" t="str">
            <v>В-25966/КЛ.Транш - 1</v>
          </cell>
          <cell r="C1591" t="str">
            <v>РОССИЯ, 143981, Московская обл, г.о. Балашиха, г Балашиха, мкр. Кучино, ул Речная, д. 18, кв. 88</v>
          </cell>
          <cell r="D1591" t="str">
            <v>РОССИЯ, 143981, Московская обл, г.о. Балашиха, г Балашиха, мкр. Кучино, ул Речная, д. 18, кв. 88</v>
          </cell>
          <cell r="F1591" t="str">
            <v>Московская</v>
          </cell>
          <cell r="G1591">
            <v>0.66009259259259256</v>
          </cell>
          <cell r="H1591">
            <v>0.91009259259259256</v>
          </cell>
          <cell r="I1591" t="str">
            <v>ОК</v>
          </cell>
          <cell r="J1591" t="str">
            <v>ОК</v>
          </cell>
        </row>
        <row r="1592">
          <cell r="B1592" t="str">
            <v>В-25966/КЛ.Транш - 2</v>
          </cell>
          <cell r="C1592" t="str">
            <v>РОССИЯ, 143981, Московская обл, г.о. Балашиха, г Балашиха, мкр. Кучино, ул Речная, д. 18, кв. 88</v>
          </cell>
          <cell r="D1592" t="str">
            <v>РОССИЯ, 143981, Московская обл, г.о. Балашиха, г Балашиха, мкр. Кучино, ул Речная, д. 18, кв. 88</v>
          </cell>
          <cell r="F1592" t="str">
            <v>Московская</v>
          </cell>
          <cell r="G1592">
            <v>0.66009259259259256</v>
          </cell>
          <cell r="H1592">
            <v>0.91009259259259256</v>
          </cell>
          <cell r="I1592" t="str">
            <v>ОК</v>
          </cell>
          <cell r="J1592" t="str">
            <v>ОК</v>
          </cell>
        </row>
        <row r="1593">
          <cell r="B1593" t="str">
            <v>В-21872/КЛ.Транш - 1</v>
          </cell>
          <cell r="C1593" t="str">
            <v>РОССИЯ, 119607, Москва г, вн.тер.г. муниципальный округ Раменки, ул Лобачевского, д. 98, кв. 150</v>
          </cell>
          <cell r="D1593" t="str">
            <v>РОССИЯ, 443124, Самарская обл, г Самара, просека 5-я, д. 97, кв. 5</v>
          </cell>
          <cell r="F1593" t="str">
            <v>Самарская</v>
          </cell>
          <cell r="G1593">
            <v>0.66009259259259256</v>
          </cell>
          <cell r="H1593">
            <v>0.9517592592592593</v>
          </cell>
          <cell r="I1593" t="str">
            <v>поздно</v>
          </cell>
          <cell r="J1593" t="str">
            <v>ОК</v>
          </cell>
        </row>
        <row r="1594">
          <cell r="B1594" t="str">
            <v>В-11050/КЛ.Транш - 1</v>
          </cell>
          <cell r="C1594" t="str">
            <v>РОССИЯ, 127083, Москва г, Мишина ул, дом 29, квартира 17</v>
          </cell>
          <cell r="D1594" t="str">
            <v>РОССИЯ, 127083, Москва г, Мишина ул, дом 29, квартира 17</v>
          </cell>
          <cell r="F1594" t="str">
            <v>Москва</v>
          </cell>
          <cell r="G1594">
            <v>0.66009259259259256</v>
          </cell>
          <cell r="H1594">
            <v>0.91009259259259256</v>
          </cell>
          <cell r="I1594" t="str">
            <v>ОК</v>
          </cell>
          <cell r="J1594" t="str">
            <v>ОК</v>
          </cell>
        </row>
        <row r="1595">
          <cell r="B1595" t="str">
            <v>В-00690/АЗ_В-20211230/Ц</v>
          </cell>
          <cell r="C1595" t="str">
            <v>РОССИЯ, 109451, Москва г, Верхние Поля ул, дом 36, корпус 2, квартира 50</v>
          </cell>
          <cell r="D1595" t="str">
            <v>РОССИЯ, 109451, Москва г, Верхние Поля ул, дом 36, корпус 2, квартира 50</v>
          </cell>
          <cell r="F1595" t="str">
            <v>Москва</v>
          </cell>
          <cell r="G1595">
            <v>0.66009259259259256</v>
          </cell>
          <cell r="H1595">
            <v>0.91009259259259256</v>
          </cell>
          <cell r="I1595" t="str">
            <v>ОК</v>
          </cell>
          <cell r="J1595" t="str">
            <v>ОК</v>
          </cell>
        </row>
        <row r="1596">
          <cell r="B1596" t="str">
            <v>В-09292/КЛ.Транш - 1_В-20211230/Ц</v>
          </cell>
          <cell r="C1596" t="str">
            <v>РОССИЯ, 192174, Санкт-Петербург г, Седова ул, дом № 93, корпус 1, квартира 70</v>
          </cell>
          <cell r="D1596" t="str">
            <v>РОССИЯ, 193079, Санкт-Петербург г, Народная ул, дом № 10, квартира 6</v>
          </cell>
          <cell r="F1596" t="str">
            <v>Москва</v>
          </cell>
          <cell r="G1596">
            <v>0.66009259259259256</v>
          </cell>
          <cell r="H1596">
            <v>0.91009259259259256</v>
          </cell>
          <cell r="I1596" t="str">
            <v>ОК</v>
          </cell>
          <cell r="J1596" t="str">
            <v>ОК</v>
          </cell>
        </row>
        <row r="1597">
          <cell r="B1597" t="str">
            <v>В-01215/АЗ</v>
          </cell>
          <cell r="C1597" t="str">
            <v>РОССИЯ, 125124, Москва г, ул Правды, д. 3/1, кв. 41</v>
          </cell>
          <cell r="D1597" t="str">
            <v>РОССИЯ, 125040, Москва г, Правды ул, дом № 3/1, квартира 41</v>
          </cell>
          <cell r="F1597" t="str">
            <v>Москва</v>
          </cell>
          <cell r="G1597">
            <v>0.66009259259259256</v>
          </cell>
          <cell r="H1597">
            <v>0.91009259259259256</v>
          </cell>
          <cell r="I1597" t="str">
            <v>ОК</v>
          </cell>
          <cell r="J1597" t="str">
            <v>ОК</v>
          </cell>
        </row>
        <row r="1598">
          <cell r="B1598" t="str">
            <v>В-12662/КЛ.Транш - 1</v>
          </cell>
          <cell r="C1598" t="str">
            <v>РОССИЯ, 300041, Тульская обл, Тула г, Демонстрации ул, дом 4, квартира 29</v>
          </cell>
          <cell r="D1598" t="str">
            <v>РОССИЯ, 300041, Тульская обл, Тула г, Союзная ул, дом 5, квартира 10</v>
          </cell>
          <cell r="F1598" t="str">
            <v>Тульская</v>
          </cell>
          <cell r="G1598">
            <v>0.66009259259259256</v>
          </cell>
          <cell r="H1598">
            <v>0.91009259259259256</v>
          </cell>
          <cell r="I1598" t="str">
            <v>ОК</v>
          </cell>
          <cell r="J1598" t="str">
            <v>ОК</v>
          </cell>
        </row>
        <row r="1599">
          <cell r="B1599" t="str">
            <v>В-22889/КЛ.Транш - 1</v>
          </cell>
          <cell r="C1599" t="str">
            <v>РОССИЯ, 450105, Башкортостан респ, Уфа г, Академика Королева ул, дом 2/2, квартира 13</v>
          </cell>
          <cell r="D1599" t="str">
            <v>РОССИЯ, 450105, Башкортостан респ, Уфа г, Академика Королева ул, дом 2/2, квартира 13</v>
          </cell>
          <cell r="F1599" t="str">
            <v>Башкортостан</v>
          </cell>
          <cell r="G1599">
            <v>0.66009259259259256</v>
          </cell>
          <cell r="H1599">
            <v>0.99342592592592593</v>
          </cell>
          <cell r="I1599" t="str">
            <v>поздно</v>
          </cell>
          <cell r="J1599" t="str">
            <v>ОК</v>
          </cell>
        </row>
        <row r="1600">
          <cell r="B1600" t="str">
            <v>В-22889/КЛ.Транш - 2</v>
          </cell>
          <cell r="C1600" t="str">
            <v>РОССИЯ, 450105, Башкортостан респ, Уфа г, Академика Королева ул, дом 2/2, квартира 13</v>
          </cell>
          <cell r="D1600" t="str">
            <v>РОССИЯ, 450105, Башкортостан респ, Уфа г, Академика Королева ул, дом 2/2, квартира 13</v>
          </cell>
          <cell r="F1600" t="str">
            <v>Башкортостан</v>
          </cell>
          <cell r="G1600">
            <v>0.66009259259259256</v>
          </cell>
          <cell r="H1600">
            <v>0.99342592592592593</v>
          </cell>
          <cell r="I1600" t="str">
            <v>поздно</v>
          </cell>
          <cell r="J1600" t="str">
            <v>ОК</v>
          </cell>
        </row>
        <row r="1601">
          <cell r="B1601" t="str">
            <v>В-22889/КЛ.Транш - 3</v>
          </cell>
          <cell r="C1601" t="str">
            <v>РОССИЯ, 450105, Башкортостан респ, Уфа г, Академика Королева ул, дом 2/2, квартира 13</v>
          </cell>
          <cell r="D1601" t="str">
            <v>РОССИЯ, 450105, Башкортостан респ, Уфа г, Академика Королева ул, дом 2/2, квартира 13</v>
          </cell>
          <cell r="F1601" t="str">
            <v>Башкортостан</v>
          </cell>
          <cell r="G1601">
            <v>0.66009259259259256</v>
          </cell>
          <cell r="H1601">
            <v>0.99342592592592593</v>
          </cell>
          <cell r="I1601" t="str">
            <v>поздно</v>
          </cell>
          <cell r="J1601" t="str">
            <v>ОК</v>
          </cell>
        </row>
        <row r="1602">
          <cell r="B1602" t="str">
            <v>В-27250/КЛ.Транш - 1</v>
          </cell>
          <cell r="C1602" t="str">
            <v>РОССИЯ, 450105, Башкортостан респ, г Уфа, ул Академика Королева, д. 2/2, кв. 12</v>
          </cell>
          <cell r="D1602" t="str">
            <v>РОССИЯ, 450105, Башкортостан респ, г Уфа, ул Академика Королева, д. 2/2, кв. 12</v>
          </cell>
          <cell r="F1602" t="str">
            <v>Башкортостан</v>
          </cell>
          <cell r="G1602">
            <v>0.66009259259259256</v>
          </cell>
          <cell r="H1602">
            <v>0.99342592592592593</v>
          </cell>
          <cell r="I1602" t="str">
            <v>поздно</v>
          </cell>
          <cell r="J1602" t="str">
            <v>ОК</v>
          </cell>
        </row>
        <row r="1603">
          <cell r="B1603" t="str">
            <v>В-27250/КЛ.Транш - 2</v>
          </cell>
          <cell r="C1603" t="str">
            <v>РОССИЯ, 450105, Башкортостан респ, г Уфа, ул Академика Королева, д. 2/2, кв. 12</v>
          </cell>
          <cell r="D1603" t="str">
            <v>РОССИЯ, 450105, Башкортостан респ, г Уфа, ул Академика Королева, д. 2/2, кв. 12</v>
          </cell>
          <cell r="F1603" t="str">
            <v>Башкортостан</v>
          </cell>
          <cell r="G1603">
            <v>0.66009259259259256</v>
          </cell>
          <cell r="H1603">
            <v>0.99342592592592593</v>
          </cell>
          <cell r="I1603" t="str">
            <v>поздно</v>
          </cell>
          <cell r="J1603" t="str">
            <v>ОК</v>
          </cell>
        </row>
        <row r="1604">
          <cell r="B1604" t="str">
            <v>В-05256/КЛ.Транш - 3</v>
          </cell>
          <cell r="C1604" t="str">
            <v>РОССИЯ, 141851, Московская обл, Дмитров г, Ульянки д, дачного поселка Аусбург тер., дом 30</v>
          </cell>
          <cell r="D1604" t="str">
            <v>РОССИЯ, 141851, Московская обл, Дмитров г, Ульянки д, дачного поселка Аусбург тер., дом 30</v>
          </cell>
          <cell r="F1604" t="str">
            <v>Московская</v>
          </cell>
          <cell r="G1604">
            <v>0.66009259259259256</v>
          </cell>
          <cell r="H1604">
            <v>0.91009259259259256</v>
          </cell>
          <cell r="I1604" t="str">
            <v>ОК</v>
          </cell>
          <cell r="J1604" t="str">
            <v>ОК</v>
          </cell>
        </row>
        <row r="1605">
          <cell r="B1605" t="str">
            <v>В-05256/КЛ.Транш - 4</v>
          </cell>
          <cell r="C1605" t="str">
            <v>РОССИЯ, 141851, Московская обл, Дмитров г, Ульянки д, дачного поселка Аусбург тер., дом 30</v>
          </cell>
          <cell r="D1605" t="str">
            <v>РОССИЯ, 141851, Московская обл, Дмитров г, Ульянки д, дачного поселка Аусбург тер., дом 30</v>
          </cell>
          <cell r="F1605" t="str">
            <v>Московская</v>
          </cell>
          <cell r="G1605">
            <v>0.66009259259259256</v>
          </cell>
          <cell r="H1605">
            <v>0.91009259259259256</v>
          </cell>
          <cell r="I1605" t="str">
            <v>ОК</v>
          </cell>
          <cell r="J1605" t="str">
            <v>ОК</v>
          </cell>
        </row>
        <row r="1606">
          <cell r="B1606" t="str">
            <v>В-02110/КЛ.Транш - 1</v>
          </cell>
          <cell r="C1606" t="str">
            <v>РОССИЯ, 350072, Краснодарский край, Краснодар г, им. Котлярова Н.С. ул, дом 15/1, квартира 267</v>
          </cell>
          <cell r="D1606" t="str">
            <v>РОССИЯ, 350072, Краснодарский край, Краснодар г, им. Котлярова Н.С. ул, дом 15/1, квартира 267</v>
          </cell>
          <cell r="F1606" t="str">
            <v>Краснодарский</v>
          </cell>
          <cell r="G1606">
            <v>0.66009259259259256</v>
          </cell>
          <cell r="H1606">
            <v>0.91009259259259256</v>
          </cell>
          <cell r="I1606" t="str">
            <v>ОК</v>
          </cell>
          <cell r="J1606" t="str">
            <v>ОК</v>
          </cell>
        </row>
        <row r="1607">
          <cell r="B1607" t="str">
            <v>В-20442/КЛ.Транш - 1_В-20211230/Ц</v>
          </cell>
          <cell r="C1607" t="str">
            <v>РОССИЯ, 692770, Приморский край, г Артем, ул Саперная, д. 10, кв. 6</v>
          </cell>
          <cell r="D1607" t="str">
            <v>РОССИЯ, 692770, Приморский край, г Артем, ул Саперная, д. 10, кв. 6</v>
          </cell>
          <cell r="F1607" t="str">
            <v>Приморский</v>
          </cell>
          <cell r="G1607">
            <v>0.66009259259259256</v>
          </cell>
          <cell r="H1607">
            <v>0.20175925925925919</v>
          </cell>
          <cell r="I1607" t="str">
            <v>поздно</v>
          </cell>
          <cell r="J1607" t="str">
            <v>поздно</v>
          </cell>
        </row>
        <row r="1608">
          <cell r="B1608" t="str">
            <v>В-00182/КЛ.Транш - 1</v>
          </cell>
          <cell r="C1608" t="str">
            <v>РОССИЯ, Дагестан респ, Кайтагский р-н, Адага с</v>
          </cell>
          <cell r="D1608" t="str">
            <v>РОССИЯ, 142715, Московская обл, Ленинский р-н, Дроздово д, дом 4/1</v>
          </cell>
          <cell r="F1608" t="str">
            <v>Московская</v>
          </cell>
          <cell r="G1608">
            <v>0.66009259259259256</v>
          </cell>
          <cell r="H1608">
            <v>0.91009259259259256</v>
          </cell>
          <cell r="I1608" t="str">
            <v>ОК</v>
          </cell>
          <cell r="J1608" t="str">
            <v>ОК</v>
          </cell>
        </row>
        <row r="1609">
          <cell r="B1609" t="str">
            <v>В-00182/КЛ.Транш - 2</v>
          </cell>
          <cell r="C1609" t="str">
            <v>РОССИЯ, Дагестан респ, Кайтагский р-н, Адага с</v>
          </cell>
          <cell r="D1609" t="str">
            <v>РОССИЯ, 142715, Московская обл, Ленинский р-н, Дроздово д, дом 4/1</v>
          </cell>
          <cell r="F1609" t="str">
            <v>Московская</v>
          </cell>
          <cell r="G1609">
            <v>0.66009259259259256</v>
          </cell>
          <cell r="H1609">
            <v>0.91009259259259256</v>
          </cell>
          <cell r="I1609" t="str">
            <v>ОК</v>
          </cell>
          <cell r="J1609" t="str">
            <v>ОК</v>
          </cell>
        </row>
        <row r="1610">
          <cell r="B1610" t="str">
            <v>А-01872/АЗ</v>
          </cell>
          <cell r="C1610" t="str">
            <v>РОССИЯ, 127549, Москва г, Бибиревская ул, дом № 9, квартира 199</v>
          </cell>
          <cell r="D1610" t="str">
            <v>РОССИЯ, 127549, Москва г, Бибиревская ул, дом № 9, квартира 199</v>
          </cell>
          <cell r="F1610" t="str">
            <v>Москва</v>
          </cell>
          <cell r="G1610">
            <v>0.66009259259259256</v>
          </cell>
          <cell r="H1610">
            <v>0.91009259259259256</v>
          </cell>
          <cell r="I1610" t="str">
            <v>ОК</v>
          </cell>
          <cell r="J1610" t="str">
            <v>ОК</v>
          </cell>
        </row>
        <row r="1611">
          <cell r="B1611" t="str">
            <v>В-00314/КЛ.Транш - 84</v>
          </cell>
          <cell r="C1611" t="str">
            <v>РОССИЯ, 127051, Москва г, Трубная ул, дом 25, строение 2, квартира 39</v>
          </cell>
          <cell r="D1611" t="str">
            <v>РОССИЯ, 121614, Москва г, Крылатская ул, дом 31, корпус 2, квартира 497</v>
          </cell>
          <cell r="F1611" t="str">
            <v>Москва</v>
          </cell>
          <cell r="G1611">
            <v>0.66009259259259256</v>
          </cell>
          <cell r="H1611">
            <v>0.91009259259259256</v>
          </cell>
          <cell r="I1611" t="str">
            <v>ОК</v>
          </cell>
          <cell r="J1611" t="str">
            <v>ОК</v>
          </cell>
        </row>
        <row r="1612">
          <cell r="B1612" t="str">
            <v>В-00314/КЛ.Транш - 85</v>
          </cell>
          <cell r="C1612" t="str">
            <v>РОССИЯ, 127051, Москва г, Трубная ул, дом 25, строение 2, квартира 39</v>
          </cell>
          <cell r="D1612" t="str">
            <v>РОССИЯ, 121614, Москва г, Крылатская ул, дом 31, корпус 2, квартира 497</v>
          </cell>
          <cell r="F1612" t="str">
            <v>Москва</v>
          </cell>
          <cell r="G1612">
            <v>0.66009259259259256</v>
          </cell>
          <cell r="H1612">
            <v>0.91009259259259256</v>
          </cell>
          <cell r="I1612" t="str">
            <v>ОК</v>
          </cell>
          <cell r="J1612" t="str">
            <v>ОК</v>
          </cell>
        </row>
        <row r="1613">
          <cell r="B1613" t="str">
            <v>В-00314/КЛ.Транш - 86</v>
          </cell>
          <cell r="C1613" t="str">
            <v>РОССИЯ, 127051, Москва г, Трубная ул, дом 25, строение 2, квартира 39</v>
          </cell>
          <cell r="D1613" t="str">
            <v>РОССИЯ, 121614, Москва г, Крылатская ул, дом 31, корпус 2, квартира 497</v>
          </cell>
          <cell r="F1613" t="str">
            <v>Москва</v>
          </cell>
          <cell r="G1613">
            <v>0.66009259259259256</v>
          </cell>
          <cell r="H1613">
            <v>0.91009259259259256</v>
          </cell>
          <cell r="I1613" t="str">
            <v>ОК</v>
          </cell>
          <cell r="J1613" t="str">
            <v>ОК</v>
          </cell>
        </row>
        <row r="1614">
          <cell r="B1614" t="str">
            <v>В-11287/КЛ.Транш - 2</v>
          </cell>
          <cell r="C1614" t="str">
            <v>РОССИЯ, 142408, Московская обл, Ногинск г, Березовая ул, дом 2А</v>
          </cell>
          <cell r="D1614" t="str">
            <v>РОССИЯ, 142408, Московская обл, Ногинск г, Березовая ул, дом 2А</v>
          </cell>
          <cell r="F1614" t="str">
            <v>Московская</v>
          </cell>
          <cell r="G1614">
            <v>0.66009259259259256</v>
          </cell>
          <cell r="H1614">
            <v>0.91009259259259256</v>
          </cell>
          <cell r="I1614" t="str">
            <v>ОК</v>
          </cell>
          <cell r="J1614" t="str">
            <v>ОК</v>
          </cell>
        </row>
        <row r="1615">
          <cell r="B1615" t="str">
            <v>В-18631/КЛ.Транш - 1</v>
          </cell>
          <cell r="C1615" t="str">
            <v>РОССИЯ, 119192, Москва г, вн.тер.г. муниципальный округ Раменки, пр-кт Мичуринский, д. 21, к. 1, кв. 80</v>
          </cell>
          <cell r="D1615" t="str">
            <v>РОССИЯ, 119192, Москва г, вн.тер.г. муниципальный округ Раменки, пр-кт Мичуринский, д. 21, к. 1, кв. 80</v>
          </cell>
          <cell r="F1615" t="str">
            <v>Москва</v>
          </cell>
          <cell r="G1615">
            <v>0.66009259259259256</v>
          </cell>
          <cell r="H1615">
            <v>0.91009259259259256</v>
          </cell>
          <cell r="I1615" t="str">
            <v>ОК</v>
          </cell>
          <cell r="J1615" t="str">
            <v>ОК</v>
          </cell>
        </row>
        <row r="1616">
          <cell r="B1616" t="str">
            <v>В-15750/КЛ.Транш - 1_В-20211230/Ц</v>
          </cell>
          <cell r="C1616" t="str">
            <v>РОССИЯ, 141730, Московская обл, Лобня г, Фестивальная ул, дом 8, корпус 1, квартира 101</v>
          </cell>
          <cell r="D1616" t="str">
            <v>РОССИЯ, 141730, Московская обл, Лобня г, Фестивальная ул, дом 8, корпус 1, квартира 101</v>
          </cell>
          <cell r="F1616" t="str">
            <v>Московская</v>
          </cell>
          <cell r="G1616">
            <v>0.66009259259259256</v>
          </cell>
          <cell r="H1616">
            <v>0.91009259259259256</v>
          </cell>
          <cell r="I1616" t="str">
            <v>ОК</v>
          </cell>
          <cell r="J1616" t="str">
            <v>ОК</v>
          </cell>
        </row>
        <row r="1617">
          <cell r="B1617" t="str">
            <v>В-15750/КЛ.Транш - 2_В-20211230/Ц</v>
          </cell>
          <cell r="C1617" t="str">
            <v>РОССИЯ, 141730, Московская обл, Лобня г, Фестивальная ул, дом 8, корпус 1, квартира 101</v>
          </cell>
          <cell r="D1617" t="str">
            <v>РОССИЯ, 141730, Московская обл, Лобня г, Фестивальная ул, дом 8, корпус 1, квартира 101</v>
          </cell>
          <cell r="F1617" t="str">
            <v>Московская</v>
          </cell>
          <cell r="G1617">
            <v>0.66009259259259256</v>
          </cell>
          <cell r="H1617">
            <v>0.91009259259259256</v>
          </cell>
          <cell r="I1617" t="str">
            <v>ОК</v>
          </cell>
          <cell r="J1617" t="str">
            <v>ОК</v>
          </cell>
        </row>
        <row r="1618">
          <cell r="B1618" t="str">
            <v>В-15750/КЛ.Транш - 3_В-20211230/Ц</v>
          </cell>
          <cell r="C1618" t="str">
            <v>РОССИЯ, 141730, Московская обл, Лобня г, Фестивальная ул, дом 8, корпус 1, квартира 101</v>
          </cell>
          <cell r="D1618" t="str">
            <v>РОССИЯ, 141730, Московская обл, Лобня г, Фестивальная ул, дом 8, корпус 1, квартира 101</v>
          </cell>
          <cell r="F1618" t="str">
            <v>Московская</v>
          </cell>
          <cell r="G1618">
            <v>0.66009259259259256</v>
          </cell>
          <cell r="H1618">
            <v>0.91009259259259256</v>
          </cell>
          <cell r="I1618" t="str">
            <v>ОК</v>
          </cell>
          <cell r="J1618" t="str">
            <v>ОК</v>
          </cell>
        </row>
        <row r="1619">
          <cell r="B1619" t="str">
            <v>В-01200/АЗ_В-20211230/Ц</v>
          </cell>
          <cell r="C1619" t="str">
            <v>РОССИЯ, 141730, Московская обл, г Лобня, ул Фестивальная, д. 8, к. 1, кв. 101</v>
          </cell>
          <cell r="D1619" t="str">
            <v>РОССИЯ, 141730, Московская обл, г Лобня, ул Фестивальная, д. 8, к. 1, кв. 101</v>
          </cell>
          <cell r="F1619" t="str">
            <v>Московская</v>
          </cell>
          <cell r="G1619">
            <v>0.66009259259259256</v>
          </cell>
          <cell r="H1619">
            <v>0.91009259259259256</v>
          </cell>
          <cell r="I1619" t="str">
            <v>ОК</v>
          </cell>
          <cell r="J1619" t="str">
            <v>ОК</v>
          </cell>
        </row>
        <row r="1620">
          <cell r="B1620" t="str">
            <v>В-03206/КЛ.Транш - 1</v>
          </cell>
          <cell r="C1620" t="str">
            <v>РОССИЯ, 127299, Москва г, Космонавта Волкова ул, дом 29, корпус 1, квартира 46</v>
          </cell>
          <cell r="D1620" t="str">
            <v>РОССИЯ, 127299, Москва г, Космонавта Волкова ул, дом 29, корпус 1, квартира 46</v>
          </cell>
          <cell r="F1620" t="str">
            <v>Москва</v>
          </cell>
          <cell r="G1620">
            <v>0.66009259259259256</v>
          </cell>
          <cell r="H1620">
            <v>0.91009259259259256</v>
          </cell>
          <cell r="I1620" t="str">
            <v>ОК</v>
          </cell>
          <cell r="J1620" t="str">
            <v>ОК</v>
          </cell>
        </row>
        <row r="1621">
          <cell r="B1621" t="str">
            <v>А-05231/АЗ</v>
          </cell>
          <cell r="C1621" t="str">
            <v>РОССИЯ, 142370, Московская обл, Чехов г, Троицкое с, дом № 47, квартира 2</v>
          </cell>
          <cell r="D1621" t="str">
            <v>РОССИЯ, 142370, Московская обл, Чехов г, Троицкое с, дом № 47, квартира 2</v>
          </cell>
          <cell r="F1621" t="str">
            <v>Московская</v>
          </cell>
          <cell r="G1621">
            <v>0.66009259259259256</v>
          </cell>
          <cell r="H1621">
            <v>0.91009259259259256</v>
          </cell>
          <cell r="I1621" t="str">
            <v>ОК</v>
          </cell>
          <cell r="J1621" t="str">
            <v>ОК</v>
          </cell>
        </row>
        <row r="1622">
          <cell r="B1622" t="str">
            <v>В-25466/АЗ</v>
          </cell>
          <cell r="C1622" t="str">
            <v>РОССИЯ, 143180, Московская обл, г Одинцово, г Звенигород, ул Макарова, д. 19, к. 1, кв. 56</v>
          </cell>
          <cell r="D1622" t="str">
            <v>РОССИЯ, 143180, Московская обл, г Одинцово, г Звенигород, ул Макарова, д. 19, к. 1, кв. 56</v>
          </cell>
          <cell r="F1622" t="str">
            <v>Московская</v>
          </cell>
          <cell r="G1622">
            <v>0.66009259259259256</v>
          </cell>
          <cell r="H1622">
            <v>0.91009259259259256</v>
          </cell>
          <cell r="I1622" t="str">
            <v>ОК</v>
          </cell>
          <cell r="J1622" t="str">
            <v>ОК</v>
          </cell>
        </row>
        <row r="1623">
          <cell r="B1623" t="str">
            <v>В-23923/КЛ.Транш - 1</v>
          </cell>
          <cell r="C1623" t="str">
            <v>РОССИЯ, 141077, Московская обл, г Королёв, ул 50-летия ВЛКСМ, д. 10А, кв. 51</v>
          </cell>
          <cell r="D1623" t="str">
            <v>РОССИЯ, 141077, Московская обл, г Королёв, ул 50-летия ВЛКСМ, д. 10А, кв. 51</v>
          </cell>
          <cell r="F1623" t="str">
            <v>Московская</v>
          </cell>
          <cell r="G1623">
            <v>0.66009259259259256</v>
          </cell>
          <cell r="H1623">
            <v>0.91009259259259256</v>
          </cell>
          <cell r="I1623" t="str">
            <v>ОК</v>
          </cell>
          <cell r="J1623" t="str">
            <v>ОК</v>
          </cell>
        </row>
        <row r="1624">
          <cell r="B1624" t="str">
            <v>В-02975/КЛ.Транш - 1</v>
          </cell>
          <cell r="C1624" t="str">
            <v>РОССИЯ, 353160, Краснодарский край, Кореновский р-н, Раздольная ст-ца, Щорса ул, дом 138, квартира 1</v>
          </cell>
          <cell r="D1624" t="str">
            <v>РОССИЯ, 350028, Краснодарский край, Краснодар г, Героев-Разведчиков ул, дом 23, квартира 269</v>
          </cell>
          <cell r="F1624" t="str">
            <v>Краснодарский</v>
          </cell>
          <cell r="G1624">
            <v>0.66009259259259256</v>
          </cell>
          <cell r="H1624">
            <v>0.91009259259259256</v>
          </cell>
          <cell r="I1624" t="str">
            <v>ОК</v>
          </cell>
          <cell r="J1624" t="str">
            <v>ОК</v>
          </cell>
        </row>
        <row r="1625">
          <cell r="B1625" t="str">
            <v>А-00029/БЭ</v>
          </cell>
          <cell r="C1625" t="str">
            <v>РОССИЯ, 115582, Москва г, Шипиловский проезд, дом № 63, корпус 1, квартира 638</v>
          </cell>
          <cell r="D1625" t="str">
            <v>РОССИЯ, 115582, Москва г, Шипиловский проезд, дом № 63, корпус 1, квартира 638</v>
          </cell>
          <cell r="F1625" t="str">
            <v>Москва</v>
          </cell>
          <cell r="G1625">
            <v>0.66009259259259256</v>
          </cell>
          <cell r="H1625">
            <v>0.91009259259259256</v>
          </cell>
          <cell r="I1625" t="str">
            <v>ОК</v>
          </cell>
          <cell r="J1625" t="str">
            <v>ОК</v>
          </cell>
        </row>
        <row r="1626">
          <cell r="B1626" t="str">
            <v>В-26827/КЛ.Транш - 1</v>
          </cell>
          <cell r="C1626" t="str">
            <v>РОССИЯ, 413210, Саратовская обл, р-н Советский, рп Степное, ул Димитрова, д. 35, кв. 7, ком. 12-13</v>
          </cell>
          <cell r="D1626" t="str">
            <v>РОССИЯ, 432066, Ульяновская обл, г Ульяновск, ул Шигаева, д. 7, кв. 12</v>
          </cell>
          <cell r="F1626" t="str">
            <v>Ульяновская</v>
          </cell>
          <cell r="G1626">
            <v>0.66009259259259256</v>
          </cell>
          <cell r="H1626">
            <v>0.9517592592592593</v>
          </cell>
          <cell r="I1626" t="str">
            <v>поздно</v>
          </cell>
          <cell r="J1626" t="str">
            <v>ОК</v>
          </cell>
        </row>
        <row r="1627">
          <cell r="B1627" t="str">
            <v>В-00638/АЗ</v>
          </cell>
          <cell r="C1627" t="str">
            <v>РОССИЯ, 188304, Ленинградская обл, Гатчинский р-н, Гатчина г, Карла Маркса ул, дом 8А, квартира 31</v>
          </cell>
          <cell r="D1627" t="str">
            <v>РОССИЯ, 188304, Ленинградская обл, Гатчинский р-н, Гатчина г, Карла Маркса ул, дом 8А, квартира 31</v>
          </cell>
          <cell r="F1627" t="str">
            <v>Ленинградская</v>
          </cell>
          <cell r="G1627">
            <v>0.66009259259259256</v>
          </cell>
          <cell r="H1627">
            <v>0.91009259259259256</v>
          </cell>
          <cell r="I1627" t="str">
            <v>ОК</v>
          </cell>
          <cell r="J1627" t="str">
            <v>ОК</v>
          </cell>
        </row>
        <row r="1628">
          <cell r="B1628" t="str">
            <v>В-01188/АЗ</v>
          </cell>
          <cell r="C1628" t="str">
            <v>РОССИЯ, 140103, Московская обл, г Раменское, ул Свободы, д. 10, кв. 65</v>
          </cell>
          <cell r="D1628" t="str">
            <v>РОССИЯ, 140103, Московская обл, г Раменское, ул Свободы, д. 10, кв. 65</v>
          </cell>
          <cell r="F1628" t="str">
            <v>Московская</v>
          </cell>
          <cell r="G1628">
            <v>0.66009259259259256</v>
          </cell>
          <cell r="H1628">
            <v>0.91009259259259256</v>
          </cell>
          <cell r="I1628" t="str">
            <v>ОК</v>
          </cell>
          <cell r="J1628" t="str">
            <v>ОК</v>
          </cell>
        </row>
        <row r="1629">
          <cell r="B1629" t="str">
            <v>В-00395/АЗ_В-20211230/Ц</v>
          </cell>
          <cell r="C1629" t="str">
            <v>РОССИЯ, 108809, Москва г, Толстопальцево п, Пионерская ул, дом 15</v>
          </cell>
          <cell r="D1629" t="str">
            <v>РОССИЯ, 108809, Москва г, Толстопальцево п, Пионерская ул, дом 15</v>
          </cell>
          <cell r="F1629" t="str">
            <v>Москва</v>
          </cell>
          <cell r="G1629">
            <v>0.66009259259259256</v>
          </cell>
          <cell r="H1629">
            <v>0.91009259259259256</v>
          </cell>
          <cell r="I1629" t="str">
            <v>ОК</v>
          </cell>
          <cell r="J1629" t="str">
            <v>ОК</v>
          </cell>
        </row>
        <row r="1630">
          <cell r="B1630" t="str">
            <v>В-24169/АЗ</v>
          </cell>
          <cell r="C1630" t="str">
            <v>РОССИЯ, 123182, Москва г, ул Авиационная, д. 77, кв. 269</v>
          </cell>
          <cell r="D1630" t="str">
            <v>РОССИЯ, 123182, Москва г, ул Авиационная, д. 77, кв. 269</v>
          </cell>
          <cell r="F1630" t="str">
            <v>Москва</v>
          </cell>
          <cell r="G1630">
            <v>0.66009259259259256</v>
          </cell>
          <cell r="H1630">
            <v>0.91009259259259256</v>
          </cell>
          <cell r="I1630" t="str">
            <v>ОК</v>
          </cell>
          <cell r="J1630" t="str">
            <v>ОК</v>
          </cell>
        </row>
        <row r="1631">
          <cell r="B1631" t="str">
            <v>В-25425/КЛ.Транш - 1</v>
          </cell>
          <cell r="C1631" t="str">
            <v>РОССИЯ, 350005, Краснодарский край, Краснодар г, им Александра Покрышкина ул, дом № 25/А, корпус 1, квартира 158</v>
          </cell>
          <cell r="D1631" t="str">
            <v>РОССИЯ, 350005, Краснодарский край, Краснодар г, им Александра Покрышкина ул, дом № 25/А, корпус 1, квартира 158</v>
          </cell>
          <cell r="F1631" t="str">
            <v>Краснодарский</v>
          </cell>
          <cell r="G1631">
            <v>0.66009259259259256</v>
          </cell>
          <cell r="H1631">
            <v>0.91009259259259256</v>
          </cell>
          <cell r="I1631" t="str">
            <v>ОК</v>
          </cell>
          <cell r="J1631" t="str">
            <v>ОК</v>
          </cell>
        </row>
        <row r="1632">
          <cell r="B1632" t="str">
            <v>В-28224/КЛ.Транш - 1</v>
          </cell>
          <cell r="C1632" t="str">
            <v>РОССИЯ, 141704, Московская обл, г.о. Долгопрудный, г Долгопрудный, ш Старое Дмитровское, д. 17, кв. 115</v>
          </cell>
          <cell r="D1632" t="str">
            <v>РОССИЯ, 141704, Московская обл, г.о. Долгопрудный, г Долгопрудный, ш Старое Дмитровское, д. 17, кв. 115</v>
          </cell>
          <cell r="F1632" t="str">
            <v>Московская</v>
          </cell>
          <cell r="G1632">
            <v>0.66009259259259256</v>
          </cell>
          <cell r="H1632">
            <v>0.91009259259259256</v>
          </cell>
          <cell r="I1632" t="str">
            <v>ОК</v>
          </cell>
          <cell r="J1632" t="str">
            <v>ОК</v>
          </cell>
        </row>
        <row r="1633">
          <cell r="B1633" t="str">
            <v>В-00051/КЛ.Транш - 1</v>
          </cell>
          <cell r="C1633" t="str">
            <v>РОССИЯ, 167031, Коми респ, Сыктывкар г, Чкалова ул, дом 27, квартира 58, 58а</v>
          </cell>
          <cell r="D1633" t="str">
            <v>РОССИЯ, 125475, Москва г, Дыбенко ул, дом 5, квартира 10</v>
          </cell>
          <cell r="F1633" t="str">
            <v>Москва</v>
          </cell>
          <cell r="G1633">
            <v>0.66009259259259256</v>
          </cell>
          <cell r="H1633">
            <v>0.91009259259259256</v>
          </cell>
          <cell r="I1633" t="str">
            <v>ОК</v>
          </cell>
          <cell r="J1633" t="str">
            <v>ОК</v>
          </cell>
        </row>
        <row r="1634">
          <cell r="B1634" t="str">
            <v>В-00051/КЛ.Транш - 2</v>
          </cell>
          <cell r="C1634" t="str">
            <v>РОССИЯ, 167031, Коми респ, Сыктывкар г, Чкалова ул, дом 27, квартира 58, 58а</v>
          </cell>
          <cell r="D1634" t="str">
            <v>РОССИЯ, 125475, Москва г, Дыбенко ул, дом 5, квартира 10</v>
          </cell>
          <cell r="F1634" t="str">
            <v>Москва</v>
          </cell>
          <cell r="G1634">
            <v>0.66009259259259256</v>
          </cell>
          <cell r="H1634">
            <v>0.91009259259259256</v>
          </cell>
          <cell r="I1634" t="str">
            <v>ОК</v>
          </cell>
          <cell r="J1634" t="str">
            <v>ОК</v>
          </cell>
        </row>
        <row r="1635">
          <cell r="B1635" t="str">
            <v>В-05377/КЛ.Транш - 2</v>
          </cell>
          <cell r="C1635" t="str">
            <v>РОССИЯ, 107014, Москва г, Внутригородская территория муниципальный округ Сокольники, Остроумовская М. ул, дом 1, корпус а, квартира 165</v>
          </cell>
          <cell r="D1635" t="str">
            <v>РОССИЯ, 107014, Москва г, Внутригородская территория муниципальный округ Сокольники, Остроумовская М. ул, дом 1, корпус а, квартира 165</v>
          </cell>
          <cell r="F1635" t="str">
            <v>Москва</v>
          </cell>
          <cell r="G1635">
            <v>0.66009259259259256</v>
          </cell>
          <cell r="H1635">
            <v>0.91009259259259256</v>
          </cell>
          <cell r="I1635" t="str">
            <v>ОК</v>
          </cell>
          <cell r="J1635" t="str">
            <v>ОК</v>
          </cell>
        </row>
        <row r="1636">
          <cell r="B1636" t="str">
            <v>В-12391/КЛ.Транш - 1_В-20211230/Ц</v>
          </cell>
          <cell r="C1636" t="str">
            <v>РОССИЯ, 141371, Московская обл, Сергиев Посад г, Хотьково г, Черняховского ул, дом 12, квартира 2</v>
          </cell>
          <cell r="D1636" t="str">
            <v>РОССИЯ, 394030, Воронежская обл, Воронеж г, Карла Маркса ул, дом 116А, квартира 344</v>
          </cell>
          <cell r="F1636" t="str">
            <v>Воронежская</v>
          </cell>
          <cell r="G1636">
            <v>0.66009259259259256</v>
          </cell>
          <cell r="H1636">
            <v>0.91009259259259256</v>
          </cell>
          <cell r="I1636" t="str">
            <v>ОК</v>
          </cell>
          <cell r="J1636" t="str">
            <v>ОК</v>
          </cell>
        </row>
        <row r="1637">
          <cell r="B1637" t="str">
            <v>В-12391/КЛ.Транш - 2_В-20211230/Ц</v>
          </cell>
          <cell r="C1637" t="str">
            <v>РОССИЯ, 141371, Московская обл, Сергиев Посад г, Хотьково г, Черняховского ул, дом 12, квартира 2</v>
          </cell>
          <cell r="D1637" t="str">
            <v>РОССИЯ, 394030, Воронежская обл, Воронеж г, Карла Маркса ул, дом 116А, квартира 344</v>
          </cell>
          <cell r="F1637" t="str">
            <v>Воронежская</v>
          </cell>
          <cell r="G1637">
            <v>0.66009259259259256</v>
          </cell>
          <cell r="H1637">
            <v>0.91009259259259256</v>
          </cell>
          <cell r="I1637" t="str">
            <v>ОК</v>
          </cell>
          <cell r="J1637" t="str">
            <v>ОК</v>
          </cell>
        </row>
        <row r="1638">
          <cell r="B1638" t="str">
            <v>В-28680/КЛ.Транш - 1</v>
          </cell>
          <cell r="C1638" t="str">
            <v>РОССИЯ, 141570, Московская обл, г Солнечногорск, п Жилино, д. 72</v>
          </cell>
          <cell r="D1638" t="str">
            <v>РОССИЯ, 141570, Московская обл, г Солнечногорск, п Жилино, д. 72</v>
          </cell>
          <cell r="F1638" t="str">
            <v>Московская</v>
          </cell>
          <cell r="G1638">
            <v>0.66009259259259256</v>
          </cell>
          <cell r="H1638">
            <v>0.91009259259259256</v>
          </cell>
          <cell r="I1638" t="str">
            <v>ОК</v>
          </cell>
          <cell r="J1638" t="str">
            <v>ОК</v>
          </cell>
        </row>
        <row r="1639">
          <cell r="B1639" t="str">
            <v>В-05772/КЛ.Транш - 1</v>
          </cell>
          <cell r="C1639" t="str">
            <v>РОССИЯ, 117042, Москва г, Витте аллея, дом 8, квартира 28</v>
          </cell>
          <cell r="D1639" t="str">
            <v>РОССИЯ, 117042, Москва г, Витте аллея, дом 8, квартира 28</v>
          </cell>
          <cell r="F1639" t="str">
            <v>Москва</v>
          </cell>
          <cell r="G1639">
            <v>0.66009259259259256</v>
          </cell>
          <cell r="H1639">
            <v>0.91009259259259256</v>
          </cell>
          <cell r="I1639" t="str">
            <v>ОК</v>
          </cell>
          <cell r="J1639" t="str">
            <v>ОК</v>
          </cell>
        </row>
        <row r="1640">
          <cell r="B1640" t="str">
            <v>В-19329/КЛ.Транш - 1_В-20211230/Ц</v>
          </cell>
          <cell r="C1640" t="str">
            <v>РОССИЯ, 214034, Смоленская обл, г Смоленск, ул Минская, д. 3, кв. 18</v>
          </cell>
          <cell r="D1640" t="str">
            <v>РОССИЯ, 144010, Московская обл, г. Электросталь, ул Ялагина, д. 15а, кв. 85</v>
          </cell>
          <cell r="F1640" t="str">
            <v>Московская</v>
          </cell>
          <cell r="G1640">
            <v>0.66009259259259256</v>
          </cell>
          <cell r="H1640">
            <v>0.91009259259259256</v>
          </cell>
          <cell r="I1640" t="str">
            <v>ОК</v>
          </cell>
          <cell r="J1640" t="str">
            <v>ОК</v>
          </cell>
        </row>
        <row r="1641">
          <cell r="B1641" t="str">
            <v>В-22246/КЛ.Транш - 3</v>
          </cell>
          <cell r="C1641" t="str">
            <v>РОССИЯ, 141069, Московская обл, г Королёв, мкр Первомайский, ул Кирова, д. 87, кв. 1 комн. 4</v>
          </cell>
          <cell r="D1641" t="str">
            <v>РОССИЯ, 141011, Московская обл, г Мытищи, ул 2-я Парковая, д. 9А</v>
          </cell>
          <cell r="F1641" t="str">
            <v>Московская</v>
          </cell>
          <cell r="G1641">
            <v>0.66009259259259256</v>
          </cell>
          <cell r="H1641">
            <v>0.91009259259259256</v>
          </cell>
          <cell r="I1641" t="str">
            <v>ОК</v>
          </cell>
          <cell r="J1641" t="str">
            <v>ОК</v>
          </cell>
        </row>
        <row r="1642">
          <cell r="B1642" t="str">
            <v>В-28643/АЗ</v>
          </cell>
          <cell r="C1642" t="str">
            <v>РОССИЯ, 119270, Москва г, ул 3-я Фрунзенская, д. 9, кв. 260/261</v>
          </cell>
          <cell r="D1642" t="str">
            <v>РОССИЯ, 119270, Москва г, ул 3-я Фрунзенская, д. 9, кв. 260/261</v>
          </cell>
          <cell r="F1642" t="str">
            <v>Москва</v>
          </cell>
          <cell r="G1642">
            <v>0.66009259259259256</v>
          </cell>
          <cell r="H1642">
            <v>0.91009259259259256</v>
          </cell>
          <cell r="I1642" t="str">
            <v>ОК</v>
          </cell>
          <cell r="J1642" t="str">
            <v>ОК</v>
          </cell>
        </row>
        <row r="1643">
          <cell r="B1643" t="str">
            <v>В-26449/АЗ</v>
          </cell>
          <cell r="C1643" t="str">
            <v>РОССИЯ, 193312, Санкт-Петербург г, пр-кт Солидарности, д. 3, к. 1, литера А, кв. 225</v>
          </cell>
          <cell r="D1643" t="str">
            <v>РОССИЯ, 193312, Санкт-Петербург г, Солидарности пр-кт, дом № 3, корпус 1, литер А, квартира 225</v>
          </cell>
          <cell r="F1643" t="str">
            <v>Москва</v>
          </cell>
          <cell r="G1643">
            <v>0.66009259259259256</v>
          </cell>
          <cell r="H1643">
            <v>0.91009259259259256</v>
          </cell>
          <cell r="I1643" t="str">
            <v>ОК</v>
          </cell>
          <cell r="J1643" t="str">
            <v>ОК</v>
          </cell>
        </row>
        <row r="1644">
          <cell r="B1644" t="str">
            <v>В-09719/КЛ.Транш - 1</v>
          </cell>
          <cell r="C1644" t="str">
            <v>РОССИЯ, 618554, Пермский край, Соликамск г, Трудовая ул, дом 32</v>
          </cell>
          <cell r="D1644" t="str">
            <v>РОССИЯ, 350024, Краснодарский край, Краснодар г, Московская ул, дом 129, квартира 192</v>
          </cell>
          <cell r="F1644" t="str">
            <v>Краснодарский</v>
          </cell>
          <cell r="G1644">
            <v>0.66009259259259256</v>
          </cell>
          <cell r="H1644">
            <v>0.91009259259259256</v>
          </cell>
          <cell r="I1644" t="str">
            <v>ОК</v>
          </cell>
          <cell r="J1644" t="str">
            <v>ОК</v>
          </cell>
        </row>
        <row r="1645">
          <cell r="B1645" t="str">
            <v>А-10090/КЭ.Транш - 2</v>
          </cell>
          <cell r="C1645" t="str">
            <v>195248, Санкт-Петербург г, Дегтярёва ул, дом № 4, литер А, офис 423</v>
          </cell>
          <cell r="F1645" t="str">
            <v>Москва</v>
          </cell>
          <cell r="G1645">
            <v>0.66009259259259256</v>
          </cell>
          <cell r="H1645">
            <v>0.91009259259259256</v>
          </cell>
          <cell r="I1645" t="str">
            <v>ОК</v>
          </cell>
          <cell r="J1645" t="str">
            <v>ОК</v>
          </cell>
        </row>
        <row r="1646">
          <cell r="B1646" t="str">
            <v>В-00003/КЭ.Транш - 1_А-20210929/Ц</v>
          </cell>
          <cell r="C1646" t="str">
            <v>105066, Москва г, Нижняя Красносельская ул, дом 35, строение 50, этаж 1, комната 1Г, офис 61</v>
          </cell>
          <cell r="F1646" t="str">
            <v>Москва</v>
          </cell>
          <cell r="G1646">
            <v>0.66009259259259256</v>
          </cell>
          <cell r="H1646">
            <v>0.91009259259259256</v>
          </cell>
          <cell r="I1646" t="str">
            <v>ОК</v>
          </cell>
          <cell r="J1646" t="str">
            <v>ОК</v>
          </cell>
        </row>
        <row r="1647">
          <cell r="B1647" t="str">
            <v>В-00449/КЛ.Транш - 1</v>
          </cell>
          <cell r="C1647" t="str">
            <v>РОССИЯ, 143910, Московская обл, Балашиха г, Крупешина ул, дом 1, квартира общ</v>
          </cell>
          <cell r="D1647" t="str">
            <v>РОССИЯ, 143910, Московская обл, Балашиха г, Крупешина ул, дом 1, квартира общ</v>
          </cell>
          <cell r="F1647" t="str">
            <v>Московская</v>
          </cell>
          <cell r="G1647">
            <v>0.66009259259259256</v>
          </cell>
          <cell r="H1647">
            <v>0.91009259259259256</v>
          </cell>
          <cell r="I1647" t="str">
            <v>ОК</v>
          </cell>
          <cell r="J1647" t="str">
            <v>ОК</v>
          </cell>
        </row>
        <row r="1648">
          <cell r="B1648" t="str">
            <v>В-18414/КЛ.Транш - 1</v>
          </cell>
          <cell r="C1648" t="str">
            <v>РОССИЯ, 462428, Оренбургская обл, г Орск, ул Машиностроителей, д. 6, кв. 8</v>
          </cell>
          <cell r="D1648" t="str">
            <v>РОССИЯ, 462428, Оренбургская обл, г Орск, ул Машиностроителей, д. 6, кв. 8</v>
          </cell>
          <cell r="F1648" t="str">
            <v>Оренбургская</v>
          </cell>
          <cell r="G1648">
            <v>0.66009259259259256</v>
          </cell>
          <cell r="H1648">
            <v>0.99342592592592593</v>
          </cell>
          <cell r="I1648" t="str">
            <v>поздно</v>
          </cell>
          <cell r="J1648" t="str">
            <v>ОК</v>
          </cell>
        </row>
        <row r="1649">
          <cell r="B1649" t="str">
            <v>В-18414/КЛ.Транш - 2</v>
          </cell>
          <cell r="C1649" t="str">
            <v>РОССИЯ, 462428, Оренбургская обл, г Орск, ул Машиностроителей, д. 6, кв. 8</v>
          </cell>
          <cell r="D1649" t="str">
            <v>РОССИЯ, 462428, Оренбургская обл, г Орск, ул Машиностроителей, д. 6, кв. 8</v>
          </cell>
          <cell r="F1649" t="str">
            <v>Оренбургская</v>
          </cell>
          <cell r="G1649">
            <v>0.66009259259259256</v>
          </cell>
          <cell r="H1649">
            <v>0.99342592592592593</v>
          </cell>
          <cell r="I1649" t="str">
            <v>поздно</v>
          </cell>
          <cell r="J1649" t="str">
            <v>ОК</v>
          </cell>
        </row>
        <row r="1650">
          <cell r="B1650" t="str">
            <v>В-19285/КЛ.Транш - 1</v>
          </cell>
          <cell r="C1650" t="str">
            <v>РОССИЯ, 140241, Московская обл, г Воскресенск, рп Фосфоритный, ул Сосновая, д. 1</v>
          </cell>
          <cell r="D1650" t="str">
            <v>РОССИЯ, 140207, Московская обл, г Воскресенск, тер ДТСН Малинки, д. 9</v>
          </cell>
          <cell r="F1650" t="str">
            <v>Московская</v>
          </cell>
          <cell r="G1650">
            <v>0.66009259259259256</v>
          </cell>
          <cell r="H1650">
            <v>0.91009259259259256</v>
          </cell>
          <cell r="I1650" t="str">
            <v>ОК</v>
          </cell>
          <cell r="J1650" t="str">
            <v>ОК</v>
          </cell>
        </row>
        <row r="1651">
          <cell r="B1651" t="str">
            <v>В-00439/КЛ.Транш - 1</v>
          </cell>
          <cell r="C1651" t="str">
            <v>РОССИЯ, 127349, Москва г, Шенкурский проезд, дом 8, квартира 217</v>
          </cell>
          <cell r="D1651" t="str">
            <v>РОССИЯ, 127349, Москва г, Шенкурский проезд, дом 8, квартира 217</v>
          </cell>
          <cell r="F1651" t="str">
            <v>Москва</v>
          </cell>
          <cell r="G1651">
            <v>0.66009259259259256</v>
          </cell>
          <cell r="H1651">
            <v>0.91009259259259256</v>
          </cell>
          <cell r="I1651" t="str">
            <v>ОК</v>
          </cell>
          <cell r="J1651" t="str">
            <v>ОК</v>
          </cell>
        </row>
        <row r="1652">
          <cell r="B1652" t="str">
            <v>В-00439/КЛ.Транш - 2</v>
          </cell>
          <cell r="C1652" t="str">
            <v>РОССИЯ, 127349, Москва г, Шенкурский проезд, дом 8, квартира 217</v>
          </cell>
          <cell r="D1652" t="str">
            <v>РОССИЯ, 127349, Москва г, Шенкурский проезд, дом 8, квартира 217</v>
          </cell>
          <cell r="F1652" t="str">
            <v>Москва</v>
          </cell>
          <cell r="G1652">
            <v>0.66009259259259256</v>
          </cell>
          <cell r="H1652">
            <v>0.91009259259259256</v>
          </cell>
          <cell r="I1652" t="str">
            <v>ОК</v>
          </cell>
          <cell r="J1652" t="str">
            <v>ОК</v>
          </cell>
        </row>
        <row r="1653">
          <cell r="B1653" t="str">
            <v>А-04028/АЗ</v>
          </cell>
          <cell r="C1653" t="str">
            <v>РОССИЯ, 198205, Санкт-Петербург г, Партизана Германа ул, дом № 14/117, квартира 388</v>
          </cell>
          <cell r="D1653" t="str">
            <v>РОССИЯ, 198205, Санкт-Петербург г, Партизана Германа ул, дом № 14/117, квартира 388</v>
          </cell>
          <cell r="F1653" t="str">
            <v>Москва</v>
          </cell>
          <cell r="G1653">
            <v>0.66009259259259256</v>
          </cell>
          <cell r="H1653">
            <v>0.91009259259259256</v>
          </cell>
          <cell r="I1653" t="str">
            <v>ОК</v>
          </cell>
          <cell r="J1653" t="str">
            <v>ОК</v>
          </cell>
        </row>
        <row r="1654">
          <cell r="B1654" t="str">
            <v>В-14913/КЛ.Транш - 1</v>
          </cell>
          <cell r="C1654" t="str">
            <v>РОССИЯ, 115088, Москва г, ул Шарикоподшипниковская, дом 28, квартира 174</v>
          </cell>
          <cell r="D1654" t="str">
            <v>РОССИЯ, 115088, Москва г, ул Шарикоподшипниковская, дом 28, квартира 174</v>
          </cell>
          <cell r="F1654" t="str">
            <v>Москва</v>
          </cell>
          <cell r="G1654">
            <v>0.66009259259259256</v>
          </cell>
          <cell r="H1654">
            <v>0.91009259259259256</v>
          </cell>
          <cell r="I1654" t="str">
            <v>ОК</v>
          </cell>
          <cell r="J1654" t="str">
            <v>ОК</v>
          </cell>
        </row>
        <row r="1655">
          <cell r="B1655" t="str">
            <v>В-13740/КЛ.Транш - 1</v>
          </cell>
          <cell r="C1655" t="str">
            <v>РОССИЯ, 127282, Москва г, Полярная ул, дом 52, корпус 3, квартира кв 428</v>
          </cell>
          <cell r="D1655" t="str">
            <v>РОССИЯ, 127282, Москва г, Полярная ул, дом 52, корпус 3, квартира кв 428</v>
          </cell>
          <cell r="F1655" t="str">
            <v>Москва</v>
          </cell>
          <cell r="G1655">
            <v>0.66009259259259256</v>
          </cell>
          <cell r="H1655">
            <v>0.91009259259259256</v>
          </cell>
          <cell r="I1655" t="str">
            <v>ОК</v>
          </cell>
          <cell r="J1655" t="str">
            <v>ОК</v>
          </cell>
        </row>
        <row r="1656">
          <cell r="B1656" t="str">
            <v>В-15171/КЛ.Транш - 1</v>
          </cell>
          <cell r="C1656" t="str">
            <v>РОССИЯ, 111555, Москва г, Свободный пр-кт, дом 11, корпус 4, квартира 658</v>
          </cell>
          <cell r="D1656" t="str">
            <v>РОССИЯ, 111555, Москва г, Свободный пр-кт, дом 11, корпус 4, квартира 658</v>
          </cell>
          <cell r="F1656" t="str">
            <v>Москва</v>
          </cell>
          <cell r="G1656">
            <v>0.66009259259259256</v>
          </cell>
          <cell r="H1656">
            <v>0.91009259259259256</v>
          </cell>
          <cell r="I1656" t="str">
            <v>ОК</v>
          </cell>
          <cell r="J1656" t="str">
            <v>ОК</v>
          </cell>
        </row>
        <row r="1657">
          <cell r="B1657" t="str">
            <v>А-05271/АЗ</v>
          </cell>
          <cell r="C1657" t="str">
            <v>РОССИЯ, 141303, Московская обл, Сергиево-Посадский р-н, Сергиев Посад г, Глинки ул, дом № 8А, квартира 192</v>
          </cell>
          <cell r="D1657" t="str">
            <v>РОССИЯ, 141303, Московская обл, Сергиево-Посадский р-н, Сергиев Посад г, Глинки ул, дом № 8А, квартира 192</v>
          </cell>
          <cell r="F1657" t="str">
            <v>Московская</v>
          </cell>
          <cell r="G1657">
            <v>0.66009259259259256</v>
          </cell>
          <cell r="H1657">
            <v>0.91009259259259256</v>
          </cell>
          <cell r="I1657" t="str">
            <v>ОК</v>
          </cell>
          <cell r="J1657" t="str">
            <v>ОК</v>
          </cell>
        </row>
        <row r="1658">
          <cell r="B1658" t="str">
            <v>В-20623/КЛ.Транш - 1</v>
          </cell>
          <cell r="C1658" t="str">
            <v>РОССИЯ, 194291, Санкт-Петербург г, вн.тер.г. муниципальный округ Сосновское, ул Сантьяго-де-Куба, д. 6, к. 2, литера А, кв. 105</v>
          </cell>
          <cell r="D1658" t="str">
            <v>РОССИЯ, 194291, Санкт-Петербург г, вн.тер.г. муниципальный округ Сосновское, ул Сантьяго-де-Куба, д. 6, к. 2, литера А, кв. 105</v>
          </cell>
          <cell r="F1658" t="str">
            <v>Москва</v>
          </cell>
          <cell r="G1658">
            <v>0.66009259259259256</v>
          </cell>
          <cell r="H1658">
            <v>0.91009259259259256</v>
          </cell>
          <cell r="I1658" t="str">
            <v>ОК</v>
          </cell>
          <cell r="J1658" t="str">
            <v>ОК</v>
          </cell>
        </row>
        <row r="1659">
          <cell r="B1659" t="str">
            <v>В-17423/КЛ.Транш - 1</v>
          </cell>
          <cell r="C1659" t="str">
            <v>РОССИЯ, 682460, Хабаровский край, г Николаевск-на-Амуре, ул Орлова, д. 9Б</v>
          </cell>
          <cell r="D1659" t="str">
            <v>РОССИЯ, 682460, Хабаровский край, г Николаевск-на-Амуре, ул Орлова, д. 9Б</v>
          </cell>
          <cell r="F1659" t="str">
            <v>Хабаровский</v>
          </cell>
          <cell r="G1659">
            <v>0.66009259259259256</v>
          </cell>
          <cell r="H1659">
            <v>0.20175925925925919</v>
          </cell>
          <cell r="I1659" t="str">
            <v>поздно</v>
          </cell>
          <cell r="J1659" t="str">
            <v>поздно</v>
          </cell>
        </row>
        <row r="1660">
          <cell r="B1660" t="str">
            <v>В-28889/КЛ.Транш - 1</v>
          </cell>
          <cell r="C1660" t="str">
            <v>РОССИЯ, 173014, Новгородская обл, г.о. Великий Новгород, г Великий Новгород, ул Зелёная, д. 8, кв. 53</v>
          </cell>
          <cell r="D1660" t="str">
            <v>РОССИЯ, 173014, Новгородская обл, г.о. Великий Новгород, г Великий Новгород, ул Зелёная, д. 8, кв. 53</v>
          </cell>
          <cell r="F1660" t="str">
            <v>Новгородская</v>
          </cell>
          <cell r="G1660">
            <v>0.66009259259259256</v>
          </cell>
          <cell r="H1660">
            <v>0.91009259259259256</v>
          </cell>
          <cell r="I1660" t="str">
            <v>ОК</v>
          </cell>
          <cell r="J1660" t="str">
            <v>ОК</v>
          </cell>
        </row>
        <row r="1661">
          <cell r="B1661" t="str">
            <v>В-00291/АЗ</v>
          </cell>
          <cell r="C1661" t="str">
            <v>РОССИЯ, 143180, Московская обл, Звенигород г, Игнатьевская ул, дом 2а, корпус 3, квартира 78</v>
          </cell>
          <cell r="D1661" t="str">
            <v>РОССИЯ, 143185, Московская обл, Звенигород г, Супонево мкр, дом 12, квартира 99</v>
          </cell>
          <cell r="F1661" t="str">
            <v>Московская</v>
          </cell>
          <cell r="G1661">
            <v>0.66009259259259256</v>
          </cell>
          <cell r="H1661">
            <v>0.91009259259259256</v>
          </cell>
          <cell r="I1661" t="str">
            <v>ОК</v>
          </cell>
          <cell r="J1661" t="str">
            <v>ОК</v>
          </cell>
        </row>
        <row r="1662">
          <cell r="B1662" t="str">
            <v>В-00726/АЗ</v>
          </cell>
          <cell r="C1662" t="str">
            <v>РОССИЯ, 143180, Московская обл, Звенигород г, Игнатьевская ул, дом 2а, корпус 3, квартира 78</v>
          </cell>
          <cell r="D1662" t="str">
            <v>РОССИЯ, 143185, Московская обл, Звенигород г, Супонево мкр, дом 12, квартира 99</v>
          </cell>
          <cell r="F1662" t="str">
            <v>Московская</v>
          </cell>
          <cell r="G1662">
            <v>0.66009259259259256</v>
          </cell>
          <cell r="H1662">
            <v>0.91009259259259256</v>
          </cell>
          <cell r="I1662" t="str">
            <v>ОК</v>
          </cell>
          <cell r="J1662" t="str">
            <v>ОК</v>
          </cell>
        </row>
        <row r="1663">
          <cell r="B1663" t="str">
            <v>В-12540/КЛ.Транш - 1</v>
          </cell>
          <cell r="C1663" t="str">
            <v>РОССИЯ, 141109, Московская обл, Щёлково г, Папанина ул, дом 3А</v>
          </cell>
          <cell r="D1663" t="str">
            <v>РОССИЯ, 141109, Московская обл, Щёлково г, Папанина ул, дом 3А</v>
          </cell>
          <cell r="F1663" t="str">
            <v>Московская</v>
          </cell>
          <cell r="G1663">
            <v>0.66009259259259256</v>
          </cell>
          <cell r="H1663">
            <v>0.91009259259259256</v>
          </cell>
          <cell r="I1663" t="str">
            <v>ОК</v>
          </cell>
          <cell r="J1663" t="str">
            <v>ОК</v>
          </cell>
        </row>
        <row r="1664">
          <cell r="B1664" t="str">
            <v>А-00403/КЭ.Транш - 1</v>
          </cell>
          <cell r="C1664" t="str">
            <v>105118, Москва г, Буракова ул, дом 29, этаж 4, помещение 429</v>
          </cell>
          <cell r="F1664" t="str">
            <v>Москва</v>
          </cell>
          <cell r="G1664">
            <v>0.66009259259259256</v>
          </cell>
          <cell r="H1664">
            <v>0.91009259259259256</v>
          </cell>
          <cell r="I1664" t="str">
            <v>ОК</v>
          </cell>
          <cell r="J1664" t="str">
            <v>ОК</v>
          </cell>
        </row>
        <row r="1665">
          <cell r="B1665" t="str">
            <v>В-25211/АЗ</v>
          </cell>
          <cell r="C1665" t="str">
            <v>РОССИЯ, 192289, Санкт-Петербург г, ул Малая Карпатская, д. 17, литера А, кв. 208</v>
          </cell>
          <cell r="D1665" t="str">
            <v>РОССИЯ, 192289, Санкт-Петербург г, ул Малая Карпатская, д. 17, литера А, кв. 208</v>
          </cell>
          <cell r="F1665" t="str">
            <v>Москва</v>
          </cell>
          <cell r="G1665">
            <v>0.66009259259259256</v>
          </cell>
          <cell r="H1665">
            <v>0.91009259259259256</v>
          </cell>
          <cell r="I1665" t="str">
            <v>ОК</v>
          </cell>
          <cell r="J1665" t="str">
            <v>ОК</v>
          </cell>
        </row>
        <row r="1666">
          <cell r="B1666" t="str">
            <v>В-00463/КЛ.Транш - 1</v>
          </cell>
          <cell r="C1666" t="str">
            <v>РОССИЯ, 141435, Московская обл, Химки г, Новогорск мкр, дом 1, квартира 60</v>
          </cell>
          <cell r="D1666" t="str">
            <v>РОССИЯ, 141435, Московская обл, Химки г, Новогорск мкр, дом 1, квартира 60</v>
          </cell>
          <cell r="F1666" t="str">
            <v>Московская</v>
          </cell>
          <cell r="G1666">
            <v>0.66009259259259256</v>
          </cell>
          <cell r="H1666">
            <v>0.91009259259259256</v>
          </cell>
          <cell r="I1666" t="str">
            <v>ОК</v>
          </cell>
          <cell r="J1666" t="str">
            <v>ОК</v>
          </cell>
        </row>
        <row r="1667">
          <cell r="B1667" t="str">
            <v>В-12791/КЛ.Транш - 4</v>
          </cell>
          <cell r="C1667" t="str">
            <v>РОССИЯ, 662602, Красноярский край, Минусинск г, Мира ул, дом 144</v>
          </cell>
          <cell r="D1667" t="str">
            <v>РОССИЯ, 141006, Московская обл, Мытищи г, 1-й Рупасовский пер, дом 17А, квартира 43</v>
          </cell>
          <cell r="F1667" t="str">
            <v>Московская</v>
          </cell>
          <cell r="G1667">
            <v>0.66009259259259256</v>
          </cell>
          <cell r="H1667">
            <v>0.91009259259259256</v>
          </cell>
          <cell r="I1667" t="str">
            <v>ОК</v>
          </cell>
          <cell r="J1667" t="str">
            <v>ОК</v>
          </cell>
        </row>
        <row r="1668">
          <cell r="B1668" t="str">
            <v>В-08065/КЛ.Транш - 1</v>
          </cell>
          <cell r="C1668" t="str">
            <v>РОССИЯ, 350004, Краснодарский край, Краснодар г, Минская ул, дом 118/5, квартира 7</v>
          </cell>
          <cell r="D1668" t="str">
            <v>РОССИЯ, 350005, Краснодарский край, Краснодар г, им. Александра Покрышкина ул, дом 2/2, квартира 79</v>
          </cell>
          <cell r="F1668" t="str">
            <v>Краснодарский</v>
          </cell>
          <cell r="G1668">
            <v>0.66009259259259256</v>
          </cell>
          <cell r="H1668">
            <v>0.91009259259259256</v>
          </cell>
          <cell r="I1668" t="str">
            <v>ОК</v>
          </cell>
          <cell r="J1668" t="str">
            <v>ОК</v>
          </cell>
        </row>
        <row r="1669">
          <cell r="B1669" t="str">
            <v>А-03756/АЗ</v>
          </cell>
          <cell r="C1669" t="str">
            <v>РОССИЯ, 192171, Санкт-Петербург г, Бабушкина ул, дом № 49, квартира 71</v>
          </cell>
          <cell r="D1669" t="str">
            <v>РОССИЯ, 192171, Санкт-Петербург г, Бабушкина ул, дом № 49, квартира 71</v>
          </cell>
          <cell r="F1669" t="str">
            <v>Москва</v>
          </cell>
          <cell r="G1669">
            <v>0.66009259259259256</v>
          </cell>
          <cell r="H1669">
            <v>0.91009259259259256</v>
          </cell>
          <cell r="I1669" t="str">
            <v>ОК</v>
          </cell>
          <cell r="J1669" t="str">
            <v>ОК</v>
          </cell>
        </row>
        <row r="1670">
          <cell r="B1670" t="str">
            <v>В-24909/АЗ</v>
          </cell>
          <cell r="C1670" t="str">
            <v>РОССИЯ, 192289, Санкт-Петербург г, ул Малая Карпатская, д. 21, литера А, кв. 76</v>
          </cell>
          <cell r="D1670" t="str">
            <v>РОССИЯ, 192289, Санкт-Петербург г, ул Малая Карпатская, д. 21, кв. 76</v>
          </cell>
          <cell r="F1670" t="str">
            <v>Москва</v>
          </cell>
          <cell r="G1670">
            <v>0.66009259259259256</v>
          </cell>
          <cell r="H1670">
            <v>0.91009259259259256</v>
          </cell>
          <cell r="I1670" t="str">
            <v>ОК</v>
          </cell>
          <cell r="J1670" t="str">
            <v>ОК</v>
          </cell>
        </row>
        <row r="1671">
          <cell r="B1671" t="str">
            <v>В-00608/АЗ</v>
          </cell>
          <cell r="C1671" t="str">
            <v>РОССИЯ, 117449, Москва г, Новочерёмушкинская ул, дом 8, квартира 231</v>
          </cell>
          <cell r="D1671" t="str">
            <v>РОССИЯ, 117449, Москва г, Новочерёмушкинская ул, дом 8, квартира 231</v>
          </cell>
          <cell r="F1671" t="str">
            <v>Москва</v>
          </cell>
          <cell r="G1671">
            <v>0.66009259259259256</v>
          </cell>
          <cell r="H1671">
            <v>0.91009259259259256</v>
          </cell>
          <cell r="I1671" t="str">
            <v>ОК</v>
          </cell>
          <cell r="J1671" t="str">
            <v>ОК</v>
          </cell>
        </row>
        <row r="1672">
          <cell r="B1672" t="str">
            <v>В-00932/АЗ</v>
          </cell>
          <cell r="C1672" t="str">
            <v>РОССИЯ, 117449, Москва г, Новочерёмушкинская ул, дом 8, квартира 231</v>
          </cell>
          <cell r="D1672" t="str">
            <v>РОССИЯ, 117449, Москва г, Новочерёмушкинская ул, дом 8, квартира 231</v>
          </cell>
          <cell r="F1672" t="str">
            <v>Москва</v>
          </cell>
          <cell r="G1672">
            <v>0.66009259259259256</v>
          </cell>
          <cell r="H1672">
            <v>0.91009259259259256</v>
          </cell>
          <cell r="I1672" t="str">
            <v>ОК</v>
          </cell>
          <cell r="J1672" t="str">
            <v>ОК</v>
          </cell>
        </row>
        <row r="1673">
          <cell r="B1673" t="str">
            <v>В-10466/КЛ.Транш - 1</v>
          </cell>
          <cell r="C1673" t="str">
            <v>РОССИЯ, 142712, Московская обл, Ленинский р-н, Белеутово д, Советская ул, дом № 17Б</v>
          </cell>
          <cell r="D1673" t="str">
            <v>РОССИЯ, 119192, Москва г, Столетова ул, дом 11, квартира 93</v>
          </cell>
          <cell r="F1673" t="str">
            <v>Москва</v>
          </cell>
          <cell r="G1673">
            <v>0.66009259259259256</v>
          </cell>
          <cell r="H1673">
            <v>0.91009259259259256</v>
          </cell>
          <cell r="I1673" t="str">
            <v>ОК</v>
          </cell>
          <cell r="J1673" t="str">
            <v>ОК</v>
          </cell>
        </row>
        <row r="1674">
          <cell r="B1674" t="str">
            <v>В-12693/КЛ.Транш - 2</v>
          </cell>
          <cell r="C1674" t="str">
            <v>РОССИЯ, Краснодарский край, г Сочи, ул Цимлянская, д. 21А</v>
          </cell>
          <cell r="D1674" t="str">
            <v>РОССИЯ, 354340, Краснодарский край, Сочи г, Цимлянская ул, дом 21А</v>
          </cell>
          <cell r="F1674" t="str">
            <v>Краснодарский</v>
          </cell>
          <cell r="G1674">
            <v>0.66009259259259256</v>
          </cell>
          <cell r="H1674">
            <v>0.91009259259259256</v>
          </cell>
          <cell r="I1674" t="str">
            <v>ОК</v>
          </cell>
          <cell r="J1674" t="str">
            <v>ОК</v>
          </cell>
        </row>
        <row r="1675">
          <cell r="B1675" t="str">
            <v>В-12693/КЛ.Транш - 3</v>
          </cell>
          <cell r="C1675" t="str">
            <v>РОССИЯ, Краснодарский край, г Сочи, ул Цимлянская, д. 21А</v>
          </cell>
          <cell r="D1675" t="str">
            <v>РОССИЯ, 354340, Краснодарский край, Сочи г, Цимлянская ул, дом 21А</v>
          </cell>
          <cell r="F1675" t="str">
            <v>Краснодарский</v>
          </cell>
          <cell r="G1675">
            <v>0.66009259259259256</v>
          </cell>
          <cell r="H1675">
            <v>0.91009259259259256</v>
          </cell>
          <cell r="I1675" t="str">
            <v>ОК</v>
          </cell>
          <cell r="J1675" t="str">
            <v>ОК</v>
          </cell>
        </row>
        <row r="1676">
          <cell r="B1676" t="str">
            <v>В-12693/КЛ.Транш - 4</v>
          </cell>
          <cell r="C1676" t="str">
            <v>РОССИЯ, Краснодарский край, г Сочи, ул Цимлянская, д. 21А</v>
          </cell>
          <cell r="D1676" t="str">
            <v>РОССИЯ, 354340, Краснодарский край, Сочи г, Цимлянская ул, дом 21А</v>
          </cell>
          <cell r="F1676" t="str">
            <v>Краснодарский</v>
          </cell>
          <cell r="G1676">
            <v>0.66009259259259256</v>
          </cell>
          <cell r="H1676">
            <v>0.91009259259259256</v>
          </cell>
          <cell r="I1676" t="str">
            <v>ОК</v>
          </cell>
          <cell r="J1676" t="str">
            <v>ОК</v>
          </cell>
        </row>
        <row r="1677">
          <cell r="B1677" t="str">
            <v>А-00446/КЭ.Транш - 1</v>
          </cell>
          <cell r="C1677" t="str">
            <v>123022, Москва г, Звенигородская 2-я ул, дом № 13, строение 17, этаж 2, помещение I, комната 25</v>
          </cell>
          <cell r="F1677" t="str">
            <v>Москва</v>
          </cell>
          <cell r="G1677">
            <v>0.66009259259259256</v>
          </cell>
          <cell r="H1677">
            <v>0.91009259259259256</v>
          </cell>
          <cell r="I1677" t="str">
            <v>ОК</v>
          </cell>
          <cell r="J1677" t="str">
            <v>ОК</v>
          </cell>
        </row>
        <row r="1678">
          <cell r="B1678" t="str">
            <v>А-00446/КЭ.Транш - 2</v>
          </cell>
          <cell r="C1678" t="str">
            <v>123022, Москва г, Звенигородская 2-я ул, дом № 13, строение 17, этаж 2, помещение I, комната 25</v>
          </cell>
          <cell r="F1678" t="str">
            <v>Москва</v>
          </cell>
          <cell r="G1678">
            <v>0.66009259259259256</v>
          </cell>
          <cell r="H1678">
            <v>0.91009259259259256</v>
          </cell>
          <cell r="I1678" t="str">
            <v>ОК</v>
          </cell>
          <cell r="J1678" t="str">
            <v>ОК</v>
          </cell>
        </row>
        <row r="1679">
          <cell r="B1679" t="str">
            <v>В-21972/КЛ.Транш - 2</v>
          </cell>
          <cell r="C1679" t="str">
            <v>РОССИЯ, 352732, Краснодарский край, Тимашевский р-н, Ленинский х, Центральная ул, дом 194</v>
          </cell>
          <cell r="D1679" t="str">
            <v>РОССИЯ, 352732, Краснодарский край, Тимашевский р-н, Ленинский х, Центральная ул, дом 194</v>
          </cell>
          <cell r="F1679" t="str">
            <v>Краснодарский</v>
          </cell>
          <cell r="G1679">
            <v>0.66009259259259256</v>
          </cell>
          <cell r="H1679">
            <v>0.91009259259259256</v>
          </cell>
          <cell r="I1679" t="str">
            <v>ОК</v>
          </cell>
          <cell r="J1679" t="str">
            <v>ОК</v>
          </cell>
        </row>
        <row r="1680">
          <cell r="B1680" t="str">
            <v>В-26592/КЛ.Транш - 1</v>
          </cell>
          <cell r="C1680" t="str">
            <v>РОССИЯ, 353960, Краснодарский край, г Новороссийск, с Цемдолина, ул Золотая рыбка, д. 46</v>
          </cell>
          <cell r="D1680" t="str">
            <v>РОССИЯ, 353960, Краснодарский край, г Новороссийск, с Цемдолина, ул Золотая рыбка, д. 46</v>
          </cell>
          <cell r="F1680" t="str">
            <v>Краснодарский</v>
          </cell>
          <cell r="G1680">
            <v>0.66009259259259256</v>
          </cell>
          <cell r="H1680">
            <v>0.91009259259259256</v>
          </cell>
          <cell r="I1680" t="str">
            <v>ОК</v>
          </cell>
          <cell r="J1680" t="str">
            <v>ОК</v>
          </cell>
        </row>
        <row r="1681">
          <cell r="B1681" t="str">
            <v>В-25306/КЛ.Транш - 1</v>
          </cell>
          <cell r="C1681" t="str">
            <v>РОССИЯ, 354340, Краснодарский край, г Сочи, р-н Адлерский, ул Гастелло, д. 28Б, кв. 15</v>
          </cell>
          <cell r="D1681" t="str">
            <v>РОССИЯ, 354340, Краснодарский край, г Сочи, р-н Адлерский, ул Гастелло, д. 28Б, кв. 15</v>
          </cell>
          <cell r="F1681" t="str">
            <v>Краснодарский</v>
          </cell>
          <cell r="G1681">
            <v>0.66009259259259256</v>
          </cell>
          <cell r="H1681">
            <v>0.91009259259259256</v>
          </cell>
          <cell r="I1681" t="str">
            <v>ОК</v>
          </cell>
          <cell r="J1681" t="str">
            <v>ОК</v>
          </cell>
        </row>
        <row r="1682">
          <cell r="B1682" t="str">
            <v>В-19355/КЛ.Транш - 1</v>
          </cell>
          <cell r="C1682" t="str">
            <v>РОССИЯ, 144006, Московская обл, г. Электросталь, пр-кт Ленина, д. 1а, кв. 43</v>
          </cell>
          <cell r="D1682" t="str">
            <v>РОССИЯ, 144006, Московская обл, г. Электросталь, пр-кт Ленина, д. 1а, кв. 43</v>
          </cell>
          <cell r="F1682" t="str">
            <v>Московская</v>
          </cell>
          <cell r="G1682">
            <v>0.66009259259259256</v>
          </cell>
          <cell r="H1682">
            <v>0.91009259259259256</v>
          </cell>
          <cell r="I1682" t="str">
            <v>ОК</v>
          </cell>
          <cell r="J1682" t="str">
            <v>ОК</v>
          </cell>
        </row>
        <row r="1683">
          <cell r="B1683" t="str">
            <v>В-20449/КЛ.Транш - 1</v>
          </cell>
          <cell r="C1683" t="str">
            <v>РОССИЯ, 109469, Москва г, б-р Перервинский, д. 22, к. 3, кв. 44</v>
          </cell>
          <cell r="D1683" t="str">
            <v>РОССИЯ, 109469, Москва г, б-р Перервинский, д. 22, к. 3, кв. 44</v>
          </cell>
          <cell r="F1683" t="str">
            <v>Москва</v>
          </cell>
          <cell r="G1683">
            <v>0.66009259259259256</v>
          </cell>
          <cell r="H1683">
            <v>0.91009259259259256</v>
          </cell>
          <cell r="I1683" t="str">
            <v>ОК</v>
          </cell>
          <cell r="J1683" t="str">
            <v>ОК</v>
          </cell>
        </row>
        <row r="1684">
          <cell r="B1684" t="str">
            <v>В-24172/АЗ</v>
          </cell>
          <cell r="C1684" t="str">
            <v>РОССИЯ, 119361, Москва г, Большая Очаковская ул, дом 10, корпус 1, квартира 120</v>
          </cell>
          <cell r="D1684" t="str">
            <v>РОССИЯ, 119361, Москва г, Большая Очаковская ул, дом 10, корпус 1, квартира 120</v>
          </cell>
          <cell r="F1684" t="str">
            <v>Москва</v>
          </cell>
          <cell r="G1684">
            <v>0.66009259259259256</v>
          </cell>
          <cell r="H1684">
            <v>0.91009259259259256</v>
          </cell>
          <cell r="I1684" t="str">
            <v>ОК</v>
          </cell>
          <cell r="J1684" t="str">
            <v>ОК</v>
          </cell>
        </row>
        <row r="1685">
          <cell r="B1685" t="str">
            <v>В-17752/КЛ.Транш - 1</v>
          </cell>
          <cell r="C1685" t="str">
            <v>РОССИЯ, 680045, Хабаровский край, г Хабаровск, ул Юности, д. 28, кв. 14</v>
          </cell>
          <cell r="D1685" t="str">
            <v>РОССИЯ, 680045, Хабаровский край, г Хабаровск, ул Юности, д. 28, кв. 14</v>
          </cell>
          <cell r="F1685" t="str">
            <v>Хабаровский</v>
          </cell>
          <cell r="G1685">
            <v>0.66009259259259256</v>
          </cell>
          <cell r="H1685">
            <v>0.20175925925925919</v>
          </cell>
          <cell r="I1685" t="str">
            <v>поздно</v>
          </cell>
          <cell r="J1685" t="str">
            <v>поздно</v>
          </cell>
        </row>
        <row r="1686">
          <cell r="B1686" t="str">
            <v>В-17752/КЛ.Транш - 2</v>
          </cell>
          <cell r="C1686" t="str">
            <v>РОССИЯ, 680045, Хабаровский край, г Хабаровск, ул Юности, д. 28, кв. 14</v>
          </cell>
          <cell r="D1686" t="str">
            <v>РОССИЯ, 680045, Хабаровский край, г Хабаровск, ул Юности, д. 28, кв. 14</v>
          </cell>
          <cell r="F1686" t="str">
            <v>Хабаровский</v>
          </cell>
          <cell r="G1686">
            <v>0.66009259259259256</v>
          </cell>
          <cell r="H1686">
            <v>0.20175925925925919</v>
          </cell>
          <cell r="I1686" t="str">
            <v>поздно</v>
          </cell>
          <cell r="J1686" t="str">
            <v>поздно</v>
          </cell>
        </row>
        <row r="1687">
          <cell r="B1687" t="str">
            <v>В-28376/КЛ.Транш - 1</v>
          </cell>
          <cell r="C1687" t="str">
            <v>РОССИЯ, 614068, Пермский край, г Пермь, ул Крылова, д. 18, кв. 207</v>
          </cell>
          <cell r="D1687" t="str">
            <v>РОССИЯ, 614068, Пермский край, г Пермь, ул Крылова, д. 18, кв. 207</v>
          </cell>
          <cell r="F1687" t="str">
            <v>Пермский</v>
          </cell>
          <cell r="G1687">
            <v>0.66009259259259256</v>
          </cell>
          <cell r="H1687">
            <v>0.99342592592592593</v>
          </cell>
          <cell r="I1687" t="str">
            <v>поздно</v>
          </cell>
          <cell r="J1687" t="str">
            <v>ОК</v>
          </cell>
        </row>
        <row r="1688">
          <cell r="B1688" t="str">
            <v>В-03365/КЛ.Транш - 2</v>
          </cell>
          <cell r="C1688" t="str">
            <v>РОССИЯ, 195067, Санкт-Петербург г, вн.тер.г. муниципальный округ Пискаревка, пр-кт Пискарёвский, д. 52, литера А, кв. 505</v>
          </cell>
          <cell r="D1688" t="str">
            <v>РОССИЯ, 195067, Санкт-Петербург г, Пискарёвский пр-кт, дом 52, квартира 505</v>
          </cell>
          <cell r="F1688" t="str">
            <v>Москва</v>
          </cell>
          <cell r="G1688">
            <v>0.66009259259259256</v>
          </cell>
          <cell r="H1688">
            <v>0.91009259259259256</v>
          </cell>
          <cell r="I1688" t="str">
            <v>ОК</v>
          </cell>
          <cell r="J1688" t="str">
            <v>ОК</v>
          </cell>
        </row>
        <row r="1689">
          <cell r="B1689" t="str">
            <v>В-03365/КЛ.Транш - 3</v>
          </cell>
          <cell r="C1689" t="str">
            <v>РОССИЯ, 195067, Санкт-Петербург г, вн.тер.г. муниципальный округ Пискаревка, пр-кт Пискарёвский, д. 52, литера А, кв. 505</v>
          </cell>
          <cell r="D1689" t="str">
            <v>РОССИЯ, 195067, Санкт-Петербург г, Пискарёвский пр-кт, дом 52, квартира 505</v>
          </cell>
          <cell r="F1689" t="str">
            <v>Москва</v>
          </cell>
          <cell r="G1689">
            <v>0.66009259259259256</v>
          </cell>
          <cell r="H1689">
            <v>0.91009259259259256</v>
          </cell>
          <cell r="I1689" t="str">
            <v>ОК</v>
          </cell>
          <cell r="J1689" t="str">
            <v>ОК</v>
          </cell>
        </row>
        <row r="1690">
          <cell r="B1690" t="str">
            <v>В-03365/КЛ.Транш - 4</v>
          </cell>
          <cell r="C1690" t="str">
            <v>РОССИЯ, 195067, Санкт-Петербург г, вн.тер.г. муниципальный округ Пискаревка, пр-кт Пискарёвский, д. 52, литера А, кв. 505</v>
          </cell>
          <cell r="D1690" t="str">
            <v>РОССИЯ, 195067, Санкт-Петербург г, Пискарёвский пр-кт, дом 52, квартира 505</v>
          </cell>
          <cell r="F1690" t="str">
            <v>Москва</v>
          </cell>
          <cell r="G1690">
            <v>0.66009259259259256</v>
          </cell>
          <cell r="H1690">
            <v>0.91009259259259256</v>
          </cell>
          <cell r="I1690" t="str">
            <v>ОК</v>
          </cell>
          <cell r="J1690" t="str">
            <v>ОК</v>
          </cell>
        </row>
        <row r="1691">
          <cell r="B1691" t="str">
            <v>В-03365/КЛ.Транш - 5</v>
          </cell>
          <cell r="C1691" t="str">
            <v>РОССИЯ, 195067, Санкт-Петербург г, вн.тер.г. муниципальный округ Пискаревка, пр-кт Пискарёвский, д. 52, литера А, кв. 505</v>
          </cell>
          <cell r="D1691" t="str">
            <v>РОССИЯ, 195067, Санкт-Петербург г, Пискарёвский пр-кт, дом 52, квартира 505</v>
          </cell>
          <cell r="F1691" t="str">
            <v>Москва</v>
          </cell>
          <cell r="G1691">
            <v>0.66009259259259256</v>
          </cell>
          <cell r="H1691">
            <v>0.91009259259259256</v>
          </cell>
          <cell r="I1691" t="str">
            <v>ОК</v>
          </cell>
          <cell r="J1691" t="str">
            <v>ОК</v>
          </cell>
        </row>
        <row r="1692">
          <cell r="B1692" t="str">
            <v>В-10026/КЭ.Транш - 1</v>
          </cell>
          <cell r="C1692" t="str">
            <v>160002, Вологодская Область, г.о. Город Вологда, г Вологда, ул Коничева, дом 28, помещение 3</v>
          </cell>
          <cell r="F1692" t="str">
            <v>Москва</v>
          </cell>
          <cell r="G1692">
            <v>0.66009259259259256</v>
          </cell>
          <cell r="H1692">
            <v>0.91009259259259256</v>
          </cell>
          <cell r="I1692" t="str">
            <v>ОК</v>
          </cell>
          <cell r="J1692" t="str">
            <v>ОК</v>
          </cell>
        </row>
        <row r="1693">
          <cell r="B1693" t="str">
            <v>В-20931/КЛ.Транш - 1</v>
          </cell>
          <cell r="C1693" t="str">
            <v>РОССИЯ, 188235, Ленинградская обл, р-н Лужский, г Луга, ул Ярославская, д. 64, кв. 3</v>
          </cell>
          <cell r="D1693" t="str">
            <v>РОССИЯ, 188238, Ленинградская обл, Лужский р-н, Луга г, Ярославская ул, дом № 64, квартира 3</v>
          </cell>
          <cell r="F1693" t="str">
            <v>Ленинградская</v>
          </cell>
          <cell r="G1693">
            <v>0.66009259259259256</v>
          </cell>
          <cell r="H1693">
            <v>0.91009259259259256</v>
          </cell>
          <cell r="I1693" t="str">
            <v>ОК</v>
          </cell>
          <cell r="J1693" t="str">
            <v>ОК</v>
          </cell>
        </row>
        <row r="1694">
          <cell r="B1694" t="str">
            <v>В-20931/КЛ.Транш - 2</v>
          </cell>
          <cell r="C1694" t="str">
            <v>РОССИЯ, 188235, Ленинградская обл, р-н Лужский, г Луга, ул Ярославская, д. 64, кв. 3</v>
          </cell>
          <cell r="D1694" t="str">
            <v>РОССИЯ, 188238, Ленинградская обл, Лужский р-н, Луга г, Ярославская ул, дом № 64, квартира 3</v>
          </cell>
          <cell r="F1694" t="str">
            <v>Ленинградская</v>
          </cell>
          <cell r="G1694">
            <v>0.66009259259259256</v>
          </cell>
          <cell r="H1694">
            <v>0.91009259259259256</v>
          </cell>
          <cell r="I1694" t="str">
            <v>ОК</v>
          </cell>
          <cell r="J1694" t="str">
            <v>ОК</v>
          </cell>
        </row>
        <row r="1695">
          <cell r="B1695" t="str">
            <v>В-00178/КЛ.Транш - 1</v>
          </cell>
          <cell r="C1695" t="str">
            <v>РОССИЯ, 430009, Мордовия респ, Саранск г, 70 лет Октября пр-кт, дом 61, корпус 3, квартира 21</v>
          </cell>
          <cell r="D1695" t="str">
            <v>РОССИЯ, 143010, Московская обл, Власиха п, Заозерная ул, дом 3, квартира 34</v>
          </cell>
          <cell r="F1695" t="str">
            <v>Московская</v>
          </cell>
          <cell r="G1695">
            <v>0.66009259259259256</v>
          </cell>
          <cell r="H1695">
            <v>0.91009259259259256</v>
          </cell>
          <cell r="I1695" t="str">
            <v>ОК</v>
          </cell>
          <cell r="J1695" t="str">
            <v>ОК</v>
          </cell>
        </row>
        <row r="1696">
          <cell r="B1696" t="str">
            <v>В-11830/КЛ.Транш - 1</v>
          </cell>
          <cell r="C1696" t="str">
            <v>РОССИЯ, 350080, Краснодарский край, Краснодар г, им. 30-й Иркутской Дивизии ул, дом 13, квартира 247</v>
          </cell>
          <cell r="D1696" t="str">
            <v>РОССИЯ, 350080, Краснодарский край, Краснодар г, им. 30-й Иркутской Дивизии ул, дом 13, квартира 247</v>
          </cell>
          <cell r="F1696" t="str">
            <v>Краснодарский</v>
          </cell>
          <cell r="G1696">
            <v>0.66009259259259256</v>
          </cell>
          <cell r="H1696">
            <v>0.91009259259259256</v>
          </cell>
          <cell r="I1696" t="str">
            <v>ОК</v>
          </cell>
          <cell r="J1696" t="str">
            <v>ОК</v>
          </cell>
        </row>
        <row r="1697">
          <cell r="B1697" t="str">
            <v>В-09174/КЛ.Транш - 10</v>
          </cell>
          <cell r="C1697" t="str">
            <v>РОССИЯ, 404540, Волгоградская обл, м.р-н Калачевский, п Октябрьский, д. 102, кв. 37</v>
          </cell>
          <cell r="D1697" t="str">
            <v>РОССИЯ, 404540, Волгоградская обл, Калачевский р-н, Октябрьский п, дом 102, квартира 37</v>
          </cell>
          <cell r="F1697" t="str">
            <v>Волгоградская</v>
          </cell>
          <cell r="G1697">
            <v>0.66009259259259256</v>
          </cell>
          <cell r="H1697">
            <v>0.9517592592592593</v>
          </cell>
          <cell r="I1697" t="str">
            <v>поздно</v>
          </cell>
          <cell r="J1697" t="str">
            <v>ОК</v>
          </cell>
        </row>
        <row r="1698">
          <cell r="B1698" t="str">
            <v>В-09174/КЛ.Транш - 7</v>
          </cell>
          <cell r="C1698" t="str">
            <v>РОССИЯ, 404540, Волгоградская обл, м.р-н Калачевский, п Октябрьский, д. 102, кв. 37</v>
          </cell>
          <cell r="D1698" t="str">
            <v>РОССИЯ, 404540, Волгоградская обл, Калачевский р-н, Октябрьский п, дом 102, квартира 37</v>
          </cell>
          <cell r="F1698" t="str">
            <v>Волгоградская</v>
          </cell>
          <cell r="G1698">
            <v>0.66009259259259256</v>
          </cell>
          <cell r="H1698">
            <v>0.9517592592592593</v>
          </cell>
          <cell r="I1698" t="str">
            <v>поздно</v>
          </cell>
          <cell r="J1698" t="str">
            <v>ОК</v>
          </cell>
        </row>
        <row r="1699">
          <cell r="B1699" t="str">
            <v>В-09174/КЛ.Транш - 8</v>
          </cell>
          <cell r="C1699" t="str">
            <v>РОССИЯ, 404540, Волгоградская обл, м.р-н Калачевский, п Октябрьский, д. 102, кв. 37</v>
          </cell>
          <cell r="D1699" t="str">
            <v>РОССИЯ, 404540, Волгоградская обл, Калачевский р-н, Октябрьский п, дом 102, квартира 37</v>
          </cell>
          <cell r="F1699" t="str">
            <v>Волгоградская</v>
          </cell>
          <cell r="G1699">
            <v>0.66009259259259256</v>
          </cell>
          <cell r="H1699">
            <v>0.9517592592592593</v>
          </cell>
          <cell r="I1699" t="str">
            <v>поздно</v>
          </cell>
          <cell r="J1699" t="str">
            <v>ОК</v>
          </cell>
        </row>
        <row r="1700">
          <cell r="B1700" t="str">
            <v>В-09174/КЛ.Транш - 9</v>
          </cell>
          <cell r="C1700" t="str">
            <v>РОССИЯ, 404540, Волгоградская обл, м.р-н Калачевский, п Октябрьский, д. 102, кв. 37</v>
          </cell>
          <cell r="D1700" t="str">
            <v>РОССИЯ, 404540, Волгоградская обл, Калачевский р-н, Октябрьский п, дом 102, квартира 37</v>
          </cell>
          <cell r="F1700" t="str">
            <v>Волгоградская</v>
          </cell>
          <cell r="G1700">
            <v>0.66009259259259256</v>
          </cell>
          <cell r="H1700">
            <v>0.9517592592592593</v>
          </cell>
          <cell r="I1700" t="str">
            <v>поздно</v>
          </cell>
          <cell r="J1700" t="str">
            <v>ОК</v>
          </cell>
        </row>
        <row r="1701">
          <cell r="B1701" t="str">
            <v>В-20251/КЛ.Транш - 2</v>
          </cell>
          <cell r="C1701" t="str">
            <v>РОССИЯ, 115408, Москва г, вн.тер. г. муниципальный округ Братеево, ул Паромная, д. 3, кв. 147</v>
          </cell>
          <cell r="D1701" t="str">
            <v>РОССИЯ, 142703, Московская обл, г Видное, ул Школьная, д. 89, кв. 111</v>
          </cell>
          <cell r="F1701" t="str">
            <v>Московская</v>
          </cell>
          <cell r="G1701">
            <v>0.66009259259259256</v>
          </cell>
          <cell r="H1701">
            <v>0.91009259259259256</v>
          </cell>
          <cell r="I1701" t="str">
            <v>ОК</v>
          </cell>
          <cell r="J1701" t="str">
            <v>ОК</v>
          </cell>
        </row>
        <row r="1702">
          <cell r="B1702" t="str">
            <v>В-01017/АЗ</v>
          </cell>
          <cell r="C1702" t="str">
            <v>РОССИЯ, 127282, Москва г, Заревый проезд, дом № 5, корпус 1, квартира 107</v>
          </cell>
          <cell r="D1702" t="str">
            <v>РОССИЯ, 141143, Московская обл, Щёлково г, Большие Жеребцы д, Восточный мкр., дом 1, корпус 4, квартира 48</v>
          </cell>
          <cell r="F1702" t="str">
            <v>Московская</v>
          </cell>
          <cell r="G1702">
            <v>0.66009259259259256</v>
          </cell>
          <cell r="H1702">
            <v>0.91009259259259256</v>
          </cell>
          <cell r="I1702" t="str">
            <v>ОК</v>
          </cell>
          <cell r="J1702" t="str">
            <v>ОК</v>
          </cell>
        </row>
        <row r="1703">
          <cell r="B1703" t="str">
            <v>В-01035/АЗ</v>
          </cell>
          <cell r="C1703" t="str">
            <v>РОССИЯ, 127282, Москва г, Заревый проезд, дом № 5, корпус 1, квартира 107</v>
          </cell>
          <cell r="D1703" t="str">
            <v>РОССИЯ, 141143, Московская обл, Щёлково г, Большие Жеребцы д, Восточный мкр., дом 1, корпус 4, квартира 48</v>
          </cell>
          <cell r="F1703" t="str">
            <v>Московская</v>
          </cell>
          <cell r="G1703">
            <v>0.66009259259259256</v>
          </cell>
          <cell r="H1703">
            <v>0.91009259259259256</v>
          </cell>
          <cell r="I1703" t="str">
            <v>ОК</v>
          </cell>
          <cell r="J1703" t="str">
            <v>ОК</v>
          </cell>
        </row>
        <row r="1704">
          <cell r="B1704" t="str">
            <v>Т-01760/АЗ</v>
          </cell>
          <cell r="C1704" t="str">
            <v>РОССИЯ, 249034, Калужская обл, Обнинск г, Гагарина ул, дом № 4, квартира 21</v>
          </cell>
          <cell r="D1704" t="str">
            <v>РОССИЯ, 249034, Калужская обл, Обнинск г, Гагарина ул, дом № 4, квартира 21</v>
          </cell>
          <cell r="F1704" t="str">
            <v>Калужская</v>
          </cell>
          <cell r="G1704">
            <v>0.66009259259259256</v>
          </cell>
          <cell r="H1704">
            <v>0.91009259259259256</v>
          </cell>
          <cell r="I1704" t="str">
            <v>ОК</v>
          </cell>
          <cell r="J1704" t="str">
            <v>ОК</v>
          </cell>
        </row>
        <row r="1705">
          <cell r="B1705" t="str">
            <v>В-26242/КЛ.Транш - 1</v>
          </cell>
          <cell r="C1705" t="str">
            <v>РОССИЯ, 152070, Ярославская обл, р-н Даниловский, г Данилов, ул Кирова, д. 90а, ком. 119,120</v>
          </cell>
          <cell r="D1705" t="str">
            <v>РОССИЯ, 152070, Ярославская обл, р-н Даниловский, г Данилов, ул Кирова, д. 90а, ком. 119,120</v>
          </cell>
          <cell r="F1705" t="str">
            <v>Ярославская</v>
          </cell>
          <cell r="G1705">
            <v>0.66009259259259256</v>
          </cell>
          <cell r="H1705">
            <v>0.91009259259259256</v>
          </cell>
          <cell r="I1705" t="str">
            <v>ОК</v>
          </cell>
          <cell r="J1705" t="str">
            <v>ОК</v>
          </cell>
        </row>
        <row r="1706">
          <cell r="B1706" t="str">
            <v>В-24580/КЛ.Транш - 1</v>
          </cell>
          <cell r="C1706" t="str">
            <v>РОССИЯ, 115573, Москва г, проезд Ореховый, д. 45, к. 1, кв. 79</v>
          </cell>
          <cell r="D1706" t="str">
            <v>РОССИЯ, 115573, Москва г, проезд Ореховый, д. 45, к. 1, кв. 79</v>
          </cell>
          <cell r="F1706" t="str">
            <v>Москва</v>
          </cell>
          <cell r="G1706">
            <v>0.66009259259259256</v>
          </cell>
          <cell r="H1706">
            <v>0.91009259259259256</v>
          </cell>
          <cell r="I1706" t="str">
            <v>ОК</v>
          </cell>
          <cell r="J1706" t="str">
            <v>ОК</v>
          </cell>
        </row>
        <row r="1707">
          <cell r="B1707" t="str">
            <v>В-18317/КЛ.Транш - 1</v>
          </cell>
          <cell r="C1707" t="str">
            <v>РОССИЯ, 127566, Москва г, Алтуфьевское ш, дом № 40, квартира 26</v>
          </cell>
          <cell r="D1707" t="str">
            <v>РОССИЯ, 127566, Москва г, Алтуфьевское ш, дом № 40, квартира 26</v>
          </cell>
          <cell r="F1707" t="str">
            <v>Москва</v>
          </cell>
          <cell r="G1707">
            <v>0.66009259259259256</v>
          </cell>
          <cell r="H1707">
            <v>0.91009259259259256</v>
          </cell>
          <cell r="I1707" t="str">
            <v>ОК</v>
          </cell>
          <cell r="J1707" t="str">
            <v>ОК</v>
          </cell>
        </row>
        <row r="1708">
          <cell r="B1708" t="str">
            <v>В-26237/КЛ.Транш - 1</v>
          </cell>
          <cell r="C1708" t="str">
            <v>РОССИЯ, 443098, Самарская обл, г Самара, пер Ташкентский, д. 65а, кв. 2</v>
          </cell>
          <cell r="D1708" t="str">
            <v>РОССИЯ, 108807, Москва г, Первомайское п, Горчаково д, Школьная ул, дом 7, корпус 2, квартира 117</v>
          </cell>
          <cell r="F1708" t="str">
            <v>Москва</v>
          </cell>
          <cell r="G1708">
            <v>0.66009259259259256</v>
          </cell>
          <cell r="H1708">
            <v>0.91009259259259256</v>
          </cell>
          <cell r="I1708" t="str">
            <v>ОК</v>
          </cell>
          <cell r="J1708" t="str">
            <v>ОК</v>
          </cell>
        </row>
        <row r="1709">
          <cell r="B1709" t="str">
            <v>В-27788/КЛ.Транш - 1</v>
          </cell>
          <cell r="C1709" t="str">
            <v>РОССИЯ, 346102, Ростовская обл, р-н Миллеровский, х Фоминка, ул Мира, двлд. 5</v>
          </cell>
          <cell r="D1709" t="str">
            <v>РОССИЯ, 346102, Ростовская обл, р-н Миллеровский, х Фоминка, ул Мира, двлд. 5</v>
          </cell>
          <cell r="F1709" t="str">
            <v>Ростовская</v>
          </cell>
          <cell r="G1709">
            <v>0.66009259259259256</v>
          </cell>
          <cell r="H1709">
            <v>0.91009259259259256</v>
          </cell>
          <cell r="I1709" t="str">
            <v>ОК</v>
          </cell>
          <cell r="J1709" t="str">
            <v>ОК</v>
          </cell>
        </row>
        <row r="1710">
          <cell r="B1710" t="str">
            <v>В-00271/АЗ_Т-20211028/Ц</v>
          </cell>
          <cell r="C1710" t="str">
            <v>РОССИЯ, 141604, Московская обл, Клин г, Евдокимова ул, дом № 7</v>
          </cell>
          <cell r="D1710" t="str">
            <v>РОССИЯ, 141604, Московская обл, Клин г, Евдокимова ул, дом № 7</v>
          </cell>
          <cell r="F1710" t="str">
            <v>Московская</v>
          </cell>
          <cell r="G1710">
            <v>0.66009259259259256</v>
          </cell>
          <cell r="H1710">
            <v>0.91009259259259256</v>
          </cell>
          <cell r="I1710" t="str">
            <v>ОК</v>
          </cell>
          <cell r="J1710" t="str">
            <v>ОК</v>
          </cell>
        </row>
        <row r="1711">
          <cell r="B1711" t="str">
            <v>В-06818/КЛ.Транш - 1</v>
          </cell>
          <cell r="C1711" t="str">
            <v>РОССИЯ, 198097, Санкт-Петербург г, Стачек пр-кт, дом 41, квартира 48</v>
          </cell>
          <cell r="D1711" t="str">
            <v>РОССИЯ, 198097, Санкт-Петербург г, Стачек пр-кт, дом 41, квартира 48</v>
          </cell>
          <cell r="F1711" t="str">
            <v>Москва</v>
          </cell>
          <cell r="G1711">
            <v>0.66009259259259256</v>
          </cell>
          <cell r="H1711">
            <v>0.91009259259259256</v>
          </cell>
          <cell r="I1711" t="str">
            <v>ОК</v>
          </cell>
          <cell r="J1711" t="str">
            <v>ОК</v>
          </cell>
        </row>
        <row r="1712">
          <cell r="B1712" t="str">
            <v>В-12152/КЛ.Транш - 1</v>
          </cell>
          <cell r="C1712" t="str">
            <v>РОССИЯ, 249008, Калужская обл, Боровский р-н, Кабицыно д, Лесная ул, дом 1</v>
          </cell>
          <cell r="D1712" t="str">
            <v>РОССИЯ, 249008, Калужская обл, Боровский р-н, Кабицыно д, Лесная ул, дом 1</v>
          </cell>
          <cell r="F1712" t="str">
            <v>Калужская</v>
          </cell>
          <cell r="G1712">
            <v>0.66009259259259256</v>
          </cell>
          <cell r="H1712">
            <v>0.91009259259259256</v>
          </cell>
          <cell r="I1712" t="str">
            <v>ОК</v>
          </cell>
          <cell r="J1712" t="str">
            <v>ОК</v>
          </cell>
        </row>
        <row r="1713">
          <cell r="B1713" t="str">
            <v>В-24754/КЛ.Транш - 1</v>
          </cell>
          <cell r="C1713" t="str">
            <v>РОССИЯ, 109469, Москва г, Братиславская ул, дом № 31, корпус 2, квартира 117</v>
          </cell>
          <cell r="D1713" t="str">
            <v>РОССИЯ, 127434, Москва г, Дмитровское ш, дом № 13А, квартира 38</v>
          </cell>
          <cell r="F1713" t="str">
            <v>Москва</v>
          </cell>
          <cell r="G1713">
            <v>0.66009259259259256</v>
          </cell>
          <cell r="H1713">
            <v>0.91009259259259256</v>
          </cell>
          <cell r="I1713" t="str">
            <v>ОК</v>
          </cell>
          <cell r="J1713" t="str">
            <v>ОК</v>
          </cell>
        </row>
        <row r="1714">
          <cell r="B1714" t="str">
            <v>В-02902/КЛ.Транш - 1_В-20211230/Ц</v>
          </cell>
          <cell r="C1714" t="str">
            <v>РОССИЯ, Смоленская обл, Сычевский р-н, Хлепень д</v>
          </cell>
          <cell r="D1714" t="str">
            <v>РОССИЯ, 140000, Московская обл, Люберцы г, Мира ул, дом 7А, квартира 51</v>
          </cell>
          <cell r="F1714" t="str">
            <v>Московская</v>
          </cell>
          <cell r="G1714">
            <v>0.66009259259259256</v>
          </cell>
          <cell r="H1714">
            <v>0.91009259259259256</v>
          </cell>
          <cell r="I1714" t="str">
            <v>ОК</v>
          </cell>
          <cell r="J1714" t="str">
            <v>ОК</v>
          </cell>
        </row>
        <row r="1715">
          <cell r="B1715" t="str">
            <v>В-28433/КЛ.Транш - 1</v>
          </cell>
          <cell r="C1715" t="str">
            <v>РОССИЯ, 620102, Свердловская обл, г Екатеринбург, ул Шаумяна, д. 90, кв. 31</v>
          </cell>
          <cell r="D1715" t="str">
            <v>РОССИЯ, 620102, Свердловская обл, г Екатеринбург, ул Шаумяна, д. 90, кв. 31</v>
          </cell>
          <cell r="F1715" t="str">
            <v>Свердловская</v>
          </cell>
          <cell r="G1715">
            <v>0.66009259259259256</v>
          </cell>
          <cell r="H1715">
            <v>0.99342592592592593</v>
          </cell>
          <cell r="I1715" t="str">
            <v>поздно</v>
          </cell>
          <cell r="J1715" t="str">
            <v>ОК</v>
          </cell>
        </row>
        <row r="1716">
          <cell r="B1716" t="str">
            <v>В-28906/КЛ.Транш - 1</v>
          </cell>
          <cell r="C1716" t="str">
            <v>РОССИЯ, 682362, Хабаровский край, р-н Нанайский, п Джонка, ул Комсомольская, д. 42</v>
          </cell>
          <cell r="D1716" t="str">
            <v>РОССИЯ, 682362, Хабаровский край, р-н Нанайский, п Джонка, ул Комсомольская, д. 42</v>
          </cell>
          <cell r="F1716" t="str">
            <v>Хабаровский</v>
          </cell>
          <cell r="G1716">
            <v>0.66009259259259256</v>
          </cell>
          <cell r="H1716">
            <v>0.20175925925925919</v>
          </cell>
          <cell r="I1716" t="str">
            <v>поздно</v>
          </cell>
          <cell r="J1716" t="str">
            <v>поздно</v>
          </cell>
        </row>
        <row r="1717">
          <cell r="B1717" t="str">
            <v>В-23940/АЗ</v>
          </cell>
          <cell r="C1717" t="str">
            <v>РОССИЯ, 127566, Москва г, проезд Юрловский, д. 25, кв. 305</v>
          </cell>
          <cell r="D1717" t="str">
            <v>РОССИЯ, 127566, Москва г, проезд Юрловский, д. 25, кв. 305</v>
          </cell>
          <cell r="F1717" t="str">
            <v>Москва</v>
          </cell>
          <cell r="G1717">
            <v>0.66009259259259256</v>
          </cell>
          <cell r="H1717">
            <v>0.91009259259259256</v>
          </cell>
          <cell r="I1717" t="str">
            <v>ОК</v>
          </cell>
          <cell r="J1717" t="str">
            <v>ОК</v>
          </cell>
        </row>
        <row r="1718">
          <cell r="B1718" t="str">
            <v>В-25764/КЛ.Транш - 1</v>
          </cell>
          <cell r="C1718" t="str">
            <v>РОССИЯ, 398046, Липецкая обл, Липецк г, Сырская ул, дом 20</v>
          </cell>
          <cell r="D1718" t="str">
            <v>РОССИЯ, 398046, Липецкая обл, Липецк г, Сырская ул, дом 20</v>
          </cell>
          <cell r="F1718" t="str">
            <v>Липецкая</v>
          </cell>
          <cell r="G1718">
            <v>0.66009259259259256</v>
          </cell>
          <cell r="H1718">
            <v>0.91009259259259256</v>
          </cell>
          <cell r="I1718" t="str">
            <v>ОК</v>
          </cell>
          <cell r="J1718" t="str">
            <v>ОК</v>
          </cell>
        </row>
        <row r="1719">
          <cell r="B1719" t="str">
            <v>В-20544/КЛ.Транш - 1</v>
          </cell>
          <cell r="C1719" t="str">
            <v>РОССИЯ, 307720, Курская обл, р-н Льговский, п Селекционный, ул Советская, д. 7</v>
          </cell>
          <cell r="D1719" t="str">
            <v>РОССИЯ, 307720, Курская обл, р-н Льговский, п Селекционный, ул Советская, д. 7</v>
          </cell>
          <cell r="F1719" t="str">
            <v>Курская</v>
          </cell>
          <cell r="G1719">
            <v>0.66009259259259256</v>
          </cell>
          <cell r="H1719">
            <v>0.91009259259259256</v>
          </cell>
          <cell r="I1719" t="str">
            <v>ОК</v>
          </cell>
          <cell r="J1719" t="str">
            <v>ОК</v>
          </cell>
        </row>
        <row r="1720">
          <cell r="B1720" t="str">
            <v>В-14544/КЛ.Транш - 1</v>
          </cell>
          <cell r="C1720" t="str">
            <v>РОССИЯ, 301320, Тульская обл, Веневский р-н, Венев г, Декабристов ул, дом 39, квартира 2</v>
          </cell>
          <cell r="D1720" t="str">
            <v>РОССИЯ, 301320, Тульская обл, Веневский р-н, Венев г, Декабристов ул, дом 39, квартира 2</v>
          </cell>
          <cell r="F1720" t="str">
            <v>Тульская</v>
          </cell>
          <cell r="G1720">
            <v>0.66009259259259256</v>
          </cell>
          <cell r="H1720">
            <v>0.91009259259259256</v>
          </cell>
          <cell r="I1720" t="str">
            <v>ОК</v>
          </cell>
          <cell r="J1720" t="str">
            <v>ОК</v>
          </cell>
        </row>
        <row r="1721">
          <cell r="B1721" t="str">
            <v>В-14544/КЛ.Транш - 2</v>
          </cell>
          <cell r="C1721" t="str">
            <v>РОССИЯ, 301320, Тульская обл, Веневский р-н, Венев г, Декабристов ул, дом 39, квартира 2</v>
          </cell>
          <cell r="D1721" t="str">
            <v>РОССИЯ, 301320, Тульская обл, Веневский р-н, Венев г, Декабристов ул, дом 39, квартира 2</v>
          </cell>
          <cell r="F1721" t="str">
            <v>Тульская</v>
          </cell>
          <cell r="G1721">
            <v>0.66009259259259256</v>
          </cell>
          <cell r="H1721">
            <v>0.91009259259259256</v>
          </cell>
          <cell r="I1721" t="str">
            <v>ОК</v>
          </cell>
          <cell r="J1721" t="str">
            <v>ОК</v>
          </cell>
        </row>
        <row r="1722">
          <cell r="B1722" t="str">
            <v>В-22238/КЛ.Транш - 1_В20211230/Ц</v>
          </cell>
          <cell r="C1722" t="str">
            <v>РОССИЯ, 142155, Московская обл, г Подольск, мкр. Львовский, ул Пролетарская, д. 2, кв. 72</v>
          </cell>
          <cell r="D1722" t="str">
            <v>РОССИЯ, 142155, Московская обл, г Подольск, мкр. Львовский, ул Пролетарская, д. 2, кв. 72</v>
          </cell>
          <cell r="F1722" t="str">
            <v>Московская</v>
          </cell>
          <cell r="G1722">
            <v>0.66009259259259256</v>
          </cell>
          <cell r="H1722">
            <v>0.91009259259259256</v>
          </cell>
          <cell r="I1722" t="str">
            <v>ОК</v>
          </cell>
          <cell r="J1722" t="str">
            <v>ОК</v>
          </cell>
        </row>
        <row r="1723">
          <cell r="B1723" t="str">
            <v>В-05365/КЛ.Транш - 2</v>
          </cell>
          <cell r="C1723" t="str">
            <v>РОССИЯ, 109451, Москва г, Верхние Поля ул, дом 36, корпус 2, квартира 209</v>
          </cell>
          <cell r="D1723" t="str">
            <v>РОССИЯ, 115533, Москва г, Нагатинский 1-й проезд, дом 11, корпус 1, квартира 500</v>
          </cell>
          <cell r="F1723" t="str">
            <v>Москва</v>
          </cell>
          <cell r="G1723">
            <v>0.66009259259259256</v>
          </cell>
          <cell r="H1723">
            <v>0.91009259259259256</v>
          </cell>
          <cell r="I1723" t="str">
            <v>ОК</v>
          </cell>
          <cell r="J1723" t="str">
            <v>ОК</v>
          </cell>
        </row>
        <row r="1724">
          <cell r="B1724" t="str">
            <v>В-05365/КЛ.Транш - 3</v>
          </cell>
          <cell r="C1724" t="str">
            <v>РОССИЯ, 109451, Москва г, Верхние Поля ул, дом 36, корпус 2, квартира 209</v>
          </cell>
          <cell r="D1724" t="str">
            <v>РОССИЯ, 115533, Москва г, Нагатинский 1-й проезд, дом 11, корпус 1, квартира 500</v>
          </cell>
          <cell r="F1724" t="str">
            <v>Москва</v>
          </cell>
          <cell r="G1724">
            <v>0.66009259259259256</v>
          </cell>
          <cell r="H1724">
            <v>0.91009259259259256</v>
          </cell>
          <cell r="I1724" t="str">
            <v>ОК</v>
          </cell>
          <cell r="J1724" t="str">
            <v>ОК</v>
          </cell>
        </row>
        <row r="1725">
          <cell r="B1725" t="str">
            <v>В-05365/КЛ.Транш - 5</v>
          </cell>
          <cell r="C1725" t="str">
            <v>РОССИЯ, 109451, Москва г, Верхние Поля ул, дом 36, корпус 2, квартира 209</v>
          </cell>
          <cell r="D1725" t="str">
            <v>РОССИЯ, 115533, Москва г, Нагатинский 1-й проезд, дом 11, корпус 1, квартира 500</v>
          </cell>
          <cell r="F1725" t="str">
            <v>Москва</v>
          </cell>
          <cell r="G1725">
            <v>0.66009259259259256</v>
          </cell>
          <cell r="H1725">
            <v>0.91009259259259256</v>
          </cell>
          <cell r="I1725" t="str">
            <v>ОК</v>
          </cell>
          <cell r="J1725" t="str">
            <v>ОК</v>
          </cell>
        </row>
        <row r="1726">
          <cell r="B1726" t="str">
            <v>В-01319/КЛ.Транш - 1</v>
          </cell>
          <cell r="C1726" t="str">
            <v>РОССИЯ, 155250, Ивановская обл, Родниковский р-н, Родники г, Рябикова ул, дом 14, квартира 6</v>
          </cell>
          <cell r="D1726" t="str">
            <v>РОССИЯ, 141008, Московская обл, Мытищи г, Колпакова ул, дом 40, корпус 1, квартира 1</v>
          </cell>
          <cell r="F1726" t="str">
            <v>Московская</v>
          </cell>
          <cell r="G1726">
            <v>0.66009259259259256</v>
          </cell>
          <cell r="H1726">
            <v>0.91009259259259256</v>
          </cell>
          <cell r="I1726" t="str">
            <v>ОК</v>
          </cell>
          <cell r="J1726" t="str">
            <v>ОК</v>
          </cell>
        </row>
        <row r="1727">
          <cell r="B1727" t="str">
            <v>В-00896/АЗ</v>
          </cell>
          <cell r="C1727" t="str">
            <v>РОССИЯ, 117647, Москва г, Островитянова ул, дом 34, корпус 1, квартира 282</v>
          </cell>
          <cell r="D1727" t="str">
            <v>РОССИЯ, 117647, Москва г, Островитянова ул, дом 34, корпус 1, квартира 282</v>
          </cell>
          <cell r="F1727" t="str">
            <v>Москва</v>
          </cell>
          <cell r="G1727">
            <v>0.66009259259259256</v>
          </cell>
          <cell r="H1727">
            <v>0.91009259259259256</v>
          </cell>
          <cell r="I1727" t="str">
            <v>ОК</v>
          </cell>
          <cell r="J1727" t="str">
            <v>ОК</v>
          </cell>
        </row>
        <row r="1728">
          <cell r="B1728" t="str">
            <v>В-00478/КЛ.Транш - 1</v>
          </cell>
          <cell r="C1728" t="str">
            <v>РОССИЯ, 111250, Москва г, Красноказарменная ул, дом 9А</v>
          </cell>
          <cell r="D1728" t="str">
            <v>РОССИЯ, 143914, Московская обл, Балашиха г, Дзержинского мкр., Баландина ул, дом 3, квартира 61</v>
          </cell>
          <cell r="F1728" t="str">
            <v>Московская</v>
          </cell>
          <cell r="G1728">
            <v>0.66009259259259256</v>
          </cell>
          <cell r="H1728">
            <v>0.91009259259259256</v>
          </cell>
          <cell r="I1728" t="str">
            <v>ОК</v>
          </cell>
          <cell r="J1728" t="str">
            <v>ОК</v>
          </cell>
        </row>
        <row r="1729">
          <cell r="B1729" t="str">
            <v>В-00478/КЛ.Транш - 2</v>
          </cell>
          <cell r="C1729" t="str">
            <v>РОССИЯ, 111250, Москва г, Красноказарменная ул, дом 9А</v>
          </cell>
          <cell r="D1729" t="str">
            <v>РОССИЯ, 143914, Московская обл, Балашиха г, Дзержинского мкр., Баландина ул, дом 3, квартира 61</v>
          </cell>
          <cell r="F1729" t="str">
            <v>Московская</v>
          </cell>
          <cell r="G1729">
            <v>0.66009259259259256</v>
          </cell>
          <cell r="H1729">
            <v>0.91009259259259256</v>
          </cell>
          <cell r="I1729" t="str">
            <v>ОК</v>
          </cell>
          <cell r="J1729" t="str">
            <v>ОК</v>
          </cell>
        </row>
        <row r="1730">
          <cell r="B1730" t="str">
            <v>В-13034/КЛ.Транш - 1</v>
          </cell>
          <cell r="C1730" t="str">
            <v>РОССИЯ, 462360, Оренбургская обл, Новотроицк г, Гагарина ул, дом 12, квартира 25</v>
          </cell>
          <cell r="D1730" t="str">
            <v>РОССИЯ, 141301, Московская обл, Сергиев Посад г, Новоугличское ш, дом 65, квартира 25</v>
          </cell>
          <cell r="F1730" t="str">
            <v>Московская</v>
          </cell>
          <cell r="G1730">
            <v>0.66009259259259256</v>
          </cell>
          <cell r="H1730">
            <v>0.91009259259259256</v>
          </cell>
          <cell r="I1730" t="str">
            <v>ОК</v>
          </cell>
          <cell r="J1730" t="str">
            <v>ОК</v>
          </cell>
        </row>
        <row r="1731">
          <cell r="B1731" t="str">
            <v>В-13034/КЛ.Транш - 2</v>
          </cell>
          <cell r="C1731" t="str">
            <v>РОССИЯ, 462360, Оренбургская обл, Новотроицк г, Гагарина ул, дом 12, квартира 25</v>
          </cell>
          <cell r="D1731" t="str">
            <v>РОССИЯ, 141301, Московская обл, Сергиев Посад г, Новоугличское ш, дом 65, квартира 25</v>
          </cell>
          <cell r="F1731" t="str">
            <v>Московская</v>
          </cell>
          <cell r="G1731">
            <v>0.66009259259259256</v>
          </cell>
          <cell r="H1731">
            <v>0.91009259259259256</v>
          </cell>
          <cell r="I1731" t="str">
            <v>ОК</v>
          </cell>
          <cell r="J1731" t="str">
            <v>ОК</v>
          </cell>
        </row>
        <row r="1732">
          <cell r="B1732" t="str">
            <v>В-02105/КЛ.Транш - 1</v>
          </cell>
          <cell r="C1732" t="str">
            <v>РОССИЯ, 196634, Санкт-Петербург г, Шушары п, Ростовская ул, дом 27</v>
          </cell>
          <cell r="D1732" t="str">
            <v>РОССИЯ, 198301, Санкт-Петербург г, Красное Село г, Гатчинское ш, дом 8, корпус 2, литера А, квартира 114</v>
          </cell>
          <cell r="F1732" t="str">
            <v>Москва</v>
          </cell>
          <cell r="G1732">
            <v>0.66009259259259256</v>
          </cell>
          <cell r="H1732">
            <v>0.91009259259259256</v>
          </cell>
          <cell r="I1732" t="str">
            <v>ОК</v>
          </cell>
          <cell r="J1732" t="str">
            <v>ОК</v>
          </cell>
        </row>
        <row r="1733">
          <cell r="B1733" t="str">
            <v>Т-01799/АЗ_В-20211230/Ц</v>
          </cell>
          <cell r="C1733" t="str">
            <v>РОССИЯ, 628303, Ханты-Мансийский Автономный округ - Югра ао, Нефтеюганск г, 10 мкр., дом № 8, квартира 4</v>
          </cell>
          <cell r="D1733" t="str">
            <v>РОССИЯ, 195271, Санкт-Петербург г, Кондратьевский пр-кт, дом 68, корпус 4, строение 1, квартира 2140</v>
          </cell>
          <cell r="F1733" t="str">
            <v>Москва</v>
          </cell>
          <cell r="G1733">
            <v>0.66009259259259256</v>
          </cell>
          <cell r="H1733">
            <v>0.91009259259259256</v>
          </cell>
          <cell r="I1733" t="str">
            <v>ОК</v>
          </cell>
          <cell r="J1733" t="str">
            <v>ОК</v>
          </cell>
        </row>
        <row r="1734">
          <cell r="B1734" t="str">
            <v>В-10433/КЛ.Транш - 1</v>
          </cell>
          <cell r="C1734" t="str">
            <v>РОССИЯ, 127276, Москва г, Академика Комарова ул, дом 7В, квартира 56</v>
          </cell>
          <cell r="D1734" t="str">
            <v>РОССИЯ, 127276, Москва г, Академика Комарова ул, дом 7В, квартира 56</v>
          </cell>
          <cell r="F1734" t="str">
            <v>Москва</v>
          </cell>
          <cell r="G1734">
            <v>0.66009259259259256</v>
          </cell>
          <cell r="H1734">
            <v>0.91009259259259256</v>
          </cell>
          <cell r="I1734" t="str">
            <v>ОК</v>
          </cell>
          <cell r="J1734" t="str">
            <v>ОК</v>
          </cell>
        </row>
        <row r="1735">
          <cell r="B1735" t="str">
            <v>В-10433/КЛ.Транш - 2</v>
          </cell>
          <cell r="C1735" t="str">
            <v>РОССИЯ, 127276, Москва г, Академика Комарова ул, дом 7В, квартира 56</v>
          </cell>
          <cell r="D1735" t="str">
            <v>РОССИЯ, 127276, Москва г, Академика Комарова ул, дом 7В, квартира 56</v>
          </cell>
          <cell r="F1735" t="str">
            <v>Москва</v>
          </cell>
          <cell r="G1735">
            <v>0.66009259259259256</v>
          </cell>
          <cell r="H1735">
            <v>0.91009259259259256</v>
          </cell>
          <cell r="I1735" t="str">
            <v>ОК</v>
          </cell>
          <cell r="J1735" t="str">
            <v>ОК</v>
          </cell>
        </row>
        <row r="1736">
          <cell r="B1736" t="str">
            <v>В-00733/АЗ_В-20211230/Ц</v>
          </cell>
          <cell r="C1736" t="str">
            <v>РОССИЯ, 123154, Москва г, Генерала Карбышева б-р, дом 18, корпус 4, квартира 11</v>
          </cell>
          <cell r="D1736" t="str">
            <v>РОССИЯ, 143025, Московская обл, Одинцовский р-н, Ромашково с, Никольская ул, дом 8, корпус 1, квартира 148</v>
          </cell>
          <cell r="F1736" t="str">
            <v>Московская</v>
          </cell>
          <cell r="G1736">
            <v>0.66009259259259256</v>
          </cell>
          <cell r="H1736">
            <v>0.91009259259259256</v>
          </cell>
          <cell r="I1736" t="str">
            <v>ОК</v>
          </cell>
          <cell r="J1736" t="str">
            <v>ОК</v>
          </cell>
        </row>
        <row r="1737">
          <cell r="B1737" t="str">
            <v>В-10701/КЛ.Транш - 1</v>
          </cell>
          <cell r="C1737" t="str">
            <v>РОССИЯ, 186012, Карелия Респ, Олонецкий р-н, Коткозеро д, Школьная ул, дом № 5, квартира 7</v>
          </cell>
          <cell r="D1737" t="str">
            <v>РОССИЯ, 198261, Санкт-Петербург г, Стойкости ул, дом № 41, корпус 1, квартира 74</v>
          </cell>
          <cell r="F1737" t="str">
            <v>Москва</v>
          </cell>
          <cell r="G1737">
            <v>0.66009259259259256</v>
          </cell>
          <cell r="H1737">
            <v>0.91009259259259256</v>
          </cell>
          <cell r="I1737" t="str">
            <v>ОК</v>
          </cell>
          <cell r="J1737" t="str">
            <v>ОК</v>
          </cell>
        </row>
        <row r="1738">
          <cell r="B1738" t="str">
            <v>В-10701/КЛ.Транш - 2</v>
          </cell>
          <cell r="C1738" t="str">
            <v>РОССИЯ, 186012, Карелия Респ, Олонецкий р-н, Коткозеро д, Школьная ул, дом № 5, квартира 7</v>
          </cell>
          <cell r="D1738" t="str">
            <v>РОССИЯ, 198261, Санкт-Петербург г, Стойкости ул, дом № 41, корпус 1, квартира 74</v>
          </cell>
          <cell r="F1738" t="str">
            <v>Москва</v>
          </cell>
          <cell r="G1738">
            <v>0.66009259259259256</v>
          </cell>
          <cell r="H1738">
            <v>0.91009259259259256</v>
          </cell>
          <cell r="I1738" t="str">
            <v>ОК</v>
          </cell>
          <cell r="J1738" t="str">
            <v>ОК</v>
          </cell>
        </row>
        <row r="1739">
          <cell r="B1739" t="str">
            <v>В-00966/АЗ</v>
          </cell>
          <cell r="C1739" t="str">
            <v>РОССИЯ, 141021, Московская обл, Мытищи г, Лётная ул, дом 22, корпус 3, квартира 10</v>
          </cell>
          <cell r="D1739" t="str">
            <v>РОССИЯ, 141021, Московская обл, Мытищи г, Лётная ул, дом 22, корпус 3, квартира 10</v>
          </cell>
          <cell r="F1739" t="str">
            <v>Московская</v>
          </cell>
          <cell r="G1739">
            <v>0.66009259259259256</v>
          </cell>
          <cell r="H1739">
            <v>0.91009259259259256</v>
          </cell>
          <cell r="I1739" t="str">
            <v>ОК</v>
          </cell>
          <cell r="J1739" t="str">
            <v>ОК</v>
          </cell>
        </row>
        <row r="1740">
          <cell r="B1740" t="str">
            <v>В-01080/КЛ.Транш - 2</v>
          </cell>
          <cell r="C1740" t="str">
            <v>РОССИЯ, 172800, Тверская обл, Андреаполь г, Угрюмова ул, дом № 2</v>
          </cell>
          <cell r="D1740" t="str">
            <v>РОССИЯ, 109044, Москва г, Мельникова ул, дом 17, квартира 15</v>
          </cell>
          <cell r="F1740" t="str">
            <v>Москва</v>
          </cell>
          <cell r="G1740">
            <v>0.66009259259259256</v>
          </cell>
          <cell r="H1740">
            <v>0.91009259259259256</v>
          </cell>
          <cell r="I1740" t="str">
            <v>ОК</v>
          </cell>
          <cell r="J1740" t="str">
            <v>ОК</v>
          </cell>
        </row>
        <row r="1741">
          <cell r="B1741" t="str">
            <v>В-01080/КЛ.Транш - 5</v>
          </cell>
          <cell r="C1741" t="str">
            <v>РОССИЯ, 172800, Тверская обл, Андреаполь г, Угрюмова ул, дом № 2</v>
          </cell>
          <cell r="D1741" t="str">
            <v>РОССИЯ, 109044, Москва г, Мельникова ул, дом 17, квартира 15</v>
          </cell>
          <cell r="F1741" t="str">
            <v>Москва</v>
          </cell>
          <cell r="G1741">
            <v>0.66009259259259256</v>
          </cell>
          <cell r="H1741">
            <v>0.91009259259259256</v>
          </cell>
          <cell r="I1741" t="str">
            <v>ОК</v>
          </cell>
          <cell r="J1741" t="str">
            <v>ОК</v>
          </cell>
        </row>
        <row r="1742">
          <cell r="B1742" t="str">
            <v>В-18022/КЛ.Транш - 1_В-20211230/Ц</v>
          </cell>
          <cell r="C1742" t="str">
            <v>РОССИЯ, 672042, Забайкальский край, г Чита, туп Солдатский, д. 5, кв. В/Г224</v>
          </cell>
          <cell r="D1742" t="str">
            <v>РОССИЯ, 672000, Забайкальский край, г Чита, ул Бабушкина, д. 111, кв. 36</v>
          </cell>
          <cell r="F1742" t="str">
            <v>Забайкальский</v>
          </cell>
          <cell r="G1742">
            <v>0.66009259259259256</v>
          </cell>
          <cell r="H1742">
            <v>0.16009259259259268</v>
          </cell>
          <cell r="I1742" t="str">
            <v>поздно</v>
          </cell>
          <cell r="J1742" t="str">
            <v>ОК</v>
          </cell>
        </row>
        <row r="1743">
          <cell r="B1743" t="str">
            <v>А-00410/КЭ.Транш - 1</v>
          </cell>
          <cell r="C1743" t="str">
            <v>144000, Московская обл, Электросталь г, Красная ул, дом 9 А, офис 123</v>
          </cell>
          <cell r="F1743" t="str">
            <v>Москва</v>
          </cell>
          <cell r="G1743">
            <v>0.66009259259259256</v>
          </cell>
          <cell r="H1743">
            <v>0.91009259259259256</v>
          </cell>
          <cell r="I1743" t="str">
            <v>ОК</v>
          </cell>
          <cell r="J1743" t="str">
            <v>ОК</v>
          </cell>
        </row>
        <row r="1744">
          <cell r="B1744" t="str">
            <v>В-30006/КЭ.Транш - 1</v>
          </cell>
          <cell r="C1744" t="str">
            <v>355008, Ставропольский край, г Ставрополь, ул Апанасенковская, д. 4, к. И</v>
          </cell>
          <cell r="F1744" t="str">
            <v>Москва</v>
          </cell>
          <cell r="G1744">
            <v>0.66009259259259256</v>
          </cell>
          <cell r="H1744">
            <v>0.91009259259259256</v>
          </cell>
          <cell r="I1744" t="str">
            <v>ОК</v>
          </cell>
          <cell r="J1744" t="str">
            <v>ОК</v>
          </cell>
        </row>
        <row r="1745">
          <cell r="B1745" t="str">
            <v>В-30006/КЭ.Транш - 2</v>
          </cell>
          <cell r="C1745" t="str">
            <v>355008, Ставропольский край, г Ставрополь, ул Апанасенковская, д. 4, к. И</v>
          </cell>
          <cell r="F1745" t="str">
            <v>Москва</v>
          </cell>
          <cell r="G1745">
            <v>0.66009259259259256</v>
          </cell>
          <cell r="H1745">
            <v>0.91009259259259256</v>
          </cell>
          <cell r="I1745" t="str">
            <v>ОК</v>
          </cell>
          <cell r="J1745" t="str">
            <v>ОК</v>
          </cell>
        </row>
        <row r="1746">
          <cell r="B1746" t="str">
            <v>В-30004/КЭ.Транш - 1</v>
          </cell>
          <cell r="C1746" t="str">
            <v>Краснодарский край, г Сочи, ул Навагинская (центральный Р-Н), д. 5/6, помещ. 29</v>
          </cell>
          <cell r="F1746" t="str">
            <v>Москва</v>
          </cell>
          <cell r="G1746">
            <v>0.66009259259259256</v>
          </cell>
          <cell r="H1746">
            <v>0.91009259259259256</v>
          </cell>
          <cell r="I1746" t="str">
            <v>ОК</v>
          </cell>
          <cell r="J1746" t="str">
            <v>ОК</v>
          </cell>
        </row>
        <row r="1747">
          <cell r="B1747" t="str">
            <v>В-21946/КЛ.Транш - 1</v>
          </cell>
          <cell r="C1747" t="str">
            <v>РОССИЯ, 125183, Москва г, вн.тер.г. муниципальный округ Коптево, ул Генерала Рычагова, д. 14, кв. 23</v>
          </cell>
          <cell r="D1747" t="str">
            <v>РОССИЯ, 125239, Москва г, вн.тер.г. муниципальный округ Коптево, ул Коптевская, д. 22, кв. 64</v>
          </cell>
          <cell r="F1747" t="str">
            <v>Москва</v>
          </cell>
          <cell r="G1747">
            <v>0.66009259259259256</v>
          </cell>
          <cell r="H1747">
            <v>0.91009259259259256</v>
          </cell>
          <cell r="I1747" t="str">
            <v>ОК</v>
          </cell>
          <cell r="J1747" t="str">
            <v>ОК</v>
          </cell>
        </row>
        <row r="1748">
          <cell r="B1748" t="str">
            <v>В-03765/КЛ.Транш - 11</v>
          </cell>
          <cell r="C1748" t="str">
            <v>РОССИЯ, 119634, Москва г, Лукинская ул, дом № 10, квартира 284</v>
          </cell>
          <cell r="D1748" t="str">
            <v>РОССИЯ, 115142, Москва г, Затонная ул, дом № 12, корпус 2, квартира 195</v>
          </cell>
          <cell r="F1748" t="str">
            <v>Москва</v>
          </cell>
          <cell r="G1748">
            <v>0.66009259259259256</v>
          </cell>
          <cell r="H1748">
            <v>0.91009259259259256</v>
          </cell>
          <cell r="I1748" t="str">
            <v>ОК</v>
          </cell>
          <cell r="J1748" t="str">
            <v>ОК</v>
          </cell>
        </row>
        <row r="1749">
          <cell r="B1749" t="str">
            <v>В-03765/КЛ.Транш - 12</v>
          </cell>
          <cell r="C1749" t="str">
            <v>РОССИЯ, 119634, Москва г, Лукинская ул, дом № 10, квартира 284</v>
          </cell>
          <cell r="D1749" t="str">
            <v>РОССИЯ, 115142, Москва г, Затонная ул, дом № 12, корпус 2, квартира 195</v>
          </cell>
          <cell r="F1749" t="str">
            <v>Москва</v>
          </cell>
          <cell r="G1749">
            <v>0.66009259259259256</v>
          </cell>
          <cell r="H1749">
            <v>0.91009259259259256</v>
          </cell>
          <cell r="I1749" t="str">
            <v>ОК</v>
          </cell>
          <cell r="J1749" t="str">
            <v>ОК</v>
          </cell>
        </row>
        <row r="1750">
          <cell r="B1750" t="str">
            <v>В-03765/КЛ.Транш - 13</v>
          </cell>
          <cell r="C1750" t="str">
            <v>РОССИЯ, 119634, Москва г, Лукинская ул, дом № 10, квартира 284</v>
          </cell>
          <cell r="D1750" t="str">
            <v>РОССИЯ, 115142, Москва г, Затонная ул, дом № 12, корпус 2, квартира 195</v>
          </cell>
          <cell r="F1750" t="str">
            <v>Москва</v>
          </cell>
          <cell r="G1750">
            <v>0.66009259259259256</v>
          </cell>
          <cell r="H1750">
            <v>0.91009259259259256</v>
          </cell>
          <cell r="I1750" t="str">
            <v>ОК</v>
          </cell>
          <cell r="J1750" t="str">
            <v>ОК</v>
          </cell>
        </row>
        <row r="1751">
          <cell r="B1751" t="str">
            <v>В-03765/КЛ.Транш - 14</v>
          </cell>
          <cell r="C1751" t="str">
            <v>РОССИЯ, 119634, Москва г, Лукинская ул, дом № 10, квартира 284</v>
          </cell>
          <cell r="D1751" t="str">
            <v>РОССИЯ, 115142, Москва г, Затонная ул, дом № 12, корпус 2, квартира 195</v>
          </cell>
          <cell r="F1751" t="str">
            <v>Москва</v>
          </cell>
          <cell r="G1751">
            <v>0.66009259259259256</v>
          </cell>
          <cell r="H1751">
            <v>0.91009259259259256</v>
          </cell>
          <cell r="I1751" t="str">
            <v>ОК</v>
          </cell>
          <cell r="J1751" t="str">
            <v>ОК</v>
          </cell>
        </row>
        <row r="1752">
          <cell r="B1752" t="str">
            <v>В-20109/КЛ.Транш - 1</v>
          </cell>
          <cell r="C1752" t="str">
            <v>РОССИЯ, 404127, Волгоградская обл, г Волжский, ул им генерала Карбышева, д. 59б, кв. 51</v>
          </cell>
          <cell r="D1752" t="str">
            <v>РОССИЯ, 404127, Волгоградская обл, г Волжский, ул им генерала Карбышева, д. 59б, кв. 51</v>
          </cell>
          <cell r="F1752" t="str">
            <v>Волгоградская</v>
          </cell>
          <cell r="G1752">
            <v>0.66009259259259256</v>
          </cell>
          <cell r="H1752">
            <v>0.9517592592592593</v>
          </cell>
          <cell r="I1752" t="str">
            <v>поздно</v>
          </cell>
          <cell r="J1752" t="str">
            <v>ОК</v>
          </cell>
        </row>
        <row r="1753">
          <cell r="B1753" t="str">
            <v>А-05381/АЗ</v>
          </cell>
          <cell r="C1753" t="str">
            <v>РОССИЯ, 127254, Москва г, Добролюбова ул, дом 21А, корпус б, квартира 47</v>
          </cell>
          <cell r="D1753" t="str">
            <v>РОССИЯ, 127254, Москва г, Добролюбова ул, дом 21А, корпус б, квартира 47</v>
          </cell>
          <cell r="F1753" t="str">
            <v>Москва</v>
          </cell>
          <cell r="G1753">
            <v>0.66009259259259256</v>
          </cell>
          <cell r="H1753">
            <v>0.91009259259259256</v>
          </cell>
          <cell r="I1753" t="str">
            <v>ОК</v>
          </cell>
          <cell r="J1753" t="str">
            <v>ОК</v>
          </cell>
        </row>
        <row r="1754">
          <cell r="B1754" t="str">
            <v>В-01089/АЗ</v>
          </cell>
          <cell r="C1754" t="str">
            <v>РОССИЯ, 127254, Москва г, Добролюбова ул, дом 21А, корпус б, квартира 47</v>
          </cell>
          <cell r="D1754" t="str">
            <v>РОССИЯ, 127254, Москва г, Добролюбова ул, дом 21А, корпус б, квартира 47</v>
          </cell>
          <cell r="F1754" t="str">
            <v>Москва</v>
          </cell>
          <cell r="G1754">
            <v>0.66009259259259256</v>
          </cell>
          <cell r="H1754">
            <v>0.91009259259259256</v>
          </cell>
          <cell r="I1754" t="str">
            <v>ОК</v>
          </cell>
          <cell r="J1754" t="str">
            <v>ОК</v>
          </cell>
        </row>
        <row r="1755">
          <cell r="B1755" t="str">
            <v>Т-01821/АЗ_Т-20211028/Ц</v>
          </cell>
          <cell r="C1755" t="str">
            <v>РОССИЯ, 127254, Москва г, Добролюбова ул, дом 21А, корпус б, квартира 47</v>
          </cell>
          <cell r="D1755" t="str">
            <v>РОССИЯ, 127254, Москва г, Добролюбова ул, дом 21А, корпус б, квартира 47</v>
          </cell>
          <cell r="F1755" t="str">
            <v>Москва</v>
          </cell>
          <cell r="G1755">
            <v>0.66009259259259256</v>
          </cell>
          <cell r="H1755">
            <v>0.91009259259259256</v>
          </cell>
          <cell r="I1755" t="str">
            <v>ОК</v>
          </cell>
          <cell r="J1755" t="str">
            <v>ОК</v>
          </cell>
        </row>
        <row r="1756">
          <cell r="B1756" t="str">
            <v>В-06186/КЛ.Транш - 1_А-20210929/Ц</v>
          </cell>
          <cell r="C1756" t="str">
            <v>РОССИЯ, 105122, Москва г, Щёлковское ш, дом 12, корпус 1, квартира 233</v>
          </cell>
          <cell r="D1756" t="str">
            <v>РОССИЯ, 105122, Москва г, Щёлковское ш, дом 12, корпус 1, квартира 233</v>
          </cell>
          <cell r="F1756" t="str">
            <v>Москва</v>
          </cell>
          <cell r="G1756">
            <v>0.66009259259259256</v>
          </cell>
          <cell r="H1756">
            <v>0.91009259259259256</v>
          </cell>
          <cell r="I1756" t="str">
            <v>ОК</v>
          </cell>
          <cell r="J1756" t="str">
            <v>ОК</v>
          </cell>
        </row>
        <row r="1757">
          <cell r="B1757" t="str">
            <v>В-06186/КЛ.Транш - 2_А-20210929/Ц</v>
          </cell>
          <cell r="C1757" t="str">
            <v>РОССИЯ, 105122, Москва г, Щёлковское ш, дом 12, корпус 1, квартира 233</v>
          </cell>
          <cell r="D1757" t="str">
            <v>РОССИЯ, 105122, Москва г, Щёлковское ш, дом 12, корпус 1, квартира 233</v>
          </cell>
          <cell r="F1757" t="str">
            <v>Москва</v>
          </cell>
          <cell r="G1757">
            <v>0.66009259259259256</v>
          </cell>
          <cell r="H1757">
            <v>0.91009259259259256</v>
          </cell>
          <cell r="I1757" t="str">
            <v>ОК</v>
          </cell>
          <cell r="J1757" t="str">
            <v>ОК</v>
          </cell>
        </row>
        <row r="1758">
          <cell r="B1758" t="str">
            <v>В-08603/КЛ.Транш - 1</v>
          </cell>
          <cell r="C1758" t="str">
            <v>РОССИЯ, 398001, Липецкая обл, Липецк г, 8 Марта ул, дом 17/2, квартира 67</v>
          </cell>
          <cell r="D1758" t="str">
            <v>РОССИЯ, 398001, Липецкая обл, Липецк г, 8 Марта ул, дом 17/2, квартира 67</v>
          </cell>
          <cell r="F1758" t="str">
            <v>Липецкая</v>
          </cell>
          <cell r="G1758">
            <v>0.66009259259259256</v>
          </cell>
          <cell r="H1758">
            <v>0.91009259259259256</v>
          </cell>
          <cell r="I1758" t="str">
            <v>ОК</v>
          </cell>
          <cell r="J1758" t="str">
            <v>ОК</v>
          </cell>
        </row>
        <row r="1759">
          <cell r="B1759" t="str">
            <v>В-00498/КЛ.Транш - 2</v>
          </cell>
          <cell r="C1759" t="str">
            <v>РОССИЯ, 193318, Санкт-Петербург г, Искровский пр-кт, дом 10, корпус 2, квартира 12</v>
          </cell>
          <cell r="D1759" t="str">
            <v>РОССИЯ, 193315, Санкт-Петербург г, Народная ул, дом 82, квартира 9</v>
          </cell>
          <cell r="F1759" t="str">
            <v>Москва</v>
          </cell>
          <cell r="G1759">
            <v>0.66009259259259256</v>
          </cell>
          <cell r="H1759">
            <v>0.91009259259259256</v>
          </cell>
          <cell r="I1759" t="str">
            <v>ОК</v>
          </cell>
          <cell r="J1759" t="str">
            <v>ОК</v>
          </cell>
        </row>
        <row r="1760">
          <cell r="B1760" t="str">
            <v>А-04171/АЗ</v>
          </cell>
          <cell r="C1760" t="str">
            <v>РОССИЯ, 127349, Москва г, Алтуфьевское ш, дом № 86, квартира 319</v>
          </cell>
          <cell r="D1760" t="str">
            <v>РОССИЯ, 127349, Москва г, Алтуфьевское ш, дом № 86, квартира 319</v>
          </cell>
          <cell r="F1760" t="str">
            <v>Москва</v>
          </cell>
          <cell r="G1760">
            <v>0.66009259259259256</v>
          </cell>
          <cell r="H1760">
            <v>0.91009259259259256</v>
          </cell>
          <cell r="I1760" t="str">
            <v>ОК</v>
          </cell>
          <cell r="J1760" t="str">
            <v>ОК</v>
          </cell>
        </row>
        <row r="1761">
          <cell r="B1761" t="str">
            <v>Т-01865/АЗ_Т-20211028/Ц</v>
          </cell>
          <cell r="C1761" t="str">
            <v>РОССИЯ, 141002, Московская обл, Мытищи г, Станционная ул, дом 5, квартира 255</v>
          </cell>
          <cell r="D1761" t="str">
            <v>РОССИЯ, 141002, Московская обл, Мытищи г, Станционная ул, дом 5, квартира 255</v>
          </cell>
          <cell r="F1761" t="str">
            <v>Московская</v>
          </cell>
          <cell r="G1761">
            <v>0.66009259259259256</v>
          </cell>
          <cell r="H1761">
            <v>0.91009259259259256</v>
          </cell>
          <cell r="I1761" t="str">
            <v>ОК</v>
          </cell>
          <cell r="J1761" t="str">
            <v>ОК</v>
          </cell>
        </row>
        <row r="1762">
          <cell r="B1762" t="str">
            <v>В-12716/КЛ.Транш - 1</v>
          </cell>
          <cell r="C1762" t="str">
            <v>РОССИЯ, 601670, Владимирская обл, Александровский р-н, Струнино г, Островского ул, дом 3, квартира 66</v>
          </cell>
          <cell r="D1762" t="str">
            <v>РОССИЯ, 601670, Владимирская обл, Александровский р-н, Плеханы д, дом 127, квартира 27</v>
          </cell>
          <cell r="F1762" t="str">
            <v>Владимирская</v>
          </cell>
          <cell r="G1762">
            <v>0.66009259259259256</v>
          </cell>
          <cell r="H1762">
            <v>0.91009259259259256</v>
          </cell>
          <cell r="I1762" t="str">
            <v>ОК</v>
          </cell>
          <cell r="J1762" t="str">
            <v>ОК</v>
          </cell>
        </row>
        <row r="1763">
          <cell r="B1763" t="str">
            <v>В-01252/КЛ.Транш - 1_В-20211230/Ц</v>
          </cell>
          <cell r="C1763" t="str">
            <v>РОССИЯ, 188661, Ленинградская обл, Всеволожский р-н, Новое Девяткино д, Арсенальная ул, дом 6, квартира 241</v>
          </cell>
          <cell r="D1763" t="str">
            <v>РОССИЯ, 188661, Ленинградская обл, Всеволожский р-н, Новое Девяткино д, Арсенальная ул, дом 6, квартира 241</v>
          </cell>
          <cell r="F1763" t="str">
            <v>Ленинградская</v>
          </cell>
          <cell r="G1763">
            <v>0.66009259259259256</v>
          </cell>
          <cell r="H1763">
            <v>0.91009259259259256</v>
          </cell>
          <cell r="I1763" t="str">
            <v>ОК</v>
          </cell>
          <cell r="J1763" t="str">
            <v>ОК</v>
          </cell>
        </row>
        <row r="1764">
          <cell r="B1764" t="str">
            <v>В-00818/АЗ</v>
          </cell>
          <cell r="C1764" t="str">
            <v>РОССИЯ, 385000, Адыгея респ, Майкоп г, в/ч 09332</v>
          </cell>
          <cell r="D1764" t="str">
            <v>РОССИЯ, 353236, Краснодарский край, Северский р-н, Афипский пгт, 50 лет Октября ул, дом 98/5, квартира 150</v>
          </cell>
          <cell r="F1764" t="str">
            <v>Краснодарский</v>
          </cell>
          <cell r="G1764">
            <v>0.66009259259259256</v>
          </cell>
          <cell r="H1764">
            <v>0.91009259259259256</v>
          </cell>
          <cell r="I1764" t="str">
            <v>ОК</v>
          </cell>
          <cell r="J1764" t="str">
            <v>ОК</v>
          </cell>
        </row>
        <row r="1765">
          <cell r="B1765" t="str">
            <v>В-19252/КЛ.Транш - 1</v>
          </cell>
          <cell r="C1765" t="str">
            <v>РОССИЯ, Московская обл, Королев г, Пионерская ул, дом № 13, корпус 1, квартира 235</v>
          </cell>
          <cell r="D1765" t="str">
            <v>РОССИЯ, Московская обл, Королев г, Пионерская ул, дом № 13, корпус 1, квартира 235</v>
          </cell>
          <cell r="F1765" t="str">
            <v>Московская</v>
          </cell>
          <cell r="G1765">
            <v>0.66009259259259256</v>
          </cell>
          <cell r="H1765">
            <v>0.91009259259259256</v>
          </cell>
          <cell r="I1765" t="str">
            <v>ОК</v>
          </cell>
          <cell r="J1765" t="str">
            <v>ОК</v>
          </cell>
        </row>
        <row r="1766">
          <cell r="B1766" t="str">
            <v>В-12269/КЛ.Транш - 1</v>
          </cell>
          <cell r="C1766" t="str">
            <v>РОССИЯ, 125480, Москва г, Героев Панфиловцев ул, дом 17, корпус 1, квартира 118</v>
          </cell>
          <cell r="D1766" t="str">
            <v>РОССИЯ, 125480, Москва г, Героев Панфиловцев ул, дом 17, корпус 1, квартира 118</v>
          </cell>
          <cell r="F1766" t="str">
            <v>Москва</v>
          </cell>
          <cell r="G1766">
            <v>0.66009259259259256</v>
          </cell>
          <cell r="H1766">
            <v>0.91009259259259256</v>
          </cell>
          <cell r="I1766" t="str">
            <v>ОК</v>
          </cell>
          <cell r="J1766" t="str">
            <v>ОК</v>
          </cell>
        </row>
        <row r="1767">
          <cell r="B1767" t="str">
            <v>В-21352/КЛ.Транш - 1</v>
          </cell>
          <cell r="C1767" t="str">
            <v>РОССИЯ, 117447, Москва г, ул Винокурова, д. 12, к. 1, кв. 14</v>
          </cell>
          <cell r="D1767" t="str">
            <v>РОССИЯ, 142702, Московская обл, г.о. Ленинский, г Видное, рп Бутово, тер Жилой комплекс Бутово-Парк, д. 6, кв. 80</v>
          </cell>
          <cell r="F1767" t="str">
            <v>Московская</v>
          </cell>
          <cell r="G1767">
            <v>0.66009259259259256</v>
          </cell>
          <cell r="H1767">
            <v>0.91009259259259256</v>
          </cell>
          <cell r="I1767" t="str">
            <v>ОК</v>
          </cell>
          <cell r="J1767" t="str">
            <v>ОК</v>
          </cell>
        </row>
        <row r="1768">
          <cell r="B1768" t="str">
            <v>В-21352/КЛ.Транш - 2</v>
          </cell>
          <cell r="C1768" t="str">
            <v>РОССИЯ, 117447, Москва г, ул Винокурова, д. 12, к. 1, кв. 14</v>
          </cell>
          <cell r="D1768" t="str">
            <v>РОССИЯ, 142702, Московская обл, г.о. Ленинский, г Видное, рп Бутово, тер Жилой комплекс Бутово-Парк, д. 6, кв. 80</v>
          </cell>
          <cell r="F1768" t="str">
            <v>Московская</v>
          </cell>
          <cell r="G1768">
            <v>0.66009259259259256</v>
          </cell>
          <cell r="H1768">
            <v>0.91009259259259256</v>
          </cell>
          <cell r="I1768" t="str">
            <v>ОК</v>
          </cell>
          <cell r="J1768" t="str">
            <v>ОК</v>
          </cell>
        </row>
        <row r="1769">
          <cell r="B1769" t="str">
            <v>В-21352/КЛ.Транш - 3</v>
          </cell>
          <cell r="C1769" t="str">
            <v>РОССИЯ, 117447, Москва г, ул Винокурова, д. 12, к. 1, кв. 14</v>
          </cell>
          <cell r="D1769" t="str">
            <v>РОССИЯ, 142702, Московская обл, г.о. Ленинский, г Видное, рп Бутово, тер Жилой комплекс Бутово-Парк, д. 6, кв. 80</v>
          </cell>
          <cell r="F1769" t="str">
            <v>Московская</v>
          </cell>
          <cell r="G1769">
            <v>0.66009259259259256</v>
          </cell>
          <cell r="H1769">
            <v>0.91009259259259256</v>
          </cell>
          <cell r="I1769" t="str">
            <v>ОК</v>
          </cell>
          <cell r="J1769" t="str">
            <v>ОК</v>
          </cell>
        </row>
        <row r="1770">
          <cell r="B1770" t="str">
            <v>В-09213/КЛ.Транш - 1</v>
          </cell>
          <cell r="C1770" t="str">
            <v>РОССИЯ, 109451, Москва г, Перерва ул, дом 62, корпус 2, квартира 278</v>
          </cell>
          <cell r="D1770" t="str">
            <v>РОССИЯ, 109451, Москва г, Перерва ул, дом 62, корпус 2, квартира 278</v>
          </cell>
          <cell r="F1770" t="str">
            <v>Москва</v>
          </cell>
          <cell r="G1770">
            <v>0.66009259259259256</v>
          </cell>
          <cell r="H1770">
            <v>0.91009259259259256</v>
          </cell>
          <cell r="I1770" t="str">
            <v>ОК</v>
          </cell>
          <cell r="J1770" t="str">
            <v>ОК</v>
          </cell>
        </row>
        <row r="1771">
          <cell r="B1771" t="str">
            <v>В-26644/КЛ.Транш - 1</v>
          </cell>
          <cell r="C1771" t="str">
            <v>РОССИЯ, 119620, Москва г, Авиаторов ул, дом № 30, квартира 16</v>
          </cell>
          <cell r="D1771" t="str">
            <v>РОССИЯ, 119620, Москва г, Авиаторов ул, дом № 30, квартира 16</v>
          </cell>
          <cell r="F1771" t="str">
            <v>Москва</v>
          </cell>
          <cell r="G1771">
            <v>0.66009259259259256</v>
          </cell>
          <cell r="H1771">
            <v>0.91009259259259256</v>
          </cell>
          <cell r="I1771" t="str">
            <v>ОК</v>
          </cell>
          <cell r="J1771" t="str">
            <v>ОК</v>
          </cell>
        </row>
        <row r="1772">
          <cell r="B1772" t="str">
            <v>А-10037/КЭ.Транш - 1</v>
          </cell>
          <cell r="C1772" t="str">
            <v>198216, Санкт-Петербург г, Ленинский пр-кт, дом № 140, литера А, помещение 11Н</v>
          </cell>
          <cell r="F1772" t="str">
            <v>Москва</v>
          </cell>
          <cell r="G1772">
            <v>0.66009259259259256</v>
          </cell>
          <cell r="H1772">
            <v>0.91009259259259256</v>
          </cell>
          <cell r="I1772" t="str">
            <v>ОК</v>
          </cell>
          <cell r="J1772" t="str">
            <v>ОК</v>
          </cell>
        </row>
        <row r="1773">
          <cell r="B1773" t="str">
            <v>А-00366/КЭ.Транш - 3</v>
          </cell>
          <cell r="C1773" t="str">
            <v>141014, Московская обл, Мытищи, Мытищи г, Веры Волошиной ул, дом № 19/16, 2/16</v>
          </cell>
          <cell r="F1773" t="str">
            <v>Москва</v>
          </cell>
          <cell r="G1773">
            <v>0.66009259259259256</v>
          </cell>
          <cell r="H1773">
            <v>0.91009259259259256</v>
          </cell>
          <cell r="I1773" t="str">
            <v>ОК</v>
          </cell>
          <cell r="J1773" t="str">
            <v>ОК</v>
          </cell>
        </row>
        <row r="1774">
          <cell r="B1774" t="str">
            <v>А-05195/АЗ</v>
          </cell>
          <cell r="C1774" t="str">
            <v>РОССИЯ, 127566, Москва г, Северный б-р, дом № 17, квартира 226</v>
          </cell>
          <cell r="D1774" t="str">
            <v>РОССИЯ, 127566, Москва г, Северный б-р, дом № 17, квартира 226</v>
          </cell>
          <cell r="F1774" t="str">
            <v>Москва</v>
          </cell>
          <cell r="G1774">
            <v>0.66009259259259256</v>
          </cell>
          <cell r="H1774">
            <v>0.91009259259259256</v>
          </cell>
          <cell r="I1774" t="str">
            <v>ОК</v>
          </cell>
          <cell r="J1774" t="str">
            <v>ОК</v>
          </cell>
        </row>
        <row r="1775">
          <cell r="B1775" t="str">
            <v>Т-01754/АЗ_20190723/Ц</v>
          </cell>
          <cell r="C1775" t="str">
            <v>РОССИЯ, 127566, Москва г, Северный б-р, дом № 17, квартира 226</v>
          </cell>
          <cell r="D1775" t="str">
            <v>РОССИЯ, 127566, Москва г, Северный б-р, дом № 17, квартира 226</v>
          </cell>
          <cell r="F1775" t="str">
            <v>Москва</v>
          </cell>
          <cell r="G1775">
            <v>0.66009259259259256</v>
          </cell>
          <cell r="H1775">
            <v>0.91009259259259256</v>
          </cell>
          <cell r="I1775" t="str">
            <v>ОК</v>
          </cell>
          <cell r="J1775" t="str">
            <v>ОК</v>
          </cell>
        </row>
        <row r="1776">
          <cell r="B1776" t="str">
            <v>В-00547/АЗ</v>
          </cell>
          <cell r="C1776" t="str">
            <v>РОССИЯ, 628414, Ханты-Мансийский Автономный округ - Югра ао, Сургут г, Крылова ул, дом 32, квартира 137</v>
          </cell>
          <cell r="D1776" t="str">
            <v>РОССИЯ, 117546, Москва г, Медынская ул, дом 8, корпус 2, квартира 153</v>
          </cell>
          <cell r="F1776" t="str">
            <v>Москва</v>
          </cell>
          <cell r="G1776">
            <v>0.66009259259259256</v>
          </cell>
          <cell r="H1776">
            <v>0.91009259259259256</v>
          </cell>
          <cell r="I1776" t="str">
            <v>ОК</v>
          </cell>
          <cell r="J1776" t="str">
            <v>ОК</v>
          </cell>
        </row>
        <row r="1777">
          <cell r="B1777" t="str">
            <v>В-07377/КЛ.Транш - 1</v>
          </cell>
          <cell r="C1777" t="str">
            <v>РОССИЯ, 188820, Ленинградская обл, Выборгский р-н, Рощино гп, 3-й Строительный проезд, дом 8, квартира 1</v>
          </cell>
          <cell r="D1777" t="str">
            <v>РОССИЯ, 188820, Ленинградская обл, Выборгский р-н, Рощино гп, 3-й Строительный проезд, дом 8, квартира 1</v>
          </cell>
          <cell r="F1777" t="str">
            <v>Ленинградская</v>
          </cell>
          <cell r="G1777">
            <v>0.66009259259259256</v>
          </cell>
          <cell r="H1777">
            <v>0.91009259259259256</v>
          </cell>
          <cell r="I1777" t="str">
            <v>ОК</v>
          </cell>
          <cell r="J1777" t="str">
            <v>ОК</v>
          </cell>
        </row>
        <row r="1778">
          <cell r="B1778" t="str">
            <v>В-24072/АЗ_В-20211230/Ц</v>
          </cell>
          <cell r="C1778" t="str">
            <v>РОССИЯ, 385000, Адыгея респ, г Майкоп, тер. днт Восход, ул Клубничная, д. 602</v>
          </cell>
          <cell r="D1778" t="str">
            <v>РОССИЯ, 127543, Москва г, ул Корнейчука, д. 38А, кв. 10</v>
          </cell>
          <cell r="F1778" t="str">
            <v>Москва</v>
          </cell>
          <cell r="G1778">
            <v>0.66009259259259256</v>
          </cell>
          <cell r="H1778">
            <v>0.91009259259259256</v>
          </cell>
          <cell r="I1778" t="str">
            <v>ОК</v>
          </cell>
          <cell r="J1778" t="str">
            <v>ОК</v>
          </cell>
        </row>
        <row r="1779">
          <cell r="B1779" t="str">
            <v>В-29007/КЛ.Транш - 1</v>
          </cell>
          <cell r="C1779" t="str">
            <v>РОССИЯ, 453130, Башкортостан респ, г Стерлитамак, ул Гоголя, д. 120а, кв. 38</v>
          </cell>
          <cell r="D1779" t="str">
            <v>РОССИЯ, 453130, Башкортостан респ, г Стерлитамак, ул Гоголя, д. 120а, кв. 38</v>
          </cell>
          <cell r="F1779" t="str">
            <v>Башкортостан</v>
          </cell>
          <cell r="G1779">
            <v>0.66009259259259256</v>
          </cell>
          <cell r="H1779">
            <v>0.99342592592592593</v>
          </cell>
          <cell r="I1779" t="str">
            <v>поздно</v>
          </cell>
          <cell r="J1779" t="str">
            <v>ОК</v>
          </cell>
        </row>
        <row r="1780">
          <cell r="B1780" t="str">
            <v>В-23901/КЛ.Транш - 1</v>
          </cell>
          <cell r="C1780" t="str">
            <v>РОССИЯ, 127081, Москва г, ул Полярная, д. 27, к. 4, кв. 15</v>
          </cell>
          <cell r="D1780" t="str">
            <v>РОССИЯ, 127081, Москва г, ул Полярная, д. 27, к. 4, кв. 15</v>
          </cell>
          <cell r="F1780" t="str">
            <v>Москва</v>
          </cell>
          <cell r="G1780">
            <v>0.66009259259259256</v>
          </cell>
          <cell r="H1780">
            <v>0.91009259259259256</v>
          </cell>
          <cell r="I1780" t="str">
            <v>ОК</v>
          </cell>
          <cell r="J1780" t="str">
            <v>ОК</v>
          </cell>
        </row>
        <row r="1781">
          <cell r="B1781" t="str">
            <v>В-19457/КЛ.Транш - 1</v>
          </cell>
          <cell r="C1781" t="str">
            <v>РОССИЯ, 249080, Калужская обл, р-н Малоярославецкий, с Детчино, ул Московская, д. 8</v>
          </cell>
          <cell r="D1781" t="str">
            <v>РОССИЯ, 249080, Калужская обл, р-н Малоярославецкий, с Детчино, ул Московская, д. 8</v>
          </cell>
          <cell r="F1781" t="str">
            <v>Калужская</v>
          </cell>
          <cell r="G1781">
            <v>0.66009259259259256</v>
          </cell>
          <cell r="H1781">
            <v>0.91009259259259256</v>
          </cell>
          <cell r="I1781" t="str">
            <v>ОК</v>
          </cell>
          <cell r="J1781" t="str">
            <v>ОК</v>
          </cell>
        </row>
        <row r="1782">
          <cell r="B1782" t="str">
            <v>Т-01835/АЗ_Т-20211028/Ц</v>
          </cell>
          <cell r="C1782" t="str">
            <v>РОССИЯ, 108824, Москва г, Рязановское п, Фабрики им 1 Мая п, дом № 11, квартира 56</v>
          </cell>
          <cell r="D1782" t="str">
            <v>РОССИЯ, 108824, Москва г, Рязановское п, Фабрики им 1 Мая п, дом № 11, квартира 56</v>
          </cell>
          <cell r="F1782" t="str">
            <v>Москва</v>
          </cell>
          <cell r="G1782">
            <v>0.66009259259259256</v>
          </cell>
          <cell r="H1782">
            <v>0.91009259259259256</v>
          </cell>
          <cell r="I1782" t="str">
            <v>ОК</v>
          </cell>
          <cell r="J1782" t="str">
            <v>ОК</v>
          </cell>
        </row>
        <row r="1783">
          <cell r="B1783" t="str">
            <v>Т-01880/АЗ_Т-20211028/Ц</v>
          </cell>
          <cell r="C1783" t="str">
            <v>РОССИЯ, 108851, Москва г, Щербинка г, Люблинская ул, дом 7, квартира 62</v>
          </cell>
          <cell r="D1783" t="str">
            <v>РОССИЯ, 108851, Москва г, Щербинка г, Люблинская ул, дом 7, квартира 62</v>
          </cell>
          <cell r="F1783" t="str">
            <v>Москва</v>
          </cell>
          <cell r="G1783">
            <v>0.66009259259259256</v>
          </cell>
          <cell r="H1783">
            <v>0.91009259259259256</v>
          </cell>
          <cell r="I1783" t="str">
            <v>ОК</v>
          </cell>
          <cell r="J1783" t="str">
            <v>ОК</v>
          </cell>
        </row>
        <row r="1784">
          <cell r="B1784" t="str">
            <v>В-01013/КЛ.Транш - 1</v>
          </cell>
          <cell r="C1784" t="str">
            <v>РОССИЯ, 187330, Ленинградская обл, Кировский р-н, Отрадное г, Железнодорожная ул, дом 17, квартира 40</v>
          </cell>
          <cell r="D1784" t="str">
            <v>РОССИЯ, 187330, Ленинградская обл, Кировский р-н, Отрадное г, Железнодорожная ул, дом 17, квартира 40</v>
          </cell>
          <cell r="F1784" t="str">
            <v>Ленинградская</v>
          </cell>
          <cell r="G1784">
            <v>0.66009259259259256</v>
          </cell>
          <cell r="H1784">
            <v>0.91009259259259256</v>
          </cell>
          <cell r="I1784" t="str">
            <v>ОК</v>
          </cell>
          <cell r="J1784" t="str">
            <v>ОК</v>
          </cell>
        </row>
        <row r="1785">
          <cell r="B1785" t="str">
            <v>В-10627/КЛ.Транш - 1</v>
          </cell>
          <cell r="C1785" t="str">
            <v>РОССИЯ, 109388, Москва г, Шоссейная ул, дом 29, корпус 2, квартира 134</v>
          </cell>
          <cell r="D1785" t="str">
            <v>РОССИЯ, 109388, Москва г, Шоссейная ул, дом 29, корпус 2, квартира 134</v>
          </cell>
          <cell r="F1785" t="str">
            <v>Москва</v>
          </cell>
          <cell r="G1785">
            <v>0.66009259259259256</v>
          </cell>
          <cell r="H1785">
            <v>0.91009259259259256</v>
          </cell>
          <cell r="I1785" t="str">
            <v>ОК</v>
          </cell>
          <cell r="J1785" t="str">
            <v>ОК</v>
          </cell>
        </row>
        <row r="1786">
          <cell r="B1786" t="str">
            <v>В-23979/КЛ.Транш - 1</v>
          </cell>
          <cell r="C1786" t="str">
            <v>РОССИЯ, 190121, Санкт-Петербург г, ул Лабутина, д. 10, литера А, кв. 10</v>
          </cell>
          <cell r="D1786" t="str">
            <v>РОССИЯ, 190121, Санкт-Петербург г, ул Лабутина, д. 10, кв. 10</v>
          </cell>
          <cell r="F1786" t="str">
            <v>Москва</v>
          </cell>
          <cell r="G1786">
            <v>0.66009259259259256</v>
          </cell>
          <cell r="H1786">
            <v>0.91009259259259256</v>
          </cell>
          <cell r="I1786" t="str">
            <v>ОК</v>
          </cell>
          <cell r="J1786" t="str">
            <v>ОК</v>
          </cell>
        </row>
        <row r="1787">
          <cell r="B1787" t="str">
            <v>В-18972/КЛ.Транш - 1</v>
          </cell>
          <cell r="C1787" t="str">
            <v>РОССИЯ, 196631, Санкт-Петербург г, п Александровская, ул Институтская, д. 39, литера А</v>
          </cell>
          <cell r="D1787" t="str">
            <v>РОССИЯ, 196631, Санкт-Петербург г, п Александровская, ул Институтская, д. 39, литера А</v>
          </cell>
          <cell r="F1787" t="str">
            <v>Москва</v>
          </cell>
          <cell r="G1787">
            <v>0.66009259259259256</v>
          </cell>
          <cell r="H1787">
            <v>0.91009259259259256</v>
          </cell>
          <cell r="I1787" t="str">
            <v>ОК</v>
          </cell>
          <cell r="J1787" t="str">
            <v>ОК</v>
          </cell>
        </row>
        <row r="1788">
          <cell r="B1788" t="str">
            <v>В-27422/КЛ.Транш - 1</v>
          </cell>
          <cell r="C1788" t="str">
            <v>РОССИЯ, 392518, Тамбовская обл, р-н Тамбовский, п Тригуляй, д. 95В</v>
          </cell>
          <cell r="D1788" t="str">
            <v>РОССИЯ, 392518, Тамбовская обл, р-н Тамбовский, п Тригуляй, д. 95В</v>
          </cell>
          <cell r="F1788" t="str">
            <v>Тамбовская</v>
          </cell>
          <cell r="G1788">
            <v>0.66009259259259256</v>
          </cell>
          <cell r="H1788">
            <v>0.91009259259259256</v>
          </cell>
          <cell r="I1788" t="str">
            <v>ОК</v>
          </cell>
          <cell r="J1788" t="str">
            <v>ОК</v>
          </cell>
        </row>
        <row r="1789">
          <cell r="B1789" t="str">
            <v>А-05334/АЗ_А-20210517/Ц</v>
          </cell>
          <cell r="C1789" t="str">
            <v>РОССИЯ, 196603, Санкт-Петербург г, Пушкин г, Красносельское ш, дом № 12, корпус 2, литер А, квартира 20</v>
          </cell>
          <cell r="D1789" t="str">
            <v>РОССИЯ, 196603, Санкт-Петербург г, Пушкин г, Красносельское ш, дом № 12, корпус 2, литер А, квартира 20</v>
          </cell>
          <cell r="F1789" t="str">
            <v>Москва</v>
          </cell>
          <cell r="G1789">
            <v>0.66009259259259256</v>
          </cell>
          <cell r="H1789">
            <v>0.91009259259259256</v>
          </cell>
          <cell r="I1789" t="str">
            <v>ОК</v>
          </cell>
          <cell r="J1789" t="str">
            <v>ОК</v>
          </cell>
        </row>
        <row r="1790">
          <cell r="B1790" t="str">
            <v>Т-01798/АЗ_Т-20210517/Ц</v>
          </cell>
          <cell r="C1790" t="str">
            <v>РОССИЯ, 196603, Санкт-Петербург г, Пушкин г, Красносельское ш, дом № 12, корпус 2, литер А, квартира 20</v>
          </cell>
          <cell r="D1790" t="str">
            <v>РОССИЯ, 196603, Санкт-Петербург г, Пушкин г, Красносельское ш, дом № 12, корпус 2, литер А, квартира 20</v>
          </cell>
          <cell r="F1790" t="str">
            <v>Москва</v>
          </cell>
          <cell r="G1790">
            <v>0.66009259259259256</v>
          </cell>
          <cell r="H1790">
            <v>0.91009259259259256</v>
          </cell>
          <cell r="I1790" t="str">
            <v>ОК</v>
          </cell>
          <cell r="J1790" t="str">
            <v>ОК</v>
          </cell>
        </row>
        <row r="1791">
          <cell r="B1791" t="str">
            <v>В-20210/КЛ.Транш - 1</v>
          </cell>
          <cell r="C1791" t="str">
            <v>РОССИЯ, 455025, Челябинская обл, г Магнитогорск, ул Ангарская, д. 137, кв. 77</v>
          </cell>
          <cell r="D1791" t="str">
            <v>РОССИЯ, 455023, Челябинская обл, г Магнитогорск, ул Калинина, д. 3, кв. 5</v>
          </cell>
          <cell r="F1791" t="str">
            <v>Челябинская</v>
          </cell>
          <cell r="G1791">
            <v>0.66009259259259256</v>
          </cell>
          <cell r="H1791">
            <v>0.99342592592592593</v>
          </cell>
          <cell r="I1791" t="str">
            <v>поздно</v>
          </cell>
          <cell r="J1791" t="str">
            <v>ОК</v>
          </cell>
        </row>
        <row r="1792">
          <cell r="B1792" t="str">
            <v>В-20210/КЛ.Транш - 2</v>
          </cell>
          <cell r="C1792" t="str">
            <v>РОССИЯ, 455025, Челябинская обл, г Магнитогорск, ул Ангарская, д. 137, кв. 77</v>
          </cell>
          <cell r="D1792" t="str">
            <v>РОССИЯ, 455023, Челябинская обл, г Магнитогорск, ул Калинина, д. 3, кв. 5</v>
          </cell>
          <cell r="F1792" t="str">
            <v>Челябинская</v>
          </cell>
          <cell r="G1792">
            <v>0.66009259259259256</v>
          </cell>
          <cell r="H1792">
            <v>0.99342592592592593</v>
          </cell>
          <cell r="I1792" t="str">
            <v>поздно</v>
          </cell>
          <cell r="J1792" t="str">
            <v>ОК</v>
          </cell>
        </row>
        <row r="1793">
          <cell r="B1793" t="str">
            <v>В-12007/КЛ.Транш - 2</v>
          </cell>
          <cell r="C1793" t="str">
            <v>РОССИЯ, 141894, Московская обл, Дмитров г, Старо д, дом 2А</v>
          </cell>
          <cell r="D1793" t="str">
            <v>РОССИЯ, 124575, Москва г, Зеленоград г, корпус 908, квартира 169</v>
          </cell>
          <cell r="F1793" t="str">
            <v>Москва</v>
          </cell>
          <cell r="G1793">
            <v>0.66009259259259256</v>
          </cell>
          <cell r="H1793">
            <v>0.91009259259259256</v>
          </cell>
          <cell r="I1793" t="str">
            <v>ОК</v>
          </cell>
          <cell r="J1793" t="str">
            <v>ОК</v>
          </cell>
        </row>
        <row r="1794">
          <cell r="B1794" t="str">
            <v>В-10890/КЛ.Транш - 1</v>
          </cell>
          <cell r="C1794" t="str">
            <v>РОССИЯ, 400137, Волгоградская обл, Волгоград г, 8-й Воздушной Армии ул, дом 30, квартира 9</v>
          </cell>
          <cell r="D1794" t="str">
            <v>РОССИЯ, 400137, Волгоградская обл, Волгоград г, 8-й Воздушной Армии ул, дом 30, квартира 9</v>
          </cell>
          <cell r="F1794" t="str">
            <v>Волгоградская</v>
          </cell>
          <cell r="G1794">
            <v>0.66009259259259256</v>
          </cell>
          <cell r="H1794">
            <v>0.9517592592592593</v>
          </cell>
          <cell r="I1794" t="str">
            <v>поздно</v>
          </cell>
          <cell r="J1794" t="str">
            <v>ОК</v>
          </cell>
        </row>
        <row r="1795">
          <cell r="B1795" t="str">
            <v>В-16610/КЛ.Транш - 1</v>
          </cell>
          <cell r="C1795" t="str">
            <v>РОССИЯ, 353454, Краснодарский край, Анапский р-н, Анапа г, Ленина ул, дом 134, квартира 63</v>
          </cell>
          <cell r="D1795" t="str">
            <v>РОССИЯ, 353454, Краснодарский край, Анапский р-н, Анапа г, Ленина ул, дом 151, квартира 2</v>
          </cell>
          <cell r="F1795" t="str">
            <v>Краснодарский</v>
          </cell>
          <cell r="G1795">
            <v>0.66009259259259256</v>
          </cell>
          <cell r="H1795">
            <v>0.91009259259259256</v>
          </cell>
          <cell r="I1795" t="str">
            <v>ОК</v>
          </cell>
          <cell r="J1795" t="str">
            <v>ОК</v>
          </cell>
        </row>
        <row r="1796">
          <cell r="B1796" t="str">
            <v>В-02849/КЛ.Транш - 1</v>
          </cell>
          <cell r="C1796" t="str">
            <v>РОССИЯ, 143988, Московская обл, Балашиха г, Павлино мкр., ул Бояринова, дом 9, квартира 136</v>
          </cell>
          <cell r="D1796" t="str">
            <v>РОССИЯ, 143988, Московская обл, Балашиха г, Павлино мкр., ул Бояринова, дом 9, квартира 136</v>
          </cell>
          <cell r="F1796" t="str">
            <v>Московская</v>
          </cell>
          <cell r="G1796">
            <v>0.66009259259259256</v>
          </cell>
          <cell r="H1796">
            <v>0.91009259259259256</v>
          </cell>
          <cell r="I1796" t="str">
            <v>ОК</v>
          </cell>
          <cell r="J1796" t="str">
            <v>ОК</v>
          </cell>
        </row>
        <row r="1797">
          <cell r="B1797" t="str">
            <v>В-01068/АЗ</v>
          </cell>
          <cell r="C1797" t="str">
            <v>РОССИЯ, 109451, Москва г, Верхние Поля ул, дом № 28, квартира 538</v>
          </cell>
          <cell r="D1797" t="str">
            <v>РОССИЯ, 123423, Москва г, Народного Ополчения ул, дом № 10, корпус 1, квартира 39</v>
          </cell>
          <cell r="F1797" t="str">
            <v>Москва</v>
          </cell>
          <cell r="G1797">
            <v>0.66009259259259256</v>
          </cell>
          <cell r="H1797">
            <v>0.91009259259259256</v>
          </cell>
          <cell r="I1797" t="str">
            <v>ОК</v>
          </cell>
          <cell r="J1797" t="str">
            <v>ОК</v>
          </cell>
        </row>
        <row r="1798">
          <cell r="B1798" t="str">
            <v>В-26432/АЗ</v>
          </cell>
          <cell r="C1798" t="str">
            <v>РОССИЯ, 109451, Москва г, Верхние Поля ул, дом № 28, квартира 538</v>
          </cell>
          <cell r="D1798" t="str">
            <v>РОССИЯ, 123423, Москва г, Народного Ополчения ул, дом № 10, корпус 1, квартира 39</v>
          </cell>
          <cell r="F1798" t="str">
            <v>Москва</v>
          </cell>
          <cell r="G1798">
            <v>0.66009259259259256</v>
          </cell>
          <cell r="H1798">
            <v>0.91009259259259256</v>
          </cell>
          <cell r="I1798" t="str">
            <v>ОК</v>
          </cell>
          <cell r="J1798" t="str">
            <v>ОК</v>
          </cell>
        </row>
        <row r="1799">
          <cell r="B1799" t="str">
            <v>В-22205/КЛ.Транш - 1</v>
          </cell>
          <cell r="C1799" t="str">
            <v>РОССИЯ, 634009, Томская обл, Томск г, Розы Люксембург ул, дом 50, квартира 12</v>
          </cell>
          <cell r="D1799" t="str">
            <v>РОССИЯ, 109429, Москва г, Капотня 5-й кв-л, дом 8, квартира 154</v>
          </cell>
          <cell r="F1799" t="str">
            <v>Москва</v>
          </cell>
          <cell r="G1799">
            <v>0.66009259259259256</v>
          </cell>
          <cell r="H1799">
            <v>0.91009259259259256</v>
          </cell>
          <cell r="I1799" t="str">
            <v>ОК</v>
          </cell>
          <cell r="J1799" t="str">
            <v>ОК</v>
          </cell>
        </row>
        <row r="1800">
          <cell r="B1800" t="str">
            <v>В-22205/КЛ.Транш - 2</v>
          </cell>
          <cell r="C1800" t="str">
            <v>РОССИЯ, 634009, Томская обл, Томск г, Розы Люксембург ул, дом 50, квартира 12</v>
          </cell>
          <cell r="D1800" t="str">
            <v>РОССИЯ, 109429, Москва г, Капотня 5-й кв-л, дом 8, квартира 154</v>
          </cell>
          <cell r="F1800" t="str">
            <v>Москва</v>
          </cell>
          <cell r="G1800">
            <v>0.66009259259259256</v>
          </cell>
          <cell r="H1800">
            <v>0.91009259259259256</v>
          </cell>
          <cell r="I1800" t="str">
            <v>ОК</v>
          </cell>
          <cell r="J1800" t="str">
            <v>ОК</v>
          </cell>
        </row>
        <row r="1801">
          <cell r="B1801" t="str">
            <v>В-28154/КЛ.Транш - 1</v>
          </cell>
          <cell r="C1801" t="str">
            <v>РОССИЯ, 299009, Севастополь г, ул Харченко, д. 9</v>
          </cell>
          <cell r="D1801" t="str">
            <v>РОССИЯ, 299009, Севастополь г, ул Харченко, д. 9</v>
          </cell>
          <cell r="F1801" t="str">
            <v>Москва</v>
          </cell>
          <cell r="G1801">
            <v>0.66009259259259256</v>
          </cell>
          <cell r="H1801">
            <v>0.91009259259259256</v>
          </cell>
          <cell r="I1801" t="str">
            <v>ОК</v>
          </cell>
          <cell r="J1801" t="str">
            <v>ОК</v>
          </cell>
        </row>
        <row r="1802">
          <cell r="B1802" t="str">
            <v>В-17788/КЛ.Транш - 1</v>
          </cell>
          <cell r="C1802" t="str">
            <v>РОССИЯ, 624740, Свердловская обл, Нижняя Салда г, Строителей ул, дом 1, квартира 11</v>
          </cell>
          <cell r="D1802" t="str">
            <v>РОССИЯ, 624740, Свердловская обл, Нижняя Салда г, Строителей ул, дом 1, квартира 11</v>
          </cell>
          <cell r="F1802" t="str">
            <v>Свердловская</v>
          </cell>
          <cell r="G1802">
            <v>0.66009259259259256</v>
          </cell>
          <cell r="H1802">
            <v>0.99342592592592593</v>
          </cell>
          <cell r="I1802" t="str">
            <v>поздно</v>
          </cell>
          <cell r="J1802" t="str">
            <v>ОК</v>
          </cell>
        </row>
        <row r="1803">
          <cell r="B1803" t="str">
            <v>В-17788/КЛ.Транш - 2</v>
          </cell>
          <cell r="C1803" t="str">
            <v>РОССИЯ, 624740, Свердловская обл, Нижняя Салда г, Строителей ул, дом 1, квартира 11</v>
          </cell>
          <cell r="D1803" t="str">
            <v>РОССИЯ, 624740, Свердловская обл, Нижняя Салда г, Строителей ул, дом 1, квартира 11</v>
          </cell>
          <cell r="F1803" t="str">
            <v>Свердловская</v>
          </cell>
          <cell r="G1803">
            <v>0.66009259259259256</v>
          </cell>
          <cell r="H1803">
            <v>0.99342592592592593</v>
          </cell>
          <cell r="I1803" t="str">
            <v>поздно</v>
          </cell>
          <cell r="J1803" t="str">
            <v>ОК</v>
          </cell>
        </row>
        <row r="1804">
          <cell r="B1804" t="str">
            <v>В-17788/КЛ.Транш - 3</v>
          </cell>
          <cell r="C1804" t="str">
            <v>РОССИЯ, 624740, Свердловская обл, Нижняя Салда г, Строителей ул, дом 1, квартира 11</v>
          </cell>
          <cell r="D1804" t="str">
            <v>РОССИЯ, 624740, Свердловская обл, Нижняя Салда г, Строителей ул, дом 1, квартира 11</v>
          </cell>
          <cell r="F1804" t="str">
            <v>Свердловская</v>
          </cell>
          <cell r="G1804">
            <v>0.66009259259259256</v>
          </cell>
          <cell r="H1804">
            <v>0.99342592592592593</v>
          </cell>
          <cell r="I1804" t="str">
            <v>поздно</v>
          </cell>
          <cell r="J1804" t="str">
            <v>ОК</v>
          </cell>
        </row>
        <row r="1805">
          <cell r="B1805" t="str">
            <v>В-15393/КЛ.Транш - 1</v>
          </cell>
          <cell r="C1805" t="str">
            <v>РОССИЯ, 446218, Самарская обл, Новокуйбышевск г, Победы пр-кт, дом 38, квартира 83</v>
          </cell>
          <cell r="D1805" t="str">
            <v>РОССИЯ, 446218, Самарская обл, Новокуйбышевск г, Победы пр-кт, дом 38, квартира 83</v>
          </cell>
          <cell r="F1805" t="str">
            <v>Самарская</v>
          </cell>
          <cell r="G1805">
            <v>0.66009259259259256</v>
          </cell>
          <cell r="H1805">
            <v>0.9517592592592593</v>
          </cell>
          <cell r="I1805" t="str">
            <v>поздно</v>
          </cell>
          <cell r="J1805" t="str">
            <v>ОК</v>
          </cell>
        </row>
        <row r="1806">
          <cell r="B1806" t="str">
            <v>В-22101/КЛ.Транш - 1</v>
          </cell>
          <cell r="C1806" t="str">
            <v>РОССИЯ, 416450, Астраханская обл, м.р-н Приволжский, с.п. сельское поселение Началовский сельсовет, с Началово, ул Астраханская, д. 1Г</v>
          </cell>
          <cell r="D1806" t="str">
            <v>РОССИЯ, 676454, Амурская обл, г Свободный, ул Инженерная, д. 41, кв. 27</v>
          </cell>
          <cell r="F1806" t="str">
            <v>Амурская</v>
          </cell>
          <cell r="G1806">
            <v>0.66009259259259256</v>
          </cell>
          <cell r="H1806">
            <v>0.16009259259259268</v>
          </cell>
          <cell r="I1806" t="str">
            <v>поздно</v>
          </cell>
          <cell r="J1806" t="str">
            <v>ОК</v>
          </cell>
        </row>
        <row r="1807">
          <cell r="B1807" t="str">
            <v>В-01193/АЗ</v>
          </cell>
          <cell r="C1807" t="str">
            <v>РОССИЯ, 142713, Московская обл, г Видное, д Григорчиково, ул Янтарная, д. 18, кв. 3</v>
          </cell>
          <cell r="D1807" t="str">
            <v>РОССИЯ, 142713, Московская обл, г Видное, д Григорчиково, ул Янтарная, д. 18, кв. 3</v>
          </cell>
          <cell r="F1807" t="str">
            <v>Московская</v>
          </cell>
          <cell r="G1807">
            <v>0.66009259259259256</v>
          </cell>
          <cell r="H1807">
            <v>0.91009259259259256</v>
          </cell>
          <cell r="I1807" t="str">
            <v>ОК</v>
          </cell>
          <cell r="J1807" t="str">
            <v>ОК</v>
          </cell>
        </row>
        <row r="1808">
          <cell r="B1808" t="str">
            <v>В-20035/КЛ.Транш - 1</v>
          </cell>
          <cell r="C1808" t="str">
            <v>РОССИЯ, 462781, Оренбургская обл, г Ясный, ул Северная, д. 6, кв. 63</v>
          </cell>
          <cell r="D1808" t="str">
            <v>РОССИЯ, 115561, Москва г, вн.тер. г. муниципальный округ Орехово-Борисово Южное, ш Каширское, д. 136, кв. 8</v>
          </cell>
          <cell r="F1808" t="str">
            <v>Москва</v>
          </cell>
          <cell r="G1808">
            <v>0.66009259259259256</v>
          </cell>
          <cell r="H1808">
            <v>0.91009259259259256</v>
          </cell>
          <cell r="I1808" t="str">
            <v>ОК</v>
          </cell>
          <cell r="J1808" t="str">
            <v>ОК</v>
          </cell>
        </row>
        <row r="1809">
          <cell r="B1809" t="str">
            <v>В-05766/КЛ.Транш - 4</v>
          </cell>
          <cell r="C1809" t="str">
            <v>РОССИЯ, 125195, Москва г, Смольная ул, дом № 33, квартира 63</v>
          </cell>
          <cell r="D1809" t="str">
            <v>РОССИЯ, 125195, Москва г, Смольная ул, дом № 33, квартира 63</v>
          </cell>
          <cell r="F1809" t="str">
            <v>Москва</v>
          </cell>
          <cell r="G1809">
            <v>0.66009259259259256</v>
          </cell>
          <cell r="H1809">
            <v>0.91009259259259256</v>
          </cell>
          <cell r="I1809" t="str">
            <v>ОК</v>
          </cell>
          <cell r="J1809" t="str">
            <v>ОК</v>
          </cell>
        </row>
        <row r="1810">
          <cell r="B1810" t="str">
            <v>В-26135/КЛ.Транш - 1</v>
          </cell>
          <cell r="C1810" t="str">
            <v>РОССИЯ, 125047, Москва г, Тверская-Ямская 1-я ул, дом № 36, строение 1, квартира 66</v>
          </cell>
          <cell r="D1810" t="str">
            <v>РОССИЯ, 125047, Москва г, Тверская-Ямская 1-я ул, дом № 36, строение 1, квартира 66</v>
          </cell>
          <cell r="F1810" t="str">
            <v>Москва</v>
          </cell>
          <cell r="G1810">
            <v>0.66009259259259256</v>
          </cell>
          <cell r="H1810">
            <v>0.91009259259259256</v>
          </cell>
          <cell r="I1810" t="str">
            <v>ОК</v>
          </cell>
          <cell r="J1810" t="str">
            <v>ОК</v>
          </cell>
        </row>
        <row r="1811">
          <cell r="B1811" t="str">
            <v>В-23906/КЛ.Транш - 1</v>
          </cell>
          <cell r="C1811" t="str">
            <v>РОССИЯ, 115563, Москва г, ул Шипиловская, д. 25, к. 1, кв. 254</v>
          </cell>
          <cell r="D1811" t="str">
            <v>РОССИЯ, 115563, Москва г, ул Шипиловская, д. 25, к. 1, кв. 254</v>
          </cell>
          <cell r="F1811" t="str">
            <v>Москва</v>
          </cell>
          <cell r="G1811">
            <v>0.66009259259259256</v>
          </cell>
          <cell r="H1811">
            <v>0.91009259259259256</v>
          </cell>
          <cell r="I1811" t="str">
            <v>ОК</v>
          </cell>
          <cell r="J1811" t="str">
            <v>ОК</v>
          </cell>
        </row>
        <row r="1812">
          <cell r="B1812" t="str">
            <v>В-00256/КЛ.Транш - 1_В-20211230/Ц</v>
          </cell>
          <cell r="C1812" t="str">
            <v>РОССИЯ, 140030, Московская обл, Люберецкий р-н, Малаховка рп, Чайковского ул, дом 42Г, квартира 7</v>
          </cell>
          <cell r="D1812" t="str">
            <v>РОССИЯ, 140030, Московская обл, Люберецкий р-н, Малаховка рп, Чайковского ул, дом 42Г, квартира 7</v>
          </cell>
          <cell r="F1812" t="str">
            <v>Московская</v>
          </cell>
          <cell r="G1812">
            <v>0.66009259259259256</v>
          </cell>
          <cell r="H1812">
            <v>0.91009259259259256</v>
          </cell>
          <cell r="I1812" t="str">
            <v>ОК</v>
          </cell>
          <cell r="J1812" t="str">
            <v>ОК</v>
          </cell>
        </row>
        <row r="1813">
          <cell r="B1813" t="str">
            <v>В-00256/КЛ.Транш - 2_В-20211230/Ц</v>
          </cell>
          <cell r="C1813" t="str">
            <v>РОССИЯ, 140030, Московская обл, Люберецкий р-н, Малаховка рп, Чайковского ул, дом 42Г, квартира 7</v>
          </cell>
          <cell r="D1813" t="str">
            <v>РОССИЯ, 140030, Московская обл, Люберецкий р-н, Малаховка рп, Чайковского ул, дом 42Г, квартира 7</v>
          </cell>
          <cell r="F1813" t="str">
            <v>Московская</v>
          </cell>
          <cell r="G1813">
            <v>0.66009259259259256</v>
          </cell>
          <cell r="H1813">
            <v>0.91009259259259256</v>
          </cell>
          <cell r="I1813" t="str">
            <v>ОК</v>
          </cell>
          <cell r="J1813" t="str">
            <v>ОК</v>
          </cell>
        </row>
        <row r="1814">
          <cell r="B1814" t="str">
            <v>В-08962/КЛ.Транш - 1</v>
          </cell>
          <cell r="C1814" t="str">
            <v>РОССИЯ, 601900, Владимирская обл, Ковров г, Ленина пр-кт, дом 9, квартира 13</v>
          </cell>
          <cell r="D1814" t="str">
            <v>РОССИЯ, 601900, Владимирская обл, Ковров г, Ленина пр-кт, дом 9, квартира 13</v>
          </cell>
          <cell r="F1814" t="str">
            <v>Владимирская</v>
          </cell>
          <cell r="G1814">
            <v>0.66009259259259256</v>
          </cell>
          <cell r="H1814">
            <v>0.91009259259259256</v>
          </cell>
          <cell r="I1814" t="str">
            <v>ОК</v>
          </cell>
          <cell r="J1814" t="str">
            <v>ОК</v>
          </cell>
        </row>
        <row r="1815">
          <cell r="B1815" t="str">
            <v>А-30003/КЭ.Транш - 1</v>
          </cell>
          <cell r="C1815" t="str">
            <v>354068, Краснодарский край, Сочи г, Донская ул, дом № 10, офис 504-Ю</v>
          </cell>
          <cell r="F1815" t="str">
            <v>Москва</v>
          </cell>
          <cell r="G1815">
            <v>0.66009259259259256</v>
          </cell>
          <cell r="H1815">
            <v>0.91009259259259256</v>
          </cell>
          <cell r="I1815" t="str">
            <v>ОК</v>
          </cell>
          <cell r="J1815" t="str">
            <v>ОК</v>
          </cell>
        </row>
        <row r="1816">
          <cell r="B1816" t="str">
            <v>В-00070/КЭ.Транш - 1</v>
          </cell>
          <cell r="C1816" t="str">
            <v>141503, Московская Область, г.о. Солнечногорск, г Солнечногорск, ул Красная, д. 136, этаж 2 ПОМ 31</v>
          </cell>
          <cell r="F1816" t="str">
            <v>Москва</v>
          </cell>
          <cell r="G1816">
            <v>0.66009259259259256</v>
          </cell>
          <cell r="H1816">
            <v>0.91009259259259256</v>
          </cell>
          <cell r="I1816" t="str">
            <v>ОК</v>
          </cell>
          <cell r="J1816" t="str">
            <v>ОК</v>
          </cell>
        </row>
        <row r="1817">
          <cell r="B1817" t="str">
            <v>В-27843/КЛ.Транш - 1</v>
          </cell>
          <cell r="C1817" t="str">
            <v>РОССИЯ, 117452, Москва г, Симферопольский б-р, дом 24, корпус 3, квартира 136</v>
          </cell>
          <cell r="D1817" t="str">
            <v>РОССИЯ, 117452, Москва г, Симферопольский б-р, дом 24, корпус 3, квартира 136</v>
          </cell>
          <cell r="F1817" t="str">
            <v>Москва</v>
          </cell>
          <cell r="G1817">
            <v>0.66009259259259256</v>
          </cell>
          <cell r="H1817">
            <v>0.91009259259259256</v>
          </cell>
          <cell r="I1817" t="str">
            <v>ОК</v>
          </cell>
          <cell r="J1817" t="str">
            <v>ОК</v>
          </cell>
        </row>
        <row r="1818">
          <cell r="B1818" t="str">
            <v>В-01143/АЗ</v>
          </cell>
          <cell r="C1818" t="str">
            <v>РОССИЯ, 385236, Адыгея респ, Теучежский р-н, Городской х, Степная ул, дом 9</v>
          </cell>
          <cell r="D1818" t="str">
            <v>РОССИЯ, 350051, Краснодарский край, Краснодар г, Строителей ул, дом 7, квартира 4</v>
          </cell>
          <cell r="F1818" t="str">
            <v>Краснодарский</v>
          </cell>
          <cell r="G1818">
            <v>0.66009259259259256</v>
          </cell>
          <cell r="H1818">
            <v>0.91009259259259256</v>
          </cell>
          <cell r="I1818" t="str">
            <v>ОК</v>
          </cell>
          <cell r="J1818" t="str">
            <v>ОК</v>
          </cell>
        </row>
        <row r="1819">
          <cell r="B1819" t="str">
            <v>В-20329/КЛ.Транш - 1</v>
          </cell>
          <cell r="C1819" t="str">
            <v>РОССИЯ, 143088, Московская обл, г Одинцово, п санатория им. Герцена, гск Здоровье, д. 45, кв. 5</v>
          </cell>
          <cell r="D1819" t="str">
            <v>РОССИЯ, 143088, Московская обл, г Одинцово, п санатория им. Герцена, гск Здоровье, д. 45, кв. 5</v>
          </cell>
          <cell r="F1819" t="str">
            <v>Московская</v>
          </cell>
          <cell r="G1819">
            <v>0.66009259259259256</v>
          </cell>
          <cell r="H1819">
            <v>0.91009259259259256</v>
          </cell>
          <cell r="I1819" t="str">
            <v>ОК</v>
          </cell>
          <cell r="J1819" t="str">
            <v>ОК</v>
          </cell>
        </row>
        <row r="1820">
          <cell r="B1820" t="str">
            <v>В-20329/КЛ.Транш - 2</v>
          </cell>
          <cell r="C1820" t="str">
            <v>РОССИЯ, 143088, Московская обл, г Одинцово, п санатория им. Герцена, гск Здоровье, д. 45, кв. 5</v>
          </cell>
          <cell r="D1820" t="str">
            <v>РОССИЯ, 143088, Московская обл, г Одинцово, п санатория им. Герцена, гск Здоровье, д. 45, кв. 5</v>
          </cell>
          <cell r="F1820" t="str">
            <v>Московская</v>
          </cell>
          <cell r="G1820">
            <v>0.66009259259259256</v>
          </cell>
          <cell r="H1820">
            <v>0.91009259259259256</v>
          </cell>
          <cell r="I1820" t="str">
            <v>ОК</v>
          </cell>
          <cell r="J1820" t="str">
            <v>ОК</v>
          </cell>
        </row>
        <row r="1821">
          <cell r="B1821" t="str">
            <v>В-00553/КЛ.Транш - 5_В-20211230/Ц</v>
          </cell>
          <cell r="C1821" t="str">
            <v>РОССИЯ, 141008, Московская обл, Мытищи г, Новомытищинский пр-кт, дом 42/9, квартира 73</v>
          </cell>
          <cell r="D1821" t="str">
            <v>РОССИЯ, 141008, Московская обл, Мытищи г, Новомытищинский пр-кт, дом 42/9, квартира 73</v>
          </cell>
          <cell r="F1821" t="str">
            <v>Московская</v>
          </cell>
          <cell r="G1821">
            <v>0.66009259259259256</v>
          </cell>
          <cell r="H1821">
            <v>0.91009259259259256</v>
          </cell>
          <cell r="I1821" t="str">
            <v>ОК</v>
          </cell>
          <cell r="J1821" t="str">
            <v>ОК</v>
          </cell>
        </row>
        <row r="1822">
          <cell r="B1822" t="str">
            <v>В-00553/КЛ.Транш - 7_В-20211230/Ц</v>
          </cell>
          <cell r="C1822" t="str">
            <v>РОССИЯ, 141008, Московская обл, Мытищи г, Новомытищинский пр-кт, дом 42/9, квартира 73</v>
          </cell>
          <cell r="D1822" t="str">
            <v>РОССИЯ, 141008, Московская обл, Мытищи г, Новомытищинский пр-кт, дом 42/9, квартира 73</v>
          </cell>
          <cell r="F1822" t="str">
            <v>Московская</v>
          </cell>
          <cell r="G1822">
            <v>0.66009259259259256</v>
          </cell>
          <cell r="H1822">
            <v>0.91009259259259256</v>
          </cell>
          <cell r="I1822" t="str">
            <v>ОК</v>
          </cell>
          <cell r="J1822" t="str">
            <v>ОК</v>
          </cell>
        </row>
        <row r="1823">
          <cell r="B1823" t="str">
            <v>В-00553/КЛ.Транш - 8_В-20211230/Ц</v>
          </cell>
          <cell r="C1823" t="str">
            <v>РОССИЯ, 141008, Московская обл, Мытищи г, Новомытищинский пр-кт, дом 42/9, квартира 73</v>
          </cell>
          <cell r="D1823" t="str">
            <v>РОССИЯ, 141008, Московская обл, Мытищи г, Новомытищинский пр-кт, дом 42/9, квартира 73</v>
          </cell>
          <cell r="F1823" t="str">
            <v>Московская</v>
          </cell>
          <cell r="G1823">
            <v>0.66009259259259256</v>
          </cell>
          <cell r="H1823">
            <v>0.91009259259259256</v>
          </cell>
          <cell r="I1823" t="str">
            <v>ОК</v>
          </cell>
          <cell r="J1823" t="str">
            <v>ОК</v>
          </cell>
        </row>
        <row r="1824">
          <cell r="B1824" t="str">
            <v>В-14484/КЛ.Транш - 1</v>
          </cell>
          <cell r="C1824" t="str">
            <v>РОССИЯ, 620100, Свердловская обл, Екатеринбург г, Куйбышева ул, дом 112, квартира 33</v>
          </cell>
          <cell r="D1824" t="str">
            <v>РОССИЯ, 620100, Свердловская обл, Екатеринбург г, Куйбышева ул, дом 112, квартира 33</v>
          </cell>
          <cell r="F1824" t="str">
            <v>Свердловская</v>
          </cell>
          <cell r="G1824">
            <v>0.66009259259259256</v>
          </cell>
          <cell r="H1824">
            <v>0.99342592592592593</v>
          </cell>
          <cell r="I1824" t="str">
            <v>поздно</v>
          </cell>
          <cell r="J1824" t="str">
            <v>ОК</v>
          </cell>
        </row>
        <row r="1825">
          <cell r="B1825" t="str">
            <v>В-08042/КЛ.Транш - 1_В-20211230/Ц</v>
          </cell>
          <cell r="C1825" t="str">
            <v>РОССИЯ, 111672, Москва г, Салтыковская ул, дом 39, квартира 129</v>
          </cell>
          <cell r="D1825" t="str">
            <v>РОССИЯ, 111672, Московская обл, Раменское г, тер ДНП Малиновка, дом 39</v>
          </cell>
          <cell r="F1825" t="str">
            <v>Московская</v>
          </cell>
          <cell r="G1825">
            <v>0.66009259259259256</v>
          </cell>
          <cell r="H1825">
            <v>0.91009259259259256</v>
          </cell>
          <cell r="I1825" t="str">
            <v>ОК</v>
          </cell>
          <cell r="J1825" t="str">
            <v>ОК</v>
          </cell>
        </row>
        <row r="1826">
          <cell r="B1826" t="str">
            <v>В-03300/КЛ.Транш - 1</v>
          </cell>
          <cell r="C1826" t="str">
            <v>РОССИЯ, 141606, Московская обл, Клин г, Мира ул, дом 38, квартира 33</v>
          </cell>
          <cell r="D1826" t="str">
            <v>РОССИЯ, 141606, Московская обл, Клин г, Мира ул, дом 38, квартира 33</v>
          </cell>
          <cell r="F1826" t="str">
            <v>Московская</v>
          </cell>
          <cell r="G1826">
            <v>0.66009259259259256</v>
          </cell>
          <cell r="H1826">
            <v>0.91009259259259256</v>
          </cell>
          <cell r="I1826" t="str">
            <v>ОК</v>
          </cell>
          <cell r="J1826" t="str">
            <v>ОК</v>
          </cell>
        </row>
        <row r="1827">
          <cell r="B1827" t="str">
            <v>В-00034/КЭ.Транш - 1_В20211230/Ц</v>
          </cell>
          <cell r="C1827" t="str">
            <v>125362, Москва г, ул Тушинская, д. 17, офис 256, этаж 2, помещ. I</v>
          </cell>
          <cell r="F1827" t="str">
            <v>Москва</v>
          </cell>
          <cell r="G1827">
            <v>0.66009259259259256</v>
          </cell>
          <cell r="H1827">
            <v>0.91009259259259256</v>
          </cell>
          <cell r="I1827" t="str">
            <v>ОК</v>
          </cell>
          <cell r="J1827" t="str">
            <v>ОК</v>
          </cell>
        </row>
        <row r="1828">
          <cell r="B1828" t="str">
            <v>В-27334/КЛ.Транш - 1</v>
          </cell>
          <cell r="C1828" t="str">
            <v>РОССИЯ, 117449, Москва г, вн.тер.г. муниципальный округ Академический, ул Большая Черёмушкинская, д. 2, к. 5, кв. 17</v>
          </cell>
          <cell r="D1828" t="str">
            <v>РОССИЯ, 117449, Москва г, вн.тер.г. муниципальный округ Академический, ул Большая Черёмушкинская, д. 2, к. 5, кв. 17</v>
          </cell>
          <cell r="F1828" t="str">
            <v>Москва</v>
          </cell>
          <cell r="G1828">
            <v>0.66009259259259256</v>
          </cell>
          <cell r="H1828">
            <v>0.91009259259259256</v>
          </cell>
          <cell r="I1828" t="str">
            <v>ОК</v>
          </cell>
          <cell r="J1828" t="str">
            <v>ОК</v>
          </cell>
        </row>
        <row r="1829">
          <cell r="B1829" t="str">
            <v>В-03761/КЛ.Транш - 1</v>
          </cell>
          <cell r="C1829" t="str">
            <v>РОССИЯ, 143072, Московская обл, Одинцовский р-н, ВНИИССОК п, Березовая ул, дом 2, квартира 81</v>
          </cell>
          <cell r="D1829" t="str">
            <v>РОССИЯ, 143072, Московская обл, Одинцовский р-н, ВНИИССОК п, Березовая ул, дом 2, квартира 81</v>
          </cell>
          <cell r="F1829" t="str">
            <v>Московская</v>
          </cell>
          <cell r="G1829">
            <v>0.66009259259259256</v>
          </cell>
          <cell r="H1829">
            <v>0.91009259259259256</v>
          </cell>
          <cell r="I1829" t="str">
            <v>ОК</v>
          </cell>
          <cell r="J1829" t="str">
            <v>ОК</v>
          </cell>
        </row>
        <row r="1830">
          <cell r="B1830" t="str">
            <v>В-21858/КЛ.Транш - 1_В-20211230/Ц</v>
          </cell>
          <cell r="C1830" t="str">
            <v>РОССИЯ, 600026, Владимирская обл, г Владимир, ул Горького, д. 91, кв. 43</v>
          </cell>
          <cell r="D1830" t="str">
            <v>РОССИЯ, 600026, Владимирская обл, г Владимир, ул Горького, д. 91, кв. 43</v>
          </cell>
          <cell r="F1830" t="str">
            <v>Владимирская</v>
          </cell>
          <cell r="G1830">
            <v>0.66009259259259256</v>
          </cell>
          <cell r="H1830">
            <v>0.91009259259259256</v>
          </cell>
          <cell r="I1830" t="str">
            <v>ОК</v>
          </cell>
          <cell r="J1830" t="str">
            <v>ОК</v>
          </cell>
        </row>
        <row r="1831">
          <cell r="B1831" t="str">
            <v>В-06130/КЛ.Транш - 4</v>
          </cell>
          <cell r="C1831" t="str">
            <v>РОССИЯ, 153007, Ивановская обл, Иваново г, Фрунзе ул, дом 81, квартира 2</v>
          </cell>
          <cell r="D1831" t="str">
            <v>РОССИЯ, 107140, Москва г, Русаковская ул, дом 8, квартира 60</v>
          </cell>
          <cell r="F1831" t="str">
            <v>Москва</v>
          </cell>
          <cell r="G1831">
            <v>0.66009259259259256</v>
          </cell>
          <cell r="H1831">
            <v>0.91009259259259256</v>
          </cell>
          <cell r="I1831" t="str">
            <v>ОК</v>
          </cell>
          <cell r="J1831" t="str">
            <v>ОК</v>
          </cell>
        </row>
        <row r="1832">
          <cell r="B1832" t="str">
            <v>В-06130/КЛ.Транш - 5</v>
          </cell>
          <cell r="C1832" t="str">
            <v>РОССИЯ, 153007, Ивановская обл, Иваново г, Фрунзе ул, дом 81, квартира 2</v>
          </cell>
          <cell r="D1832" t="str">
            <v>РОССИЯ, 107140, Москва г, Русаковская ул, дом 8, квартира 60</v>
          </cell>
          <cell r="F1832" t="str">
            <v>Москва</v>
          </cell>
          <cell r="G1832">
            <v>0.66009259259259256</v>
          </cell>
          <cell r="H1832">
            <v>0.91009259259259256</v>
          </cell>
          <cell r="I1832" t="str">
            <v>ОК</v>
          </cell>
          <cell r="J1832" t="str">
            <v>ОК</v>
          </cell>
        </row>
        <row r="1833">
          <cell r="B1833" t="str">
            <v>В-06130/КЛ.Транш - 6</v>
          </cell>
          <cell r="C1833" t="str">
            <v>РОССИЯ, 153007, Ивановская обл, Иваново г, Фрунзе ул, дом 81, квартира 2</v>
          </cell>
          <cell r="D1833" t="str">
            <v>РОССИЯ, 107140, Москва г, Русаковская ул, дом 8, квартира 60</v>
          </cell>
          <cell r="F1833" t="str">
            <v>Москва</v>
          </cell>
          <cell r="G1833">
            <v>0.66009259259259256</v>
          </cell>
          <cell r="H1833">
            <v>0.91009259259259256</v>
          </cell>
          <cell r="I1833" t="str">
            <v>ОК</v>
          </cell>
          <cell r="J1833" t="str">
            <v>ОК</v>
          </cell>
        </row>
        <row r="1834">
          <cell r="B1834" t="str">
            <v>В-06130/КЛ.Транш - 7</v>
          </cell>
          <cell r="C1834" t="str">
            <v>РОССИЯ, 153007, Ивановская обл, Иваново г, Фрунзе ул, дом 81, квартира 2</v>
          </cell>
          <cell r="D1834" t="str">
            <v>РОССИЯ, 107140, Москва г, Русаковская ул, дом 8, квартира 60</v>
          </cell>
          <cell r="F1834" t="str">
            <v>Москва</v>
          </cell>
          <cell r="G1834">
            <v>0.66009259259259256</v>
          </cell>
          <cell r="H1834">
            <v>0.91009259259259256</v>
          </cell>
          <cell r="I1834" t="str">
            <v>ОК</v>
          </cell>
          <cell r="J1834" t="str">
            <v>ОК</v>
          </cell>
        </row>
        <row r="1835">
          <cell r="B1835" t="str">
            <v>В-05654/КЛ.Транш - 1</v>
          </cell>
          <cell r="C1835" t="str">
            <v>РОССИЯ, Псковская обл, Новосокольнический р-н, Рыкшино д</v>
          </cell>
          <cell r="D1835" t="str">
            <v>РОССИЯ, 127224, Москва г, Широкая ул, дом 24, квартира 17</v>
          </cell>
          <cell r="F1835" t="str">
            <v>Москва</v>
          </cell>
          <cell r="G1835">
            <v>0.66009259259259256</v>
          </cell>
          <cell r="H1835">
            <v>0.91009259259259256</v>
          </cell>
          <cell r="I1835" t="str">
            <v>ОК</v>
          </cell>
          <cell r="J1835" t="str">
            <v>ОК</v>
          </cell>
        </row>
        <row r="1836">
          <cell r="B1836" t="str">
            <v>В-04096/КЛ.Транш - 1</v>
          </cell>
          <cell r="C1836" t="str">
            <v>РОССИЯ, 143500, Московская обл, Истринский р-н, ФГУП НЭХ Снегири тер, калинина, дом 1</v>
          </cell>
          <cell r="D1836" t="str">
            <v>РОССИЯ, 143500, Московская обл, Истринский р-н, ФГУП НЭХ Снегири тер, калинина, строение 1</v>
          </cell>
          <cell r="F1836" t="str">
            <v>Московская</v>
          </cell>
          <cell r="G1836">
            <v>0.66009259259259256</v>
          </cell>
          <cell r="H1836">
            <v>0.91009259259259256</v>
          </cell>
          <cell r="I1836" t="str">
            <v>ОК</v>
          </cell>
          <cell r="J1836" t="str">
            <v>ОК</v>
          </cell>
        </row>
        <row r="1837">
          <cell r="B1837" t="str">
            <v>В-04096/КЛ.Транш - 2</v>
          </cell>
          <cell r="C1837" t="str">
            <v>РОССИЯ, 143500, Московская обл, Истринский р-н, ФГУП НЭХ Снегири тер, калинина, дом 1</v>
          </cell>
          <cell r="D1837" t="str">
            <v>РОССИЯ, 143500, Московская обл, Истринский р-н, ФГУП НЭХ Снегири тер, калинина, строение 1</v>
          </cell>
          <cell r="F1837" t="str">
            <v>Московская</v>
          </cell>
          <cell r="G1837">
            <v>0.66009259259259256</v>
          </cell>
          <cell r="H1837">
            <v>0.91009259259259256</v>
          </cell>
          <cell r="I1837" t="str">
            <v>ОК</v>
          </cell>
          <cell r="J1837" t="str">
            <v>ОК</v>
          </cell>
        </row>
        <row r="1838">
          <cell r="B1838" t="str">
            <v>В-04096/КЛ.Транш - 3</v>
          </cell>
          <cell r="C1838" t="str">
            <v>РОССИЯ, 143500, Московская обл, Истринский р-н, ФГУП НЭХ Снегири тер, калинина, дом 1</v>
          </cell>
          <cell r="D1838" t="str">
            <v>РОССИЯ, 143500, Московская обл, Истринский р-н, ФГУП НЭХ Снегири тер, калинина, строение 1</v>
          </cell>
          <cell r="F1838" t="str">
            <v>Московская</v>
          </cell>
          <cell r="G1838">
            <v>0.66009259259259256</v>
          </cell>
          <cell r="H1838">
            <v>0.91009259259259256</v>
          </cell>
          <cell r="I1838" t="str">
            <v>ОК</v>
          </cell>
          <cell r="J1838" t="str">
            <v>ОК</v>
          </cell>
        </row>
        <row r="1839">
          <cell r="B1839" t="str">
            <v>А-10118/КЭ.Транш - 1</v>
          </cell>
          <cell r="C1839" t="str">
            <v>193313, Санкт-Петербург г, пр-кт Большевиков, д. 7, к. 3, литера А, помещ. 174</v>
          </cell>
          <cell r="F1839" t="str">
            <v>Москва</v>
          </cell>
          <cell r="G1839">
            <v>0.66009259259259256</v>
          </cell>
          <cell r="H1839">
            <v>0.91009259259259256</v>
          </cell>
          <cell r="I1839" t="str">
            <v>ОК</v>
          </cell>
          <cell r="J1839" t="str">
            <v>ОК</v>
          </cell>
        </row>
        <row r="1840">
          <cell r="B1840" t="str">
            <v>В-10022/КЭ.Транш - 1</v>
          </cell>
          <cell r="C1840" t="str">
            <v>193313, Санкт-Петербург г, пр-кт Большевиков, д. 7, к. 3, литера А, помещ. 174</v>
          </cell>
          <cell r="F1840" t="str">
            <v>Москва</v>
          </cell>
          <cell r="G1840">
            <v>0.66009259259259256</v>
          </cell>
          <cell r="H1840">
            <v>0.91009259259259256</v>
          </cell>
          <cell r="I1840" t="str">
            <v>ОК</v>
          </cell>
          <cell r="J1840" t="str">
            <v>ОК</v>
          </cell>
        </row>
        <row r="1841">
          <cell r="B1841" t="str">
            <v>В-26963/КЛ.Транш - 1</v>
          </cell>
          <cell r="C1841" t="str">
            <v>РОССИЯ, 385124, Адыгея респ, р-н Тахтамукайский, аул Шенджий, ул Ленина, двлд. 9</v>
          </cell>
          <cell r="D1841" t="str">
            <v>РОССИЯ, 385124, Адыгея респ, р-н Тахтамукайский, аул Шенджий, ул Ленина, двлд. 9</v>
          </cell>
          <cell r="F1841" t="str">
            <v>Адыгея</v>
          </cell>
          <cell r="G1841">
            <v>0.66009259259259256</v>
          </cell>
          <cell r="H1841">
            <v>0.91009259259259256</v>
          </cell>
          <cell r="I1841" t="str">
            <v>ОК</v>
          </cell>
          <cell r="J1841" t="str">
            <v>ОК</v>
          </cell>
        </row>
        <row r="1842">
          <cell r="B1842" t="str">
            <v>В-01207/АЗ</v>
          </cell>
          <cell r="C1842" t="str">
            <v>РОССИЯ, 433520, Ульяновская обл, р-н Мелекесский, с Тиинск, ул Площадь Советов, д. 7, кв. 17</v>
          </cell>
          <cell r="D1842" t="str">
            <v>РОССИЯ, 350901, Краснодарский край, г Краснодар, ул им. Героя Яцкова И.В., д. 9, к. 3, кв. 646</v>
          </cell>
          <cell r="F1842" t="str">
            <v>Краснодарский</v>
          </cell>
          <cell r="G1842">
            <v>0.66009259259259256</v>
          </cell>
          <cell r="H1842">
            <v>0.91009259259259256</v>
          </cell>
          <cell r="I1842" t="str">
            <v>ОК</v>
          </cell>
          <cell r="J1842" t="str">
            <v>ОК</v>
          </cell>
        </row>
        <row r="1843">
          <cell r="B1843" t="str">
            <v>В-30010/КЭ.Транш - 1</v>
          </cell>
          <cell r="C1843" t="str">
            <v>385000, Республика Адыгея (адыгея), г.о. Город Майкоп, г Майкоп, ул Краснооктябрьская, дом 35, помещение 1</v>
          </cell>
          <cell r="F1843" t="str">
            <v>Москва</v>
          </cell>
          <cell r="G1843">
            <v>0.66009259259259256</v>
          </cell>
          <cell r="H1843">
            <v>0.91009259259259256</v>
          </cell>
          <cell r="I1843" t="str">
            <v>ОК</v>
          </cell>
          <cell r="J1843" t="str">
            <v>ОК</v>
          </cell>
        </row>
        <row r="1844">
          <cell r="B1844" t="str">
            <v>В-00151/АЗ_В-20211230/Ц</v>
          </cell>
          <cell r="C1844" t="str">
            <v>РОССИЯ, 194352, Санкт-Петербург г, Сиреневый б-р, дом № 2, корпус 1, квартира 553</v>
          </cell>
          <cell r="D1844" t="str">
            <v>РОССИЯ, 194352, Санкт-Петербург г, Сиреневый б-р, дом № 2, корпус 1, квартира 553</v>
          </cell>
          <cell r="F1844" t="str">
            <v>Москва</v>
          </cell>
          <cell r="G1844">
            <v>0.66009259259259256</v>
          </cell>
          <cell r="H1844">
            <v>0.91009259259259256</v>
          </cell>
          <cell r="I1844" t="str">
            <v>ОК</v>
          </cell>
          <cell r="J1844" t="str">
            <v>ОК</v>
          </cell>
        </row>
        <row r="1845">
          <cell r="B1845" t="str">
            <v>В-21146/КЛ.Транш - 1_В-20211230/Ц</v>
          </cell>
          <cell r="C1845" t="str">
            <v>РОССИЯ, 392028, Тамбовская обл, г Тамбов, ул Полынковская, д. 29/19, кв. 2</v>
          </cell>
          <cell r="D1845" t="str">
            <v>РОССИЯ, 392022, Тамбовская обл, г Тамбов, ул Аэрологическая, д. 17, кв. 14</v>
          </cell>
          <cell r="F1845" t="str">
            <v>Тамбовская</v>
          </cell>
          <cell r="G1845">
            <v>0.66009259259259256</v>
          </cell>
          <cell r="H1845">
            <v>0.91009259259259256</v>
          </cell>
          <cell r="I1845" t="str">
            <v>ОК</v>
          </cell>
          <cell r="J1845" t="str">
            <v>ОК</v>
          </cell>
        </row>
        <row r="1846">
          <cell r="B1846" t="str">
            <v>В-01228/АЗ</v>
          </cell>
          <cell r="C1846" t="str">
            <v>РОССИЯ, 117041, Москва г, ул Академика Семёнова, двлд. 26, к. 1, кв. 6</v>
          </cell>
          <cell r="D1846" t="str">
            <v>РОССИЯ, 117041, Москва г, ул Академика Семёнова, д. 26, к. 1, кв. 6</v>
          </cell>
          <cell r="F1846" t="str">
            <v>Москва</v>
          </cell>
          <cell r="G1846">
            <v>0.66009259259259256</v>
          </cell>
          <cell r="H1846">
            <v>0.91009259259259256</v>
          </cell>
          <cell r="I1846" t="str">
            <v>ОК</v>
          </cell>
          <cell r="J1846" t="str">
            <v>ОК</v>
          </cell>
        </row>
        <row r="1847">
          <cell r="B1847" t="str">
            <v>В-00714/КЛ.Транш - 1</v>
          </cell>
          <cell r="C1847" t="str">
            <v>РОССИЯ, 143909, Московская обл, Балашиха г, Авиаторов мкр., Летная ул, дом 12, квартира 90</v>
          </cell>
          <cell r="D1847" t="str">
            <v>РОССИЯ, 143909, Московская обл, Балашиха г, Авиаторов мкр., Летная ул, дом 12, квартира 90</v>
          </cell>
          <cell r="F1847" t="str">
            <v>Московская</v>
          </cell>
          <cell r="G1847">
            <v>0.66009259259259256</v>
          </cell>
          <cell r="H1847">
            <v>0.91009259259259256</v>
          </cell>
          <cell r="I1847" t="str">
            <v>ОК</v>
          </cell>
          <cell r="J1847" t="str">
            <v>ОК</v>
          </cell>
        </row>
        <row r="1848">
          <cell r="B1848" t="str">
            <v>В-28355/КЛ.Транш - 1</v>
          </cell>
          <cell r="C1848" t="str">
            <v>РОССИЯ, 303031, Орловская обл, г Мценск, ул Машиностроителей, д. 4, кв. 79</v>
          </cell>
          <cell r="D1848" t="str">
            <v>РОССИЯ, 303031, Орловская обл, г Мценск, ул Машиностроителей, д. 4, кв. 79</v>
          </cell>
          <cell r="F1848" t="str">
            <v>Орловская</v>
          </cell>
          <cell r="G1848">
            <v>0.66009259259259256</v>
          </cell>
          <cell r="H1848">
            <v>0.91009259259259256</v>
          </cell>
          <cell r="I1848" t="str">
            <v>ОК</v>
          </cell>
          <cell r="J1848" t="str">
            <v>ОК</v>
          </cell>
        </row>
        <row r="1849">
          <cell r="B1849" t="str">
            <v>В-17824/КЛ.Транш - 1</v>
          </cell>
          <cell r="C1849" t="str">
            <v>РОССИЯ, 620144, Свердловская обл, г Екатеринбург, ул Союзная, д. 27, кв. 120</v>
          </cell>
          <cell r="D1849" t="str">
            <v>РОССИЯ, 620144, Свердловская обл, г Екатеринбург, ул Союзная, д. 27, кв. 120</v>
          </cell>
          <cell r="F1849" t="str">
            <v>Свердловская</v>
          </cell>
          <cell r="G1849">
            <v>0.66009259259259256</v>
          </cell>
          <cell r="H1849">
            <v>0.99342592592592593</v>
          </cell>
          <cell r="I1849" t="str">
            <v>поздно</v>
          </cell>
          <cell r="J1849" t="str">
            <v>ОК</v>
          </cell>
        </row>
        <row r="1850">
          <cell r="B1850" t="str">
            <v>В-11533/КЛ.Транш - 1</v>
          </cell>
          <cell r="C1850" t="str">
            <v>РОССИЯ, 153048, Ивановская обл, Иваново г, Генерала Хлебникова ул, дом 52, квартира 33</v>
          </cell>
          <cell r="D1850" t="str">
            <v>РОССИЯ, 153048, Ивановская обл, Иваново г, Генерала Хлебникова ул, дом 52, квартира 33</v>
          </cell>
          <cell r="F1850" t="str">
            <v>Ивановская</v>
          </cell>
          <cell r="G1850">
            <v>0.66009259259259256</v>
          </cell>
          <cell r="H1850">
            <v>0.91009259259259256</v>
          </cell>
          <cell r="I1850" t="str">
            <v>ОК</v>
          </cell>
          <cell r="J1850" t="str">
            <v>ОК</v>
          </cell>
        </row>
        <row r="1851">
          <cell r="B1851" t="str">
            <v>В-26928/КЛ.Транш - 1</v>
          </cell>
          <cell r="C1851" t="str">
            <v>РОССИЯ, 462403, Оренбургская обл, Орск г, Подольская ул, дом 35</v>
          </cell>
          <cell r="D1851" t="str">
            <v>РОССИЯ, 462403, Оренбургская обл, Орск г, Подольская ул, дом 35</v>
          </cell>
          <cell r="F1851" t="str">
            <v>Оренбургская</v>
          </cell>
          <cell r="G1851">
            <v>0.66009259259259256</v>
          </cell>
          <cell r="H1851">
            <v>0.99342592592592593</v>
          </cell>
          <cell r="I1851" t="str">
            <v>поздно</v>
          </cell>
          <cell r="J1851" t="str">
            <v>ОК</v>
          </cell>
        </row>
        <row r="1852">
          <cell r="B1852" t="str">
            <v>В-18261/КЛ.Транш - 1</v>
          </cell>
          <cell r="C1852" t="str">
            <v>РОССИЯ, 141801, Московская обл, р-н Дмитровский, с Подчерково, ул Новая, д. 63</v>
          </cell>
          <cell r="D1852" t="str">
            <v>РОССИЯ, 141801, Московская обл, Дмитровский р-н, Подчерково с, Новая ул, дом № 63</v>
          </cell>
          <cell r="F1852" t="str">
            <v>Московская</v>
          </cell>
          <cell r="G1852">
            <v>0.66009259259259256</v>
          </cell>
          <cell r="H1852">
            <v>0.91009259259259256</v>
          </cell>
          <cell r="I1852" t="str">
            <v>ОК</v>
          </cell>
          <cell r="J1852" t="str">
            <v>ОК</v>
          </cell>
        </row>
        <row r="1853">
          <cell r="B1853" t="str">
            <v>В-21574/КЛ.Транш - 1</v>
          </cell>
          <cell r="C1853" t="str">
            <v>РОССИЯ, 353581, Краснодарский край, р-н Славянский, х Семисводный, ул Степная, д. 1</v>
          </cell>
          <cell r="D1853" t="str">
            <v>РОССИЯ, 140412, Московская обл, г Коломна, ул Октябрьской революции, д. 151, кв. 28</v>
          </cell>
          <cell r="F1853" t="str">
            <v>Московская</v>
          </cell>
          <cell r="G1853">
            <v>0.66009259259259256</v>
          </cell>
          <cell r="H1853">
            <v>0.91009259259259256</v>
          </cell>
          <cell r="I1853" t="str">
            <v>ОК</v>
          </cell>
          <cell r="J1853" t="str">
            <v>ОК</v>
          </cell>
        </row>
        <row r="1854">
          <cell r="B1854" t="str">
            <v>В-12067/КЛ.Транш - 1</v>
          </cell>
          <cell r="C1854" t="str">
            <v>РОССИЯ, 397670, Воронежская обл, Петропавловский р-н, Петропавловка с, Промышленная ул, дом 8</v>
          </cell>
          <cell r="D1854" t="str">
            <v>РОССИЯ, 397670, Воронежская обл, Петропавловский р-н, Петропавловка с, Промышленная ул, дом 8</v>
          </cell>
          <cell r="F1854" t="str">
            <v>Воронежская</v>
          </cell>
          <cell r="G1854">
            <v>0.66009259259259256</v>
          </cell>
          <cell r="H1854">
            <v>0.91009259259259256</v>
          </cell>
          <cell r="I1854" t="str">
            <v>ОК</v>
          </cell>
          <cell r="J1854" t="str">
            <v>ОК</v>
          </cell>
        </row>
        <row r="1855">
          <cell r="B1855" t="str">
            <v>В-08148/КЛ.Транш - 2</v>
          </cell>
          <cell r="C1855" t="str">
            <v>РОССИЯ, 443020, Самарская обл, Самара г, Садовая ул, дом 21, квартира 2</v>
          </cell>
          <cell r="D1855" t="str">
            <v>РОССИЯ, 443020, Самарская обл, Самара г, Садовая ул, дом 21, квартира 2</v>
          </cell>
          <cell r="F1855" t="str">
            <v>Самарская</v>
          </cell>
          <cell r="G1855">
            <v>0.66009259259259256</v>
          </cell>
          <cell r="H1855">
            <v>0.9517592592592593</v>
          </cell>
          <cell r="I1855" t="str">
            <v>поздно</v>
          </cell>
          <cell r="J1855" t="str">
            <v>ОК</v>
          </cell>
        </row>
        <row r="1856">
          <cell r="B1856" t="str">
            <v>В-27753/КЛ.Транш - 1</v>
          </cell>
          <cell r="C1856" t="str">
            <v>РОССИЯ, 301176, Тульская обл, р-н Дубенский, с Опочня, ул Фестивальная, д. 26</v>
          </cell>
          <cell r="D1856" t="str">
            <v>РОССИЯ, 198261, Санкт-Петербург г, пр-кт Маршала Жукова, д. 74, к. 1, кв. 118</v>
          </cell>
          <cell r="F1856" t="str">
            <v>Москва</v>
          </cell>
          <cell r="G1856">
            <v>0.66009259259259256</v>
          </cell>
          <cell r="H1856">
            <v>0.91009259259259256</v>
          </cell>
          <cell r="I1856" t="str">
            <v>ОК</v>
          </cell>
          <cell r="J1856" t="str">
            <v>ОК</v>
          </cell>
        </row>
        <row r="1857">
          <cell r="B1857" t="str">
            <v>В-20607/КЛ.Транш - 1</v>
          </cell>
          <cell r="C1857" t="str">
            <v>РОССИЯ, 153025, Ивановская обл, г Иваново, ул Дзержинского, д. 16, кв. 108</v>
          </cell>
          <cell r="D1857" t="str">
            <v>РОССИЯ, 153025, Ивановская обл, г Иваново, ул Дзержинского, д. 16, кв. 108</v>
          </cell>
          <cell r="F1857" t="str">
            <v>Ивановская</v>
          </cell>
          <cell r="G1857">
            <v>0.66009259259259256</v>
          </cell>
          <cell r="H1857">
            <v>0.91009259259259256</v>
          </cell>
          <cell r="I1857" t="str">
            <v>ОК</v>
          </cell>
          <cell r="J1857" t="str">
            <v>ОК</v>
          </cell>
        </row>
        <row r="1858">
          <cell r="B1858" t="str">
            <v>В-03413/КЛ.Транш - 1</v>
          </cell>
          <cell r="C1858" t="str">
            <v>РОССИЯ, 354003, Краснодарский край, Сочи г, Центральный р-н, Олимпийская ул, дом 31/12, квартира 219-225</v>
          </cell>
          <cell r="D1858" t="str">
            <v>РОССИЯ, 354003, Краснодарский край, Сочи г, Центральный р-н, Олимпийская ул, дом 31/12, квартира 219-225</v>
          </cell>
          <cell r="F1858" t="str">
            <v>Краснодарский</v>
          </cell>
          <cell r="G1858">
            <v>0.66009259259259256</v>
          </cell>
          <cell r="H1858">
            <v>0.91009259259259256</v>
          </cell>
          <cell r="I1858" t="str">
            <v>ОК</v>
          </cell>
          <cell r="J1858" t="str">
            <v>ОК</v>
          </cell>
        </row>
        <row r="1859">
          <cell r="B1859" t="str">
            <v>В-13025/КЛ.Транш - 1_А-20210929/Ц</v>
          </cell>
          <cell r="C1859" t="str">
            <v>РОССИЯ, 443546, Самарская обл, Волжский р-н, Стройкерамика пгт, митрополита Иоанна Снычева ул, дом 12, квартира 2</v>
          </cell>
          <cell r="D1859" t="str">
            <v>РОССИЯ, 443546, Самарская обл, Волжский р-н, Стройкерамика пгт, митрополита Иоанна Снычева ул, дом 12, квартира 2</v>
          </cell>
          <cell r="F1859" t="str">
            <v>Самарская</v>
          </cell>
          <cell r="G1859">
            <v>0.66009259259259256</v>
          </cell>
          <cell r="H1859">
            <v>0.9517592592592593</v>
          </cell>
          <cell r="I1859" t="str">
            <v>поздно</v>
          </cell>
          <cell r="J1859" t="str">
            <v>ОК</v>
          </cell>
        </row>
        <row r="1860">
          <cell r="B1860" t="str">
            <v>В-16441/КЛ.Транш - 1_В-20211230/Ц</v>
          </cell>
          <cell r="C1860" t="str">
            <v>РОССИЯ, 460536, Оренбургская обл, Оренбургский р-н, Чкалов п, Елисеева ул, дом 27</v>
          </cell>
          <cell r="D1860" t="str">
            <v>РОССИЯ, 460536, Оренбургская обл, Оренбургский р-н, Чкалов п, Елисеева ул, дом 27</v>
          </cell>
          <cell r="F1860" t="str">
            <v>Оренбургская</v>
          </cell>
          <cell r="G1860">
            <v>0.66009259259259256</v>
          </cell>
          <cell r="H1860">
            <v>0.99342592592592593</v>
          </cell>
          <cell r="I1860" t="str">
            <v>поздно</v>
          </cell>
          <cell r="J1860" t="str">
            <v>ОК</v>
          </cell>
        </row>
        <row r="1861">
          <cell r="B1861" t="str">
            <v>В-06143/КЛ.Транш - 1</v>
          </cell>
          <cell r="C1861" t="str">
            <v>РОССИЯ, 249105, Калужская обл, Тарусский р-н, Лопатино с, Лесная ул, домовладение № 2А</v>
          </cell>
          <cell r="D1861" t="str">
            <v>РОССИЯ, 119634, Москва г, Внуковское п, ул Спортивная, дом 4А, квартира 36</v>
          </cell>
          <cell r="F1861" t="str">
            <v>Москва</v>
          </cell>
          <cell r="G1861">
            <v>0.66009259259259256</v>
          </cell>
          <cell r="H1861">
            <v>0.91009259259259256</v>
          </cell>
          <cell r="I1861" t="str">
            <v>ОК</v>
          </cell>
          <cell r="J1861" t="str">
            <v>ОК</v>
          </cell>
        </row>
        <row r="1862">
          <cell r="B1862" t="str">
            <v>В-28539/КЛ.Транш - 1</v>
          </cell>
          <cell r="C1862" t="str">
            <v>РОССИЯ, 360017, Кабардино-Балкарская респ, Нальчик г, Байсултанова ул, дом 18, квартира 44</v>
          </cell>
          <cell r="D1862" t="str">
            <v>РОССИЯ, 193231, Санкт-Петербург г, Кржижановского ул, дом 5, корпус 4, квартира 213</v>
          </cell>
          <cell r="F1862" t="str">
            <v>Москва</v>
          </cell>
          <cell r="G1862">
            <v>0.66009259259259256</v>
          </cell>
          <cell r="H1862">
            <v>0.91009259259259256</v>
          </cell>
          <cell r="I1862" t="str">
            <v>ОК</v>
          </cell>
          <cell r="J1862" t="str">
            <v>ОК</v>
          </cell>
        </row>
        <row r="1863">
          <cell r="B1863" t="str">
            <v>В-12432/КЛ.Транш - 1</v>
          </cell>
          <cell r="C1863" t="str">
            <v>РОССИЯ, 353236, Краснодарский край, Северский р-н, Афипский пгт, Чапаева ул, дом 156</v>
          </cell>
          <cell r="D1863" t="str">
            <v>РОССИЯ, 353236, Краснодарский край, Северский р-н, Афипский пгт, Чапаева ул, дом 156</v>
          </cell>
          <cell r="F1863" t="str">
            <v>Краснодарский</v>
          </cell>
          <cell r="G1863">
            <v>0.66009259259259256</v>
          </cell>
          <cell r="H1863">
            <v>0.91009259259259256</v>
          </cell>
          <cell r="I1863" t="str">
            <v>ОК</v>
          </cell>
          <cell r="J1863" t="str">
            <v>ОК</v>
          </cell>
        </row>
        <row r="1864">
          <cell r="B1864" t="str">
            <v>В-28642/АЗ</v>
          </cell>
          <cell r="C1864" t="str">
            <v>РОССИЯ, 121614, Москва г, ул Крылатские Холмы, д. 37, кв. 232</v>
          </cell>
          <cell r="D1864" t="str">
            <v>РОССИЯ, 119270, Москва г, ул 3-я Фрунзенская, д. 9, кв. 260</v>
          </cell>
          <cell r="F1864" t="str">
            <v>Москва</v>
          </cell>
          <cell r="G1864">
            <v>0.66009259259259256</v>
          </cell>
          <cell r="H1864">
            <v>0.91009259259259256</v>
          </cell>
          <cell r="I1864" t="str">
            <v>ОК</v>
          </cell>
          <cell r="J1864" t="str">
            <v>ОК</v>
          </cell>
        </row>
        <row r="1865">
          <cell r="B1865" t="str">
            <v>В-28645/АЗ</v>
          </cell>
          <cell r="C1865" t="str">
            <v>РОССИЯ, 107241, Москва г, ш Щёлковское, д. 53, кв. 24</v>
          </cell>
          <cell r="D1865" t="str">
            <v>РОССИЯ, 121614, Москва г, ул Крылатские Холмы, д. 37, кв. 232</v>
          </cell>
          <cell r="F1865" t="str">
            <v>Москва</v>
          </cell>
          <cell r="G1865">
            <v>0.66009259259259256</v>
          </cell>
          <cell r="H1865">
            <v>0.91009259259259256</v>
          </cell>
          <cell r="I1865" t="str">
            <v>ОК</v>
          </cell>
          <cell r="J1865" t="str">
            <v>ОК</v>
          </cell>
        </row>
        <row r="1866">
          <cell r="B1866" t="str">
            <v>В-24941/КЛ.Транш - 1</v>
          </cell>
          <cell r="C1866" t="str">
            <v>РОССИЯ, 197183, Санкт-Петербург г, наб Чёрной речки, д. 18, литера А, кв. 60</v>
          </cell>
          <cell r="D1866" t="str">
            <v>РОССИЯ, 197183, Санкт-Петербург г, наб Чёрной речки, д. 24, кв. 3</v>
          </cell>
          <cell r="F1866" t="str">
            <v>Москва</v>
          </cell>
          <cell r="G1866">
            <v>0.66009259259259256</v>
          </cell>
          <cell r="H1866">
            <v>0.91009259259259256</v>
          </cell>
          <cell r="I1866" t="str">
            <v>ОК</v>
          </cell>
          <cell r="J1866" t="str">
            <v>ОК</v>
          </cell>
        </row>
        <row r="1867">
          <cell r="B1867" t="str">
            <v>В-04682/КЛ.Транш - 3</v>
          </cell>
          <cell r="C1867" t="str">
            <v>РОССИЯ, 369140, Карачаево-Черкесская респ, Зеленчукский р-н, Зеленчукская ст-ца, Краснопартизанский пер, дом 16</v>
          </cell>
          <cell r="D1867" t="str">
            <v>РОССИЯ, 140560, Московская обл, Озеры г, центральной усадьбы совхоза "Озеры" п, дом 41, квартира 37</v>
          </cell>
          <cell r="F1867" t="str">
            <v>Московская</v>
          </cell>
          <cell r="G1867">
            <v>0.66009259259259256</v>
          </cell>
          <cell r="H1867">
            <v>0.91009259259259256</v>
          </cell>
          <cell r="I1867" t="str">
            <v>ОК</v>
          </cell>
          <cell r="J1867" t="str">
            <v>ОК</v>
          </cell>
        </row>
        <row r="1868">
          <cell r="B1868" t="str">
            <v>В-04682/КЛ.Транш - 4</v>
          </cell>
          <cell r="C1868" t="str">
            <v>РОССИЯ, 369140, Карачаево-Черкесская респ, Зеленчукский р-н, Зеленчукская ст-ца, Краснопартизанский пер, дом 16</v>
          </cell>
          <cell r="D1868" t="str">
            <v>РОССИЯ, 140560, Московская обл, Озеры г, центральной усадьбы совхоза "Озеры" п, дом 41, квартира 37</v>
          </cell>
          <cell r="F1868" t="str">
            <v>Московская</v>
          </cell>
          <cell r="G1868">
            <v>0.66009259259259256</v>
          </cell>
          <cell r="H1868">
            <v>0.91009259259259256</v>
          </cell>
          <cell r="I1868" t="str">
            <v>ОК</v>
          </cell>
          <cell r="J1868" t="str">
            <v>ОК</v>
          </cell>
        </row>
        <row r="1869">
          <cell r="B1869" t="str">
            <v>В-04682/КЛ.Транш - 5</v>
          </cell>
          <cell r="C1869" t="str">
            <v>РОССИЯ, 369140, Карачаево-Черкесская респ, Зеленчукский р-н, Зеленчукская ст-ца, Краснопартизанский пер, дом 16</v>
          </cell>
          <cell r="D1869" t="str">
            <v>РОССИЯ, 140560, Московская обл, Озеры г, центральной усадьбы совхоза "Озеры" п, дом 41, квартира 37</v>
          </cell>
          <cell r="F1869" t="str">
            <v>Московская</v>
          </cell>
          <cell r="G1869">
            <v>0.66009259259259256</v>
          </cell>
          <cell r="H1869">
            <v>0.91009259259259256</v>
          </cell>
          <cell r="I1869" t="str">
            <v>ОК</v>
          </cell>
          <cell r="J1869" t="str">
            <v>ОК</v>
          </cell>
        </row>
        <row r="1870">
          <cell r="B1870" t="str">
            <v>В-04682/КЛ.Транш - 6</v>
          </cell>
          <cell r="C1870" t="str">
            <v>РОССИЯ, 369140, Карачаево-Черкесская респ, Зеленчукский р-н, Зеленчукская ст-ца, Краснопартизанский пер, дом 16</v>
          </cell>
          <cell r="D1870" t="str">
            <v>РОССИЯ, 140560, Московская обл, Озеры г, центральной усадьбы совхоза "Озеры" п, дом 41, квартира 37</v>
          </cell>
          <cell r="F1870" t="str">
            <v>Московская</v>
          </cell>
          <cell r="G1870">
            <v>0.66009259259259256</v>
          </cell>
          <cell r="H1870">
            <v>0.91009259259259256</v>
          </cell>
          <cell r="I1870" t="str">
            <v>ОК</v>
          </cell>
          <cell r="J1870" t="str">
            <v>ОК</v>
          </cell>
        </row>
        <row r="1871">
          <cell r="B1871" t="str">
            <v>В-04682/КЛ.Транш - 7</v>
          </cell>
          <cell r="C1871" t="str">
            <v>РОССИЯ, 369140, Карачаево-Черкесская респ, Зеленчукский р-н, Зеленчукская ст-ца, Краснопартизанский пер, дом 16</v>
          </cell>
          <cell r="D1871" t="str">
            <v>РОССИЯ, 140560, Московская обл, Озеры г, центральной усадьбы совхоза "Озеры" п, дом 41, квартира 37</v>
          </cell>
          <cell r="F1871" t="str">
            <v>Московская</v>
          </cell>
          <cell r="G1871">
            <v>0.66009259259259256</v>
          </cell>
          <cell r="H1871">
            <v>0.91009259259259256</v>
          </cell>
          <cell r="I1871" t="str">
            <v>ОК</v>
          </cell>
          <cell r="J1871" t="str">
            <v>ОК</v>
          </cell>
        </row>
        <row r="1872">
          <cell r="B1872" t="str">
            <v>В-04682/КЛ.Транш - 8</v>
          </cell>
          <cell r="C1872" t="str">
            <v>РОССИЯ, 369140, Карачаево-Черкесская респ, Зеленчукский р-н, Зеленчукская ст-ца, Краснопартизанский пер, дом 16</v>
          </cell>
          <cell r="D1872" t="str">
            <v>РОССИЯ, 140560, Московская обл, Озеры г, центральной усадьбы совхоза "Озеры" п, дом 41, квартира 37</v>
          </cell>
          <cell r="F1872" t="str">
            <v>Московская</v>
          </cell>
          <cell r="G1872">
            <v>0.66009259259259256</v>
          </cell>
          <cell r="H1872">
            <v>0.91009259259259256</v>
          </cell>
          <cell r="I1872" t="str">
            <v>ОК</v>
          </cell>
          <cell r="J1872" t="str">
            <v>ОК</v>
          </cell>
        </row>
        <row r="1873">
          <cell r="B1873" t="str">
            <v>В-19451/КЛ.Транш - 1</v>
          </cell>
          <cell r="C1873" t="str">
            <v>РОССИЯ, 109451, Москва г, вн.тер.г. муниципальный округ Марьино, ул Новомарьинская, д. 15, кв. 262</v>
          </cell>
          <cell r="D1873" t="str">
            <v>РОССИЯ, 109451, Москва г, вн.тер.г. муниципальный округ Марьино, ул Новомарьинская, д. 15, кв. 262</v>
          </cell>
          <cell r="F1873" t="str">
            <v>Москва</v>
          </cell>
          <cell r="G1873">
            <v>0.66009259259259256</v>
          </cell>
          <cell r="H1873">
            <v>0.91009259259259256</v>
          </cell>
          <cell r="I1873" t="str">
            <v>ОК</v>
          </cell>
          <cell r="J1873" t="str">
            <v>ОК</v>
          </cell>
        </row>
        <row r="1874">
          <cell r="B1874" t="str">
            <v>В-19451/КЛ.Транш - 2</v>
          </cell>
          <cell r="C1874" t="str">
            <v>РОССИЯ, 109451, Москва г, вн.тер.г. муниципальный округ Марьино, ул Новомарьинская, д. 15, кв. 262</v>
          </cell>
          <cell r="D1874" t="str">
            <v>РОССИЯ, 109451, Москва г, вн.тер.г. муниципальный округ Марьино, ул Новомарьинская, д. 15, кв. 262</v>
          </cell>
          <cell r="F1874" t="str">
            <v>Москва</v>
          </cell>
          <cell r="G1874">
            <v>0.66009259259259256</v>
          </cell>
          <cell r="H1874">
            <v>0.91009259259259256</v>
          </cell>
          <cell r="I1874" t="str">
            <v>ОК</v>
          </cell>
          <cell r="J1874" t="str">
            <v>ОК</v>
          </cell>
        </row>
        <row r="1875">
          <cell r="B1875" t="str">
            <v>В-19451/КЛ.Транш - 3</v>
          </cell>
          <cell r="C1875" t="str">
            <v>РОССИЯ, 109451, Москва г, вн.тер.г. муниципальный округ Марьино, ул Новомарьинская, д. 15, кв. 262</v>
          </cell>
          <cell r="D1875" t="str">
            <v>РОССИЯ, 109451, Москва г, вн.тер.г. муниципальный округ Марьино, ул Новомарьинская, д. 15, кв. 262</v>
          </cell>
          <cell r="F1875" t="str">
            <v>Москва</v>
          </cell>
          <cell r="G1875">
            <v>0.66009259259259256</v>
          </cell>
          <cell r="H1875">
            <v>0.91009259259259256</v>
          </cell>
          <cell r="I1875" t="str">
            <v>ОК</v>
          </cell>
          <cell r="J1875" t="str">
            <v>ОК</v>
          </cell>
        </row>
        <row r="1876">
          <cell r="B1876" t="str">
            <v>В-17940/КЛ.Транш - 1</v>
          </cell>
          <cell r="C1876" t="str">
            <v>РОССИЯ, 606340, Нижегородская обл, р-н Княгининский, с Егорьевское, ул Поперечная, д. 5</v>
          </cell>
          <cell r="D1876" t="str">
            <v>РОССИЯ, 117209, Москва г, вн.тер. г. муниципальный округ Котловка, пр-кт Севастопольский, д. 51, к. 3, кв. 17</v>
          </cell>
          <cell r="F1876" t="str">
            <v>Москва</v>
          </cell>
          <cell r="G1876">
            <v>0.66009259259259256</v>
          </cell>
          <cell r="H1876">
            <v>0.91009259259259256</v>
          </cell>
          <cell r="I1876" t="str">
            <v>ОК</v>
          </cell>
          <cell r="J1876" t="str">
            <v>ОК</v>
          </cell>
        </row>
        <row r="1877">
          <cell r="B1877" t="str">
            <v>В-17940/КЛ.Транш - 2</v>
          </cell>
          <cell r="C1877" t="str">
            <v>РОССИЯ, 606340, Нижегородская обл, р-н Княгининский, с Егорьевское, ул Поперечная, д. 5</v>
          </cell>
          <cell r="D1877" t="str">
            <v>РОССИЯ, 117209, Москва г, вн.тер. г. муниципальный округ Котловка, пр-кт Севастопольский, д. 51, к. 3, кв. 17</v>
          </cell>
          <cell r="F1877" t="str">
            <v>Москва</v>
          </cell>
          <cell r="G1877">
            <v>0.66009259259259256</v>
          </cell>
          <cell r="H1877">
            <v>0.91009259259259256</v>
          </cell>
          <cell r="I1877" t="str">
            <v>ОК</v>
          </cell>
          <cell r="J1877" t="str">
            <v>ОК</v>
          </cell>
        </row>
        <row r="1878">
          <cell r="B1878" t="str">
            <v>В-17940/КЛ.Транш - 3</v>
          </cell>
          <cell r="C1878" t="str">
            <v>РОССИЯ, 606340, Нижегородская обл, р-н Княгининский, с Егорьевское, ул Поперечная, д. 5</v>
          </cell>
          <cell r="D1878" t="str">
            <v>РОССИЯ, 117209, Москва г, вн.тер. г. муниципальный округ Котловка, пр-кт Севастопольский, д. 51, к. 3, кв. 17</v>
          </cell>
          <cell r="F1878" t="str">
            <v>Москва</v>
          </cell>
          <cell r="G1878">
            <v>0.66009259259259256</v>
          </cell>
          <cell r="H1878">
            <v>0.91009259259259256</v>
          </cell>
          <cell r="I1878" t="str">
            <v>ОК</v>
          </cell>
          <cell r="J1878" t="str">
            <v>ОК</v>
          </cell>
        </row>
        <row r="1879">
          <cell r="B1879" t="str">
            <v>А-00005/КЭ.Транш - 1</v>
          </cell>
          <cell r="C1879" t="str">
            <v>143000, Московская обл, г Одинцово, тер СНТ Отрада, д. 16, ком. 1</v>
          </cell>
          <cell r="F1879" t="str">
            <v>Москва</v>
          </cell>
          <cell r="G1879">
            <v>0.66009259259259256</v>
          </cell>
          <cell r="H1879">
            <v>0.91009259259259256</v>
          </cell>
          <cell r="I1879" t="str">
            <v>ОК</v>
          </cell>
          <cell r="J1879" t="str">
            <v>ОК</v>
          </cell>
        </row>
        <row r="1880">
          <cell r="B1880" t="str">
            <v>В-11549/КЛ.Транш - 2</v>
          </cell>
          <cell r="C1880" t="str">
            <v>РОССИЯ, 610008, Кировская обл, Киров г, Слобода Сошени тер., Трудовая ул, дом 34</v>
          </cell>
          <cell r="D1880" t="str">
            <v>РОССИЯ, 117133, Москва г, Тёплый Стан ул, дом 21, корпус 3, квартира 695</v>
          </cell>
          <cell r="F1880" t="str">
            <v>Москва</v>
          </cell>
          <cell r="G1880">
            <v>0.66009259259259256</v>
          </cell>
          <cell r="H1880">
            <v>0.91009259259259256</v>
          </cell>
          <cell r="I1880" t="str">
            <v>ОК</v>
          </cell>
          <cell r="J1880" t="str">
            <v>ОК</v>
          </cell>
        </row>
        <row r="1881">
          <cell r="B1881" t="str">
            <v>В-22336/КЛ.Транш - 1</v>
          </cell>
          <cell r="C1881" t="str">
            <v>РОССИЯ, 141733, Московская обл, г Лобня, ул Чайковского, д. 7, к. 2, кв. 9</v>
          </cell>
          <cell r="D1881" t="str">
            <v>РОССИЯ, 141733, Московская обл, г Лобня, ул Чайковского, д. 7, к. 2, кв. 9</v>
          </cell>
          <cell r="F1881" t="str">
            <v>Московская</v>
          </cell>
          <cell r="G1881">
            <v>0.66009259259259256</v>
          </cell>
          <cell r="H1881">
            <v>0.91009259259259256</v>
          </cell>
          <cell r="I1881" t="str">
            <v>ОК</v>
          </cell>
          <cell r="J1881" t="str">
            <v>ОК</v>
          </cell>
        </row>
        <row r="1882">
          <cell r="B1882" t="str">
            <v>В-25978/КЛ.Транш - 1</v>
          </cell>
          <cell r="C1882" t="str">
            <v>РОССИЯ, 416170, Астраханская обл, р-н Володарский, п Володарский, ул Фрунзе, д. 14, кв. 16</v>
          </cell>
          <cell r="D1882" t="str">
            <v>РОССИЯ, 142115, Московская обл, г Подольск, ул Филиппова, д. 16, кв. 83</v>
          </cell>
          <cell r="F1882" t="str">
            <v>Московская</v>
          </cell>
          <cell r="G1882">
            <v>0.66009259259259256</v>
          </cell>
          <cell r="H1882">
            <v>0.91009259259259256</v>
          </cell>
          <cell r="I1882" t="str">
            <v>ОК</v>
          </cell>
          <cell r="J1882" t="str">
            <v>ОК</v>
          </cell>
        </row>
        <row r="1883">
          <cell r="B1883" t="str">
            <v>В-24198/КЛ.Транш - 6</v>
          </cell>
          <cell r="C1883" t="str">
            <v>РОССИЯ, 142400, Московская обл, г Ногинск, ул Декабристов, д. 1Б, кв. 75</v>
          </cell>
          <cell r="D1883" t="str">
            <v>РОССИЯ, 142400, Московская обл, г Ногинск, ул Декабристов, д. 1Б, кв. 75</v>
          </cell>
          <cell r="F1883" t="str">
            <v>Московская</v>
          </cell>
          <cell r="G1883">
            <v>0.66009259259259256</v>
          </cell>
          <cell r="H1883">
            <v>0.91009259259259256</v>
          </cell>
          <cell r="I1883" t="str">
            <v>ОК</v>
          </cell>
          <cell r="J1883" t="str">
            <v>ОК</v>
          </cell>
        </row>
        <row r="1884">
          <cell r="B1884" t="str">
            <v>В-00094/КЛ.Транш - 1</v>
          </cell>
          <cell r="C1884" t="str">
            <v>РОССИЯ, 127081, Москва г, Ясный проезд, дом 1, квартира 248</v>
          </cell>
          <cell r="D1884" t="str">
            <v>РОССИЯ, 141033, Московская обл, Мытищи г, Поселок Пироговский мкр, Тимирязева ул, дом 14, квартира 79</v>
          </cell>
          <cell r="F1884" t="str">
            <v>Московская</v>
          </cell>
          <cell r="G1884">
            <v>0.66009259259259256</v>
          </cell>
          <cell r="H1884">
            <v>0.91009259259259256</v>
          </cell>
          <cell r="I1884" t="str">
            <v>ОК</v>
          </cell>
          <cell r="J1884" t="str">
            <v>ОК</v>
          </cell>
        </row>
        <row r="1885">
          <cell r="B1885" t="str">
            <v>В-17395/КЛ.Транш - 1</v>
          </cell>
          <cell r="C1885" t="str">
            <v>РОССИЯ, 300026, Тульская обл, г Тула, ул Волоховская, д. 10А, кв. 65</v>
          </cell>
          <cell r="D1885" t="str">
            <v>РОССИЯ, 300026, Тульская обл, г Тула, ул Волоховская, д. 10А, кв. 65</v>
          </cell>
          <cell r="F1885" t="str">
            <v>Тульская</v>
          </cell>
          <cell r="G1885">
            <v>0.66009259259259256</v>
          </cell>
          <cell r="H1885">
            <v>0.91009259259259256</v>
          </cell>
          <cell r="I1885" t="str">
            <v>ОК</v>
          </cell>
          <cell r="J1885" t="str">
            <v>ОК</v>
          </cell>
        </row>
        <row r="1886">
          <cell r="B1886" t="str">
            <v>В-04210/КЛ.Транш - 1</v>
          </cell>
          <cell r="C1886" t="str">
            <v>РОССИЯ, 368670, Дагестан респ, Дагестанские Огни г, Льва Николаевича Толстого ул, дом 47</v>
          </cell>
          <cell r="D1886" t="str">
            <v>РОССИЯ, 188662, Ленинградская обл, Всеволожский р-н, Мурино г., Оборонная ул, дом 22</v>
          </cell>
          <cell r="F1886" t="str">
            <v>Ленинградская</v>
          </cell>
          <cell r="G1886">
            <v>0.66009259259259256</v>
          </cell>
          <cell r="H1886">
            <v>0.91009259259259256</v>
          </cell>
          <cell r="I1886" t="str">
            <v>ОК</v>
          </cell>
          <cell r="J1886" t="str">
            <v>ОК</v>
          </cell>
        </row>
        <row r="1887">
          <cell r="B1887" t="str">
            <v>В-12631/КЛ.Транш - 1</v>
          </cell>
          <cell r="C1887" t="str">
            <v>РОССИЯ, 393253, Тамбовская обл, Рассказово г, Кремлевская ул, дом 36</v>
          </cell>
          <cell r="D1887" t="str">
            <v>РОССИЯ, 393253, Тамбовская обл, Рассказово г, Кремлевская ул, дом 36</v>
          </cell>
          <cell r="F1887" t="str">
            <v>Тамбовская</v>
          </cell>
          <cell r="G1887">
            <v>0.66009259259259256</v>
          </cell>
          <cell r="H1887">
            <v>0.91009259259259256</v>
          </cell>
          <cell r="I1887" t="str">
            <v>ОК</v>
          </cell>
          <cell r="J1887" t="str">
            <v>ОК</v>
          </cell>
        </row>
        <row r="1888">
          <cell r="B1888" t="str">
            <v>В-03524/КЛ.Транш - 2</v>
          </cell>
          <cell r="C1888" t="str">
            <v>РОССИЯ, 111024, Москва г, Перовский проезд, дом 9, корпус 1, квартира 3</v>
          </cell>
          <cell r="D1888" t="str">
            <v>РОССИЯ, 111398, Москва г, Лазо ул, дом 10, квартира 5</v>
          </cell>
          <cell r="F1888" t="str">
            <v>Москва</v>
          </cell>
          <cell r="G1888">
            <v>0.66009259259259256</v>
          </cell>
          <cell r="H1888">
            <v>0.91009259259259256</v>
          </cell>
          <cell r="I1888" t="str">
            <v>ОК</v>
          </cell>
          <cell r="J1888" t="str">
            <v>ОК</v>
          </cell>
        </row>
        <row r="1889">
          <cell r="B1889" t="str">
            <v>В-02583/КЛ.Транш - 5</v>
          </cell>
          <cell r="C1889" t="str">
            <v>РОССИЯ, 141151, Московская обл, Лосино-Петровский г, Чехова ул, дом 4, квартира 24</v>
          </cell>
          <cell r="D1889" t="str">
            <v>РОССИЯ, 141137, Московская обл, Лосино-Петровский г, Свердловский рп, Заречная ул, дом 13, квартира 203</v>
          </cell>
          <cell r="F1889" t="str">
            <v>Московская</v>
          </cell>
          <cell r="G1889">
            <v>0.66009259259259256</v>
          </cell>
          <cell r="H1889">
            <v>0.91009259259259256</v>
          </cell>
          <cell r="I1889" t="str">
            <v>ОК</v>
          </cell>
          <cell r="J1889" t="str">
            <v>ОК</v>
          </cell>
        </row>
        <row r="1890">
          <cell r="B1890" t="str">
            <v>В-02583/КЛ.Транш - 6</v>
          </cell>
          <cell r="C1890" t="str">
            <v>РОССИЯ, 141151, Московская обл, Лосино-Петровский г, Чехова ул, дом 4, квартира 24</v>
          </cell>
          <cell r="D1890" t="str">
            <v>РОССИЯ, 141137, Московская обл, Лосино-Петровский г, Свердловский рп, Заречная ул, дом 13, квартира 203</v>
          </cell>
          <cell r="F1890" t="str">
            <v>Московская</v>
          </cell>
          <cell r="G1890">
            <v>0.66009259259259256</v>
          </cell>
          <cell r="H1890">
            <v>0.91009259259259256</v>
          </cell>
          <cell r="I1890" t="str">
            <v>ОК</v>
          </cell>
          <cell r="J1890" t="str">
            <v>ОК</v>
          </cell>
        </row>
        <row r="1891">
          <cell r="B1891" t="str">
            <v>В-02583/КЛ.Транш - 7</v>
          </cell>
          <cell r="C1891" t="str">
            <v>РОССИЯ, 141151, Московская обл, Лосино-Петровский г, Чехова ул, дом 4, квартира 24</v>
          </cell>
          <cell r="D1891" t="str">
            <v>РОССИЯ, 141137, Московская обл, Лосино-Петровский г, Свердловский рп, Заречная ул, дом 13, квартира 203</v>
          </cell>
          <cell r="F1891" t="str">
            <v>Московская</v>
          </cell>
          <cell r="G1891">
            <v>0.66009259259259256</v>
          </cell>
          <cell r="H1891">
            <v>0.91009259259259256</v>
          </cell>
          <cell r="I1891" t="str">
            <v>ОК</v>
          </cell>
          <cell r="J1891" t="str">
            <v>ОК</v>
          </cell>
        </row>
        <row r="1892">
          <cell r="B1892" t="str">
            <v>В-02583/КЛ.Транш - 8</v>
          </cell>
          <cell r="C1892" t="str">
            <v>РОССИЯ, 141151, Московская обл, Лосино-Петровский г, Чехова ул, дом 4, квартира 24</v>
          </cell>
          <cell r="D1892" t="str">
            <v>РОССИЯ, 141137, Московская обл, Лосино-Петровский г, Свердловский рп, Заречная ул, дом 13, квартира 203</v>
          </cell>
          <cell r="F1892" t="str">
            <v>Московская</v>
          </cell>
          <cell r="G1892">
            <v>0.66009259259259256</v>
          </cell>
          <cell r="H1892">
            <v>0.91009259259259256</v>
          </cell>
          <cell r="I1892" t="str">
            <v>ОК</v>
          </cell>
          <cell r="J1892" t="str">
            <v>ОК</v>
          </cell>
        </row>
        <row r="1893">
          <cell r="B1893" t="str">
            <v>В-02583/КЛ.Транш - 9</v>
          </cell>
          <cell r="C1893" t="str">
            <v>РОССИЯ, 141151, Московская обл, Лосино-Петровский г, Чехова ул, дом 4, квартира 24</v>
          </cell>
          <cell r="D1893" t="str">
            <v>РОССИЯ, 141137, Московская обл, Лосино-Петровский г, Свердловский рп, Заречная ул, дом 13, квартира 203</v>
          </cell>
          <cell r="F1893" t="str">
            <v>Московская</v>
          </cell>
          <cell r="G1893">
            <v>0.66009259259259256</v>
          </cell>
          <cell r="H1893">
            <v>0.91009259259259256</v>
          </cell>
          <cell r="I1893" t="str">
            <v>ОК</v>
          </cell>
          <cell r="J1893" t="str">
            <v>ОК</v>
          </cell>
        </row>
        <row r="1894">
          <cell r="B1894" t="str">
            <v>В-02683/КЛ.Транш - 1</v>
          </cell>
          <cell r="C1894" t="str">
            <v>РОССИЯ, 141897, Московская обл, Дмитровский р-н, Горки-25 п, дом 16, квартира 39</v>
          </cell>
          <cell r="D1894" t="str">
            <v>РОССИЯ, 141897, Московская обл, Дмитровский р-н, Горки-25 п, дом 16, квартира 39</v>
          </cell>
          <cell r="F1894" t="str">
            <v>Московская</v>
          </cell>
          <cell r="G1894">
            <v>0.66009259259259256</v>
          </cell>
          <cell r="H1894">
            <v>0.91009259259259256</v>
          </cell>
          <cell r="I1894" t="str">
            <v>ОК</v>
          </cell>
          <cell r="J1894" t="str">
            <v>ОК</v>
          </cell>
        </row>
        <row r="1895">
          <cell r="B1895" t="str">
            <v>В-09100/КЛ.Транш - 1</v>
          </cell>
          <cell r="C1895" t="str">
            <v>РОССИЯ, 143989, Московская обл, Балашиха г, Ольгино мкр., Главная ул, дом 20, квартира 3</v>
          </cell>
          <cell r="D1895" t="str">
            <v>РОССИЯ, 143989, Московская обл, Балашиха г, Ольгино мкр., Главная ул, дом 20, квартира 3</v>
          </cell>
          <cell r="F1895" t="str">
            <v>Московская</v>
          </cell>
          <cell r="G1895">
            <v>0.66009259259259256</v>
          </cell>
          <cell r="H1895">
            <v>0.91009259259259256</v>
          </cell>
          <cell r="I1895" t="str">
            <v>ОК</v>
          </cell>
          <cell r="J1895" t="str">
            <v>ОК</v>
          </cell>
        </row>
        <row r="1896">
          <cell r="B1896" t="str">
            <v>В-20064/КЛ.Транш - 1</v>
          </cell>
          <cell r="C1896" t="str">
            <v>РОССИЯ, 121351, Москва г, Кунцевская ул, дом № 6, квартира 44</v>
          </cell>
          <cell r="D1896" t="str">
            <v>РОССИЯ, 121351, Москва г, Кунцевская ул, дом № 6, квартира 44</v>
          </cell>
          <cell r="F1896" t="str">
            <v>Москва</v>
          </cell>
          <cell r="G1896">
            <v>0.66009259259259256</v>
          </cell>
          <cell r="H1896">
            <v>0.91009259259259256</v>
          </cell>
          <cell r="I1896" t="str">
            <v>ОК</v>
          </cell>
          <cell r="J1896" t="str">
            <v>ОК</v>
          </cell>
        </row>
        <row r="1897">
          <cell r="B1897" t="str">
            <v>В-26949/КЛ.Транш - 1</v>
          </cell>
          <cell r="C1897" t="str">
            <v>РОССИЯ, 142204, Московская обл, г Серпухов, ш Московское, д. 49, кв. 151</v>
          </cell>
          <cell r="D1897" t="str">
            <v>РОССИЯ, 142204, Московская обл, г Серпухов, ш Московское, д. 49, кв. 151</v>
          </cell>
          <cell r="F1897" t="str">
            <v>Московская</v>
          </cell>
          <cell r="G1897">
            <v>0.66009259259259256</v>
          </cell>
          <cell r="H1897">
            <v>0.91009259259259256</v>
          </cell>
          <cell r="I1897" t="str">
            <v>ОК</v>
          </cell>
          <cell r="J1897" t="str">
            <v>ОК</v>
          </cell>
        </row>
        <row r="1898">
          <cell r="B1898" t="str">
            <v>В-26949/КЛ.Транш - 2</v>
          </cell>
          <cell r="C1898" t="str">
            <v>РОССИЯ, 142204, Московская обл, г Серпухов, ш Московское, д. 49, кв. 151</v>
          </cell>
          <cell r="D1898" t="str">
            <v>РОССИЯ, 142204, Московская обл, г Серпухов, ш Московское, д. 49, кв. 151</v>
          </cell>
          <cell r="F1898" t="str">
            <v>Московская</v>
          </cell>
          <cell r="G1898">
            <v>0.66009259259259256</v>
          </cell>
          <cell r="H1898">
            <v>0.91009259259259256</v>
          </cell>
          <cell r="I1898" t="str">
            <v>ОК</v>
          </cell>
          <cell r="J1898" t="str">
            <v>ОК</v>
          </cell>
        </row>
        <row r="1899">
          <cell r="B1899" t="str">
            <v>В-18029/КЛ.Транш - 1</v>
          </cell>
          <cell r="C1899" t="str">
            <v>РОССИЯ, 129336, Москва г, ул. Челюскинская, д. 16, кв. 132</v>
          </cell>
          <cell r="D1899" t="str">
            <v>РОССИЯ, Москва г, ул. Челюскинская, д. 16, кв. 132</v>
          </cell>
          <cell r="F1899" t="str">
            <v>Москва</v>
          </cell>
          <cell r="G1899">
            <v>0.66009259259259256</v>
          </cell>
          <cell r="H1899">
            <v>0.91009259259259256</v>
          </cell>
          <cell r="I1899" t="str">
            <v>ОК</v>
          </cell>
          <cell r="J1899" t="str">
            <v>ОК</v>
          </cell>
        </row>
        <row r="1900">
          <cell r="B1900" t="str">
            <v>В-19231/КЛ.Транш - 1</v>
          </cell>
          <cell r="C1900" t="str">
            <v>РОССИЯ, 142204, Московская обл, г Серпухов, ш Московское, д. 49, кв. 267</v>
          </cell>
          <cell r="D1900" t="str">
            <v>РОССИЯ, 142204, Московская обл, г Серпухов, ш Московское, д. 49, кв. 267</v>
          </cell>
          <cell r="F1900" t="str">
            <v>Московская</v>
          </cell>
          <cell r="G1900">
            <v>0.66009259259259256</v>
          </cell>
          <cell r="H1900">
            <v>0.91009259259259256</v>
          </cell>
          <cell r="I1900" t="str">
            <v>ОК</v>
          </cell>
          <cell r="J1900" t="str">
            <v>ОК</v>
          </cell>
        </row>
        <row r="1901">
          <cell r="B1901" t="str">
            <v>В-10010/КЭ.Транш - 1_А-20210929/Ц</v>
          </cell>
          <cell r="C1901" t="str">
            <v>196634, Санкт-Петербург г, Шушары п, Ростовская (славянка Тер.) ул, дом 26, корпус 2, квартира 164</v>
          </cell>
          <cell r="F1901" t="str">
            <v>Москва</v>
          </cell>
          <cell r="G1901">
            <v>0.66009259259259256</v>
          </cell>
          <cell r="H1901">
            <v>0.91009259259259256</v>
          </cell>
          <cell r="I1901" t="str">
            <v>ОК</v>
          </cell>
          <cell r="J1901" t="str">
            <v>ОК</v>
          </cell>
        </row>
        <row r="1902">
          <cell r="B1902" t="str">
            <v>А-00257/КЭ.Транш - 1</v>
          </cell>
          <cell r="C1902" t="str">
            <v>115407, Москва г, муниципальный округ Нагатинский затон, Нагатинская наб, дом 56А, помещение 1</v>
          </cell>
          <cell r="F1902" t="str">
            <v>Москва</v>
          </cell>
          <cell r="G1902">
            <v>0.66009259259259256</v>
          </cell>
          <cell r="H1902">
            <v>0.91009259259259256</v>
          </cell>
          <cell r="I1902" t="str">
            <v>ОК</v>
          </cell>
          <cell r="J1902" t="str">
            <v>ОК</v>
          </cell>
        </row>
        <row r="1903">
          <cell r="B1903" t="str">
            <v>А-00257/КЭ.Транш - 2</v>
          </cell>
          <cell r="C1903" t="str">
            <v>115407, Москва г, муниципальный округ Нагатинский затон, Нагатинская наб, дом 56А, помещение 1</v>
          </cell>
          <cell r="F1903" t="str">
            <v>Москва</v>
          </cell>
          <cell r="G1903">
            <v>0.66009259259259256</v>
          </cell>
          <cell r="H1903">
            <v>0.91009259259259256</v>
          </cell>
          <cell r="I1903" t="str">
            <v>ОК</v>
          </cell>
          <cell r="J1903" t="str">
            <v>ОК</v>
          </cell>
        </row>
        <row r="1904">
          <cell r="B1904" t="str">
            <v>В-08918/КЛ.Транш - 1</v>
          </cell>
          <cell r="C1904" t="str">
            <v>РОССИЯ, 140204, Московская обл, Воскресенск г, Андреса ул, дом 15, квартира 2</v>
          </cell>
          <cell r="D1904" t="str">
            <v>РОССИЯ, 140204, Московская обл, Воскресенск г, Андреса ул, дом 15, квартира 2</v>
          </cell>
          <cell r="F1904" t="str">
            <v>Московская</v>
          </cell>
          <cell r="G1904">
            <v>0.66009259259259256</v>
          </cell>
          <cell r="H1904">
            <v>0.91009259259259256</v>
          </cell>
          <cell r="I1904" t="str">
            <v>ОК</v>
          </cell>
          <cell r="J1904" t="str">
            <v>ОК</v>
          </cell>
        </row>
        <row r="1905">
          <cell r="B1905" t="str">
            <v>В-16777/КЛ.Транш - 1_В-20211230/Ц</v>
          </cell>
          <cell r="C1905" t="str">
            <v>РОССИЯ, 188751, Ленинградская обл, р-н Приозерский, гп Кузнечное, ш Приозерское, д. 4, кв. 31</v>
          </cell>
          <cell r="D1905" t="str">
            <v>РОССИЯ, 188751, Ленинградская обл, р-н Приозерский, гп Кузнечное, ш Приозерское, д. 4, кв. 31</v>
          </cell>
          <cell r="F1905" t="str">
            <v>Ленинградская</v>
          </cell>
          <cell r="G1905">
            <v>0.66009259259259256</v>
          </cell>
          <cell r="H1905">
            <v>0.91009259259259256</v>
          </cell>
          <cell r="I1905" t="str">
            <v>ОК</v>
          </cell>
          <cell r="J1905" t="str">
            <v>ОК</v>
          </cell>
        </row>
        <row r="1906">
          <cell r="B1906" t="str">
            <v>В-20133/КЛ.Транш - 1</v>
          </cell>
          <cell r="C1906" t="str">
            <v>РОССИЯ, 303454, Орловская обл, р-н Троснянский, д Чернодье, д. 64</v>
          </cell>
          <cell r="D1906" t="str">
            <v>РОССИЯ, 302006, Орловская обл, г Орёл, ул Привокзальная, д. 38, кв. 8</v>
          </cell>
          <cell r="F1906" t="str">
            <v>Орловская</v>
          </cell>
          <cell r="G1906">
            <v>0.66009259259259256</v>
          </cell>
          <cell r="H1906">
            <v>0.91009259259259256</v>
          </cell>
          <cell r="I1906" t="str">
            <v>ОК</v>
          </cell>
          <cell r="J1906" t="str">
            <v>ОК</v>
          </cell>
        </row>
        <row r="1907">
          <cell r="B1907" t="str">
            <v>А-05087/АЗ</v>
          </cell>
          <cell r="C1907" t="str">
            <v>РОССИЯ, 142180, Московская обл, Климовск г, Октябрьский пер, дом № 27, квартира 131</v>
          </cell>
          <cell r="D1907" t="str">
            <v>РОССИЯ, 142180, Московская обл, Климовск г, Октябрьский пер, дом № 27, квартира 131</v>
          </cell>
          <cell r="F1907" t="str">
            <v>Московская</v>
          </cell>
          <cell r="G1907">
            <v>0.66009259259259256</v>
          </cell>
          <cell r="H1907">
            <v>0.91009259259259256</v>
          </cell>
          <cell r="I1907" t="str">
            <v>ОК</v>
          </cell>
          <cell r="J1907" t="str">
            <v>ОК</v>
          </cell>
        </row>
        <row r="1908">
          <cell r="B1908" t="str">
            <v>В-12741/КЛ.Транш - 1</v>
          </cell>
          <cell r="C1908" t="str">
            <v>РОССИЯ, 216500, Смоленская обл, Рославльский р-н, Рославль г, Красноармейская ул, дом 86</v>
          </cell>
          <cell r="D1908" t="str">
            <v>РОССИЯ, 216500, Смоленская обл, Рославльский р-н, Рославль г, Красноармейская ул, дом 86</v>
          </cell>
          <cell r="F1908" t="str">
            <v>Смоленская</v>
          </cell>
          <cell r="G1908">
            <v>0.66009259259259256</v>
          </cell>
          <cell r="H1908">
            <v>0.91009259259259256</v>
          </cell>
          <cell r="I1908" t="str">
            <v>ОК</v>
          </cell>
          <cell r="J1908" t="str">
            <v>ОК</v>
          </cell>
        </row>
        <row r="1909">
          <cell r="B1909" t="str">
            <v>В-00066/КЭ.Транш - 1</v>
          </cell>
          <cell r="C1909" t="str">
            <v>Москва г, Большая Якиманка ул, дом 31, офис 404</v>
          </cell>
          <cell r="F1909" t="str">
            <v>Москва</v>
          </cell>
          <cell r="G1909">
            <v>0.66009259259259256</v>
          </cell>
          <cell r="H1909">
            <v>0.91009259259259256</v>
          </cell>
          <cell r="I1909" t="str">
            <v>ОК</v>
          </cell>
          <cell r="J1909" t="str">
            <v>ОК</v>
          </cell>
        </row>
        <row r="1910">
          <cell r="B1910" t="str">
            <v>В-22627/КЛ.Транш - 1</v>
          </cell>
          <cell r="C1910" t="str">
            <v>РОССИЯ, 305502, Курская обл, р-н Курский, д Якунино, д. 83</v>
          </cell>
          <cell r="D1910" t="str">
            <v>РОССИЯ, 196240, Санкт-Петербург г, проезд 5-й Предпортовый, д. 2, стр. 1, кв. кв 543 н</v>
          </cell>
          <cell r="F1910" t="str">
            <v>Москва</v>
          </cell>
          <cell r="G1910">
            <v>0.66009259259259256</v>
          </cell>
          <cell r="H1910">
            <v>0.91009259259259256</v>
          </cell>
          <cell r="I1910" t="str">
            <v>ОК</v>
          </cell>
          <cell r="J1910" t="str">
            <v>ОК</v>
          </cell>
        </row>
        <row r="1911">
          <cell r="B1911" t="str">
            <v>В-24326/КЛ.Транш - 1</v>
          </cell>
          <cell r="C1911" t="str">
            <v>РОССИЯ, 111674, Москва г, ул Рождественская, д. 19, к. 2, кв. 136</v>
          </cell>
          <cell r="D1911" t="str">
            <v>РОССИЯ, 142431, Московская обл, г Ногинск, д Мишуково, д. 16а</v>
          </cell>
          <cell r="F1911" t="str">
            <v>Московская</v>
          </cell>
          <cell r="G1911">
            <v>0.66009259259259256</v>
          </cell>
          <cell r="H1911">
            <v>0.91009259259259256</v>
          </cell>
          <cell r="I1911" t="str">
            <v>ОК</v>
          </cell>
          <cell r="J1911" t="str">
            <v>ОК</v>
          </cell>
        </row>
        <row r="1912">
          <cell r="B1912" t="str">
            <v>В-14816/КЛ.Транш - 1</v>
          </cell>
          <cell r="C1912" t="str">
            <v>РОССИЯ, 422132, Татарстан респ, Кукморский р-н, Нижняя Русь с, Г.Ахметова ул, дом 41</v>
          </cell>
          <cell r="D1912" t="str">
            <v>РОССИЯ, 422132, Татарстан респ, Кукморский р-н, Нижняя Русь с, Г.Ахметова ул, дом 41</v>
          </cell>
          <cell r="F1912" t="str">
            <v>Татарстан</v>
          </cell>
          <cell r="G1912">
            <v>0.66009259259259256</v>
          </cell>
          <cell r="H1912">
            <v>0.91009259259259256</v>
          </cell>
          <cell r="I1912" t="str">
            <v>ОК</v>
          </cell>
          <cell r="J1912" t="str">
            <v>ОК</v>
          </cell>
        </row>
        <row r="1913">
          <cell r="B1913" t="str">
            <v>В-14816/КЛ.Транш - 2</v>
          </cell>
          <cell r="C1913" t="str">
            <v>РОССИЯ, 422132, Татарстан респ, Кукморский р-н, Нижняя Русь с, Г.Ахметова ул, дом 41</v>
          </cell>
          <cell r="D1913" t="str">
            <v>РОССИЯ, 422132, Татарстан респ, Кукморский р-н, Нижняя Русь с, Г.Ахметова ул, дом 41</v>
          </cell>
          <cell r="F1913" t="str">
            <v>Татарстан</v>
          </cell>
          <cell r="G1913">
            <v>0.66009259259259256</v>
          </cell>
          <cell r="H1913">
            <v>0.91009259259259256</v>
          </cell>
          <cell r="I1913" t="str">
            <v>ОК</v>
          </cell>
          <cell r="J1913" t="str">
            <v>ОК</v>
          </cell>
        </row>
        <row r="1914">
          <cell r="B1914" t="str">
            <v>В-14816/КЛ.Транш - 4</v>
          </cell>
          <cell r="C1914" t="str">
            <v>РОССИЯ, 422132, Татарстан респ, Кукморский р-н, Нижняя Русь с, Г.Ахметова ул, дом 41</v>
          </cell>
          <cell r="D1914" t="str">
            <v>РОССИЯ, 422132, Татарстан респ, Кукморский р-н, Нижняя Русь с, Г.Ахметова ул, дом 41</v>
          </cell>
          <cell r="F1914" t="str">
            <v>Татарстан</v>
          </cell>
          <cell r="G1914">
            <v>0.66009259259259256</v>
          </cell>
          <cell r="H1914">
            <v>0.91009259259259256</v>
          </cell>
          <cell r="I1914" t="str">
            <v>ОК</v>
          </cell>
          <cell r="J1914" t="str">
            <v>ОК</v>
          </cell>
        </row>
        <row r="1915">
          <cell r="B1915" t="str">
            <v>В-14816/КЛ.Транш - 5</v>
          </cell>
          <cell r="C1915" t="str">
            <v>РОССИЯ, 422132, Татарстан респ, Кукморский р-н, Нижняя Русь с, Г.Ахметова ул, дом 41</v>
          </cell>
          <cell r="D1915" t="str">
            <v>РОССИЯ, 422132, Татарстан респ, Кукморский р-н, Нижняя Русь с, Г.Ахметова ул, дом 41</v>
          </cell>
          <cell r="F1915" t="str">
            <v>Татарстан</v>
          </cell>
          <cell r="G1915">
            <v>0.66009259259259256</v>
          </cell>
          <cell r="H1915">
            <v>0.91009259259259256</v>
          </cell>
          <cell r="I1915" t="str">
            <v>ОК</v>
          </cell>
          <cell r="J1915" t="str">
            <v>ОК</v>
          </cell>
        </row>
        <row r="1916">
          <cell r="B1916" t="str">
            <v>В-14816/КЛ.Транш - 6</v>
          </cell>
          <cell r="C1916" t="str">
            <v>РОССИЯ, 422132, Татарстан респ, Кукморский р-н, Нижняя Русь с, Г.Ахметова ул, дом 41</v>
          </cell>
          <cell r="D1916" t="str">
            <v>РОССИЯ, 422132, Татарстан респ, Кукморский р-н, Нижняя Русь с, Г.Ахметова ул, дом 41</v>
          </cell>
          <cell r="F1916" t="str">
            <v>Татарстан</v>
          </cell>
          <cell r="G1916">
            <v>0.66009259259259256</v>
          </cell>
          <cell r="H1916">
            <v>0.91009259259259256</v>
          </cell>
          <cell r="I1916" t="str">
            <v>ОК</v>
          </cell>
          <cell r="J1916" t="str">
            <v>ОК</v>
          </cell>
        </row>
        <row r="1917">
          <cell r="B1917" t="str">
            <v>В-14816/КЛ.Транш - 7</v>
          </cell>
          <cell r="C1917" t="str">
            <v>РОССИЯ, 422132, Татарстан респ, Кукморский р-н, Нижняя Русь с, Г.Ахметова ул, дом 41</v>
          </cell>
          <cell r="D1917" t="str">
            <v>РОССИЯ, 422132, Татарстан респ, Кукморский р-н, Нижняя Русь с, Г.Ахметова ул, дом 41</v>
          </cell>
          <cell r="F1917" t="str">
            <v>Татарстан</v>
          </cell>
          <cell r="G1917">
            <v>0.66009259259259256</v>
          </cell>
          <cell r="H1917">
            <v>0.91009259259259256</v>
          </cell>
          <cell r="I1917" t="str">
            <v>ОК</v>
          </cell>
          <cell r="J1917" t="str">
            <v>ОК</v>
          </cell>
        </row>
        <row r="1918">
          <cell r="B1918" t="str">
            <v>В-14627/КЛ.Транш - 3</v>
          </cell>
          <cell r="C1918" t="str">
            <v>РОССИЯ, 452980, Башкортостан респ, Балтачевский р-н, Старобалтачево с, Советская ул, дом 93А</v>
          </cell>
          <cell r="D1918" t="str">
            <v>РОССИЯ, 450007, Башкортостан респ, Уфа г, Артезианская ул, дом 28, квартира 21</v>
          </cell>
          <cell r="F1918" t="str">
            <v>Башкортостан</v>
          </cell>
          <cell r="G1918">
            <v>0.66009259259259256</v>
          </cell>
          <cell r="H1918">
            <v>0.99342592592592593</v>
          </cell>
          <cell r="I1918" t="str">
            <v>поздно</v>
          </cell>
          <cell r="J1918" t="str">
            <v>ОК</v>
          </cell>
        </row>
        <row r="1919">
          <cell r="B1919" t="str">
            <v>В-27037/АЗ</v>
          </cell>
          <cell r="C1919" t="str">
            <v>РОССИЯ, 141551, Московская обл, г Солнечногорск, д Голубое, пр-д Тверецкий, д. 16, к. 3, кв. 557</v>
          </cell>
          <cell r="D1919" t="str">
            <v>РОССИЯ, 143001, Московская обл, г Одинцово, ул Сколковская, д. 3А, кв. 612</v>
          </cell>
          <cell r="F1919" t="str">
            <v>Московская</v>
          </cell>
          <cell r="G1919">
            <v>0.66009259259259256</v>
          </cell>
          <cell r="H1919">
            <v>0.91009259259259256</v>
          </cell>
          <cell r="I1919" t="str">
            <v>ОК</v>
          </cell>
          <cell r="J1919" t="str">
            <v>ОК</v>
          </cell>
        </row>
        <row r="1920">
          <cell r="B1920" t="str">
            <v>В-27133/АЗ</v>
          </cell>
          <cell r="C1920" t="str">
            <v>РОССИЯ, 141551, Московская обл, г Солнечногорск, д Голубое, пр-д Тверецкий, д. 16, к. 3, кв. 557</v>
          </cell>
          <cell r="D1920" t="str">
            <v>РОССИЯ, 143001, Московская обл, г Одинцово, ул Сколковская, д. 3А, кв. 612</v>
          </cell>
          <cell r="F1920" t="str">
            <v>Московская</v>
          </cell>
          <cell r="G1920">
            <v>0.66009259259259256</v>
          </cell>
          <cell r="H1920">
            <v>0.91009259259259256</v>
          </cell>
          <cell r="I1920" t="str">
            <v>ОК</v>
          </cell>
          <cell r="J1920" t="str">
            <v>ОК</v>
          </cell>
        </row>
        <row r="1921">
          <cell r="B1921" t="str">
            <v>В-28977/КЛ.Транш - 1</v>
          </cell>
          <cell r="C1921" t="str">
            <v>РОССИЯ, 143002, Московская обл, г.о. Одинцовский, ул Триумфальная, д. 7, кв. 220</v>
          </cell>
          <cell r="D1921" t="str">
            <v>РОССИЯ, 143002, Московская обл, г.о. Одинцовский, ул Триумфальная, д. 7, кв. 220</v>
          </cell>
          <cell r="F1921" t="str">
            <v>Московская</v>
          </cell>
          <cell r="G1921">
            <v>0.66009259259259256</v>
          </cell>
          <cell r="H1921">
            <v>0.91009259259259256</v>
          </cell>
          <cell r="I1921" t="str">
            <v>ОК</v>
          </cell>
          <cell r="J1921" t="str">
            <v>ОК</v>
          </cell>
        </row>
        <row r="1922">
          <cell r="B1922" t="str">
            <v>В-24875/КЛ.Транш - 2</v>
          </cell>
          <cell r="C1922" t="str">
            <v>РОССИЯ, 452080, Башкортостан респ, р-н Миякинский, с Киргиз-Мияки, ул Комарова, д. 8, кв. 12</v>
          </cell>
          <cell r="D1922" t="str">
            <v>РОССИЯ, 450050, Башкортостан респ, г Уфа, ул Генерала Кусимова, д. 15, кв. 191</v>
          </cell>
          <cell r="F1922" t="str">
            <v>Башкортостан</v>
          </cell>
          <cell r="G1922">
            <v>0.66009259259259256</v>
          </cell>
          <cell r="H1922">
            <v>0.99342592592592593</v>
          </cell>
          <cell r="I1922" t="str">
            <v>поздно</v>
          </cell>
          <cell r="J1922" t="str">
            <v>ОК</v>
          </cell>
        </row>
        <row r="1923">
          <cell r="B1923" t="str">
            <v>А-03444/АЗ</v>
          </cell>
          <cell r="C1923" t="str">
            <v>РОССИЯ, 420103, Татарстан респ, Казань г, Мусина ул, дом № 59б, корпус 1, квартира 129</v>
          </cell>
          <cell r="D1923" t="str">
            <v>РОССИЯ, 420103, Татарстан респ, Казань г, Мусина ул, дом № 59б, корпус 1, квартира 129</v>
          </cell>
          <cell r="F1923" t="str">
            <v>Татарстан</v>
          </cell>
          <cell r="G1923">
            <v>0.66009259259259256</v>
          </cell>
          <cell r="H1923">
            <v>0.91009259259259256</v>
          </cell>
          <cell r="I1923" t="str">
            <v>ОК</v>
          </cell>
          <cell r="J1923" t="str">
            <v>ОК</v>
          </cell>
        </row>
        <row r="1924">
          <cell r="B1924" t="str">
            <v>В-11190/КЛ.Транш - 1</v>
          </cell>
          <cell r="C1924" t="str">
            <v>РОССИЯ, 433310, Ульяновская обл, Ульяновский р-н, Ишеевка рп, Кирова ул, дом 11, квартира 7</v>
          </cell>
          <cell r="D1924" t="str">
            <v>РОССИЯ, 433310, Ульяновская обл, Ульяновский р-н, Ишеевка рп, Кирова ул, дом 11, квартира 7</v>
          </cell>
          <cell r="F1924" t="str">
            <v>Ульяновская</v>
          </cell>
          <cell r="G1924">
            <v>0.66009259259259256</v>
          </cell>
          <cell r="H1924">
            <v>0.9517592592592593</v>
          </cell>
          <cell r="I1924" t="str">
            <v>поздно</v>
          </cell>
          <cell r="J1924" t="str">
            <v>ОК</v>
          </cell>
        </row>
        <row r="1925">
          <cell r="B1925" t="str">
            <v>В-23459/КЛ.Транш - 1</v>
          </cell>
          <cell r="C1925" t="str">
            <v>РОССИЯ, 368760, Дагестан респ, р-н Сулейман-Стальский, с Шихикент, ул Центральная, д. 17</v>
          </cell>
          <cell r="D1925" t="str">
            <v>РОССИЯ, 117624, Москва г, ул Венёвская, д. 23, кв. 76</v>
          </cell>
          <cell r="F1925" t="str">
            <v>Москва</v>
          </cell>
          <cell r="G1925">
            <v>0.66009259259259256</v>
          </cell>
          <cell r="H1925">
            <v>0.91009259259259256</v>
          </cell>
          <cell r="I1925" t="str">
            <v>ОК</v>
          </cell>
          <cell r="J1925" t="str">
            <v>ОК</v>
          </cell>
        </row>
        <row r="1926">
          <cell r="B1926" t="str">
            <v>В-17073/КЛ.Транш - 1_В-20211230/Ц</v>
          </cell>
          <cell r="C1926" t="str">
            <v>РОССИЯ, 400058, Волгоградская обл, г Волгоград, тер. Рабочий поселок Водстрой, ул им. Костюченко, влд. 7а, кв. 30</v>
          </cell>
          <cell r="D1926" t="str">
            <v>РОССИЯ, 344114, Ростовская обл, г Ростов-на-Дону, ул Орбитальная, д. 70, кв. 230</v>
          </cell>
          <cell r="F1926" t="str">
            <v>Ростовская</v>
          </cell>
          <cell r="G1926">
            <v>0.66009259259259256</v>
          </cell>
          <cell r="H1926">
            <v>0.91009259259259256</v>
          </cell>
          <cell r="I1926" t="str">
            <v>ОК</v>
          </cell>
          <cell r="J1926" t="str">
            <v>ОК</v>
          </cell>
        </row>
        <row r="1927">
          <cell r="B1927" t="str">
            <v>В-05401/КЛ.Транш - 1</v>
          </cell>
          <cell r="C1927" t="str">
            <v>РОССИЯ, 117133, Москва г, Академика Варги ул, дом № 3, квартира 212</v>
          </cell>
          <cell r="D1927" t="str">
            <v>РОССИЯ, 121609, Москва г, Осенняя ул, дом № 25, корпус 7, квартира 9</v>
          </cell>
          <cell r="F1927" t="str">
            <v>Москва</v>
          </cell>
          <cell r="G1927">
            <v>0.66009259259259256</v>
          </cell>
          <cell r="H1927">
            <v>0.91009259259259256</v>
          </cell>
          <cell r="I1927" t="str">
            <v>ОК</v>
          </cell>
          <cell r="J1927" t="str">
            <v>ОК</v>
          </cell>
        </row>
        <row r="1928">
          <cell r="B1928" t="str">
            <v>В-19862/КЛ.Транш - 1</v>
          </cell>
          <cell r="C1928" t="str">
            <v>РОССИЯ, 346815, Ростовская обл, р-н Мясниковский, с Султан-Салы, ул Селиверстова, д. 29</v>
          </cell>
          <cell r="D1928" t="str">
            <v>РОССИЯ, 346815, Ростовская обл, р-н Мясниковский, с Султан-Салы, ул Селиверстова, д. 29</v>
          </cell>
          <cell r="F1928" t="str">
            <v>Ростовская</v>
          </cell>
          <cell r="G1928">
            <v>0.66009259259259256</v>
          </cell>
          <cell r="H1928">
            <v>0.91009259259259256</v>
          </cell>
          <cell r="I1928" t="str">
            <v>ОК</v>
          </cell>
          <cell r="J1928" t="str">
            <v>ОК</v>
          </cell>
        </row>
        <row r="1929">
          <cell r="B1929" t="str">
            <v>В-03463/КЛ.Транш - 1</v>
          </cell>
          <cell r="C1929" t="str">
            <v>РОССИЯ, 410009, Саратовская обл, Саратов г, Рябиновская ул, дом 35</v>
          </cell>
          <cell r="D1929" t="str">
            <v>РОССИЯ, 143500, Московская обл, Истра г, Советская ул, дом 51, строение 3</v>
          </cell>
          <cell r="F1929" t="str">
            <v>Московская</v>
          </cell>
          <cell r="G1929">
            <v>0.66009259259259256</v>
          </cell>
          <cell r="H1929">
            <v>0.91009259259259256</v>
          </cell>
          <cell r="I1929" t="str">
            <v>ОК</v>
          </cell>
          <cell r="J1929" t="str">
            <v>ОК</v>
          </cell>
        </row>
        <row r="1930">
          <cell r="B1930" t="str">
            <v>В-23314/КЛ.Транш - 6</v>
          </cell>
          <cell r="C1930" t="str">
            <v>РОССИЯ, 423827, Татарстан респ, г Набережные Челны, ул 40 лет Победы, д. 65, кв. 16</v>
          </cell>
          <cell r="D1930" t="str">
            <v>РОССИЯ, 117218, Москва г, ул Новочерёмушкинская, д. 17, кв. 644</v>
          </cell>
          <cell r="F1930" t="str">
            <v>Москва</v>
          </cell>
          <cell r="G1930">
            <v>0.66009259259259256</v>
          </cell>
          <cell r="H1930">
            <v>0.91009259259259256</v>
          </cell>
          <cell r="I1930" t="str">
            <v>ОК</v>
          </cell>
          <cell r="J1930" t="str">
            <v>ОК</v>
          </cell>
        </row>
        <row r="1931">
          <cell r="B1931" t="str">
            <v>В-02376/КЛ.Транш - 1</v>
          </cell>
          <cell r="C1931" t="str">
            <v>РОССИЯ, 140105, Московская обл, Раменский р-н, Раменское г, Фабричная ул, дом 42, квартира 1</v>
          </cell>
          <cell r="D1931" t="str">
            <v>РОССИЯ, 140105, Московская обл, Раменский р-н, Раменское г, Фабричная ул, дом 42, квартира 1</v>
          </cell>
          <cell r="F1931" t="str">
            <v>Московская</v>
          </cell>
          <cell r="G1931">
            <v>0.66009259259259256</v>
          </cell>
          <cell r="H1931">
            <v>0.91009259259259256</v>
          </cell>
          <cell r="I1931" t="str">
            <v>ОК</v>
          </cell>
          <cell r="J1931" t="str">
            <v>ОК</v>
          </cell>
        </row>
        <row r="1932">
          <cell r="B1932" t="str">
            <v>В-13235/КЛ.Транш - 1</v>
          </cell>
          <cell r="C1932" t="str">
            <v>РОССИЯ, 602251, Владимирская обл, Муром г, Воровского ул, дом 98, квартира 6</v>
          </cell>
          <cell r="D1932" t="str">
            <v>РОССИЯ, 602251, Владимирская обл, Муром г, Воровского ул, дом 98, квартира 6</v>
          </cell>
          <cell r="F1932" t="str">
            <v>Владимирская</v>
          </cell>
          <cell r="G1932">
            <v>0.66009259259259256</v>
          </cell>
          <cell r="H1932">
            <v>0.91009259259259256</v>
          </cell>
          <cell r="I1932" t="str">
            <v>ОК</v>
          </cell>
          <cell r="J1932" t="str">
            <v>ОК</v>
          </cell>
        </row>
        <row r="1933">
          <cell r="B1933" t="str">
            <v>В-00763/КЛ.Транш - 1</v>
          </cell>
          <cell r="C1933" t="str">
            <v>РОССИЯ, 356500, Ставропольский край, Петровский р-н, Константиновское с, Герасимова ул, дом 26</v>
          </cell>
          <cell r="D1933" t="str">
            <v>РОССИЯ, 119297, Москва г, Родниковая ул, дом 4, корпус 5, квартира 64</v>
          </cell>
          <cell r="F1933" t="str">
            <v>Москва</v>
          </cell>
          <cell r="G1933">
            <v>0.66009259259259256</v>
          </cell>
          <cell r="H1933">
            <v>0.91009259259259256</v>
          </cell>
          <cell r="I1933" t="str">
            <v>ОК</v>
          </cell>
          <cell r="J1933" t="str">
            <v>ОК</v>
          </cell>
        </row>
        <row r="1934">
          <cell r="B1934" t="str">
            <v>В-17153/КЛ.Транш - 1_В-20211230/Ц</v>
          </cell>
          <cell r="C1934" t="str">
            <v>РОССИЯ, 298403, Крым респ, р-н Бахчисарайский, г Бахчисарай, ул Подгородняя, д. 49</v>
          </cell>
          <cell r="D1934" t="str">
            <v>РОССИЯ, 295007, Крым респ, г Симферополь, ул Беспалова, д. 108, кв. 65</v>
          </cell>
          <cell r="F1934" t="str">
            <v>Крым</v>
          </cell>
          <cell r="G1934">
            <v>0.66009259259259256</v>
          </cell>
          <cell r="H1934">
            <v>0.91009259259259256</v>
          </cell>
          <cell r="I1934" t="str">
            <v>ОК</v>
          </cell>
          <cell r="J1934" t="str">
            <v>ОК</v>
          </cell>
        </row>
        <row r="1935">
          <cell r="B1935" t="str">
            <v>В-17153/КЛ.Транш - 2_В-20211230/Ц</v>
          </cell>
          <cell r="C1935" t="str">
            <v>РОССИЯ, 298403, Крым респ, р-н Бахчисарайский, г Бахчисарай, ул Подгородняя, д. 49</v>
          </cell>
          <cell r="D1935" t="str">
            <v>РОССИЯ, 295007, Крым респ, г Симферополь, ул Беспалова, д. 108, кв. 65</v>
          </cell>
          <cell r="F1935" t="str">
            <v>Крым</v>
          </cell>
          <cell r="G1935">
            <v>0.66009259259259256</v>
          </cell>
          <cell r="H1935">
            <v>0.91009259259259256</v>
          </cell>
          <cell r="I1935" t="str">
            <v>ОК</v>
          </cell>
          <cell r="J1935" t="str">
            <v>ОК</v>
          </cell>
        </row>
        <row r="1936">
          <cell r="B1936" t="str">
            <v>В-15200/КЛ.Транш - 1_В-20211230/Ц</v>
          </cell>
          <cell r="C1936" t="str">
            <v>РОССИЯ, Чеченская респ, Грозный г, Ленина ул, дом 137, квартира 12</v>
          </cell>
          <cell r="D1936" t="str">
            <v>РОССИЯ, 109548, Москва г, Гурьянова ул, дом 2, корпус 1, квартира 21</v>
          </cell>
          <cell r="F1936" t="str">
            <v>Москва</v>
          </cell>
          <cell r="G1936">
            <v>0.66009259259259256</v>
          </cell>
          <cell r="H1936">
            <v>0.91009259259259256</v>
          </cell>
          <cell r="I1936" t="str">
            <v>ОК</v>
          </cell>
          <cell r="J1936" t="str">
            <v>ОК</v>
          </cell>
        </row>
        <row r="1937">
          <cell r="B1937" t="str">
            <v>В-00467/АЗ_В-20211230/Ц</v>
          </cell>
          <cell r="C1937" t="str">
            <v>РОССИЯ, 117148, Москва г, Маршала Савицкого ул, дом 30, квартира 22</v>
          </cell>
          <cell r="D1937" t="str">
            <v>РОССИЯ, 117148, Москва г, Маршала Савицкого ул, дом 30, квартира 22</v>
          </cell>
          <cell r="F1937" t="str">
            <v>Москва</v>
          </cell>
          <cell r="G1937">
            <v>0.66009259259259256</v>
          </cell>
          <cell r="H1937">
            <v>0.91009259259259256</v>
          </cell>
          <cell r="I1937" t="str">
            <v>ОК</v>
          </cell>
          <cell r="J1937" t="str">
            <v>ОК</v>
          </cell>
        </row>
        <row r="1938">
          <cell r="B1938" t="str">
            <v>В-28872/КЛ.Транш - 1</v>
          </cell>
          <cell r="C1938" t="str">
            <v>РОССИЯ, 142715, Московская обл, г Видное, п совхоза им. Ленина, д. 16, к. 1, кв. 19</v>
          </cell>
          <cell r="D1938" t="str">
            <v>РОССИЯ, 142715, Московская обл, г Видное, п совхоза им. Ленина, д. 16, к. 1, кв. 19</v>
          </cell>
          <cell r="F1938" t="str">
            <v>Московская</v>
          </cell>
          <cell r="G1938">
            <v>0.66009259259259256</v>
          </cell>
          <cell r="H1938">
            <v>0.91009259259259256</v>
          </cell>
          <cell r="I1938" t="str">
            <v>ОК</v>
          </cell>
          <cell r="J1938" t="str">
            <v>ОК</v>
          </cell>
        </row>
        <row r="1939">
          <cell r="B1939" t="str">
            <v>В-00933/АЗ</v>
          </cell>
          <cell r="C1939" t="str">
            <v>РОССИЯ, 125466, Москва г, Родионовская ул, дом 12, квартира 31</v>
          </cell>
          <cell r="D1939" t="str">
            <v>РОССИЯ, 125466, Москва г, Родионовская ул, дом 12, квартира 31</v>
          </cell>
          <cell r="F1939" t="str">
            <v>Москва</v>
          </cell>
          <cell r="G1939">
            <v>0.66009259259259256</v>
          </cell>
          <cell r="H1939">
            <v>0.91009259259259256</v>
          </cell>
          <cell r="I1939" t="str">
            <v>ОК</v>
          </cell>
          <cell r="J1939" t="str">
            <v>ОК</v>
          </cell>
        </row>
        <row r="1940">
          <cell r="B1940" t="str">
            <v>В-12066/КЛ.Транш - 1</v>
          </cell>
          <cell r="C1940" t="str">
            <v>РОССИЯ, 393251, Тамбовская обл, Рассказово г, Комитетская ул, дом 8, квартира 1</v>
          </cell>
          <cell r="D1940" t="str">
            <v>РОССИЯ, 142000, Московская обл, Домодедово г, Южный мкр., Курыжова ул, дом 28, квартира 285</v>
          </cell>
          <cell r="F1940" t="str">
            <v>Московская</v>
          </cell>
          <cell r="G1940">
            <v>0.66009259259259256</v>
          </cell>
          <cell r="H1940">
            <v>0.91009259259259256</v>
          </cell>
          <cell r="I1940" t="str">
            <v>ОК</v>
          </cell>
          <cell r="J1940" t="str">
            <v>ОК</v>
          </cell>
        </row>
        <row r="1941">
          <cell r="B1941" t="str">
            <v>В-11825/КЛ.Транш - 3</v>
          </cell>
          <cell r="C1941" t="str">
            <v>РОССИЯ, 117418, Москва г, Цюрупы ул, дом № 8, корпус 1, квартира 287</v>
          </cell>
          <cell r="D1941" t="str">
            <v>РОССИЯ, 119331, Москва г, Крупской ул, дом № 13, квартира 120</v>
          </cell>
          <cell r="F1941" t="str">
            <v>Москва</v>
          </cell>
          <cell r="G1941">
            <v>0.66009259259259256</v>
          </cell>
          <cell r="H1941">
            <v>0.91009259259259256</v>
          </cell>
          <cell r="I1941" t="str">
            <v>ОК</v>
          </cell>
          <cell r="J1941" t="str">
            <v>ОК</v>
          </cell>
        </row>
        <row r="1942">
          <cell r="B1942" t="str">
            <v>В-08121/КЛ.Транш - 3</v>
          </cell>
          <cell r="C1942" t="str">
            <v>РОССИЯ, 368009, Дагестан респ, Хасавюрт г, С.Гайдара ул, дом 38</v>
          </cell>
          <cell r="D1942" t="str">
            <v>РОССИЯ, 142006, Московская обл, Домодедово г, Востряково мкр., Советская ул, дом 1, квартира 39</v>
          </cell>
          <cell r="F1942" t="str">
            <v>Московская</v>
          </cell>
          <cell r="G1942">
            <v>0.66009259259259256</v>
          </cell>
          <cell r="H1942">
            <v>0.91009259259259256</v>
          </cell>
          <cell r="I1942" t="str">
            <v>ОК</v>
          </cell>
          <cell r="J1942" t="str">
            <v>ОК</v>
          </cell>
        </row>
        <row r="1943">
          <cell r="B1943" t="str">
            <v>В-08121/КЛ.Транш - 4</v>
          </cell>
          <cell r="C1943" t="str">
            <v>РОССИЯ, 368009, Дагестан респ, Хасавюрт г, С.Гайдара ул, дом 38</v>
          </cell>
          <cell r="D1943" t="str">
            <v>РОССИЯ, 142006, Московская обл, Домодедово г, Востряково мкр., Советская ул, дом 1, квартира 39</v>
          </cell>
          <cell r="F1943" t="str">
            <v>Московская</v>
          </cell>
          <cell r="G1943">
            <v>0.66009259259259256</v>
          </cell>
          <cell r="H1943">
            <v>0.91009259259259256</v>
          </cell>
          <cell r="I1943" t="str">
            <v>ОК</v>
          </cell>
          <cell r="J1943" t="str">
            <v>ОК</v>
          </cell>
        </row>
        <row r="1944">
          <cell r="B1944" t="str">
            <v>В-17075/КЛ.Транш - 1_В-20211230/Ц</v>
          </cell>
          <cell r="C1944" t="str">
            <v>РОССИЯ, 142608, Московская обл, г Орехово-Зуево, ул Иванова, д. 9, кв. 54</v>
          </cell>
          <cell r="D1944" t="str">
            <v>РОССИЯ, 142608, Московская обл, г Орехово-Зуево, ул Иванова, д. 9, кв. 54</v>
          </cell>
          <cell r="F1944" t="str">
            <v>Московская</v>
          </cell>
          <cell r="G1944">
            <v>0.66009259259259256</v>
          </cell>
          <cell r="H1944">
            <v>0.91009259259259256</v>
          </cell>
          <cell r="I1944" t="str">
            <v>ОК</v>
          </cell>
          <cell r="J1944" t="str">
            <v>ОК</v>
          </cell>
        </row>
        <row r="1945">
          <cell r="B1945" t="str">
            <v>В-14430/КЛ.Транш - 1</v>
          </cell>
          <cell r="C1945" t="str">
            <v>РОССИЯ, 347002, Ростовская обл, Белокалитвинский р-н, Краснодонецкая ст-ца, Екатериновская ул, дом 13</v>
          </cell>
          <cell r="D1945" t="str">
            <v>РОССИЯ, 187000, Ленинградская обл, Тосненский р-н, Тосно г, Чехова ул, дом 10, квартира 79</v>
          </cell>
          <cell r="F1945" t="str">
            <v>Ленинградская</v>
          </cell>
          <cell r="G1945">
            <v>0.66009259259259256</v>
          </cell>
          <cell r="H1945">
            <v>0.91009259259259256</v>
          </cell>
          <cell r="I1945" t="str">
            <v>ОК</v>
          </cell>
          <cell r="J1945" t="str">
            <v>ОК</v>
          </cell>
        </row>
        <row r="1946">
          <cell r="B1946" t="str">
            <v>В-14430/КЛ.Транш - 2</v>
          </cell>
          <cell r="C1946" t="str">
            <v>РОССИЯ, 347002, Ростовская обл, Белокалитвинский р-н, Краснодонецкая ст-ца, Екатериновская ул, дом 13</v>
          </cell>
          <cell r="D1946" t="str">
            <v>РОССИЯ, 187000, Ленинградская обл, Тосненский р-н, Тосно г, Чехова ул, дом 10, квартира 79</v>
          </cell>
          <cell r="F1946" t="str">
            <v>Ленинградская</v>
          </cell>
          <cell r="G1946">
            <v>0.66009259259259256</v>
          </cell>
          <cell r="H1946">
            <v>0.91009259259259256</v>
          </cell>
          <cell r="I1946" t="str">
            <v>ОК</v>
          </cell>
          <cell r="J1946" t="str">
            <v>ОК</v>
          </cell>
        </row>
        <row r="1947">
          <cell r="B1947" t="str">
            <v>В-01020/АЗ</v>
          </cell>
          <cell r="C1947" t="str">
            <v>РОССИЯ, 353445, Краснодарский край, Анапский р-н, Анапа г, Ленинградская ул, дом 81, квартира 108</v>
          </cell>
          <cell r="D1947" t="str">
            <v>РОССИЯ, 353445, Краснодарский край, Анапский р-н, Анапа г, Ленинградская ул, дом 81, квартира 108</v>
          </cell>
          <cell r="F1947" t="str">
            <v>Краснодарский</v>
          </cell>
          <cell r="G1947">
            <v>0.66009259259259256</v>
          </cell>
          <cell r="H1947">
            <v>0.91009259259259256</v>
          </cell>
          <cell r="I1947" t="str">
            <v>ОК</v>
          </cell>
          <cell r="J1947" t="str">
            <v>ОК</v>
          </cell>
        </row>
        <row r="1948">
          <cell r="B1948" t="str">
            <v>В-21099/КЛ.Транш - 2</v>
          </cell>
          <cell r="C1948" t="str">
            <v>РОССИЯ, 141007, Московская обл, г Мытищи, ул Академика Каргина, д. 40, к. 1, кв. 190</v>
          </cell>
          <cell r="D1948" t="str">
            <v>РОССИЯ, 141007, Московская обл, г Мытищи, ул Академика Каргина, д. 40, к. 1, кв. 190</v>
          </cell>
          <cell r="F1948" t="str">
            <v>Московская</v>
          </cell>
          <cell r="G1948">
            <v>0.66009259259259256</v>
          </cell>
          <cell r="H1948">
            <v>0.91009259259259256</v>
          </cell>
          <cell r="I1948" t="str">
            <v>ОК</v>
          </cell>
          <cell r="J1948" t="str">
            <v>ОК</v>
          </cell>
        </row>
        <row r="1949">
          <cell r="B1949" t="str">
            <v>В-21099/КЛ.Транш - 3</v>
          </cell>
          <cell r="C1949" t="str">
            <v>РОССИЯ, 141007, Московская обл, г Мытищи, ул Академика Каргина, д. 40, к. 1, кв. 190</v>
          </cell>
          <cell r="D1949" t="str">
            <v>РОССИЯ, 141007, Московская обл, г Мытищи, ул Академика Каргина, д. 40, к. 1, кв. 190</v>
          </cell>
          <cell r="F1949" t="str">
            <v>Московская</v>
          </cell>
          <cell r="G1949">
            <v>0.66009259259259256</v>
          </cell>
          <cell r="H1949">
            <v>0.91009259259259256</v>
          </cell>
          <cell r="I1949" t="str">
            <v>ОК</v>
          </cell>
          <cell r="J1949" t="str">
            <v>ОК</v>
          </cell>
        </row>
        <row r="1950">
          <cell r="B1950" t="str">
            <v>В-16057/КЛ.Транш - 6</v>
          </cell>
          <cell r="C1950" t="str">
            <v>РОССИЯ, 400066, Волгоградская обл, Волгоград г, им В.И.Ленина пр-кт, дом 15, квартира 56</v>
          </cell>
          <cell r="D1950" t="str">
            <v>РОССИЯ, 400066, Волгоградская обл, Волгоград г, им В.И.Ленина пр-кт, дом 15, квартира 56</v>
          </cell>
          <cell r="F1950" t="str">
            <v>Волгоградская</v>
          </cell>
          <cell r="G1950">
            <v>0.66009259259259256</v>
          </cell>
          <cell r="H1950">
            <v>0.9517592592592593</v>
          </cell>
          <cell r="I1950" t="str">
            <v>поздно</v>
          </cell>
          <cell r="J1950" t="str">
            <v>ОК</v>
          </cell>
        </row>
        <row r="1951">
          <cell r="B1951" t="str">
            <v>А-02585/АЗ</v>
          </cell>
          <cell r="C1951" t="str">
            <v>РОССИЯ, 129344, Москва г, Бабушкина ул, дом № 11/2, корпус 2, квартира 130</v>
          </cell>
          <cell r="D1951" t="str">
            <v>РОССИЯ, 129344, Москва г, Бабушкина ул, дом № 11/2, корпус 2, квартира 130</v>
          </cell>
          <cell r="F1951" t="str">
            <v>Москва</v>
          </cell>
          <cell r="G1951">
            <v>0.66009259259259256</v>
          </cell>
          <cell r="H1951">
            <v>0.91009259259259256</v>
          </cell>
          <cell r="I1951" t="str">
            <v>ОК</v>
          </cell>
          <cell r="J1951" t="str">
            <v>ОК</v>
          </cell>
        </row>
        <row r="1952">
          <cell r="B1952" t="str">
            <v>А-01147/АЗ</v>
          </cell>
          <cell r="C1952" t="str">
            <v>РОССИЯ, 143441, Московская обл, Красногорск г, Гаврилково д, ЭЖК Эдем квартал 12, домовладение 4, квартира 1</v>
          </cell>
          <cell r="D1952" t="str">
            <v>РОССИЯ, 143441, Московская обл, Красногорск г, Гаврилково д, ЭЖК Эдем квартал 12, домовладение 4, квартира 1</v>
          </cell>
          <cell r="F1952" t="str">
            <v>Московская</v>
          </cell>
          <cell r="G1952">
            <v>0.66009259259259256</v>
          </cell>
          <cell r="H1952">
            <v>0.91009259259259256</v>
          </cell>
          <cell r="I1952" t="str">
            <v>ОК</v>
          </cell>
          <cell r="J1952" t="str">
            <v>ОК</v>
          </cell>
        </row>
        <row r="1953">
          <cell r="B1953" t="str">
            <v>В-01647/КЛ.Транш - 1</v>
          </cell>
          <cell r="C1953" t="str">
            <v>РОССИЯ, 353385, Краснодарский край, Крымский р-н, Крымск г, Лермонтова ул, дом 14А, квартира 2</v>
          </cell>
          <cell r="D1953" t="str">
            <v>РОССИЯ, 197345, Санкт-Петербург г, Яхтенная ул, дом 24, корпус 2, литера А, квартира 2</v>
          </cell>
          <cell r="F1953" t="str">
            <v>Москва</v>
          </cell>
          <cell r="G1953">
            <v>0.66009259259259256</v>
          </cell>
          <cell r="H1953">
            <v>0.91009259259259256</v>
          </cell>
          <cell r="I1953" t="str">
            <v>ОК</v>
          </cell>
          <cell r="J1953" t="str">
            <v>ОК</v>
          </cell>
        </row>
        <row r="1954">
          <cell r="B1954" t="str">
            <v>В-27105/КЛ.Транш - 1</v>
          </cell>
          <cell r="C1954" t="str">
            <v>РОССИЯ, 141171, Московская обл, г Щёлково, рп Монино, ул Южная, д. 14, кв. 3</v>
          </cell>
          <cell r="D1954" t="str">
            <v>РОССИЯ, 141104, Московская обл, г Щёлково, ул Беляева, д. 8А, кв. 11</v>
          </cell>
          <cell r="F1954" t="str">
            <v>Московская</v>
          </cell>
          <cell r="G1954">
            <v>0.66009259259259256</v>
          </cell>
          <cell r="H1954">
            <v>0.91009259259259256</v>
          </cell>
          <cell r="I1954" t="str">
            <v>ОК</v>
          </cell>
          <cell r="J1954" t="str">
            <v>ОК</v>
          </cell>
        </row>
        <row r="1955">
          <cell r="B1955" t="str">
            <v>В-10474/КЛ.Транш - 3</v>
          </cell>
          <cell r="C1955" t="str">
            <v>РОССИЯ, 194017, Санкт-Петербург г, пр-кт Энгельса, д. 50, литера А, кв. 97</v>
          </cell>
          <cell r="D1955" t="str">
            <v>РОССИЯ, 390039, Рязанская обл, Рязань г, Интернациональная ул, дом 5б, квартира 27</v>
          </cell>
          <cell r="F1955" t="str">
            <v>Рязанская</v>
          </cell>
          <cell r="G1955">
            <v>0.66009259259259256</v>
          </cell>
          <cell r="H1955">
            <v>0.91009259259259256</v>
          </cell>
          <cell r="I1955" t="str">
            <v>ОК</v>
          </cell>
          <cell r="J1955" t="str">
            <v>ОК</v>
          </cell>
        </row>
        <row r="1956">
          <cell r="B1956" t="str">
            <v>В-10474/КЛ.Транш - 4</v>
          </cell>
          <cell r="C1956" t="str">
            <v>РОССИЯ, 194017, Санкт-Петербург г, пр-кт Энгельса, д. 50, литера А, кв. 97</v>
          </cell>
          <cell r="D1956" t="str">
            <v>РОССИЯ, 390039, Рязанская обл, Рязань г, Интернациональная ул, дом 5б, квартира 27</v>
          </cell>
          <cell r="F1956" t="str">
            <v>Рязанская</v>
          </cell>
          <cell r="G1956">
            <v>0.66009259259259256</v>
          </cell>
          <cell r="H1956">
            <v>0.91009259259259256</v>
          </cell>
          <cell r="I1956" t="str">
            <v>ОК</v>
          </cell>
          <cell r="J1956" t="str">
            <v>ОК</v>
          </cell>
        </row>
        <row r="1957">
          <cell r="B1957" t="str">
            <v>В-10474/КЛ.Транш - 5</v>
          </cell>
          <cell r="C1957" t="str">
            <v>РОССИЯ, 194017, Санкт-Петербург г, пр-кт Энгельса, д. 50, литера А, кв. 97</v>
          </cell>
          <cell r="D1957" t="str">
            <v>РОССИЯ, 390039, Рязанская обл, Рязань г, Интернациональная ул, дом 5б, квартира 27</v>
          </cell>
          <cell r="F1957" t="str">
            <v>Рязанская</v>
          </cell>
          <cell r="G1957">
            <v>0.66009259259259256</v>
          </cell>
          <cell r="H1957">
            <v>0.91009259259259256</v>
          </cell>
          <cell r="I1957" t="str">
            <v>ОК</v>
          </cell>
          <cell r="J1957" t="str">
            <v>ОК</v>
          </cell>
        </row>
        <row r="1958">
          <cell r="B1958" t="str">
            <v>В-10474/КЛ.Транш - 6</v>
          </cell>
          <cell r="C1958" t="str">
            <v>РОССИЯ, 194017, Санкт-Петербург г, пр-кт Энгельса, д. 50, литера А, кв. 97</v>
          </cell>
          <cell r="D1958" t="str">
            <v>РОССИЯ, 390039, Рязанская обл, Рязань г, Интернациональная ул, дом 5б, квартира 27</v>
          </cell>
          <cell r="F1958" t="str">
            <v>Рязанская</v>
          </cell>
          <cell r="G1958">
            <v>0.66009259259259256</v>
          </cell>
          <cell r="H1958">
            <v>0.91009259259259256</v>
          </cell>
          <cell r="I1958" t="str">
            <v>ОК</v>
          </cell>
          <cell r="J1958" t="str">
            <v>ОК</v>
          </cell>
        </row>
        <row r="1959">
          <cell r="B1959" t="str">
            <v>В-01102/АЗ</v>
          </cell>
          <cell r="C1959" t="str">
            <v>РОССИЯ, 108813, Москва г, Московский п, Московский г., Радужная ул, дом 27, квартира 8</v>
          </cell>
          <cell r="D1959" t="str">
            <v>РОССИЯ, 108813, Москва г, Московский п, Московский г., Радужная ул, дом 27, квартира 8</v>
          </cell>
          <cell r="F1959" t="str">
            <v>Москва</v>
          </cell>
          <cell r="G1959">
            <v>0.66009259259259256</v>
          </cell>
          <cell r="H1959">
            <v>0.91009259259259256</v>
          </cell>
          <cell r="I1959" t="str">
            <v>ОК</v>
          </cell>
          <cell r="J1959" t="str">
            <v>ОК</v>
          </cell>
        </row>
        <row r="1960">
          <cell r="B1960" t="str">
            <v>В-00249/АЗ</v>
          </cell>
          <cell r="C1960" t="str">
            <v>РОССИЯ, 141707, Московская обл, Долгопрудный г, Спортивная ул, дом № 5, корпус 2, квартира 40</v>
          </cell>
          <cell r="D1960" t="str">
            <v>РОССИЯ, 141707, Московская обл, Долгопрудный г, Спортивная ул, дом № 5, корпус 2, квартира 40</v>
          </cell>
          <cell r="F1960" t="str">
            <v>Московская</v>
          </cell>
          <cell r="G1960">
            <v>0.66009259259259256</v>
          </cell>
          <cell r="H1960">
            <v>0.91009259259259256</v>
          </cell>
          <cell r="I1960" t="str">
            <v>ОК</v>
          </cell>
          <cell r="J1960" t="str">
            <v>ОК</v>
          </cell>
        </row>
        <row r="1961">
          <cell r="B1961" t="str">
            <v>В-22833/КЛ.Транш - 1_В-20211230/Ц</v>
          </cell>
          <cell r="C1961" t="str">
            <v>РОССИЯ, 297560, Крым респ, р-н Симферопольский, с Молочное, ул Запорожская, д. 6</v>
          </cell>
          <cell r="D1961" t="str">
            <v>РОССИЯ, 297560, Крым респ, р-н Симферопольский, с Молочное, ул Запорожская, д. 6</v>
          </cell>
          <cell r="F1961" t="str">
            <v>Крым</v>
          </cell>
          <cell r="G1961">
            <v>0.66009259259259256</v>
          </cell>
          <cell r="H1961">
            <v>0.91009259259259256</v>
          </cell>
          <cell r="I1961" t="str">
            <v>ОК</v>
          </cell>
          <cell r="J1961" t="str">
            <v>ОК</v>
          </cell>
        </row>
        <row r="1962">
          <cell r="B1962" t="str">
            <v>В-02960/КЛ.Транш - 7</v>
          </cell>
          <cell r="C1962" t="str">
            <v>РОССИЯ, 141407, Московская обл, Химки г, Горшина ул, дом № 8, квартира 19</v>
          </cell>
          <cell r="D1962" t="str">
            <v>РОССИЯ, 141407, Московская обл, Химки г, Горшина ул, дом № 8, квартира 19</v>
          </cell>
          <cell r="F1962" t="str">
            <v>Московская</v>
          </cell>
          <cell r="G1962">
            <v>0.66009259259259256</v>
          </cell>
          <cell r="H1962">
            <v>0.91009259259259256</v>
          </cell>
          <cell r="I1962" t="str">
            <v>ОК</v>
          </cell>
          <cell r="J1962" t="str">
            <v>ОК</v>
          </cell>
        </row>
        <row r="1963">
          <cell r="B1963" t="str">
            <v>В-02960/КЛ.Транш - 8</v>
          </cell>
          <cell r="C1963" t="str">
            <v>РОССИЯ, 141407, Московская обл, Химки г, Горшина ул, дом № 8, квартира 19</v>
          </cell>
          <cell r="D1963" t="str">
            <v>РОССИЯ, 141407, Московская обл, Химки г, Горшина ул, дом № 8, квартира 19</v>
          </cell>
          <cell r="F1963" t="str">
            <v>Московская</v>
          </cell>
          <cell r="G1963">
            <v>0.66009259259259256</v>
          </cell>
          <cell r="H1963">
            <v>0.91009259259259256</v>
          </cell>
          <cell r="I1963" t="str">
            <v>ОК</v>
          </cell>
          <cell r="J1963" t="str">
            <v>ОК</v>
          </cell>
        </row>
        <row r="1964">
          <cell r="B1964" t="str">
            <v>В-28281/КЛ.Транш - 1</v>
          </cell>
          <cell r="C1964" t="str">
            <v>РОССИЯ, 141407, Московская обл, Химки г, Горшина ул, дом № 8, квартира 19</v>
          </cell>
          <cell r="D1964" t="str">
            <v>РОССИЯ, 141407, Московская обл, Химки г, Горшина ул, дом № 8, квартира 19</v>
          </cell>
          <cell r="F1964" t="str">
            <v>Московская</v>
          </cell>
          <cell r="G1964">
            <v>0.66009259259259256</v>
          </cell>
          <cell r="H1964">
            <v>0.91009259259259256</v>
          </cell>
          <cell r="I1964" t="str">
            <v>ОК</v>
          </cell>
          <cell r="J1964" t="str">
            <v>ОК</v>
          </cell>
        </row>
        <row r="1965">
          <cell r="B1965" t="str">
            <v>А-04617/АЗ</v>
          </cell>
          <cell r="C1965" t="str">
            <v>РОССИЯ, 169711, Коми Респ, Усинск г, Воркутинская ул, дом № 5, квартира 85</v>
          </cell>
          <cell r="D1965" t="str">
            <v>РОССИЯ, 196191, Санкт-Петербург г, Новоизмайловский пр-кт, дом № 42, корпус 3, квартира 32, Литер А</v>
          </cell>
          <cell r="F1965" t="str">
            <v>Москва</v>
          </cell>
          <cell r="G1965">
            <v>0.66009259259259256</v>
          </cell>
          <cell r="H1965">
            <v>0.91009259259259256</v>
          </cell>
          <cell r="I1965" t="str">
            <v>ОК</v>
          </cell>
          <cell r="J1965" t="str">
            <v>ОК</v>
          </cell>
        </row>
        <row r="1966">
          <cell r="B1966" t="str">
            <v>В-26093/КЛ.Транш - 1</v>
          </cell>
          <cell r="C1966" t="str">
            <v>РОССИЯ, 248010, Калужская обл, г Калуга, ул Тельмана, д. 35, кв. 41</v>
          </cell>
          <cell r="D1966" t="str">
            <v>РОССИЯ, 119049, Москва г, пр-кт Ленинский, д. 137А, кв. 7</v>
          </cell>
          <cell r="F1966" t="str">
            <v>Москва</v>
          </cell>
          <cell r="G1966">
            <v>0.66009259259259256</v>
          </cell>
          <cell r="H1966">
            <v>0.91009259259259256</v>
          </cell>
          <cell r="I1966" t="str">
            <v>ОК</v>
          </cell>
          <cell r="J1966" t="str">
            <v>ОК</v>
          </cell>
        </row>
        <row r="1967">
          <cell r="B1967" t="str">
            <v>В-00324/АЗ</v>
          </cell>
          <cell r="C1967" t="str">
            <v>РОССИЯ, 123154, Москва г, Генерала Карбышева б-р, дом № 5, корпус 6, квартира 77</v>
          </cell>
          <cell r="D1967" t="str">
            <v>РОССИЯ, 143360, Московская обл, Наро-Фоминский р-н, Апрелевка г, Февральская ул, дом № 53, квартира 31</v>
          </cell>
          <cell r="F1967" t="str">
            <v>Московская</v>
          </cell>
          <cell r="G1967">
            <v>0.66009259259259256</v>
          </cell>
          <cell r="H1967">
            <v>0.91009259259259256</v>
          </cell>
          <cell r="I1967" t="str">
            <v>ОК</v>
          </cell>
          <cell r="J1967" t="str">
            <v>ОК</v>
          </cell>
        </row>
        <row r="1968">
          <cell r="B1968" t="str">
            <v>В-27634/КЛ.Транш - 1</v>
          </cell>
          <cell r="C1968" t="str">
            <v>РОССИЯ, 367000, Дагестан респ, г Махачкала, ул. Орджоникидзе, д. 3, кв. 19</v>
          </cell>
          <cell r="D1968" t="str">
            <v>РОССИЯ, 141284, Московская обл, г Ивантеевка, ул Победы, д. 16, кв. 44</v>
          </cell>
          <cell r="F1968" t="str">
            <v>Московская</v>
          </cell>
          <cell r="G1968">
            <v>0.66009259259259256</v>
          </cell>
          <cell r="H1968">
            <v>0.91009259259259256</v>
          </cell>
          <cell r="I1968" t="str">
            <v>ОК</v>
          </cell>
          <cell r="J1968" t="str">
            <v>ОК</v>
          </cell>
        </row>
        <row r="1969">
          <cell r="B1969" t="str">
            <v>В-22183/КЛ.Транш - 1</v>
          </cell>
          <cell r="C1969" t="str">
            <v>РОССИЯ, Московская обл, г Химки, родники кв-л Вашутино, тер ТСН Серебряные, д. 32, кв. 1</v>
          </cell>
          <cell r="D1969" t="str">
            <v>РОССИЯ, Московская обл, г Химки, родники кв-л Вашутино, тер ТСН Серебряные, д. 32, кв. 1</v>
          </cell>
          <cell r="F1969" t="str">
            <v>Московская</v>
          </cell>
          <cell r="G1969">
            <v>0.66009259259259256</v>
          </cell>
          <cell r="H1969">
            <v>0.91009259259259256</v>
          </cell>
          <cell r="I1969" t="str">
            <v>ОК</v>
          </cell>
          <cell r="J1969" t="str">
            <v>ОК</v>
          </cell>
        </row>
        <row r="1970">
          <cell r="B1970" t="str">
            <v>В-11181/КЛ.Транш - 2</v>
          </cell>
          <cell r="C1970" t="str">
            <v>РОССИЯ, 111622, Москва г, Оранжерейная ул, дом № 8, квартира 23</v>
          </cell>
          <cell r="D1970" t="str">
            <v>РОССИЯ, 111622, Москва г, Оранжерейная ул, дом № 8, квартира 23</v>
          </cell>
          <cell r="F1970" t="str">
            <v>Москва</v>
          </cell>
          <cell r="G1970">
            <v>0.66009259259259256</v>
          </cell>
          <cell r="H1970">
            <v>0.91009259259259256</v>
          </cell>
          <cell r="I1970" t="str">
            <v>ОК</v>
          </cell>
          <cell r="J1970" t="str">
            <v>ОК</v>
          </cell>
        </row>
        <row r="1971">
          <cell r="B1971" t="str">
            <v>В-16991/КЛ.Транш - 1</v>
          </cell>
          <cell r="C1971" t="str">
            <v>РОССИЯ, 347071, Ростовская обл, р-н Тацинский, х Михайлов, ул Калинина, д. 13А, кв. 7</v>
          </cell>
          <cell r="D1971" t="str">
            <v>РОССИЯ, 347071, Ростовская обл, р-н Тацинский, х Михайлов, ул Калинина, д. 13А, кв. 7</v>
          </cell>
          <cell r="F1971" t="str">
            <v>Ростовская</v>
          </cell>
          <cell r="G1971">
            <v>0.66009259259259256</v>
          </cell>
          <cell r="H1971">
            <v>0.91009259259259256</v>
          </cell>
          <cell r="I1971" t="str">
            <v>ОК</v>
          </cell>
          <cell r="J1971" t="str">
            <v>ОК</v>
          </cell>
        </row>
        <row r="1972">
          <cell r="B1972" t="str">
            <v>В-27581/АЗ</v>
          </cell>
          <cell r="C1972" t="str">
            <v>РОССИЯ, 620092, Свердловская обл, г Екатеринбург, ул Новгородцевой, д. 15, кв. 98</v>
          </cell>
          <cell r="D1972" t="str">
            <v>РОССИЯ, 620092, Свердловская обл, г Екатеринбург, ул Новгородцевой, д. 15, кв. 98</v>
          </cell>
          <cell r="F1972" t="str">
            <v>Свердловская</v>
          </cell>
          <cell r="G1972">
            <v>0.66009259259259256</v>
          </cell>
          <cell r="H1972">
            <v>0.99342592592592593</v>
          </cell>
          <cell r="I1972" t="str">
            <v>поздно</v>
          </cell>
          <cell r="J1972" t="str">
            <v>ОК</v>
          </cell>
        </row>
        <row r="1973">
          <cell r="B1973" t="str">
            <v>В-18569/КЛ.Транш - 1</v>
          </cell>
          <cell r="C1973" t="str">
            <v>РОССИЯ, 359425, Калмыкия респ, р-н Малодербетовский, п Ханата, ул О.Городовикова, д. 17</v>
          </cell>
          <cell r="D1973" t="str">
            <v>РОССИЯ, 358008, Калмыкия респ, г Элиста, ул им Павла Вдовикина, д. 4</v>
          </cell>
          <cell r="F1973" t="str">
            <v>Калмыкия</v>
          </cell>
          <cell r="G1973">
            <v>0.66009259259259256</v>
          </cell>
          <cell r="H1973">
            <v>0.91009259259259256</v>
          </cell>
          <cell r="I1973" t="str">
            <v>ОК</v>
          </cell>
          <cell r="J1973" t="str">
            <v>ОК</v>
          </cell>
        </row>
        <row r="1974">
          <cell r="B1974" t="str">
            <v>В-12427/КЛ.Транш - 1</v>
          </cell>
          <cell r="C1974" t="str">
            <v>РОССИЯ, 143641, Московская обл, Волоколамск г, Ильинское с, Центральная ул, дом 8, квартира 27</v>
          </cell>
          <cell r="D1974" t="str">
            <v>РОССИЯ, 143641, Московская обл, Волоколамск г, Ильинское с, Центральная ул, дом 8, квартира 27</v>
          </cell>
          <cell r="F1974" t="str">
            <v>Московская</v>
          </cell>
          <cell r="G1974">
            <v>0.66009259259259256</v>
          </cell>
          <cell r="H1974">
            <v>0.91009259259259256</v>
          </cell>
          <cell r="I1974" t="str">
            <v>ОК</v>
          </cell>
          <cell r="J1974" t="str">
            <v>ОК</v>
          </cell>
        </row>
        <row r="1975">
          <cell r="B1975" t="str">
            <v>В-12427/КЛ.Транш - 2</v>
          </cell>
          <cell r="C1975" t="str">
            <v>РОССИЯ, 143641, Московская обл, Волоколамск г, Ильинское с, Центральная ул, дом 8, квартира 27</v>
          </cell>
          <cell r="D1975" t="str">
            <v>РОССИЯ, 143641, Московская обл, Волоколамск г, Ильинское с, Центральная ул, дом 8, квартира 27</v>
          </cell>
          <cell r="F1975" t="str">
            <v>Московская</v>
          </cell>
          <cell r="G1975">
            <v>0.66009259259259256</v>
          </cell>
          <cell r="H1975">
            <v>0.91009259259259256</v>
          </cell>
          <cell r="I1975" t="str">
            <v>ОК</v>
          </cell>
          <cell r="J1975" t="str">
            <v>ОК</v>
          </cell>
        </row>
        <row r="1976">
          <cell r="B1976" t="str">
            <v>В-12427/КЛ.Транш - 3</v>
          </cell>
          <cell r="C1976" t="str">
            <v>РОССИЯ, 143641, Московская обл, Волоколамск г, Ильинское с, Центральная ул, дом 8, квартира 27</v>
          </cell>
          <cell r="D1976" t="str">
            <v>РОССИЯ, 143641, Московская обл, Волоколамск г, Ильинское с, Центральная ул, дом 8, квартира 27</v>
          </cell>
          <cell r="F1976" t="str">
            <v>Московская</v>
          </cell>
          <cell r="G1976">
            <v>0.66009259259259256</v>
          </cell>
          <cell r="H1976">
            <v>0.91009259259259256</v>
          </cell>
          <cell r="I1976" t="str">
            <v>ОК</v>
          </cell>
          <cell r="J1976" t="str">
            <v>ОК</v>
          </cell>
        </row>
        <row r="1977">
          <cell r="B1977" t="str">
            <v>В-20742/КЛ.Транш - 1</v>
          </cell>
          <cell r="C1977" t="str">
            <v>РОССИЯ, 140160, Московская обл, г Раменское, д Толмачево, кв-л 2-4, д. 25</v>
          </cell>
          <cell r="D1977" t="str">
            <v>РОССИЯ, 140160, Московская обл, г Раменское, д Толмачево, кв-л 2-4, д. 25</v>
          </cell>
          <cell r="F1977" t="str">
            <v>Московская</v>
          </cell>
          <cell r="G1977">
            <v>0.66009259259259256</v>
          </cell>
          <cell r="H1977">
            <v>0.91009259259259256</v>
          </cell>
          <cell r="I1977" t="str">
            <v>ОК</v>
          </cell>
          <cell r="J1977" t="str">
            <v>ОК</v>
          </cell>
        </row>
        <row r="1978">
          <cell r="B1978" t="str">
            <v>В-20032/КЛ.Транш - 1</v>
          </cell>
          <cell r="C1978" t="str">
            <v>РОССИЯ, 127486, Москва г, ул Ивана Сусанина, д. 2, к. 1, кв. 368</v>
          </cell>
          <cell r="D1978" t="str">
            <v>РОССИЯ, 127486, Москва г, ул Ивана Сусанина, д. 2, к. 1, кв. 368</v>
          </cell>
          <cell r="F1978" t="str">
            <v>Москва</v>
          </cell>
          <cell r="G1978">
            <v>0.66009259259259256</v>
          </cell>
          <cell r="H1978">
            <v>0.91009259259259256</v>
          </cell>
          <cell r="I1978" t="str">
            <v>ОК</v>
          </cell>
          <cell r="J1978" t="str">
            <v>ОК</v>
          </cell>
        </row>
        <row r="1979">
          <cell r="B1979" t="str">
            <v>В-13051/КЛ.Транш - 1_В-20211230/Ц</v>
          </cell>
          <cell r="C1979" t="str">
            <v>РОССИЯ, г Санкт-Петербург, ул Спирина, дом 2, корпус 1, квартира 14</v>
          </cell>
          <cell r="D1979" t="str">
            <v>РОССИЯ, г Санкт-Петербург, ул Спирина, дом 2, корпус 1, квартира 14</v>
          </cell>
          <cell r="F1979" t="str">
            <v>Москва</v>
          </cell>
          <cell r="G1979">
            <v>0.66009259259259256</v>
          </cell>
          <cell r="H1979">
            <v>0.91009259259259256</v>
          </cell>
          <cell r="I1979" t="str">
            <v>ОК</v>
          </cell>
          <cell r="J1979" t="str">
            <v>ОК</v>
          </cell>
        </row>
        <row r="1980">
          <cell r="B1980" t="str">
            <v>В-18851/КЛ.Транш - 1</v>
          </cell>
          <cell r="C1980" t="str">
            <v>РОССИЯ, 171361, Тверская обл, р-н Старицкий, г Старица, ул Коммунистическая, д. 34, кв. 29</v>
          </cell>
          <cell r="D1980" t="str">
            <v>РОССИЯ, 171361, Тверская обл, р-н Старицкий, г Старица, ул Коммунистическая, д. 34, кв. 29</v>
          </cell>
          <cell r="F1980" t="str">
            <v>Тверская</v>
          </cell>
          <cell r="G1980">
            <v>0.66009259259259256</v>
          </cell>
          <cell r="H1980">
            <v>0.91009259259259256</v>
          </cell>
          <cell r="I1980" t="str">
            <v>ОК</v>
          </cell>
          <cell r="J1980" t="str">
            <v>ОК</v>
          </cell>
        </row>
        <row r="1981">
          <cell r="B1981" t="str">
            <v>В-18008/КЛ.Транш - 1</v>
          </cell>
          <cell r="C1981" t="str">
            <v>РОССИЯ, Краснодарский край, г Горячий Ключ, х Молькин</v>
          </cell>
          <cell r="D1981" t="str">
            <v>РОССИЯ, Краснодарский край, г Горячий Ключ, х Молькин</v>
          </cell>
          <cell r="F1981" t="str">
            <v>Краснодарский</v>
          </cell>
          <cell r="G1981">
            <v>0.66009259259259256</v>
          </cell>
          <cell r="H1981">
            <v>0.91009259259259256</v>
          </cell>
          <cell r="I1981" t="str">
            <v>ОК</v>
          </cell>
          <cell r="J1981" t="str">
            <v>ОК</v>
          </cell>
        </row>
        <row r="1982">
          <cell r="B1982" t="str">
            <v>В-00967/АЗ</v>
          </cell>
          <cell r="C1982" t="str">
            <v>РОССИЯ, 117465, Москва г, Тёплый Стан ул, дом 9, корпус 3, квартира 118</v>
          </cell>
          <cell r="D1982" t="str">
            <v>РОССИЯ, 117465, Москва г, Тёплый Стан ул, дом 9, корпус 3, квартира 118</v>
          </cell>
          <cell r="F1982" t="str">
            <v>Москва</v>
          </cell>
          <cell r="G1982">
            <v>0.66009259259259256</v>
          </cell>
          <cell r="H1982">
            <v>0.91009259259259256</v>
          </cell>
          <cell r="I1982" t="str">
            <v>ОК</v>
          </cell>
          <cell r="J1982" t="str">
            <v>ОК</v>
          </cell>
        </row>
        <row r="1983">
          <cell r="B1983" t="str">
            <v>В-27049/АЗ</v>
          </cell>
          <cell r="C1983" t="str">
            <v>РОССИЯ, 129343, Москва г, ул Амундсена, д. 17, к. 2, кв. 146</v>
          </cell>
          <cell r="D1983" t="str">
            <v>РОССИЯ, 141018, Московская обл, г Мытищи, пр-кт Новомытищинский, д. 86, к. 4, кв. 240</v>
          </cell>
          <cell r="F1983" t="str">
            <v>Московская</v>
          </cell>
          <cell r="G1983">
            <v>0.66009259259259256</v>
          </cell>
          <cell r="H1983">
            <v>0.91009259259259256</v>
          </cell>
          <cell r="I1983" t="str">
            <v>ОК</v>
          </cell>
          <cell r="J1983" t="str">
            <v>ОК</v>
          </cell>
        </row>
        <row r="1984">
          <cell r="B1984" t="str">
            <v>В-14216/КЛ.Транш - 1</v>
          </cell>
          <cell r="C1984" t="str">
            <v>РОССИЯ, 143915, Московская обл, Балашиха г, Заречная ул, дом 33, квартира 48</v>
          </cell>
          <cell r="D1984" t="str">
            <v>РОССИЯ, 143915, Московская обл, Балашиха г, Заречная ул, дом 33, квартира 48</v>
          </cell>
          <cell r="F1984" t="str">
            <v>Московская</v>
          </cell>
          <cell r="G1984">
            <v>0.66009259259259256</v>
          </cell>
          <cell r="H1984">
            <v>0.91009259259259256</v>
          </cell>
          <cell r="I1984" t="str">
            <v>ОК</v>
          </cell>
          <cell r="J1984" t="str">
            <v>ОК</v>
          </cell>
        </row>
        <row r="1985">
          <cell r="B1985" t="str">
            <v>В-14216/КЛ.Транш - 2</v>
          </cell>
          <cell r="C1985" t="str">
            <v>РОССИЯ, 143915, Московская обл, Балашиха г, Заречная ул, дом 33, квартира 48</v>
          </cell>
          <cell r="D1985" t="str">
            <v>РОССИЯ, 143915, Московская обл, Балашиха г, Заречная ул, дом 33, квартира 48</v>
          </cell>
          <cell r="F1985" t="str">
            <v>Московская</v>
          </cell>
          <cell r="G1985">
            <v>0.66009259259259256</v>
          </cell>
          <cell r="H1985">
            <v>0.91009259259259256</v>
          </cell>
          <cell r="I1985" t="str">
            <v>ОК</v>
          </cell>
          <cell r="J1985" t="str">
            <v>ОК</v>
          </cell>
        </row>
        <row r="1986">
          <cell r="B1986" t="str">
            <v>В-14216/КЛ.Транш - 3</v>
          </cell>
          <cell r="C1986" t="str">
            <v>РОССИЯ, 143915, Московская обл, Балашиха г, Заречная ул, дом 33, квартира 48</v>
          </cell>
          <cell r="D1986" t="str">
            <v>РОССИЯ, 143915, Московская обл, Балашиха г, Заречная ул, дом 33, квартира 48</v>
          </cell>
          <cell r="F1986" t="str">
            <v>Московская</v>
          </cell>
          <cell r="G1986">
            <v>0.66009259259259256</v>
          </cell>
          <cell r="H1986">
            <v>0.91009259259259256</v>
          </cell>
          <cell r="I1986" t="str">
            <v>ОК</v>
          </cell>
          <cell r="J1986" t="str">
            <v>ОК</v>
          </cell>
        </row>
        <row r="1987">
          <cell r="B1987" t="str">
            <v>В-14216/КЛ.Транш - 4</v>
          </cell>
          <cell r="C1987" t="str">
            <v>РОССИЯ, 143915, Московская обл, Балашиха г, Заречная ул, дом 33, квартира 48</v>
          </cell>
          <cell r="D1987" t="str">
            <v>РОССИЯ, 143915, Московская обл, Балашиха г, Заречная ул, дом 33, квартира 48</v>
          </cell>
          <cell r="F1987" t="str">
            <v>Московская</v>
          </cell>
          <cell r="G1987">
            <v>0.66009259259259256</v>
          </cell>
          <cell r="H1987">
            <v>0.91009259259259256</v>
          </cell>
          <cell r="I1987" t="str">
            <v>ОК</v>
          </cell>
          <cell r="J1987" t="str">
            <v>ОК</v>
          </cell>
        </row>
        <row r="1988">
          <cell r="B1988" t="str">
            <v>В-22979/КЛ.Транш - 1</v>
          </cell>
          <cell r="C1988" t="str">
            <v>РОССИЯ, 249160, Калужская обл, р-н Жуковский, г Белоусово, снт Лужок, д. 348</v>
          </cell>
          <cell r="D1988" t="str">
            <v>РОССИЯ, 119285, Москва г, ул Пырьева, д. 8, кв. 21</v>
          </cell>
          <cell r="F1988" t="str">
            <v>Москва</v>
          </cell>
          <cell r="G1988">
            <v>0.66009259259259256</v>
          </cell>
          <cell r="H1988">
            <v>0.91009259259259256</v>
          </cell>
          <cell r="I1988" t="str">
            <v>ОК</v>
          </cell>
          <cell r="J1988" t="str">
            <v>ОК</v>
          </cell>
        </row>
        <row r="1989">
          <cell r="B1989" t="str">
            <v>В-16444/КЛ.Транш - 3</v>
          </cell>
          <cell r="C1989" t="str">
            <v>РОССИЯ, Московская обл, Одинцово г, Брехово д, НП ЛПХ Ока тер., дом 45</v>
          </cell>
          <cell r="D1989" t="str">
            <v>РОССИЯ, Московская обл, Одинцово г, Брехово д, НП ЛПХ Ока тер., дом 45</v>
          </cell>
          <cell r="F1989" t="str">
            <v>Московская</v>
          </cell>
          <cell r="G1989">
            <v>0.66009259259259256</v>
          </cell>
          <cell r="H1989">
            <v>0.91009259259259256</v>
          </cell>
          <cell r="I1989" t="str">
            <v>ОК</v>
          </cell>
          <cell r="J1989" t="str">
            <v>ОК</v>
          </cell>
        </row>
        <row r="1990">
          <cell r="B1990" t="str">
            <v>В-01345/КЛ.Транш - 1</v>
          </cell>
          <cell r="C1990" t="str">
            <v>РОССИЯ, 127349, Москва г, Лескова ул, дом 10В, квартира 57</v>
          </cell>
          <cell r="D1990" t="str">
            <v>РОССИЯ, 127349, Москва г, Лескова ул, дом 10В, квартира 57</v>
          </cell>
          <cell r="F1990" t="str">
            <v>Москва</v>
          </cell>
          <cell r="G1990">
            <v>0.66009259259259256</v>
          </cell>
          <cell r="H1990">
            <v>0.91009259259259256</v>
          </cell>
          <cell r="I1990" t="str">
            <v>ОК</v>
          </cell>
          <cell r="J1990" t="str">
            <v>ОК</v>
          </cell>
        </row>
        <row r="1991">
          <cell r="B1991" t="str">
            <v>Т-01893/АЗ_Т-20211028/Ц</v>
          </cell>
          <cell r="C1991" t="str">
            <v>РОССИЯ, 127287, Москва г, Вятский 4-й пер, дом № 35, квартира 82</v>
          </cell>
          <cell r="D1991" t="str">
            <v>РОССИЯ, 127287, Москва г, Вятский 4-й пер, дом № 35, квартира 82</v>
          </cell>
          <cell r="F1991" t="str">
            <v>Москва</v>
          </cell>
          <cell r="G1991">
            <v>0.66009259259259256</v>
          </cell>
          <cell r="H1991">
            <v>0.91009259259259256</v>
          </cell>
          <cell r="I1991" t="str">
            <v>ОК</v>
          </cell>
          <cell r="J1991" t="str">
            <v>ОК</v>
          </cell>
        </row>
        <row r="1992">
          <cell r="B1992" t="str">
            <v>В-17030/КЛ.Транш - 1</v>
          </cell>
          <cell r="C1992" t="str">
            <v>РОССИЯ, 344049, Ростовская обл, г Ростов-на-Дону, ул Стабильная, д. 40, кв. 25</v>
          </cell>
          <cell r="D1992" t="str">
            <v>РОССИЯ, 344090, Ростовская обл, г Ростов-на-Дону, ул Стабильная, д. 40, кв. 25</v>
          </cell>
          <cell r="F1992" t="str">
            <v>Ростовская</v>
          </cell>
          <cell r="G1992">
            <v>0.66009259259259256</v>
          </cell>
          <cell r="H1992">
            <v>0.91009259259259256</v>
          </cell>
          <cell r="I1992" t="str">
            <v>ОК</v>
          </cell>
          <cell r="J1992" t="str">
            <v>ОК</v>
          </cell>
        </row>
        <row r="1993">
          <cell r="B1993" t="str">
            <v>В-01925/КЛ.Транш - 1_В-20211230/Ц</v>
          </cell>
          <cell r="C1993" t="str">
            <v>РОССИЯ, 352680, Краснодарский край, Апшеронский р-н, Хадыженск г, Джабадари ул, дом 54</v>
          </cell>
          <cell r="D1993" t="str">
            <v>РОССИЯ, 108836, г Москва, поселение Десеновское, Новомосковский округ, ул Нововатутинская 1-я, дом 3, квартира 182</v>
          </cell>
          <cell r="F1993" t="str">
            <v>Москва</v>
          </cell>
          <cell r="G1993">
            <v>0.66009259259259256</v>
          </cell>
          <cell r="H1993">
            <v>0.91009259259259256</v>
          </cell>
          <cell r="I1993" t="str">
            <v>ОК</v>
          </cell>
          <cell r="J1993" t="str">
            <v>ОК</v>
          </cell>
        </row>
        <row r="1994">
          <cell r="B1994" t="str">
            <v>В-01925/КЛ.Транш - 2_В-20211230/Ц</v>
          </cell>
          <cell r="C1994" t="str">
            <v>РОССИЯ, 352680, Краснодарский край, Апшеронский р-н, Хадыженск г, Джабадари ул, дом 54</v>
          </cell>
          <cell r="D1994" t="str">
            <v>РОССИЯ, 108836, г Москва, поселение Десеновское, Новомосковский округ, ул Нововатутинская 1-я, дом 3, квартира 182</v>
          </cell>
          <cell r="F1994" t="str">
            <v>Москва</v>
          </cell>
          <cell r="G1994">
            <v>0.66009259259259256</v>
          </cell>
          <cell r="H1994">
            <v>0.91009259259259256</v>
          </cell>
          <cell r="I1994" t="str">
            <v>ОК</v>
          </cell>
          <cell r="J1994" t="str">
            <v>ОК</v>
          </cell>
        </row>
        <row r="1995">
          <cell r="B1995" t="str">
            <v>В-28789/КЛ.Транш - 1</v>
          </cell>
          <cell r="C1995" t="str">
            <v>РОССИЯ, 302038, Орловская обл, г Орёл, ул Бурова, д. 32, кв. 124</v>
          </cell>
          <cell r="D1995" t="str">
            <v>РОССИЯ, 127238, Москва г, проезд Локомотивный, д. 29, кв. 81</v>
          </cell>
          <cell r="F1995" t="str">
            <v>Москва</v>
          </cell>
          <cell r="G1995">
            <v>0.66009259259259256</v>
          </cell>
          <cell r="H1995">
            <v>0.91009259259259256</v>
          </cell>
          <cell r="I1995" t="str">
            <v>ОК</v>
          </cell>
          <cell r="J1995" t="str">
            <v>ОК</v>
          </cell>
        </row>
        <row r="1996">
          <cell r="B1996" t="str">
            <v>В-12279/КЛ.Транш - 1</v>
          </cell>
          <cell r="C1996" t="str">
            <v>РОССИЯ, 354055, Краснодарский край, Сочи г, Центральный р-н, Пластунская ул, дом 193, квартира 18</v>
          </cell>
          <cell r="D1996" t="str">
            <v>РОССИЯ, 354055, Краснодарский край, Сочи г, Центральный р-н, Пластунская ул, дом 193, квартира 18</v>
          </cell>
          <cell r="F1996" t="str">
            <v>Краснодарский</v>
          </cell>
          <cell r="G1996">
            <v>0.66009259259259256</v>
          </cell>
          <cell r="H1996">
            <v>0.91009259259259256</v>
          </cell>
          <cell r="I1996" t="str">
            <v>ОК</v>
          </cell>
          <cell r="J1996" t="str">
            <v>ОК</v>
          </cell>
        </row>
        <row r="1997">
          <cell r="B1997" t="str">
            <v>В-09270/КЛ.Транш - 1</v>
          </cell>
          <cell r="C1997" t="str">
            <v>РОССИЯ, 456441, Челябинская обл, Чебаркуль г, Красноармейская ул, дом 2</v>
          </cell>
          <cell r="D1997" t="str">
            <v>РОССИЯ, 354068, Краснодарский край, Сочи г, Центральный р-н, Донской пер, дом 22Б/1, квартира 24</v>
          </cell>
          <cell r="F1997" t="str">
            <v>Краснодарский</v>
          </cell>
          <cell r="G1997">
            <v>0.66009259259259256</v>
          </cell>
          <cell r="H1997">
            <v>0.91009259259259256</v>
          </cell>
          <cell r="I1997" t="str">
            <v>ОК</v>
          </cell>
          <cell r="J1997" t="str">
            <v>ОК</v>
          </cell>
        </row>
        <row r="1998">
          <cell r="B1998" t="str">
            <v>В-10039/КЛ.Транш - 1</v>
          </cell>
          <cell r="C1998" t="str">
            <v>РОССИЯ, 624300, Свердловская обл, Кушва г, Луначарского ул, дом 18, квартира 57</v>
          </cell>
          <cell r="D1998" t="str">
            <v>РОССИЯ, 624300, Свердловская обл, Кушва г, Фадеевых ул, дом 20, квартира 51</v>
          </cell>
          <cell r="F1998" t="str">
            <v>Свердловская</v>
          </cell>
          <cell r="G1998">
            <v>0.66009259259259256</v>
          </cell>
          <cell r="H1998">
            <v>0.99342592592592593</v>
          </cell>
          <cell r="I1998" t="str">
            <v>поздно</v>
          </cell>
          <cell r="J1998" t="str">
            <v>ОК</v>
          </cell>
        </row>
        <row r="1999">
          <cell r="B1999" t="str">
            <v>В-10039/КЛ.Транш - 2</v>
          </cell>
          <cell r="C1999" t="str">
            <v>РОССИЯ, 624300, Свердловская обл, Кушва г, Луначарского ул, дом 18, квартира 57</v>
          </cell>
          <cell r="D1999" t="str">
            <v>РОССИЯ, 624300, Свердловская обл, Кушва г, Фадеевых ул, дом 20, квартира 51</v>
          </cell>
          <cell r="F1999" t="str">
            <v>Свердловская</v>
          </cell>
          <cell r="G1999">
            <v>0.66009259259259256</v>
          </cell>
          <cell r="H1999">
            <v>0.99342592592592593</v>
          </cell>
          <cell r="I1999" t="str">
            <v>поздно</v>
          </cell>
          <cell r="J1999" t="str">
            <v>ОК</v>
          </cell>
        </row>
        <row r="2000">
          <cell r="B2000" t="str">
            <v>А-00714/АЗ</v>
          </cell>
          <cell r="C2000" t="str">
            <v>РОССИЯ, Московская обл, Дубна г, Флерова ул, дом № 4а, квартира 165</v>
          </cell>
          <cell r="D2000" t="str">
            <v>РОССИЯ, Московская обл, Флерова ул, дом № 4а, квартира 165</v>
          </cell>
          <cell r="F2000" t="str">
            <v>Московская</v>
          </cell>
          <cell r="G2000">
            <v>0.66009259259259256</v>
          </cell>
          <cell r="H2000">
            <v>0.91009259259259256</v>
          </cell>
          <cell r="I2000" t="str">
            <v>ОК</v>
          </cell>
          <cell r="J2000" t="str">
            <v>ОК</v>
          </cell>
        </row>
        <row r="2001">
          <cell r="B2001" t="str">
            <v>В-27914/КЛ.Транш - 1</v>
          </cell>
          <cell r="C2001" t="str">
            <v>РОССИЯ, 141313, Московская обл, г Сергиев Посад, ул Рыбная 1-я, д. 92, кв. 32</v>
          </cell>
          <cell r="D2001" t="str">
            <v>РОССИЯ, 141313, Московская обл, г Сергиев Посад, ул Рыбная 1-я, д. 92, кв. 32</v>
          </cell>
          <cell r="F2001" t="str">
            <v>Московская</v>
          </cell>
          <cell r="G2001">
            <v>0.66009259259259256</v>
          </cell>
          <cell r="H2001">
            <v>0.91009259259259256</v>
          </cell>
          <cell r="I2001" t="str">
            <v>ОК</v>
          </cell>
          <cell r="J2001" t="str">
            <v>ОК</v>
          </cell>
        </row>
        <row r="2002">
          <cell r="B2002" t="str">
            <v>В-00132/АЗ</v>
          </cell>
          <cell r="C2002" t="str">
            <v>РОССИЯ, 117042, Москва г, Адмирала Ушакова б-р, дом № 14, квартира 305</v>
          </cell>
          <cell r="D2002" t="str">
            <v>РОССИЯ, 117042, Москва г, Адмирала Ушакова б-р, дом № 14, квартира 305</v>
          </cell>
          <cell r="F2002" t="str">
            <v>Москва</v>
          </cell>
          <cell r="G2002">
            <v>0.66009259259259256</v>
          </cell>
          <cell r="H2002">
            <v>0.91009259259259256</v>
          </cell>
          <cell r="I2002" t="str">
            <v>ОК</v>
          </cell>
          <cell r="J2002" t="str">
            <v>ОК</v>
          </cell>
        </row>
        <row r="2003">
          <cell r="B2003" t="str">
            <v>В-01071/АЗ</v>
          </cell>
          <cell r="C2003" t="str">
            <v>РОССИЯ, 117042, Москва г, Адмирала Ушакова б-р, дом № 14, квартира 305</v>
          </cell>
          <cell r="D2003" t="str">
            <v>РОССИЯ, 117042, Москва г, Адмирала Ушакова б-р, дом № 14, квартира 305</v>
          </cell>
          <cell r="F2003" t="str">
            <v>Москва</v>
          </cell>
          <cell r="G2003">
            <v>0.66009259259259256</v>
          </cell>
          <cell r="H2003">
            <v>0.91009259259259256</v>
          </cell>
          <cell r="I2003" t="str">
            <v>ОК</v>
          </cell>
          <cell r="J2003" t="str">
            <v>ОК</v>
          </cell>
        </row>
        <row r="2004">
          <cell r="B2004" t="str">
            <v>В-16693/КЛ.Транш - 2</v>
          </cell>
          <cell r="C2004" t="str">
            <v>РОССИЯ, 455021, Челябинская обл, г Магнитогорск, ул Ворошилова, д. 37, кв. 208</v>
          </cell>
          <cell r="D2004" t="str">
            <v>РОССИЯ, 455021, Челябинская обл, г Магнитогорск, ул Ворошилова, д. 37, кв. 208</v>
          </cell>
          <cell r="F2004" t="str">
            <v>Челябинская</v>
          </cell>
          <cell r="G2004">
            <v>0.66009259259259256</v>
          </cell>
          <cell r="H2004">
            <v>0.99342592592592593</v>
          </cell>
          <cell r="I2004" t="str">
            <v>поздно</v>
          </cell>
          <cell r="J2004" t="str">
            <v>ОК</v>
          </cell>
        </row>
        <row r="2005">
          <cell r="B2005" t="str">
            <v>В-00982/АЗ</v>
          </cell>
          <cell r="C2005" t="str">
            <v>РОССИЯ, 194294, Санкт-Петербург г, Парголово п, Тихоокеанская ул, дом 1, корпус 1, строение 1, квартира 873</v>
          </cell>
          <cell r="D2005" t="str">
            <v>РОССИЯ, 194294, Санкт-Петербург г, Парголово п, Тихоокеанская ул, дом 1, корпус 1, строение 1, квартира 873</v>
          </cell>
          <cell r="F2005" t="str">
            <v>Москва</v>
          </cell>
          <cell r="G2005">
            <v>0.66009259259259256</v>
          </cell>
          <cell r="H2005">
            <v>0.91009259259259256</v>
          </cell>
          <cell r="I2005" t="str">
            <v>ОК</v>
          </cell>
          <cell r="J2005" t="str">
            <v>ОК</v>
          </cell>
        </row>
        <row r="2006">
          <cell r="B2006" t="str">
            <v>В-03631/КЛ.Транш - 1</v>
          </cell>
          <cell r="C2006" t="str">
            <v>РОССИЯ, 140105, Московская обл, Раменский р-н, Раменское г, Коммунистическая ул, дом 20, квартира 35</v>
          </cell>
          <cell r="D2006" t="str">
            <v>РОССИЯ, 140105, Московская обл, Раменский р-н, Раменское г, Коммунистическая ул, дом 20, квартира 35</v>
          </cell>
          <cell r="F2006" t="str">
            <v>Московская</v>
          </cell>
          <cell r="G2006">
            <v>0.66009259259259256</v>
          </cell>
          <cell r="H2006">
            <v>0.91009259259259256</v>
          </cell>
          <cell r="I2006" t="str">
            <v>ОК</v>
          </cell>
          <cell r="J2006" t="str">
            <v>ОК</v>
          </cell>
        </row>
        <row r="2007">
          <cell r="B2007" t="str">
            <v>В-28303/АЗ</v>
          </cell>
          <cell r="C2007" t="str">
            <v>РОССИЯ, 677027, Саха /Якутия/ респ, г Якутск, ул Пушкина, д. 22/1, кв. 29</v>
          </cell>
          <cell r="D2007" t="str">
            <v>РОССИЯ, 677027, Саха /Якутия/ респ, г Якутск, ул Пушкина, д. 22/1, кв. 29</v>
          </cell>
          <cell r="F2007" t="str">
            <v>/Якутия/</v>
          </cell>
          <cell r="G2007">
            <v>0.66009259259259256</v>
          </cell>
          <cell r="H2007">
            <v>0.16009259259259268</v>
          </cell>
          <cell r="I2007" t="str">
            <v>поздно</v>
          </cell>
          <cell r="J2007" t="str">
            <v>ОК</v>
          </cell>
        </row>
        <row r="2008">
          <cell r="B2008" t="str">
            <v>В-00145/КЛ.Транш - 1_В-20211230/Ц</v>
          </cell>
          <cell r="C2008" t="str">
            <v>РОССИЯ, 140164, Московская обл, Раменский р-н, Ильинское с, ул Комсомольская, дом 16</v>
          </cell>
          <cell r="D2008" t="str">
            <v>РОССИЯ, 140164, Московская обл, Раменский р-н, Ильинское с, ул Комсомольская, дом 16</v>
          </cell>
          <cell r="F2008" t="str">
            <v>Московская</v>
          </cell>
          <cell r="G2008">
            <v>0.66009259259259256</v>
          </cell>
          <cell r="H2008">
            <v>0.91009259259259256</v>
          </cell>
          <cell r="I2008" t="str">
            <v>ОК</v>
          </cell>
          <cell r="J2008" t="str">
            <v>ОК</v>
          </cell>
        </row>
        <row r="2009">
          <cell r="B2009" t="str">
            <v>А-05335/АЗ_Т-20211028/Ц</v>
          </cell>
          <cell r="C2009" t="str">
            <v>РОССИЯ, 105523, Москва г, Парковая 15-я ул, дом № 56, квартира 35</v>
          </cell>
          <cell r="D2009" t="str">
            <v>РОССИЯ, 105523, Москва г, Парковая 15-я ул, дом № 56, квартира 35</v>
          </cell>
          <cell r="F2009" t="str">
            <v>Москва</v>
          </cell>
          <cell r="G2009">
            <v>0.66009259259259256</v>
          </cell>
          <cell r="H2009">
            <v>0.91009259259259256</v>
          </cell>
          <cell r="I2009" t="str">
            <v>ОК</v>
          </cell>
          <cell r="J2009" t="str">
            <v>ОК</v>
          </cell>
        </row>
        <row r="2010">
          <cell r="B2010" t="str">
            <v>В-00243/АЗ_Т-20211028/Ц</v>
          </cell>
          <cell r="C2010" t="str">
            <v>РОССИЯ, 105523, Москва г, Парковая 15-я ул, дом № 56, квартира 35</v>
          </cell>
          <cell r="D2010" t="str">
            <v>РОССИЯ, 105523, Москва г, Парковая 15-я ул, дом № 56, квартира 35</v>
          </cell>
          <cell r="F2010" t="str">
            <v>Москва</v>
          </cell>
          <cell r="G2010">
            <v>0.66009259259259256</v>
          </cell>
          <cell r="H2010">
            <v>0.91009259259259256</v>
          </cell>
          <cell r="I2010" t="str">
            <v>ОК</v>
          </cell>
          <cell r="J2010" t="str">
            <v>ОК</v>
          </cell>
        </row>
        <row r="2011">
          <cell r="B2011" t="str">
            <v>В-02500/КЛ.Транш - 1</v>
          </cell>
          <cell r="C2011" t="str">
            <v>РОССИЯ, 429023, Чувашская Республика - Чувашия, Порецкий р-н, Мишуково с, Северная ул, дом 74</v>
          </cell>
          <cell r="D2011" t="str">
            <v>РОССИЯ, 143905, Московская обл, Балашиха г, Майкла Лунна ул, дом 5, квартира 157</v>
          </cell>
          <cell r="F2011" t="str">
            <v>Московская</v>
          </cell>
          <cell r="G2011">
            <v>0.66009259259259256</v>
          </cell>
          <cell r="H2011">
            <v>0.91009259259259256</v>
          </cell>
          <cell r="I2011" t="str">
            <v>ОК</v>
          </cell>
          <cell r="J2011" t="str">
            <v>ОК</v>
          </cell>
        </row>
        <row r="2012">
          <cell r="B2012" t="str">
            <v>А-03750/АЗ</v>
          </cell>
          <cell r="C2012" t="str">
            <v>РОССИЯ, 125364, Москва г, Свободы ул, дом № 42, квартира 163</v>
          </cell>
          <cell r="D2012" t="str">
            <v>РОССИЯ, 125364, Москва г, Свободы ул, дом № 42, квартира 163</v>
          </cell>
          <cell r="F2012" t="str">
            <v>Москва</v>
          </cell>
          <cell r="G2012">
            <v>0.66009259259259256</v>
          </cell>
          <cell r="H2012">
            <v>0.91009259259259256</v>
          </cell>
          <cell r="I2012" t="str">
            <v>ОК</v>
          </cell>
          <cell r="J2012" t="str">
            <v>ОК</v>
          </cell>
        </row>
        <row r="2013">
          <cell r="B2013" t="str">
            <v>В-25884/КЛ.Транш - 1</v>
          </cell>
          <cell r="C2013" t="str">
            <v>РОССИЯ, 369312, Карачаево-Черкесская респ, р-н Абазинский, аул Кубина, ул Набережная, д. 70</v>
          </cell>
          <cell r="D2013" t="str">
            <v>РОССИЯ, 355042, Ставропольский край, г Ставрополь, ул 50 лет ВЛКСМ, д. 32/2, кв. 10</v>
          </cell>
          <cell r="F2013" t="str">
            <v>Ставропольский</v>
          </cell>
          <cell r="G2013">
            <v>0.66009259259259256</v>
          </cell>
          <cell r="H2013">
            <v>0.91009259259259256</v>
          </cell>
          <cell r="I2013" t="str">
            <v>ОК</v>
          </cell>
          <cell r="J2013" t="str">
            <v>ОК</v>
          </cell>
        </row>
        <row r="2014">
          <cell r="B2014" t="str">
            <v>В-11326/КЛ.Транш - 1</v>
          </cell>
          <cell r="C2014" t="str">
            <v>РОССИЯ, 188765, Ленинградская обл, Приозерский р-н, Мельниково п, Ленинградская ул, дом 34а, квартира 6</v>
          </cell>
          <cell r="D2014" t="str">
            <v>РОССИЯ, 188765, Ленинградская обл, Приозерский р-н, Мельниково п, Ленинградская ул, дом 34а, квартира 6</v>
          </cell>
          <cell r="F2014" t="str">
            <v>Ленинградская</v>
          </cell>
          <cell r="G2014">
            <v>0.66009259259259256</v>
          </cell>
          <cell r="H2014">
            <v>0.91009259259259256</v>
          </cell>
          <cell r="I2014" t="str">
            <v>ОК</v>
          </cell>
          <cell r="J2014" t="str">
            <v>ОК</v>
          </cell>
        </row>
        <row r="2015">
          <cell r="B2015" t="str">
            <v>В-11326/КЛ.Транш - 2</v>
          </cell>
          <cell r="C2015" t="str">
            <v>РОССИЯ, 188765, Ленинградская обл, Приозерский р-н, Мельниково п, Ленинградская ул, дом 34а, квартира 6</v>
          </cell>
          <cell r="D2015" t="str">
            <v>РОССИЯ, 188765, Ленинградская обл, Приозерский р-н, Мельниково п, Ленинградская ул, дом 34а, квартира 6</v>
          </cell>
          <cell r="F2015" t="str">
            <v>Ленинградская</v>
          </cell>
          <cell r="G2015">
            <v>0.66009259259259256</v>
          </cell>
          <cell r="H2015">
            <v>0.91009259259259256</v>
          </cell>
          <cell r="I2015" t="str">
            <v>ОК</v>
          </cell>
          <cell r="J2015" t="str">
            <v>ОК</v>
          </cell>
        </row>
        <row r="2016">
          <cell r="B2016" t="str">
            <v>В-00918/АЗ</v>
          </cell>
          <cell r="C2016" t="str">
            <v>РОССИЯ, 125310, Москва г, Пятницкое ш., дом 40, квартира 14</v>
          </cell>
          <cell r="D2016" t="str">
            <v>РОССИЯ, 125310, Москва г, Пятницкое ш., дом 40, квартира 14</v>
          </cell>
          <cell r="F2016" t="str">
            <v>Москва</v>
          </cell>
          <cell r="G2016">
            <v>0.66009259259259256</v>
          </cell>
          <cell r="H2016">
            <v>0.91009259259259256</v>
          </cell>
          <cell r="I2016" t="str">
            <v>ОК</v>
          </cell>
          <cell r="J2016" t="str">
            <v>ОК</v>
          </cell>
        </row>
        <row r="2017">
          <cell r="B2017" t="str">
            <v>В-01039/АЗ</v>
          </cell>
          <cell r="C2017" t="str">
            <v>РОССИЯ, 433752, Ульяновская обл, Барышский р-н, Барыш г, Кирова ул, домовладение 29</v>
          </cell>
          <cell r="D2017" t="str">
            <v>РОССИЯ, 140060, Московская обл, Люберцы г, Мирный п, ул Свободы, дом 9, квартира 26</v>
          </cell>
          <cell r="F2017" t="str">
            <v>Московская</v>
          </cell>
          <cell r="G2017">
            <v>0.66009259259259256</v>
          </cell>
          <cell r="H2017">
            <v>0.91009259259259256</v>
          </cell>
          <cell r="I2017" t="str">
            <v>ОК</v>
          </cell>
          <cell r="J2017" t="str">
            <v>ОК</v>
          </cell>
        </row>
        <row r="2018">
          <cell r="B2018" t="str">
            <v>В-00865/АЗ</v>
          </cell>
          <cell r="C2018" t="str">
            <v>РОССИЯ, 142717, Московская обл, Ленинский р-н, Развилковское с/п, СНТ "Дубок", дом 123</v>
          </cell>
          <cell r="D2018" t="str">
            <v>РОССИЯ, 142717, Московская обл, Ленинский р-н, Развилковское с/п, СНТ Дубок, дом 123</v>
          </cell>
          <cell r="F2018" t="str">
            <v>Московская</v>
          </cell>
          <cell r="G2018">
            <v>0.66009259259259256</v>
          </cell>
          <cell r="H2018">
            <v>0.91009259259259256</v>
          </cell>
          <cell r="I2018" t="str">
            <v>ОК</v>
          </cell>
          <cell r="J2018" t="str">
            <v>ОК</v>
          </cell>
        </row>
        <row r="2019">
          <cell r="B2019" t="str">
            <v>В-28755/КЛ.Транш - 1</v>
          </cell>
          <cell r="C2019" t="str">
            <v>РОССИЯ, 143401, Московская обл, Красногорск г, Подмосковный б-р, дом 14, квартира 62</v>
          </cell>
          <cell r="D2019" t="str">
            <v>РОССИЯ, 143401, Московская обл, Красногорск г, Подмосковный б-р, дом 14, квартира 62</v>
          </cell>
          <cell r="F2019" t="str">
            <v>Московская</v>
          </cell>
          <cell r="G2019">
            <v>0.66009259259259256</v>
          </cell>
          <cell r="H2019">
            <v>0.91009259259259256</v>
          </cell>
          <cell r="I2019" t="str">
            <v>ОК</v>
          </cell>
          <cell r="J2019" t="str">
            <v>ОК</v>
          </cell>
        </row>
        <row r="2020">
          <cell r="B2020" t="str">
            <v>В-18135/КЛ.Транш - 1</v>
          </cell>
          <cell r="C2020" t="str">
            <v>РОССИЯ, 299002, Севастополь г, ул Путейская, д. 3, кв. 3</v>
          </cell>
          <cell r="D2020" t="str">
            <v>РОССИЯ, 299002, Севастополь г, ул Путейская, д. 3, кв. 3</v>
          </cell>
          <cell r="F2020" t="str">
            <v>Москва</v>
          </cell>
          <cell r="G2020">
            <v>0.66009259259259256</v>
          </cell>
          <cell r="H2020">
            <v>0.91009259259259256</v>
          </cell>
          <cell r="I2020" t="str">
            <v>ОК</v>
          </cell>
          <cell r="J2020" t="str">
            <v>ОК</v>
          </cell>
        </row>
        <row r="2021">
          <cell r="B2021" t="str">
            <v>В-01016/АЗ</v>
          </cell>
          <cell r="C2021" t="str">
            <v>РОССИЯ, 105523, Москва г, Внутригородская территория муниципальный округ Северное Измайлово, Парковая 15-я ул, дом 49, квартира 83</v>
          </cell>
          <cell r="D2021" t="str">
            <v>РОССИЯ, 105523, Москва г, Внутригородская территория муниципальный округ Северное Измайлово, Парковая 15-я ул, дом 49, квартира 83</v>
          </cell>
          <cell r="F2021" t="str">
            <v>Москва</v>
          </cell>
          <cell r="G2021">
            <v>0.66009259259259256</v>
          </cell>
          <cell r="H2021">
            <v>0.91009259259259256</v>
          </cell>
          <cell r="I2021" t="str">
            <v>ОК</v>
          </cell>
          <cell r="J2021" t="str">
            <v>ОК</v>
          </cell>
        </row>
        <row r="2022">
          <cell r="B2022" t="str">
            <v>В-20635/КЛ.Транш - 1_В-20211230/Ц</v>
          </cell>
          <cell r="C2022" t="str">
            <v>РОССИЯ, 385433, Адыгея респ, р-н Кошехабльский, п Майский, ул Заводская, д. 33, кв. 36</v>
          </cell>
          <cell r="D2022" t="str">
            <v>РОССИЯ, 385433, Адыгея респ, р-н Кошехабльский, п Майский, ул Заводская, д. 33, кв. 36</v>
          </cell>
          <cell r="F2022" t="str">
            <v>Адыгея</v>
          </cell>
          <cell r="G2022">
            <v>0.66009259259259256</v>
          </cell>
          <cell r="H2022">
            <v>0.91009259259259256</v>
          </cell>
          <cell r="I2022" t="str">
            <v>ОК</v>
          </cell>
          <cell r="J2022" t="str">
            <v>ОК</v>
          </cell>
        </row>
        <row r="2023">
          <cell r="B2023" t="str">
            <v>В-08626/КЛ.Транш - 1</v>
          </cell>
          <cell r="C2023" t="str">
            <v>РОССИЯ, 404120, Волгоградская обл, Волжский г, им Ленина пр-кт, дом 104, квартира 189</v>
          </cell>
          <cell r="D2023" t="str">
            <v>РОССИЯ, 404120, Волгоградская обл, Волжский г, им Ленина пр-кт, дом 104, квартира 189</v>
          </cell>
          <cell r="F2023" t="str">
            <v>Волгоградская</v>
          </cell>
          <cell r="G2023">
            <v>0.66009259259259256</v>
          </cell>
          <cell r="H2023">
            <v>0.9517592592592593</v>
          </cell>
          <cell r="I2023" t="str">
            <v>поздно</v>
          </cell>
          <cell r="J2023" t="str">
            <v>ОК</v>
          </cell>
        </row>
        <row r="2024">
          <cell r="B2024" t="str">
            <v>В-14633/КЛ.Транш - 1</v>
          </cell>
          <cell r="C2024" t="str">
            <v>РОССИЯ, Рязанская обл, Клепиковский р-н, Борисково д</v>
          </cell>
          <cell r="D2024" t="str">
            <v>РОССИЯ, 141435, Московская обл, Химки г, Новогорск мкр., Соколовская ул, дом 1, квартира 61</v>
          </cell>
          <cell r="F2024" t="str">
            <v>Московская</v>
          </cell>
          <cell r="G2024">
            <v>0.66009259259259256</v>
          </cell>
          <cell r="H2024">
            <v>0.91009259259259256</v>
          </cell>
          <cell r="I2024" t="str">
            <v>ОК</v>
          </cell>
          <cell r="J2024" t="str">
            <v>ОК</v>
          </cell>
        </row>
        <row r="2025">
          <cell r="B2025" t="str">
            <v>В-00675/АЗ</v>
          </cell>
          <cell r="C2025" t="str">
            <v>РОССИЯ, 143517, Московская обл, г Истра, д Глебово, ул Пионерская, д. 11</v>
          </cell>
          <cell r="D2025" t="str">
            <v>РОССИЯ, 143517, Московская обл, Истра г, Глебово д, Пионерская ул, дом 11</v>
          </cell>
          <cell r="F2025" t="str">
            <v>Московская</v>
          </cell>
          <cell r="G2025">
            <v>0.66009259259259256</v>
          </cell>
          <cell r="H2025">
            <v>0.91009259259259256</v>
          </cell>
          <cell r="I2025" t="str">
            <v>ОК</v>
          </cell>
          <cell r="J2025" t="str">
            <v>ОК</v>
          </cell>
        </row>
        <row r="2026">
          <cell r="B2026" t="str">
            <v>В-01170/АЗ</v>
          </cell>
          <cell r="C2026" t="str">
            <v>РОССИЯ, 143517, Московская обл, г Истра, д Глебово, ул Пионерская, д. 11</v>
          </cell>
          <cell r="D2026" t="str">
            <v>РОССИЯ, 143517, Московская обл, Истра г, Глебово д, Пионерская ул, дом 11</v>
          </cell>
          <cell r="F2026" t="str">
            <v>Московская</v>
          </cell>
          <cell r="G2026">
            <v>0.66009259259259256</v>
          </cell>
          <cell r="H2026">
            <v>0.91009259259259256</v>
          </cell>
          <cell r="I2026" t="str">
            <v>ОК</v>
          </cell>
          <cell r="J2026" t="str">
            <v>ОК</v>
          </cell>
        </row>
        <row r="2027">
          <cell r="B2027" t="str">
            <v>В-22457/АЗ</v>
          </cell>
          <cell r="C2027" t="str">
            <v>РОССИЯ, 121354, Москва г, Дорогобужская ул, дом 3, квартира 60</v>
          </cell>
          <cell r="D2027" t="str">
            <v>РОССИЯ, 119192, Москва г, Ломоносовский пр-кт, дом 29, корпус 3, квартира 69</v>
          </cell>
          <cell r="F2027" t="str">
            <v>Москва</v>
          </cell>
          <cell r="G2027">
            <v>0.66009259259259256</v>
          </cell>
          <cell r="H2027">
            <v>0.91009259259259256</v>
          </cell>
          <cell r="I2027" t="str">
            <v>ОК</v>
          </cell>
          <cell r="J2027" t="str">
            <v>ОК</v>
          </cell>
        </row>
        <row r="2028">
          <cell r="B2028" t="str">
            <v>В-27929/КЛ.Транш - 1</v>
          </cell>
          <cell r="C2028" t="str">
            <v>РОССИЯ, 141079, Московская обл, г Королёв, ул Кирова, д. 4, кв. 61</v>
          </cell>
          <cell r="D2028" t="str">
            <v>РОССИЯ, 141079, Московская обл, г Королёв, ул Кирова, д. 4, кв. 61</v>
          </cell>
          <cell r="F2028" t="str">
            <v>Московская</v>
          </cell>
          <cell r="G2028">
            <v>0.66009259259259256</v>
          </cell>
          <cell r="H2028">
            <v>0.91009259259259256</v>
          </cell>
          <cell r="I2028" t="str">
            <v>ОК</v>
          </cell>
          <cell r="J2028" t="str">
            <v>ОК</v>
          </cell>
        </row>
        <row r="2029">
          <cell r="B2029" t="str">
            <v>В-23776/КЛ.Транш - 1</v>
          </cell>
          <cell r="C2029" t="str">
            <v>РОССИЯ, 607189, Нижегородская обл, г Саров, ул Куйбышева, д. 9, кв. 77</v>
          </cell>
          <cell r="D2029" t="str">
            <v>РОССИЯ, 607189, Нижегородская обл, г Саров, ул Силкина, д. 32, кв. 11</v>
          </cell>
          <cell r="F2029" t="str">
            <v>Нижегородская</v>
          </cell>
          <cell r="G2029">
            <v>0.66009259259259256</v>
          </cell>
          <cell r="H2029">
            <v>0.91009259259259256</v>
          </cell>
          <cell r="I2029" t="str">
            <v>ОК</v>
          </cell>
          <cell r="J2029" t="str">
            <v>ОК</v>
          </cell>
        </row>
        <row r="2030">
          <cell r="B2030" t="str">
            <v>В-18705/КЛ.Транш - 1</v>
          </cell>
          <cell r="C2030" t="str">
            <v>РОССИЯ, 117403, Москва г, ул Харьковская, д. 1, к. 4, кв. 612</v>
          </cell>
          <cell r="D2030" t="str">
            <v>РОССИЯ, 105043, Москва г, ул Нижняя Первомайская, д. 16, кв. 1</v>
          </cell>
          <cell r="F2030" t="str">
            <v>Москва</v>
          </cell>
          <cell r="G2030">
            <v>0.66009259259259256</v>
          </cell>
          <cell r="H2030">
            <v>0.91009259259259256</v>
          </cell>
          <cell r="I2030" t="str">
            <v>ОК</v>
          </cell>
          <cell r="J2030" t="str">
            <v>ОК</v>
          </cell>
        </row>
        <row r="2031">
          <cell r="B2031" t="str">
            <v>В-03324/КЛ.Транш - 2</v>
          </cell>
          <cell r="C2031" t="str">
            <v>РОССИЯ, 109469, Москва г, Марьинский Парк ул, дом 27, строение 1, квартира 76</v>
          </cell>
          <cell r="D2031" t="str">
            <v>РОССИЯ, 109469, Москва г, Марьинский Парк ул, дом 27, строение 1, квартира 76</v>
          </cell>
          <cell r="F2031" t="str">
            <v>Москва</v>
          </cell>
          <cell r="G2031">
            <v>0.66009259259259256</v>
          </cell>
          <cell r="H2031">
            <v>0.91009259259259256</v>
          </cell>
          <cell r="I2031" t="str">
            <v>ОК</v>
          </cell>
          <cell r="J2031" t="str">
            <v>ОК</v>
          </cell>
        </row>
        <row r="2032">
          <cell r="B2032" t="str">
            <v>В-17934/КЛ.Транш - 1</v>
          </cell>
          <cell r="C2032" t="str">
            <v>РОССИЯ, 248002, Калужская обл, г Калуга, ул Знаменская, д. 4, к. 1, кв. 31</v>
          </cell>
          <cell r="D2032" t="str">
            <v>РОССИЯ, 248021, Калужская обл, г Калуга, ул Московская, д. 213, кв. 49</v>
          </cell>
          <cell r="F2032" t="str">
            <v>Калужская</v>
          </cell>
          <cell r="G2032">
            <v>0.66009259259259256</v>
          </cell>
          <cell r="H2032">
            <v>0.91009259259259256</v>
          </cell>
          <cell r="I2032" t="str">
            <v>ОК</v>
          </cell>
          <cell r="J2032" t="str">
            <v>ОК</v>
          </cell>
        </row>
        <row r="2033">
          <cell r="B2033" t="str">
            <v>В-06345/КЛ.Транш - 1</v>
          </cell>
          <cell r="C2033" t="str">
            <v>РОССИЯ, 111123, Москва г, Владимирская 3-я ул, дом 6, квартира 1</v>
          </cell>
          <cell r="D2033" t="str">
            <v>РОССИЯ, 140053, Московская обл, городской округ Котельники, Котельники г, Силикат мкр., дом 13</v>
          </cell>
          <cell r="F2033" t="str">
            <v>Московская</v>
          </cell>
          <cell r="G2033">
            <v>0.66009259259259256</v>
          </cell>
          <cell r="H2033">
            <v>0.91009259259259256</v>
          </cell>
          <cell r="I2033" t="str">
            <v>ОК</v>
          </cell>
          <cell r="J2033" t="str">
            <v>ОК</v>
          </cell>
        </row>
        <row r="2034">
          <cell r="B2034" t="str">
            <v>А-04593/АЗ</v>
          </cell>
          <cell r="C2034" t="str">
            <v>РОССИЯ, 141707, Московская обл, Долгопрудный г, Лихачевский пр-кт, дом № 76, корпус 1, квартира 279</v>
          </cell>
          <cell r="D2034" t="str">
            <v>РОССИЯ, 141707, Московская обл, Долгопрудный г, Лихачевский пр-кт, дом № 76, корпус 1, квартира 279</v>
          </cell>
          <cell r="F2034" t="str">
            <v>Московская</v>
          </cell>
          <cell r="G2034">
            <v>0.66009259259259256</v>
          </cell>
          <cell r="H2034">
            <v>0.91009259259259256</v>
          </cell>
          <cell r="I2034" t="str">
            <v>ОК</v>
          </cell>
          <cell r="J2034" t="str">
            <v>ОК</v>
          </cell>
        </row>
        <row r="2035">
          <cell r="B2035" t="str">
            <v>В-06035/КЛ.Транш - 1</v>
          </cell>
          <cell r="C2035" t="str">
            <v>РОССИЯ, 127282, Москва г, Грекова ул, дом 1, квартира 64</v>
          </cell>
          <cell r="D2035" t="str">
            <v>РОССИЯ, 127282, Москва г, Полярная ул, дом 52, корпус 2, квартира 235</v>
          </cell>
          <cell r="F2035" t="str">
            <v>Москва</v>
          </cell>
          <cell r="G2035">
            <v>0.66009259259259256</v>
          </cell>
          <cell r="H2035">
            <v>0.91009259259259256</v>
          </cell>
          <cell r="I2035" t="str">
            <v>ОК</v>
          </cell>
          <cell r="J2035" t="str">
            <v>ОК</v>
          </cell>
        </row>
        <row r="2036">
          <cell r="B2036" t="str">
            <v>В-17397/КЛ.Транш - 2</v>
          </cell>
          <cell r="C2036" t="str">
            <v>РОССИЯ, 187320, Ленинградская обл, р-н Кировский, г Шлиссельбург, ул Малоневский канал, д. 15, кв. 3</v>
          </cell>
          <cell r="D2036" t="str">
            <v>РОССИЯ, 187320, Ленинградская обл, р-н Кировский, г Шлиссельбург, ул Малоневский канал, д. 15, кв. 3</v>
          </cell>
          <cell r="F2036" t="str">
            <v>Ленинградская</v>
          </cell>
          <cell r="G2036">
            <v>0.66009259259259256</v>
          </cell>
          <cell r="H2036">
            <v>0.91009259259259256</v>
          </cell>
          <cell r="I2036" t="str">
            <v>ОК</v>
          </cell>
          <cell r="J2036" t="str">
            <v>ОК</v>
          </cell>
        </row>
        <row r="2037">
          <cell r="B2037" t="str">
            <v>В-28148/КЛ.Транш - 1</v>
          </cell>
          <cell r="C2037" t="str">
            <v>РОССИЯ, 117418, Москва г, Цюрупы ул, дом № 9, квартира 33</v>
          </cell>
          <cell r="D2037" t="str">
            <v>РОССИЯ, 117418, Москва г, Цюрупы ул, дом № 9, квартира 33</v>
          </cell>
          <cell r="F2037" t="str">
            <v>Москва</v>
          </cell>
          <cell r="G2037">
            <v>0.66009259259259256</v>
          </cell>
          <cell r="H2037">
            <v>0.91009259259259256</v>
          </cell>
          <cell r="I2037" t="str">
            <v>ОК</v>
          </cell>
          <cell r="J2037" t="str">
            <v>ОК</v>
          </cell>
        </row>
        <row r="2038">
          <cell r="B2038" t="str">
            <v>В-24267/КЛ.Транш - 1_В-20211230/Ц</v>
          </cell>
          <cell r="C2038" t="str">
            <v>РОССИЯ, 188514, Ленинградская обл, р-н Лужский, г Луга, д. 4, к. 201, кв. 33</v>
          </cell>
          <cell r="D2038" t="str">
            <v>РОССИЯ, 188514, Ленинградская обл, р-н Лужский, г Луга, д. 4, к. 201, кв. 33</v>
          </cell>
          <cell r="F2038" t="str">
            <v>Ленинградская</v>
          </cell>
          <cell r="G2038">
            <v>0.66009259259259256</v>
          </cell>
          <cell r="H2038">
            <v>0.91009259259259256</v>
          </cell>
          <cell r="I2038" t="str">
            <v>ОК</v>
          </cell>
          <cell r="J2038" t="str">
            <v>ОК</v>
          </cell>
        </row>
        <row r="2039">
          <cell r="B2039" t="str">
            <v>Т-01872/АЗ_Т-20211028/Ц</v>
          </cell>
          <cell r="C2039" t="str">
            <v>РОССИЯ, 391076, Рязанская обл, Спасский р-н, Выжелес с, Советская ул, дом 2, квартира 25</v>
          </cell>
          <cell r="D2039" t="str">
            <v>РОССИЯ, 142072, Московская обл, Домодедово г, санатория "Подмосковье" п, дом 14, квартира 15</v>
          </cell>
          <cell r="F2039" t="str">
            <v>Московская</v>
          </cell>
          <cell r="G2039">
            <v>0.66009259259259256</v>
          </cell>
          <cell r="H2039">
            <v>0.91009259259259256</v>
          </cell>
          <cell r="I2039" t="str">
            <v>ОК</v>
          </cell>
          <cell r="J2039" t="str">
            <v>ОК</v>
          </cell>
        </row>
        <row r="2040">
          <cell r="B2040" t="str">
            <v>В-03938/КЛ.Транш - 2</v>
          </cell>
          <cell r="C2040" t="str">
            <v>РОССИЯ, 125124, Москва г, Правды ул, дом 1/2, квартира 32</v>
          </cell>
          <cell r="D2040" t="str">
            <v>РОССИЯ, 125124, Москва г, Правды ул, дом 1/2, квартира 32</v>
          </cell>
          <cell r="F2040" t="str">
            <v>Москва</v>
          </cell>
          <cell r="G2040">
            <v>0.66009259259259256</v>
          </cell>
          <cell r="H2040">
            <v>0.91009259259259256</v>
          </cell>
          <cell r="I2040" t="str">
            <v>ОК</v>
          </cell>
          <cell r="J2040" t="str">
            <v>ОК</v>
          </cell>
        </row>
        <row r="2041">
          <cell r="B2041" t="str">
            <v>А-05100/АЗ_А-20200626/Ц</v>
          </cell>
          <cell r="C2041" t="str">
            <v>РОССИЯ, 109429, Москва г, Капотня 3-й кв-л, дом № 10, квартира 30</v>
          </cell>
          <cell r="D2041" t="str">
            <v>РОССИЯ, 109429, Москва г, Капотня 3-й кв-л, дом № 10, квартира 30</v>
          </cell>
          <cell r="F2041" t="str">
            <v>Москва</v>
          </cell>
          <cell r="G2041">
            <v>0.66009259259259256</v>
          </cell>
          <cell r="H2041">
            <v>0.91009259259259256</v>
          </cell>
          <cell r="I2041" t="str">
            <v>ОК</v>
          </cell>
          <cell r="J2041" t="str">
            <v>ОК</v>
          </cell>
        </row>
        <row r="2042">
          <cell r="B2042" t="str">
            <v>В-21470/КЛ.Транш - 1</v>
          </cell>
          <cell r="C2042" t="str">
            <v>РОССИЯ, 390035, Рязанская обл, Рязань г, Березовая ул, дом 1а, квартира 147</v>
          </cell>
          <cell r="D2042" t="str">
            <v>РОССИЯ, 390035, Рязанская обл, Рязань г, Березовая ул, дом 1а, квартира 147</v>
          </cell>
          <cell r="F2042" t="str">
            <v>Рязанская</v>
          </cell>
          <cell r="G2042">
            <v>0.66009259259259256</v>
          </cell>
          <cell r="H2042">
            <v>0.91009259259259256</v>
          </cell>
          <cell r="I2042" t="str">
            <v>ОК</v>
          </cell>
          <cell r="J2042" t="str">
            <v>ОК</v>
          </cell>
        </row>
        <row r="2043">
          <cell r="B2043" t="str">
            <v>В-24989/АЗ</v>
          </cell>
          <cell r="C2043" t="str">
            <v>РОССИЯ, 357700, Ставропольский край, г Кисловодск, пер Пикетный, д. 4-6-8, кв. 4</v>
          </cell>
          <cell r="D2043" t="str">
            <v>РОССИЯ, 119192, Москва г, пр-кт Ломоносовский, д. 29, к. 1, кв. 270</v>
          </cell>
          <cell r="F2043" t="str">
            <v>Москва</v>
          </cell>
          <cell r="G2043">
            <v>0.66009259259259256</v>
          </cell>
          <cell r="H2043">
            <v>0.91009259259259256</v>
          </cell>
          <cell r="I2043" t="str">
            <v>ОК</v>
          </cell>
          <cell r="J2043" t="str">
            <v>ОК</v>
          </cell>
        </row>
        <row r="2044">
          <cell r="B2044" t="str">
            <v>В-24385/КЛ.Транш - 1</v>
          </cell>
          <cell r="C2044" t="str">
            <v>РОССИЯ, 299040, Севастополь г, пр-кт Генерала Острякова, д. 122, кв. 29</v>
          </cell>
          <cell r="D2044" t="str">
            <v>РОССИЯ, 299040, Севастополь г, пр-кт Генерала Острякова, д. 122, кв. 29</v>
          </cell>
          <cell r="F2044" t="str">
            <v>Москва</v>
          </cell>
          <cell r="G2044">
            <v>0.66009259259259256</v>
          </cell>
          <cell r="H2044">
            <v>0.91009259259259256</v>
          </cell>
          <cell r="I2044" t="str">
            <v>ОК</v>
          </cell>
          <cell r="J2044" t="str">
            <v>ОК</v>
          </cell>
        </row>
        <row r="2045">
          <cell r="B2045" t="str">
            <v>В-21910/КЛ.Транш - 1</v>
          </cell>
          <cell r="C2045" t="str">
            <v>РОССИЯ, 196240, Санкт-Петербург г, вн.тер.г. муниципальный округ Пулковский меридиан, проезд 5-й Предпортовый, д. 8, к. 1, литера А, кв. 213</v>
          </cell>
          <cell r="D2045" t="str">
            <v>РОССИЯ, 196240, Санкт-Петербург г, вн.тер.г. муниципальный округ Пулковский меридиан, проезд 5-й Предпортовый, д. 8, к. 1, литера А, кв. 213</v>
          </cell>
          <cell r="F2045" t="str">
            <v>Москва</v>
          </cell>
          <cell r="G2045">
            <v>0.66009259259259256</v>
          </cell>
          <cell r="H2045">
            <v>0.91009259259259256</v>
          </cell>
          <cell r="I2045" t="str">
            <v>ОК</v>
          </cell>
          <cell r="J2045" t="str">
            <v>ОК</v>
          </cell>
        </row>
        <row r="2046">
          <cell r="B2046" t="str">
            <v>Т-01638/АЗ</v>
          </cell>
          <cell r="C2046" t="str">
            <v>РОССИЯ, 620102, Свердловская обл, Екатеринбург г, Посадская ул, дом № 77, квартира 142</v>
          </cell>
          <cell r="D2046" t="str">
            <v>РОССИЯ, 119571, Москва г, Вернадского пр-кт, дом № 94, корпус 2, квартира 68</v>
          </cell>
          <cell r="F2046" t="str">
            <v>Москва</v>
          </cell>
          <cell r="G2046">
            <v>0.66009259259259256</v>
          </cell>
          <cell r="H2046">
            <v>0.91009259259259256</v>
          </cell>
          <cell r="I2046" t="str">
            <v>ОК</v>
          </cell>
          <cell r="J2046" t="str">
            <v>ОК</v>
          </cell>
        </row>
        <row r="2047">
          <cell r="B2047" t="str">
            <v>В-11557/КЛ.Транш - 2</v>
          </cell>
          <cell r="C2047" t="str">
            <v>РОССИЯ, 433545, Ульяновская обл, Мелекесский р-н, Рязаново с, Больничная ул, дом 22</v>
          </cell>
          <cell r="D2047" t="str">
            <v>РОССИЯ, 433545, Ульяновская обл, Мелекесский р-н, Рязаново с, Больничная ул, дом 22</v>
          </cell>
          <cell r="F2047" t="str">
            <v>Ульяновская</v>
          </cell>
          <cell r="G2047">
            <v>0.66009259259259256</v>
          </cell>
          <cell r="H2047">
            <v>0.9517592592592593</v>
          </cell>
          <cell r="I2047" t="str">
            <v>поздно</v>
          </cell>
          <cell r="J2047" t="str">
            <v>ОК</v>
          </cell>
        </row>
        <row r="2048">
          <cell r="B2048" t="str">
            <v>В-11557/КЛ.Транш - 3</v>
          </cell>
          <cell r="C2048" t="str">
            <v>РОССИЯ, 433545, Ульяновская обл, Мелекесский р-н, Рязаново с, Больничная ул, дом 22</v>
          </cell>
          <cell r="D2048" t="str">
            <v>РОССИЯ, 433545, Ульяновская обл, Мелекесский р-н, Рязаново с, Больничная ул, дом 22</v>
          </cell>
          <cell r="F2048" t="str">
            <v>Ульяновская</v>
          </cell>
          <cell r="G2048">
            <v>0.66009259259259256</v>
          </cell>
          <cell r="H2048">
            <v>0.9517592592592593</v>
          </cell>
          <cell r="I2048" t="str">
            <v>поздно</v>
          </cell>
          <cell r="J2048" t="str">
            <v>ОК</v>
          </cell>
        </row>
        <row r="2049">
          <cell r="B2049" t="str">
            <v>В-28064/КЛ.Транш - 1</v>
          </cell>
          <cell r="C2049" t="str">
            <v>РОССИЯ, 127322, Москва г, Яблочкова ул, дом № 23, строение 2, квартира 87</v>
          </cell>
          <cell r="D2049" t="str">
            <v>РОССИЯ, 127322, Москва г, Яблочкова ул, дом № 23, строение 2, квартира 87</v>
          </cell>
          <cell r="F2049" t="str">
            <v>Москва</v>
          </cell>
          <cell r="G2049">
            <v>0.66009259259259256</v>
          </cell>
          <cell r="H2049">
            <v>0.91009259259259256</v>
          </cell>
          <cell r="I2049" t="str">
            <v>ОК</v>
          </cell>
          <cell r="J2049" t="str">
            <v>ОК</v>
          </cell>
        </row>
        <row r="2050">
          <cell r="B2050" t="str">
            <v>В-21894/КЛ.Транш - 4</v>
          </cell>
          <cell r="C2050" t="str">
            <v>РОССИЯ, 143915, Московская обл, г Балашиха, ул Свердлова, д. 63, кв. 14</v>
          </cell>
          <cell r="D2050" t="str">
            <v>РОССИЯ, 143905, Московская обл, Балашиха г, Свердлова ул, дом № 63, квартира 14</v>
          </cell>
          <cell r="F2050" t="str">
            <v>Московская</v>
          </cell>
          <cell r="G2050">
            <v>0.66009259259259256</v>
          </cell>
          <cell r="H2050">
            <v>0.91009259259259256</v>
          </cell>
          <cell r="I2050" t="str">
            <v>ОК</v>
          </cell>
          <cell r="J2050" t="str">
            <v>ОК</v>
          </cell>
        </row>
        <row r="2051">
          <cell r="B2051" t="str">
            <v>В-17162/КЛ.Транш - 1</v>
          </cell>
          <cell r="C2051" t="str">
            <v>РОССИЯ, 353912, Краснодарский край, г Новороссийск, ул Герцена, д. 1</v>
          </cell>
          <cell r="D2051" t="str">
            <v>РОССИЯ, 353912, Краснодарский край, г Новороссийск, ул Герцена, д. 1</v>
          </cell>
          <cell r="F2051" t="str">
            <v>Краснодарский</v>
          </cell>
          <cell r="G2051">
            <v>0.66009259259259256</v>
          </cell>
          <cell r="H2051">
            <v>0.91009259259259256</v>
          </cell>
          <cell r="I2051" t="str">
            <v>ОК</v>
          </cell>
          <cell r="J2051" t="str">
            <v>ОК</v>
          </cell>
        </row>
        <row r="2052">
          <cell r="B2052" t="str">
            <v>В-17162/КЛ.Транш - 2</v>
          </cell>
          <cell r="C2052" t="str">
            <v>РОССИЯ, 353912, Краснодарский край, г Новороссийск, ул Герцена, д. 1</v>
          </cell>
          <cell r="D2052" t="str">
            <v>РОССИЯ, 353912, Краснодарский край, г Новороссийск, ул Герцена, д. 1</v>
          </cell>
          <cell r="F2052" t="str">
            <v>Краснодарский</v>
          </cell>
          <cell r="G2052">
            <v>0.66009259259259256</v>
          </cell>
          <cell r="H2052">
            <v>0.91009259259259256</v>
          </cell>
          <cell r="I2052" t="str">
            <v>ОК</v>
          </cell>
          <cell r="J2052" t="str">
            <v>ОК</v>
          </cell>
        </row>
        <row r="2053">
          <cell r="B2053" t="str">
            <v>В-17162/КЛ.Транш - 3</v>
          </cell>
          <cell r="C2053" t="str">
            <v>РОССИЯ, 353912, Краснодарский край, г Новороссийск, ул Герцена, д. 1</v>
          </cell>
          <cell r="D2053" t="str">
            <v>РОССИЯ, 353912, Краснодарский край, г Новороссийск, ул Герцена, д. 1</v>
          </cell>
          <cell r="F2053" t="str">
            <v>Краснодарский</v>
          </cell>
          <cell r="G2053">
            <v>0.66009259259259256</v>
          </cell>
          <cell r="H2053">
            <v>0.91009259259259256</v>
          </cell>
          <cell r="I2053" t="str">
            <v>ОК</v>
          </cell>
          <cell r="J2053" t="str">
            <v>ОК</v>
          </cell>
        </row>
        <row r="2054">
          <cell r="B2054" t="str">
            <v>В-20952/КЛ.Транш - 3</v>
          </cell>
          <cell r="C2054" t="str">
            <v>РОССИЯ, 298200, Крым респ, р-н Ленинский, пгт Ленино, пр-кт Ленина, д. 7, кв. 37</v>
          </cell>
          <cell r="D2054" t="str">
            <v>РОССИЯ, 298200, Крым респ, р-н Ленинский, пгт Ленино, пр-кт Ленина, д. 7, кв. 37</v>
          </cell>
          <cell r="F2054" t="str">
            <v>Крым</v>
          </cell>
          <cell r="G2054">
            <v>0.66009259259259256</v>
          </cell>
          <cell r="H2054">
            <v>0.91009259259259256</v>
          </cell>
          <cell r="I2054" t="str">
            <v>ОК</v>
          </cell>
          <cell r="J2054" t="str">
            <v>ОК</v>
          </cell>
        </row>
        <row r="2055">
          <cell r="B2055" t="str">
            <v>В-20952/КЛ.Транш - 4</v>
          </cell>
          <cell r="C2055" t="str">
            <v>РОССИЯ, 298200, Крым респ, р-н Ленинский, пгт Ленино, пр-кт Ленина, д. 7, кв. 37</v>
          </cell>
          <cell r="D2055" t="str">
            <v>РОССИЯ, 298200, Крым респ, р-н Ленинский, пгт Ленино, пр-кт Ленина, д. 7, кв. 37</v>
          </cell>
          <cell r="F2055" t="str">
            <v>Крым</v>
          </cell>
          <cell r="G2055">
            <v>0.66009259259259256</v>
          </cell>
          <cell r="H2055">
            <v>0.91009259259259256</v>
          </cell>
          <cell r="I2055" t="str">
            <v>ОК</v>
          </cell>
          <cell r="J2055" t="str">
            <v>ОК</v>
          </cell>
        </row>
        <row r="2056">
          <cell r="B2056" t="str">
            <v>В-20952/КЛ.Транш - 6</v>
          </cell>
          <cell r="C2056" t="str">
            <v>РОССИЯ, 298200, Крым респ, р-н Ленинский, пгт Ленино, пр-кт Ленина, д. 7, кв. 37</v>
          </cell>
          <cell r="D2056" t="str">
            <v>РОССИЯ, 298200, Крым респ, р-н Ленинский, пгт Ленино, пр-кт Ленина, д. 7, кв. 37</v>
          </cell>
          <cell r="F2056" t="str">
            <v>Крым</v>
          </cell>
          <cell r="G2056">
            <v>0.66009259259259256</v>
          </cell>
          <cell r="H2056">
            <v>0.91009259259259256</v>
          </cell>
          <cell r="I2056" t="str">
            <v>ОК</v>
          </cell>
          <cell r="J2056" t="str">
            <v>ОК</v>
          </cell>
        </row>
        <row r="2057">
          <cell r="B2057" t="str">
            <v>В-11812/КЛ.Транш - 1</v>
          </cell>
          <cell r="C2057" t="str">
            <v>РОССИЯ, 142034, Московская обл, г Домодедово, д Чурилково, д. 5, кв. 58</v>
          </cell>
          <cell r="D2057" t="str">
            <v>РОССИЯ, 142034, Московская обл, г Домодедово, д Чурилково, д. 5, кв. 58</v>
          </cell>
          <cell r="F2057" t="str">
            <v>Московская</v>
          </cell>
          <cell r="G2057">
            <v>0.66009259259259256</v>
          </cell>
          <cell r="H2057">
            <v>0.91009259259259256</v>
          </cell>
          <cell r="I2057" t="str">
            <v>ОК</v>
          </cell>
          <cell r="J2057" t="str">
            <v>ОК</v>
          </cell>
        </row>
        <row r="2058">
          <cell r="B2058" t="str">
            <v>Т-01869/АЗ_Т-20211028/Ц</v>
          </cell>
          <cell r="C2058" t="str">
            <v>РОССИЯ, 111674, Москва г, Рождественская ул, дом 23/33, квартира 42</v>
          </cell>
          <cell r="D2058" t="str">
            <v>РОССИЯ, 111674, Москва г, Рождественская ул, дом 23/33, квартира 42</v>
          </cell>
          <cell r="F2058" t="str">
            <v>Москва</v>
          </cell>
          <cell r="G2058">
            <v>0.66009259259259256</v>
          </cell>
          <cell r="H2058">
            <v>0.91009259259259256</v>
          </cell>
          <cell r="I2058" t="str">
            <v>ОК</v>
          </cell>
          <cell r="J2058" t="str">
            <v>ОК</v>
          </cell>
        </row>
        <row r="2059">
          <cell r="B2059" t="str">
            <v>В-23410/КЛ.Транш - 1</v>
          </cell>
          <cell r="C2059" t="str">
            <v>РОССИЯ, 457614, Челябинская обл, р-н Кизильский, п Урал, пер Южный, д. 3, кв. 2</v>
          </cell>
          <cell r="D2059" t="str">
            <v>РОССИЯ, 457614, Челябинская обл, р-н Кизильский, п Урал, пер Южный, д. 3, кв. 2</v>
          </cell>
          <cell r="F2059" t="str">
            <v>Челябинская</v>
          </cell>
          <cell r="G2059">
            <v>0.66009259259259256</v>
          </cell>
          <cell r="H2059">
            <v>0.99342592592592593</v>
          </cell>
          <cell r="I2059" t="str">
            <v>поздно</v>
          </cell>
          <cell r="J2059" t="str">
            <v>ОК</v>
          </cell>
        </row>
        <row r="2060">
          <cell r="B2060" t="str">
            <v>А-04160/АЗ_Т-20211028/Ц</v>
          </cell>
          <cell r="C2060" t="str">
            <v>РОССИЯ, 111674, Москва г, Маресьева ул, дом № 3, квартира 44</v>
          </cell>
          <cell r="D2060" t="str">
            <v>РОССИЯ, 111674, Москва г, Маресьева ул, дом № 3, квартира 44</v>
          </cell>
          <cell r="F2060" t="str">
            <v>Москва</v>
          </cell>
          <cell r="G2060">
            <v>0.66009259259259256</v>
          </cell>
          <cell r="H2060">
            <v>0.91009259259259256</v>
          </cell>
          <cell r="I2060" t="str">
            <v>ОК</v>
          </cell>
          <cell r="J2060" t="str">
            <v>ОК</v>
          </cell>
        </row>
        <row r="2061">
          <cell r="B2061" t="str">
            <v>Т-01540/АЗ_Т-20211028/Ц</v>
          </cell>
          <cell r="C2061" t="str">
            <v>РОССИЯ, 111674, Москва г, Маресьева ул, дом № 3, квартира 44</v>
          </cell>
          <cell r="D2061" t="str">
            <v>РОССИЯ, 111674, Москва г, Маресьева ул, дом № 3, квартира 44</v>
          </cell>
          <cell r="F2061" t="str">
            <v>Москва</v>
          </cell>
          <cell r="G2061">
            <v>0.66009259259259256</v>
          </cell>
          <cell r="H2061">
            <v>0.91009259259259256</v>
          </cell>
          <cell r="I2061" t="str">
            <v>ОК</v>
          </cell>
          <cell r="J2061" t="str">
            <v>ОК</v>
          </cell>
        </row>
        <row r="2062">
          <cell r="B2062" t="str">
            <v>В-09302/КЛ.Транш - 2</v>
          </cell>
          <cell r="C2062" t="str">
            <v>РОССИЯ, 141147, Московская обл, Щёлково г, Фряново рп, Молодежная ул, дом 4, квартира 13</v>
          </cell>
          <cell r="D2062" t="str">
            <v>РОССИЯ, 141146, Московская обл, Щёлково г, Фряново рп, Первомайская ул, дом 18</v>
          </cell>
          <cell r="F2062" t="str">
            <v>Московская</v>
          </cell>
          <cell r="G2062">
            <v>0.66009259259259256</v>
          </cell>
          <cell r="H2062">
            <v>0.91009259259259256</v>
          </cell>
          <cell r="I2062" t="str">
            <v>ОК</v>
          </cell>
          <cell r="J2062" t="str">
            <v>ОК</v>
          </cell>
        </row>
        <row r="2063">
          <cell r="B2063" t="str">
            <v>В-09302/КЛ.Транш - 3</v>
          </cell>
          <cell r="C2063" t="str">
            <v>РОССИЯ, 141147, Московская обл, Щёлково г, Фряново рп, Молодежная ул, дом 4, квартира 13</v>
          </cell>
          <cell r="D2063" t="str">
            <v>РОССИЯ, 141146, Московская обл, Щёлково г, Фряново рп, Первомайская ул, дом 18</v>
          </cell>
          <cell r="F2063" t="str">
            <v>Московская</v>
          </cell>
          <cell r="G2063">
            <v>0.66009259259259256</v>
          </cell>
          <cell r="H2063">
            <v>0.91009259259259256</v>
          </cell>
          <cell r="I2063" t="str">
            <v>ОК</v>
          </cell>
          <cell r="J2063" t="str">
            <v>ОК</v>
          </cell>
        </row>
        <row r="2064">
          <cell r="B2064" t="str">
            <v>В-09302/КЛ.Транш - 4</v>
          </cell>
          <cell r="C2064" t="str">
            <v>РОССИЯ, 141147, Московская обл, Щёлково г, Фряново рп, Молодежная ул, дом 4, квартира 13</v>
          </cell>
          <cell r="D2064" t="str">
            <v>РОССИЯ, 141146, Московская обл, Щёлково г, Фряново рп, Первомайская ул, дом 18</v>
          </cell>
          <cell r="F2064" t="str">
            <v>Московская</v>
          </cell>
          <cell r="G2064">
            <v>0.66009259259259256</v>
          </cell>
          <cell r="H2064">
            <v>0.91009259259259256</v>
          </cell>
          <cell r="I2064" t="str">
            <v>ОК</v>
          </cell>
          <cell r="J2064" t="str">
            <v>ОК</v>
          </cell>
        </row>
        <row r="2065">
          <cell r="B2065" t="str">
            <v>В-09302/КЛ.Транш - 5</v>
          </cell>
          <cell r="C2065" t="str">
            <v>РОССИЯ, 141147, Московская обл, Щёлково г, Фряново рп, Молодежная ул, дом 4, квартира 13</v>
          </cell>
          <cell r="D2065" t="str">
            <v>РОССИЯ, 141146, Московская обл, Щёлково г, Фряново рп, Первомайская ул, дом 18</v>
          </cell>
          <cell r="F2065" t="str">
            <v>Московская</v>
          </cell>
          <cell r="G2065">
            <v>0.66009259259259256</v>
          </cell>
          <cell r="H2065">
            <v>0.91009259259259256</v>
          </cell>
          <cell r="I2065" t="str">
            <v>ОК</v>
          </cell>
          <cell r="J2065" t="str">
            <v>ОК</v>
          </cell>
        </row>
        <row r="2066">
          <cell r="B2066" t="str">
            <v>Т-01806/АЗ</v>
          </cell>
          <cell r="C2066" t="str">
            <v>РОССИЯ, 196105, Санкт-Петербург г, Благодатная ул, дом № 16, квартира 1</v>
          </cell>
          <cell r="D2066" t="str">
            <v>РОССИЯ, 196158, Санкт-Петербург г, Среднерогатская ул, дом № 9, литер А, квартира 201</v>
          </cell>
          <cell r="F2066" t="str">
            <v>Москва</v>
          </cell>
          <cell r="G2066">
            <v>0.66009259259259256</v>
          </cell>
          <cell r="H2066">
            <v>0.91009259259259256</v>
          </cell>
          <cell r="I2066" t="str">
            <v>ОК</v>
          </cell>
          <cell r="J2066" t="str">
            <v>ОК</v>
          </cell>
        </row>
        <row r="2067">
          <cell r="B2067" t="str">
            <v>А-05291/АЗ</v>
          </cell>
          <cell r="C2067" t="str">
            <v>РОССИЯ, 141707, Московская обл, Долгопрудный г, Железнякова ул, дом № 8, квартира 34к.2</v>
          </cell>
          <cell r="D2067" t="str">
            <v>РОССИЯ, 141707, Московская обл, Долгопрудный г, Железнякова ул, дом № 8, квартира 34к.2</v>
          </cell>
          <cell r="F2067" t="str">
            <v>Московская</v>
          </cell>
          <cell r="G2067">
            <v>0.66009259259259256</v>
          </cell>
          <cell r="H2067">
            <v>0.91009259259259256</v>
          </cell>
          <cell r="I2067" t="str">
            <v>ОК</v>
          </cell>
          <cell r="J2067" t="str">
            <v>ОК</v>
          </cell>
        </row>
        <row r="2068">
          <cell r="B2068" t="str">
            <v>В-02154/КЛ.Транш - 1</v>
          </cell>
          <cell r="C2068" t="str">
            <v>РОССИЯ, 433100, Ульяновская обл, Вешкаймский р-н, Вешкайма рп, Свободы ул, дом 3, квартира 3</v>
          </cell>
          <cell r="D2068" t="str">
            <v>РОССИЯ, 433100, Московская обл, Солнечногорский р-н, Брехово д, корпус 14, квартира 158</v>
          </cell>
          <cell r="F2068" t="str">
            <v>Московская</v>
          </cell>
          <cell r="G2068">
            <v>0.66009259259259256</v>
          </cell>
          <cell r="H2068">
            <v>0.91009259259259256</v>
          </cell>
          <cell r="I2068" t="str">
            <v>ОК</v>
          </cell>
          <cell r="J2068" t="str">
            <v>ОК</v>
          </cell>
        </row>
        <row r="2069">
          <cell r="B2069" t="str">
            <v>В-09636/КЛ.Транш - 1</v>
          </cell>
          <cell r="C2069" t="str">
            <v>РОССИЯ, 427261, Удмуртская респ, Увинский р-н, Ува п, Шолохова ул, дом 32, квартира 78</v>
          </cell>
          <cell r="D2069" t="str">
            <v>РОССИЯ, 115477, Москва г, Кавказский б-р, дом 22, квартира 67</v>
          </cell>
          <cell r="F2069" t="str">
            <v>Москва</v>
          </cell>
          <cell r="G2069">
            <v>0.66009259259259256</v>
          </cell>
          <cell r="H2069">
            <v>0.91009259259259256</v>
          </cell>
          <cell r="I2069" t="str">
            <v>ОК</v>
          </cell>
          <cell r="J2069" t="str">
            <v>ОК</v>
          </cell>
        </row>
        <row r="2070">
          <cell r="B2070" t="str">
            <v>В-13042/КЛ.Транш - 1_В-20211230/Ц</v>
          </cell>
          <cell r="C2070" t="str">
            <v>РОССИЯ, 152331, Ярославская обл, Тутаевский р-н, Летешовка п, дом 7</v>
          </cell>
          <cell r="D2070" t="str">
            <v>РОССИЯ, 152331, Ярославская обл, Тутаевский р-н, Летешовка п, дом 7</v>
          </cell>
          <cell r="F2070" t="str">
            <v>Ярославская</v>
          </cell>
          <cell r="G2070">
            <v>0.66009259259259256</v>
          </cell>
          <cell r="H2070">
            <v>0.91009259259259256</v>
          </cell>
          <cell r="I2070" t="str">
            <v>ОК</v>
          </cell>
          <cell r="J2070" t="str">
            <v>ОК</v>
          </cell>
        </row>
        <row r="2071">
          <cell r="B2071" t="str">
            <v>В-00993/КЛ.Транш - 1</v>
          </cell>
          <cell r="C2071" t="str">
            <v>РОССИЯ, 143033, Московская обл, Одинцовский р-н, Знаменское с, дом 23</v>
          </cell>
          <cell r="D2071" t="str">
            <v>РОССИЯ, 143033, Московская обл, Одинцовский р-н, Горки-2 п, дом 33, квартира 56</v>
          </cell>
          <cell r="F2071" t="str">
            <v>Московская</v>
          </cell>
          <cell r="G2071">
            <v>0.66009259259259256</v>
          </cell>
          <cell r="H2071">
            <v>0.91009259259259256</v>
          </cell>
          <cell r="I2071" t="str">
            <v>ОК</v>
          </cell>
          <cell r="J2071" t="str">
            <v>ОК</v>
          </cell>
        </row>
        <row r="2072">
          <cell r="B2072" t="str">
            <v>В-07729/КЛ.Транш - 1</v>
          </cell>
          <cell r="C2072" t="str">
            <v>РОССИЯ, 194017, Санкт-Петербург г, Гаврская ул, дом 11, квартира 258</v>
          </cell>
          <cell r="D2072" t="str">
            <v>РОССИЯ, 194017, Санкт-Петербург г, Гаврская ул, дом 11, квартира 258</v>
          </cell>
          <cell r="F2072" t="str">
            <v>Москва</v>
          </cell>
          <cell r="G2072">
            <v>0.66009259259259256</v>
          </cell>
          <cell r="H2072">
            <v>0.91009259259259256</v>
          </cell>
          <cell r="I2072" t="str">
            <v>ОК</v>
          </cell>
          <cell r="J2072" t="str">
            <v>ОК</v>
          </cell>
        </row>
        <row r="2073">
          <cell r="B2073" t="str">
            <v>В-11280/КЛ.Транш - 1</v>
          </cell>
          <cell r="C2073" t="str">
            <v>РОССИЯ, 624995, Свердловская обл, Серов г, Вятчино п, дом 3, квартира 8</v>
          </cell>
          <cell r="D2073" t="str">
            <v>РОССИЯ, 624995, Свердловская обл, Серов г, Вятчино п, дом 3, квартира 8</v>
          </cell>
          <cell r="F2073" t="str">
            <v>Свердловская</v>
          </cell>
          <cell r="G2073">
            <v>0.66009259259259256</v>
          </cell>
          <cell r="H2073">
            <v>0.99342592592592593</v>
          </cell>
          <cell r="I2073" t="str">
            <v>поздно</v>
          </cell>
          <cell r="J2073" t="str">
            <v>ОК</v>
          </cell>
        </row>
        <row r="2074">
          <cell r="B2074" t="str">
            <v>В-12894/КЛ.Транш - 1_В-20211230/Ц</v>
          </cell>
          <cell r="C2074" t="str">
            <v>РОССИЯ, 141214, Московская обл, Пушкинский р-н, Жуковка д, дом 29</v>
          </cell>
          <cell r="D2074" t="str">
            <v>РОССИЯ, 141281, Московская обл, Ивантеевка г, Трудовая ул, дом 7, квартира 272</v>
          </cell>
          <cell r="F2074" t="str">
            <v>Московская</v>
          </cell>
          <cell r="G2074">
            <v>0.66009259259259256</v>
          </cell>
          <cell r="H2074">
            <v>0.91009259259259256</v>
          </cell>
          <cell r="I2074" t="str">
            <v>ОК</v>
          </cell>
          <cell r="J2074" t="str">
            <v>ОК</v>
          </cell>
        </row>
        <row r="2075">
          <cell r="B2075" t="str">
            <v>В-15131/КЛ.Транш - 1</v>
          </cell>
          <cell r="C2075" t="str">
            <v>РОССИЯ, 141335, Московская обл, Сергиев Посад г, Шеметово с, Центральная ул, домовладение 23б, квартира 18</v>
          </cell>
          <cell r="D2075" t="str">
            <v>РОССИЯ, 141335, Московская обл, Сергиев Посад г, Шеметово с, Центральная ул, домовладение 23б, квартира 18</v>
          </cell>
          <cell r="F2075" t="str">
            <v>Московская</v>
          </cell>
          <cell r="G2075">
            <v>0.66009259259259256</v>
          </cell>
          <cell r="H2075">
            <v>0.91009259259259256</v>
          </cell>
          <cell r="I2075" t="str">
            <v>ОК</v>
          </cell>
          <cell r="J2075" t="str">
            <v>ОК</v>
          </cell>
        </row>
        <row r="2076">
          <cell r="B2076" t="str">
            <v>В-26501/КЛ.Транш - 1</v>
          </cell>
          <cell r="C2076" t="str">
            <v>РОССИЯ, 143301, Московская обл, г Наро-Фоминск, ул Шибанкова, д. 27, кв. 56</v>
          </cell>
          <cell r="D2076" t="str">
            <v>РОССИЯ, 143301, Московская обл, г Наро-Фоминск, ул Шибанкова, д. 27, кв. 56</v>
          </cell>
          <cell r="F2076" t="str">
            <v>Московская</v>
          </cell>
          <cell r="G2076">
            <v>0.66009259259259256</v>
          </cell>
          <cell r="H2076">
            <v>0.91009259259259256</v>
          </cell>
          <cell r="I2076" t="str">
            <v>ОК</v>
          </cell>
          <cell r="J2076" t="str">
            <v>ОК</v>
          </cell>
        </row>
        <row r="2077">
          <cell r="B2077" t="str">
            <v>В-26501/КЛ.Транш - 2</v>
          </cell>
          <cell r="C2077" t="str">
            <v>РОССИЯ, 143301, Московская обл, г Наро-Фоминск, ул Шибанкова, д. 27, кв. 56</v>
          </cell>
          <cell r="D2077" t="str">
            <v>РОССИЯ, 143301, Московская обл, г Наро-Фоминск, ул Шибанкова, д. 27, кв. 56</v>
          </cell>
          <cell r="F2077" t="str">
            <v>Московская</v>
          </cell>
          <cell r="G2077">
            <v>0.66009259259259256</v>
          </cell>
          <cell r="H2077">
            <v>0.91009259259259256</v>
          </cell>
          <cell r="I2077" t="str">
            <v>ОК</v>
          </cell>
          <cell r="J2077" t="str">
            <v>ОК</v>
          </cell>
        </row>
        <row r="2078">
          <cell r="B2078" t="str">
            <v>В-26501/КЛ.Транш - 3</v>
          </cell>
          <cell r="C2078" t="str">
            <v>РОССИЯ, 143301, Московская обл, г Наро-Фоминск, ул Шибанкова, д. 27, кв. 56</v>
          </cell>
          <cell r="D2078" t="str">
            <v>РОССИЯ, 143301, Московская обл, г Наро-Фоминск, ул Шибанкова, д. 27, кв. 56</v>
          </cell>
          <cell r="F2078" t="str">
            <v>Московская</v>
          </cell>
          <cell r="G2078">
            <v>0.66009259259259256</v>
          </cell>
          <cell r="H2078">
            <v>0.91009259259259256</v>
          </cell>
          <cell r="I2078" t="str">
            <v>ОК</v>
          </cell>
          <cell r="J2078" t="str">
            <v>ОК</v>
          </cell>
        </row>
        <row r="2079">
          <cell r="B2079" t="str">
            <v>В-26501/КЛ.Транш - 4</v>
          </cell>
          <cell r="C2079" t="str">
            <v>РОССИЯ, 143301, Московская обл, г Наро-Фоминск, ул Шибанкова, д. 27, кв. 56</v>
          </cell>
          <cell r="D2079" t="str">
            <v>РОССИЯ, 143301, Московская обл, г Наро-Фоминск, ул Шибанкова, д. 27, кв. 56</v>
          </cell>
          <cell r="F2079" t="str">
            <v>Московская</v>
          </cell>
          <cell r="G2079">
            <v>0.66009259259259256</v>
          </cell>
          <cell r="H2079">
            <v>0.91009259259259256</v>
          </cell>
          <cell r="I2079" t="str">
            <v>ОК</v>
          </cell>
          <cell r="J2079" t="str">
            <v>ОК</v>
          </cell>
        </row>
        <row r="2080">
          <cell r="B2080" t="str">
            <v>В-26501/КЛ.Транш - 5</v>
          </cell>
          <cell r="C2080" t="str">
            <v>РОССИЯ, 143301, Московская обл, г Наро-Фоминск, ул Шибанкова, д. 27, кв. 56</v>
          </cell>
          <cell r="D2080" t="str">
            <v>РОССИЯ, 143301, Московская обл, г Наро-Фоминск, ул Шибанкова, д. 27, кв. 56</v>
          </cell>
          <cell r="F2080" t="str">
            <v>Московская</v>
          </cell>
          <cell r="G2080">
            <v>0.66009259259259256</v>
          </cell>
          <cell r="H2080">
            <v>0.91009259259259256</v>
          </cell>
          <cell r="I2080" t="str">
            <v>ОК</v>
          </cell>
          <cell r="J2080" t="str">
            <v>ОК</v>
          </cell>
        </row>
        <row r="2081">
          <cell r="B2081" t="str">
            <v>В-23161/КЛ.Транш - 1</v>
          </cell>
          <cell r="C2081" t="str">
            <v>РОССИЯ, 117452, Москва г, вн.тер. г. муниципальный округ Зюзино, ул Азовская, д. 24, к. 2, кв. 676</v>
          </cell>
          <cell r="D2081" t="str">
            <v>РОССИЯ, 117452, Москва г, вн.тер. г. муниципальный округ Зюзино, ул Азовская, д. 24, к. 2, кв. 676</v>
          </cell>
          <cell r="F2081" t="str">
            <v>Москва</v>
          </cell>
          <cell r="G2081">
            <v>0.66009259259259256</v>
          </cell>
          <cell r="H2081">
            <v>0.91009259259259256</v>
          </cell>
          <cell r="I2081" t="str">
            <v>ОК</v>
          </cell>
          <cell r="J2081" t="str">
            <v>ОК</v>
          </cell>
        </row>
        <row r="2082">
          <cell r="B2082" t="str">
            <v>В-01371/КЛ.Транш - 1</v>
          </cell>
          <cell r="C2082" t="str">
            <v>РОССИЯ, 141021, Московская обл, Мытищинский р-н, Мытищи г, Борисовка ул, дом 18, квартира 184</v>
          </cell>
          <cell r="D2082" t="str">
            <v>РОССИЯ, 141021, Московская обл, Мытищинский р-н, Мытищи г, Борисовка ул, дом 18, квартира 184</v>
          </cell>
          <cell r="F2082" t="str">
            <v>Московская</v>
          </cell>
          <cell r="G2082">
            <v>0.66009259259259256</v>
          </cell>
          <cell r="H2082">
            <v>0.91009259259259256</v>
          </cell>
          <cell r="I2082" t="str">
            <v>ОК</v>
          </cell>
          <cell r="J2082" t="str">
            <v>ОК</v>
          </cell>
        </row>
        <row r="2083">
          <cell r="B2083" t="str">
            <v>В-12818/КЛ.Транш - 1</v>
          </cell>
          <cell r="C2083" t="str">
            <v>РОССИЯ, 462430, Оренбургская обл, Орск г, Беляева ул, дом 2, квартира 187</v>
          </cell>
          <cell r="D2083" t="str">
            <v>РОССИЯ, 462430, Оренбургская обл, Орск г, Беляева ул, дом 2, квартира 187</v>
          </cell>
          <cell r="F2083" t="str">
            <v>Оренбургская</v>
          </cell>
          <cell r="G2083">
            <v>0.66009259259259256</v>
          </cell>
          <cell r="H2083">
            <v>0.99342592592592593</v>
          </cell>
          <cell r="I2083" t="str">
            <v>поздно</v>
          </cell>
          <cell r="J2083" t="str">
            <v>ОК</v>
          </cell>
        </row>
        <row r="2084">
          <cell r="B2084" t="str">
            <v>А-01652/АЗ</v>
          </cell>
          <cell r="C2084" t="str">
            <v>РОССИЯ, 125222, Москва г, Митинская ул, дом № 27, корпус 1, квартира 461</v>
          </cell>
          <cell r="D2084" t="str">
            <v>РОССИЯ, 141544, Московская обл, Солнечногорский р-н, Брехово д, нет, дом 3</v>
          </cell>
          <cell r="F2084" t="str">
            <v>Московская</v>
          </cell>
          <cell r="G2084">
            <v>0.66009259259259256</v>
          </cell>
          <cell r="H2084">
            <v>0.91009259259259256</v>
          </cell>
          <cell r="I2084" t="str">
            <v>ОК</v>
          </cell>
          <cell r="J2084" t="str">
            <v>ОК</v>
          </cell>
        </row>
        <row r="2085">
          <cell r="B2085" t="str">
            <v>Т-00638/АЗ_Т-20211028/Ц</v>
          </cell>
          <cell r="C2085" t="str">
            <v>РОССИЯ, 125222, Москва г, Митинская ул, дом № 27, корпус 1, квартира 461</v>
          </cell>
          <cell r="D2085" t="str">
            <v>РОССИЯ, 141544, Московская обл, Солнечногорский р-н, Брехово д, нет, дом 3</v>
          </cell>
          <cell r="F2085" t="str">
            <v>Московская</v>
          </cell>
          <cell r="G2085">
            <v>0.66009259259259256</v>
          </cell>
          <cell r="H2085">
            <v>0.91009259259259256</v>
          </cell>
          <cell r="I2085" t="str">
            <v>ОК</v>
          </cell>
          <cell r="J2085" t="str">
            <v>ОК</v>
          </cell>
        </row>
        <row r="2086">
          <cell r="B2086" t="str">
            <v>В-24892/АЗ</v>
          </cell>
          <cell r="C2086" t="str">
            <v>РОССИЯ, 188666, Ленинградская обл, р-н Всеволожский, г. Мурино, ул Шувалова, д. 10/18, кв. 844</v>
          </cell>
          <cell r="D2086" t="str">
            <v>РОССИЯ, 188666, Ленинградская обл, р-н Всеволожский, г. Мурино, ул Шувалова, д. 10/18, кв. 844</v>
          </cell>
          <cell r="F2086" t="str">
            <v>Ленинградская</v>
          </cell>
          <cell r="G2086">
            <v>0.66009259259259256</v>
          </cell>
          <cell r="H2086">
            <v>0.91009259259259256</v>
          </cell>
          <cell r="I2086" t="str">
            <v>ОК</v>
          </cell>
          <cell r="J2086" t="str">
            <v>ОК</v>
          </cell>
        </row>
        <row r="2087">
          <cell r="B2087" t="str">
            <v>В-00065/КЭ.Транш - 1</v>
          </cell>
          <cell r="C2087" t="str">
            <v>344082, Ростовская обл, г Ростов-На-Дону, ул Серафимовича, д. 11/28а, офис 1</v>
          </cell>
          <cell r="F2087" t="str">
            <v>Москва</v>
          </cell>
          <cell r="G2087">
            <v>0.66009259259259256</v>
          </cell>
          <cell r="H2087">
            <v>0.91009259259259256</v>
          </cell>
          <cell r="I2087" t="str">
            <v>ОК</v>
          </cell>
          <cell r="J2087" t="str">
            <v>ОК</v>
          </cell>
        </row>
        <row r="2088">
          <cell r="B2088" t="str">
            <v>В-00039/АЗ</v>
          </cell>
          <cell r="C2088" t="str">
            <v>РОССИЯ, 143982, Московская обл, Балашиха г, Саввино мкр., Калинина ул, дом № 9, квартира 48</v>
          </cell>
          <cell r="D2088" t="str">
            <v>РОССИЯ, 143982, Московская обл, Балашиха г, Саввино мкр., Калинина ул, дом № 9, квартира 48</v>
          </cell>
          <cell r="F2088" t="str">
            <v>Московская</v>
          </cell>
          <cell r="G2088">
            <v>0.66009259259259256</v>
          </cell>
          <cell r="H2088">
            <v>0.91009259259259256</v>
          </cell>
          <cell r="I2088" t="str">
            <v>ОК</v>
          </cell>
          <cell r="J2088" t="str">
            <v>ОК</v>
          </cell>
        </row>
        <row r="2089">
          <cell r="B2089" t="str">
            <v>В-00039/КЭ.Транш - 1_В-20211230/Ц</v>
          </cell>
          <cell r="C2089" t="str">
            <v>111141, Москва г, 2-Й Перова Поля проезд, дом 5, этаж 2, комната 15</v>
          </cell>
          <cell r="F2089" t="str">
            <v>Москва</v>
          </cell>
          <cell r="G2089">
            <v>0.66009259259259256</v>
          </cell>
          <cell r="H2089">
            <v>0.91009259259259256</v>
          </cell>
          <cell r="I2089" t="str">
            <v>ОК</v>
          </cell>
          <cell r="J2089" t="str">
            <v>ОК</v>
          </cell>
        </row>
        <row r="2090">
          <cell r="B2090" t="str">
            <v>В-18548/КЛ.Транш - 1</v>
          </cell>
          <cell r="C2090" t="str">
            <v>РОССИЯ, 600023, Владимирская обл, г Владимир, мкр. Коммунар, ул Центральная, д. 17, кв. 121</v>
          </cell>
          <cell r="D2090" t="str">
            <v>РОССИЯ, 600024, Владимирская обл, г Владимир, ул Чапаева, д. 8а, кв. 78</v>
          </cell>
          <cell r="F2090" t="str">
            <v>Владимирская</v>
          </cell>
          <cell r="G2090">
            <v>0.66009259259259256</v>
          </cell>
          <cell r="H2090">
            <v>0.91009259259259256</v>
          </cell>
          <cell r="I2090" t="str">
            <v>ОК</v>
          </cell>
          <cell r="J2090" t="str">
            <v>ОК</v>
          </cell>
        </row>
        <row r="2091">
          <cell r="B2091" t="str">
            <v>В-18548/КЛ.Транш - 2</v>
          </cell>
          <cell r="C2091" t="str">
            <v>РОССИЯ, 600023, Владимирская обл, г Владимир, мкр. Коммунар, ул Центральная, д. 17, кв. 121</v>
          </cell>
          <cell r="D2091" t="str">
            <v>РОССИЯ, 600024, Владимирская обл, г Владимир, ул Чапаева, д. 8а, кв. 78</v>
          </cell>
          <cell r="F2091" t="str">
            <v>Владимирская</v>
          </cell>
          <cell r="G2091">
            <v>0.66009259259259256</v>
          </cell>
          <cell r="H2091">
            <v>0.91009259259259256</v>
          </cell>
          <cell r="I2091" t="str">
            <v>ОК</v>
          </cell>
          <cell r="J2091" t="str">
            <v>ОК</v>
          </cell>
        </row>
        <row r="2092">
          <cell r="B2092" t="str">
            <v>В-00053/КЭ.Транш - 1</v>
          </cell>
          <cell r="C2092" t="str">
            <v>142403, Московская обл., Ногинск г., Советской Конституции ул., дом 2А, офис II-1.1</v>
          </cell>
          <cell r="F2092" t="str">
            <v>Москва</v>
          </cell>
          <cell r="G2092">
            <v>0.66009259259259256</v>
          </cell>
          <cell r="H2092">
            <v>0.91009259259259256</v>
          </cell>
          <cell r="I2092" t="str">
            <v>ОК</v>
          </cell>
          <cell r="J2092" t="str">
            <v>ОК</v>
          </cell>
        </row>
        <row r="2093">
          <cell r="B2093" t="str">
            <v>В-10014/КЭ.Транш - 1</v>
          </cell>
          <cell r="C2093" t="str">
            <v>196158, Санкт-Петербург г, ш Московское, д. 46, литера Б, офис 332</v>
          </cell>
          <cell r="F2093" t="str">
            <v>Москва</v>
          </cell>
          <cell r="G2093">
            <v>0.66009259259259256</v>
          </cell>
          <cell r="H2093">
            <v>0.91009259259259256</v>
          </cell>
          <cell r="I2093" t="str">
            <v>ОК</v>
          </cell>
          <cell r="J2093" t="str">
            <v>ОК</v>
          </cell>
        </row>
        <row r="2094">
          <cell r="B2094" t="str">
            <v>В-10014/КЭ.Транш - 2</v>
          </cell>
          <cell r="C2094" t="str">
            <v>196158, Санкт-Петербург г, ш Московское, д. 46, литера Б, офис 332</v>
          </cell>
          <cell r="F2094" t="str">
            <v>Москва</v>
          </cell>
          <cell r="G2094">
            <v>0.66009259259259256</v>
          </cell>
          <cell r="H2094">
            <v>0.91009259259259256</v>
          </cell>
          <cell r="I2094" t="str">
            <v>ОК</v>
          </cell>
          <cell r="J2094" t="str">
            <v>ОК</v>
          </cell>
        </row>
        <row r="2095">
          <cell r="B2095" t="str">
            <v>А-10098/КЭ.Транш - 1</v>
          </cell>
          <cell r="C2095" t="str">
            <v>194358, Санкт-Петербург г, Парголово п, Валерия Гаврилина ул, дом 15, комната 114А</v>
          </cell>
          <cell r="F2095" t="str">
            <v>Москва</v>
          </cell>
          <cell r="G2095">
            <v>0.66009259259259256</v>
          </cell>
          <cell r="H2095">
            <v>0.91009259259259256</v>
          </cell>
          <cell r="I2095" t="str">
            <v>ОК</v>
          </cell>
          <cell r="J2095" t="str">
            <v>ОК</v>
          </cell>
        </row>
        <row r="2096">
          <cell r="B2096" t="str">
            <v>А-10099/КЭ.Транш - 1</v>
          </cell>
          <cell r="C2096" t="str">
            <v>194358, Санкт-Петербург г, Парголово п, Валерия Гаврилина ул, дом 15, комната 114А</v>
          </cell>
          <cell r="F2096" t="str">
            <v>Москва</v>
          </cell>
          <cell r="G2096">
            <v>0.66009259259259256</v>
          </cell>
          <cell r="H2096">
            <v>0.91009259259259256</v>
          </cell>
          <cell r="I2096" t="str">
            <v>ОК</v>
          </cell>
          <cell r="J2096" t="str">
            <v>ОК</v>
          </cell>
        </row>
        <row r="2097">
          <cell r="B2097" t="str">
            <v>А-10099/КЭ.Транш - 2</v>
          </cell>
          <cell r="C2097" t="str">
            <v>194358, Санкт-Петербург г, Парголово п, Валерия Гаврилина ул, дом 15, комната 114А</v>
          </cell>
          <cell r="F2097" t="str">
            <v>Москва</v>
          </cell>
          <cell r="G2097">
            <v>0.66009259259259256</v>
          </cell>
          <cell r="H2097">
            <v>0.91009259259259256</v>
          </cell>
          <cell r="I2097" t="str">
            <v>ОК</v>
          </cell>
          <cell r="J2097" t="str">
            <v>ОК</v>
          </cell>
        </row>
        <row r="2098">
          <cell r="B2098" t="str">
            <v>В-08248/КЛ.Транш - 3</v>
          </cell>
          <cell r="C2098" t="str">
            <v>РОССИЯ, 143909, Московская обл, Балашиха г, Звездная ул, дом 12, квартира 4</v>
          </cell>
          <cell r="D2098" t="str">
            <v>РОССИЯ, 143909, Московская обл, Балашиха г, Звездная ул, дом 12, квартира 4</v>
          </cell>
          <cell r="F2098" t="str">
            <v>Московская</v>
          </cell>
          <cell r="G2098">
            <v>0.66009259259259256</v>
          </cell>
          <cell r="H2098">
            <v>0.91009259259259256</v>
          </cell>
          <cell r="I2098" t="str">
            <v>ОК</v>
          </cell>
          <cell r="J2098" t="str">
            <v>ОК</v>
          </cell>
        </row>
        <row r="2099">
          <cell r="B2099" t="str">
            <v>В-05868/КЛ.Транш - 1</v>
          </cell>
          <cell r="C2099" t="str">
            <v>РОССИЯ, 301360, Тульская обл, Алексинский р-н, Алексин г, Тульская ул, дом 88</v>
          </cell>
          <cell r="D2099" t="str">
            <v>РОССИЯ, 111024, Москва г, Авиамоторная ул, дом 30, квартира 47</v>
          </cell>
          <cell r="F2099" t="str">
            <v>Москва</v>
          </cell>
          <cell r="G2099">
            <v>0.66009259259259256</v>
          </cell>
          <cell r="H2099">
            <v>0.91009259259259256</v>
          </cell>
          <cell r="I2099" t="str">
            <v>ОК</v>
          </cell>
          <cell r="J2099" t="str">
            <v>ОК</v>
          </cell>
        </row>
        <row r="2100">
          <cell r="B2100" t="str">
            <v>В-14232/КЛ.Транш - 1</v>
          </cell>
          <cell r="C2100" t="str">
            <v>РОССИЯ, 368741, Дагестан респ, Ахтынский р-н, Хрюг с</v>
          </cell>
          <cell r="D2100" t="str">
            <v>РОССИЯ, 350032, Краснодарский край, Краснодар г, Лазурный п, Майская ул, дом 105</v>
          </cell>
          <cell r="F2100" t="str">
            <v>Краснодарский</v>
          </cell>
          <cell r="G2100">
            <v>0.66009259259259256</v>
          </cell>
          <cell r="H2100">
            <v>0.91009259259259256</v>
          </cell>
          <cell r="I2100" t="str">
            <v>ОК</v>
          </cell>
          <cell r="J2100" t="str">
            <v>ОК</v>
          </cell>
        </row>
        <row r="2101">
          <cell r="B2101" t="str">
            <v>В-01090/АЗ</v>
          </cell>
          <cell r="C2101" t="str">
            <v>РОССИЯ, 127486, Москва г, Дегунинская ул, дом № 13, квартира 26</v>
          </cell>
          <cell r="D2101" t="str">
            <v>РОССИЯ, 127486, Москва г, Дегунинская ул, дом № 13, квартира 26</v>
          </cell>
          <cell r="F2101" t="str">
            <v>Москва</v>
          </cell>
          <cell r="G2101">
            <v>0.66009259259259256</v>
          </cell>
          <cell r="H2101">
            <v>0.91009259259259256</v>
          </cell>
          <cell r="I2101" t="str">
            <v>ОК</v>
          </cell>
          <cell r="J2101" t="str">
            <v>ОК</v>
          </cell>
        </row>
        <row r="2102">
          <cell r="B2102" t="str">
            <v>В-23895/АЗ</v>
          </cell>
          <cell r="C2102" t="str">
            <v>РОССИЯ, 127486, Москва г, Дегунинская ул, дом № 13, квартира 26</v>
          </cell>
          <cell r="D2102" t="str">
            <v>РОССИЯ, 127486, Москва г, Дегунинская ул, дом № 13, квартира 26</v>
          </cell>
          <cell r="F2102" t="str">
            <v>Москва</v>
          </cell>
          <cell r="G2102">
            <v>0.66009259259259256</v>
          </cell>
          <cell r="H2102">
            <v>0.91009259259259256</v>
          </cell>
          <cell r="I2102" t="str">
            <v>ОК</v>
          </cell>
          <cell r="J2102" t="str">
            <v>ОК</v>
          </cell>
        </row>
        <row r="2103">
          <cell r="B2103" t="str">
            <v>В-20899/КЛ.Транш - 1</v>
          </cell>
          <cell r="C2103" t="str">
            <v>РОССИЯ, 673390, Забайкальский край, р-н Шилкинский, пгт Первомайский, ул Космонавтов, д. 4, кв. 52</v>
          </cell>
          <cell r="D2103" t="str">
            <v>РОССИЯ, 672012, Забайкальский край, г Чита, ул Бутина, д. 123, кв. 17</v>
          </cell>
          <cell r="F2103" t="str">
            <v>Забайкальский</v>
          </cell>
          <cell r="G2103">
            <v>0.66009259259259256</v>
          </cell>
          <cell r="H2103">
            <v>0.16009259259259268</v>
          </cell>
          <cell r="I2103" t="str">
            <v>поздно</v>
          </cell>
          <cell r="J2103" t="str">
            <v>ОК</v>
          </cell>
        </row>
        <row r="2104">
          <cell r="B2104" t="str">
            <v>В-00088/АЗ</v>
          </cell>
          <cell r="C2104" t="str">
            <v>РОССИЯ, 152646, Ярославская обл, Угличский, Нестерово дер (Головинское с/п)</v>
          </cell>
          <cell r="D2104" t="str">
            <v>РОССИЯ, 143083, Московская обл, Одинцовский р-н, Барвиха п, дом № 16, квартира 30</v>
          </cell>
          <cell r="F2104" t="str">
            <v>Московская</v>
          </cell>
          <cell r="G2104">
            <v>0.66009259259259256</v>
          </cell>
          <cell r="H2104">
            <v>0.91009259259259256</v>
          </cell>
          <cell r="I2104" t="str">
            <v>ОК</v>
          </cell>
          <cell r="J2104" t="str">
            <v>ОК</v>
          </cell>
        </row>
        <row r="2105">
          <cell r="B2105" t="str">
            <v>В-24151/КЛ.Транш - 1</v>
          </cell>
          <cell r="C2105" t="str">
            <v>РОССИЯ, 665832, Иркутская обл, г Ангарск, мкр. 7, д. 3, кв. 113</v>
          </cell>
          <cell r="D2105" t="str">
            <v>РОССИЯ, 665832, Иркутская обл, г Ангарск, мкр. 7, д. 3, кв. 113</v>
          </cell>
          <cell r="F2105" t="str">
            <v>Иркутская</v>
          </cell>
          <cell r="G2105">
            <v>0.66009259259259256</v>
          </cell>
          <cell r="H2105">
            <v>0.11842592592592593</v>
          </cell>
          <cell r="I2105" t="str">
            <v>поздно</v>
          </cell>
          <cell r="J2105" t="str">
            <v>ОК</v>
          </cell>
        </row>
        <row r="2106">
          <cell r="B2106" t="str">
            <v>В-03543/КЛ.Транш - 1</v>
          </cell>
          <cell r="C2106" t="str">
            <v>РОССИЯ, 420070, Татарстан респ, Казань г, Матюшинская ул, дом 18А</v>
          </cell>
          <cell r="D2106" t="str">
            <v>РОССИЯ, 196240, Санкт-Петербург г, внутригородская территория муниципальный округ Новоизмайловское, Костюшко ул, дом 32, квартира 7</v>
          </cell>
          <cell r="F2106" t="str">
            <v>Москва</v>
          </cell>
          <cell r="G2106">
            <v>0.66009259259259256</v>
          </cell>
          <cell r="H2106">
            <v>0.91009259259259256</v>
          </cell>
          <cell r="I2106" t="str">
            <v>ОК</v>
          </cell>
          <cell r="J2106" t="str">
            <v>ОК</v>
          </cell>
        </row>
        <row r="2107">
          <cell r="B2107" t="str">
            <v>Т-01906/АЗ_Т-20211028/Ц</v>
          </cell>
          <cell r="C2107" t="str">
            <v>РОССИЯ, 172759, Тверская обл, Осташков г, Залучье д, дом 35а</v>
          </cell>
          <cell r="D2107" t="str">
            <v>РОССИЯ, 115470, Москва г, Судостроительная ул, дом № 5, помещение 100</v>
          </cell>
          <cell r="F2107" t="str">
            <v>Москва</v>
          </cell>
          <cell r="G2107">
            <v>0.66009259259259256</v>
          </cell>
          <cell r="H2107">
            <v>0.91009259259259256</v>
          </cell>
          <cell r="I2107" t="str">
            <v>ОК</v>
          </cell>
          <cell r="J2107" t="str">
            <v>ОК</v>
          </cell>
        </row>
        <row r="2108">
          <cell r="B2108" t="str">
            <v>В-01642/КЛ.Транш - 1</v>
          </cell>
          <cell r="C2108" t="str">
            <v>РОССИЯ, 143040, Московская обл, Одинцовский р-н, Голицыно г, Советская ул, дом 54, корпус 3, квартира 64</v>
          </cell>
          <cell r="D2108" t="str">
            <v>РОССИЯ, 143040, Московская обл, Одинцовский р-н, Голицыно г, Советская ул, дом 54, корпус 3, квартира 64</v>
          </cell>
          <cell r="F2108" t="str">
            <v>Московская</v>
          </cell>
          <cell r="G2108">
            <v>0.66009259259259256</v>
          </cell>
          <cell r="H2108">
            <v>0.91009259259259256</v>
          </cell>
          <cell r="I2108" t="str">
            <v>ОК</v>
          </cell>
          <cell r="J2108" t="str">
            <v>ОК</v>
          </cell>
        </row>
        <row r="2109">
          <cell r="B2109" t="str">
            <v>В-28235/АЗ</v>
          </cell>
          <cell r="C2109" t="str">
            <v>РОССИЯ, 141013, Московская обл, г Мытищи, ул Стрелковая, д. 6, кв. 201</v>
          </cell>
          <cell r="D2109" t="str">
            <v>РОССИЯ, 141013, Московская обл, г Мытищи, ул Стрелковая, д. 6, кв. 201</v>
          </cell>
          <cell r="F2109" t="str">
            <v>Московская</v>
          </cell>
          <cell r="G2109">
            <v>0.66009259259259256</v>
          </cell>
          <cell r="H2109">
            <v>0.91009259259259256</v>
          </cell>
          <cell r="I2109" t="str">
            <v>ОК</v>
          </cell>
          <cell r="J2109" t="str">
            <v>ОК</v>
          </cell>
        </row>
        <row r="2110">
          <cell r="B2110" t="str">
            <v>В-26423/КЛ.Транш - 1</v>
          </cell>
          <cell r="C2110" t="str">
            <v>РОССИЯ, 456306, Челябинская обл, г Миасс, ул Готвальда, д. 7, кв. 56</v>
          </cell>
          <cell r="D2110" t="str">
            <v>РОССИЯ, 456306, Челябинская обл, г Миасс, ул Готвальда, д. 7, кв. 56</v>
          </cell>
          <cell r="F2110" t="str">
            <v>Челябинская</v>
          </cell>
          <cell r="G2110">
            <v>0.66009259259259256</v>
          </cell>
          <cell r="H2110">
            <v>0.99342592592592593</v>
          </cell>
          <cell r="I2110" t="str">
            <v>поздно</v>
          </cell>
          <cell r="J2110" t="str">
            <v>ОК</v>
          </cell>
        </row>
        <row r="2111">
          <cell r="B2111" t="str">
            <v>В-15400/КЛ.Транш - 2</v>
          </cell>
          <cell r="C2111" t="str">
            <v>РОССИЯ, 620062, Свердловская обл, Екатеринбург г, Ленина пр-кт, дом 62, корпус 2, квартира 28</v>
          </cell>
          <cell r="D2111" t="str">
            <v>РОССИЯ, 620062, Свердловская обл, Екатеринбург г, Ленина пр-кт, дом 62, корпус 2, квартира 28</v>
          </cell>
          <cell r="F2111" t="str">
            <v>Свердловская</v>
          </cell>
          <cell r="G2111">
            <v>0.66009259259259256</v>
          </cell>
          <cell r="H2111">
            <v>0.99342592592592593</v>
          </cell>
          <cell r="I2111" t="str">
            <v>поздно</v>
          </cell>
          <cell r="J2111" t="str">
            <v>ОК</v>
          </cell>
        </row>
        <row r="2112">
          <cell r="B2112" t="str">
            <v>В-28216/КЛ.Транш - 1</v>
          </cell>
          <cell r="C2112" t="str">
            <v>РОССИЯ, 119361, Москва г, вн.тер.г. муниципальный округ Очаково-Матвеевское, ул Марии Поливановой, д. 11А, кв. 28</v>
          </cell>
          <cell r="D2112" t="str">
            <v>РОССИЯ, 119361, Москва г, вн.тер.г. муниципальный округ Очаково-Матвеевское, ул Марии Поливановой, д. 11А, кв. 28</v>
          </cell>
          <cell r="F2112" t="str">
            <v>Москва</v>
          </cell>
          <cell r="G2112">
            <v>0.66009259259259256</v>
          </cell>
          <cell r="H2112">
            <v>0.91009259259259256</v>
          </cell>
          <cell r="I2112" t="str">
            <v>ОК</v>
          </cell>
          <cell r="J2112" t="str">
            <v>ОК</v>
          </cell>
        </row>
        <row r="2113">
          <cell r="B2113" t="str">
            <v>В-25824/КЛ.Транш - 1</v>
          </cell>
          <cell r="C2113" t="str">
            <v>РОССИЯ, 429547, Чувашская Республика - Чувашия, Моргаушский р-н, Сятракасы (Тораевское с/п) д, им К.Данилова ул, дом № 18</v>
          </cell>
          <cell r="D2113" t="str">
            <v>РОССИЯ, 108814, Москва г, Александры Монаховой ул, дом № 98, корпус 1, квартира 9</v>
          </cell>
          <cell r="F2113" t="str">
            <v>Москва</v>
          </cell>
          <cell r="G2113">
            <v>0.66009259259259256</v>
          </cell>
          <cell r="H2113">
            <v>0.91009259259259256</v>
          </cell>
          <cell r="I2113" t="str">
            <v>ОК</v>
          </cell>
          <cell r="J2113" t="str">
            <v>ОК</v>
          </cell>
        </row>
        <row r="2114">
          <cell r="B2114" t="str">
            <v>В-14920/КЛ.Транш - 1</v>
          </cell>
          <cell r="C2114" t="str">
            <v>РОССИЯ, 108809, Москва г, Толстопальцево п, Чехова ул, дом 27, квартира 2</v>
          </cell>
          <cell r="D2114" t="str">
            <v>РОССИЯ, 108809, Москва г, Толстопальцево п, Чехова ул, дом 27, квартира 2</v>
          </cell>
          <cell r="F2114" t="str">
            <v>Москва</v>
          </cell>
          <cell r="G2114">
            <v>0.66009259259259256</v>
          </cell>
          <cell r="H2114">
            <v>0.91009259259259256</v>
          </cell>
          <cell r="I2114" t="str">
            <v>ОК</v>
          </cell>
          <cell r="J2114" t="str">
            <v>ОК</v>
          </cell>
        </row>
        <row r="2115">
          <cell r="B2115" t="str">
            <v>В-02090/КЛ.Транш - 1</v>
          </cell>
          <cell r="C2115" t="str">
            <v>РОССИЯ, 115304, Москва г, Ереванская ул, дом № 17, корпус 1, квартира 46</v>
          </cell>
          <cell r="D2115" t="str">
            <v>РОССИЯ, 115304, Москва г, Ереванская ул, дом № 17, корпус 1, квартира 46</v>
          </cell>
          <cell r="F2115" t="str">
            <v>Москва</v>
          </cell>
          <cell r="G2115">
            <v>0.66009259259259256</v>
          </cell>
          <cell r="H2115">
            <v>0.91009259259259256</v>
          </cell>
          <cell r="I2115" t="str">
            <v>ОК</v>
          </cell>
          <cell r="J2115" t="str">
            <v>ОК</v>
          </cell>
        </row>
        <row r="2116">
          <cell r="B2116" t="str">
            <v>В-22759/КЛ.Транш - 1</v>
          </cell>
          <cell r="C2116" t="str">
            <v>РОССИЯ, 143006, Московская обл, г Одинцово, ул Белорусская, д. 10, кв. 726</v>
          </cell>
          <cell r="D2116" t="str">
            <v>РОССИЯ, 143006, Московская обл, г Одинцово, ул Белорусская, д. 10, кв. 726</v>
          </cell>
          <cell r="F2116" t="str">
            <v>Московская</v>
          </cell>
          <cell r="G2116">
            <v>0.66009259259259256</v>
          </cell>
          <cell r="H2116">
            <v>0.91009259259259256</v>
          </cell>
          <cell r="I2116" t="str">
            <v>ОК</v>
          </cell>
          <cell r="J2116" t="str">
            <v>ОК</v>
          </cell>
        </row>
        <row r="2117">
          <cell r="B2117" t="str">
            <v>В-14291/КЛ.Транш - 7</v>
          </cell>
          <cell r="C2117" t="str">
            <v>РОССИЯ, 111555, Москва г, Сталеваров ул, дом 12, корпус 2, квартира 629</v>
          </cell>
          <cell r="D2117" t="str">
            <v>РОССИЯ, 111555, Москва г, Сталеваров ул, дом 12, корпус 2, квартира 629</v>
          </cell>
          <cell r="F2117" t="str">
            <v>Москва</v>
          </cell>
          <cell r="G2117">
            <v>0.66009259259259256</v>
          </cell>
          <cell r="H2117">
            <v>0.91009259259259256</v>
          </cell>
          <cell r="I2117" t="str">
            <v>ОК</v>
          </cell>
          <cell r="J2117" t="str">
            <v>ОК</v>
          </cell>
        </row>
        <row r="2118">
          <cell r="B2118" t="str">
            <v>В-20585/КЛ.Транш - 1</v>
          </cell>
          <cell r="C2118" t="str">
            <v>РОССИЯ, 625014, Тюменская обл, г Тюмень, ул Западносибирская, д. 2, кв. 311</v>
          </cell>
          <cell r="D2118" t="str">
            <v>РОССИЯ, 625014, Тюменская обл, г Тюмень, ул Западносибирская, д. 2, кв. 311</v>
          </cell>
          <cell r="F2118" t="str">
            <v>Тюменская</v>
          </cell>
          <cell r="G2118">
            <v>0.66009259259259256</v>
          </cell>
          <cell r="H2118">
            <v>0.99342592592592593</v>
          </cell>
          <cell r="I2118" t="str">
            <v>поздно</v>
          </cell>
          <cell r="J2118" t="str">
            <v>ОК</v>
          </cell>
        </row>
        <row r="2119">
          <cell r="B2119" t="str">
            <v>В-20172/КЛ.Транш - 1</v>
          </cell>
          <cell r="C2119" t="str">
            <v>РОССИЯ, 353566, Краснодарский край, р-н Славянский, г Славянск-на-Кубани, ул Крупской, д. 465</v>
          </cell>
          <cell r="D2119" t="str">
            <v>РОССИЯ, 353566, Краснодарский край, р-н Славянский, г Славянск-на-Кубани, ул Крупской, д. 465</v>
          </cell>
          <cell r="F2119" t="str">
            <v>Краснодарский</v>
          </cell>
          <cell r="G2119">
            <v>0.66009259259259256</v>
          </cell>
          <cell r="H2119">
            <v>0.91009259259259256</v>
          </cell>
          <cell r="I2119" t="str">
            <v>ОК</v>
          </cell>
          <cell r="J2119" t="str">
            <v>ОК</v>
          </cell>
        </row>
        <row r="2120">
          <cell r="B2120" t="str">
            <v>В-11861/КЛ.Транш - 1</v>
          </cell>
          <cell r="C2120" t="str">
            <v>РОССИЯ, 606100, Нижегородская обл, Павловский р-н, Павлово г, Дальняя Круча ул, дом 6</v>
          </cell>
          <cell r="D2120" t="str">
            <v>РОССИЯ, 606100, Нижегородская обл, Павловский р-н, Павлово г, Дальняя Круча ул, дом 6</v>
          </cell>
          <cell r="F2120" t="str">
            <v>Нижегородская</v>
          </cell>
          <cell r="G2120">
            <v>0.66009259259259256</v>
          </cell>
          <cell r="H2120">
            <v>0.91009259259259256</v>
          </cell>
          <cell r="I2120" t="str">
            <v>ОК</v>
          </cell>
          <cell r="J2120" t="str">
            <v>ОК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роср мес"/>
      <sheetName val="статистика"/>
      <sheetName val="реестр просрочников"/>
      <sheetName val="РП (расш)"/>
      <sheetName val="акция"/>
      <sheetName val="наказанные"/>
      <sheetName val="списание"/>
      <sheetName val="2022"/>
      <sheetName val="xforms"/>
    </sheetNames>
    <sheetDataSet>
      <sheetData sheetId="0"/>
      <sheetData sheetId="1"/>
      <sheetData sheetId="2"/>
      <sheetData sheetId="3"/>
      <sheetData sheetId="4">
        <row r="1">
          <cell r="B1" t="str">
            <v>Договор</v>
          </cell>
          <cell r="C1" t="str">
            <v>Дни</v>
          </cell>
          <cell r="D1" t="str">
            <v>просрочено</v>
          </cell>
          <cell r="E1" t="str">
            <v>ОД</v>
          </cell>
          <cell r="F1" t="str">
            <v>пени</v>
          </cell>
          <cell r="G1" t="str">
            <v>пени тек</v>
          </cell>
          <cell r="H1" t="str">
            <v>пени прощение</v>
          </cell>
          <cell r="I1" t="str">
            <v>прощение</v>
          </cell>
          <cell r="J1" t="str">
            <v>к оплате</v>
          </cell>
          <cell r="K1" t="str">
            <v>КО</v>
          </cell>
          <cell r="L1" t="str">
            <v>категория</v>
          </cell>
          <cell r="M1" t="str">
            <v>some_var</v>
          </cell>
          <cell r="N1" t="str">
            <v>все Пени</v>
          </cell>
        </row>
        <row r="2">
          <cell r="B2" t="str">
            <v>В-25306/КЛ.Транш - 1</v>
          </cell>
          <cell r="C2">
            <v>70</v>
          </cell>
          <cell r="D2">
            <v>189457.53</v>
          </cell>
          <cell r="E2">
            <v>908272.7</v>
          </cell>
          <cell r="F2">
            <v>35804.11</v>
          </cell>
          <cell r="G2">
            <v>34332.708059999997</v>
          </cell>
          <cell r="H2">
            <v>35804</v>
          </cell>
          <cell r="I2">
            <v>80611</v>
          </cell>
          <cell r="J2">
            <v>109295</v>
          </cell>
          <cell r="K2" t="str">
            <v>ОСК</v>
          </cell>
          <cell r="L2">
            <v>2</v>
          </cell>
          <cell r="N2" t="str">
            <v>да</v>
          </cell>
        </row>
        <row r="3">
          <cell r="B3" t="str">
            <v>В-25865/КЛ.Транш - 1</v>
          </cell>
          <cell r="C3">
            <v>69</v>
          </cell>
          <cell r="D3">
            <v>120552.39</v>
          </cell>
          <cell r="E3">
            <v>523728.74</v>
          </cell>
          <cell r="F3">
            <v>20362.57</v>
          </cell>
          <cell r="G3">
            <v>19514.132852400002</v>
          </cell>
          <cell r="H3">
            <v>20362</v>
          </cell>
          <cell r="I3">
            <v>48042</v>
          </cell>
          <cell r="J3">
            <v>72788</v>
          </cell>
          <cell r="K3" t="str">
            <v>ОСК</v>
          </cell>
          <cell r="L3">
            <v>2</v>
          </cell>
          <cell r="N3" t="str">
            <v>да</v>
          </cell>
        </row>
        <row r="4">
          <cell r="B4" t="str">
            <v>В-25824/КЛ.Транш - 1</v>
          </cell>
          <cell r="C4">
            <v>67</v>
          </cell>
          <cell r="D4">
            <v>39290.629999999997</v>
          </cell>
          <cell r="E4">
            <v>121929.26</v>
          </cell>
          <cell r="F4">
            <v>14422.14</v>
          </cell>
          <cell r="G4">
            <v>4411.4006267999994</v>
          </cell>
          <cell r="H4">
            <v>14422</v>
          </cell>
          <cell r="I4">
            <v>16316</v>
          </cell>
          <cell r="J4">
            <v>22994</v>
          </cell>
          <cell r="K4" t="str">
            <v>ОСК</v>
          </cell>
          <cell r="L4">
            <v>2</v>
          </cell>
          <cell r="N4" t="str">
            <v>да</v>
          </cell>
        </row>
        <row r="5">
          <cell r="B5" t="str">
            <v>В-21137/КЛ.Транш - 1</v>
          </cell>
          <cell r="C5">
            <v>66</v>
          </cell>
          <cell r="D5">
            <v>15638.43</v>
          </cell>
          <cell r="E5">
            <v>77416.460000000006</v>
          </cell>
          <cell r="F5">
            <v>2884.54</v>
          </cell>
          <cell r="G5">
            <v>2759.1226344000002</v>
          </cell>
          <cell r="H5">
            <v>2884</v>
          </cell>
          <cell r="I5">
            <v>4436</v>
          </cell>
          <cell r="J5">
            <v>11219</v>
          </cell>
          <cell r="K5" t="str">
            <v>ОСК</v>
          </cell>
          <cell r="L5">
            <v>2</v>
          </cell>
          <cell r="N5" t="str">
            <v>да</v>
          </cell>
        </row>
        <row r="6">
          <cell r="B6" t="str">
            <v>В-06345/КЛ.Транш - 1</v>
          </cell>
          <cell r="C6">
            <v>65</v>
          </cell>
          <cell r="D6">
            <v>25005.119999999999</v>
          </cell>
          <cell r="E6">
            <v>143099.51999999999</v>
          </cell>
          <cell r="F6">
            <v>5254.61</v>
          </cell>
          <cell r="G6">
            <v>5022.7931520000002</v>
          </cell>
          <cell r="H6">
            <v>5254</v>
          </cell>
          <cell r="I6">
            <v>6863</v>
          </cell>
          <cell r="J6">
            <v>18159</v>
          </cell>
          <cell r="K6" t="str">
            <v>ОСК</v>
          </cell>
          <cell r="L6">
            <v>2</v>
          </cell>
          <cell r="N6" t="str">
            <v>да</v>
          </cell>
        </row>
        <row r="7">
          <cell r="B7" t="str">
            <v>В-12943/КЛ.Транш - 1</v>
          </cell>
          <cell r="C7">
            <v>57</v>
          </cell>
          <cell r="D7">
            <v>48820.4</v>
          </cell>
          <cell r="E7">
            <v>197856.98</v>
          </cell>
          <cell r="F7">
            <v>10599.53</v>
          </cell>
          <cell r="G7">
            <v>6090.0378444000007</v>
          </cell>
          <cell r="H7">
            <v>10599</v>
          </cell>
          <cell r="I7">
            <v>13109</v>
          </cell>
          <cell r="J7">
            <v>35738</v>
          </cell>
          <cell r="K7" t="str">
            <v>ОСК</v>
          </cell>
          <cell r="L7">
            <v>2</v>
          </cell>
          <cell r="N7" t="str">
            <v>да</v>
          </cell>
        </row>
        <row r="8">
          <cell r="B8" t="str">
            <v>В-24247/КЛ.Транш - 1</v>
          </cell>
          <cell r="C8">
            <v>49</v>
          </cell>
          <cell r="D8">
            <v>48765.35</v>
          </cell>
          <cell r="E8">
            <v>307791.06</v>
          </cell>
          <cell r="F8">
            <v>8642.77</v>
          </cell>
          <cell r="G8">
            <v>8144.1514475999993</v>
          </cell>
          <cell r="H8">
            <v>8642</v>
          </cell>
          <cell r="I8">
            <v>19368</v>
          </cell>
          <cell r="J8">
            <v>29506</v>
          </cell>
          <cell r="K8" t="str">
            <v>ОСК</v>
          </cell>
          <cell r="L8">
            <v>2</v>
          </cell>
          <cell r="N8" t="str">
            <v>да</v>
          </cell>
        </row>
        <row r="9">
          <cell r="B9" t="str">
            <v>В-28436/АЗ</v>
          </cell>
          <cell r="C9">
            <v>48</v>
          </cell>
          <cell r="D9">
            <v>62975.76</v>
          </cell>
          <cell r="E9">
            <v>432774.06</v>
          </cell>
          <cell r="F9">
            <v>1228.55</v>
          </cell>
          <cell r="G9">
            <v>1600.4876832</v>
          </cell>
          <cell r="H9">
            <v>1228</v>
          </cell>
          <cell r="I9">
            <v>19305</v>
          </cell>
          <cell r="J9">
            <v>43853</v>
          </cell>
          <cell r="K9" t="str">
            <v>ОСК</v>
          </cell>
          <cell r="L9">
            <v>2</v>
          </cell>
          <cell r="N9" t="str">
            <v>да</v>
          </cell>
        </row>
        <row r="10">
          <cell r="B10" t="str">
            <v>В-25052/КЛ.Транш - 1</v>
          </cell>
          <cell r="C10">
            <v>44</v>
          </cell>
          <cell r="D10">
            <v>84047.2</v>
          </cell>
          <cell r="E10">
            <v>400799.7</v>
          </cell>
          <cell r="F10">
            <v>23177.48</v>
          </cell>
          <cell r="G10">
            <v>9523.0008720000005</v>
          </cell>
          <cell r="H10">
            <v>23177</v>
          </cell>
          <cell r="I10">
            <v>39566</v>
          </cell>
          <cell r="J10">
            <v>44646</v>
          </cell>
          <cell r="K10" t="str">
            <v>ОСК</v>
          </cell>
          <cell r="L10">
            <v>2</v>
          </cell>
          <cell r="N10" t="str">
            <v>да</v>
          </cell>
        </row>
        <row r="11">
          <cell r="B11" t="str">
            <v>В-21973/КЛ.Транш - 1</v>
          </cell>
          <cell r="C11">
            <v>40</v>
          </cell>
          <cell r="D11">
            <v>81435.41</v>
          </cell>
          <cell r="E11">
            <v>47682.79</v>
          </cell>
          <cell r="F11">
            <v>24955.47</v>
          </cell>
          <cell r="G11">
            <v>1029.9482640000001</v>
          </cell>
          <cell r="H11">
            <v>24955</v>
          </cell>
          <cell r="I11">
            <v>27887</v>
          </cell>
          <cell r="J11">
            <v>53578</v>
          </cell>
          <cell r="K11" t="str">
            <v>ОСК</v>
          </cell>
          <cell r="L11">
            <v>2</v>
          </cell>
          <cell r="N11" t="str">
            <v>да</v>
          </cell>
        </row>
        <row r="12">
          <cell r="B12" t="str">
            <v>В-27049/АЗ</v>
          </cell>
          <cell r="C12">
            <v>31</v>
          </cell>
          <cell r="D12">
            <v>38712.94</v>
          </cell>
          <cell r="E12">
            <v>279047.40000000002</v>
          </cell>
          <cell r="F12">
            <v>412.97</v>
          </cell>
          <cell r="G12">
            <v>641.14149780000002</v>
          </cell>
          <cell r="H12">
            <v>412</v>
          </cell>
          <cell r="I12">
            <v>11261</v>
          </cell>
          <cell r="J12">
            <v>27562</v>
          </cell>
          <cell r="K12" t="str">
            <v>ОСК</v>
          </cell>
          <cell r="L12">
            <v>2</v>
          </cell>
          <cell r="N12" t="str">
            <v>да</v>
          </cell>
        </row>
        <row r="13">
          <cell r="B13" t="str">
            <v>В-12574/КЛ.Транш - 2</v>
          </cell>
          <cell r="C13">
            <v>23</v>
          </cell>
          <cell r="D13">
            <v>7214.32</v>
          </cell>
          <cell r="E13">
            <v>79399.460000000006</v>
          </cell>
          <cell r="F13">
            <v>1114.77</v>
          </cell>
          <cell r="G13">
            <v>986.14129320000006</v>
          </cell>
          <cell r="H13">
            <v>1114</v>
          </cell>
          <cell r="I13">
            <v>1114.77</v>
          </cell>
          <cell r="J13">
            <v>6100.5499999999993</v>
          </cell>
          <cell r="K13" t="str">
            <v>ОСК</v>
          </cell>
          <cell r="L13">
            <v>1</v>
          </cell>
          <cell r="N13" t="str">
            <v>да</v>
          </cell>
        </row>
        <row r="14">
          <cell r="B14" t="str">
            <v>В-26664/КЛ.Транш - 1</v>
          </cell>
          <cell r="C14">
            <v>21</v>
          </cell>
          <cell r="D14">
            <v>19302.830000000002</v>
          </cell>
          <cell r="E14">
            <v>207666.7</v>
          </cell>
          <cell r="F14">
            <v>6198.25</v>
          </cell>
          <cell r="G14">
            <v>2354.9403780000002</v>
          </cell>
          <cell r="H14">
            <v>6198</v>
          </cell>
          <cell r="I14">
            <v>6198.25</v>
          </cell>
          <cell r="J14">
            <v>13105.580000000002</v>
          </cell>
          <cell r="K14" t="str">
            <v>ОСК</v>
          </cell>
          <cell r="L14">
            <v>1</v>
          </cell>
          <cell r="N14" t="str">
            <v>да</v>
          </cell>
        </row>
        <row r="15">
          <cell r="B15" t="str">
            <v>В-04727/КЛ.Транш - 1</v>
          </cell>
          <cell r="C15">
            <v>21</v>
          </cell>
          <cell r="D15">
            <v>34346.9</v>
          </cell>
          <cell r="E15">
            <v>59749.04</v>
          </cell>
          <cell r="F15">
            <v>774.35</v>
          </cell>
          <cell r="G15">
            <v>677.55411360000005</v>
          </cell>
          <cell r="H15">
            <v>774</v>
          </cell>
          <cell r="I15">
            <v>774.35</v>
          </cell>
          <cell r="J15">
            <v>33573.550000000003</v>
          </cell>
          <cell r="K15" t="str">
            <v>ОСК</v>
          </cell>
          <cell r="L15">
            <v>1</v>
          </cell>
          <cell r="N15" t="str">
            <v>да</v>
          </cell>
        </row>
        <row r="16">
          <cell r="B16" t="str">
            <v>В-27315/КЛ.Транш - 1</v>
          </cell>
          <cell r="C16">
            <v>19</v>
          </cell>
          <cell r="D16">
            <v>8576.42</v>
          </cell>
          <cell r="E16">
            <v>418536.28</v>
          </cell>
          <cell r="F16">
            <v>237.68</v>
          </cell>
          <cell r="G16">
            <v>85.555472399999999</v>
          </cell>
          <cell r="H16">
            <v>237</v>
          </cell>
          <cell r="I16">
            <v>237.68</v>
          </cell>
          <cell r="J16">
            <v>8339.74</v>
          </cell>
          <cell r="K16" t="str">
            <v>ОСК</v>
          </cell>
          <cell r="L16">
            <v>1</v>
          </cell>
          <cell r="N16" t="str">
            <v>да</v>
          </cell>
        </row>
        <row r="17">
          <cell r="B17" t="str">
            <v>В-18496/КЛ.Транш - 1</v>
          </cell>
          <cell r="C17">
            <v>17</v>
          </cell>
          <cell r="D17">
            <v>13459.54</v>
          </cell>
          <cell r="E17">
            <v>136377.39000000001</v>
          </cell>
          <cell r="F17">
            <v>1472.88</v>
          </cell>
          <cell r="G17">
            <v>1251.9444402000001</v>
          </cell>
          <cell r="H17">
            <v>1472</v>
          </cell>
          <cell r="I17">
            <v>1472.88</v>
          </cell>
          <cell r="J17">
            <v>11987.66</v>
          </cell>
          <cell r="K17" t="str">
            <v>ОСК</v>
          </cell>
          <cell r="L17">
            <v>1</v>
          </cell>
          <cell r="N17" t="str">
            <v>да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V37"/>
  <sheetViews>
    <sheetView zoomScale="85" zoomScaleNormal="85" workbookViewId="0">
      <pane ySplit="1" topLeftCell="A2" activePane="bottomLeft" state="frozen"/>
      <selection activeCell="A172171" sqref="A172171"/>
      <selection pane="bottomLeft" activeCell="C4" sqref="C4"/>
    </sheetView>
  </sheetViews>
  <sheetFormatPr defaultRowHeight="15" x14ac:dyDescent="0.25"/>
  <cols>
    <col min="1" max="1" width="40.7109375" customWidth="1"/>
    <col min="2" max="2" width="20.42578125" bestFit="1" customWidth="1"/>
    <col min="3" max="3" width="37.28515625" customWidth="1"/>
    <col min="4" max="4" width="50.7109375" style="9" customWidth="1"/>
    <col min="5" max="5" width="29.140625" bestFit="1" customWidth="1"/>
    <col min="6" max="8" width="24" customWidth="1"/>
    <col min="9" max="9" width="9.140625" customWidth="1"/>
    <col min="10" max="10" width="23.28515625" customWidth="1"/>
    <col min="11" max="11" width="13.140625" customWidth="1"/>
    <col min="12" max="12" width="15.5703125" customWidth="1"/>
    <col min="13" max="13" width="10" bestFit="1" customWidth="1"/>
    <col min="14" max="15" width="11.28515625" bestFit="1" customWidth="1"/>
    <col min="16" max="16" width="10.28515625" bestFit="1" customWidth="1"/>
    <col min="19" max="19" width="10.85546875" bestFit="1" customWidth="1"/>
  </cols>
  <sheetData>
    <row r="1" spans="1:22" ht="15.75" x14ac:dyDescent="0.25">
      <c r="A1" s="3" t="s">
        <v>122</v>
      </c>
      <c r="B1" s="3" t="s">
        <v>0</v>
      </c>
      <c r="C1" s="3" t="s">
        <v>1</v>
      </c>
      <c r="D1" s="10" t="s">
        <v>123</v>
      </c>
      <c r="E1" s="8" t="s">
        <v>2</v>
      </c>
      <c r="F1" s="8" t="s">
        <v>88</v>
      </c>
      <c r="G1" s="8" t="s">
        <v>125</v>
      </c>
      <c r="H1" s="8" t="s">
        <v>239</v>
      </c>
      <c r="I1" s="8" t="s">
        <v>124</v>
      </c>
      <c r="J1" s="8" t="s">
        <v>77</v>
      </c>
      <c r="K1" s="8" t="s">
        <v>127</v>
      </c>
      <c r="L1" s="8" t="s">
        <v>128</v>
      </c>
      <c r="M1" s="8" t="s">
        <v>129</v>
      </c>
      <c r="N1" s="8" t="s">
        <v>130</v>
      </c>
      <c r="O1" s="8" t="s">
        <v>134</v>
      </c>
      <c r="P1" s="8" t="s">
        <v>150</v>
      </c>
      <c r="Q1" s="21" t="s">
        <v>199</v>
      </c>
      <c r="R1" s="21" t="s">
        <v>200</v>
      </c>
      <c r="S1" s="21" t="s">
        <v>228</v>
      </c>
    </row>
    <row r="2" spans="1:22" ht="90" x14ac:dyDescent="0.25">
      <c r="A2" t="s">
        <v>300</v>
      </c>
      <c r="B2" t="s">
        <v>301</v>
      </c>
      <c r="C2">
        <f>IFERROR(IF(VLOOKUP(B2,'[1]тел(заем)'!$B:$F,5,0),VLOOKUP(B2,'[1]тел(заем)'!$B:$F,5,0),VLOOKUP(B2,'[1]тел(заем)'!$B:$D,3,0)),VLOOKUP(B2,'[1]тел(заем)'!$B:$F,5,0))</f>
        <v>79184037119</v>
      </c>
      <c r="D2" s="9" t="str">
        <f>IF(VLOOKUP(B2,[2]акция!$B:$L,11,0)=1,interface!$A$21,IF(VLOOKUP(B2,[2]акция!$B:$C,2,0)&gt;interface!$A$15,interface!$A$8,СМСшапка))&amp;F2&amp;", "&amp;СМС_до&amp;" "&amp;DOLLAR(K2,0)&amp;" по Договору "&amp;B2&amp;", а "&amp;L2&amp;" "&amp;P2&amp;N2</f>
        <v>СПИСАНИЕ ЧАСТИ ДОЛГА! Надежда, до 24.03.2023 (включительно), оплатите 109 295 ₽ по Договору В-25306/КЛ.Транш - 1, а Займодавец спишет 1/3 просроченных процентов и все пени. Предложение действует также при реструктуризации займа. Ваша выгода: 80 611 ₽. МКК «ВЗАИМНО».</v>
      </c>
      <c r="E2" t="str">
        <f>RIGHT(A2,LEN(A2)-SEARCH(" ",A2))</f>
        <v>Надежда Алексеевна</v>
      </c>
      <c r="F2" t="str">
        <f>IFERROR(MID(A2,FIND(" ",A2,1)+1,FIND(" ",A2,FIND(" ",A2,1)+1)-FIND(" ",A2,1)-1),RIGHT(A2,LEN(A2)-FIND(" ",A2)))</f>
        <v>Надежда</v>
      </c>
      <c r="G2" t="str">
        <f>IFERROR(VLOOKUP(LEFT(B2,10),'[1]тел(пор)'!$A:$C,3,0),"")</f>
        <v/>
      </c>
      <c r="H2" t="str">
        <f>IFERROR(VLOOKUP(LEFT(B2,10),'[1]тел(пор)'!$A:$B,2,0),"")</f>
        <v/>
      </c>
      <c r="I2" t="str">
        <f>IFERROR(IF(VLOOKUP(B2,оплата!A:A,1,0)&lt;&gt;1,"!Деньги!"),"")</f>
        <v/>
      </c>
      <c r="J2">
        <v>80611</v>
      </c>
      <c r="K2">
        <v>109295</v>
      </c>
      <c r="L2" t="str">
        <f>IF(B2="","Заполни столбцы A и B",IF(NOT(ISERR(SEARCH("БЭ",B2)&lt;&gt;0)),"Кредитор",IF(NOT(ISERR(SEARCH("АЗ",B2)&lt;&gt;0)),"Кредитор","Займодавец")))</f>
        <v>Займодавец</v>
      </c>
      <c r="M2" t="str">
        <f>IF(LEFT(B2,1)="В","МКК «ВЗАИМНО».", "Системы кредитования «ВЗАИМНО».")</f>
        <v>МКК «ВЗАИМНО».</v>
      </c>
      <c r="N2" t="str">
        <f>IF(interface!$A$18="да",". Предложение действует также при реструктуризации займа","")&amp;IF(J2&gt;1000,". Ваша выгода: "&amp;DOLLAR(J2,0)&amp;". "&amp;M2,". "&amp;M2)</f>
        <v>. Предложение действует также при реструктуризации займа. Ваша выгода: 80 611 ₽. МКК «ВЗАИМНО».</v>
      </c>
      <c r="O2" t="str">
        <f>IFERROR(VLOOKUP(LEFT(B2,10),[1]адреса!$B:$J,9,0),VLOOKUP(B2,[1]адреса!$B:$J,9,0))</f>
        <v>ОК</v>
      </c>
      <c r="P2" t="str">
        <f t="shared" ref="P2:P17" si="0">IF(Q2="",TRIM(действ2&amp;R2),TRIM(действ2&amp;Q2&amp;" и "&amp;R2))</f>
        <v>спишет 1/3 просроченных процентов и все пени</v>
      </c>
      <c r="Q2" t="str">
        <f>IF(VLOOKUP(B2,[2]акция!$B:$L,11,0)=4," 2/3 просроченных процентов",IF(VLOOKUP(B2,[2]акция!$B:$L,11,0)=3," 1/2 просроченных процентов",IF(VLOOKUP(B2,[2]акция!$B:$L,11,0)=2," 1/3 просроченных процентов",IF(VLOOKUP(B2,[2]акция!$B:$L,11,0)=1,"",interface!$P$5))))</f>
        <v xml:space="preserve"> 1/3 просроченных процентов</v>
      </c>
      <c r="R2" t="str">
        <f>IF(VLOOKUP(B2,[2]акция!$B:$N,13,0)="да"," все пени"," текущую неустойку")</f>
        <v xml:space="preserve"> все пени</v>
      </c>
      <c r="S2" t="str">
        <f>IFERROR(IF(VLOOKUP(MID(C2,2,3)+0,тесты!A:A,1,0),"мегафон"),"")</f>
        <v/>
      </c>
      <c r="T2" t="str">
        <f>IFERROR(IF(VLOOKUP(MID(R2,2,3)+0,тесты!P:P,1,0),"мегафон"),"")</f>
        <v/>
      </c>
      <c r="V2" t="str">
        <f>IFERROR(IF(VLOOKUP(MID(T2,2,3)+0,тесты!P:P,1,0),"мегафон"),"")</f>
        <v/>
      </c>
    </row>
    <row r="3" spans="1:22" ht="90" x14ac:dyDescent="0.25">
      <c r="A3" t="s">
        <v>315</v>
      </c>
      <c r="B3" t="s">
        <v>316</v>
      </c>
      <c r="C3">
        <f>IFERROR(IF(VLOOKUP(B3,'[1]тел(заем)'!$B:$F,5,0),VLOOKUP(B3,'[1]тел(заем)'!$B:$F,5,0),VLOOKUP(B3,'[1]тел(заем)'!$B:$D,3,0)),VLOOKUP(B3,'[1]тел(заем)'!$B:$F,5,0))</f>
        <v>79787200413</v>
      </c>
      <c r="D3" s="9" t="str">
        <f>IF(VLOOKUP(B3,[2]акция!$B:$L,11,0)=1,interface!$A$21,IF(VLOOKUP(B3,[2]акция!$B:$C,2,0)&gt;interface!$A$15,interface!$A$8,СМСшапка))&amp;F3&amp;", "&amp;СМС_до&amp;" "&amp;DOLLAR(K3,0)&amp;" по Договору "&amp;B3&amp;", а "&amp;L3&amp;" "&amp;P3&amp;N3</f>
        <v>СПИСАНИЕ ЧАСТИ ДОЛГА! Юлия, до 24.03.2023 (включительно), оплатите 72 788 ₽ по Договору В-25865/КЛ.Транш - 1, а Займодавец спишет 1/3 просроченных процентов и все пени. Предложение действует также при реструктуризации займа. Ваша выгода: 48 042 ₽. МКК «ВЗАИМНО».</v>
      </c>
      <c r="E3" t="str">
        <f t="shared" ref="E3:E17" si="1">RIGHT(A3,LEN(A3)-SEARCH(" ",A3))</f>
        <v>Юлия Александровна</v>
      </c>
      <c r="F3" t="str">
        <f t="shared" ref="F3:F17" si="2">IFERROR(MID(A3,FIND(" ",A3,1)+1,FIND(" ",A3,FIND(" ",A3,1)+1)-FIND(" ",A3,1)-1),RIGHT(A3,LEN(A3)-FIND(" ",A3)))</f>
        <v>Юлия</v>
      </c>
      <c r="G3" t="str">
        <f>IFERROR(VLOOKUP(LEFT(B3,10),'[1]тел(пор)'!$A:$C,3,0),"")</f>
        <v/>
      </c>
      <c r="H3" t="str">
        <f>IFERROR(VLOOKUP(LEFT(B3,10),'[1]тел(пор)'!$A:$B,2,0),"")</f>
        <v/>
      </c>
      <c r="I3" t="str">
        <f>IFERROR(IF(VLOOKUP(B3,оплата!A:A,1,0)&lt;&gt;1,"!Деньги!"),"")</f>
        <v/>
      </c>
      <c r="J3">
        <v>48042</v>
      </c>
      <c r="K3">
        <v>72788</v>
      </c>
      <c r="L3" t="str">
        <f t="shared" ref="L3:L17" si="3">IF(B3="","Заполни столбцы A и B",IF(NOT(ISERR(SEARCH("БЭ",B3)&lt;&gt;0)),"Кредитор",IF(NOT(ISERR(SEARCH("АЗ",B3)&lt;&gt;0)),"Кредитор","Займодавец")))</f>
        <v>Займодавец</v>
      </c>
      <c r="M3" t="str">
        <f t="shared" ref="M3:M17" si="4">IF(LEFT(B3,1)="В","МКК «ВЗАИМНО».", "Системы кредитования «ВЗАИМНО».")</f>
        <v>МКК «ВЗАИМНО».</v>
      </c>
      <c r="N3" t="str">
        <f>IF(interface!$A$18="да",". Предложение действует также при реструктуризации займа","")&amp;IF(J3&gt;1000,". Ваша выгода: "&amp;DOLLAR(J3,0)&amp;". "&amp;M3,". "&amp;M3)</f>
        <v>. Предложение действует также при реструктуризации займа. Ваша выгода: 48 042 ₽. МКК «ВЗАИМНО».</v>
      </c>
      <c r="O3" t="str">
        <f>IFERROR(VLOOKUP(LEFT(B3,10),[1]адреса!$B:$J,9,0),VLOOKUP(B3,[1]адреса!$B:$J,9,0))</f>
        <v>ОК</v>
      </c>
      <c r="P3" t="str">
        <f t="shared" si="0"/>
        <v>спишет 1/3 просроченных процентов и все пени</v>
      </c>
      <c r="Q3" t="str">
        <f>IF(VLOOKUP(B3,[2]акция!$B:$L,11,0)=4," 2/3 просроченных процентов",IF(VLOOKUP(B3,[2]акция!$B:$L,11,0)=3," 1/2 просроченных процентов",IF(VLOOKUP(B3,[2]акция!$B:$L,11,0)=2," 1/3 просроченных процентов",IF(VLOOKUP(B3,[2]акция!$B:$L,11,0)=1,"",interface!$P$5))))</f>
        <v xml:space="preserve"> 1/3 просроченных процентов</v>
      </c>
      <c r="R3" t="str">
        <f>IF(VLOOKUP(B3,[2]акция!$B:$N,13,0)="да"," все пени"," текущую неустойку")</f>
        <v xml:space="preserve"> все пени</v>
      </c>
      <c r="S3" t="str">
        <f>IFERROR(IF(VLOOKUP(MID(C3,2,3)+0,тесты!A:A,1,0),"мегафон"),"")</f>
        <v/>
      </c>
      <c r="T3" t="str">
        <f>IFERROR(IF(VLOOKUP(MID(R3,2,3)+0,тесты!P:P,1,0),"мегафон"),"")</f>
        <v/>
      </c>
      <c r="V3" t="str">
        <f>IFERROR(IF(VLOOKUP(MID(T3,2,3)+0,тесты!P:P,1,0),"мегафон"),"")</f>
        <v/>
      </c>
    </row>
    <row r="4" spans="1:22" ht="90" x14ac:dyDescent="0.25">
      <c r="A4" t="s">
        <v>318</v>
      </c>
      <c r="B4" t="s">
        <v>319</v>
      </c>
      <c r="C4">
        <f>IFERROR(IF(VLOOKUP(B4,'[1]тел(заем)'!$B:$F,5,0),VLOOKUP(B4,'[1]тел(заем)'!$B:$F,5,0),VLOOKUP(B4,'[1]тел(заем)'!$B:$D,3,0)),VLOOKUP(B4,'[1]тел(заем)'!$B:$F,5,0))</f>
        <v>79645796128</v>
      </c>
      <c r="D4" s="9" t="str">
        <f>IF(VLOOKUP(B4,[2]акция!$B:$L,11,0)=1,interface!$A$21,IF(VLOOKUP(B4,[2]акция!$B:$C,2,0)&gt;interface!$A$15,interface!$A$8,СМСшапка))&amp;F4&amp;", "&amp;СМС_до&amp;" "&amp;DOLLAR(K4,0)&amp;" по Договору "&amp;B4&amp;", а "&amp;L4&amp;" "&amp;P4&amp;N4</f>
        <v>СПИСАНИЕ ЧАСТИ ДОЛГА! Борис, до 24.03.2023 (включительно), оплатите 22 994 ₽ по Договору В-25824/КЛ.Транш - 1, а Займодавец спишет 1/3 просроченных процентов и все пени. Предложение действует также при реструктуризации займа. Ваша выгода: 16 316 ₽. МКК «ВЗАИМНО».</v>
      </c>
      <c r="E4" t="str">
        <f t="shared" si="1"/>
        <v>Борис Викторович</v>
      </c>
      <c r="F4" t="str">
        <f t="shared" si="2"/>
        <v>Борис</v>
      </c>
      <c r="G4" t="str">
        <f>IFERROR(VLOOKUP(LEFT(B4,10),'[1]тел(пор)'!$A:$C,3,0),"")</f>
        <v/>
      </c>
      <c r="H4" t="str">
        <f>IFERROR(VLOOKUP(LEFT(B4,10),'[1]тел(пор)'!$A:$B,2,0),"")</f>
        <v/>
      </c>
      <c r="I4" t="str">
        <f>IFERROR(IF(VLOOKUP(B4,оплата!A:A,1,0)&lt;&gt;1,"!Деньги!"),"")</f>
        <v/>
      </c>
      <c r="J4">
        <v>16316</v>
      </c>
      <c r="K4">
        <v>22994</v>
      </c>
      <c r="L4" t="str">
        <f t="shared" si="3"/>
        <v>Займодавец</v>
      </c>
      <c r="M4" t="str">
        <f t="shared" si="4"/>
        <v>МКК «ВЗАИМНО».</v>
      </c>
      <c r="N4" t="str">
        <f>IF(interface!$A$18="да",". Предложение действует также при реструктуризации займа","")&amp;IF(J4&gt;1000,". Ваша выгода: "&amp;DOLLAR(J4,0)&amp;". "&amp;M4,". "&amp;M4)</f>
        <v>. Предложение действует также при реструктуризации займа. Ваша выгода: 16 316 ₽. МКК «ВЗАИМНО».</v>
      </c>
      <c r="O4" t="str">
        <f>IFERROR(VLOOKUP(LEFT(B4,10),[1]адреса!$B:$J,9,0),VLOOKUP(B4,[1]адреса!$B:$J,9,0))</f>
        <v>ОК</v>
      </c>
      <c r="P4" t="str">
        <f t="shared" si="0"/>
        <v>спишет 1/3 просроченных процентов и все пени</v>
      </c>
      <c r="Q4" t="str">
        <f>IF(VLOOKUP(B4,[2]акция!$B:$L,11,0)=4," 2/3 просроченных процентов",IF(VLOOKUP(B4,[2]акция!$B:$L,11,0)=3," 1/2 просроченных процентов",IF(VLOOKUP(B4,[2]акция!$B:$L,11,0)=2," 1/3 просроченных процентов",IF(VLOOKUP(B4,[2]акция!$B:$L,11,0)=1,"",interface!$P$5))))</f>
        <v xml:space="preserve"> 1/3 просроченных процентов</v>
      </c>
      <c r="R4" t="str">
        <f>IF(VLOOKUP(B4,[2]акция!$B:$N,13,0)="да"," все пени"," текущую неустойку")</f>
        <v xml:space="preserve"> все пени</v>
      </c>
      <c r="S4" t="str">
        <f>IFERROR(IF(VLOOKUP(MID(C4,2,3)+0,тесты!A:A,1,0),"мегафон"),"")</f>
        <v/>
      </c>
      <c r="T4" t="str">
        <f>IFERROR(IF(VLOOKUP(MID(R4,2,3)+0,тесты!P:P,1,0),"мегафон"),"")</f>
        <v/>
      </c>
      <c r="V4" t="str">
        <f>IFERROR(IF(VLOOKUP(MID(T4,2,3)+0,тесты!P:P,1,0),"мегафон"),"")</f>
        <v/>
      </c>
    </row>
    <row r="5" spans="1:22" ht="90" x14ac:dyDescent="0.25">
      <c r="A5" t="s">
        <v>272</v>
      </c>
      <c r="B5" t="s">
        <v>273</v>
      </c>
      <c r="C5">
        <f>IFERROR(IF(VLOOKUP(B5,'[1]тел(заем)'!$B:$F,5,0),VLOOKUP(B5,'[1]тел(заем)'!$B:$F,5,0),VLOOKUP(B5,'[1]тел(заем)'!$B:$D,3,0)),VLOOKUP(B5,'[1]тел(заем)'!$B:$F,5,0))</f>
        <v>79013396636</v>
      </c>
      <c r="D5" s="9" t="str">
        <f>IF(VLOOKUP(B5,[2]акция!$B:$L,11,0)=1,interface!$A$21,IF(VLOOKUP(B5,[2]акция!$B:$C,2,0)&gt;interface!$A$15,interface!$A$8,СМСшапка))&amp;F5&amp;", "&amp;СМС_до&amp;" "&amp;DOLLAR(K5,0)&amp;" по Договору "&amp;B5&amp;", а "&amp;L5&amp;" "&amp;P5&amp;N5</f>
        <v>СПИСАНИЕ ЧАСТИ ДОЛГА! Сабир, до 24.03.2023 (включительно), оплатите 11 219 ₽ по Договору В-21137/КЛ.Транш - 1, а Займодавец спишет 1/3 просроченных процентов и все пени. Предложение действует также при реструктуризации займа. Ваша выгода: 4 436 ₽. МКК «ВЗАИМНО».</v>
      </c>
      <c r="E5" t="str">
        <f t="shared" si="1"/>
        <v>Сабир Вагифович</v>
      </c>
      <c r="F5" t="str">
        <f t="shared" si="2"/>
        <v>Сабир</v>
      </c>
      <c r="G5" t="str">
        <f>IFERROR(VLOOKUP(LEFT(B5,10),'[1]тел(пор)'!$A:$C,3,0),"")</f>
        <v/>
      </c>
      <c r="H5" t="str">
        <f>IFERROR(VLOOKUP(LEFT(B5,10),'[1]тел(пор)'!$A:$B,2,0),"")</f>
        <v/>
      </c>
      <c r="I5" t="str">
        <f>IFERROR(IF(VLOOKUP(B5,оплата!A:A,1,0)&lt;&gt;1,"!Деньги!"),"")</f>
        <v/>
      </c>
      <c r="J5">
        <v>4436</v>
      </c>
      <c r="K5">
        <v>11219</v>
      </c>
      <c r="L5" t="str">
        <f t="shared" si="3"/>
        <v>Займодавец</v>
      </c>
      <c r="M5" t="str">
        <f t="shared" si="4"/>
        <v>МКК «ВЗАИМНО».</v>
      </c>
      <c r="N5" t="str">
        <f>IF(interface!$A$18="да",". Предложение действует также при реструктуризации займа","")&amp;IF(J5&gt;1000,". Ваша выгода: "&amp;DOLLAR(J5,0)&amp;". "&amp;M5,". "&amp;M5)</f>
        <v>. Предложение действует также при реструктуризации займа. Ваша выгода: 4 436 ₽. МКК «ВЗАИМНО».</v>
      </c>
      <c r="O5" t="str">
        <f>IFERROR(VLOOKUP(LEFT(B5,10),[1]адреса!$B:$J,9,0),VLOOKUP(B5,[1]адреса!$B:$J,9,0))</f>
        <v>ОК</v>
      </c>
      <c r="P5" t="str">
        <f t="shared" si="0"/>
        <v>спишет 1/3 просроченных процентов и все пени</v>
      </c>
      <c r="Q5" t="str">
        <f>IF(VLOOKUP(B5,[2]акция!$B:$L,11,0)=4," 2/3 просроченных процентов",IF(VLOOKUP(B5,[2]акция!$B:$L,11,0)=3," 1/2 просроченных процентов",IF(VLOOKUP(B5,[2]акция!$B:$L,11,0)=2," 1/3 просроченных процентов",IF(VLOOKUP(B5,[2]акция!$B:$L,11,0)=1,"",interface!$P$5))))</f>
        <v xml:space="preserve"> 1/3 просроченных процентов</v>
      </c>
      <c r="R5" t="str">
        <f>IF(VLOOKUP(B5,[2]акция!$B:$N,13,0)="да"," все пени"," текущую неустойку")</f>
        <v xml:space="preserve"> все пени</v>
      </c>
      <c r="S5" t="str">
        <f>IFERROR(IF(VLOOKUP(MID(C5,2,3)+0,тесты!A:A,1,0),"мегафон"),"")</f>
        <v/>
      </c>
      <c r="T5" t="str">
        <f>IFERROR(IF(VLOOKUP(MID(R5,2,3)+0,тесты!P:P,1,0),"мегафон"),"")</f>
        <v/>
      </c>
      <c r="V5" t="str">
        <f>IFERROR(IF(VLOOKUP(MID(T5,2,3)+0,тесты!P:P,1,0),"мегафон"),"")</f>
        <v/>
      </c>
    </row>
    <row r="6" spans="1:22" ht="90" x14ac:dyDescent="0.25">
      <c r="A6" t="s">
        <v>276</v>
      </c>
      <c r="B6" t="s">
        <v>277</v>
      </c>
      <c r="C6">
        <f>IFERROR(IF(VLOOKUP(B6,'[1]тел(заем)'!$B:$F,5,0),VLOOKUP(B6,'[1]тел(заем)'!$B:$F,5,0),VLOOKUP(B6,'[1]тел(заем)'!$B:$D,3,0)),VLOOKUP(B6,'[1]тел(заем)'!$B:$F,5,0))</f>
        <v>79685908978</v>
      </c>
      <c r="D6" s="9" t="str">
        <f>IF(VLOOKUP(B6,[2]акция!$B:$L,11,0)=1,interface!$A$21,IF(VLOOKUP(B6,[2]акция!$B:$C,2,0)&gt;interface!$A$15,interface!$A$8,СМСшапка))&amp;F6&amp;", "&amp;СМС_до&amp;" "&amp;DOLLAR(K6,0)&amp;" по Договору "&amp;B6&amp;", а "&amp;L6&amp;" "&amp;P6&amp;N6</f>
        <v>СПИСАНИЕ ЧАСТИ ДОЛГА! Шаул, до 24.03.2023 (включительно), оплатите 18 159 ₽ по Договору В-06345/КЛ.Транш - 1, а Займодавец спишет 1/3 просроченных процентов и все пени. Предложение действует также при реструктуризации займа. Ваша выгода: 6 863 ₽. МКК «ВЗАИМНО».</v>
      </c>
      <c r="E6" t="str">
        <f t="shared" si="1"/>
        <v>Шаул Рамбомович</v>
      </c>
      <c r="F6" t="str">
        <f t="shared" si="2"/>
        <v>Шаул</v>
      </c>
      <c r="G6" t="str">
        <f>IFERROR(VLOOKUP(LEFT(B6,10),'[1]тел(пор)'!$A:$C,3,0),"")</f>
        <v/>
      </c>
      <c r="H6" t="str">
        <f>IFERROR(VLOOKUP(LEFT(B6,10),'[1]тел(пор)'!$A:$B,2,0),"")</f>
        <v/>
      </c>
      <c r="I6" t="str">
        <f>IFERROR(IF(VLOOKUP(B6,оплата!A:A,1,0)&lt;&gt;1,"!Деньги!"),"")</f>
        <v/>
      </c>
      <c r="J6">
        <v>6863</v>
      </c>
      <c r="K6">
        <v>18159</v>
      </c>
      <c r="L6" t="str">
        <f t="shared" si="3"/>
        <v>Займодавец</v>
      </c>
      <c r="M6" t="str">
        <f t="shared" si="4"/>
        <v>МКК «ВЗАИМНО».</v>
      </c>
      <c r="N6" t="str">
        <f>IF(interface!$A$18="да",". Предложение действует также при реструктуризации займа","")&amp;IF(J6&gt;1000,". Ваша выгода: "&amp;DOLLAR(J6,0)&amp;". "&amp;M6,". "&amp;M6)</f>
        <v>. Предложение действует также при реструктуризации займа. Ваша выгода: 6 863 ₽. МКК «ВЗАИМНО».</v>
      </c>
      <c r="O6" t="str">
        <f>IFERROR(VLOOKUP(LEFT(B6,10),[1]адреса!$B:$J,9,0),VLOOKUP(B6,[1]адреса!$B:$J,9,0))</f>
        <v>ОК</v>
      </c>
      <c r="P6" t="str">
        <f t="shared" si="0"/>
        <v>спишет 1/3 просроченных процентов и все пени</v>
      </c>
      <c r="Q6" t="str">
        <f>IF(VLOOKUP(B6,[2]акция!$B:$L,11,0)=4," 2/3 просроченных процентов",IF(VLOOKUP(B6,[2]акция!$B:$L,11,0)=3," 1/2 просроченных процентов",IF(VLOOKUP(B6,[2]акция!$B:$L,11,0)=2," 1/3 просроченных процентов",IF(VLOOKUP(B6,[2]акция!$B:$L,11,0)=1,"",interface!$P$5))))</f>
        <v xml:space="preserve"> 1/3 просроченных процентов</v>
      </c>
      <c r="R6" t="str">
        <f>IF(VLOOKUP(B6,[2]акция!$B:$N,13,0)="да"," все пени"," текущую неустойку")</f>
        <v xml:space="preserve"> все пени</v>
      </c>
      <c r="S6" t="str">
        <f>IFERROR(IF(VLOOKUP(MID(C6,2,3)+0,тесты!A:A,1,0),"мегафон"),"")</f>
        <v/>
      </c>
      <c r="T6" t="str">
        <f>IFERROR(IF(VLOOKUP(MID(R6,2,3)+0,тесты!P:P,1,0),"мегафон"),"")</f>
        <v/>
      </c>
      <c r="V6" t="str">
        <f>IFERROR(IF(VLOOKUP(MID(T6,2,3)+0,тесты!P:P,1,0),"мегафон"),"")</f>
        <v/>
      </c>
    </row>
    <row r="7" spans="1:22" ht="90" x14ac:dyDescent="0.25">
      <c r="A7" t="s">
        <v>289</v>
      </c>
      <c r="B7" t="s">
        <v>290</v>
      </c>
      <c r="C7">
        <f>IFERROR(IF(VLOOKUP(B7,'[1]тел(заем)'!$B:$F,5,0),VLOOKUP(B7,'[1]тел(заем)'!$B:$F,5,0),VLOOKUP(B7,'[1]тел(заем)'!$B:$D,3,0)),VLOOKUP(B7,'[1]тел(заем)'!$B:$F,5,0))</f>
        <v>79270689752</v>
      </c>
      <c r="D7" s="9" t="str">
        <f>IF(VLOOKUP(B7,[2]акция!$B:$L,11,0)=1,interface!$A$21,IF(VLOOKUP(B7,[2]акция!$B:$C,2,0)&gt;interface!$A$15,interface!$A$8,СМСшапка))&amp;F7&amp;", "&amp;СМС_до&amp;" "&amp;DOLLAR(K7,0)&amp;" по Договору "&amp;B7&amp;", а "&amp;L7&amp;" "&amp;P7&amp;N7</f>
        <v>СПИСАНИЕ ЧАСТИ ДОЛГА! Роман, до 24.03.2023 (включительно), оплатите 35 738 ₽ по Договору В-12943/КЛ.Транш - 1, а Займодавец спишет 1/3 просроченных процентов и все пени. Предложение действует также при реструктуризации займа. Ваша выгода: 13 109 ₽. МКК «ВЗАИМНО».</v>
      </c>
      <c r="E7" t="str">
        <f t="shared" si="1"/>
        <v>Роман Вячеславович</v>
      </c>
      <c r="F7" t="str">
        <f t="shared" si="2"/>
        <v>Роман</v>
      </c>
      <c r="G7" t="str">
        <f>IFERROR(VLOOKUP(LEFT(B7,10),'[1]тел(пор)'!$A:$C,3,0),"")</f>
        <v/>
      </c>
      <c r="H7" t="str">
        <f>IFERROR(VLOOKUP(LEFT(B7,10),'[1]тел(пор)'!$A:$B,2,0),"")</f>
        <v/>
      </c>
      <c r="I7" t="str">
        <f>IFERROR(IF(VLOOKUP(B7,оплата!A:A,1,0)&lt;&gt;1,"!Деньги!"),"")</f>
        <v/>
      </c>
      <c r="J7">
        <v>13109</v>
      </c>
      <c r="K7">
        <v>35738</v>
      </c>
      <c r="L7" t="str">
        <f t="shared" si="3"/>
        <v>Займодавец</v>
      </c>
      <c r="M7" t="str">
        <f t="shared" si="4"/>
        <v>МКК «ВЗАИМНО».</v>
      </c>
      <c r="N7" t="str">
        <f>IF(interface!$A$18="да",". Предложение действует также при реструктуризации займа","")&amp;IF(J7&gt;1000,". Ваша выгода: "&amp;DOLLAR(J7,0)&amp;". "&amp;M7,". "&amp;M7)</f>
        <v>. Предложение действует также при реструктуризации займа. Ваша выгода: 13 109 ₽. МКК «ВЗАИМНО».</v>
      </c>
      <c r="O7" t="str">
        <f>IFERROR(VLOOKUP(LEFT(B7,10),[1]адреса!$B:$J,9,0),VLOOKUP(B7,[1]адреса!$B:$J,9,0))</f>
        <v>ОК</v>
      </c>
      <c r="P7" t="str">
        <f t="shared" si="0"/>
        <v>спишет 1/3 просроченных процентов и все пени</v>
      </c>
      <c r="Q7" t="str">
        <f>IF(VLOOKUP(B7,[2]акция!$B:$L,11,0)=4," 2/3 просроченных процентов",IF(VLOOKUP(B7,[2]акция!$B:$L,11,0)=3," 1/2 просроченных процентов",IF(VLOOKUP(B7,[2]акция!$B:$L,11,0)=2," 1/3 просроченных процентов",IF(VLOOKUP(B7,[2]акция!$B:$L,11,0)=1,"",interface!$P$5))))</f>
        <v xml:space="preserve"> 1/3 просроченных процентов</v>
      </c>
      <c r="R7" t="str">
        <f>IF(VLOOKUP(B7,[2]акция!$B:$N,13,0)="да"," все пени"," текущую неустойку")</f>
        <v xml:space="preserve"> все пени</v>
      </c>
      <c r="S7" t="str">
        <f>IFERROR(IF(VLOOKUP(MID(C7,2,3)+0,тесты!A:A,1,0),"мегафон"),"")</f>
        <v>мегафон</v>
      </c>
      <c r="T7" t="str">
        <f>IFERROR(IF(VLOOKUP(MID(R7,2,3)+0,тесты!P:P,1,0),"мегафон"),"")</f>
        <v/>
      </c>
      <c r="V7" t="str">
        <f>IFERROR(IF(VLOOKUP(MID(T7,2,3)+0,тесты!P:P,1,0),"мегафон"),"")</f>
        <v/>
      </c>
    </row>
    <row r="8" spans="1:22" ht="90" x14ac:dyDescent="0.25">
      <c r="A8" t="s">
        <v>382</v>
      </c>
      <c r="B8" t="s">
        <v>383</v>
      </c>
      <c r="C8">
        <f>IFERROR(IF(VLOOKUP(B8,'[1]тел(заем)'!$B:$F,5,0),VLOOKUP(B8,'[1]тел(заем)'!$B:$F,5,0),VLOOKUP(B8,'[1]тел(заем)'!$B:$D,3,0)),VLOOKUP(B8,'[1]тел(заем)'!$B:$F,5,0))</f>
        <v>79069003891</v>
      </c>
      <c r="D8" s="9" t="str">
        <f>IF(VLOOKUP(B8,[2]акция!$B:$L,11,0)=1,interface!$A$21,IF(VLOOKUP(B8,[2]акция!$B:$C,2,0)&gt;interface!$A$15,interface!$A$8,СМСшапка))&amp;F8&amp;", "&amp;СМС_до&amp;" "&amp;DOLLAR(K8,0)&amp;" по Договору "&amp;B8&amp;", а "&amp;L8&amp;" "&amp;P8&amp;N8</f>
        <v>СПИСАНИЕ ЧАСТИ ДОЛГА! Андрей, до 24.03.2023 (включительно), оплатите 29 506 ₽ по Договору В-24247/КЛ.Транш - 1, а Займодавец спишет 1/3 просроченных процентов и все пени. Предложение действует также при реструктуризации займа. Ваша выгода: 19 368 ₽. МКК «ВЗАИМНО».</v>
      </c>
      <c r="E8" t="str">
        <f t="shared" si="1"/>
        <v>Андрей Викторович</v>
      </c>
      <c r="F8" t="str">
        <f t="shared" si="2"/>
        <v>Андрей</v>
      </c>
      <c r="G8" t="str">
        <f>IFERROR(VLOOKUP(LEFT(B8,10),'[1]тел(пор)'!$A:$C,3,0),"")</f>
        <v/>
      </c>
      <c r="H8" t="str">
        <f>IFERROR(VLOOKUP(LEFT(B8,10),'[1]тел(пор)'!$A:$B,2,0),"")</f>
        <v/>
      </c>
      <c r="I8" t="str">
        <f>IFERROR(IF(VLOOKUP(B8,оплата!A:A,1,0)&lt;&gt;1,"!Деньги!"),"")</f>
        <v/>
      </c>
      <c r="J8">
        <v>19368</v>
      </c>
      <c r="K8">
        <v>29506</v>
      </c>
      <c r="L8" t="str">
        <f t="shared" si="3"/>
        <v>Займодавец</v>
      </c>
      <c r="M8" t="str">
        <f t="shared" si="4"/>
        <v>МКК «ВЗАИМНО».</v>
      </c>
      <c r="N8" t="str">
        <f>IF(interface!$A$18="да",". Предложение действует также при реструктуризации займа","")&amp;IF(J8&gt;1000,". Ваша выгода: "&amp;DOLLAR(J8,0)&amp;". "&amp;M8,". "&amp;M8)</f>
        <v>. Предложение действует также при реструктуризации займа. Ваша выгода: 19 368 ₽. МКК «ВЗАИМНО».</v>
      </c>
      <c r="O8" t="str">
        <f>IFERROR(VLOOKUP(LEFT(B8,10),[1]адреса!$B:$J,9,0),VLOOKUP(B8,[1]адреса!$B:$J,9,0))</f>
        <v>ОК</v>
      </c>
      <c r="P8" t="str">
        <f t="shared" si="0"/>
        <v>спишет 1/3 просроченных процентов и все пени</v>
      </c>
      <c r="Q8" t="str">
        <f>IF(VLOOKUP(B8,[2]акция!$B:$L,11,0)=4," 2/3 просроченных процентов",IF(VLOOKUP(B8,[2]акция!$B:$L,11,0)=3," 1/2 просроченных процентов",IF(VLOOKUP(B8,[2]акция!$B:$L,11,0)=2," 1/3 просроченных процентов",IF(VLOOKUP(B8,[2]акция!$B:$L,11,0)=1,"",interface!$P$5))))</f>
        <v xml:space="preserve"> 1/3 просроченных процентов</v>
      </c>
      <c r="R8" t="str">
        <f>IF(VLOOKUP(B8,[2]акция!$B:$N,13,0)="да"," все пени"," текущую неустойку")</f>
        <v xml:space="preserve"> все пени</v>
      </c>
      <c r="S8" t="str">
        <f>IFERROR(IF(VLOOKUP(MID(C8,2,3)+0,тесты!A:A,1,0),"мегафон"),"")</f>
        <v/>
      </c>
      <c r="T8" t="str">
        <f>IFERROR(IF(VLOOKUP(MID(R8,2,3)+0,тесты!P:P,1,0),"мегафон"),"")</f>
        <v/>
      </c>
      <c r="V8" t="str">
        <f>IFERROR(IF(VLOOKUP(MID(T8,2,3)+0,тесты!P:P,1,0),"мегафон"),"")</f>
        <v/>
      </c>
    </row>
    <row r="9" spans="1:22" ht="90" x14ac:dyDescent="0.25">
      <c r="A9" t="s">
        <v>384</v>
      </c>
      <c r="B9" t="s">
        <v>385</v>
      </c>
      <c r="C9">
        <f>IFERROR(IF(VLOOKUP(B9,'[1]тел(заем)'!$B:$F,5,0),VLOOKUP(B9,'[1]тел(заем)'!$B:$F,5,0),VLOOKUP(B9,'[1]тел(заем)'!$B:$D,3,0)),VLOOKUP(B9,'[1]тел(заем)'!$B:$F,5,0))</f>
        <v>79185881804</v>
      </c>
      <c r="D9" s="9" t="str">
        <f>IF(VLOOKUP(B9,[2]акция!$B:$L,11,0)=1,interface!$A$21,IF(VLOOKUP(B9,[2]акция!$B:$C,2,0)&gt;interface!$A$15,interface!$A$8,СМСшапка))&amp;F9&amp;", "&amp;СМС_до&amp;" "&amp;DOLLAR(K9,0)&amp;" по Договору "&amp;B9&amp;", а "&amp;L9&amp;" "&amp;P9&amp;N9</f>
        <v>СПИСАНИЕ ЧАСТИ ДОЛГА! Георгий, до 24.03.2023 (включительно), оплатите 43 853 ₽ по Договору В-28436/АЗ, а Кредитор спишет 1/3 просроченных процентов и все пени. Предложение действует также при реструктуризации займа. Ваша выгода: 19 305 ₽. МКК «ВЗАИМНО».</v>
      </c>
      <c r="E9" t="str">
        <f t="shared" si="1"/>
        <v>Георгий Михайлович</v>
      </c>
      <c r="F9" t="str">
        <f t="shared" si="2"/>
        <v>Георгий</v>
      </c>
      <c r="G9" t="str">
        <f>IFERROR(VLOOKUP(LEFT(B9,10),'[1]тел(пор)'!$A:$C,3,0),"")</f>
        <v/>
      </c>
      <c r="H9" t="str">
        <f>IFERROR(VLOOKUP(LEFT(B9,10),'[1]тел(пор)'!$A:$B,2,0),"")</f>
        <v/>
      </c>
      <c r="I9" t="str">
        <f>IFERROR(IF(VLOOKUP(B9,оплата!A:A,1,0)&lt;&gt;1,"!Деньги!"),"")</f>
        <v/>
      </c>
      <c r="J9">
        <v>19305</v>
      </c>
      <c r="K9">
        <v>43853</v>
      </c>
      <c r="L9" t="str">
        <f t="shared" si="3"/>
        <v>Кредитор</v>
      </c>
      <c r="M9" t="str">
        <f t="shared" si="4"/>
        <v>МКК «ВЗАИМНО».</v>
      </c>
      <c r="N9" t="str">
        <f>IF(interface!$A$18="да",". Предложение действует также при реструктуризации займа","")&amp;IF(J9&gt;1000,". Ваша выгода: "&amp;DOLLAR(J9,0)&amp;". "&amp;M9,". "&amp;M9)</f>
        <v>. Предложение действует также при реструктуризации займа. Ваша выгода: 19 305 ₽. МКК «ВЗАИМНО».</v>
      </c>
      <c r="O9" t="str">
        <f>IFERROR(VLOOKUP(LEFT(B9,10),[1]адреса!$B:$J,9,0),VLOOKUP(B9,[1]адреса!$B:$J,9,0))</f>
        <v>ОК</v>
      </c>
      <c r="P9" t="str">
        <f t="shared" si="0"/>
        <v>спишет 1/3 просроченных процентов и все пени</v>
      </c>
      <c r="Q9" t="str">
        <f>IF(VLOOKUP(B9,[2]акция!$B:$L,11,0)=4," 2/3 просроченных процентов",IF(VLOOKUP(B9,[2]акция!$B:$L,11,0)=3," 1/2 просроченных процентов",IF(VLOOKUP(B9,[2]акция!$B:$L,11,0)=2," 1/3 просроченных процентов",IF(VLOOKUP(B9,[2]акция!$B:$L,11,0)=1,"",interface!$P$5))))</f>
        <v xml:space="preserve"> 1/3 просроченных процентов</v>
      </c>
      <c r="R9" t="str">
        <f>IF(VLOOKUP(B9,[2]акция!$B:$N,13,0)="да"," все пени"," текущую неустойку")</f>
        <v xml:space="preserve"> все пени</v>
      </c>
      <c r="S9" t="str">
        <f>IFERROR(IF(VLOOKUP(MID(C9,2,3)+0,тесты!A:A,1,0),"мегафон"),"")</f>
        <v/>
      </c>
      <c r="T9" t="str">
        <f>IFERROR(IF(VLOOKUP(MID(R9,2,3)+0,тесты!P:P,1,0),"мегафон"),"")</f>
        <v/>
      </c>
      <c r="V9" t="str">
        <f>IFERROR(IF(VLOOKUP(MID(T9,2,3)+0,тесты!P:P,1,0),"мегафон"),"")</f>
        <v/>
      </c>
    </row>
    <row r="10" spans="1:22" ht="90" x14ac:dyDescent="0.25">
      <c r="A10" t="s">
        <v>386</v>
      </c>
      <c r="B10" t="s">
        <v>387</v>
      </c>
      <c r="C10">
        <f>IFERROR(IF(VLOOKUP(B10,'[1]тел(заем)'!$B:$F,5,0),VLOOKUP(B10,'[1]тел(заем)'!$B:$F,5,0),VLOOKUP(B10,'[1]тел(заем)'!$B:$D,3,0)),VLOOKUP(B10,'[1]тел(заем)'!$B:$F,5,0))</f>
        <v>79229271317</v>
      </c>
      <c r="D10" s="9" t="str">
        <f>IF(VLOOKUP(B10,[2]акция!$B:$L,11,0)=1,interface!$A$21,IF(VLOOKUP(B10,[2]акция!$B:$C,2,0)&gt;interface!$A$15,interface!$A$8,СМСшапка))&amp;F10&amp;", "&amp;СМС_до&amp;" "&amp;DOLLAR(K10,0)&amp;" по Договору "&amp;B10&amp;", а "&amp;L10&amp;" "&amp;P10&amp;N10</f>
        <v>СПИСАНИЕ ЧАСТИ ДОЛГА! Денис, до 24.03.2023 (включительно), оплатите 44 646 ₽ по Договору В-25052/КЛ.Транш - 1, а Займодавец спишет 1/3 просроченных процентов и все пени. Предложение действует также при реструктуризации займа. Ваша выгода: 39 566 ₽. МКК «ВЗАИМНО».</v>
      </c>
      <c r="E10" t="str">
        <f t="shared" si="1"/>
        <v>Денис Сергеевич</v>
      </c>
      <c r="F10" t="str">
        <f t="shared" si="2"/>
        <v>Денис</v>
      </c>
      <c r="G10" t="str">
        <f>IFERROR(VLOOKUP(LEFT(B10,10),'[1]тел(пор)'!$A:$C,3,0),"")</f>
        <v/>
      </c>
      <c r="H10" t="str">
        <f>IFERROR(VLOOKUP(LEFT(B10,10),'[1]тел(пор)'!$A:$B,2,0),"")</f>
        <v/>
      </c>
      <c r="I10" t="str">
        <f>IFERROR(IF(VLOOKUP(B10,оплата!A:A,1,0)&lt;&gt;1,"!Деньги!"),"")</f>
        <v/>
      </c>
      <c r="J10">
        <v>39566</v>
      </c>
      <c r="K10">
        <v>44646</v>
      </c>
      <c r="L10" t="str">
        <f t="shared" si="3"/>
        <v>Займодавец</v>
      </c>
      <c r="M10" t="str">
        <f t="shared" si="4"/>
        <v>МКК «ВЗАИМНО».</v>
      </c>
      <c r="N10" t="str">
        <f>IF(interface!$A$18="да",". Предложение действует также при реструктуризации займа","")&amp;IF(J10&gt;1000,". Ваша выгода: "&amp;DOLLAR(J10,0)&amp;". "&amp;M10,". "&amp;M10)</f>
        <v>. Предложение действует также при реструктуризации займа. Ваша выгода: 39 566 ₽. МКК «ВЗАИМНО».</v>
      </c>
      <c r="O10" t="str">
        <f>IFERROR(VLOOKUP(LEFT(B10,10),[1]адреса!$B:$J,9,0),VLOOKUP(B10,[1]адреса!$B:$J,9,0))</f>
        <v>ОК</v>
      </c>
      <c r="P10" t="str">
        <f t="shared" si="0"/>
        <v>спишет 1/3 просроченных процентов и все пени</v>
      </c>
      <c r="Q10" t="str">
        <f>IF(VLOOKUP(B10,[2]акция!$B:$L,11,0)=4," 2/3 просроченных процентов",IF(VLOOKUP(B10,[2]акция!$B:$L,11,0)=3," 1/2 просроченных процентов",IF(VLOOKUP(B10,[2]акция!$B:$L,11,0)=2," 1/3 просроченных процентов",IF(VLOOKUP(B10,[2]акция!$B:$L,11,0)=1,"",interface!$P$5))))</f>
        <v xml:space="preserve"> 1/3 просроченных процентов</v>
      </c>
      <c r="R10" t="str">
        <f>IF(VLOOKUP(B10,[2]акция!$B:$N,13,0)="да"," все пени"," текущую неустойку")</f>
        <v xml:space="preserve"> все пени</v>
      </c>
      <c r="S10" t="str">
        <f>IFERROR(IF(VLOOKUP(MID(C10,2,3)+0,тесты!A:A,1,0),"мегафон"),"")</f>
        <v>мегафон</v>
      </c>
      <c r="T10" t="str">
        <f>IFERROR(IF(VLOOKUP(MID(R10,2,3)+0,тесты!P:P,1,0),"мегафон"),"")</f>
        <v/>
      </c>
      <c r="V10" t="str">
        <f>IFERROR(IF(VLOOKUP(MID(T10,2,3)+0,тесты!P:P,1,0),"мегафон"),"")</f>
        <v/>
      </c>
    </row>
    <row r="11" spans="1:22" ht="90" x14ac:dyDescent="0.25">
      <c r="A11" t="s">
        <v>388</v>
      </c>
      <c r="B11" t="s">
        <v>389</v>
      </c>
      <c r="C11">
        <f>IFERROR(IF(VLOOKUP(B11,'[1]тел(заем)'!$B:$F,5,0),VLOOKUP(B11,'[1]тел(заем)'!$B:$F,5,0),VLOOKUP(B11,'[1]тел(заем)'!$B:$D,3,0)),VLOOKUP(B11,'[1]тел(заем)'!$B:$F,5,0))</f>
        <v>79104212400</v>
      </c>
      <c r="D11" s="9" t="str">
        <f>IF(VLOOKUP(B11,[2]акция!$B:$L,11,0)=1,interface!$A$21,IF(VLOOKUP(B11,[2]акция!$B:$C,2,0)&gt;interface!$A$15,interface!$A$8,СМСшапка))&amp;F11&amp;", "&amp;СМС_до&amp;" "&amp;DOLLAR(K11,0)&amp;" по Договору "&amp;B11&amp;", а "&amp;L11&amp;" "&amp;P11&amp;N11</f>
        <v>СПИСАНИЕ ЧАСТИ ДОЛГА! Михаил, до 24.03.2023 (включительно), оплатите 53 578 ₽ по Договору В-21973/КЛ.Транш - 1, а Займодавец спишет 1/3 просроченных процентов и все пени. Предложение действует также при реструктуризации займа. Ваша выгода: 27 887 ₽. МКК «ВЗАИМНО».</v>
      </c>
      <c r="E11" t="str">
        <f t="shared" si="1"/>
        <v>Михаил Герасимович</v>
      </c>
      <c r="F11" t="str">
        <f t="shared" si="2"/>
        <v>Михаил</v>
      </c>
      <c r="G11">
        <f>IFERROR(VLOOKUP(LEFT(B11,10),'[1]тел(пор)'!$A:$C,3,0),"")</f>
        <v>79260483639</v>
      </c>
      <c r="H11" t="str">
        <f>IFERROR(VLOOKUP(LEFT(B11,10),'[1]тел(пор)'!$A:$B,2,0),"")</f>
        <v>Аракелян Мартин Михайлович</v>
      </c>
      <c r="I11" t="str">
        <f>IFERROR(IF(VLOOKUP(B11,оплата!A:A,1,0)&lt;&gt;1,"!Деньги!"),"")</f>
        <v/>
      </c>
      <c r="J11">
        <v>27887</v>
      </c>
      <c r="K11">
        <v>53578</v>
      </c>
      <c r="L11" t="str">
        <f t="shared" si="3"/>
        <v>Займодавец</v>
      </c>
      <c r="M11" t="str">
        <f t="shared" si="4"/>
        <v>МКК «ВЗАИМНО».</v>
      </c>
      <c r="N11" t="str">
        <f>IF(interface!$A$18="да",". Предложение действует также при реструктуризации займа","")&amp;IF(J11&gt;1000,". Ваша выгода: "&amp;DOLLAR(J11,0)&amp;". "&amp;M11,". "&amp;M11)</f>
        <v>. Предложение действует также при реструктуризации займа. Ваша выгода: 27 887 ₽. МКК «ВЗАИМНО».</v>
      </c>
      <c r="O11" t="str">
        <f>IFERROR(VLOOKUP(LEFT(B11,10),[1]адреса!$B:$J,9,0),VLOOKUP(B11,[1]адреса!$B:$J,9,0))</f>
        <v>ОК</v>
      </c>
      <c r="P11" t="str">
        <f t="shared" si="0"/>
        <v>спишет 1/3 просроченных процентов и все пени</v>
      </c>
      <c r="Q11" t="str">
        <f>IF(VLOOKUP(B11,[2]акция!$B:$L,11,0)=4," 2/3 просроченных процентов",IF(VLOOKUP(B11,[2]акция!$B:$L,11,0)=3," 1/2 просроченных процентов",IF(VLOOKUP(B11,[2]акция!$B:$L,11,0)=2," 1/3 просроченных процентов",IF(VLOOKUP(B11,[2]акция!$B:$L,11,0)=1,"",interface!$P$5))))</f>
        <v xml:space="preserve"> 1/3 просроченных процентов</v>
      </c>
      <c r="R11" t="str">
        <f>IF(VLOOKUP(B11,[2]акция!$B:$N,13,0)="да"," все пени"," текущую неустойку")</f>
        <v xml:space="preserve"> все пени</v>
      </c>
      <c r="S11" t="str">
        <f>IFERROR(IF(VLOOKUP(MID(C11,2,3)+0,тесты!A:A,1,0),"мегафон"),"")</f>
        <v/>
      </c>
      <c r="T11" t="str">
        <f>IFERROR(IF(VLOOKUP(MID(R11,2,3)+0,тесты!P:P,1,0),"мегафон"),"")</f>
        <v/>
      </c>
      <c r="V11" t="str">
        <f>IFERROR(IF(VLOOKUP(MID(T11,2,3)+0,тесты!P:P,1,0),"мегафон"),"")</f>
        <v/>
      </c>
    </row>
    <row r="12" spans="1:22" ht="90" x14ac:dyDescent="0.25">
      <c r="A12" t="s">
        <v>390</v>
      </c>
      <c r="B12" t="s">
        <v>391</v>
      </c>
      <c r="C12">
        <f>IFERROR(IF(VLOOKUP(B12,'[1]тел(заем)'!$B:$F,5,0),VLOOKUP(B12,'[1]тел(заем)'!$B:$F,5,0),VLOOKUP(B12,'[1]тел(заем)'!$B:$D,3,0)),VLOOKUP(B12,'[1]тел(заем)'!$B:$F,5,0))</f>
        <v>79096806806</v>
      </c>
      <c r="D12" s="9" t="str">
        <f>IF(VLOOKUP(B12,[2]акция!$B:$L,11,0)=1,interface!$A$21,IF(VLOOKUP(B12,[2]акция!$B:$C,2,0)&gt;interface!$A$15,interface!$A$8,СМСшапка))&amp;F12&amp;", "&amp;СМС_до&amp;" "&amp;DOLLAR(K12,0)&amp;" по Договору "&amp;B12&amp;", а "&amp;L12&amp;" "&amp;P12&amp;N12</f>
        <v>СПИСАНИЕ ЧАСТИ ДОЛГА! Ольга, до 24.03.2023 (включительно), оплатите 27 562 ₽ по Договору В-27049/АЗ, а Кредитор спишет 1/3 просроченных процентов и все пени. Предложение действует также при реструктуризации займа. Ваша выгода: 11 261 ₽. МКК «ВЗАИМНО».</v>
      </c>
      <c r="E12" t="str">
        <f t="shared" si="1"/>
        <v>Ольга Игоревна</v>
      </c>
      <c r="F12" t="str">
        <f t="shared" si="2"/>
        <v>Ольга</v>
      </c>
      <c r="G12" t="str">
        <f>IFERROR(VLOOKUP(LEFT(B12,10),'[1]тел(пор)'!$A:$C,3,0),"")</f>
        <v/>
      </c>
      <c r="H12" t="str">
        <f>IFERROR(VLOOKUP(LEFT(B12,10),'[1]тел(пор)'!$A:$B,2,0),"")</f>
        <v/>
      </c>
      <c r="I12" t="str">
        <f>IFERROR(IF(VLOOKUP(B12,оплата!A:A,1,0)&lt;&gt;1,"!Деньги!"),"")</f>
        <v/>
      </c>
      <c r="J12">
        <v>11261</v>
      </c>
      <c r="K12">
        <v>27562</v>
      </c>
      <c r="L12" t="str">
        <f t="shared" si="3"/>
        <v>Кредитор</v>
      </c>
      <c r="M12" t="str">
        <f t="shared" si="4"/>
        <v>МКК «ВЗАИМНО».</v>
      </c>
      <c r="N12" t="str">
        <f>IF(interface!$A$18="да",". Предложение действует также при реструктуризации займа","")&amp;IF(J12&gt;1000,". Ваша выгода: "&amp;DOLLAR(J12,0)&amp;". "&amp;M12,". "&amp;M12)</f>
        <v>. Предложение действует также при реструктуризации займа. Ваша выгода: 11 261 ₽. МКК «ВЗАИМНО».</v>
      </c>
      <c r="O12" t="str">
        <f>IFERROR(VLOOKUP(LEFT(B12,10),[1]адреса!$B:$J,9,0),VLOOKUP(B12,[1]адреса!$B:$J,9,0))</f>
        <v>ОК</v>
      </c>
      <c r="P12" t="str">
        <f t="shared" si="0"/>
        <v>спишет 1/3 просроченных процентов и все пени</v>
      </c>
      <c r="Q12" t="str">
        <f>IF(VLOOKUP(B12,[2]акция!$B:$L,11,0)=4," 2/3 просроченных процентов",IF(VLOOKUP(B12,[2]акция!$B:$L,11,0)=3," 1/2 просроченных процентов",IF(VLOOKUP(B12,[2]акция!$B:$L,11,0)=2," 1/3 просроченных процентов",IF(VLOOKUP(B12,[2]акция!$B:$L,11,0)=1,"",interface!$P$5))))</f>
        <v xml:space="preserve"> 1/3 просроченных процентов</v>
      </c>
      <c r="R12" t="str">
        <f>IF(VLOOKUP(B12,[2]акция!$B:$N,13,0)="да"," все пени"," текущую неустойку")</f>
        <v xml:space="preserve"> все пени</v>
      </c>
      <c r="S12" t="str">
        <f>IFERROR(IF(VLOOKUP(MID(C12,2,3)+0,тесты!A:A,1,0),"мегафон"),"")</f>
        <v/>
      </c>
      <c r="T12" t="str">
        <f>IFERROR(IF(VLOOKUP(MID(R12,2,3)+0,тесты!P:P,1,0),"мегафон"),"")</f>
        <v/>
      </c>
      <c r="V12" t="str">
        <f>IFERROR(IF(VLOOKUP(MID(T12,2,3)+0,тесты!P:P,1,0),"мегафон"),"")</f>
        <v/>
      </c>
    </row>
    <row r="13" spans="1:22" ht="90" x14ac:dyDescent="0.25">
      <c r="A13" t="s">
        <v>242</v>
      </c>
      <c r="B13" t="s">
        <v>298</v>
      </c>
      <c r="C13">
        <f>IFERROR(IF(VLOOKUP(B13,'[1]тел(заем)'!$B:$F,5,0),VLOOKUP(B13,'[1]тел(заем)'!$B:$F,5,0),VLOOKUP(B13,'[1]тел(заем)'!$B:$D,3,0)),VLOOKUP(B13,'[1]тел(заем)'!$B:$F,5,0))</f>
        <v>79636718919</v>
      </c>
      <c r="D13" s="9" t="str">
        <f>IF(VLOOKUP(B13,[2]акция!$B:$L,11,0)=1,interface!$A$21,IF(VLOOKUP(B13,[2]акция!$B:$C,2,0)&gt;interface!$A$15,interface!$A$8,СМСшапка))&amp;F13&amp;", "&amp;СМС_до&amp;" "&amp;DOLLAR(K13,0)&amp;" по Договору "&amp;B13&amp;", а "&amp;L13&amp;" "&amp;P13&amp;N13</f>
        <v>ПРОЩЕНИЕ ПЕНИ! Вячеслав, до 24.03.2023 (включительно), оплатите 6 101 ₽ по Договору В-12574/КЛ.Транш - 2, а Займодавец спишет все пени. Предложение действует также при реструктуризации займа. Ваша выгода: 1 115 ₽. МКК «ВЗАИМНО».</v>
      </c>
      <c r="E13" t="str">
        <f t="shared" si="1"/>
        <v>Вячеслав Игоревич</v>
      </c>
      <c r="F13" t="str">
        <f t="shared" si="2"/>
        <v>Вячеслав</v>
      </c>
      <c r="G13" t="str">
        <f>IFERROR(VLOOKUP(LEFT(B13,10),'[1]тел(пор)'!$A:$C,3,0),"")</f>
        <v/>
      </c>
      <c r="H13" t="str">
        <f>IFERROR(VLOOKUP(LEFT(B13,10),'[1]тел(пор)'!$A:$B,2,0),"")</f>
        <v/>
      </c>
      <c r="I13" t="str">
        <f>IFERROR(IF(VLOOKUP(B13,оплата!A:A,1,0)&lt;&gt;1,"!Деньги!"),"")</f>
        <v/>
      </c>
      <c r="J13">
        <v>1114.77</v>
      </c>
      <c r="K13">
        <v>6100.5499999999993</v>
      </c>
      <c r="L13" t="str">
        <f t="shared" si="3"/>
        <v>Займодавец</v>
      </c>
      <c r="M13" t="str">
        <f t="shared" si="4"/>
        <v>МКК «ВЗАИМНО».</v>
      </c>
      <c r="N13" t="str">
        <f>IF(interface!$A$18="да",". Предложение действует также при реструктуризации займа","")&amp;IF(J13&gt;1000,". Ваша выгода: "&amp;DOLLAR(J13,0)&amp;". "&amp;M13,". "&amp;M13)</f>
        <v>. Предложение действует также при реструктуризации займа. Ваша выгода: 1 115 ₽. МКК «ВЗАИМНО».</v>
      </c>
      <c r="O13" t="str">
        <f>IFERROR(VLOOKUP(LEFT(B13,10),[1]адреса!$B:$J,9,0),VLOOKUP(B13,[1]адреса!$B:$J,9,0))</f>
        <v>ОК</v>
      </c>
      <c r="P13" t="str">
        <f t="shared" si="0"/>
        <v>спишет все пени</v>
      </c>
      <c r="Q13" t="str">
        <f>IF(VLOOKUP(B13,[2]акция!$B:$L,11,0)=4," 2/3 просроченных процентов",IF(VLOOKUP(B13,[2]акция!$B:$L,11,0)=3," 1/2 просроченных процентов",IF(VLOOKUP(B13,[2]акция!$B:$L,11,0)=2," 1/3 просроченных процентов",IF(VLOOKUP(B13,[2]акция!$B:$L,11,0)=1,"",interface!$P$5))))</f>
        <v/>
      </c>
      <c r="R13" t="str">
        <f>IF(VLOOKUP(B13,[2]акция!$B:$N,13,0)="да"," все пени"," текущую неустойку")</f>
        <v xml:space="preserve"> все пени</v>
      </c>
      <c r="S13" t="str">
        <f>IFERROR(IF(VLOOKUP(MID(C13,2,3)+0,тесты!A:A,1,0),"мегафон"),"")</f>
        <v/>
      </c>
      <c r="T13" t="str">
        <f>IFERROR(IF(VLOOKUP(MID(R13,2,3)+0,тесты!P:P,1,0),"мегафон"),"")</f>
        <v/>
      </c>
      <c r="V13" t="str">
        <f>IFERROR(IF(VLOOKUP(MID(T13,2,3)+0,тесты!P:P,1,0),"мегафон"),"")</f>
        <v/>
      </c>
    </row>
    <row r="14" spans="1:22" ht="90" x14ac:dyDescent="0.25">
      <c r="A14" t="s">
        <v>392</v>
      </c>
      <c r="B14" t="s">
        <v>393</v>
      </c>
      <c r="C14">
        <f>IFERROR(IF(VLOOKUP(B14,'[1]тел(заем)'!$B:$F,5,0),VLOOKUP(B14,'[1]тел(заем)'!$B:$F,5,0),VLOOKUP(B14,'[1]тел(заем)'!$B:$D,3,0)),VLOOKUP(B14,'[1]тел(заем)'!$B:$F,5,0))</f>
        <v>79172851122</v>
      </c>
      <c r="D14" s="9" t="str">
        <f>IF(VLOOKUP(B14,[2]акция!$B:$L,11,0)=1,interface!$A$21,IF(VLOOKUP(B14,[2]акция!$B:$C,2,0)&gt;interface!$A$15,interface!$A$8,СМСшапка))&amp;F14&amp;", "&amp;СМС_до&amp;" "&amp;DOLLAR(K14,0)&amp;" по Договору "&amp;B14&amp;", а "&amp;L14&amp;" "&amp;P14&amp;N14</f>
        <v>ПРОЩЕНИЕ ПЕНИ! Николай, до 24.03.2023 (включительно), оплатите 13 106 ₽ по Договору В-26664/КЛ.Транш - 1, а Займодавец спишет все пени. Предложение действует также при реструктуризации займа. Ваша выгода: 6 198 ₽. МКК «ВЗАИМНО».</v>
      </c>
      <c r="E14" t="str">
        <f t="shared" si="1"/>
        <v>Николай Иванович</v>
      </c>
      <c r="F14" t="str">
        <f t="shared" si="2"/>
        <v>Николай</v>
      </c>
      <c r="G14" t="str">
        <f>IFERROR(VLOOKUP(LEFT(B14,10),'[1]тел(пор)'!$A:$C,3,0),"")</f>
        <v/>
      </c>
      <c r="H14" t="str">
        <f>IFERROR(VLOOKUP(LEFT(B14,10),'[1]тел(пор)'!$A:$B,2,0),"")</f>
        <v/>
      </c>
      <c r="I14" t="str">
        <f>IFERROR(IF(VLOOKUP(B14,оплата!A:A,1,0)&lt;&gt;1,"!Деньги!"),"")</f>
        <v/>
      </c>
      <c r="J14">
        <v>6198.25</v>
      </c>
      <c r="K14">
        <v>13105.580000000002</v>
      </c>
      <c r="L14" t="str">
        <f t="shared" si="3"/>
        <v>Займодавец</v>
      </c>
      <c r="M14" t="str">
        <f t="shared" si="4"/>
        <v>МКК «ВЗАИМНО».</v>
      </c>
      <c r="N14" t="str">
        <f>IF(interface!$A$18="да",". Предложение действует также при реструктуризации займа","")&amp;IF(J14&gt;1000,". Ваша выгода: "&amp;DOLLAR(J14,0)&amp;". "&amp;M14,". "&amp;M14)</f>
        <v>. Предложение действует также при реструктуризации займа. Ваша выгода: 6 198 ₽. МКК «ВЗАИМНО».</v>
      </c>
      <c r="O14" t="str">
        <f>IFERROR(VLOOKUP(LEFT(B14,10),[1]адреса!$B:$J,9,0),VLOOKUP(B14,[1]адреса!$B:$J,9,0))</f>
        <v>ОК</v>
      </c>
      <c r="P14" t="str">
        <f t="shared" si="0"/>
        <v>спишет все пени</v>
      </c>
      <c r="Q14" t="str">
        <f>IF(VLOOKUP(B14,[2]акция!$B:$L,11,0)=4," 2/3 просроченных процентов",IF(VLOOKUP(B14,[2]акция!$B:$L,11,0)=3," 1/2 просроченных процентов",IF(VLOOKUP(B14,[2]акция!$B:$L,11,0)=2," 1/3 просроченных процентов",IF(VLOOKUP(B14,[2]акция!$B:$L,11,0)=1,"",interface!$P$5))))</f>
        <v/>
      </c>
      <c r="R14" t="str">
        <f>IF(VLOOKUP(B14,[2]акция!$B:$N,13,0)="да"," все пени"," текущую неустойку")</f>
        <v xml:space="preserve"> все пени</v>
      </c>
      <c r="S14" t="str">
        <f>IFERROR(IF(VLOOKUP(MID(C14,2,3)+0,тесты!A:A,1,0),"мегафон"),"")</f>
        <v/>
      </c>
      <c r="T14" t="str">
        <f>IFERROR(IF(VLOOKUP(MID(R14,2,3)+0,тесты!P:P,1,0),"мегафон"),"")</f>
        <v/>
      </c>
      <c r="V14" t="str">
        <f>IFERROR(IF(VLOOKUP(MID(T14,2,3)+0,тесты!P:P,1,0),"мегафон"),"")</f>
        <v/>
      </c>
    </row>
    <row r="15" spans="1:22" ht="75" x14ac:dyDescent="0.25">
      <c r="A15" t="s">
        <v>394</v>
      </c>
      <c r="B15" t="s">
        <v>395</v>
      </c>
      <c r="C15">
        <f>IFERROR(IF(VLOOKUP(B15,'[1]тел(заем)'!$B:$F,5,0),VLOOKUP(B15,'[1]тел(заем)'!$B:$F,5,0),VLOOKUP(B15,'[1]тел(заем)'!$B:$D,3,0)),VLOOKUP(B15,'[1]тел(заем)'!$B:$F,5,0))</f>
        <v>79217569433</v>
      </c>
      <c r="D15" s="9" t="str">
        <f>IF(VLOOKUP(B15,[2]акция!$B:$L,11,0)=1,interface!$A$21,IF(VLOOKUP(B15,[2]акция!$B:$C,2,0)&gt;interface!$A$15,interface!$A$8,СМСшапка))&amp;F15&amp;", "&amp;СМС_до&amp;" "&amp;DOLLAR(K15,0)&amp;" по Договору "&amp;B15&amp;", а "&amp;L15&amp;" "&amp;P15&amp;N15</f>
        <v>ПРОЩЕНИЕ ПЕНИ! Николай, до 24.03.2023 (включительно), оплатите 33 574 ₽ по Договору В-04727/КЛ.Транш - 1, а Займодавец спишет все пени. Предложение действует также при реструктуризации займа. МКК «ВЗАИМНО».</v>
      </c>
      <c r="E15" t="str">
        <f t="shared" si="1"/>
        <v>Николай Олегович</v>
      </c>
      <c r="F15" t="str">
        <f t="shared" si="2"/>
        <v>Николай</v>
      </c>
      <c r="G15" t="str">
        <f>IFERROR(VLOOKUP(LEFT(B15,10),'[1]тел(пор)'!$A:$C,3,0),"")</f>
        <v/>
      </c>
      <c r="H15" t="str">
        <f>IFERROR(VLOOKUP(LEFT(B15,10),'[1]тел(пор)'!$A:$B,2,0),"")</f>
        <v/>
      </c>
      <c r="I15" t="str">
        <f>IFERROR(IF(VLOOKUP(B15,оплата!A:A,1,0)&lt;&gt;1,"!Деньги!"),"")</f>
        <v/>
      </c>
      <c r="J15">
        <v>774.35</v>
      </c>
      <c r="K15">
        <v>33573.550000000003</v>
      </c>
      <c r="L15" t="str">
        <f t="shared" si="3"/>
        <v>Займодавец</v>
      </c>
      <c r="M15" t="str">
        <f t="shared" si="4"/>
        <v>МКК «ВЗАИМНО».</v>
      </c>
      <c r="N15" t="str">
        <f>IF(interface!$A$18="да",". Предложение действует также при реструктуризации займа","")&amp;IF(J15&gt;1000,". Ваша выгода: "&amp;DOLLAR(J15,0)&amp;". "&amp;M15,". "&amp;M15)</f>
        <v>. Предложение действует также при реструктуризации займа. МКК «ВЗАИМНО».</v>
      </c>
      <c r="O15" t="str">
        <f>IFERROR(VLOOKUP(LEFT(B15,10),[1]адреса!$B:$J,9,0),VLOOKUP(B15,[1]адреса!$B:$J,9,0))</f>
        <v>ОК</v>
      </c>
      <c r="P15" t="str">
        <f t="shared" si="0"/>
        <v>спишет все пени</v>
      </c>
      <c r="Q15" t="str">
        <f>IF(VLOOKUP(B15,[2]акция!$B:$L,11,0)=4," 2/3 просроченных процентов",IF(VLOOKUP(B15,[2]акция!$B:$L,11,0)=3," 1/2 просроченных процентов",IF(VLOOKUP(B15,[2]акция!$B:$L,11,0)=2," 1/3 просроченных процентов",IF(VLOOKUP(B15,[2]акция!$B:$L,11,0)=1,"",interface!$P$5))))</f>
        <v/>
      </c>
      <c r="R15" t="str">
        <f>IF(VLOOKUP(B15,[2]акция!$B:$N,13,0)="да"," все пени"," текущую неустойку")</f>
        <v xml:space="preserve"> все пени</v>
      </c>
      <c r="S15" t="str">
        <f>IFERROR(IF(VLOOKUP(MID(C15,2,3)+0,тесты!A:A,1,0),"мегафон"),"")</f>
        <v>мегафон</v>
      </c>
      <c r="T15" t="str">
        <f>IFERROR(IF(VLOOKUP(MID(R15,2,3)+0,тесты!P:P,1,0),"мегафон"),"")</f>
        <v/>
      </c>
      <c r="V15" t="str">
        <f>IFERROR(IF(VLOOKUP(MID(T15,2,3)+0,тесты!P:P,1,0),"мегафон"),"")</f>
        <v/>
      </c>
    </row>
    <row r="16" spans="1:22" ht="75" x14ac:dyDescent="0.25">
      <c r="A16" t="s">
        <v>396</v>
      </c>
      <c r="B16" t="s">
        <v>397</v>
      </c>
      <c r="C16">
        <f>IFERROR(IF(VLOOKUP(B16,'[1]тел(заем)'!$B:$F,5,0),VLOOKUP(B16,'[1]тел(заем)'!$B:$F,5,0),VLOOKUP(B16,'[1]тел(заем)'!$B:$D,3,0)),VLOOKUP(B16,'[1]тел(заем)'!$B:$F,5,0))</f>
        <v>79113595178</v>
      </c>
      <c r="D16" s="9" t="str">
        <f>IF(VLOOKUP(B16,[2]акция!$B:$L,11,0)=1,interface!$A$21,IF(VLOOKUP(B16,[2]акция!$B:$C,2,0)&gt;interface!$A$15,interface!$A$8,СМСшапка))&amp;F16&amp;", "&amp;СМС_до&amp;" "&amp;DOLLAR(K16,0)&amp;" по Договору "&amp;B16&amp;", а "&amp;L16&amp;" "&amp;P16&amp;N16</f>
        <v>ПРОЩЕНИЕ ПЕНИ! Николай, до 24.03.2023 (включительно), оплатите 8 340 ₽ по Договору В-27315/КЛ.Транш - 1, а Займодавец спишет все пени. Предложение действует также при реструктуризации займа. МКК «ВЗАИМНО».</v>
      </c>
      <c r="E16" t="str">
        <f t="shared" si="1"/>
        <v>Николай Николаевич</v>
      </c>
      <c r="F16" t="str">
        <f t="shared" si="2"/>
        <v>Николай</v>
      </c>
      <c r="G16" t="str">
        <f>IFERROR(VLOOKUP(LEFT(B16,10),'[1]тел(пор)'!$A:$C,3,0),"")</f>
        <v/>
      </c>
      <c r="H16" t="str">
        <f>IFERROR(VLOOKUP(LEFT(B16,10),'[1]тел(пор)'!$A:$B,2,0),"")</f>
        <v/>
      </c>
      <c r="I16" t="str">
        <f>IFERROR(IF(VLOOKUP(B16,оплата!A:A,1,0)&lt;&gt;1,"!Деньги!"),"")</f>
        <v/>
      </c>
      <c r="J16">
        <v>237.68</v>
      </c>
      <c r="K16">
        <v>8339.74</v>
      </c>
      <c r="L16" t="str">
        <f t="shared" si="3"/>
        <v>Займодавец</v>
      </c>
      <c r="M16" t="str">
        <f t="shared" si="4"/>
        <v>МКК «ВЗАИМНО».</v>
      </c>
      <c r="N16" t="str">
        <f>IF(interface!$A$18="да",". Предложение действует также при реструктуризации займа","")&amp;IF(J16&gt;1000,". Ваша выгода: "&amp;DOLLAR(J16,0)&amp;". "&amp;M16,". "&amp;M16)</f>
        <v>. Предложение действует также при реструктуризации займа. МКК «ВЗАИМНО».</v>
      </c>
      <c r="O16" t="str">
        <f>IFERROR(VLOOKUP(LEFT(B16,10),[1]адреса!$B:$J,9,0),VLOOKUP(B16,[1]адреса!$B:$J,9,0))</f>
        <v>ОК</v>
      </c>
      <c r="P16" t="str">
        <f t="shared" si="0"/>
        <v>спишет все пени</v>
      </c>
      <c r="Q16" t="str">
        <f>IF(VLOOKUP(B16,[2]акция!$B:$L,11,0)=4," 2/3 просроченных процентов",IF(VLOOKUP(B16,[2]акция!$B:$L,11,0)=3," 1/2 просроченных процентов",IF(VLOOKUP(B16,[2]акция!$B:$L,11,0)=2," 1/3 просроченных процентов",IF(VLOOKUP(B16,[2]акция!$B:$L,11,0)=1,"",interface!$P$5))))</f>
        <v/>
      </c>
      <c r="R16" t="str">
        <f>IF(VLOOKUP(B16,[2]акция!$B:$N,13,0)="да"," все пени"," текущую неустойку")</f>
        <v xml:space="preserve"> все пени</v>
      </c>
      <c r="S16" t="str">
        <f>IFERROR(IF(VLOOKUP(MID(C16,2,3)+0,тесты!A:A,1,0),"мегафон"),"")</f>
        <v/>
      </c>
      <c r="T16" t="str">
        <f>IFERROR(IF(VLOOKUP(MID(R16,2,3)+0,тесты!P:P,1,0),"мегафон"),"")</f>
        <v/>
      </c>
      <c r="V16" t="str">
        <f>IFERROR(IF(VLOOKUP(MID(T16,2,3)+0,тесты!P:P,1,0),"мегафон"),"")</f>
        <v/>
      </c>
    </row>
    <row r="17" spans="1:22" ht="90" x14ac:dyDescent="0.25">
      <c r="A17" t="s">
        <v>398</v>
      </c>
      <c r="B17" t="s">
        <v>399</v>
      </c>
      <c r="C17">
        <f>IFERROR(IF(VLOOKUP(B17,'[1]тел(заем)'!$B:$F,5,0),VLOOKUP(B17,'[1]тел(заем)'!$B:$F,5,0),VLOOKUP(B17,'[1]тел(заем)'!$B:$D,3,0)),VLOOKUP(B17,'[1]тел(заем)'!$B:$F,5,0))</f>
        <v>79051999634</v>
      </c>
      <c r="D17" s="9" t="str">
        <f>IF(VLOOKUP(B17,[2]акция!$B:$L,11,0)=1,interface!$A$21,IF(VLOOKUP(B17,[2]акция!$B:$C,2,0)&gt;interface!$A$15,interface!$A$8,СМСшапка))&amp;F17&amp;", "&amp;СМС_до&amp;" "&amp;DOLLAR(K17,0)&amp;" по Договору "&amp;B17&amp;", а "&amp;L17&amp;" "&amp;P17&amp;N17</f>
        <v>ПРОЩЕНИЕ ПЕНИ! Наталия, до 24.03.2023 (включительно), оплатите 11 988 ₽ по Договору В-18496/КЛ.Транш - 1, а Займодавец спишет все пени. Предложение действует также при реструктуризации займа. Ваша выгода: 1 473 ₽. МКК «ВЗАИМНО».</v>
      </c>
      <c r="E17" t="str">
        <f t="shared" si="1"/>
        <v>Наталия Владимировна</v>
      </c>
      <c r="F17" t="str">
        <f t="shared" si="2"/>
        <v>Наталия</v>
      </c>
      <c r="G17" t="str">
        <f>IFERROR(VLOOKUP(LEFT(B17,10),'[1]тел(пор)'!$A:$C,3,0),"")</f>
        <v/>
      </c>
      <c r="H17" t="str">
        <f>IFERROR(VLOOKUP(LEFT(B17,10),'[1]тел(пор)'!$A:$B,2,0),"")</f>
        <v/>
      </c>
      <c r="I17" t="str">
        <f>IFERROR(IF(VLOOKUP(B17,оплата!A:A,1,0)&lt;&gt;1,"!Деньги!"),"")</f>
        <v/>
      </c>
      <c r="J17">
        <v>1472.88</v>
      </c>
      <c r="K17">
        <v>11987.66</v>
      </c>
      <c r="L17" t="str">
        <f t="shared" si="3"/>
        <v>Займодавец</v>
      </c>
      <c r="M17" t="str">
        <f t="shared" si="4"/>
        <v>МКК «ВЗАИМНО».</v>
      </c>
      <c r="N17" t="str">
        <f>IF(interface!$A$18="да",". Предложение действует также при реструктуризации займа","")&amp;IF(J17&gt;1000,". Ваша выгода: "&amp;DOLLAR(J17,0)&amp;". "&amp;M17,". "&amp;M17)</f>
        <v>. Предложение действует также при реструктуризации займа. Ваша выгода: 1 473 ₽. МКК «ВЗАИМНО».</v>
      </c>
      <c r="O17" t="str">
        <f>IFERROR(VLOOKUP(LEFT(B17,10),[1]адреса!$B:$J,9,0),VLOOKUP(B17,[1]адреса!$B:$J,9,0))</f>
        <v>ОК</v>
      </c>
      <c r="P17" t="str">
        <f t="shared" si="0"/>
        <v>спишет все пени</v>
      </c>
      <c r="Q17" t="str">
        <f>IF(VLOOKUP(B17,[2]акция!$B:$L,11,0)=4," 2/3 просроченных процентов",IF(VLOOKUP(B17,[2]акция!$B:$L,11,0)=3," 1/2 просроченных процентов",IF(VLOOKUP(B17,[2]акция!$B:$L,11,0)=2," 1/3 просроченных процентов",IF(VLOOKUP(B17,[2]акция!$B:$L,11,0)=1,"",interface!$P$5))))</f>
        <v/>
      </c>
      <c r="R17" t="str">
        <f>IF(VLOOKUP(B17,[2]акция!$B:$N,13,0)="да"," все пени"," текущую неустойку")</f>
        <v xml:space="preserve"> все пени</v>
      </c>
      <c r="S17" t="str">
        <f>IFERROR(IF(VLOOKUP(MID(C17,2,3)+0,тесты!A:A,1,0),"мегафон"),"")</f>
        <v/>
      </c>
      <c r="T17" t="str">
        <f>IFERROR(IF(VLOOKUP(MID(R17,2,3)+0,тесты!P:P,1,0),"мегафон"),"")</f>
        <v/>
      </c>
      <c r="V17" t="str">
        <f>IFERROR(IF(VLOOKUP(MID(T17,2,3)+0,тесты!P:P,1,0),"мегафон"),"")</f>
        <v/>
      </c>
    </row>
    <row r="18" spans="1:22" x14ac:dyDescent="0.25">
      <c r="P18" t="e">
        <f t="shared" ref="P18:P37" si="5">IF(Q18="",TRIM(действ2&amp;R18),TRIM(действ2&amp;Q18&amp;" и "&amp;R18))</f>
        <v>#N/A</v>
      </c>
      <c r="Q18" t="e">
        <f>IF(VLOOKUP(B18,[2]акция!$B:$L,11,0)=4," 2/3 просроченных процентов",IF(VLOOKUP(B18,[2]акция!$B:$L,11,0)=3," 1/2 просроченных процентов",IF(VLOOKUP(B18,[2]акция!$B:$L,11,0)=2," 1/3 просроченных процентов",IF(VLOOKUP(B18,[2]акция!$B:$L,11,0)=1,"",interface!$P$5))))</f>
        <v>#N/A</v>
      </c>
      <c r="R18" t="e">
        <f>IF(VLOOKUP(B18,[2]акция!$B:$N,13,0)="да"," все пени"," текущую неустойку")</f>
        <v>#N/A</v>
      </c>
      <c r="S18" t="str">
        <f>IFERROR(IF(VLOOKUP(MID(C18,2,3)+0,тесты!A:A,1,0),"мегафон"),"")</f>
        <v/>
      </c>
      <c r="T18" t="str">
        <f>IFERROR(IF(VLOOKUP(MID(R18,2,3)+0,тесты!P:P,1,0),"мегафон"),"")</f>
        <v/>
      </c>
      <c r="V18" t="str">
        <f>IFERROR(IF(VLOOKUP(MID(T18,2,3)+0,тесты!P:P,1,0),"мегафон"),"")</f>
        <v/>
      </c>
    </row>
    <row r="19" spans="1:22" x14ac:dyDescent="0.25">
      <c r="P19" t="e">
        <f t="shared" si="5"/>
        <v>#N/A</v>
      </c>
      <c r="Q19" t="e">
        <f>IF(VLOOKUP(B19,[2]акция!$B:$L,11,0)=4," 2/3 просроченных процентов",IF(VLOOKUP(B19,[2]акция!$B:$L,11,0)=3," 1/2 просроченных процентов",IF(VLOOKUP(B19,[2]акция!$B:$L,11,0)=2," 1/3 просроченных процентов",IF(VLOOKUP(B19,[2]акция!$B:$L,11,0)=1,"",interface!$P$5))))</f>
        <v>#N/A</v>
      </c>
      <c r="R19" t="e">
        <f>IF(VLOOKUP(B19,[2]акция!$B:$N,13,0)="да"," все пени"," текущую неустойку")</f>
        <v>#N/A</v>
      </c>
      <c r="S19" t="str">
        <f>IFERROR(IF(VLOOKUP(MID(C19,2,3)+0,тесты!A:A,1,0),"мегафон"),"")</f>
        <v/>
      </c>
      <c r="T19" t="str">
        <f>IFERROR(IF(VLOOKUP(MID(R19,2,3)+0,тесты!P:P,1,0),"мегафон"),"")</f>
        <v/>
      </c>
      <c r="V19" t="str">
        <f>IFERROR(IF(VLOOKUP(MID(T19,2,3)+0,тесты!P:P,1,0),"мегафон"),"")</f>
        <v/>
      </c>
    </row>
    <row r="20" spans="1:22" x14ac:dyDescent="0.25">
      <c r="P20" t="e">
        <f t="shared" si="5"/>
        <v>#N/A</v>
      </c>
      <c r="Q20" t="e">
        <f>IF(VLOOKUP(B20,[2]акция!$B:$L,11,0)=4," 2/3 просроченных процентов",IF(VLOOKUP(B20,[2]акция!$B:$L,11,0)=3," 1/2 просроченных процентов",IF(VLOOKUP(B20,[2]акция!$B:$L,11,0)=2," 1/3 просроченных процентов",IF(VLOOKUP(B20,[2]акция!$B:$L,11,0)=1,"",interface!$P$5))))</f>
        <v>#N/A</v>
      </c>
      <c r="R20" t="e">
        <f>IF(VLOOKUP(B20,[2]акция!$B:$N,13,0)="да"," все пени"," текущую неустойку")</f>
        <v>#N/A</v>
      </c>
      <c r="S20" t="str">
        <f>IFERROR(IF(VLOOKUP(MID(C20,2,3)+0,тесты!A:A,1,0),"мегафон"),"")</f>
        <v/>
      </c>
      <c r="T20" t="str">
        <f>IFERROR(IF(VLOOKUP(MID(R20,2,3)+0,тесты!P:P,1,0),"мегафон"),"")</f>
        <v/>
      </c>
      <c r="V20" t="str">
        <f>IFERROR(IF(VLOOKUP(MID(T20,2,3)+0,тесты!P:P,1,0),"мегафон"),"")</f>
        <v/>
      </c>
    </row>
    <row r="21" spans="1:22" x14ac:dyDescent="0.25">
      <c r="P21" t="e">
        <f t="shared" si="5"/>
        <v>#N/A</v>
      </c>
      <c r="Q21" t="e">
        <f>IF(VLOOKUP(B21,[2]акция!$B:$L,11,0)=4," 2/3 просроченных процентов",IF(VLOOKUP(B21,[2]акция!$B:$L,11,0)=3," 1/2 просроченных процентов",IF(VLOOKUP(B21,[2]акция!$B:$L,11,0)=2," 1/3 просроченных процентов",IF(VLOOKUP(B21,[2]акция!$B:$L,11,0)=1,"",interface!$P$5))))</f>
        <v>#N/A</v>
      </c>
      <c r="R21" t="e">
        <f>IF(VLOOKUP(B21,[2]акция!$B:$N,13,0)="да"," все пени"," текущую неустойку")</f>
        <v>#N/A</v>
      </c>
      <c r="S21" t="str">
        <f>IFERROR(IF(VLOOKUP(MID(C21,2,3)+0,тесты!A:A,1,0),"мегафон"),"")</f>
        <v/>
      </c>
      <c r="T21" t="str">
        <f>IFERROR(IF(VLOOKUP(MID(R21,2,3)+0,тесты!P:P,1,0),"мегафон"),"")</f>
        <v/>
      </c>
      <c r="V21" t="str">
        <f>IFERROR(IF(VLOOKUP(MID(T21,2,3)+0,тесты!P:P,1,0),"мегафон"),"")</f>
        <v/>
      </c>
    </row>
    <row r="22" spans="1:22" x14ac:dyDescent="0.25">
      <c r="P22" t="e">
        <f t="shared" si="5"/>
        <v>#N/A</v>
      </c>
      <c r="Q22" t="e">
        <f>IF(VLOOKUP(B22,[2]акция!$B:$L,11,0)=4," 2/3 просроченных процентов",IF(VLOOKUP(B22,[2]акция!$B:$L,11,0)=3," 1/2 просроченных процентов",IF(VLOOKUP(B22,[2]акция!$B:$L,11,0)=2," 1/3 просроченных процентов",IF(VLOOKUP(B22,[2]акция!$B:$L,11,0)=1,"",interface!$P$5))))</f>
        <v>#N/A</v>
      </c>
      <c r="R22" t="e">
        <f>IF(VLOOKUP(B22,[2]акция!$B:$N,13,0)="да"," все пени"," текущую неустойку")</f>
        <v>#N/A</v>
      </c>
      <c r="S22" t="str">
        <f>IFERROR(IF(VLOOKUP(MID(C22,2,3)+0,тесты!A:A,1,0),"мегафон"),"")</f>
        <v/>
      </c>
      <c r="T22" t="str">
        <f>IFERROR(IF(VLOOKUP(MID(R22,2,3)+0,тесты!P:P,1,0),"мегафон"),"")</f>
        <v/>
      </c>
      <c r="V22" t="str">
        <f>IFERROR(IF(VLOOKUP(MID(T22,2,3)+0,тесты!P:P,1,0),"мегафон"),"")</f>
        <v/>
      </c>
    </row>
    <row r="23" spans="1:22" x14ac:dyDescent="0.25">
      <c r="P23" t="e">
        <f t="shared" si="5"/>
        <v>#N/A</v>
      </c>
      <c r="Q23" t="e">
        <f>IF(VLOOKUP(B23,[2]акция!$B:$L,11,0)=4," 2/3 просроченных процентов",IF(VLOOKUP(B23,[2]акция!$B:$L,11,0)=3," 1/2 просроченных процентов",IF(VLOOKUP(B23,[2]акция!$B:$L,11,0)=2," 1/3 просроченных процентов",IF(VLOOKUP(B23,[2]акция!$B:$L,11,0)=1,"",interface!$P$5))))</f>
        <v>#N/A</v>
      </c>
      <c r="R23" t="e">
        <f>IF(VLOOKUP(B23,[2]акция!$B:$N,13,0)="да"," все пени"," текущую неустойку")</f>
        <v>#N/A</v>
      </c>
      <c r="S23" t="str">
        <f>IFERROR(IF(VLOOKUP(MID(C23,2,3)+0,тесты!A:A,1,0),"мегафон"),"")</f>
        <v/>
      </c>
      <c r="T23" t="str">
        <f>IFERROR(IF(VLOOKUP(MID(R23,2,3)+0,тесты!P:P,1,0),"мегафон"),"")</f>
        <v/>
      </c>
      <c r="V23" t="str">
        <f>IFERROR(IF(VLOOKUP(MID(T23,2,3)+0,тесты!P:P,1,0),"мегафон"),"")</f>
        <v/>
      </c>
    </row>
    <row r="24" spans="1:22" x14ac:dyDescent="0.25">
      <c r="P24" t="e">
        <f t="shared" si="5"/>
        <v>#N/A</v>
      </c>
      <c r="Q24" t="e">
        <f>IF(VLOOKUP(B24,[2]акция!$B:$L,11,0)=4," 2/3 просроченных процентов",IF(VLOOKUP(B24,[2]акция!$B:$L,11,0)=3," 1/2 просроченных процентов",IF(VLOOKUP(B24,[2]акция!$B:$L,11,0)=2," 1/3 просроченных процентов",IF(VLOOKUP(B24,[2]акция!$B:$L,11,0)=1,"",interface!$P$5))))</f>
        <v>#N/A</v>
      </c>
      <c r="R24" t="e">
        <f>IF(VLOOKUP(B24,[2]акция!$B:$N,13,0)="да"," все пени"," текущую неустойку")</f>
        <v>#N/A</v>
      </c>
      <c r="S24" t="str">
        <f>IFERROR(IF(VLOOKUP(MID(C24,2,3)+0,тесты!A:A,1,0),"мегафон"),"")</f>
        <v/>
      </c>
      <c r="T24" t="str">
        <f>IFERROR(IF(VLOOKUP(MID(R24,2,3)+0,тесты!P:P,1,0),"мегафон"),"")</f>
        <v/>
      </c>
      <c r="V24" t="str">
        <f>IFERROR(IF(VLOOKUP(MID(T24,2,3)+0,тесты!P:P,1,0),"мегафон"),"")</f>
        <v/>
      </c>
    </row>
    <row r="25" spans="1:22" x14ac:dyDescent="0.25">
      <c r="P25" t="e">
        <f t="shared" si="5"/>
        <v>#N/A</v>
      </c>
      <c r="Q25" t="e">
        <f>IF(VLOOKUP(B25,[2]акция!$B:$L,11,0)=4," 2/3 просроченных процентов",IF(VLOOKUP(B25,[2]акция!$B:$L,11,0)=3," 1/2 просроченных процентов",IF(VLOOKUP(B25,[2]акция!$B:$L,11,0)=2," 1/3 просроченных процентов",IF(VLOOKUP(B25,[2]акция!$B:$L,11,0)=1,"",interface!$P$5))))</f>
        <v>#N/A</v>
      </c>
      <c r="R25" t="e">
        <f>IF(VLOOKUP(B25,[2]акция!$B:$N,13,0)="да"," все пени"," текущую неустойку")</f>
        <v>#N/A</v>
      </c>
      <c r="S25" t="str">
        <f>IFERROR(IF(VLOOKUP(MID(C25,2,3)+0,тесты!A:A,1,0),"мегафон"),"")</f>
        <v/>
      </c>
      <c r="T25" t="str">
        <f>IFERROR(IF(VLOOKUP(MID(R25,2,3)+0,тесты!P:P,1,0),"мегафон"),"")</f>
        <v/>
      </c>
      <c r="V25" t="str">
        <f>IFERROR(IF(VLOOKUP(MID(T25,2,3)+0,тесты!P:P,1,0),"мегафон"),"")</f>
        <v/>
      </c>
    </row>
    <row r="26" spans="1:22" x14ac:dyDescent="0.25">
      <c r="P26" t="e">
        <f t="shared" si="5"/>
        <v>#N/A</v>
      </c>
      <c r="Q26" t="e">
        <f>IF(VLOOKUP(B26,[2]акция!$B:$L,11,0)=4," 2/3 просроченных процентов",IF(VLOOKUP(B26,[2]акция!$B:$L,11,0)=3," 1/2 просроченных процентов",IF(VLOOKUP(B26,[2]акция!$B:$L,11,0)=2," 1/3 просроченных процентов",IF(VLOOKUP(B26,[2]акция!$B:$L,11,0)=1,"",interface!$P$5))))</f>
        <v>#N/A</v>
      </c>
      <c r="R26" t="e">
        <f>IF(VLOOKUP(B26,[2]акция!$B:$N,13,0)="да"," все пени"," текущую неустойку")</f>
        <v>#N/A</v>
      </c>
      <c r="S26" t="str">
        <f>IFERROR(IF(VLOOKUP(MID(C26,2,3)+0,тесты!A:A,1,0),"мегафон"),"")</f>
        <v/>
      </c>
      <c r="T26" t="str">
        <f>IFERROR(IF(VLOOKUP(MID(R26,2,3)+0,тесты!P:P,1,0),"мегафон"),"")</f>
        <v/>
      </c>
      <c r="V26" t="str">
        <f>IFERROR(IF(VLOOKUP(MID(T26,2,3)+0,тесты!P:P,1,0),"мегафон"),"")</f>
        <v/>
      </c>
    </row>
    <row r="27" spans="1:22" x14ac:dyDescent="0.25">
      <c r="P27" t="e">
        <f t="shared" si="5"/>
        <v>#N/A</v>
      </c>
      <c r="Q27" t="e">
        <f>IF(VLOOKUP(B27,[2]акция!$B:$L,11,0)=4," 2/3 просроченных процентов",IF(VLOOKUP(B27,[2]акция!$B:$L,11,0)=3," 1/2 просроченных процентов",IF(VLOOKUP(B27,[2]акция!$B:$L,11,0)=2," 1/3 просроченных процентов",IF(VLOOKUP(B27,[2]акция!$B:$L,11,0)=1,"",interface!$P$5))))</f>
        <v>#N/A</v>
      </c>
      <c r="R27" t="e">
        <f>IF(VLOOKUP(B27,[2]акция!$B:$N,13,0)="да"," все пени"," текущую неустойку")</f>
        <v>#N/A</v>
      </c>
      <c r="S27" t="str">
        <f>IFERROR(IF(VLOOKUP(MID(C27,2,3)+0,тесты!A:A,1,0),"мегафон"),"")</f>
        <v/>
      </c>
      <c r="T27" t="str">
        <f>IFERROR(IF(VLOOKUP(MID(R27,2,3)+0,тесты!P:P,1,0),"мегафон"),"")</f>
        <v/>
      </c>
      <c r="V27" t="str">
        <f>IFERROR(IF(VLOOKUP(MID(T27,2,3)+0,тесты!P:P,1,0),"мегафон"),"")</f>
        <v/>
      </c>
    </row>
    <row r="28" spans="1:22" x14ac:dyDescent="0.25">
      <c r="P28" t="e">
        <f t="shared" si="5"/>
        <v>#N/A</v>
      </c>
      <c r="Q28" t="e">
        <f>IF(VLOOKUP(B28,[2]акция!$B:$L,11,0)=4," 2/3 просроченных процентов",IF(VLOOKUP(B28,[2]акция!$B:$L,11,0)=3," 1/2 просроченных процентов",IF(VLOOKUP(B28,[2]акция!$B:$L,11,0)=2," 1/3 просроченных процентов",IF(VLOOKUP(B28,[2]акция!$B:$L,11,0)=1,"",interface!$P$5))))</f>
        <v>#N/A</v>
      </c>
      <c r="R28" t="e">
        <f>IF(VLOOKUP(B28,[2]акция!$B:$N,13,0)="да"," все пени"," текущую неустойку")</f>
        <v>#N/A</v>
      </c>
      <c r="S28" t="str">
        <f>IFERROR(IF(VLOOKUP(MID(C28,2,3)+0,тесты!A:A,1,0),"мегафон"),"")</f>
        <v/>
      </c>
      <c r="T28" t="str">
        <f>IFERROR(IF(VLOOKUP(MID(R28,2,3)+0,тесты!P:P,1,0),"мегафон"),"")</f>
        <v/>
      </c>
      <c r="V28" t="str">
        <f>IFERROR(IF(VLOOKUP(MID(T28,2,3)+0,тесты!P:P,1,0),"мегафон"),"")</f>
        <v/>
      </c>
    </row>
    <row r="29" spans="1:22" x14ac:dyDescent="0.25">
      <c r="P29" t="e">
        <f t="shared" si="5"/>
        <v>#N/A</v>
      </c>
      <c r="Q29" t="e">
        <f>IF(VLOOKUP(B29,[2]акция!$B:$L,11,0)=4," 2/3 просроченных процентов",IF(VLOOKUP(B29,[2]акция!$B:$L,11,0)=3," 1/2 просроченных процентов",IF(VLOOKUP(B29,[2]акция!$B:$L,11,0)=2," 1/3 просроченных процентов",IF(VLOOKUP(B29,[2]акция!$B:$L,11,0)=1,"",interface!$P$5))))</f>
        <v>#N/A</v>
      </c>
      <c r="R29" t="e">
        <f>IF(VLOOKUP(B29,[2]акция!$B:$N,13,0)="да"," все пени"," текущую неустойку")</f>
        <v>#N/A</v>
      </c>
      <c r="S29" t="str">
        <f>IFERROR(IF(VLOOKUP(MID(C29,2,3)+0,тесты!A:A,1,0),"мегафон"),"")</f>
        <v/>
      </c>
      <c r="T29" t="str">
        <f>IFERROR(IF(VLOOKUP(MID(R29,2,3)+0,тесты!P:P,1,0),"мегафон"),"")</f>
        <v/>
      </c>
      <c r="V29" t="str">
        <f>IFERROR(IF(VLOOKUP(MID(T29,2,3)+0,тесты!P:P,1,0),"мегафон"),"")</f>
        <v/>
      </c>
    </row>
    <row r="30" spans="1:22" x14ac:dyDescent="0.25">
      <c r="P30" t="e">
        <f t="shared" si="5"/>
        <v>#N/A</v>
      </c>
      <c r="Q30" t="e">
        <f>IF(VLOOKUP(B30,[2]акция!$B:$L,11,0)=4," 2/3 просроченных процентов",IF(VLOOKUP(B30,[2]акция!$B:$L,11,0)=3," 1/2 просроченных процентов",IF(VLOOKUP(B30,[2]акция!$B:$L,11,0)=2," 1/3 просроченных процентов",IF(VLOOKUP(B30,[2]акция!$B:$L,11,0)=1,"",interface!$P$5))))</f>
        <v>#N/A</v>
      </c>
      <c r="R30" t="e">
        <f>IF(VLOOKUP(B30,[2]акция!$B:$N,13,0)="да"," все пени"," текущую неустойку")</f>
        <v>#N/A</v>
      </c>
      <c r="S30" t="str">
        <f>IFERROR(IF(VLOOKUP(MID(C30,2,3)+0,тесты!A:A,1,0),"мегафон"),"")</f>
        <v/>
      </c>
      <c r="T30" t="str">
        <f>IFERROR(IF(VLOOKUP(MID(R30,2,3)+0,тесты!P:P,1,0),"мегафон"),"")</f>
        <v/>
      </c>
      <c r="V30" t="str">
        <f>IFERROR(IF(VLOOKUP(MID(T30,2,3)+0,тесты!P:P,1,0),"мегафон"),"")</f>
        <v/>
      </c>
    </row>
    <row r="31" spans="1:22" x14ac:dyDescent="0.25">
      <c r="P31" t="e">
        <f t="shared" si="5"/>
        <v>#N/A</v>
      </c>
      <c r="Q31" t="e">
        <f>IF(VLOOKUP(B31,[2]акция!$B:$L,11,0)=4," 2/3 просроченных процентов",IF(VLOOKUP(B31,[2]акция!$B:$L,11,0)=3," 1/2 просроченных процентов",IF(VLOOKUP(B31,[2]акция!$B:$L,11,0)=2," 1/3 просроченных процентов",IF(VLOOKUP(B31,[2]акция!$B:$L,11,0)=1,"",interface!$P$5))))</f>
        <v>#N/A</v>
      </c>
      <c r="R31" t="e">
        <f>IF(VLOOKUP(B31,[2]акция!$B:$N,13,0)="да"," все пени"," текущую неустойку")</f>
        <v>#N/A</v>
      </c>
      <c r="S31" t="str">
        <f>IFERROR(IF(VLOOKUP(MID(C31,2,3)+0,тесты!A:A,1,0),"мегафон"),"")</f>
        <v/>
      </c>
      <c r="T31" t="str">
        <f>IFERROR(IF(VLOOKUP(MID(R31,2,3)+0,тесты!P:P,1,0),"мегафон"),"")</f>
        <v/>
      </c>
      <c r="V31" t="str">
        <f>IFERROR(IF(VLOOKUP(MID(T31,2,3)+0,тесты!P:P,1,0),"мегафон"),"")</f>
        <v/>
      </c>
    </row>
    <row r="32" spans="1:22" x14ac:dyDescent="0.25">
      <c r="P32" t="e">
        <f t="shared" si="5"/>
        <v>#N/A</v>
      </c>
      <c r="Q32" t="e">
        <f>IF(VLOOKUP(B32,[2]акция!$B:$L,11,0)=4," 2/3 просроченных процентов",IF(VLOOKUP(B32,[2]акция!$B:$L,11,0)=3," 1/2 просроченных процентов",IF(VLOOKUP(B32,[2]акция!$B:$L,11,0)=2," 1/3 просроченных процентов",IF(VLOOKUP(B32,[2]акция!$B:$L,11,0)=1,"",interface!$P$5))))</f>
        <v>#N/A</v>
      </c>
      <c r="R32" t="e">
        <f>IF(VLOOKUP(B32,[2]акция!$B:$N,13,0)="да"," все пени"," текущую неустойку")</f>
        <v>#N/A</v>
      </c>
      <c r="S32" t="str">
        <f>IFERROR(IF(VLOOKUP(MID(C32,2,3)+0,тесты!A:A,1,0),"мегафон"),"")</f>
        <v/>
      </c>
      <c r="T32" t="str">
        <f>IFERROR(IF(VLOOKUP(MID(R32,2,3)+0,тесты!P:P,1,0),"мегафон"),"")</f>
        <v/>
      </c>
      <c r="V32" t="str">
        <f>IFERROR(IF(VLOOKUP(MID(T32,2,3)+0,тесты!P:P,1,0),"мегафон"),"")</f>
        <v/>
      </c>
    </row>
    <row r="33" spans="16:22" x14ac:dyDescent="0.25">
      <c r="P33" t="e">
        <f t="shared" si="5"/>
        <v>#N/A</v>
      </c>
      <c r="Q33" t="e">
        <f>IF(VLOOKUP(B33,[2]акция!$B:$L,11,0)=4," 2/3 просроченных процентов",IF(VLOOKUP(B33,[2]акция!$B:$L,11,0)=3," 1/2 просроченных процентов",IF(VLOOKUP(B33,[2]акция!$B:$L,11,0)=2," 1/3 просроченных процентов",IF(VLOOKUP(B33,[2]акция!$B:$L,11,0)=1,"",interface!$P$5))))</f>
        <v>#N/A</v>
      </c>
      <c r="R33" t="e">
        <f>IF(VLOOKUP(B33,[2]акция!$B:$N,13,0)="да"," все пени"," текущую неустойку")</f>
        <v>#N/A</v>
      </c>
      <c r="S33" t="str">
        <f>IFERROR(IF(VLOOKUP(MID(C33,2,3)+0,тесты!A:A,1,0),"мегафон"),"")</f>
        <v/>
      </c>
      <c r="T33" t="str">
        <f>IFERROR(IF(VLOOKUP(MID(R33,2,3)+0,тесты!P:P,1,0),"мегафон"),"")</f>
        <v/>
      </c>
      <c r="V33" t="str">
        <f>IFERROR(IF(VLOOKUP(MID(T33,2,3)+0,тесты!P:P,1,0),"мегафон"),"")</f>
        <v/>
      </c>
    </row>
    <row r="34" spans="16:22" x14ac:dyDescent="0.25">
      <c r="P34" t="e">
        <f t="shared" si="5"/>
        <v>#N/A</v>
      </c>
      <c r="Q34" t="e">
        <f>IF(VLOOKUP(B34,[2]акция!$B:$L,11,0)=4," 2/3 просроченных процентов",IF(VLOOKUP(B34,[2]акция!$B:$L,11,0)=3," 1/2 просроченных процентов",IF(VLOOKUP(B34,[2]акция!$B:$L,11,0)=2," 1/3 просроченных процентов",IF(VLOOKUP(B34,[2]акция!$B:$L,11,0)=1,"",interface!$P$5))))</f>
        <v>#N/A</v>
      </c>
      <c r="R34" t="e">
        <f>IF(VLOOKUP(B34,[2]акция!$B:$N,13,0)="да"," все пени"," текущую неустойку")</f>
        <v>#N/A</v>
      </c>
      <c r="S34" t="str">
        <f>IFERROR(IF(VLOOKUP(MID(C34,2,3)+0,тесты!A:A,1,0),"мегафон"),"")</f>
        <v/>
      </c>
      <c r="T34" t="str">
        <f>IFERROR(IF(VLOOKUP(MID(R34,2,3)+0,тесты!P:P,1,0),"мегафон"),"")</f>
        <v/>
      </c>
      <c r="V34" t="str">
        <f>IFERROR(IF(VLOOKUP(MID(T34,2,3)+0,тесты!P:P,1,0),"мегафон"),"")</f>
        <v/>
      </c>
    </row>
    <row r="35" spans="16:22" x14ac:dyDescent="0.25">
      <c r="P35" t="e">
        <f t="shared" si="5"/>
        <v>#N/A</v>
      </c>
      <c r="Q35" t="e">
        <f>IF(VLOOKUP(B35,[2]акция!$B:$L,11,0)=4," 2/3 просроченных процентов",IF(VLOOKUP(B35,[2]акция!$B:$L,11,0)=3," 1/2 просроченных процентов",IF(VLOOKUP(B35,[2]акция!$B:$L,11,0)=2," 1/3 просроченных процентов",IF(VLOOKUP(B35,[2]акция!$B:$L,11,0)=1,"",interface!$P$5))))</f>
        <v>#N/A</v>
      </c>
      <c r="R35" t="e">
        <f>IF(VLOOKUP(B35,[2]акция!$B:$N,13,0)="да"," все пени"," текущую неустойку")</f>
        <v>#N/A</v>
      </c>
      <c r="S35" t="str">
        <f>IFERROR(IF(VLOOKUP(MID(C35,2,3)+0,тесты!A:A,1,0),"мегафон"),"")</f>
        <v/>
      </c>
      <c r="T35" t="str">
        <f>IFERROR(IF(VLOOKUP(MID(R35,2,3)+0,тесты!P:P,1,0),"мегафон"),"")</f>
        <v/>
      </c>
      <c r="V35" t="str">
        <f>IFERROR(IF(VLOOKUP(MID(T35,2,3)+0,тесты!P:P,1,0),"мегафон"),"")</f>
        <v/>
      </c>
    </row>
    <row r="36" spans="16:22" x14ac:dyDescent="0.25">
      <c r="P36" t="e">
        <f t="shared" si="5"/>
        <v>#N/A</v>
      </c>
      <c r="Q36" t="e">
        <f>IF(VLOOKUP(B36,[2]акция!$B:$L,11,0)=4," 2/3 просроченных процентов",IF(VLOOKUP(B36,[2]акция!$B:$L,11,0)=3," 1/2 просроченных процентов",IF(VLOOKUP(B36,[2]акция!$B:$L,11,0)=2," 1/3 просроченных процентов",IF(VLOOKUP(B36,[2]акция!$B:$L,11,0)=1,"",interface!$P$5))))</f>
        <v>#N/A</v>
      </c>
      <c r="R36" t="e">
        <f>IF(VLOOKUP(B36,[2]акция!$B:$N,13,0)="да"," все пени"," текущую неустойку")</f>
        <v>#N/A</v>
      </c>
      <c r="S36" t="str">
        <f>IFERROR(IF(VLOOKUP(MID(C36,2,3)+0,тесты!A:A,1,0),"мегафон"),"")</f>
        <v/>
      </c>
      <c r="T36" t="str">
        <f>IFERROR(IF(VLOOKUP(MID(R36,2,3)+0,тесты!P:P,1,0),"мегафон"),"")</f>
        <v/>
      </c>
      <c r="V36" t="str">
        <f>IFERROR(IF(VLOOKUP(MID(T36,2,3)+0,тесты!P:P,1,0),"мегафон"),"")</f>
        <v/>
      </c>
    </row>
    <row r="37" spans="16:22" x14ac:dyDescent="0.25">
      <c r="P37" t="e">
        <f t="shared" si="5"/>
        <v>#N/A</v>
      </c>
      <c r="Q37" t="e">
        <f>IF(VLOOKUP(B37,[2]акция!$B:$L,11,0)=4," 2/3 просроченных процентов",IF(VLOOKUP(B37,[2]акция!$B:$L,11,0)=3," 1/2 просроченных процентов",IF(VLOOKUP(B37,[2]акция!$B:$L,11,0)=2," 1/3 просроченных процентов",IF(VLOOKUP(B37,[2]акция!$B:$L,11,0)=1,"",interface!$P$5))))</f>
        <v>#N/A</v>
      </c>
      <c r="R37" t="e">
        <f>IF(VLOOKUP(B37,[2]акция!$B:$N,13,0)="да"," все пени"," текущую неустойку")</f>
        <v>#N/A</v>
      </c>
      <c r="S37" t="str">
        <f>IFERROR(IF(VLOOKUP(MID(C37,2,3)+0,тесты!A:A,1,0),"мегафон"),"")</f>
        <v/>
      </c>
      <c r="T37" t="str">
        <f>IFERROR(IF(VLOOKUP(MID(R37,2,3)+0,тесты!P:P,1,0),"мегафон"),"")</f>
        <v/>
      </c>
      <c r="V37" t="str">
        <f>IFERROR(IF(VLOOKUP(MID(T37,2,3)+0,тесты!P:P,1,0),"мегафон"),"")</f>
        <v/>
      </c>
    </row>
  </sheetData>
  <autoFilter ref="A1:O261" xr:uid="{00000000-0001-0000-0000-000000000000}"/>
  <phoneticPr fontId="9" type="noConversion"/>
  <conditionalFormatting sqref="A1:C1">
    <cfRule type="duplicateValues" dxfId="1" priority="461"/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6E846-15EC-4AB6-A7E1-923576FF3E63}">
  <sheetPr codeName="Лист1"/>
  <dimension ref="A1:F55"/>
  <sheetViews>
    <sheetView workbookViewId="0">
      <selection activeCell="A17" sqref="A17:C17"/>
    </sheetView>
  </sheetViews>
  <sheetFormatPr defaultRowHeight="15" x14ac:dyDescent="0.25"/>
  <cols>
    <col min="1" max="2" width="22.140625" bestFit="1" customWidth="1"/>
  </cols>
  <sheetData>
    <row r="1" spans="1:6" x14ac:dyDescent="0.25">
      <c r="A1" t="s">
        <v>379</v>
      </c>
      <c r="B1" t="str">
        <f>IF(VLOOKUP(Пени!B2,[2]акция!$B:$L,11,0)=1,interface!$A$21,IF(VLOOKUP(Пени!B2,[2]акция!$B:$C,2,0)&gt;interface!$A$15,interface!$A$8,СМСшапка))</f>
        <v xml:space="preserve">СПИСАНИЕ ЧАСТИ ДОЛГА! </v>
      </c>
      <c r="C1" t="str">
        <f>лого&amp;Пени!E2&amp;", добрый день. &lt;br&gt;&lt;br&gt;"&amp;Меил_до&amp;" "&amp;TEXT(Пени!K2,"## ##")&amp;" руб., по Договору № "&amp;Пени!B2&amp;", а "&amp;Пени!L2&amp;" "&amp;Пени!P2&amp;"."&amp;IF(interface!$A$18="да"," Предложение действует также при реструктуризации займа.","")&amp;IF(Пени!J2&gt;1000,"&lt;br&gt;&lt;strong&gt;Ваша выгода: "&amp;TEXT(Пени!J2,"## ##")&amp;" руб.&lt;/strong&gt;","")&amp;адрес</f>
        <v>&lt;center&gt;&lt;img src=https://imgbb.su/images/2021/11/17/b5bc8f9d84f3e7a21f080f6b12170490.png&gt;&lt;/center&gt;&lt;br&gt;&lt;br&gt;&lt;br&gt;Надежда Алексеевна, добрый день. &lt;br&gt;&lt;br&gt;До 24.03.2023 (включительно), оплатите 109 295 руб., по Договору № В-25306/КЛ.Транш - 1, а Займодавец спишет 1/3 просроченных процентов и все пени. Предложение действует также при реструктуризации займа.&lt;br&gt;&lt;strong&gt;Ваша выгода: 80 611 руб.&lt;/strong&gt;&lt;center&gt;&lt;br&gt;&lt;br&gt;&lt;br&gt;&lt;em&gt;Системы кредитования «Взаимно»&lt;br&gt;123290, г. Москва, туп 1-й Магистральный, д. 11 стр. 10, пом. 1, ком. 2.&lt;br&gt;www.mfovzaimno.ru&lt;br&gt;+7 (495) 783 48 36, 8 (800) 555 83 46 (для регионов)&lt;/em&gt;&lt;/center&gt;</v>
      </c>
      <c r="E1" t="str">
        <f>IFERROR(IF(VLOOKUP(Пени!B2,[2]акция!$B:$C,2,0)&gt;=interface!$T$1,"П","Н"),"неУЧ.")</f>
        <v>П</v>
      </c>
      <c r="F1" t="s">
        <v>300</v>
      </c>
    </row>
    <row r="2" spans="1:6" x14ac:dyDescent="0.25">
      <c r="A2" t="s">
        <v>380</v>
      </c>
      <c r="B2" t="str">
        <f>IF(VLOOKUP(Пени!B3,[2]акция!$B:$L,11,0)=1,interface!$A$21,IF(VLOOKUP(Пени!B3,[2]акция!$B:$C,2,0)&gt;interface!$A$15,interface!$A$8,СМСшапка))</f>
        <v xml:space="preserve">СПИСАНИЕ ЧАСТИ ДОЛГА! </v>
      </c>
      <c r="C2" t="str">
        <f>лого&amp;Пени!E3&amp;", добрый день. &lt;br&gt;&lt;br&gt;"&amp;Меил_до&amp;" "&amp;TEXT(Пени!K3,"## ##")&amp;" руб., по Договору № "&amp;Пени!B3&amp;", а "&amp;Пени!L3&amp;" "&amp;Пени!P3&amp;"."&amp;IF(interface!$A$18="да"," Предложение действует также при реструктуризации займа.","")&amp;IF(Пени!J3&gt;1000,"&lt;br&gt;&lt;strong&gt;Ваша выгода: "&amp;TEXT(Пени!J3,"## ##")&amp;" руб.&lt;/strong&gt;","")&amp;адрес</f>
        <v>&lt;center&gt;&lt;img src=https://imgbb.su/images/2021/11/17/b5bc8f9d84f3e7a21f080f6b12170490.png&gt;&lt;/center&gt;&lt;br&gt;&lt;br&gt;&lt;br&gt;Юлия Александровна, добрый день. &lt;br&gt;&lt;br&gt;До 24.03.2023 (включительно), оплатите 72 788 руб., по Договору № В-25865/КЛ.Транш - 1, а Займодавец спишет 1/3 просроченных процентов и все пени. Предложение действует также при реструктуризации займа.&lt;br&gt;&lt;strong&gt;Ваша выгода: 48 042 руб.&lt;/strong&gt;&lt;center&gt;&lt;br&gt;&lt;br&gt;&lt;br&gt;&lt;em&gt;Системы кредитования «Взаимно»&lt;br&gt;123290, г. Москва, туп 1-й Магистральный, д. 11 стр. 10, пом. 1, ком. 2.&lt;br&gt;www.mfovzaimno.ru&lt;br&gt;+7 (495) 783 48 36, 8 (800) 555 83 46 (для регионов)&lt;/em&gt;&lt;/center&gt;</v>
      </c>
      <c r="E2" t="str">
        <f>IFERROR(IF(VLOOKUP(Пени!B3,[2]акция!$B:$C,2,0)&gt;=interface!$T$1,"П","Н"),"неУЧ.")</f>
        <v>П</v>
      </c>
      <c r="F2" t="s">
        <v>315</v>
      </c>
    </row>
    <row r="3" spans="1:6" x14ac:dyDescent="0.25">
      <c r="A3" t="s">
        <v>403</v>
      </c>
      <c r="B3" t="str">
        <f>IF(VLOOKUP(Пени!B4,[2]акция!$B:$L,11,0)=1,interface!$A$21,IF(VLOOKUP(Пени!B4,[2]акция!$B:$C,2,0)&gt;interface!$A$15,interface!$A$8,СМСшапка))</f>
        <v xml:space="preserve">СПИСАНИЕ ЧАСТИ ДОЛГА! </v>
      </c>
      <c r="C3" t="str">
        <f>лого&amp;Пени!E4&amp;", добрый день. &lt;br&gt;&lt;br&gt;"&amp;Меил_до&amp;" "&amp;TEXT(Пени!K4,"## ##")&amp;" руб., по Договору № "&amp;Пени!B4&amp;", а "&amp;Пени!L4&amp;" "&amp;Пени!P4&amp;"."&amp;IF(interface!$A$18="да"," Предложение действует также при реструктуризации займа.","")&amp;IF(Пени!J4&gt;1000,"&lt;br&gt;&lt;strong&gt;Ваша выгода: "&amp;TEXT(Пени!J4,"## ##")&amp;" руб.&lt;/strong&gt;","")&amp;адрес</f>
        <v>&lt;center&gt;&lt;img src=https://imgbb.su/images/2021/11/17/b5bc8f9d84f3e7a21f080f6b12170490.png&gt;&lt;/center&gt;&lt;br&gt;&lt;br&gt;&lt;br&gt;Борис Викторович, добрый день. &lt;br&gt;&lt;br&gt;До 24.03.2023 (включительно), оплатите 22 994 руб., по Договору № В-25824/КЛ.Транш - 1, а Займодавец спишет 1/3 просроченных процентов и все пени. Предложение действует также при реструктуризации займа.&lt;br&gt;&lt;strong&gt;Ваша выгода: 16 316 руб.&lt;/strong&gt;&lt;center&gt;&lt;br&gt;&lt;br&gt;&lt;br&gt;&lt;em&gt;Системы кредитования «Взаимно»&lt;br&gt;123290, г. Москва, туп 1-й Магистральный, д. 11 стр. 10, пом. 1, ком. 2.&lt;br&gt;www.mfovzaimno.ru&lt;br&gt;+7 (495) 783 48 36, 8 (800) 555 83 46 (для регионов)&lt;/em&gt;&lt;/center&gt;</v>
      </c>
      <c r="E3" t="str">
        <f>IFERROR(IF(VLOOKUP(Пени!B4,[2]акция!$B:$C,2,0)&gt;=interface!$T$1,"П","Н"),"неУЧ.")</f>
        <v>П</v>
      </c>
      <c r="F3" t="s">
        <v>318</v>
      </c>
    </row>
    <row r="4" spans="1:6" x14ac:dyDescent="0.25">
      <c r="A4" t="s">
        <v>381</v>
      </c>
      <c r="B4" t="str">
        <f>IF(VLOOKUP(Пени!B5,[2]акция!$B:$L,11,0)=1,interface!$A$21,IF(VLOOKUP(Пени!B5,[2]акция!$B:$C,2,0)&gt;interface!$A$15,interface!$A$8,СМСшапка))</f>
        <v xml:space="preserve">СПИСАНИЕ ЧАСТИ ДОЛГА! </v>
      </c>
      <c r="C4" t="str">
        <f>лого&amp;Пени!E5&amp;", добрый день. &lt;br&gt;&lt;br&gt;"&amp;Меил_до&amp;" "&amp;TEXT(Пени!K5,"## ##")&amp;" руб., по Договору № "&amp;Пени!B5&amp;", а "&amp;Пени!L5&amp;" "&amp;Пени!P5&amp;"."&amp;IF(interface!$A$18="да"," Предложение действует также при реструктуризации займа.","")&amp;IF(Пени!J5&gt;1000,"&lt;br&gt;&lt;strong&gt;Ваша выгода: "&amp;TEXT(Пени!J5,"## ##")&amp;" руб.&lt;/strong&gt;","")&amp;адрес</f>
        <v>&lt;center&gt;&lt;img src=https://imgbb.su/images/2021/11/17/b5bc8f9d84f3e7a21f080f6b12170490.png&gt;&lt;/center&gt;&lt;br&gt;&lt;br&gt;&lt;br&gt;Сабир Вагифович, добрый день. &lt;br&gt;&lt;br&gt;До 24.03.2023 (включительно), оплатите 11 219 руб., по Договору № В-21137/КЛ.Транш - 1, а Займодавец спишет 1/3 просроченных процентов и все пени. Предложение действует также при реструктуризации займа.&lt;br&gt;&lt;strong&gt;Ваша выгода: 4 436 руб.&lt;/strong&gt;&lt;center&gt;&lt;br&gt;&lt;br&gt;&lt;br&gt;&lt;em&gt;Системы кредитования «Взаимно»&lt;br&gt;123290, г. Москва, туп 1-й Магистральный, д. 11 стр. 10, пом. 1, ком. 2.&lt;br&gt;www.mfovzaimno.ru&lt;br&gt;+7 (495) 783 48 36, 8 (800) 555 83 46 (для регионов)&lt;/em&gt;&lt;/center&gt;</v>
      </c>
      <c r="E4" t="str">
        <f>IFERROR(IF(VLOOKUP(Пени!B5,[2]акция!$B:$C,2,0)&gt;=interface!$T$1,"П","Н"),"неУЧ.")</f>
        <v>П</v>
      </c>
      <c r="F4" t="s">
        <v>272</v>
      </c>
    </row>
    <row r="5" spans="1:6" x14ac:dyDescent="0.25">
      <c r="A5" t="s">
        <v>404</v>
      </c>
      <c r="B5" t="str">
        <f>IF(VLOOKUP(Пени!B5,[2]акция!$B:$L,11,0)=1,interface!$A$21,IF(VLOOKUP(Пени!B5,[2]акция!$B:$C,2,0)&gt;interface!$A$15,interface!$A$8,СМСшапка))</f>
        <v xml:space="preserve">СПИСАНИЕ ЧАСТИ ДОЛГА! </v>
      </c>
      <c r="C5" t="str">
        <f>лого&amp;Пени!E5&amp;", добрый день. &lt;br&gt;&lt;br&gt;"&amp;Меил_до&amp;" "&amp;TEXT(Пени!K5,"## ##")&amp;" руб., по Договору № "&amp;Пени!B5&amp;", а "&amp;Пени!L5&amp;" "&amp;Пени!P5&amp;"."&amp;IF(interface!$A$18="да"," Предложение действует также при реструктуризации займа.","")&amp;IF(Пени!J5&gt;1000,"&lt;br&gt;&lt;strong&gt;Ваша выгода: "&amp;TEXT(Пени!J5,"## ##")&amp;" руб.&lt;/strong&gt;","")&amp;адрес</f>
        <v>&lt;center&gt;&lt;img src=https://imgbb.su/images/2021/11/17/b5bc8f9d84f3e7a21f080f6b12170490.png&gt;&lt;/center&gt;&lt;br&gt;&lt;br&gt;&lt;br&gt;Сабир Вагифович, добрый день. &lt;br&gt;&lt;br&gt;До 24.03.2023 (включительно), оплатите 11 219 руб., по Договору № В-21137/КЛ.Транш - 1, а Займодавец спишет 1/3 просроченных процентов и все пени. Предложение действует также при реструктуризации займа.&lt;br&gt;&lt;strong&gt;Ваша выгода: 4 436 руб.&lt;/strong&gt;&lt;center&gt;&lt;br&gt;&lt;br&gt;&lt;br&gt;&lt;em&gt;Системы кредитования «Взаимно»&lt;br&gt;123290, г. Москва, туп 1-й Магистральный, д. 11 стр. 10, пом. 1, ком. 2.&lt;br&gt;www.mfovzaimno.ru&lt;br&gt;+7 (495) 783 48 36, 8 (800) 555 83 46 (для регионов)&lt;/em&gt;&lt;/center&gt;</v>
      </c>
      <c r="E5" t="str">
        <f>IFERROR(IF(VLOOKUP(Пени!B5,[2]акция!$B:$C,2,0)&gt;=interface!$T$1,"П","Н"),"неУЧ.")</f>
        <v>П</v>
      </c>
      <c r="F5" t="s">
        <v>276</v>
      </c>
    </row>
    <row r="6" spans="1:6" x14ac:dyDescent="0.25">
      <c r="A6" t="s">
        <v>414</v>
      </c>
      <c r="B6" t="str">
        <f>IF(VLOOKUP(Пени!B6,[2]акция!$B:$L,11,0)=1,interface!$A$21,IF(VLOOKUP(Пени!B6,[2]акция!$B:$C,2,0)&gt;interface!$A$15,interface!$A$8,СМСшапка))</f>
        <v xml:space="preserve">СПИСАНИЕ ЧАСТИ ДОЛГА! </v>
      </c>
      <c r="C6" t="str">
        <f>лого&amp;Пени!E6&amp;", добрый день. &lt;br&gt;&lt;br&gt;"&amp;Меил_до&amp;" "&amp;TEXT(Пени!K6,"## ##")&amp;" руб., по Договору № "&amp;Пени!B6&amp;", а "&amp;Пени!L6&amp;" "&amp;Пени!P6&amp;"."&amp;IF(interface!$A$18="да"," Предложение действует также при реструктуризации займа.","")&amp;IF(Пени!J6&gt;1000,"&lt;br&gt;&lt;strong&gt;Ваша выгода: "&amp;TEXT(Пени!J6,"## ##")&amp;" руб.&lt;/strong&gt;","")&amp;адрес</f>
        <v>&lt;center&gt;&lt;img src=https://imgbb.su/images/2021/11/17/b5bc8f9d84f3e7a21f080f6b12170490.png&gt;&lt;/center&gt;&lt;br&gt;&lt;br&gt;&lt;br&gt;Шаул Рамбомович, добрый день. &lt;br&gt;&lt;br&gt;До 24.03.2023 (включительно), оплатите 18 159 руб., по Договору № В-06345/КЛ.Транш - 1, а Займодавец спишет 1/3 просроченных процентов и все пени. Предложение действует также при реструктуризации займа.&lt;br&gt;&lt;strong&gt;Ваша выгода: 6 863 руб.&lt;/strong&gt;&lt;center&gt;&lt;br&gt;&lt;br&gt;&lt;br&gt;&lt;em&gt;Системы кредитования «Взаимно»&lt;br&gt;123290, г. Москва, туп 1-й Магистральный, д. 11 стр. 10, пом. 1, ком. 2.&lt;br&gt;www.mfovzaimno.ru&lt;br&gt;+7 (495) 783 48 36, 8 (800) 555 83 46 (для регионов)&lt;/em&gt;&lt;/center&gt;</v>
      </c>
      <c r="E6" t="str">
        <f>IFERROR(IF(VLOOKUP(Пени!B6,[2]акция!$B:$C,2,0)&gt;=interface!$T$1,"П","Н"),"неУЧ.")</f>
        <v>П</v>
      </c>
      <c r="F6" t="s">
        <v>276</v>
      </c>
    </row>
    <row r="7" spans="1:6" x14ac:dyDescent="0.25">
      <c r="A7" t="s">
        <v>415</v>
      </c>
      <c r="B7" t="str">
        <f>IF(VLOOKUP(Пени!B7,[2]акция!$B:$L,11,0)=1,interface!$A$21,IF(VLOOKUP(Пени!B7,[2]акция!$B:$C,2,0)&gt;interface!$A$15,interface!$A$8,СМСшапка))</f>
        <v xml:space="preserve">СПИСАНИЕ ЧАСТИ ДОЛГА! </v>
      </c>
      <c r="C7" t="str">
        <f>лого&amp;Пени!E7&amp;", добрый день. &lt;br&gt;&lt;br&gt;"&amp;Меил_до&amp;" "&amp;TEXT(Пени!K7,"## ##")&amp;" руб., по Договору № "&amp;Пени!B7&amp;", а "&amp;Пени!L7&amp;" "&amp;Пени!P7&amp;"."&amp;IF(interface!$A$18="да"," Предложение действует также при реструктуризации займа.","")&amp;IF(Пени!J7&gt;1000,"&lt;br&gt;&lt;strong&gt;Ваша выгода: "&amp;TEXT(Пени!J7,"## ##")&amp;" руб.&lt;/strong&gt;","")&amp;адрес</f>
        <v>&lt;center&gt;&lt;img src=https://imgbb.su/images/2021/11/17/b5bc8f9d84f3e7a21f080f6b12170490.png&gt;&lt;/center&gt;&lt;br&gt;&lt;br&gt;&lt;br&gt;Роман Вячеславович, добрый день. &lt;br&gt;&lt;br&gt;До 24.03.2023 (включительно), оплатите 35 738 руб., по Договору № В-12943/КЛ.Транш - 1, а Займодавец спишет 1/3 просроченных процентов и все пени. Предложение действует также при реструктуризации займа.&lt;br&gt;&lt;strong&gt;Ваша выгода: 13 109 руб.&lt;/strong&gt;&lt;center&gt;&lt;br&gt;&lt;br&gt;&lt;br&gt;&lt;em&gt;Системы кредитования «Взаимно»&lt;br&gt;123290, г. Москва, туп 1-й Магистральный, д. 11 стр. 10, пом. 1, ком. 2.&lt;br&gt;www.mfovzaimno.ru&lt;br&gt;+7 (495) 783 48 36, 8 (800) 555 83 46 (для регионов)&lt;/em&gt;&lt;/center&gt;</v>
      </c>
      <c r="E7" t="str">
        <f>IFERROR(IF(VLOOKUP(Пени!B7,[2]акция!$B:$C,2,0)&gt;=interface!$T$1,"П","Н"),"неУЧ.")</f>
        <v>П</v>
      </c>
      <c r="F7" t="s">
        <v>289</v>
      </c>
    </row>
    <row r="8" spans="1:6" x14ac:dyDescent="0.25">
      <c r="A8" t="s">
        <v>405</v>
      </c>
      <c r="B8" t="str">
        <f>IF(VLOOKUP(Пени!B8,[2]акция!$B:$L,11,0)=1,interface!$A$21,IF(VLOOKUP(Пени!B8,[2]акция!$B:$C,2,0)&gt;interface!$A$15,interface!$A$8,СМСшапка))</f>
        <v xml:space="preserve">СПИСАНИЕ ЧАСТИ ДОЛГА! </v>
      </c>
      <c r="C8" t="str">
        <f>лого&amp;Пени!E8&amp;", добрый день. &lt;br&gt;&lt;br&gt;"&amp;Меил_до&amp;" "&amp;TEXT(Пени!K8,"## ##")&amp;" руб., по Договору № "&amp;Пени!B8&amp;", а "&amp;Пени!L8&amp;" "&amp;Пени!P8&amp;"."&amp;IF(interface!$A$18="да"," Предложение действует также при реструктуризации займа.","")&amp;IF(Пени!J8&gt;1000,"&lt;br&gt;&lt;strong&gt;Ваша выгода: "&amp;TEXT(Пени!J8,"## ##")&amp;" руб.&lt;/strong&gt;","")&amp;адрес</f>
        <v>&lt;center&gt;&lt;img src=https://imgbb.su/images/2021/11/17/b5bc8f9d84f3e7a21f080f6b12170490.png&gt;&lt;/center&gt;&lt;br&gt;&lt;br&gt;&lt;br&gt;Андрей Викторович, добрый день. &lt;br&gt;&lt;br&gt;До 24.03.2023 (включительно), оплатите 29 506 руб., по Договору № В-24247/КЛ.Транш - 1, а Займодавец спишет 1/3 просроченных процентов и все пени. Предложение действует также при реструктуризации займа.&lt;br&gt;&lt;strong&gt;Ваша выгода: 19 368 руб.&lt;/strong&gt;&lt;center&gt;&lt;br&gt;&lt;br&gt;&lt;br&gt;&lt;em&gt;Системы кредитования «Взаимно»&lt;br&gt;123290, г. Москва, туп 1-й Магистральный, д. 11 стр. 10, пом. 1, ком. 2.&lt;br&gt;www.mfovzaimno.ru&lt;br&gt;+7 (495) 783 48 36, 8 (800) 555 83 46 (для регионов)&lt;/em&gt;&lt;/center&gt;</v>
      </c>
      <c r="E8" t="str">
        <f>IFERROR(IF(VLOOKUP(Пени!B8,[2]акция!$B:$C,2,0)&gt;=interface!$T$1,"П","Н"),"неУЧ.")</f>
        <v>П</v>
      </c>
      <c r="F8" t="s">
        <v>382</v>
      </c>
    </row>
    <row r="9" spans="1:6" x14ac:dyDescent="0.25">
      <c r="A9" t="s">
        <v>406</v>
      </c>
      <c r="B9" t="str">
        <f>IF(VLOOKUP(Пени!B9,[2]акция!$B:$L,11,0)=1,interface!$A$21,IF(VLOOKUP(Пени!B9,[2]акция!$B:$C,2,0)&gt;interface!$A$15,interface!$A$8,СМСшапка))</f>
        <v xml:space="preserve">СПИСАНИЕ ЧАСТИ ДОЛГА! </v>
      </c>
      <c r="C9" t="str">
        <f>лого&amp;Пени!E9&amp;", добрый день. &lt;br&gt;&lt;br&gt;"&amp;Меил_до&amp;" "&amp;TEXT(Пени!K9,"## ##")&amp;" руб., по Договору № "&amp;Пени!B9&amp;", а "&amp;Пени!L9&amp;" "&amp;Пени!P9&amp;"."&amp;IF(interface!$A$18="да"," Предложение действует также при реструктуризации займа.","")&amp;IF(Пени!J9&gt;1000,"&lt;br&gt;&lt;strong&gt;Ваша выгода: "&amp;TEXT(Пени!J9,"## ##")&amp;" руб.&lt;/strong&gt;","")&amp;адрес</f>
        <v>&lt;center&gt;&lt;img src=https://imgbb.su/images/2021/11/17/b5bc8f9d84f3e7a21f080f6b12170490.png&gt;&lt;/center&gt;&lt;br&gt;&lt;br&gt;&lt;br&gt;Георгий Михайлович, добрый день. &lt;br&gt;&lt;br&gt;До 24.03.2023 (включительно), оплатите 43 853 руб., по Договору № В-28436/АЗ, а Кредитор спишет 1/3 просроченных процентов и все пени. Предложение действует также при реструктуризации займа.&lt;br&gt;&lt;strong&gt;Ваша выгода: 19 305 руб.&lt;/strong&gt;&lt;center&gt;&lt;br&gt;&lt;br&gt;&lt;br&gt;&lt;em&gt;Системы кредитования «Взаимно»&lt;br&gt;123290, г. Москва, туп 1-й Магистральный, д. 11 стр. 10, пом. 1, ком. 2.&lt;br&gt;www.mfovzaimno.ru&lt;br&gt;+7 (495) 783 48 36, 8 (800) 555 83 46 (для регионов)&lt;/em&gt;&lt;/center&gt;</v>
      </c>
      <c r="E9" t="str">
        <f>IFERROR(IF(VLOOKUP(Пени!B9,[2]акция!$B:$C,2,0)&gt;=interface!$T$1,"П","Н"),"неУЧ.")</f>
        <v>П</v>
      </c>
      <c r="F9" t="s">
        <v>384</v>
      </c>
    </row>
    <row r="10" spans="1:6" x14ac:dyDescent="0.25">
      <c r="A10" t="s">
        <v>407</v>
      </c>
      <c r="B10" t="str">
        <f>IF(VLOOKUP(Пени!B10,[2]акция!$B:$L,11,0)=1,interface!$A$21,IF(VLOOKUP(Пени!B10,[2]акция!$B:$C,2,0)&gt;interface!$A$15,interface!$A$8,СМСшапка))</f>
        <v xml:space="preserve">СПИСАНИЕ ЧАСТИ ДОЛГА! </v>
      </c>
      <c r="C10" t="str">
        <f>лого&amp;Пени!E10&amp;", добрый день. &lt;br&gt;&lt;br&gt;"&amp;Меил_до&amp;" "&amp;TEXT(Пени!K10,"## ##")&amp;" руб., по Договору № "&amp;Пени!B10&amp;", а "&amp;Пени!L10&amp;" "&amp;Пени!P10&amp;"."&amp;IF(interface!$A$18="да"," Предложение действует также при реструктуризации займа.","")&amp;IF(Пени!J10&gt;1000,"&lt;br&gt;&lt;strong&gt;Ваша выгода: "&amp;TEXT(Пени!J10,"## ##")&amp;" руб.&lt;/strong&gt;","")&amp;адрес</f>
        <v>&lt;center&gt;&lt;img src=https://imgbb.su/images/2021/11/17/b5bc8f9d84f3e7a21f080f6b12170490.png&gt;&lt;/center&gt;&lt;br&gt;&lt;br&gt;&lt;br&gt;Денис Сергеевич, добрый день. &lt;br&gt;&lt;br&gt;До 24.03.2023 (включительно), оплатите 44 646 руб., по Договору № В-25052/КЛ.Транш - 1, а Займодавец спишет 1/3 просроченных процентов и все пени. Предложение действует также при реструктуризации займа.&lt;br&gt;&lt;strong&gt;Ваша выгода: 39 566 руб.&lt;/strong&gt;&lt;center&gt;&lt;br&gt;&lt;br&gt;&lt;br&gt;&lt;em&gt;Системы кредитования «Взаимно»&lt;br&gt;123290, г. Москва, туп 1-й Магистральный, д. 11 стр. 10, пом. 1, ком. 2.&lt;br&gt;www.mfovzaimno.ru&lt;br&gt;+7 (495) 783 48 36, 8 (800) 555 83 46 (для регионов)&lt;/em&gt;&lt;/center&gt;</v>
      </c>
      <c r="E10" t="str">
        <f>IFERROR(IF(VLOOKUP(Пени!B10,[2]акция!$B:$C,2,0)&gt;=interface!$T$1,"П","Н"),"неУЧ.")</f>
        <v>П</v>
      </c>
      <c r="F10" t="s">
        <v>386</v>
      </c>
    </row>
    <row r="11" spans="1:6" x14ac:dyDescent="0.25">
      <c r="A11" t="s">
        <v>408</v>
      </c>
      <c r="B11" t="str">
        <f>IF(VLOOKUP(Пени!B11,[2]акция!$B:$L,11,0)=1,interface!$A$21,IF(VLOOKUP(Пени!B11,[2]акция!$B:$C,2,0)&gt;interface!$A$15,interface!$A$8,СМСшапка))</f>
        <v xml:space="preserve">СПИСАНИЕ ЧАСТИ ДОЛГА! </v>
      </c>
      <c r="C11" t="str">
        <f>лого&amp;Пени!E11&amp;", добрый день. &lt;br&gt;&lt;br&gt;"&amp;Меил_до&amp;" "&amp;TEXT(Пени!K11,"## ##")&amp;" руб., по Договору № "&amp;Пени!B11&amp;", а "&amp;Пени!L11&amp;" "&amp;Пени!P11&amp;"."&amp;IF(interface!$A$18="да"," Предложение действует также при реструктуризации займа.","")&amp;IF(Пени!J11&gt;1000,"&lt;br&gt;&lt;strong&gt;Ваша выгода: "&amp;TEXT(Пени!J11,"## ##")&amp;" руб.&lt;/strong&gt;","")&amp;адрес</f>
        <v>&lt;center&gt;&lt;img src=https://imgbb.su/images/2021/11/17/b5bc8f9d84f3e7a21f080f6b12170490.png&gt;&lt;/center&gt;&lt;br&gt;&lt;br&gt;&lt;br&gt;Михаил Герасимович, добрый день. &lt;br&gt;&lt;br&gt;До 24.03.2023 (включительно), оплатите 53 578 руб., по Договору № В-21973/КЛ.Транш - 1, а Займодавец спишет 1/3 просроченных процентов и все пени. Предложение действует также при реструктуризации займа.&lt;br&gt;&lt;strong&gt;Ваша выгода: 27 887 руб.&lt;/strong&gt;&lt;center&gt;&lt;br&gt;&lt;br&gt;&lt;br&gt;&lt;em&gt;Системы кредитования «Взаимно»&lt;br&gt;123290, г. Москва, туп 1-й Магистральный, д. 11 стр. 10, пом. 1, ком. 2.&lt;br&gt;www.mfovzaimno.ru&lt;br&gt;+7 (495) 783 48 36, 8 (800) 555 83 46 (для регионов)&lt;/em&gt;&lt;/center&gt;</v>
      </c>
      <c r="E11" t="str">
        <f>IFERROR(IF(VLOOKUP(Пени!B11,[2]акция!$B:$C,2,0)&gt;=interface!$T$1,"П","Н"),"неУЧ.")</f>
        <v>П</v>
      </c>
      <c r="F11" t="s">
        <v>388</v>
      </c>
    </row>
    <row r="12" spans="1:6" x14ac:dyDescent="0.25">
      <c r="A12" t="s">
        <v>409</v>
      </c>
      <c r="B12" t="str">
        <f>IF(VLOOKUP(Пени!B12,[2]акция!$B:$L,11,0)=1,interface!$A$21,IF(VLOOKUP(Пени!B12,[2]акция!$B:$C,2,0)&gt;interface!$A$15,interface!$A$8,СМСшапка))</f>
        <v xml:space="preserve">СПИСАНИЕ ЧАСТИ ДОЛГА! </v>
      </c>
      <c r="C12" t="str">
        <f>лого&amp;Пени!E12&amp;", добрый день. &lt;br&gt;&lt;br&gt;"&amp;Меил_до&amp;" "&amp;TEXT(Пени!K12,"## ##")&amp;" руб., по Договору № "&amp;Пени!B12&amp;", а "&amp;Пени!L12&amp;" "&amp;Пени!P12&amp;"."&amp;IF(interface!$A$18="да"," Предложение действует также при реструктуризации займа.","")&amp;IF(Пени!J12&gt;1000,"&lt;br&gt;&lt;strong&gt;Ваша выгода: "&amp;TEXT(Пени!J12,"## ##")&amp;" руб.&lt;/strong&gt;","")&amp;адрес</f>
        <v>&lt;center&gt;&lt;img src=https://imgbb.su/images/2021/11/17/b5bc8f9d84f3e7a21f080f6b12170490.png&gt;&lt;/center&gt;&lt;br&gt;&lt;br&gt;&lt;br&gt;Ольга Игоревна, добрый день. &lt;br&gt;&lt;br&gt;До 24.03.2023 (включительно), оплатите 27 562 руб., по Договору № В-27049/АЗ, а Кредитор спишет 1/3 просроченных процентов и все пени. Предложение действует также при реструктуризации займа.&lt;br&gt;&lt;strong&gt;Ваша выгода: 11 261 руб.&lt;/strong&gt;&lt;center&gt;&lt;br&gt;&lt;br&gt;&lt;br&gt;&lt;em&gt;Системы кредитования «Взаимно»&lt;br&gt;123290, г. Москва, туп 1-й Магистральный, д. 11 стр. 10, пом. 1, ком. 2.&lt;br&gt;www.mfovzaimno.ru&lt;br&gt;+7 (495) 783 48 36, 8 (800) 555 83 46 (для регионов)&lt;/em&gt;&lt;/center&gt;</v>
      </c>
      <c r="E12" t="str">
        <f>IFERROR(IF(VLOOKUP(Пени!B12,[2]акция!$B:$C,2,0)&gt;=interface!$T$1,"П","Н"),"неУЧ.")</f>
        <v>П</v>
      </c>
      <c r="F12" t="s">
        <v>390</v>
      </c>
    </row>
    <row r="13" spans="1:6" x14ac:dyDescent="0.25">
      <c r="A13" t="s">
        <v>378</v>
      </c>
      <c r="B13" t="str">
        <f>IF(VLOOKUP(Пени!B13,[2]акция!$B:$L,11,0)=1,interface!$A$21,IF(VLOOKUP(Пени!B13,[2]акция!$B:$C,2,0)&gt;interface!$A$15,interface!$A$8,СМСшапка))</f>
        <v xml:space="preserve">ПРОЩЕНИЕ ПЕНИ! </v>
      </c>
      <c r="C13" t="str">
        <f>лого&amp;Пени!E13&amp;", добрый день. &lt;br&gt;&lt;br&gt;"&amp;Меил_до&amp;" "&amp;TEXT(Пени!K13,"## ##")&amp;" руб., по Договору № "&amp;Пени!B13&amp;", а "&amp;Пени!L13&amp;" "&amp;Пени!P13&amp;"."&amp;IF(interface!$A$18="да"," Предложение действует также при реструктуризации займа.","")&amp;IF(Пени!J13&gt;1000,"&lt;br&gt;&lt;strong&gt;Ваша выгода: "&amp;TEXT(Пени!J13,"## ##")&amp;" руб.&lt;/strong&gt;","")&amp;адрес</f>
        <v>&lt;center&gt;&lt;img src=https://imgbb.su/images/2021/11/17/b5bc8f9d84f3e7a21f080f6b12170490.png&gt;&lt;/center&gt;&lt;br&gt;&lt;br&gt;&lt;br&gt;Вячеслав Игоревич, добрый день. &lt;br&gt;&lt;br&gt;До 24.03.2023 (включительно), оплатите 6 101 руб., по Договору № В-12574/КЛ.Транш - 2, а Займодавец спишет все пени. Предложение действует также при реструктуризации займа.&lt;br&gt;&lt;strong&gt;Ваша выгода: 1 115 руб.&lt;/strong&gt;&lt;center&gt;&lt;br&gt;&lt;br&gt;&lt;br&gt;&lt;em&gt;Системы кредитования «Взаимно»&lt;br&gt;123290, г. Москва, туп 1-й Магистральный, д. 11 стр. 10, пом. 1, ком. 2.&lt;br&gt;www.mfovzaimno.ru&lt;br&gt;+7 (495) 783 48 36, 8 (800) 555 83 46 (для регионов)&lt;/em&gt;&lt;/center&gt;</v>
      </c>
      <c r="E13" t="str">
        <f>IFERROR(IF(VLOOKUP(Пени!B13,[2]акция!$B:$C,2,0)&gt;=interface!$T$1,"П","Н"),"неУЧ.")</f>
        <v>П</v>
      </c>
      <c r="F13" t="s">
        <v>242</v>
      </c>
    </row>
    <row r="14" spans="1:6" x14ac:dyDescent="0.25">
      <c r="A14" t="s">
        <v>410</v>
      </c>
      <c r="B14" t="str">
        <f>IF(VLOOKUP(Пени!B14,[2]акция!$B:$L,11,0)=1,interface!$A$21,IF(VLOOKUP(Пени!B14,[2]акция!$B:$C,2,0)&gt;interface!$A$15,interface!$A$8,СМСшапка))</f>
        <v xml:space="preserve">ПРОЩЕНИЕ ПЕНИ! </v>
      </c>
      <c r="C14" t="str">
        <f>лого&amp;Пени!E14&amp;", добрый день. &lt;br&gt;&lt;br&gt;"&amp;Меил_до&amp;" "&amp;TEXT(Пени!K14,"## ##")&amp;" руб., по Договору № "&amp;Пени!B14&amp;", а "&amp;Пени!L14&amp;" "&amp;Пени!P14&amp;"."&amp;IF(interface!$A$18="да"," Предложение действует также при реструктуризации займа.","")&amp;IF(Пени!J14&gt;1000,"&lt;br&gt;&lt;strong&gt;Ваша выгода: "&amp;TEXT(Пени!J14,"## ##")&amp;" руб.&lt;/strong&gt;","")&amp;адрес</f>
        <v>&lt;center&gt;&lt;img src=https://imgbb.su/images/2021/11/17/b5bc8f9d84f3e7a21f080f6b12170490.png&gt;&lt;/center&gt;&lt;br&gt;&lt;br&gt;&lt;br&gt;Николай Иванович, добрый день. &lt;br&gt;&lt;br&gt;До 24.03.2023 (включительно), оплатите 13 106 руб., по Договору № В-26664/КЛ.Транш - 1, а Займодавец спишет все пени. Предложение действует также при реструктуризации займа.&lt;br&gt;&lt;strong&gt;Ваша выгода: 6 198 руб.&lt;/strong&gt;&lt;center&gt;&lt;br&gt;&lt;br&gt;&lt;br&gt;&lt;em&gt;Системы кредитования «Взаимно»&lt;br&gt;123290, г. Москва, туп 1-й Магистральный, д. 11 стр. 10, пом. 1, ком. 2.&lt;br&gt;www.mfovzaimno.ru&lt;br&gt;+7 (495) 783 48 36, 8 (800) 555 83 46 (для регионов)&lt;/em&gt;&lt;/center&gt;</v>
      </c>
      <c r="E14" t="str">
        <f>IFERROR(IF(VLOOKUP(Пени!B14,[2]акция!$B:$C,2,0)&gt;=interface!$T$1,"П","Н"),"неУЧ.")</f>
        <v>Н</v>
      </c>
      <c r="F14" t="s">
        <v>392</v>
      </c>
    </row>
    <row r="15" spans="1:6" x14ac:dyDescent="0.25">
      <c r="A15" t="s">
        <v>411</v>
      </c>
      <c r="B15" t="str">
        <f>IF(VLOOKUP(Пени!B15,[2]акция!$B:$L,11,0)=1,interface!$A$21,IF(VLOOKUP(Пени!B15,[2]акция!$B:$C,2,0)&gt;interface!$A$15,interface!$A$8,СМСшапка))</f>
        <v xml:space="preserve">ПРОЩЕНИЕ ПЕНИ! </v>
      </c>
      <c r="C15" t="str">
        <f>лого&amp;Пени!E15&amp;", добрый день. &lt;br&gt;&lt;br&gt;"&amp;Меил_до&amp;" "&amp;TEXT(Пени!K15,"## ##")&amp;" руб., по Договору № "&amp;Пени!B15&amp;", а "&amp;Пени!L15&amp;" "&amp;Пени!P15&amp;"."&amp;IF(interface!$A$18="да"," Предложение действует также при реструктуризации займа.","")&amp;IF(Пени!J15&gt;1000,"&lt;br&gt;&lt;strong&gt;Ваша выгода: "&amp;TEXT(Пени!J15,"## ##")&amp;" руб.&lt;/strong&gt;","")&amp;адрес</f>
        <v>&lt;center&gt;&lt;img src=https://imgbb.su/images/2021/11/17/b5bc8f9d84f3e7a21f080f6b12170490.png&gt;&lt;/center&gt;&lt;br&gt;&lt;br&gt;&lt;br&gt;Николай Олегович, добрый день. &lt;br&gt;&lt;br&gt;До 24.03.2023 (включительно), оплатите 33 574 руб., по Договору № В-04727/КЛ.Транш - 1, а Займодавец спишет все пени. Предложение действует также при реструктуризации займа.&lt;center&gt;&lt;br&gt;&lt;br&gt;&lt;br&gt;&lt;em&gt;Системы кредитования «Взаимно»&lt;br&gt;123290, г. Москва, туп 1-й Магистральный, д. 11 стр. 10, пом. 1, ком. 2.&lt;br&gt;www.mfovzaimno.ru&lt;br&gt;+7 (495) 783 48 36, 8 (800) 555 83 46 (для регионов)&lt;/em&gt;&lt;/center&gt;</v>
      </c>
      <c r="E15" t="str">
        <f>IFERROR(IF(VLOOKUP(Пени!B15,[2]акция!$B:$C,2,0)&gt;=interface!$T$1,"П","Н"),"неУЧ.")</f>
        <v>Н</v>
      </c>
      <c r="F15" t="s">
        <v>394</v>
      </c>
    </row>
    <row r="16" spans="1:6" x14ac:dyDescent="0.25">
      <c r="A16" t="s">
        <v>412</v>
      </c>
      <c r="B16" t="str">
        <f>IF(VLOOKUP(Пени!B16,[2]акция!$B:$L,11,0)=1,interface!$A$21,IF(VLOOKUP(Пени!B16,[2]акция!$B:$C,2,0)&gt;interface!$A$15,interface!$A$8,СМСшапка))</f>
        <v xml:space="preserve">ПРОЩЕНИЕ ПЕНИ! </v>
      </c>
      <c r="C16" t="str">
        <f>лого&amp;Пени!E16&amp;", добрый день. &lt;br&gt;&lt;br&gt;"&amp;Меил_до&amp;" "&amp;TEXT(Пени!K16,"## ##")&amp;" руб., по Договору № "&amp;Пени!B16&amp;", а "&amp;Пени!L16&amp;" "&amp;Пени!P16&amp;"."&amp;IF(interface!$A$18="да"," Предложение действует также при реструктуризации займа.","")&amp;IF(Пени!J16&gt;1000,"&lt;br&gt;&lt;strong&gt;Ваша выгода: "&amp;TEXT(Пени!J16,"## ##")&amp;" руб.&lt;/strong&gt;","")&amp;адрес</f>
        <v>&lt;center&gt;&lt;img src=https://imgbb.su/images/2021/11/17/b5bc8f9d84f3e7a21f080f6b12170490.png&gt;&lt;/center&gt;&lt;br&gt;&lt;br&gt;&lt;br&gt;Николай Николаевич, добрый день. &lt;br&gt;&lt;br&gt;До 24.03.2023 (включительно), оплатите 8 340 руб., по Договору № В-27315/КЛ.Транш - 1, а Займодавец спишет все пени. Предложение действует также при реструктуризации займа.&lt;center&gt;&lt;br&gt;&lt;br&gt;&lt;br&gt;&lt;em&gt;Системы кредитования «Взаимно»&lt;br&gt;123290, г. Москва, туп 1-й Магистральный, д. 11 стр. 10, пом. 1, ком. 2.&lt;br&gt;www.mfovzaimno.ru&lt;br&gt;+7 (495) 783 48 36, 8 (800) 555 83 46 (для регионов)&lt;/em&gt;&lt;/center&gt;</v>
      </c>
      <c r="E16" t="str">
        <f>IFERROR(IF(VLOOKUP(Пени!B16,[2]акция!$B:$C,2,0)&gt;=interface!$T$1,"П","Н"),"неУЧ.")</f>
        <v>Н</v>
      </c>
      <c r="F16" t="s">
        <v>396</v>
      </c>
    </row>
    <row r="17" spans="1:6" x14ac:dyDescent="0.25">
      <c r="A17" t="s">
        <v>413</v>
      </c>
      <c r="B17" t="str">
        <f>IF(VLOOKUP(Пени!B17,[2]акция!$B:$L,11,0)=1,interface!$A$21,IF(VLOOKUP(Пени!B17,[2]акция!$B:$C,2,0)&gt;interface!$A$15,interface!$A$8,СМСшапка))</f>
        <v xml:space="preserve">ПРОЩЕНИЕ ПЕНИ! </v>
      </c>
      <c r="C17" t="str">
        <f>лого&amp;Пени!E17&amp;", добрый день. &lt;br&gt;&lt;br&gt;"&amp;Меил_до&amp;" "&amp;TEXT(Пени!K17,"## ##")&amp;" руб., по Договору № "&amp;Пени!B17&amp;", а "&amp;Пени!L17&amp;" "&amp;Пени!P17&amp;"."&amp;IF(interface!$A$18="да"," Предложение действует также при реструктуризации займа.","")&amp;IF(Пени!J17&gt;1000,"&lt;br&gt;&lt;strong&gt;Ваша выгода: "&amp;TEXT(Пени!J17,"## ##")&amp;" руб.&lt;/strong&gt;","")&amp;адрес</f>
        <v>&lt;center&gt;&lt;img src=https://imgbb.su/images/2021/11/17/b5bc8f9d84f3e7a21f080f6b12170490.png&gt;&lt;/center&gt;&lt;br&gt;&lt;br&gt;&lt;br&gt;Наталия Владимировна, добрый день. &lt;br&gt;&lt;br&gt;До 24.03.2023 (включительно), оплатите 11 988 руб., по Договору № В-18496/КЛ.Транш - 1, а Займодавец спишет все пени. Предложение действует также при реструктуризации займа.&lt;br&gt;&lt;strong&gt;Ваша выгода: 1 473 руб.&lt;/strong&gt;&lt;center&gt;&lt;br&gt;&lt;br&gt;&lt;br&gt;&lt;em&gt;Системы кредитования «Взаимно»&lt;br&gt;123290, г. Москва, туп 1-й Магистральный, д. 11 стр. 10, пом. 1, ком. 2.&lt;br&gt;www.mfovzaimno.ru&lt;br&gt;+7 (495) 783 48 36, 8 (800) 555 83 46 (для регионов)&lt;/em&gt;&lt;/center&gt;</v>
      </c>
      <c r="E17" t="str">
        <f>IFERROR(IF(VLOOKUP(Пени!B17,[2]акция!$B:$C,2,0)&gt;=interface!$T$1,"П","Н"),"неУЧ.")</f>
        <v>Н</v>
      </c>
      <c r="F17" t="s">
        <v>398</v>
      </c>
    </row>
    <row r="55" ht="17.25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47ECA-D4F5-4378-9A8F-EB2856357EE8}">
  <sheetPr codeName="Лист9"/>
  <dimension ref="A1:E36"/>
  <sheetViews>
    <sheetView workbookViewId="0">
      <selection activeCell="C2" sqref="C2:C4"/>
    </sheetView>
  </sheetViews>
  <sheetFormatPr defaultRowHeight="15" x14ac:dyDescent="0.25"/>
  <cols>
    <col min="1" max="1" width="38.7109375" bestFit="1" customWidth="1"/>
    <col min="2" max="2" width="24.28515625" bestFit="1" customWidth="1"/>
    <col min="3" max="3" width="12" bestFit="1" customWidth="1"/>
    <col min="4" max="4" width="25.5703125" customWidth="1"/>
    <col min="15" max="15" width="8.5703125" customWidth="1"/>
  </cols>
  <sheetData>
    <row r="1" spans="1:5" ht="11.25" customHeight="1" x14ac:dyDescent="0.25">
      <c r="A1" t="s">
        <v>318</v>
      </c>
      <c r="B1" t="s">
        <v>319</v>
      </c>
      <c r="C1">
        <v>79645796128</v>
      </c>
      <c r="D1" t="s">
        <v>370</v>
      </c>
      <c r="E1" t="str">
        <f>IFERROR(IF(VLOOKUP(MID(C1,2,3)+0,тесты!A:A,1,0),"мегафон"),"")</f>
        <v/>
      </c>
    </row>
    <row r="2" spans="1:5" x14ac:dyDescent="0.25">
      <c r="A2" t="s">
        <v>276</v>
      </c>
      <c r="B2" t="s">
        <v>277</v>
      </c>
      <c r="C2">
        <v>79685908978</v>
      </c>
      <c r="D2" t="s">
        <v>374</v>
      </c>
      <c r="E2" t="str">
        <f>IFERROR(IF(VLOOKUP(MID(C2,2,3)+0,тесты!A:A,1,0),"мегафон"),"")</f>
        <v/>
      </c>
    </row>
    <row r="3" spans="1:5" x14ac:dyDescent="0.25">
      <c r="A3" t="s">
        <v>251</v>
      </c>
      <c r="B3" t="s">
        <v>282</v>
      </c>
      <c r="C3">
        <v>79178708672</v>
      </c>
      <c r="D3" t="s">
        <v>346</v>
      </c>
      <c r="E3" t="str">
        <f>IFERROR(IF(VLOOKUP(MID(C3,2,3)+0,тесты!A:A,1,0),"мегафон"),"")</f>
        <v/>
      </c>
    </row>
    <row r="4" spans="1:5" x14ac:dyDescent="0.25">
      <c r="A4" t="s">
        <v>251</v>
      </c>
      <c r="B4" t="s">
        <v>291</v>
      </c>
      <c r="C4">
        <v>79178708672</v>
      </c>
      <c r="D4" t="s">
        <v>353</v>
      </c>
      <c r="E4" t="str">
        <f>IFERROR(IF(VLOOKUP(MID(C4,2,3)+0,тесты!A:A,1,0),"мегафон"),"")</f>
        <v/>
      </c>
    </row>
    <row r="5" spans="1:5" x14ac:dyDescent="0.25">
      <c r="A5" t="s">
        <v>251</v>
      </c>
      <c r="B5" t="s">
        <v>307</v>
      </c>
      <c r="C5">
        <v>79178708672</v>
      </c>
      <c r="D5" t="s">
        <v>361</v>
      </c>
      <c r="E5" t="str">
        <f>IFERROR(IF(VLOOKUP(MID(C5,2,3)+0,тесты!A:A,1,0),"мегафон"),"")</f>
        <v/>
      </c>
    </row>
    <row r="6" spans="1:5" x14ac:dyDescent="0.25">
      <c r="A6" t="s">
        <v>251</v>
      </c>
      <c r="B6" t="s">
        <v>310</v>
      </c>
      <c r="C6">
        <v>79178708672</v>
      </c>
      <c r="D6" t="s">
        <v>363</v>
      </c>
      <c r="E6" t="str">
        <f>IFERROR(IF(VLOOKUP(MID(C6,2,3)+0,тесты!A:A,1,0),"мегафон"),"")</f>
        <v/>
      </c>
    </row>
    <row r="7" spans="1:5" x14ac:dyDescent="0.25">
      <c r="A7" t="s">
        <v>248</v>
      </c>
      <c r="B7" t="s">
        <v>249</v>
      </c>
      <c r="C7">
        <v>79153008651</v>
      </c>
      <c r="D7" t="s">
        <v>355</v>
      </c>
      <c r="E7" t="str">
        <f>IFERROR(IF(VLOOKUP(MID(C7,2,3)+0,тесты!A:A,1,0),"мегафон"),"")</f>
        <v/>
      </c>
    </row>
    <row r="8" spans="1:5" x14ac:dyDescent="0.25">
      <c r="A8" t="s">
        <v>311</v>
      </c>
      <c r="B8" t="s">
        <v>312</v>
      </c>
      <c r="C8">
        <v>79646299696</v>
      </c>
      <c r="D8" t="s">
        <v>366</v>
      </c>
      <c r="E8" t="str">
        <f>IFERROR(IF(VLOOKUP(MID(C8,2,3)+0,тесты!A:A,1,0),"мегафон"),"")</f>
        <v/>
      </c>
    </row>
    <row r="9" spans="1:5" x14ac:dyDescent="0.25">
      <c r="A9" t="s">
        <v>300</v>
      </c>
      <c r="B9" t="s">
        <v>301</v>
      </c>
      <c r="C9">
        <v>79184037119</v>
      </c>
      <c r="D9" t="s">
        <v>365</v>
      </c>
      <c r="E9" t="str">
        <f>IFERROR(IF(VLOOKUP(MID(C9,2,3)+0,тесты!A:A,1,0),"мегафон"),"")</f>
        <v/>
      </c>
    </row>
    <row r="10" spans="1:5" x14ac:dyDescent="0.25">
      <c r="A10" t="s">
        <v>278</v>
      </c>
      <c r="B10" t="s">
        <v>279</v>
      </c>
      <c r="C10">
        <v>79912401545</v>
      </c>
      <c r="D10" t="s">
        <v>375</v>
      </c>
      <c r="E10" t="str">
        <f>IFERROR(IF(VLOOKUP(MID(C10,2,3)+0,тесты!A:A,1,0),"мегафон"),"")</f>
        <v/>
      </c>
    </row>
    <row r="11" spans="1:5" x14ac:dyDescent="0.25">
      <c r="A11" t="s">
        <v>292</v>
      </c>
      <c r="B11" t="s">
        <v>293</v>
      </c>
      <c r="C11">
        <v>79652999878</v>
      </c>
      <c r="D11" t="s">
        <v>354</v>
      </c>
      <c r="E11" t="str">
        <f>IFERROR(IF(VLOOKUP(MID(C11,2,3)+0,тесты!A:A,1,0),"мегафон"),"")</f>
        <v/>
      </c>
    </row>
    <row r="12" spans="1:5" x14ac:dyDescent="0.25">
      <c r="A12" t="s">
        <v>303</v>
      </c>
      <c r="B12" t="s">
        <v>304</v>
      </c>
      <c r="C12">
        <v>79160404440</v>
      </c>
      <c r="D12" t="s">
        <v>350</v>
      </c>
      <c r="E12" t="str">
        <f>IFERROR(IF(VLOOKUP(MID(C12,2,3)+0,тесты!A:A,1,0),"мегафон"),"")</f>
        <v/>
      </c>
    </row>
    <row r="13" spans="1:5" x14ac:dyDescent="0.25">
      <c r="A13" t="s">
        <v>313</v>
      </c>
      <c r="B13" t="s">
        <v>314</v>
      </c>
      <c r="C13">
        <v>79161111516</v>
      </c>
      <c r="D13" t="s">
        <v>367</v>
      </c>
      <c r="E13" t="str">
        <f>IFERROR(IF(VLOOKUP(MID(C13,2,3)+0,тесты!A:A,1,0),"мегафон"),"")</f>
        <v/>
      </c>
    </row>
    <row r="14" spans="1:5" x14ac:dyDescent="0.25">
      <c r="A14" t="s">
        <v>317</v>
      </c>
      <c r="B14" t="s">
        <v>297</v>
      </c>
      <c r="C14">
        <v>79674060120</v>
      </c>
      <c r="D14" t="s">
        <v>369</v>
      </c>
      <c r="E14" t="str">
        <f>IFERROR(IF(VLOOKUP(MID(C14,2,3)+0,тесты!A:A,1,0),"мегафон"),"")</f>
        <v/>
      </c>
    </row>
    <row r="15" spans="1:5" x14ac:dyDescent="0.25">
      <c r="A15" t="s">
        <v>274</v>
      </c>
      <c r="B15" t="s">
        <v>275</v>
      </c>
      <c r="C15">
        <v>79629134902</v>
      </c>
      <c r="D15" t="s">
        <v>373</v>
      </c>
      <c r="E15" t="str">
        <f>IFERROR(IF(VLOOKUP(MID(C15,2,3)+0,тесты!A:A,1,0),"мегафон"),"")</f>
        <v/>
      </c>
    </row>
    <row r="16" spans="1:5" x14ac:dyDescent="0.25">
      <c r="A16" t="s">
        <v>242</v>
      </c>
      <c r="B16" t="s">
        <v>298</v>
      </c>
      <c r="C16">
        <v>79636718919</v>
      </c>
      <c r="D16" t="s">
        <v>340</v>
      </c>
      <c r="E16" t="str">
        <f>IFERROR(IF(VLOOKUP(MID(C16,2,3)+0,тесты!A:A,1,0),"мегафон"),"")</f>
        <v/>
      </c>
    </row>
    <row r="17" spans="1:5" x14ac:dyDescent="0.25">
      <c r="A17" t="s">
        <v>242</v>
      </c>
      <c r="B17" t="s">
        <v>281</v>
      </c>
      <c r="C17">
        <v>79636718919</v>
      </c>
      <c r="D17" t="s">
        <v>345</v>
      </c>
      <c r="E17" t="str">
        <f>IFERROR(IF(VLOOKUP(MID(C17,2,3)+0,тесты!A:A,1,0),"мегафон"),"")</f>
        <v/>
      </c>
    </row>
    <row r="18" spans="1:5" x14ac:dyDescent="0.25">
      <c r="A18" t="s">
        <v>315</v>
      </c>
      <c r="B18" t="s">
        <v>316</v>
      </c>
      <c r="C18">
        <v>79787200413</v>
      </c>
      <c r="D18" t="s">
        <v>368</v>
      </c>
      <c r="E18" t="str">
        <f>IFERROR(IF(VLOOKUP(MID(C18,2,3)+0,тесты!A:A,1,0),"мегафон"),"")</f>
        <v/>
      </c>
    </row>
    <row r="19" spans="1:5" x14ac:dyDescent="0.25">
      <c r="A19" t="s">
        <v>253</v>
      </c>
      <c r="B19" t="s">
        <v>254</v>
      </c>
      <c r="C19">
        <v>79165312594</v>
      </c>
      <c r="D19" t="s">
        <v>364</v>
      </c>
      <c r="E19" t="str">
        <f>IFERROR(IF(VLOOKUP(MID(C19,2,3)+0,тесты!A:A,1,0),"мегафон"),"")</f>
        <v/>
      </c>
    </row>
    <row r="20" spans="1:5" x14ac:dyDescent="0.25">
      <c r="A20" t="s">
        <v>253</v>
      </c>
      <c r="B20" t="s">
        <v>271</v>
      </c>
      <c r="C20">
        <v>79165312594</v>
      </c>
      <c r="D20" t="s">
        <v>371</v>
      </c>
      <c r="E20" t="str">
        <f>IFERROR(IF(VLOOKUP(MID(C20,2,3)+0,тесты!A:A,1,0),"мегафон"),"")</f>
        <v/>
      </c>
    </row>
    <row r="21" spans="1:5" x14ac:dyDescent="0.25">
      <c r="A21" t="s">
        <v>338</v>
      </c>
      <c r="B21" t="s">
        <v>304</v>
      </c>
      <c r="C21">
        <v>79264473727</v>
      </c>
      <c r="D21" t="s">
        <v>351</v>
      </c>
      <c r="E21" t="str">
        <f>IFERROR(IF(VLOOKUP(MID(C21,2,3)+0,тесты!A:A,1,0),"мегафон"),"")</f>
        <v>мегафон</v>
      </c>
    </row>
    <row r="22" spans="1:5" x14ac:dyDescent="0.25">
      <c r="A22" t="s">
        <v>247</v>
      </c>
      <c r="B22" t="s">
        <v>250</v>
      </c>
      <c r="C22">
        <v>79996794623</v>
      </c>
      <c r="D22" t="s">
        <v>341</v>
      </c>
      <c r="E22" t="str">
        <f>IFERROR(IF(VLOOKUP(MID(C22,2,3)+0,тесты!A:A,1,0),"мегафон"),"")</f>
        <v>мегафон</v>
      </c>
    </row>
    <row r="23" spans="1:5" x14ac:dyDescent="0.25">
      <c r="A23" t="s">
        <v>247</v>
      </c>
      <c r="B23" t="s">
        <v>252</v>
      </c>
      <c r="C23">
        <v>79996794623</v>
      </c>
      <c r="D23" t="s">
        <v>342</v>
      </c>
      <c r="E23" t="str">
        <f>IFERROR(IF(VLOOKUP(MID(C23,2,3)+0,тесты!A:A,1,0),"мегафон"),"")</f>
        <v>мегафон</v>
      </c>
    </row>
    <row r="24" spans="1:5" x14ac:dyDescent="0.25">
      <c r="A24" t="s">
        <v>247</v>
      </c>
      <c r="B24" t="s">
        <v>280</v>
      </c>
      <c r="C24">
        <v>79996794623</v>
      </c>
      <c r="D24" t="s">
        <v>344</v>
      </c>
      <c r="E24" t="str">
        <f>IFERROR(IF(VLOOKUP(MID(C24,2,3)+0,тесты!A:A,1,0),"мегафон"),"")</f>
        <v>мегафон</v>
      </c>
    </row>
    <row r="25" spans="1:5" x14ac:dyDescent="0.25">
      <c r="A25" t="s">
        <v>244</v>
      </c>
      <c r="B25" t="s">
        <v>245</v>
      </c>
      <c r="C25">
        <v>79037968869</v>
      </c>
      <c r="D25" t="s">
        <v>358</v>
      </c>
      <c r="E25" t="str">
        <f>IFERROR(IF(VLOOKUP(MID(C25,2,3)+0,тесты!A:A,1,0),"мегафон"),"")</f>
        <v/>
      </c>
    </row>
    <row r="26" spans="1:5" x14ac:dyDescent="0.25">
      <c r="A26" t="s">
        <v>244</v>
      </c>
      <c r="B26" t="s">
        <v>246</v>
      </c>
      <c r="C26">
        <v>79037968869</v>
      </c>
      <c r="D26" t="s">
        <v>359</v>
      </c>
      <c r="E26" t="str">
        <f>IFERROR(IF(VLOOKUP(MID(C26,2,3)+0,тесты!A:A,1,0),"мегафон"),"")</f>
        <v/>
      </c>
    </row>
    <row r="27" spans="1:5" x14ac:dyDescent="0.25">
      <c r="A27" t="s">
        <v>284</v>
      </c>
      <c r="B27" t="s">
        <v>285</v>
      </c>
      <c r="C27">
        <v>79119272677</v>
      </c>
      <c r="D27" t="s">
        <v>348</v>
      </c>
      <c r="E27" t="str">
        <f>IFERROR(IF(VLOOKUP(MID(C27,2,3)+0,тесты!A:A,1,0),"мегафон"),"")</f>
        <v/>
      </c>
    </row>
    <row r="28" spans="1:5" x14ac:dyDescent="0.25">
      <c r="A28" t="s">
        <v>255</v>
      </c>
      <c r="B28" t="s">
        <v>256</v>
      </c>
      <c r="C28">
        <v>79963497388</v>
      </c>
      <c r="D28" t="s">
        <v>343</v>
      </c>
      <c r="E28" t="str">
        <f>IFERROR(IF(VLOOKUP(MID(C28,2,3)+0,тесты!A:A,1,0),"мегафон"),"")</f>
        <v/>
      </c>
    </row>
    <row r="29" spans="1:5" x14ac:dyDescent="0.25">
      <c r="A29" t="s">
        <v>255</v>
      </c>
      <c r="B29" t="s">
        <v>283</v>
      </c>
      <c r="C29">
        <v>79963497388</v>
      </c>
      <c r="D29" t="s">
        <v>347</v>
      </c>
      <c r="E29" t="str">
        <f>IFERROR(IF(VLOOKUP(MID(C29,2,3)+0,тесты!A:A,1,0),"мегафон"),"")</f>
        <v/>
      </c>
    </row>
    <row r="30" spans="1:5" x14ac:dyDescent="0.25">
      <c r="A30" t="s">
        <v>294</v>
      </c>
      <c r="B30" t="s">
        <v>295</v>
      </c>
      <c r="C30">
        <v>79654586720</v>
      </c>
      <c r="D30" t="s">
        <v>356</v>
      </c>
      <c r="E30" t="str">
        <f>IFERROR(IF(VLOOKUP(MID(C30,2,3)+0,тесты!A:A,1,0),"мегафон"),"")</f>
        <v/>
      </c>
    </row>
    <row r="31" spans="1:5" x14ac:dyDescent="0.25">
      <c r="A31" t="s">
        <v>308</v>
      </c>
      <c r="B31" t="s">
        <v>309</v>
      </c>
      <c r="C31">
        <v>79997159400</v>
      </c>
      <c r="D31" t="s">
        <v>362</v>
      </c>
      <c r="E31" t="str">
        <f>IFERROR(IF(VLOOKUP(MID(C31,2,3)+0,тесты!A:A,1,0),"мегафон"),"")</f>
        <v>мегафон</v>
      </c>
    </row>
    <row r="32" spans="1:5" x14ac:dyDescent="0.25">
      <c r="A32" t="s">
        <v>289</v>
      </c>
      <c r="B32" t="s">
        <v>290</v>
      </c>
      <c r="C32">
        <v>79270689752</v>
      </c>
      <c r="D32" t="s">
        <v>352</v>
      </c>
      <c r="E32" t="str">
        <f>IFERROR(IF(VLOOKUP(MID(C32,2,3)+0,тесты!A:A,1,0),"мегафон"),"")</f>
        <v>мегафон</v>
      </c>
    </row>
    <row r="33" spans="1:5" x14ac:dyDescent="0.25">
      <c r="A33" t="s">
        <v>287</v>
      </c>
      <c r="B33" t="s">
        <v>288</v>
      </c>
      <c r="C33">
        <v>79654272020</v>
      </c>
      <c r="D33" t="s">
        <v>349</v>
      </c>
      <c r="E33" t="str">
        <f>IFERROR(IF(VLOOKUP(MID(C33,2,3)+0,тесты!A:A,1,0),"мегафон"),"")</f>
        <v/>
      </c>
    </row>
    <row r="34" spans="1:5" x14ac:dyDescent="0.25">
      <c r="A34" t="s">
        <v>305</v>
      </c>
      <c r="B34" t="s">
        <v>306</v>
      </c>
      <c r="C34">
        <v>79641320395</v>
      </c>
      <c r="D34" t="s">
        <v>360</v>
      </c>
      <c r="E34" t="str">
        <f>IFERROR(IF(VLOOKUP(MID(C34,2,3)+0,тесты!A:A,1,0),"мегафон"),"")</f>
        <v/>
      </c>
    </row>
    <row r="35" spans="1:5" x14ac:dyDescent="0.25">
      <c r="A35" t="s">
        <v>272</v>
      </c>
      <c r="B35" t="s">
        <v>273</v>
      </c>
      <c r="C35">
        <v>79013396636</v>
      </c>
      <c r="D35" t="s">
        <v>372</v>
      </c>
      <c r="E35" t="str">
        <f>IFERROR(IF(VLOOKUP(MID(C35,2,3)+0,тесты!A:A,1,0),"мегафон"),"")</f>
        <v/>
      </c>
    </row>
    <row r="36" spans="1:5" x14ac:dyDescent="0.25">
      <c r="A36" t="s">
        <v>286</v>
      </c>
      <c r="B36" t="s">
        <v>243</v>
      </c>
      <c r="C36">
        <v>79620558324</v>
      </c>
      <c r="D36" t="s">
        <v>357</v>
      </c>
      <c r="E36" t="str">
        <f>IFERROR(IF(VLOOKUP(MID(C36,2,3)+0,тесты!A:A,1,0),"мегафон"),"")</f>
        <v/>
      </c>
    </row>
  </sheetData>
  <sortState xmlns:xlrd2="http://schemas.microsoft.com/office/spreadsheetml/2017/richdata2" ref="A1:E36">
    <sortCondition descending="1" ref="A1:A3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A5CD4-C5E3-4593-8371-1DE87ABEEF14}">
  <sheetPr codeName="Лист10"/>
  <dimension ref="A1:F16"/>
  <sheetViews>
    <sheetView tabSelected="1" workbookViewId="0">
      <selection activeCell="D23" sqref="D23"/>
    </sheetView>
  </sheetViews>
  <sheetFormatPr defaultRowHeight="15" x14ac:dyDescent="0.25"/>
  <cols>
    <col min="1" max="1" width="38.7109375" style="38" bestFit="1" customWidth="1"/>
    <col min="2" max="2" width="24.28515625" style="38" bestFit="1" customWidth="1"/>
    <col min="3" max="3" width="12" style="38" bestFit="1" customWidth="1"/>
    <col min="4" max="4" width="25.5703125" style="38" customWidth="1"/>
    <col min="5" max="6" width="9.140625" style="38"/>
    <col min="7" max="7" width="20.85546875" style="38" bestFit="1" customWidth="1"/>
    <col min="8" max="14" width="9.140625" style="38"/>
    <col min="15" max="15" width="8.5703125" style="38" customWidth="1"/>
    <col min="16" max="16384" width="9.140625" style="38"/>
  </cols>
  <sheetData>
    <row r="1" spans="1:6" s="39" customFormat="1" ht="11.25" customHeight="1" x14ac:dyDescent="0.25">
      <c r="A1" s="39" t="s">
        <v>318</v>
      </c>
      <c r="B1" s="39" t="s">
        <v>319</v>
      </c>
      <c r="C1" s="39">
        <v>89266331776</v>
      </c>
      <c r="D1" s="39" t="s">
        <v>418</v>
      </c>
      <c r="E1" s="39" t="str">
        <f>IFERROR(IF(VLOOKUP(MID(C1,2,3)+0,тесты!A:A,1,0),"мегафон"),"")</f>
        <v>мегафон</v>
      </c>
      <c r="F1" s="39" t="s">
        <v>376</v>
      </c>
    </row>
    <row r="2" spans="1:6" s="39" customFormat="1" x14ac:dyDescent="0.25">
      <c r="A2" s="39" t="s">
        <v>276</v>
      </c>
      <c r="B2" s="39" t="s">
        <v>277</v>
      </c>
      <c r="C2" s="39">
        <v>89266331776</v>
      </c>
      <c r="D2" s="39" t="s">
        <v>420</v>
      </c>
      <c r="E2" s="39" t="str">
        <f>IFERROR(IF(VLOOKUP(MID(C2,2,3)+0,тесты!A:A,1,0),"мегафон"),"")</f>
        <v>мегафон</v>
      </c>
      <c r="F2" s="39" t="s">
        <v>376</v>
      </c>
    </row>
    <row r="3" spans="1:6" s="39" customFormat="1" x14ac:dyDescent="0.25">
      <c r="A3" s="39" t="s">
        <v>390</v>
      </c>
      <c r="B3" s="39" t="s">
        <v>391</v>
      </c>
      <c r="C3" s="39">
        <v>89266331776</v>
      </c>
      <c r="D3" s="39" t="s">
        <v>426</v>
      </c>
      <c r="E3" s="39" t="str">
        <f>IFERROR(IF(VLOOKUP(MID(C3,2,3)+0,тесты!A:A,1,0),"мегафон"),"")</f>
        <v>мегафон</v>
      </c>
      <c r="F3" s="39" t="s">
        <v>376</v>
      </c>
    </row>
    <row r="4" spans="1:6" x14ac:dyDescent="0.25">
      <c r="A4" s="38" t="s">
        <v>300</v>
      </c>
      <c r="B4" s="38" t="s">
        <v>301</v>
      </c>
      <c r="C4" s="38">
        <v>79184037119</v>
      </c>
      <c r="D4" s="38" t="s">
        <v>416</v>
      </c>
      <c r="E4" s="38" t="str">
        <f>IFERROR(IF(VLOOKUP(MID(C4,2,3)+0,тесты!A:A,1,0),"мегафон"),"")</f>
        <v/>
      </c>
      <c r="F4" s="38" t="s">
        <v>377</v>
      </c>
    </row>
    <row r="5" spans="1:6" x14ac:dyDescent="0.25">
      <c r="A5" s="38" t="s">
        <v>242</v>
      </c>
      <c r="B5" s="38" t="s">
        <v>298</v>
      </c>
      <c r="C5" s="38">
        <v>79636718919</v>
      </c>
      <c r="D5" s="38" t="s">
        <v>427</v>
      </c>
      <c r="E5" s="38" t="str">
        <f>IFERROR(IF(VLOOKUP(MID(C5,2,3)+0,тесты!A:A,1,0),"мегафон"),"")</f>
        <v/>
      </c>
      <c r="F5" s="38" t="s">
        <v>377</v>
      </c>
    </row>
    <row r="6" spans="1:6" x14ac:dyDescent="0.25">
      <c r="A6" s="38" t="s">
        <v>382</v>
      </c>
      <c r="B6" s="38" t="s">
        <v>383</v>
      </c>
      <c r="C6" s="38">
        <v>79069003891</v>
      </c>
      <c r="D6" s="38" t="s">
        <v>422</v>
      </c>
      <c r="E6" s="38" t="str">
        <f>IFERROR(IF(VLOOKUP(MID(C6,2,3)+0,тесты!A:A,1,0),"мегафон"),"")</f>
        <v/>
      </c>
      <c r="F6" s="38" t="s">
        <v>377</v>
      </c>
    </row>
    <row r="7" spans="1:6" x14ac:dyDescent="0.25">
      <c r="A7" s="38" t="s">
        <v>315</v>
      </c>
      <c r="B7" s="38" t="s">
        <v>316</v>
      </c>
      <c r="C7" s="38">
        <v>79787200413</v>
      </c>
      <c r="D7" s="38" t="s">
        <v>417</v>
      </c>
      <c r="E7" s="38" t="str">
        <f>IFERROR(IF(VLOOKUP(MID(C7,2,3)+0,тесты!A:A,1,0),"мегафон"),"")</f>
        <v/>
      </c>
      <c r="F7" s="38" t="s">
        <v>377</v>
      </c>
    </row>
    <row r="8" spans="1:6" x14ac:dyDescent="0.25">
      <c r="A8" s="38" t="s">
        <v>392</v>
      </c>
      <c r="B8" s="38" t="s">
        <v>393</v>
      </c>
      <c r="C8" s="38">
        <v>79172851122</v>
      </c>
      <c r="D8" s="38" t="s">
        <v>428</v>
      </c>
      <c r="E8" s="38" t="str">
        <f>IFERROR(IF(VLOOKUP(MID(C8,2,3)+0,тесты!A:A,1,0),"мегафон"),"")</f>
        <v/>
      </c>
      <c r="F8" s="38" t="s">
        <v>377</v>
      </c>
    </row>
    <row r="9" spans="1:6" x14ac:dyDescent="0.25">
      <c r="A9" s="38" t="s">
        <v>384</v>
      </c>
      <c r="B9" s="38" t="s">
        <v>385</v>
      </c>
      <c r="C9" s="38">
        <v>79185881804</v>
      </c>
      <c r="D9" s="38" t="s">
        <v>423</v>
      </c>
      <c r="E9" s="38" t="str">
        <f>IFERROR(IF(VLOOKUP(MID(C9,2,3)+0,тесты!A:A,1,0),"мегафон"),"")</f>
        <v/>
      </c>
      <c r="F9" s="38" t="s">
        <v>377</v>
      </c>
    </row>
    <row r="10" spans="1:6" x14ac:dyDescent="0.25">
      <c r="A10" s="38" t="s">
        <v>398</v>
      </c>
      <c r="B10" s="38" t="s">
        <v>399</v>
      </c>
      <c r="C10" s="38">
        <v>79051999634</v>
      </c>
      <c r="D10" s="38" t="s">
        <v>431</v>
      </c>
      <c r="E10" s="38" t="str">
        <f>IFERROR(IF(VLOOKUP(MID(C10,2,3)+0,тесты!A:A,1,0),"мегафон"),"")</f>
        <v/>
      </c>
      <c r="F10" s="38" t="s">
        <v>377</v>
      </c>
    </row>
    <row r="11" spans="1:6" x14ac:dyDescent="0.25">
      <c r="A11" s="38" t="s">
        <v>386</v>
      </c>
      <c r="B11" s="38" t="s">
        <v>387</v>
      </c>
      <c r="C11" s="38">
        <v>79229271317</v>
      </c>
      <c r="D11" s="38" t="s">
        <v>424</v>
      </c>
      <c r="E11" s="38" t="str">
        <f>IFERROR(IF(VLOOKUP(MID(C11,2,3)+0,тесты!A:A,1,0),"мегафон"),"")</f>
        <v>мегафон</v>
      </c>
      <c r="F11" s="38" t="s">
        <v>377</v>
      </c>
    </row>
    <row r="12" spans="1:6" x14ac:dyDescent="0.25">
      <c r="A12" s="38" t="s">
        <v>289</v>
      </c>
      <c r="B12" s="38" t="s">
        <v>290</v>
      </c>
      <c r="C12" s="38">
        <v>79270689752</v>
      </c>
      <c r="D12" s="38" t="s">
        <v>421</v>
      </c>
      <c r="E12" s="38" t="str">
        <f>IFERROR(IF(VLOOKUP(MID(C12,2,3)+0,тесты!A:A,1,0),"мегафон"),"")</f>
        <v>мегафон</v>
      </c>
      <c r="F12" s="38" t="s">
        <v>377</v>
      </c>
    </row>
    <row r="13" spans="1:6" x14ac:dyDescent="0.25">
      <c r="A13" s="38" t="s">
        <v>396</v>
      </c>
      <c r="B13" s="38" t="s">
        <v>397</v>
      </c>
      <c r="C13" s="38">
        <v>79113595178</v>
      </c>
      <c r="D13" s="38" t="s">
        <v>430</v>
      </c>
      <c r="E13" s="38" t="str">
        <f>IFERROR(IF(VLOOKUP(MID(C13,2,3)+0,тесты!A:A,1,0),"мегафон"),"")</f>
        <v/>
      </c>
      <c r="F13" s="38" t="s">
        <v>377</v>
      </c>
    </row>
    <row r="14" spans="1:6" x14ac:dyDescent="0.25">
      <c r="A14" s="38" t="s">
        <v>272</v>
      </c>
      <c r="B14" s="38" t="s">
        <v>273</v>
      </c>
      <c r="C14" s="38">
        <v>79013396636</v>
      </c>
      <c r="D14" s="38" t="s">
        <v>419</v>
      </c>
      <c r="E14" s="38" t="str">
        <f>IFERROR(IF(VLOOKUP(MID(C14,2,3)+0,тесты!A:A,1,0),"мегафон"),"")</f>
        <v/>
      </c>
      <c r="F14" s="38" t="s">
        <v>377</v>
      </c>
    </row>
    <row r="15" spans="1:6" x14ac:dyDescent="0.25">
      <c r="A15" s="38" t="s">
        <v>388</v>
      </c>
      <c r="B15" s="38" t="s">
        <v>389</v>
      </c>
      <c r="C15" s="38">
        <v>79104212400</v>
      </c>
      <c r="D15" s="38" t="s">
        <v>425</v>
      </c>
      <c r="E15" s="38" t="str">
        <f>IFERROR(IF(VLOOKUP(MID(C15,2,3)+0,тесты!A:A,1,0),"мегафон"),"")</f>
        <v/>
      </c>
      <c r="F15" s="38" t="s">
        <v>377</v>
      </c>
    </row>
    <row r="16" spans="1:6" x14ac:dyDescent="0.25">
      <c r="A16" s="38" t="s">
        <v>394</v>
      </c>
      <c r="B16" s="38" t="s">
        <v>395</v>
      </c>
      <c r="C16" s="38">
        <v>79217569433</v>
      </c>
      <c r="D16" s="38" t="s">
        <v>429</v>
      </c>
      <c r="E16" s="38" t="str">
        <f>IFERROR(IF(VLOOKUP(MID(C16,2,3)+0,тесты!A:A,1,0),"мегафон"),"")</f>
        <v>мегафон</v>
      </c>
      <c r="F16" s="38" t="s">
        <v>377</v>
      </c>
    </row>
  </sheetData>
  <sortState xmlns:xlrd2="http://schemas.microsoft.com/office/spreadsheetml/2017/richdata2" ref="A1:M16">
    <sortCondition descending="1" ref="A1:A16"/>
  </sortState>
  <dataValidations count="1">
    <dataValidation type="list" allowBlank="1" showInputMessage="1" showErrorMessage="1" sqref="F1:F16" xr:uid="{000BF97C-EC99-4221-A1B4-6FF6EE12CCB8}">
      <formula1>"ДА, НЕТ"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5BDE-2BD3-45FF-A199-B36BB8FF9F7E}">
  <sheetPr codeName="Лист5"/>
  <dimension ref="A1:T36"/>
  <sheetViews>
    <sheetView workbookViewId="0">
      <selection activeCell="F22" sqref="F22"/>
    </sheetView>
  </sheetViews>
  <sheetFormatPr defaultRowHeight="15" x14ac:dyDescent="0.25"/>
  <cols>
    <col min="1" max="1" width="9.140625" customWidth="1"/>
    <col min="3" max="3" width="8.42578125" bestFit="1" customWidth="1"/>
    <col min="6" max="6" width="9.140625" customWidth="1"/>
    <col min="7" max="7" width="12" customWidth="1"/>
    <col min="19" max="19" width="12.140625" bestFit="1" customWidth="1"/>
  </cols>
  <sheetData>
    <row r="1" spans="1:20" ht="15.75" x14ac:dyDescent="0.25">
      <c r="A1" s="29" t="s">
        <v>136</v>
      </c>
      <c r="B1" s="30"/>
      <c r="C1" s="4" t="s">
        <v>144</v>
      </c>
      <c r="F1" s="31" t="s">
        <v>136</v>
      </c>
      <c r="G1" s="31"/>
      <c r="H1" s="4" t="s">
        <v>145</v>
      </c>
      <c r="K1" s="31" t="s">
        <v>136</v>
      </c>
      <c r="L1" s="31"/>
      <c r="M1" s="4" t="s">
        <v>168</v>
      </c>
      <c r="P1" s="22" t="s">
        <v>201</v>
      </c>
      <c r="Q1" s="4" t="s">
        <v>202</v>
      </c>
      <c r="S1" s="22" t="s">
        <v>210</v>
      </c>
      <c r="T1">
        <v>23</v>
      </c>
    </row>
    <row r="2" spans="1:20" ht="16.5" thickBot="1" x14ac:dyDescent="0.3">
      <c r="A2" s="15" t="s">
        <v>400</v>
      </c>
      <c r="B2" s="16"/>
      <c r="C2" s="14"/>
      <c r="F2" s="13" t="s">
        <v>401</v>
      </c>
      <c r="H2" s="14"/>
      <c r="K2" s="13" t="s">
        <v>402</v>
      </c>
      <c r="M2" s="14"/>
    </row>
    <row r="3" spans="1:20" ht="16.5" customHeight="1" thickBot="1" x14ac:dyDescent="0.3"/>
    <row r="4" spans="1:20" ht="15.75" x14ac:dyDescent="0.25">
      <c r="A4" s="27" t="s">
        <v>152</v>
      </c>
      <c r="B4" s="28"/>
      <c r="F4" s="18" t="s">
        <v>157</v>
      </c>
      <c r="G4" s="19"/>
      <c r="K4" s="25" t="s">
        <v>169</v>
      </c>
      <c r="L4" s="26"/>
      <c r="P4" s="25" t="s">
        <v>176</v>
      </c>
      <c r="Q4" s="26"/>
    </row>
    <row r="5" spans="1:20" ht="15.75" thickBot="1" x14ac:dyDescent="0.3">
      <c r="A5" s="17" t="s">
        <v>220</v>
      </c>
      <c r="B5" s="16"/>
      <c r="F5" s="17" t="s">
        <v>158</v>
      </c>
      <c r="G5" s="16"/>
      <c r="K5" s="17"/>
      <c r="L5" s="16"/>
      <c r="P5" s="17" t="s">
        <v>204</v>
      </c>
      <c r="Q5" s="16"/>
    </row>
    <row r="6" spans="1:20" ht="15.75" thickBot="1" x14ac:dyDescent="0.3"/>
    <row r="7" spans="1:20" ht="15.75" x14ac:dyDescent="0.25">
      <c r="A7" s="18" t="s">
        <v>157</v>
      </c>
      <c r="B7" s="19"/>
      <c r="F7" s="32" t="s">
        <v>161</v>
      </c>
      <c r="G7" s="33"/>
      <c r="K7" s="27" t="s">
        <v>266</v>
      </c>
      <c r="L7" s="28"/>
      <c r="P7" s="25" t="s">
        <v>176</v>
      </c>
      <c r="Q7" s="26"/>
    </row>
    <row r="8" spans="1:20" ht="15.75" thickBot="1" x14ac:dyDescent="0.3">
      <c r="A8" s="17" t="s">
        <v>258</v>
      </c>
      <c r="B8" s="16"/>
      <c r="F8" s="17" t="s">
        <v>165</v>
      </c>
      <c r="G8" s="16"/>
      <c r="K8" s="17" t="s">
        <v>205</v>
      </c>
      <c r="L8" s="16"/>
      <c r="P8" s="17" t="s">
        <v>203</v>
      </c>
    </row>
    <row r="9" spans="1:20" ht="15.75" thickBot="1" x14ac:dyDescent="0.3"/>
    <row r="10" spans="1:20" ht="16.5" thickBot="1" x14ac:dyDescent="0.3">
      <c r="K10" s="25" t="s">
        <v>152</v>
      </c>
      <c r="L10" s="26"/>
      <c r="P10" s="25" t="s">
        <v>221</v>
      </c>
      <c r="Q10" s="26"/>
    </row>
    <row r="11" spans="1:20" ht="16.5" thickBot="1" x14ac:dyDescent="0.3">
      <c r="A11" s="29" t="s">
        <v>192</v>
      </c>
      <c r="B11" s="30"/>
      <c r="F11" s="31" t="s">
        <v>192</v>
      </c>
      <c r="G11" s="31"/>
      <c r="K11" s="17"/>
      <c r="L11" s="16"/>
      <c r="P11" s="17" t="s">
        <v>206</v>
      </c>
    </row>
    <row r="12" spans="1:20" ht="16.5" thickBot="1" x14ac:dyDescent="0.3">
      <c r="A12" s="15" t="s">
        <v>193</v>
      </c>
      <c r="B12" s="16"/>
      <c r="F12" s="13" t="s">
        <v>229</v>
      </c>
    </row>
    <row r="13" spans="1:20" ht="16.5" thickBot="1" x14ac:dyDescent="0.3">
      <c r="K13" s="25" t="s">
        <v>173</v>
      </c>
      <c r="L13" s="26"/>
      <c r="P13" s="25" t="s">
        <v>215</v>
      </c>
      <c r="Q13" s="26"/>
    </row>
    <row r="14" spans="1:20" ht="16.5" thickBot="1" x14ac:dyDescent="0.3">
      <c r="A14" s="29" t="s">
        <v>257</v>
      </c>
      <c r="B14" s="30"/>
      <c r="K14" s="17" t="s">
        <v>198</v>
      </c>
      <c r="L14" s="16"/>
      <c r="P14" s="17"/>
    </row>
    <row r="15" spans="1:20" ht="15.75" thickBot="1" x14ac:dyDescent="0.3">
      <c r="A15">
        <v>85</v>
      </c>
      <c r="F15" s="32" t="s">
        <v>223</v>
      </c>
      <c r="G15" s="33"/>
    </row>
    <row r="16" spans="1:20" ht="16.5" thickBot="1" x14ac:dyDescent="0.3">
      <c r="F16" s="17" t="s">
        <v>165</v>
      </c>
      <c r="G16" s="16"/>
      <c r="K16" s="25" t="s">
        <v>175</v>
      </c>
      <c r="L16" s="26"/>
      <c r="P16" s="25" t="s">
        <v>222</v>
      </c>
      <c r="Q16" s="26"/>
    </row>
    <row r="17" spans="1:16" ht="15.75" thickBot="1" x14ac:dyDescent="0.3">
      <c r="A17" s="34" t="s">
        <v>260</v>
      </c>
      <c r="B17" s="34"/>
      <c r="K17" s="17" t="s">
        <v>208</v>
      </c>
      <c r="L17" s="16"/>
      <c r="P17" s="17" t="s">
        <v>64</v>
      </c>
    </row>
    <row r="18" spans="1:16" ht="15.75" thickBot="1" x14ac:dyDescent="0.3">
      <c r="A18" s="24" t="s">
        <v>261</v>
      </c>
      <c r="B18" s="24"/>
    </row>
    <row r="19" spans="1:16" ht="16.5" thickBot="1" x14ac:dyDescent="0.3">
      <c r="K19" s="25" t="s">
        <v>213</v>
      </c>
      <c r="L19" s="26"/>
    </row>
    <row r="20" spans="1:16" ht="16.5" thickBot="1" x14ac:dyDescent="0.3">
      <c r="A20" s="27" t="s">
        <v>264</v>
      </c>
      <c r="B20" s="28"/>
      <c r="K20" s="17"/>
      <c r="L20" s="16"/>
    </row>
    <row r="21" spans="1:16" ht="15.75" thickBot="1" x14ac:dyDescent="0.3">
      <c r="A21" s="17" t="s">
        <v>225</v>
      </c>
      <c r="B21" s="16"/>
    </row>
    <row r="22" spans="1:16" ht="16.5" thickBot="1" x14ac:dyDescent="0.3">
      <c r="K22" s="25" t="s">
        <v>214</v>
      </c>
      <c r="L22" s="26"/>
    </row>
    <row r="23" spans="1:16" ht="16.5" thickBot="1" x14ac:dyDescent="0.3">
      <c r="A23" s="18" t="s">
        <v>157</v>
      </c>
      <c r="K23" s="17" t="s">
        <v>216</v>
      </c>
    </row>
    <row r="24" spans="1:16" ht="15.75" thickBot="1" x14ac:dyDescent="0.3">
      <c r="A24" s="17" t="s">
        <v>265</v>
      </c>
    </row>
    <row r="25" spans="1:16" ht="15.75" x14ac:dyDescent="0.25">
      <c r="K25" s="27" t="s">
        <v>267</v>
      </c>
      <c r="L25" s="28"/>
    </row>
    <row r="26" spans="1:16" ht="15.75" thickBot="1" x14ac:dyDescent="0.3">
      <c r="K26" s="17" t="s">
        <v>205</v>
      </c>
      <c r="L26" s="16"/>
    </row>
    <row r="27" spans="1:16" ht="15.75" thickBot="1" x14ac:dyDescent="0.3"/>
    <row r="28" spans="1:16" ht="15.75" x14ac:dyDescent="0.25">
      <c r="K28" s="25" t="s">
        <v>232</v>
      </c>
      <c r="L28" s="26"/>
    </row>
    <row r="29" spans="1:16" ht="15.75" thickBot="1" x14ac:dyDescent="0.3">
      <c r="K29" s="17"/>
    </row>
    <row r="31" spans="1:16" ht="15.75" thickBot="1" x14ac:dyDescent="0.3"/>
    <row r="32" spans="1:16" ht="15.75" x14ac:dyDescent="0.25">
      <c r="K32" s="27" t="s">
        <v>268</v>
      </c>
      <c r="L32" s="28"/>
    </row>
    <row r="33" spans="11:12" ht="15.75" thickBot="1" x14ac:dyDescent="0.3">
      <c r="K33" s="17" t="s">
        <v>205</v>
      </c>
      <c r="L33" s="16"/>
    </row>
    <row r="34" spans="11:12" ht="15.75" thickBot="1" x14ac:dyDescent="0.3"/>
    <row r="35" spans="11:12" ht="15.75" x14ac:dyDescent="0.25">
      <c r="K35" s="27" t="s">
        <v>270</v>
      </c>
      <c r="L35" s="28"/>
    </row>
    <row r="36" spans="11:12" ht="15.75" thickBot="1" x14ac:dyDescent="0.3">
      <c r="K36" s="17" t="s">
        <v>269</v>
      </c>
      <c r="L36" s="16"/>
    </row>
  </sheetData>
  <mergeCells count="27">
    <mergeCell ref="K32:L32"/>
    <mergeCell ref="K35:L35"/>
    <mergeCell ref="A1:B1"/>
    <mergeCell ref="A4:B4"/>
    <mergeCell ref="F1:G1"/>
    <mergeCell ref="F7:G7"/>
    <mergeCell ref="K1:L1"/>
    <mergeCell ref="K4:L4"/>
    <mergeCell ref="K7:L7"/>
    <mergeCell ref="A11:B11"/>
    <mergeCell ref="F11:G11"/>
    <mergeCell ref="A14:B14"/>
    <mergeCell ref="F15:G15"/>
    <mergeCell ref="A17:B17"/>
    <mergeCell ref="A20:B20"/>
    <mergeCell ref="P4:Q4"/>
    <mergeCell ref="P7:Q7"/>
    <mergeCell ref="P10:Q10"/>
    <mergeCell ref="K10:L10"/>
    <mergeCell ref="K28:L28"/>
    <mergeCell ref="P13:Q13"/>
    <mergeCell ref="K25:L25"/>
    <mergeCell ref="P16:Q16"/>
    <mergeCell ref="K22:L22"/>
    <mergeCell ref="K13:L13"/>
    <mergeCell ref="K16:L16"/>
    <mergeCell ref="K19:L19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86F5E2E8-EFC3-4EAF-8B0F-BF4C519EEDC9}">
          <x14:formula1>
            <xm:f>Текст!$C$81:$C$91</xm:f>
          </x14:formula1>
          <xm:sqref>F8:G8 F16:G16</xm:sqref>
        </x14:dataValidation>
        <x14:dataValidation type="list" allowBlank="1" showInputMessage="1" showErrorMessage="1" xr:uid="{599CCCD8-6808-449B-B59A-CF6BCB245A71}">
          <x14:formula1>
            <xm:f>Текст!$A$81:$A$92</xm:f>
          </x14:formula1>
          <xm:sqref>A5 A21</xm:sqref>
        </x14:dataValidation>
        <x14:dataValidation type="list" allowBlank="1" showInputMessage="1" showErrorMessage="1" xr:uid="{A0E32CAC-4ADE-440E-8E5E-5B12F500B525}">
          <x14:formula1>
            <xm:f>Текст!$K$75:$K$79</xm:f>
          </x14:formula1>
          <xm:sqref>K5</xm:sqref>
        </x14:dataValidation>
        <x14:dataValidation type="list" allowBlank="1" showInputMessage="1" showErrorMessage="1" xr:uid="{D47E63D9-D181-462C-8EB7-CE1B8EA6C14C}">
          <x14:formula1>
            <xm:f>Текст!$L$75:$L$81</xm:f>
          </x14:formula1>
          <xm:sqref>K8</xm:sqref>
        </x14:dataValidation>
        <x14:dataValidation type="list" allowBlank="1" showInputMessage="1" showErrorMessage="1" xr:uid="{F2EC16AB-2895-4AEB-8C01-0EE74CF6AEEA}">
          <x14:formula1>
            <xm:f>Текст!$M$75:$M$79</xm:f>
          </x14:formula1>
          <xm:sqref>K14</xm:sqref>
        </x14:dataValidation>
        <x14:dataValidation type="list" allowBlank="1" showInputMessage="1" showErrorMessage="1" xr:uid="{E7670DE6-79E0-4878-9B88-CC92D85BB358}">
          <x14:formula1>
            <xm:f>Текст!$N$75:$N$79</xm:f>
          </x14:formula1>
          <xm:sqref>K17</xm:sqref>
        </x14:dataValidation>
        <x14:dataValidation type="list" allowBlank="1" showInputMessage="1" showErrorMessage="1" xr:uid="{2AC87BF4-8C2F-4568-8D16-192D3924BB07}">
          <x14:formula1>
            <xm:f>Текст!$O$75:$O$78</xm:f>
          </x14:formula1>
          <xm:sqref>K11</xm:sqref>
        </x14:dataValidation>
        <x14:dataValidation type="list" allowBlank="1" showInputMessage="1" showErrorMessage="1" xr:uid="{DED09347-58EA-44A9-83BE-FD4029EB87CC}">
          <x14:formula1>
            <xm:f>Текст!$Q$75:$Q$79</xm:f>
          </x14:formula1>
          <xm:sqref>P11 P17</xm:sqref>
        </x14:dataValidation>
        <x14:dataValidation type="list" allowBlank="1" showInputMessage="1" showErrorMessage="1" xr:uid="{B6B2420C-4398-4AE6-8C61-A043CC61937B}">
          <x14:formula1>
            <xm:f>Текст!$L$88:$L$91</xm:f>
          </x14:formula1>
          <xm:sqref>K23</xm:sqref>
        </x14:dataValidation>
        <x14:dataValidation type="list" allowBlank="1" showInputMessage="1" showErrorMessage="1" xr:uid="{D672D8C7-1973-4E81-A8D6-71D2E9390B67}">
          <x14:formula1>
            <xm:f>Текст!$L$93:$L$98</xm:f>
          </x14:formula1>
          <xm:sqref>K26</xm:sqref>
        </x14:dataValidation>
        <x14:dataValidation type="list" allowBlank="1" showInputMessage="1" showErrorMessage="1" xr:uid="{C821A7CB-38F0-42B6-80A6-7F44B63A80C6}">
          <x14:formula1>
            <xm:f>Текст!$P$93:$P$96</xm:f>
          </x14:formula1>
          <xm:sqref>K29</xm:sqref>
        </x14:dataValidation>
        <x14:dataValidation type="list" allowBlank="1" showInputMessage="1" showErrorMessage="1" xr:uid="{327F65F9-2034-4078-A2C3-AACD5D87D013}">
          <x14:formula1>
            <xm:f>Текст!$A$92:$A$93</xm:f>
          </x14:formula1>
          <xm:sqref>A18</xm:sqref>
        </x14:dataValidation>
        <x14:dataValidation type="list" allowBlank="1" showInputMessage="1" showErrorMessage="1" xr:uid="{FFD4B30A-7B57-4E06-AE4A-F9E9F4840FD8}">
          <x14:formula1>
            <xm:f>Текст!$L$100:$L$102</xm:f>
          </x14:formula1>
          <xm:sqref>K33 K36</xm:sqref>
        </x14:dataValidation>
        <x14:dataValidation type="list" allowBlank="1" showInputMessage="1" showErrorMessage="1" xr:uid="{1C2B368B-A347-4AA9-8A35-BCC43B834A02}">
          <x14:formula1>
            <xm:f>Текст!L83:L86</xm:f>
          </x14:formula1>
          <xm:sqref>K20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D014-DE6B-430C-9F58-9CCB46967909}">
  <sheetPr codeName="Лист7"/>
  <dimension ref="A1:A3"/>
  <sheetViews>
    <sheetView workbookViewId="0">
      <selection activeCell="E26" sqref="E26"/>
    </sheetView>
  </sheetViews>
  <sheetFormatPr defaultRowHeight="15" x14ac:dyDescent="0.25"/>
  <sheetData>
    <row r="1" spans="1:1" x14ac:dyDescent="0.25">
      <c r="A1" t="s">
        <v>120</v>
      </c>
    </row>
    <row r="2" spans="1:1" x14ac:dyDescent="0.25">
      <c r="A2" t="s">
        <v>238</v>
      </c>
    </row>
    <row r="3" spans="1:1" x14ac:dyDescent="0.25">
      <c r="A3" t="s">
        <v>121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F003C-522D-4DBF-93DC-3BC162B5D916}">
  <sheetPr codeName="Лист8"/>
  <dimension ref="A1:A76"/>
  <sheetViews>
    <sheetView workbookViewId="0">
      <selection activeCell="F8" sqref="F8"/>
    </sheetView>
  </sheetViews>
  <sheetFormatPr defaultRowHeight="15" x14ac:dyDescent="0.25"/>
  <cols>
    <col min="3" max="3" width="10.28515625" bestFit="1" customWidth="1"/>
  </cols>
  <sheetData>
    <row r="1" spans="1:1" x14ac:dyDescent="0.25">
      <c r="A1" t="s">
        <v>320</v>
      </c>
    </row>
    <row r="2" spans="1:1" x14ac:dyDescent="0.25">
      <c r="A2" t="s">
        <v>321</v>
      </c>
    </row>
    <row r="3" spans="1:1" x14ac:dyDescent="0.25">
      <c r="A3" t="s">
        <v>322</v>
      </c>
    </row>
    <row r="4" spans="1:1" x14ac:dyDescent="0.25">
      <c r="A4" t="s">
        <v>322</v>
      </c>
    </row>
    <row r="5" spans="1:1" x14ac:dyDescent="0.25">
      <c r="A5" t="s">
        <v>323</v>
      </c>
    </row>
    <row r="6" spans="1:1" x14ac:dyDescent="0.25">
      <c r="A6" t="s">
        <v>324</v>
      </c>
    </row>
    <row r="7" spans="1:1" x14ac:dyDescent="0.25">
      <c r="A7" t="s">
        <v>324</v>
      </c>
    </row>
    <row r="8" spans="1:1" x14ac:dyDescent="0.25">
      <c r="A8" t="s">
        <v>302</v>
      </c>
    </row>
    <row r="9" spans="1:1" x14ac:dyDescent="0.25">
      <c r="A9" t="s">
        <v>302</v>
      </c>
    </row>
    <row r="10" spans="1:1" x14ac:dyDescent="0.25">
      <c r="A10" s="11" t="s">
        <v>325</v>
      </c>
    </row>
    <row r="11" spans="1:1" x14ac:dyDescent="0.25">
      <c r="A11" s="11" t="s">
        <v>326</v>
      </c>
    </row>
    <row r="12" spans="1:1" x14ac:dyDescent="0.25">
      <c r="A12" s="11" t="s">
        <v>327</v>
      </c>
    </row>
    <row r="13" spans="1:1" x14ac:dyDescent="0.25">
      <c r="A13" s="11" t="s">
        <v>328</v>
      </c>
    </row>
    <row r="14" spans="1:1" x14ac:dyDescent="0.25">
      <c r="A14" s="11" t="s">
        <v>329</v>
      </c>
    </row>
    <row r="15" spans="1:1" x14ac:dyDescent="0.25">
      <c r="A15" s="11" t="s">
        <v>330</v>
      </c>
    </row>
    <row r="16" spans="1:1" x14ac:dyDescent="0.25">
      <c r="A16" s="11" t="s">
        <v>331</v>
      </c>
    </row>
    <row r="17" spans="1:1" x14ac:dyDescent="0.25">
      <c r="A17" s="11" t="s">
        <v>332</v>
      </c>
    </row>
    <row r="18" spans="1:1" x14ac:dyDescent="0.25">
      <c r="A18" s="11" t="s">
        <v>332</v>
      </c>
    </row>
    <row r="19" spans="1:1" x14ac:dyDescent="0.25">
      <c r="A19" s="11" t="s">
        <v>333</v>
      </c>
    </row>
    <row r="20" spans="1:1" x14ac:dyDescent="0.25">
      <c r="A20" s="11" t="s">
        <v>333</v>
      </c>
    </row>
    <row r="21" spans="1:1" x14ac:dyDescent="0.25">
      <c r="A21" s="11" t="s">
        <v>334</v>
      </c>
    </row>
    <row r="22" spans="1:1" x14ac:dyDescent="0.25">
      <c r="A22" s="11" t="s">
        <v>335</v>
      </c>
    </row>
    <row r="23" spans="1:1" x14ac:dyDescent="0.25">
      <c r="A23" s="11" t="s">
        <v>336</v>
      </c>
    </row>
    <row r="24" spans="1:1" x14ac:dyDescent="0.25">
      <c r="A24" s="11" t="s">
        <v>296</v>
      </c>
    </row>
    <row r="25" spans="1:1" x14ac:dyDescent="0.25">
      <c r="A25" s="11" t="s">
        <v>296</v>
      </c>
    </row>
    <row r="26" spans="1:1" x14ac:dyDescent="0.25">
      <c r="A26" s="11" t="s">
        <v>299</v>
      </c>
    </row>
    <row r="27" spans="1:1" x14ac:dyDescent="0.25">
      <c r="A27" s="11" t="s">
        <v>299</v>
      </c>
    </row>
    <row r="28" spans="1:1" x14ac:dyDescent="0.25">
      <c r="A28" s="11" t="s">
        <v>337</v>
      </c>
    </row>
    <row r="29" spans="1:1" x14ac:dyDescent="0.25">
      <c r="A29" s="11"/>
    </row>
    <row r="30" spans="1:1" x14ac:dyDescent="0.25">
      <c r="A30" s="11"/>
    </row>
    <row r="31" spans="1:1" x14ac:dyDescent="0.25">
      <c r="A31" s="11"/>
    </row>
    <row r="32" spans="1:1" x14ac:dyDescent="0.25">
      <c r="A32" s="11"/>
    </row>
    <row r="33" spans="1:1" x14ac:dyDescent="0.25">
      <c r="A33" s="11"/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  <row r="39" spans="1:1" x14ac:dyDescent="0.25">
      <c r="A39" s="11"/>
    </row>
    <row r="40" spans="1:1" x14ac:dyDescent="0.25">
      <c r="A40" s="11"/>
    </row>
    <row r="41" spans="1:1" x14ac:dyDescent="0.25">
      <c r="A41" s="11"/>
    </row>
    <row r="42" spans="1:1" x14ac:dyDescent="0.25">
      <c r="A42" s="11"/>
    </row>
    <row r="43" spans="1:1" x14ac:dyDescent="0.25">
      <c r="A43" s="11"/>
    </row>
    <row r="44" spans="1:1" x14ac:dyDescent="0.25">
      <c r="A44" s="11"/>
    </row>
    <row r="45" spans="1:1" x14ac:dyDescent="0.25">
      <c r="A45" s="11"/>
    </row>
    <row r="46" spans="1:1" x14ac:dyDescent="0.25">
      <c r="A46" s="11"/>
    </row>
    <row r="47" spans="1:1" x14ac:dyDescent="0.25">
      <c r="A47" s="11"/>
    </row>
    <row r="48" spans="1:1" x14ac:dyDescent="0.25">
      <c r="A48" s="11"/>
    </row>
    <row r="49" spans="1:1" x14ac:dyDescent="0.25">
      <c r="A49" s="11"/>
    </row>
    <row r="50" spans="1:1" x14ac:dyDescent="0.25">
      <c r="A50" s="11"/>
    </row>
    <row r="51" spans="1:1" x14ac:dyDescent="0.25">
      <c r="A51" s="11"/>
    </row>
    <row r="52" spans="1:1" x14ac:dyDescent="0.25">
      <c r="A52" s="11"/>
    </row>
    <row r="53" spans="1:1" x14ac:dyDescent="0.25">
      <c r="A53" s="11"/>
    </row>
    <row r="54" spans="1:1" x14ac:dyDescent="0.25">
      <c r="A54" s="11"/>
    </row>
    <row r="55" spans="1:1" x14ac:dyDescent="0.25">
      <c r="A55" s="11"/>
    </row>
    <row r="56" spans="1:1" x14ac:dyDescent="0.25">
      <c r="A56" s="11"/>
    </row>
    <row r="57" spans="1:1" x14ac:dyDescent="0.25">
      <c r="A57" s="11"/>
    </row>
    <row r="58" spans="1:1" x14ac:dyDescent="0.25">
      <c r="A58" s="11"/>
    </row>
    <row r="59" spans="1:1" x14ac:dyDescent="0.25">
      <c r="A59" s="11"/>
    </row>
    <row r="60" spans="1:1" x14ac:dyDescent="0.25">
      <c r="A60" s="11"/>
    </row>
    <row r="61" spans="1:1" x14ac:dyDescent="0.25">
      <c r="A61" s="11"/>
    </row>
    <row r="62" spans="1:1" x14ac:dyDescent="0.25">
      <c r="A62" s="11"/>
    </row>
    <row r="63" spans="1:1" x14ac:dyDescent="0.25">
      <c r="A63" s="11"/>
    </row>
    <row r="64" spans="1:1" x14ac:dyDescent="0.25">
      <c r="A64" s="11"/>
    </row>
    <row r="65" spans="1:1" x14ac:dyDescent="0.25">
      <c r="A65" s="11"/>
    </row>
    <row r="66" spans="1:1" x14ac:dyDescent="0.25">
      <c r="A66" s="11"/>
    </row>
    <row r="67" spans="1:1" x14ac:dyDescent="0.25">
      <c r="A67" s="11"/>
    </row>
    <row r="68" spans="1:1" x14ac:dyDescent="0.25">
      <c r="A68" s="11"/>
    </row>
    <row r="69" spans="1:1" x14ac:dyDescent="0.25">
      <c r="A69" s="11"/>
    </row>
    <row r="70" spans="1:1" x14ac:dyDescent="0.25">
      <c r="A70" s="11"/>
    </row>
    <row r="71" spans="1:1" x14ac:dyDescent="0.25">
      <c r="A71" s="11"/>
    </row>
    <row r="72" spans="1:1" x14ac:dyDescent="0.25">
      <c r="A72" s="11"/>
    </row>
    <row r="73" spans="1:1" x14ac:dyDescent="0.25">
      <c r="A73" s="11"/>
    </row>
    <row r="74" spans="1:1" x14ac:dyDescent="0.25">
      <c r="A74" s="11"/>
    </row>
    <row r="75" spans="1:1" x14ac:dyDescent="0.25">
      <c r="A75" s="11"/>
    </row>
    <row r="76" spans="1:1" x14ac:dyDescent="0.25">
      <c r="A76" s="11"/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T102"/>
  <sheetViews>
    <sheetView topLeftCell="A84" workbookViewId="0">
      <selection activeCell="L91" sqref="L91"/>
    </sheetView>
  </sheetViews>
  <sheetFormatPr defaultRowHeight="15" x14ac:dyDescent="0.25"/>
  <cols>
    <col min="1" max="1" width="19.28515625" customWidth="1"/>
  </cols>
  <sheetData>
    <row r="1" spans="1:14" x14ac:dyDescent="0.25">
      <c r="A1" t="s">
        <v>50</v>
      </c>
      <c r="B1" t="s">
        <v>66</v>
      </c>
      <c r="C1" t="s">
        <v>80</v>
      </c>
      <c r="D1" s="4" t="s">
        <v>93</v>
      </c>
    </row>
    <row r="2" spans="1:14" x14ac:dyDescent="0.25">
      <c r="A2" t="s">
        <v>55</v>
      </c>
      <c r="B2" t="s">
        <v>67</v>
      </c>
      <c r="C2" t="s">
        <v>79</v>
      </c>
    </row>
    <row r="3" spans="1:14" x14ac:dyDescent="0.25">
      <c r="A3" s="4" t="s">
        <v>59</v>
      </c>
      <c r="B3" t="s">
        <v>68</v>
      </c>
      <c r="C3" t="s">
        <v>84</v>
      </c>
    </row>
    <row r="4" spans="1:14" x14ac:dyDescent="0.25">
      <c r="A4" t="s">
        <v>51</v>
      </c>
      <c r="B4" s="2" t="s">
        <v>60</v>
      </c>
      <c r="C4" t="s">
        <v>69</v>
      </c>
      <c r="D4" t="s">
        <v>70</v>
      </c>
    </row>
    <row r="5" spans="1:14" x14ac:dyDescent="0.25">
      <c r="A5" t="s">
        <v>52</v>
      </c>
      <c r="B5" s="2" t="s">
        <v>61</v>
      </c>
    </row>
    <row r="6" spans="1:14" x14ac:dyDescent="0.25">
      <c r="A6" t="s">
        <v>53</v>
      </c>
      <c r="B6" s="2" t="s">
        <v>62</v>
      </c>
      <c r="C6" t="s">
        <v>72</v>
      </c>
      <c r="D6" t="s">
        <v>74</v>
      </c>
      <c r="E6" s="4" t="s">
        <v>75</v>
      </c>
      <c r="F6" t="s">
        <v>81</v>
      </c>
    </row>
    <row r="7" spans="1:14" x14ac:dyDescent="0.25">
      <c r="A7" t="s">
        <v>83</v>
      </c>
      <c r="B7" s="2" t="s">
        <v>82</v>
      </c>
    </row>
    <row r="8" spans="1:14" x14ac:dyDescent="0.25">
      <c r="A8" t="s">
        <v>91</v>
      </c>
      <c r="B8" s="2" t="s">
        <v>92</v>
      </c>
    </row>
    <row r="10" spans="1:14" x14ac:dyDescent="0.25">
      <c r="A10" t="s">
        <v>47</v>
      </c>
    </row>
    <row r="11" spans="1:14" x14ac:dyDescent="0.25">
      <c r="A11" t="s">
        <v>5</v>
      </c>
    </row>
    <row r="12" spans="1:14" x14ac:dyDescent="0.25">
      <c r="A12" t="s">
        <v>4</v>
      </c>
    </row>
    <row r="13" spans="1:14" x14ac:dyDescent="0.25">
      <c r="A13" t="s">
        <v>3</v>
      </c>
    </row>
    <row r="14" spans="1:14" x14ac:dyDescent="0.25">
      <c r="A14" t="s">
        <v>7</v>
      </c>
    </row>
    <row r="16" spans="1:14" x14ac:dyDescent="0.25">
      <c r="A16" s="1" t="s">
        <v>6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8" spans="1:1" x14ac:dyDescent="0.25">
      <c r="A18" t="s">
        <v>16</v>
      </c>
    </row>
    <row r="19" spans="1:1" x14ac:dyDescent="0.25">
      <c r="A19" t="s">
        <v>17</v>
      </c>
    </row>
    <row r="20" spans="1:1" x14ac:dyDescent="0.25">
      <c r="A20" t="s">
        <v>14</v>
      </c>
    </row>
    <row r="21" spans="1:1" x14ac:dyDescent="0.25">
      <c r="A21" t="s">
        <v>15</v>
      </c>
    </row>
    <row r="22" spans="1:1" x14ac:dyDescent="0.25">
      <c r="A22" t="s">
        <v>24</v>
      </c>
    </row>
    <row r="23" spans="1:1" x14ac:dyDescent="0.25">
      <c r="A23" s="2" t="s">
        <v>25</v>
      </c>
    </row>
    <row r="25" spans="1:1" x14ac:dyDescent="0.25">
      <c r="A25" t="s">
        <v>38</v>
      </c>
    </row>
    <row r="27" spans="1:1" x14ac:dyDescent="0.25">
      <c r="A27" t="s">
        <v>39</v>
      </c>
    </row>
    <row r="29" spans="1:1" x14ac:dyDescent="0.25">
      <c r="A29" t="s">
        <v>48</v>
      </c>
    </row>
    <row r="31" spans="1:1" x14ac:dyDescent="0.25">
      <c r="A31" t="s">
        <v>35</v>
      </c>
    </row>
    <row r="32" spans="1:1" x14ac:dyDescent="0.25">
      <c r="A32" t="s">
        <v>34</v>
      </c>
    </row>
    <row r="33" spans="1:4" x14ac:dyDescent="0.25">
      <c r="A33" t="s">
        <v>36</v>
      </c>
    </row>
    <row r="34" spans="1:4" x14ac:dyDescent="0.25">
      <c r="A34" t="s">
        <v>40</v>
      </c>
    </row>
    <row r="35" spans="1:4" x14ac:dyDescent="0.25">
      <c r="A35" t="s">
        <v>46</v>
      </c>
    </row>
    <row r="36" spans="1:4" x14ac:dyDescent="0.25">
      <c r="A36" t="s">
        <v>54</v>
      </c>
    </row>
    <row r="37" spans="1:4" x14ac:dyDescent="0.25">
      <c r="A37" t="s">
        <v>41</v>
      </c>
    </row>
    <row r="39" spans="1:4" x14ac:dyDescent="0.25">
      <c r="A39" t="s">
        <v>26</v>
      </c>
      <c r="B39" t="s">
        <v>63</v>
      </c>
      <c r="C39" t="s">
        <v>64</v>
      </c>
      <c r="D39" t="s">
        <v>65</v>
      </c>
    </row>
    <row r="40" spans="1:4" x14ac:dyDescent="0.25">
      <c r="A40" t="s">
        <v>27</v>
      </c>
    </row>
    <row r="42" spans="1:4" x14ac:dyDescent="0.25">
      <c r="A42" t="s">
        <v>28</v>
      </c>
    </row>
    <row r="43" spans="1:4" x14ac:dyDescent="0.25">
      <c r="A43" t="s">
        <v>29</v>
      </c>
    </row>
    <row r="44" spans="1:4" x14ac:dyDescent="0.25">
      <c r="A44" t="s">
        <v>33</v>
      </c>
    </row>
    <row r="46" spans="1:4" x14ac:dyDescent="0.25">
      <c r="A46" t="s">
        <v>57</v>
      </c>
    </row>
    <row r="47" spans="1:4" x14ac:dyDescent="0.25">
      <c r="A47" t="s">
        <v>58</v>
      </c>
    </row>
    <row r="48" spans="1:4" x14ac:dyDescent="0.25">
      <c r="A48" t="str">
        <f ca="1">"сегодня "&amp;"("&amp;TEXT(TODAY(),"ДД.ММ.ГГГГ")&amp;")"</f>
        <v>сегодня (21.03.2023)</v>
      </c>
    </row>
    <row r="49" spans="1:4" x14ac:dyDescent="0.25">
      <c r="A49" t="s">
        <v>132</v>
      </c>
      <c r="B49" t="s">
        <v>133</v>
      </c>
      <c r="C49" t="s">
        <v>146</v>
      </c>
    </row>
    <row r="51" spans="1:4" x14ac:dyDescent="0.25">
      <c r="A51" t="s">
        <v>85</v>
      </c>
    </row>
    <row r="52" spans="1:4" x14ac:dyDescent="0.25">
      <c r="A52" t="s">
        <v>94</v>
      </c>
    </row>
    <row r="53" spans="1:4" x14ac:dyDescent="0.25">
      <c r="A53" t="s">
        <v>95</v>
      </c>
    </row>
    <row r="54" spans="1:4" x14ac:dyDescent="0.25">
      <c r="A54" t="s">
        <v>96</v>
      </c>
    </row>
    <row r="55" spans="1:4" x14ac:dyDescent="0.25">
      <c r="A55" t="s">
        <v>99</v>
      </c>
      <c r="B55" s="4" t="s">
        <v>97</v>
      </c>
    </row>
    <row r="56" spans="1:4" x14ac:dyDescent="0.25">
      <c r="A56" t="s">
        <v>100</v>
      </c>
      <c r="B56" s="4" t="s">
        <v>91</v>
      </c>
      <c r="C56" t="s">
        <v>106</v>
      </c>
      <c r="D56" s="4" t="s">
        <v>111</v>
      </c>
    </row>
    <row r="57" spans="1:4" x14ac:dyDescent="0.25">
      <c r="A57" t="s">
        <v>105</v>
      </c>
      <c r="B57" s="4" t="s">
        <v>98</v>
      </c>
    </row>
    <row r="58" spans="1:4" x14ac:dyDescent="0.25">
      <c r="A58" t="s">
        <v>104</v>
      </c>
      <c r="B58" s="4" t="s">
        <v>97</v>
      </c>
    </row>
    <row r="59" spans="1:4" x14ac:dyDescent="0.25">
      <c r="B59" s="4"/>
    </row>
    <row r="60" spans="1:4" x14ac:dyDescent="0.25">
      <c r="A60" t="s">
        <v>109</v>
      </c>
      <c r="B60" s="4" t="s">
        <v>110</v>
      </c>
    </row>
    <row r="61" spans="1:4" x14ac:dyDescent="0.25">
      <c r="A61" s="7" t="s">
        <v>112</v>
      </c>
      <c r="B61" s="4" t="s">
        <v>113</v>
      </c>
    </row>
    <row r="62" spans="1:4" x14ac:dyDescent="0.25">
      <c r="A62" s="4" t="s">
        <v>114</v>
      </c>
    </row>
    <row r="63" spans="1:4" x14ac:dyDescent="0.25">
      <c r="A63" s="4" t="s">
        <v>116</v>
      </c>
      <c r="B63" s="4" t="s">
        <v>117</v>
      </c>
    </row>
    <row r="65" spans="1:20" x14ac:dyDescent="0.25">
      <c r="A65" s="4" t="s">
        <v>118</v>
      </c>
    </row>
    <row r="66" spans="1:20" x14ac:dyDescent="0.25">
      <c r="A66" s="4" t="s">
        <v>119</v>
      </c>
    </row>
    <row r="70" spans="1:20" ht="15.75" x14ac:dyDescent="0.25">
      <c r="A70" s="3" t="s">
        <v>122</v>
      </c>
      <c r="B70" s="3" t="s">
        <v>0</v>
      </c>
      <c r="C70" s="3" t="s">
        <v>1</v>
      </c>
      <c r="D70" s="3" t="s">
        <v>123</v>
      </c>
      <c r="E70" s="8" t="s">
        <v>2</v>
      </c>
      <c r="F70" s="8" t="s">
        <v>88</v>
      </c>
      <c r="G70" s="8" t="s">
        <v>125</v>
      </c>
      <c r="H70" s="8" t="s">
        <v>126</v>
      </c>
      <c r="I70" s="8" t="s">
        <v>124</v>
      </c>
      <c r="J70" s="8" t="s">
        <v>77</v>
      </c>
      <c r="K70" s="8" t="s">
        <v>127</v>
      </c>
      <c r="L70" s="8" t="s">
        <v>128</v>
      </c>
      <c r="M70" s="8" t="s">
        <v>129</v>
      </c>
      <c r="N70" s="8" t="s">
        <v>130</v>
      </c>
      <c r="O70" s="3"/>
    </row>
    <row r="73" spans="1:20" ht="18.75" x14ac:dyDescent="0.3">
      <c r="A73" s="35" t="s">
        <v>138</v>
      </c>
      <c r="B73" s="35"/>
      <c r="C73" s="35"/>
      <c r="D73" s="35"/>
      <c r="E73" s="35"/>
      <c r="I73" s="35" t="s">
        <v>167</v>
      </c>
      <c r="J73" s="35"/>
      <c r="K73" s="35"/>
      <c r="L73" s="35"/>
      <c r="M73" s="35"/>
      <c r="N73" s="35"/>
      <c r="O73" s="35"/>
      <c r="P73" s="35"/>
      <c r="Q73" s="35"/>
    </row>
    <row r="75" spans="1:20" x14ac:dyDescent="0.25">
      <c r="A75" t="s">
        <v>135</v>
      </c>
      <c r="B75" t="s">
        <v>159</v>
      </c>
      <c r="K75" t="s">
        <v>132</v>
      </c>
      <c r="L75" t="s">
        <v>170</v>
      </c>
      <c r="M75" t="s">
        <v>174</v>
      </c>
      <c r="N75" t="s">
        <v>180</v>
      </c>
      <c r="O75" t="s">
        <v>177</v>
      </c>
      <c r="Q75" t="s">
        <v>64</v>
      </c>
      <c r="S75" t="str">
        <f>CHAR(10)</f>
        <v xml:space="preserve">
</v>
      </c>
      <c r="T75" t="s">
        <v>209</v>
      </c>
    </row>
    <row r="76" spans="1:20" x14ac:dyDescent="0.25">
      <c r="A76" t="s">
        <v>240</v>
      </c>
      <c r="B76" t="s">
        <v>160</v>
      </c>
      <c r="K76" t="s">
        <v>133</v>
      </c>
      <c r="L76" t="s">
        <v>149</v>
      </c>
      <c r="M76" t="s">
        <v>198</v>
      </c>
      <c r="N76" t="s">
        <v>181</v>
      </c>
      <c r="O76" t="s">
        <v>178</v>
      </c>
      <c r="Q76" t="s">
        <v>63</v>
      </c>
    </row>
    <row r="77" spans="1:20" x14ac:dyDescent="0.25">
      <c r="K77" t="s">
        <v>146</v>
      </c>
      <c r="L77" t="s">
        <v>171</v>
      </c>
      <c r="N77" t="s">
        <v>208</v>
      </c>
      <c r="Q77" t="s">
        <v>206</v>
      </c>
    </row>
    <row r="78" spans="1:20" x14ac:dyDescent="0.25">
      <c r="K78" t="s">
        <v>189</v>
      </c>
      <c r="L78" t="s">
        <v>237</v>
      </c>
      <c r="Q78" t="s">
        <v>207</v>
      </c>
    </row>
    <row r="79" spans="1:20" x14ac:dyDescent="0.25">
      <c r="L79" t="s">
        <v>190</v>
      </c>
    </row>
    <row r="80" spans="1:20" x14ac:dyDescent="0.25">
      <c r="L80" t="s">
        <v>226</v>
      </c>
    </row>
    <row r="81" spans="1:16" x14ac:dyDescent="0.25">
      <c r="A81" t="s">
        <v>156</v>
      </c>
      <c r="C81" t="s">
        <v>149</v>
      </c>
      <c r="L81" t="s">
        <v>205</v>
      </c>
    </row>
    <row r="82" spans="1:16" x14ac:dyDescent="0.25">
      <c r="A82" t="s">
        <v>154</v>
      </c>
      <c r="C82" t="s">
        <v>165</v>
      </c>
    </row>
    <row r="83" spans="1:16" x14ac:dyDescent="0.25">
      <c r="A83" t="s">
        <v>155</v>
      </c>
      <c r="C83" t="s">
        <v>166</v>
      </c>
      <c r="L83" t="s">
        <v>211</v>
      </c>
    </row>
    <row r="84" spans="1:16" x14ac:dyDescent="0.25">
      <c r="A84" t="s">
        <v>187</v>
      </c>
      <c r="C84" t="s">
        <v>188</v>
      </c>
      <c r="L84" t="s">
        <v>212</v>
      </c>
    </row>
    <row r="85" spans="1:16" x14ac:dyDescent="0.25">
      <c r="A85" t="s">
        <v>194</v>
      </c>
      <c r="C85" t="s">
        <v>195</v>
      </c>
    </row>
    <row r="86" spans="1:16" x14ac:dyDescent="0.25">
      <c r="A86" t="s">
        <v>220</v>
      </c>
      <c r="C86" t="s">
        <v>224</v>
      </c>
      <c r="L86" t="s">
        <v>203</v>
      </c>
    </row>
    <row r="87" spans="1:16" x14ac:dyDescent="0.25">
      <c r="A87" t="s">
        <v>225</v>
      </c>
      <c r="C87" t="s">
        <v>237</v>
      </c>
    </row>
    <row r="88" spans="1:16" x14ac:dyDescent="0.25">
      <c r="A88" t="s">
        <v>237</v>
      </c>
      <c r="C88" t="s">
        <v>241</v>
      </c>
      <c r="L88" t="s">
        <v>216</v>
      </c>
    </row>
    <row r="89" spans="1:16" x14ac:dyDescent="0.25">
      <c r="A89" t="s">
        <v>263</v>
      </c>
      <c r="L89" t="s">
        <v>219</v>
      </c>
    </row>
    <row r="90" spans="1:16" x14ac:dyDescent="0.25">
      <c r="L90" t="s">
        <v>231</v>
      </c>
    </row>
    <row r="91" spans="1:16" x14ac:dyDescent="0.25">
      <c r="L91" t="s">
        <v>216</v>
      </c>
    </row>
    <row r="92" spans="1:16" x14ac:dyDescent="0.25">
      <c r="A92" t="s">
        <v>261</v>
      </c>
    </row>
    <row r="93" spans="1:16" x14ac:dyDescent="0.25">
      <c r="A93" t="s">
        <v>262</v>
      </c>
      <c r="L93" t="s">
        <v>217</v>
      </c>
      <c r="P93" s="23" t="s">
        <v>233</v>
      </c>
    </row>
    <row r="94" spans="1:16" x14ac:dyDescent="0.25">
      <c r="L94" t="s">
        <v>218</v>
      </c>
    </row>
    <row r="95" spans="1:16" x14ac:dyDescent="0.25">
      <c r="L95" t="s">
        <v>205</v>
      </c>
    </row>
    <row r="96" spans="1:16" x14ac:dyDescent="0.25">
      <c r="L96" t="s">
        <v>226</v>
      </c>
    </row>
    <row r="97" spans="12:12" x14ac:dyDescent="0.25">
      <c r="L97" t="s">
        <v>237</v>
      </c>
    </row>
    <row r="100" spans="12:12" x14ac:dyDescent="0.25">
      <c r="L100" t="s">
        <v>226</v>
      </c>
    </row>
    <row r="101" spans="12:12" x14ac:dyDescent="0.25">
      <c r="L101" t="s">
        <v>205</v>
      </c>
    </row>
    <row r="102" spans="12:12" x14ac:dyDescent="0.25">
      <c r="L102" t="s">
        <v>269</v>
      </c>
    </row>
  </sheetData>
  <mergeCells count="2">
    <mergeCell ref="A73:E73"/>
    <mergeCell ref="I73:Q73"/>
  </mergeCells>
  <conditionalFormatting sqref="A70:C70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FCA26-D8FD-444E-90A0-E6D175240628}">
  <sheetPr codeName="Лист11"/>
  <dimension ref="A1:A25"/>
  <sheetViews>
    <sheetView workbookViewId="0">
      <selection activeCell="A10" sqref="A10"/>
    </sheetView>
  </sheetViews>
  <sheetFormatPr defaultRowHeight="15" x14ac:dyDescent="0.25"/>
  <sheetData>
    <row r="1" spans="1:1" x14ac:dyDescent="0.25">
      <c r="A1">
        <v>902</v>
      </c>
    </row>
    <row r="2" spans="1:1" x14ac:dyDescent="0.25">
      <c r="A2">
        <v>904</v>
      </c>
    </row>
    <row r="3" spans="1:1" x14ac:dyDescent="0.25">
      <c r="A3">
        <v>908</v>
      </c>
    </row>
    <row r="4" spans="1:1" x14ac:dyDescent="0.25">
      <c r="A4">
        <v>920</v>
      </c>
    </row>
    <row r="5" spans="1:1" x14ac:dyDescent="0.25">
      <c r="A5">
        <v>921</v>
      </c>
    </row>
    <row r="6" spans="1:1" x14ac:dyDescent="0.25">
      <c r="A6">
        <v>922</v>
      </c>
    </row>
    <row r="7" spans="1:1" x14ac:dyDescent="0.25">
      <c r="A7">
        <v>923</v>
      </c>
    </row>
    <row r="8" spans="1:1" x14ac:dyDescent="0.25">
      <c r="A8">
        <v>924</v>
      </c>
    </row>
    <row r="9" spans="1:1" x14ac:dyDescent="0.25">
      <c r="A9">
        <v>925</v>
      </c>
    </row>
    <row r="10" spans="1:1" x14ac:dyDescent="0.25">
      <c r="A10">
        <v>926</v>
      </c>
    </row>
    <row r="11" spans="1:1" x14ac:dyDescent="0.25">
      <c r="A11">
        <v>927</v>
      </c>
    </row>
    <row r="12" spans="1:1" x14ac:dyDescent="0.25">
      <c r="A12">
        <v>928</v>
      </c>
    </row>
    <row r="13" spans="1:1" x14ac:dyDescent="0.25">
      <c r="A13">
        <v>929</v>
      </c>
    </row>
    <row r="14" spans="1:1" x14ac:dyDescent="0.25">
      <c r="A14">
        <v>930</v>
      </c>
    </row>
    <row r="15" spans="1:1" x14ac:dyDescent="0.25">
      <c r="A15">
        <v>931</v>
      </c>
    </row>
    <row r="16" spans="1:1" x14ac:dyDescent="0.25">
      <c r="A16">
        <v>932</v>
      </c>
    </row>
    <row r="17" spans="1:1" x14ac:dyDescent="0.25">
      <c r="A17">
        <v>933</v>
      </c>
    </row>
    <row r="18" spans="1:1" x14ac:dyDescent="0.25">
      <c r="A18">
        <v>934</v>
      </c>
    </row>
    <row r="19" spans="1:1" x14ac:dyDescent="0.25">
      <c r="A19">
        <v>936</v>
      </c>
    </row>
    <row r="20" spans="1:1" x14ac:dyDescent="0.25">
      <c r="A20">
        <v>937</v>
      </c>
    </row>
    <row r="21" spans="1:1" x14ac:dyDescent="0.25">
      <c r="A21">
        <v>938</v>
      </c>
    </row>
    <row r="22" spans="1:1" x14ac:dyDescent="0.25">
      <c r="A22">
        <v>939</v>
      </c>
    </row>
    <row r="23" spans="1:1" x14ac:dyDescent="0.25">
      <c r="A23">
        <v>950</v>
      </c>
    </row>
    <row r="24" spans="1:1" x14ac:dyDescent="0.25">
      <c r="A24">
        <v>951</v>
      </c>
    </row>
    <row r="25" spans="1:1" x14ac:dyDescent="0.25">
      <c r="A25">
        <v>999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7595E-791C-4F3A-B233-E7FD07E255C4}">
  <sheetPr codeName="Лист4"/>
  <dimension ref="A1"/>
  <sheetViews>
    <sheetView workbookViewId="0">
      <selection activeCell="N14" sqref="N14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B39EE-5DE4-4AEF-88FA-A82E1CF890AA}">
  <sheetPr codeName="Лист6"/>
  <dimension ref="A1:Z97"/>
  <sheetViews>
    <sheetView topLeftCell="A82" workbookViewId="0">
      <selection activeCell="D99" sqref="D99"/>
    </sheetView>
  </sheetViews>
  <sheetFormatPr defaultRowHeight="15" x14ac:dyDescent="0.25"/>
  <cols>
    <col min="1" max="1" width="14.7109375" customWidth="1"/>
  </cols>
  <sheetData>
    <row r="1" spans="1:26" x14ac:dyDescent="0.25">
      <c r="A1" t="s">
        <v>19</v>
      </c>
      <c r="F1" s="4" t="s">
        <v>182</v>
      </c>
    </row>
    <row r="2" spans="1:26" x14ac:dyDescent="0.25">
      <c r="A2" t="s">
        <v>20</v>
      </c>
      <c r="F2" s="4" t="s">
        <v>183</v>
      </c>
      <c r="G2" s="4" t="s">
        <v>184</v>
      </c>
    </row>
    <row r="3" spans="1:26" x14ac:dyDescent="0.25">
      <c r="A3" t="s">
        <v>21</v>
      </c>
      <c r="F3" s="4" t="s">
        <v>185</v>
      </c>
    </row>
    <row r="4" spans="1:26" x14ac:dyDescent="0.25">
      <c r="A4" t="s">
        <v>22</v>
      </c>
    </row>
    <row r="5" spans="1:26" x14ac:dyDescent="0.25">
      <c r="A5" t="s">
        <v>23</v>
      </c>
    </row>
    <row r="6" spans="1:26" x14ac:dyDescent="0.25">
      <c r="A6" t="s">
        <v>31</v>
      </c>
    </row>
    <row r="9" spans="1:26" x14ac:dyDescent="0.25">
      <c r="A9" s="2" t="s">
        <v>30</v>
      </c>
    </row>
    <row r="10" spans="1:26" x14ac:dyDescent="0.25">
      <c r="A10" s="2" t="s">
        <v>32</v>
      </c>
      <c r="Z10" t="s">
        <v>43</v>
      </c>
    </row>
    <row r="11" spans="1:26" x14ac:dyDescent="0.25">
      <c r="A11" t="s">
        <v>37</v>
      </c>
      <c r="Z11" t="s">
        <v>44</v>
      </c>
    </row>
    <row r="12" spans="1:26" x14ac:dyDescent="0.25">
      <c r="A12" s="2" t="s">
        <v>42</v>
      </c>
      <c r="Z12" t="s">
        <v>45</v>
      </c>
    </row>
    <row r="15" spans="1:26" x14ac:dyDescent="0.25">
      <c r="A15" t="s">
        <v>49</v>
      </c>
    </row>
    <row r="17" spans="1:3" x14ac:dyDescent="0.25">
      <c r="A17" t="s">
        <v>12</v>
      </c>
    </row>
    <row r="18" spans="1:3" x14ac:dyDescent="0.25">
      <c r="A18" s="4" t="s">
        <v>86</v>
      </c>
    </row>
    <row r="19" spans="1:3" x14ac:dyDescent="0.25">
      <c r="A19" t="s">
        <v>18</v>
      </c>
    </row>
    <row r="21" spans="1:3" x14ac:dyDescent="0.25">
      <c r="A21" s="2" t="s">
        <v>8</v>
      </c>
    </row>
    <row r="23" spans="1:3" x14ac:dyDescent="0.25">
      <c r="A23" t="s">
        <v>9</v>
      </c>
    </row>
    <row r="24" spans="1:3" x14ac:dyDescent="0.25">
      <c r="A24" t="s">
        <v>10</v>
      </c>
    </row>
    <row r="25" spans="1:3" x14ac:dyDescent="0.25">
      <c r="A25" t="s">
        <v>11</v>
      </c>
    </row>
    <row r="26" spans="1:3" x14ac:dyDescent="0.25">
      <c r="A26" s="2" t="s">
        <v>13</v>
      </c>
    </row>
    <row r="28" spans="1:3" x14ac:dyDescent="0.25">
      <c r="A28" t="s">
        <v>56</v>
      </c>
    </row>
    <row r="29" spans="1:3" x14ac:dyDescent="0.25">
      <c r="A29" t="s">
        <v>73</v>
      </c>
      <c r="B29" t="s">
        <v>71</v>
      </c>
    </row>
    <row r="30" spans="1:3" x14ac:dyDescent="0.25">
      <c r="A30" t="s">
        <v>76</v>
      </c>
    </row>
    <row r="31" spans="1:3" x14ac:dyDescent="0.25">
      <c r="A31" s="4" t="s">
        <v>107</v>
      </c>
      <c r="B31" s="4" t="s">
        <v>108</v>
      </c>
      <c r="C31" t="s">
        <v>91</v>
      </c>
    </row>
    <row r="33" spans="1:2" x14ac:dyDescent="0.25">
      <c r="A33" t="s">
        <v>78</v>
      </c>
    </row>
    <row r="34" spans="1:2" x14ac:dyDescent="0.25">
      <c r="A34" s="5" t="s">
        <v>89</v>
      </c>
      <c r="B34" t="s">
        <v>90</v>
      </c>
    </row>
    <row r="35" spans="1:2" x14ac:dyDescent="0.25">
      <c r="A35" s="4"/>
    </row>
    <row r="37" spans="1:2" x14ac:dyDescent="0.25">
      <c r="A37" s="6" t="s">
        <v>103</v>
      </c>
    </row>
    <row r="39" spans="1:2" x14ac:dyDescent="0.25">
      <c r="A39" t="s">
        <v>87</v>
      </c>
    </row>
    <row r="41" spans="1:2" x14ac:dyDescent="0.25">
      <c r="A41" s="4" t="s">
        <v>101</v>
      </c>
    </row>
    <row r="42" spans="1:2" x14ac:dyDescent="0.25">
      <c r="A42" s="4" t="s">
        <v>102</v>
      </c>
    </row>
    <row r="44" spans="1:2" x14ac:dyDescent="0.25">
      <c r="A44" s="4" t="s">
        <v>115</v>
      </c>
    </row>
    <row r="45" spans="1:2" x14ac:dyDescent="0.25">
      <c r="A45" s="20" t="s">
        <v>142</v>
      </c>
    </row>
    <row r="47" spans="1:2" x14ac:dyDescent="0.25">
      <c r="A47" s="20" t="s">
        <v>151</v>
      </c>
    </row>
    <row r="48" spans="1:2" x14ac:dyDescent="0.25">
      <c r="A48" s="4" t="s">
        <v>163</v>
      </c>
    </row>
    <row r="49" spans="1:4" x14ac:dyDescent="0.25">
      <c r="A49" s="4" t="s">
        <v>164</v>
      </c>
    </row>
    <row r="51" spans="1:4" x14ac:dyDescent="0.25">
      <c r="A51" s="4" t="s">
        <v>191</v>
      </c>
    </row>
    <row r="54" spans="1:4" x14ac:dyDescent="0.25">
      <c r="A54" s="36" t="s">
        <v>138</v>
      </c>
      <c r="B54" s="36"/>
      <c r="C54" s="36"/>
      <c r="D54" s="36"/>
    </row>
    <row r="56" spans="1:4" x14ac:dyDescent="0.25">
      <c r="A56" t="s">
        <v>131</v>
      </c>
    </row>
    <row r="57" spans="1:4" x14ac:dyDescent="0.25">
      <c r="A57" t="s">
        <v>137</v>
      </c>
    </row>
    <row r="58" spans="1:4" x14ac:dyDescent="0.25">
      <c r="A58" t="s">
        <v>139</v>
      </c>
    </row>
    <row r="59" spans="1:4" x14ac:dyDescent="0.25">
      <c r="A59" t="s">
        <v>140</v>
      </c>
    </row>
    <row r="60" spans="1:4" x14ac:dyDescent="0.25">
      <c r="A60" s="12" t="s">
        <v>141</v>
      </c>
    </row>
    <row r="61" spans="1:4" x14ac:dyDescent="0.25">
      <c r="A61" s="20" t="s">
        <v>143</v>
      </c>
    </row>
    <row r="64" spans="1:4" x14ac:dyDescent="0.25">
      <c r="A64" t="s">
        <v>147</v>
      </c>
    </row>
    <row r="66" spans="1:4" x14ac:dyDescent="0.25">
      <c r="A66" t="s">
        <v>148</v>
      </c>
    </row>
    <row r="69" spans="1:4" x14ac:dyDescent="0.25">
      <c r="A69" t="s">
        <v>153</v>
      </c>
    </row>
    <row r="71" spans="1:4" x14ac:dyDescent="0.25">
      <c r="A71" s="4" t="s">
        <v>162</v>
      </c>
    </row>
    <row r="74" spans="1:4" ht="15.75" x14ac:dyDescent="0.25">
      <c r="A74" s="37" t="s">
        <v>167</v>
      </c>
      <c r="B74" s="37"/>
      <c r="C74" s="37"/>
      <c r="D74" s="37"/>
    </row>
    <row r="76" spans="1:4" x14ac:dyDescent="0.25">
      <c r="A76" s="4" t="s">
        <v>179</v>
      </c>
    </row>
    <row r="78" spans="1:4" x14ac:dyDescent="0.25">
      <c r="A78" s="4" t="s">
        <v>172</v>
      </c>
    </row>
    <row r="79" spans="1:4" x14ac:dyDescent="0.25">
      <c r="A79" t="s">
        <v>186</v>
      </c>
    </row>
    <row r="82" spans="1:2" x14ac:dyDescent="0.25">
      <c r="A82" t="s">
        <v>196</v>
      </c>
    </row>
    <row r="84" spans="1:2" x14ac:dyDescent="0.25">
      <c r="A84" t="s">
        <v>197</v>
      </c>
    </row>
    <row r="86" spans="1:2" x14ac:dyDescent="0.25">
      <c r="A86" t="s">
        <v>227</v>
      </c>
      <c r="B86" t="str">
        <f>IFERROR(IF(VLOOKUP(MID(C2,2,3)+0,тесты!A:A,1,0),"мегафон"),"")</f>
        <v/>
      </c>
    </row>
    <row r="87" spans="1:2" x14ac:dyDescent="0.25">
      <c r="A87" t="s">
        <v>230</v>
      </c>
      <c r="B87" t="str">
        <f>IFERROR(IF(VLOOKUP(MID(C2,2,3)+0,тесты!A:A,1,0),"мегафон"),"")</f>
        <v/>
      </c>
    </row>
    <row r="89" spans="1:2" x14ac:dyDescent="0.25">
      <c r="A89" s="4" t="s">
        <v>234</v>
      </c>
    </row>
    <row r="90" spans="1:2" x14ac:dyDescent="0.25">
      <c r="A90" s="4" t="s">
        <v>236</v>
      </c>
      <c r="B90" t="s">
        <v>235</v>
      </c>
    </row>
    <row r="94" spans="1:2" x14ac:dyDescent="0.25">
      <c r="A94" t="s">
        <v>259</v>
      </c>
    </row>
    <row r="97" spans="1:1" x14ac:dyDescent="0.25">
      <c r="A97" t="s">
        <v>339</v>
      </c>
    </row>
  </sheetData>
  <mergeCells count="2">
    <mergeCell ref="A54:D54"/>
    <mergeCell ref="A74:D74"/>
  </mergeCells>
  <pageMargins left="0.7" right="0.7" top="0.75" bottom="0.75" header="0.3" footer="0.3"/>
  <pageSetup paperSize="9" orientation="portrait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0E0D97-4BED-45E2-941B-D1099F215FB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24</vt:i4>
      </vt:variant>
    </vt:vector>
  </HeadingPairs>
  <TitlesOfParts>
    <vt:vector size="35" baseType="lpstr">
      <vt:lpstr>Пени</vt:lpstr>
      <vt:lpstr>Email</vt:lpstr>
      <vt:lpstr>WA</vt:lpstr>
      <vt:lpstr>WA sender</vt:lpstr>
      <vt:lpstr>interface</vt:lpstr>
      <vt:lpstr>не звоним</vt:lpstr>
      <vt:lpstr>оплата</vt:lpstr>
      <vt:lpstr>Текст</vt:lpstr>
      <vt:lpstr>тесты</vt:lpstr>
      <vt:lpstr>доп email</vt:lpstr>
      <vt:lpstr>xforms</vt:lpstr>
      <vt:lpstr>адрес</vt:lpstr>
      <vt:lpstr>ВАдоп1</vt:lpstr>
      <vt:lpstr>ВАдоп2</vt:lpstr>
      <vt:lpstr>ВАдоп3</vt:lpstr>
      <vt:lpstr>ВАпродл</vt:lpstr>
      <vt:lpstr>выгода</vt:lpstr>
      <vt:lpstr>действ2</vt:lpstr>
      <vt:lpstr>действДО</vt:lpstr>
      <vt:lpstr>'WA sender'!договор</vt:lpstr>
      <vt:lpstr>договор</vt:lpstr>
      <vt:lpstr>ДОдоп</vt:lpstr>
      <vt:lpstr>ИО</vt:lpstr>
      <vt:lpstr>лого</vt:lpstr>
      <vt:lpstr>Меил_до</vt:lpstr>
      <vt:lpstr>МеилТема1</vt:lpstr>
      <vt:lpstr>МеилТема2</vt:lpstr>
      <vt:lpstr>оплата</vt:lpstr>
      <vt:lpstr>перСтр</vt:lpstr>
      <vt:lpstr>Приветствие</vt:lpstr>
      <vt:lpstr>СМС_до</vt:lpstr>
      <vt:lpstr>СМСшапка</vt:lpstr>
      <vt:lpstr>текстЧ1</vt:lpstr>
      <vt:lpstr>текстЧ2</vt:lpstr>
      <vt:lpstr>Шапка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2023-03-21T13:16:37Z</dcterms:modified>
</cp:coreProperties>
</file>
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updateLinks="always" codeName="ЭтаКнига"/>
  <mc:AlternateContent xmlns:mc="http://schemas.openxmlformats.org/markup-compatibility/2006">
    <mc:Choice Requires="x15">
      <x15ac:absPath xmlns:x15ac="http://schemas.microsoft.com/office/spreadsheetml/2010/11/ac" url="\\data\share\Отдел сопровождения кредитования\Работа с просрочкой\КСМ\подвал\"/>
    </mc:Choice>
  </mc:AlternateContent>
  <xr:revisionPtr revIDLastSave="0" documentId="13_ncr:1_{9133C23D-06FB-45B1-B4AD-721569806E39}" xr6:coauthVersionLast="47" xr6:coauthVersionMax="47" xr10:uidLastSave="{00000000-0000-0000-0000-000000000000}"/>
  <bookViews>
    <workbookView xWindow="-120" yWindow="-120" windowWidth="29040" windowHeight="15840" tabRatio="849" activeTab="1" xr2:uid="{00000000-000D-0000-FFFF-FFFF00000000}"/>
  </bookViews>
  <sheets>
    <sheet name="текущее дела" sheetId="25" r:id="rId1"/>
    <sheet name="реестр просрочников" sheetId="1" r:id="rId2"/>
    <sheet name="РП (расш)" sheetId="6" r:id="rId3"/>
    <sheet name="сверка" sheetId="27" r:id="rId4"/>
    <sheet name="Платежный календарь" sheetId="26" r:id="rId5"/>
    <sheet name="акция" sheetId="22" state="hidden" r:id="rId6"/>
    <sheet name="КО" sheetId="24" r:id="rId7"/>
    <sheet name="Платежи" sheetId="28" r:id="rId8"/>
    <sheet name="разное" sheetId="23" r:id="rId9"/>
    <sheet name="списание" sheetId="19" state="hidden" r:id="rId10"/>
    <sheet name="xforms" sheetId="3" r:id="rId11"/>
  </sheets>
  <externalReferences>
    <externalReference r:id="rId12"/>
    <externalReference r:id="rId13"/>
  </externalReferences>
  <definedNames>
    <definedName name="_xlnm._FilterDatabase" localSheetId="5" hidden="1">акция!$A$1:$N$125</definedName>
    <definedName name="_xlnm._FilterDatabase" localSheetId="6" hidden="1">КО!$A$1:$C$345</definedName>
    <definedName name="_xlnm._FilterDatabase" localSheetId="4" hidden="1">'Платежный календарь'!$D$1:$D$477</definedName>
    <definedName name="_xlnm._FilterDatabase" localSheetId="1" hidden="1">'реестр просрочников'!$E$2:$E$15</definedName>
    <definedName name="_xlnm._FilterDatabase" localSheetId="2" hidden="1">'РП (расш)'!$A$1:$L$1138</definedName>
    <definedName name="_xlnm._FilterDatabase" localSheetId="3" hidden="1">сверка!$H$1:$H$54</definedName>
    <definedName name="пени">xforms!#REF!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1" l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I15" i="1"/>
  <c r="H15" i="1"/>
  <c r="G15" i="1"/>
  <c r="C2" i="25"/>
  <c r="C3" i="25"/>
  <c r="C4" i="25"/>
  <c r="C5" i="25"/>
  <c r="C6" i="25"/>
  <c r="C7" i="25"/>
  <c r="C8" i="25"/>
  <c r="C9" i="25"/>
  <c r="B3" i="24" l="1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B205" i="24"/>
  <c r="B206" i="24"/>
  <c r="B207" i="24"/>
  <c r="B208" i="24"/>
  <c r="B209" i="24"/>
  <c r="B210" i="24"/>
  <c r="B211" i="24"/>
  <c r="B212" i="24"/>
  <c r="B213" i="24"/>
  <c r="B214" i="24"/>
  <c r="B215" i="24"/>
  <c r="B216" i="24"/>
  <c r="B217" i="24"/>
  <c r="B218" i="24"/>
  <c r="B219" i="24"/>
  <c r="B220" i="24"/>
  <c r="B221" i="24"/>
  <c r="B222" i="24"/>
  <c r="B223" i="24"/>
  <c r="B224" i="24"/>
  <c r="B225" i="24"/>
  <c r="B226" i="24"/>
  <c r="B227" i="24"/>
  <c r="B228" i="24"/>
  <c r="B229" i="24"/>
  <c r="B230" i="24"/>
  <c r="B231" i="24"/>
  <c r="B232" i="24"/>
  <c r="B233" i="24"/>
  <c r="B234" i="24"/>
  <c r="B235" i="24"/>
  <c r="B236" i="24"/>
  <c r="B237" i="24"/>
  <c r="B238" i="24"/>
  <c r="B239" i="24"/>
  <c r="B240" i="24"/>
  <c r="B241" i="24"/>
  <c r="B242" i="24"/>
  <c r="B243" i="24"/>
  <c r="B244" i="24"/>
  <c r="B245" i="24"/>
  <c r="B246" i="24"/>
  <c r="B247" i="24"/>
  <c r="B248" i="24"/>
  <c r="B249" i="24"/>
  <c r="B250" i="24"/>
  <c r="B251" i="24"/>
  <c r="B252" i="24"/>
  <c r="B253" i="24"/>
  <c r="B254" i="24"/>
  <c r="B255" i="24"/>
  <c r="B256" i="24"/>
  <c r="B257" i="24"/>
  <c r="B258" i="24"/>
  <c r="B259" i="24"/>
  <c r="B260" i="24"/>
  <c r="B261" i="24"/>
  <c r="B262" i="24"/>
  <c r="B263" i="24"/>
  <c r="B264" i="24"/>
  <c r="B265" i="24"/>
  <c r="B266" i="24"/>
  <c r="B267" i="24"/>
  <c r="B268" i="24"/>
  <c r="B269" i="24"/>
  <c r="B270" i="24"/>
  <c r="B271" i="24"/>
  <c r="B272" i="24"/>
  <c r="B273" i="24"/>
  <c r="B274" i="24"/>
  <c r="B275" i="24"/>
  <c r="B276" i="24"/>
  <c r="B277" i="24"/>
  <c r="B278" i="24"/>
  <c r="B279" i="24"/>
  <c r="B280" i="24"/>
  <c r="B281" i="24"/>
  <c r="B282" i="24"/>
  <c r="B283" i="24"/>
  <c r="B284" i="24"/>
  <c r="B285" i="24"/>
  <c r="B286" i="24"/>
  <c r="B287" i="24"/>
  <c r="B288" i="24"/>
  <c r="B289" i="24"/>
  <c r="B290" i="24"/>
  <c r="B291" i="24"/>
  <c r="B292" i="24"/>
  <c r="B293" i="24"/>
  <c r="B294" i="24"/>
  <c r="B295" i="24"/>
  <c r="B296" i="24"/>
  <c r="B297" i="24"/>
  <c r="B298" i="24"/>
  <c r="B299" i="24"/>
  <c r="B300" i="24"/>
  <c r="B301" i="24"/>
  <c r="B302" i="24"/>
  <c r="B303" i="24"/>
  <c r="B304" i="24"/>
  <c r="B305" i="24"/>
  <c r="B306" i="24"/>
  <c r="B307" i="24"/>
  <c r="B308" i="24"/>
  <c r="B309" i="24"/>
  <c r="B310" i="24"/>
  <c r="B311" i="24"/>
  <c r="B312" i="24"/>
  <c r="B313" i="24"/>
  <c r="B314" i="24"/>
  <c r="B315" i="24"/>
  <c r="B316" i="24"/>
  <c r="B317" i="24"/>
  <c r="B318" i="24"/>
  <c r="B319" i="24"/>
  <c r="B320" i="24"/>
  <c r="B321" i="24"/>
  <c r="B322" i="24"/>
  <c r="B323" i="24"/>
  <c r="B324" i="24"/>
  <c r="B325" i="24"/>
  <c r="B326" i="24"/>
  <c r="B327" i="24"/>
  <c r="B328" i="24"/>
  <c r="B329" i="24"/>
  <c r="B330" i="24"/>
  <c r="B331" i="24"/>
  <c r="B332" i="24"/>
  <c r="B333" i="24"/>
  <c r="B334" i="24"/>
  <c r="B335" i="24"/>
  <c r="B336" i="24"/>
  <c r="B337" i="24"/>
  <c r="B338" i="24"/>
  <c r="B339" i="24"/>
  <c r="B340" i="24"/>
  <c r="B341" i="24"/>
  <c r="B342" i="24"/>
  <c r="B343" i="24"/>
  <c r="B344" i="24"/>
  <c r="B345" i="24"/>
  <c r="B346" i="24"/>
  <c r="B347" i="24"/>
  <c r="B348" i="24"/>
  <c r="B349" i="24"/>
  <c r="B350" i="24"/>
  <c r="B351" i="24"/>
  <c r="B352" i="24"/>
  <c r="B353" i="24"/>
  <c r="B354" i="24"/>
  <c r="B355" i="24"/>
  <c r="B356" i="24"/>
  <c r="B357" i="24"/>
  <c r="B358" i="24"/>
  <c r="B359" i="24"/>
  <c r="B360" i="24"/>
  <c r="B361" i="24"/>
  <c r="B362" i="24"/>
  <c r="B363" i="24"/>
  <c r="B364" i="24"/>
  <c r="B365" i="24"/>
  <c r="B366" i="24"/>
  <c r="B367" i="24"/>
  <c r="B368" i="24"/>
  <c r="B369" i="24"/>
  <c r="B370" i="24"/>
  <c r="B371" i="24"/>
  <c r="B372" i="24"/>
  <c r="B373" i="24"/>
  <c r="B374" i="24"/>
  <c r="B375" i="24"/>
  <c r="B376" i="24"/>
  <c r="B377" i="24"/>
  <c r="B378" i="24"/>
  <c r="B379" i="24"/>
  <c r="B380" i="24"/>
  <c r="B381" i="24"/>
  <c r="B382" i="24"/>
  <c r="B383" i="24"/>
  <c r="B384" i="24"/>
  <c r="B385" i="24"/>
  <c r="B386" i="24"/>
  <c r="B387" i="24"/>
  <c r="B388" i="24"/>
  <c r="B389" i="24"/>
  <c r="B390" i="24"/>
  <c r="B391" i="24"/>
  <c r="B392" i="24"/>
  <c r="B393" i="24"/>
  <c r="B394" i="24"/>
  <c r="B395" i="24"/>
  <c r="B396" i="24"/>
  <c r="B397" i="24"/>
  <c r="B398" i="24"/>
  <c r="B399" i="24"/>
  <c r="B400" i="24"/>
  <c r="B401" i="24"/>
  <c r="B402" i="24"/>
  <c r="B403" i="24"/>
  <c r="B404" i="24"/>
  <c r="B405" i="24"/>
  <c r="B406" i="24"/>
  <c r="B407" i="24"/>
  <c r="B408" i="24"/>
  <c r="B409" i="24"/>
  <c r="B410" i="24"/>
  <c r="B411" i="24"/>
  <c r="B412" i="24"/>
  <c r="B413" i="24"/>
  <c r="B414" i="24"/>
  <c r="B415" i="24"/>
  <c r="B416" i="24"/>
  <c r="B417" i="24"/>
  <c r="B418" i="24"/>
  <c r="B419" i="24"/>
  <c r="B420" i="24"/>
  <c r="B421" i="24"/>
  <c r="B422" i="24"/>
  <c r="B423" i="24"/>
  <c r="B424" i="24"/>
  <c r="B425" i="24"/>
  <c r="B426" i="24"/>
  <c r="B427" i="24"/>
  <c r="B428" i="24"/>
  <c r="B429" i="24"/>
  <c r="B430" i="24"/>
  <c r="B431" i="24"/>
  <c r="B432" i="24"/>
  <c r="B433" i="24"/>
  <c r="B434" i="24"/>
  <c r="B435" i="24"/>
  <c r="B436" i="24"/>
  <c r="B437" i="24"/>
  <c r="B438" i="24"/>
  <c r="B439" i="24"/>
  <c r="B440" i="24"/>
  <c r="B441" i="24"/>
  <c r="B442" i="24"/>
  <c r="B443" i="24"/>
  <c r="B444" i="24"/>
  <c r="B445" i="24"/>
  <c r="B446" i="24"/>
  <c r="B447" i="24"/>
  <c r="B448" i="24"/>
  <c r="B449" i="24"/>
  <c r="B450" i="24"/>
  <c r="B451" i="24"/>
  <c r="B452" i="24"/>
  <c r="B453" i="24"/>
  <c r="B454" i="24"/>
  <c r="B455" i="24"/>
  <c r="B456" i="24"/>
  <c r="B457" i="24"/>
  <c r="B458" i="24"/>
  <c r="B459" i="24"/>
  <c r="B460" i="24"/>
  <c r="B461" i="24"/>
  <c r="B462" i="24"/>
  <c r="B463" i="24"/>
  <c r="B464" i="24"/>
  <c r="B465" i="24"/>
  <c r="B466" i="24"/>
  <c r="B467" i="24"/>
  <c r="B468" i="24"/>
  <c r="B469" i="24"/>
  <c r="B470" i="24"/>
  <c r="B471" i="24"/>
  <c r="B472" i="24"/>
  <c r="B473" i="24"/>
  <c r="B474" i="24"/>
  <c r="B475" i="24"/>
  <c r="B476" i="24"/>
  <c r="B477" i="24"/>
  <c r="B478" i="24"/>
  <c r="B479" i="24"/>
  <c r="B480" i="24"/>
  <c r="B481" i="24"/>
  <c r="B482" i="24"/>
  <c r="B483" i="24"/>
  <c r="B484" i="24"/>
  <c r="B485" i="24"/>
  <c r="B486" i="24"/>
  <c r="B487" i="24"/>
  <c r="B488" i="24"/>
  <c r="B489" i="24"/>
  <c r="B490" i="24"/>
  <c r="B491" i="24"/>
  <c r="B492" i="24"/>
  <c r="B493" i="24"/>
  <c r="B494" i="24"/>
  <c r="B495" i="24"/>
  <c r="B496" i="24"/>
  <c r="B497" i="24"/>
  <c r="B498" i="24"/>
  <c r="B499" i="24"/>
  <c r="B500" i="24"/>
  <c r="B501" i="24"/>
  <c r="B502" i="24"/>
  <c r="B503" i="24"/>
  <c r="B504" i="24"/>
  <c r="B505" i="24"/>
  <c r="B506" i="24"/>
  <c r="B507" i="24"/>
  <c r="B508" i="24"/>
  <c r="B509" i="24"/>
  <c r="B510" i="24"/>
  <c r="B511" i="24"/>
  <c r="B512" i="24"/>
  <c r="B513" i="24"/>
  <c r="B514" i="24"/>
  <c r="B515" i="24"/>
  <c r="B516" i="24"/>
  <c r="B517" i="24"/>
  <c r="B518" i="24"/>
  <c r="B519" i="24"/>
  <c r="B520" i="24"/>
  <c r="B521" i="24"/>
  <c r="B522" i="24"/>
  <c r="B523" i="24"/>
  <c r="B524" i="24"/>
  <c r="B525" i="24"/>
  <c r="B526" i="24"/>
  <c r="B527" i="24"/>
  <c r="B528" i="24"/>
  <c r="B529" i="24"/>
  <c r="B530" i="24"/>
  <c r="B531" i="24"/>
  <c r="B532" i="24"/>
  <c r="B533" i="24"/>
  <c r="B534" i="24"/>
  <c r="B535" i="24"/>
  <c r="B536" i="24"/>
  <c r="B537" i="24"/>
  <c r="B538" i="24"/>
  <c r="B539" i="24"/>
  <c r="B540" i="24"/>
  <c r="B541" i="24"/>
  <c r="B542" i="24"/>
  <c r="B543" i="24"/>
  <c r="B544" i="24"/>
  <c r="B545" i="24"/>
  <c r="B546" i="24"/>
  <c r="B547" i="24"/>
  <c r="B548" i="24"/>
  <c r="B549" i="24"/>
  <c r="B550" i="24"/>
  <c r="B551" i="24"/>
  <c r="B552" i="24"/>
  <c r="B553" i="24"/>
  <c r="B554" i="24"/>
  <c r="B555" i="24"/>
  <c r="B556" i="24"/>
  <c r="B557" i="24"/>
  <c r="B558" i="24"/>
  <c r="B559" i="24"/>
  <c r="B560" i="24"/>
  <c r="B561" i="24"/>
  <c r="B562" i="24"/>
  <c r="B563" i="24"/>
  <c r="B564" i="24"/>
  <c r="B565" i="24"/>
  <c r="B566" i="24"/>
  <c r="B567" i="24"/>
  <c r="B568" i="24"/>
  <c r="B569" i="24"/>
  <c r="B570" i="24"/>
  <c r="B571" i="24"/>
  <c r="B572" i="24"/>
  <c r="B573" i="24"/>
  <c r="B574" i="24"/>
  <c r="B575" i="24"/>
  <c r="B576" i="24"/>
  <c r="B577" i="24"/>
  <c r="B578" i="24"/>
  <c r="B579" i="24"/>
  <c r="B580" i="24"/>
  <c r="B581" i="24"/>
  <c r="B582" i="24"/>
  <c r="B583" i="24"/>
  <c r="B584" i="24"/>
  <c r="B585" i="24"/>
  <c r="B586" i="24"/>
  <c r="B587" i="24"/>
  <c r="B588" i="24"/>
  <c r="B589" i="24"/>
  <c r="B590" i="24"/>
  <c r="B591" i="24"/>
  <c r="B592" i="24"/>
  <c r="B593" i="24"/>
  <c r="B594" i="24"/>
  <c r="B595" i="24"/>
  <c r="B596" i="24"/>
  <c r="B597" i="24"/>
  <c r="B598" i="24"/>
  <c r="B599" i="24"/>
  <c r="B600" i="24"/>
  <c r="B601" i="24"/>
  <c r="B602" i="24"/>
  <c r="B603" i="24"/>
  <c r="B604" i="24"/>
  <c r="B605" i="24"/>
  <c r="B606" i="24"/>
  <c r="B607" i="24"/>
  <c r="B608" i="24"/>
  <c r="B609" i="24"/>
  <c r="B610" i="24"/>
  <c r="B611" i="24"/>
  <c r="B612" i="24"/>
  <c r="B613" i="24"/>
  <c r="B614" i="24"/>
  <c r="B615" i="24"/>
  <c r="B616" i="24"/>
  <c r="B617" i="24"/>
  <c r="B618" i="24"/>
  <c r="B619" i="24"/>
  <c r="B620" i="24"/>
  <c r="B621" i="24"/>
  <c r="B622" i="24"/>
  <c r="B623" i="24"/>
  <c r="B624" i="24"/>
  <c r="B625" i="24"/>
  <c r="B626" i="24"/>
  <c r="B627" i="24"/>
  <c r="B628" i="24"/>
  <c r="B629" i="24"/>
  <c r="B630" i="24"/>
  <c r="B631" i="24"/>
  <c r="B632" i="24"/>
  <c r="B633" i="24"/>
  <c r="B634" i="24"/>
  <c r="B635" i="24"/>
  <c r="B636" i="24"/>
  <c r="B637" i="24"/>
  <c r="B638" i="24"/>
  <c r="B639" i="24"/>
  <c r="B640" i="24"/>
  <c r="B641" i="24"/>
  <c r="B642" i="24"/>
  <c r="B643" i="24"/>
  <c r="B644" i="24"/>
  <c r="B645" i="24"/>
  <c r="B646" i="24"/>
  <c r="B647" i="24"/>
  <c r="B648" i="24"/>
  <c r="B649" i="24"/>
  <c r="B650" i="24"/>
  <c r="B651" i="24"/>
  <c r="B652" i="24"/>
  <c r="B653" i="24"/>
  <c r="B654" i="24"/>
  <c r="B655" i="24"/>
  <c r="B656" i="24"/>
  <c r="B657" i="24"/>
  <c r="B658" i="24"/>
  <c r="B659" i="24"/>
  <c r="B660" i="24"/>
  <c r="B661" i="24"/>
  <c r="B662" i="24"/>
  <c r="B663" i="24"/>
  <c r="B664" i="24"/>
  <c r="B665" i="24"/>
  <c r="B666" i="24"/>
  <c r="B667" i="24"/>
  <c r="B668" i="24"/>
  <c r="B669" i="24"/>
  <c r="B670" i="24"/>
  <c r="B671" i="24"/>
  <c r="B672" i="24"/>
  <c r="B673" i="24"/>
  <c r="B674" i="24"/>
  <c r="B675" i="24"/>
  <c r="B676" i="24"/>
  <c r="B677" i="24"/>
  <c r="B678" i="24"/>
  <c r="B679" i="24"/>
  <c r="B680" i="24"/>
  <c r="B681" i="24"/>
  <c r="B682" i="24"/>
  <c r="B683" i="24"/>
  <c r="B684" i="24"/>
  <c r="B685" i="24"/>
  <c r="B686" i="24"/>
  <c r="B687" i="24"/>
  <c r="B688" i="24"/>
  <c r="B689" i="24"/>
  <c r="B690" i="24"/>
  <c r="B691" i="24"/>
  <c r="B692" i="24"/>
  <c r="B693" i="24"/>
  <c r="B694" i="24"/>
  <c r="B695" i="24"/>
  <c r="B696" i="24"/>
  <c r="B697" i="24"/>
  <c r="B698" i="24"/>
  <c r="B699" i="24"/>
  <c r="B700" i="24"/>
  <c r="B701" i="24"/>
  <c r="B702" i="24"/>
  <c r="B703" i="24"/>
  <c r="B704" i="24"/>
  <c r="B705" i="24"/>
  <c r="B706" i="24"/>
  <c r="B707" i="24"/>
  <c r="B708" i="24"/>
  <c r="B709" i="24"/>
  <c r="B710" i="24"/>
  <c r="B711" i="24"/>
  <c r="B712" i="24"/>
  <c r="B713" i="24"/>
  <c r="B714" i="24"/>
  <c r="B715" i="24"/>
  <c r="B716" i="24"/>
  <c r="B717" i="24"/>
  <c r="B718" i="24"/>
  <c r="B719" i="24"/>
  <c r="B720" i="24"/>
  <c r="B721" i="24"/>
  <c r="B722" i="24"/>
  <c r="B723" i="24"/>
  <c r="B724" i="24"/>
  <c r="B725" i="24"/>
  <c r="B726" i="24"/>
  <c r="B727" i="24"/>
  <c r="B728" i="24"/>
  <c r="B729" i="24"/>
  <c r="B730" i="24"/>
  <c r="B731" i="24"/>
  <c r="B732" i="24"/>
  <c r="B733" i="24"/>
  <c r="B734" i="24"/>
  <c r="B735" i="24"/>
  <c r="B736" i="24"/>
  <c r="B737" i="24"/>
  <c r="B738" i="24"/>
  <c r="B739" i="24"/>
  <c r="B740" i="24"/>
  <c r="B741" i="24"/>
  <c r="B742" i="24"/>
  <c r="B743" i="24"/>
  <c r="B744" i="24"/>
  <c r="B745" i="24"/>
  <c r="B746" i="24"/>
  <c r="B747" i="24"/>
  <c r="B748" i="24"/>
  <c r="B749" i="24"/>
  <c r="B750" i="24"/>
  <c r="B751" i="24"/>
  <c r="B752" i="24"/>
  <c r="B753" i="24"/>
  <c r="B754" i="24"/>
  <c r="B755" i="24"/>
  <c r="B756" i="24"/>
  <c r="B757" i="24"/>
  <c r="B758" i="24"/>
  <c r="B759" i="24"/>
  <c r="B760" i="24"/>
  <c r="B761" i="24"/>
  <c r="B762" i="24"/>
  <c r="B763" i="24"/>
  <c r="B764" i="24"/>
  <c r="B765" i="24"/>
  <c r="B766" i="24"/>
  <c r="B767" i="24"/>
  <c r="B768" i="24"/>
  <c r="B769" i="24"/>
  <c r="B770" i="24"/>
  <c r="B771" i="24"/>
  <c r="B772" i="24"/>
  <c r="B773" i="24"/>
  <c r="B774" i="24"/>
  <c r="B775" i="24"/>
  <c r="B776" i="24"/>
  <c r="B777" i="24"/>
  <c r="B778" i="24"/>
  <c r="B779" i="24"/>
  <c r="B780" i="24"/>
  <c r="B781" i="24"/>
  <c r="B782" i="24"/>
  <c r="B783" i="24"/>
  <c r="B784" i="24"/>
  <c r="B785" i="24"/>
  <c r="B786" i="24"/>
  <c r="B787" i="24"/>
  <c r="B788" i="24"/>
  <c r="B789" i="24"/>
  <c r="B790" i="24"/>
  <c r="B791" i="24"/>
  <c r="B792" i="24"/>
  <c r="B793" i="24"/>
  <c r="B794" i="24"/>
  <c r="B795" i="24"/>
  <c r="B796" i="24"/>
  <c r="B797" i="24"/>
  <c r="B798" i="24"/>
  <c r="B799" i="24"/>
  <c r="B800" i="24"/>
  <c r="B801" i="24"/>
  <c r="B802" i="24"/>
  <c r="B803" i="24"/>
  <c r="B804" i="24"/>
  <c r="B805" i="24"/>
  <c r="B806" i="24"/>
  <c r="B807" i="24"/>
  <c r="B808" i="24"/>
  <c r="B809" i="24"/>
  <c r="B810" i="24"/>
  <c r="B811" i="24"/>
  <c r="B812" i="24"/>
  <c r="B813" i="24"/>
  <c r="B814" i="24"/>
  <c r="B815" i="24"/>
  <c r="B816" i="24"/>
  <c r="B817" i="24"/>
  <c r="B818" i="24"/>
  <c r="B819" i="24"/>
  <c r="B820" i="24"/>
  <c r="B821" i="24"/>
  <c r="B822" i="24"/>
  <c r="B823" i="24"/>
  <c r="B824" i="24"/>
  <c r="B825" i="24"/>
  <c r="B826" i="24"/>
  <c r="B827" i="24"/>
  <c r="B828" i="24"/>
  <c r="B829" i="24"/>
  <c r="B830" i="24"/>
  <c r="B831" i="24"/>
  <c r="B832" i="24"/>
  <c r="B833" i="24"/>
  <c r="B834" i="24"/>
  <c r="B835" i="24"/>
  <c r="B836" i="24"/>
  <c r="B837" i="24"/>
  <c r="B838" i="24"/>
  <c r="B839" i="24"/>
  <c r="B840" i="24"/>
  <c r="B841" i="24"/>
  <c r="B842" i="24"/>
  <c r="B843" i="24"/>
  <c r="B844" i="24"/>
  <c r="B845" i="24"/>
  <c r="B846" i="24"/>
  <c r="B847" i="24"/>
  <c r="B848" i="24"/>
  <c r="B849" i="24"/>
  <c r="B850" i="24"/>
  <c r="B851" i="24"/>
  <c r="B852" i="24"/>
  <c r="B853" i="24"/>
  <c r="B854" i="24"/>
  <c r="B855" i="24"/>
  <c r="B856" i="24"/>
  <c r="B857" i="24"/>
  <c r="B858" i="24"/>
  <c r="B859" i="24"/>
  <c r="B860" i="24"/>
  <c r="B861" i="24"/>
  <c r="B862" i="24"/>
  <c r="B863" i="24"/>
  <c r="B864" i="24"/>
  <c r="B865" i="24"/>
  <c r="B866" i="24"/>
  <c r="B867" i="24"/>
  <c r="B868" i="24"/>
  <c r="B869" i="24"/>
  <c r="B870" i="24"/>
  <c r="B871" i="24"/>
  <c r="B872" i="24"/>
  <c r="B873" i="24"/>
  <c r="B874" i="24"/>
  <c r="B875" i="24"/>
  <c r="B876" i="24"/>
  <c r="B877" i="24"/>
  <c r="B878" i="24"/>
  <c r="B879" i="24"/>
  <c r="B880" i="24"/>
  <c r="B881" i="24"/>
  <c r="B882" i="24"/>
  <c r="B883" i="24"/>
  <c r="B884" i="24"/>
  <c r="B885" i="24"/>
  <c r="B886" i="24"/>
  <c r="B887" i="24"/>
  <c r="B888" i="24"/>
  <c r="B889" i="24"/>
  <c r="B890" i="24"/>
  <c r="B891" i="24"/>
  <c r="B892" i="24"/>
  <c r="B893" i="24"/>
  <c r="B894" i="24"/>
  <c r="B895" i="24"/>
  <c r="B896" i="24"/>
  <c r="B897" i="24"/>
  <c r="B898" i="24"/>
  <c r="B899" i="24"/>
  <c r="B900" i="24"/>
  <c r="B901" i="24"/>
  <c r="B902" i="24"/>
  <c r="B903" i="24"/>
  <c r="B904" i="24"/>
  <c r="B905" i="24"/>
  <c r="B906" i="24"/>
  <c r="B907" i="24"/>
  <c r="B908" i="24"/>
  <c r="B909" i="24"/>
  <c r="B910" i="24"/>
  <c r="B911" i="24"/>
  <c r="B912" i="24"/>
  <c r="B913" i="24"/>
  <c r="B914" i="24"/>
  <c r="B915" i="24"/>
  <c r="B916" i="24"/>
  <c r="B917" i="24"/>
  <c r="B918" i="24"/>
  <c r="B919" i="24"/>
  <c r="B920" i="24"/>
  <c r="B921" i="24"/>
  <c r="B922" i="24"/>
  <c r="B923" i="24"/>
  <c r="B924" i="24"/>
  <c r="B925" i="24"/>
  <c r="B926" i="24"/>
  <c r="B927" i="24"/>
  <c r="B928" i="24"/>
  <c r="B929" i="24"/>
  <c r="B930" i="24"/>
  <c r="B931" i="24"/>
  <c r="B932" i="24"/>
  <c r="B933" i="24"/>
  <c r="B934" i="24"/>
  <c r="B935" i="24"/>
  <c r="B936" i="24"/>
  <c r="B937" i="24"/>
  <c r="B938" i="24"/>
  <c r="B939" i="24"/>
  <c r="B940" i="24"/>
  <c r="B941" i="24"/>
  <c r="B942" i="24"/>
  <c r="B943" i="24"/>
  <c r="B944" i="24"/>
  <c r="B945" i="24"/>
  <c r="B946" i="24"/>
  <c r="B947" i="24"/>
  <c r="B948" i="24"/>
  <c r="B949" i="24"/>
  <c r="B950" i="24"/>
  <c r="B951" i="24"/>
  <c r="B952" i="24"/>
  <c r="B953" i="24"/>
  <c r="B954" i="24"/>
  <c r="B955" i="24"/>
  <c r="B956" i="24"/>
  <c r="B957" i="24"/>
  <c r="B958" i="24"/>
  <c r="B959" i="24"/>
  <c r="B960" i="24"/>
  <c r="B961" i="24"/>
  <c r="B962" i="24"/>
  <c r="B963" i="24"/>
  <c r="B964" i="24"/>
  <c r="B965" i="24"/>
  <c r="B966" i="24"/>
  <c r="B967" i="24"/>
  <c r="B968" i="24"/>
  <c r="B969" i="24"/>
  <c r="B970" i="24"/>
  <c r="B971" i="24"/>
  <c r="B972" i="24"/>
  <c r="B973" i="24"/>
  <c r="B974" i="24"/>
  <c r="B975" i="24"/>
  <c r="B976" i="24"/>
  <c r="B977" i="24"/>
  <c r="B978" i="24"/>
  <c r="B979" i="24"/>
  <c r="B980" i="24"/>
  <c r="B981" i="24"/>
  <c r="B982" i="24"/>
  <c r="B983" i="24"/>
  <c r="B984" i="24"/>
  <c r="B985" i="24"/>
  <c r="B986" i="24"/>
  <c r="B987" i="24"/>
  <c r="B988" i="24"/>
  <c r="B989" i="24"/>
  <c r="B990" i="24"/>
  <c r="B991" i="24"/>
  <c r="B992" i="24"/>
  <c r="B993" i="24"/>
  <c r="B994" i="24"/>
  <c r="B995" i="24"/>
  <c r="B996" i="24"/>
  <c r="B997" i="24"/>
  <c r="B998" i="24"/>
  <c r="B999" i="24"/>
  <c r="B1000" i="24"/>
  <c r="B1001" i="24"/>
  <c r="B1002" i="24"/>
  <c r="B1003" i="24"/>
  <c r="B1004" i="24"/>
  <c r="B1005" i="24"/>
  <c r="B1006" i="24"/>
  <c r="B1007" i="24"/>
  <c r="B1008" i="24"/>
  <c r="B1009" i="24"/>
  <c r="B1010" i="24"/>
  <c r="B1011" i="24"/>
  <c r="B1012" i="24"/>
  <c r="B1013" i="24"/>
  <c r="B1014" i="24"/>
  <c r="B1015" i="24"/>
  <c r="B1016" i="24"/>
  <c r="B1017" i="24"/>
  <c r="B1018" i="24"/>
  <c r="B1019" i="24"/>
  <c r="B1020" i="24"/>
  <c r="B1021" i="24"/>
  <c r="B1022" i="24"/>
  <c r="B1023" i="24"/>
  <c r="B1024" i="24"/>
  <c r="B1025" i="24"/>
  <c r="B1026" i="24"/>
  <c r="B1027" i="24"/>
  <c r="B1028" i="24"/>
  <c r="B1029" i="24"/>
  <c r="B1030" i="24"/>
  <c r="B1031" i="24"/>
  <c r="B1032" i="24"/>
  <c r="B1033" i="24"/>
  <c r="B1034" i="24"/>
  <c r="B1035" i="24"/>
  <c r="B1036" i="24"/>
  <c r="B1037" i="24"/>
  <c r="B1038" i="24"/>
  <c r="B1039" i="24"/>
  <c r="B1040" i="24"/>
  <c r="B1041" i="24"/>
  <c r="B1042" i="24"/>
  <c r="B1043" i="24"/>
  <c r="B1044" i="24"/>
  <c r="B1045" i="24"/>
  <c r="B1046" i="24"/>
  <c r="B1047" i="24"/>
  <c r="B1048" i="24"/>
  <c r="B1049" i="24"/>
  <c r="B1050" i="24"/>
  <c r="B1051" i="24"/>
  <c r="B1052" i="24"/>
  <c r="B1053" i="24"/>
  <c r="B1054" i="24"/>
  <c r="B1055" i="24"/>
  <c r="B1056" i="24"/>
  <c r="B1057" i="24"/>
  <c r="B1058" i="24"/>
  <c r="B1059" i="24"/>
  <c r="B1060" i="24"/>
  <c r="B1061" i="24"/>
  <c r="B1062" i="24"/>
  <c r="B1063" i="24"/>
  <c r="B1064" i="24"/>
  <c r="B1065" i="24"/>
  <c r="B1066" i="24"/>
  <c r="B1067" i="24"/>
  <c r="B1068" i="24"/>
  <c r="B1069" i="24"/>
  <c r="B1070" i="24"/>
  <c r="B1071" i="24"/>
  <c r="B1072" i="24"/>
  <c r="B1073" i="24"/>
  <c r="B1074" i="24"/>
  <c r="B1075" i="24"/>
  <c r="B1076" i="24"/>
  <c r="B1077" i="24"/>
  <c r="B1078" i="24"/>
  <c r="B1079" i="24"/>
  <c r="B1080" i="24"/>
  <c r="B1081" i="24"/>
  <c r="B1082" i="24"/>
  <c r="B1083" i="24"/>
  <c r="B1084" i="24"/>
  <c r="B1085" i="24"/>
  <c r="B1086" i="24"/>
  <c r="B1087" i="24"/>
  <c r="B1088" i="24"/>
  <c r="B1089" i="24"/>
  <c r="B1090" i="24"/>
  <c r="B1091" i="24"/>
  <c r="B1092" i="24"/>
  <c r="B1093" i="24"/>
  <c r="B1094" i="24"/>
  <c r="B1095" i="24"/>
  <c r="B1096" i="24"/>
  <c r="B1097" i="24"/>
  <c r="B1098" i="24"/>
  <c r="B1099" i="24"/>
  <c r="B1100" i="24"/>
  <c r="B1101" i="24"/>
  <c r="B1102" i="24"/>
  <c r="B1103" i="24"/>
  <c r="B1104" i="24"/>
  <c r="B1105" i="24"/>
  <c r="B1106" i="24"/>
  <c r="B1107" i="24"/>
  <c r="B1108" i="24"/>
  <c r="B1109" i="24"/>
  <c r="B1110" i="24"/>
  <c r="B1111" i="24"/>
  <c r="B1112" i="24"/>
  <c r="B1113" i="24"/>
  <c r="B1114" i="24"/>
  <c r="B1115" i="24"/>
  <c r="B1116" i="24"/>
  <c r="B1117" i="24"/>
  <c r="B1118" i="24"/>
  <c r="B1119" i="24"/>
  <c r="B1120" i="24"/>
  <c r="B1121" i="24"/>
  <c r="B1122" i="24"/>
  <c r="B1123" i="24"/>
  <c r="B1124" i="24"/>
  <c r="B1125" i="24"/>
  <c r="B1126" i="24"/>
  <c r="B1127" i="24"/>
  <c r="B1128" i="24"/>
  <c r="B1129" i="24"/>
  <c r="B1130" i="24"/>
  <c r="B1131" i="24"/>
  <c r="B1132" i="24"/>
  <c r="B1133" i="24"/>
  <c r="B1134" i="24"/>
  <c r="B1135" i="24"/>
  <c r="B1136" i="24"/>
  <c r="B1137" i="24"/>
  <c r="B1138" i="24"/>
  <c r="B1139" i="24"/>
  <c r="B1140" i="24"/>
  <c r="B1141" i="24"/>
  <c r="B1142" i="24"/>
  <c r="B1143" i="24"/>
  <c r="B1144" i="24"/>
  <c r="B1145" i="24"/>
  <c r="B1146" i="24"/>
  <c r="B1147" i="24"/>
  <c r="B1148" i="24"/>
  <c r="B1149" i="24"/>
  <c r="B1150" i="24"/>
  <c r="B1151" i="24"/>
  <c r="B1152" i="24"/>
  <c r="B1153" i="24"/>
  <c r="B1154" i="24"/>
  <c r="B1155" i="24"/>
  <c r="B1156" i="24"/>
  <c r="B1157" i="24"/>
  <c r="B1158" i="24"/>
  <c r="B1159" i="24"/>
  <c r="B1160" i="24"/>
  <c r="B1161" i="24"/>
  <c r="B1162" i="24"/>
  <c r="B1163" i="24"/>
  <c r="B1164" i="24"/>
  <c r="B1165" i="24"/>
  <c r="B1166" i="24"/>
  <c r="B1167" i="24"/>
  <c r="B1168" i="24"/>
  <c r="B1169" i="24"/>
  <c r="B1170" i="24"/>
  <c r="B1171" i="24"/>
  <c r="B1172" i="24"/>
  <c r="B1173" i="24"/>
  <c r="B1174" i="24"/>
  <c r="B1175" i="24"/>
  <c r="B1176" i="24"/>
  <c r="B1177" i="24"/>
  <c r="B1178" i="24"/>
  <c r="B1179" i="24"/>
  <c r="B1180" i="24"/>
  <c r="B1181" i="24"/>
  <c r="B1182" i="24"/>
  <c r="B1183" i="24"/>
  <c r="B1184" i="24"/>
  <c r="B1185" i="24"/>
  <c r="B1186" i="24"/>
  <c r="B1187" i="24"/>
  <c r="B1188" i="24"/>
  <c r="B1189" i="24"/>
  <c r="B1190" i="24"/>
  <c r="B1191" i="24"/>
  <c r="B1192" i="24"/>
  <c r="B1193" i="24"/>
  <c r="B1194" i="24"/>
  <c r="B1195" i="24"/>
  <c r="B1196" i="24"/>
  <c r="B1197" i="24"/>
  <c r="B1198" i="24"/>
  <c r="B1199" i="24"/>
  <c r="B1200" i="24"/>
  <c r="B1201" i="24"/>
  <c r="B1202" i="24"/>
  <c r="B1203" i="24"/>
  <c r="B1204" i="24"/>
  <c r="B1205" i="24"/>
  <c r="B1206" i="24"/>
  <c r="B1207" i="24"/>
  <c r="B1208" i="24"/>
  <c r="B1209" i="24"/>
  <c r="B1210" i="24"/>
  <c r="B1211" i="24"/>
  <c r="B1212" i="24"/>
  <c r="B1213" i="24"/>
  <c r="B1214" i="24"/>
  <c r="B1215" i="24"/>
  <c r="B1216" i="24"/>
  <c r="B1217" i="24"/>
  <c r="B1218" i="24"/>
  <c r="B1219" i="24"/>
  <c r="B1220" i="24"/>
  <c r="B1221" i="24"/>
  <c r="B1222" i="24"/>
  <c r="B1223" i="24"/>
  <c r="B1224" i="24"/>
  <c r="B1225" i="24"/>
  <c r="B1226" i="24"/>
  <c r="B1227" i="24"/>
  <c r="B1228" i="24"/>
  <c r="B1229" i="24"/>
  <c r="B1230" i="24"/>
  <c r="B1231" i="24"/>
  <c r="B1232" i="24"/>
  <c r="B1233" i="24"/>
  <c r="B1234" i="24"/>
  <c r="B1235" i="24"/>
  <c r="B1236" i="24"/>
  <c r="B1237" i="24"/>
  <c r="B1238" i="24"/>
  <c r="B1239" i="24"/>
  <c r="B1240" i="24"/>
  <c r="B1241" i="24"/>
  <c r="B1242" i="24"/>
  <c r="B1243" i="24"/>
  <c r="B1244" i="24"/>
  <c r="B1245" i="24"/>
  <c r="B1246" i="24"/>
  <c r="B1247" i="24"/>
  <c r="B1248" i="24"/>
  <c r="B1249" i="24"/>
  <c r="B1250" i="24"/>
  <c r="B1251" i="24"/>
  <c r="B1252" i="24"/>
  <c r="B1253" i="24"/>
  <c r="B1254" i="24"/>
  <c r="B1255" i="24"/>
  <c r="B1256" i="24"/>
  <c r="B1257" i="24"/>
  <c r="B1258" i="24"/>
  <c r="B1259" i="24"/>
  <c r="B1260" i="24"/>
  <c r="B1261" i="24"/>
  <c r="B1262" i="24"/>
  <c r="B1263" i="24"/>
  <c r="B1264" i="24"/>
  <c r="B1265" i="24"/>
  <c r="B1266" i="24"/>
  <c r="B1267" i="24"/>
  <c r="B1268" i="24"/>
  <c r="B1269" i="24"/>
  <c r="B1270" i="24"/>
  <c r="B1271" i="24"/>
  <c r="B1272" i="24"/>
  <c r="B1273" i="24"/>
  <c r="B1274" i="24"/>
  <c r="B1275" i="24"/>
  <c r="B1276" i="24"/>
  <c r="B1277" i="24"/>
  <c r="B1278" i="24"/>
  <c r="B1279" i="24"/>
  <c r="B1280" i="24"/>
  <c r="B1281" i="24"/>
  <c r="B1282" i="24"/>
  <c r="B1283" i="24"/>
  <c r="B1284" i="24"/>
  <c r="B1285" i="24"/>
  <c r="B1286" i="24"/>
  <c r="B1287" i="24"/>
  <c r="B1288" i="24"/>
  <c r="B1289" i="24"/>
  <c r="B1290" i="24"/>
  <c r="B1291" i="24"/>
  <c r="B1292" i="24"/>
  <c r="B1293" i="24"/>
  <c r="B1294" i="24"/>
  <c r="B1295" i="24"/>
  <c r="B1296" i="24"/>
  <c r="B1297" i="24"/>
  <c r="B1298" i="24"/>
  <c r="B1299" i="24"/>
  <c r="B1300" i="24"/>
  <c r="B1301" i="24"/>
  <c r="B1302" i="24"/>
  <c r="B1303" i="24"/>
  <c r="B1304" i="24"/>
  <c r="B1305" i="24"/>
  <c r="B1306" i="24"/>
  <c r="B1307" i="24"/>
  <c r="B1308" i="24"/>
  <c r="B1309" i="24"/>
  <c r="B1310" i="24"/>
  <c r="B1311" i="24"/>
  <c r="B1312" i="24"/>
  <c r="B1313" i="24"/>
  <c r="B1314" i="24"/>
  <c r="B1315" i="24"/>
  <c r="B1316" i="24"/>
  <c r="B1317" i="24"/>
  <c r="B1318" i="24"/>
  <c r="B1319" i="24"/>
  <c r="B1320" i="24"/>
  <c r="B1321" i="24"/>
  <c r="B1322" i="24"/>
  <c r="B1323" i="24"/>
  <c r="B1324" i="24"/>
  <c r="B1325" i="24"/>
  <c r="B1326" i="24"/>
  <c r="B1327" i="24"/>
  <c r="B1328" i="24"/>
  <c r="B1329" i="24"/>
  <c r="B1330" i="24"/>
  <c r="B1331" i="24"/>
  <c r="B1332" i="24"/>
  <c r="B1333" i="24"/>
  <c r="B1334" i="24"/>
  <c r="B1335" i="24"/>
  <c r="B1336" i="24"/>
  <c r="B1337" i="24"/>
  <c r="B1338" i="24"/>
  <c r="B1339" i="24"/>
  <c r="B1340" i="24"/>
  <c r="B1341" i="24"/>
  <c r="B1342" i="24"/>
  <c r="B1343" i="24"/>
  <c r="B1344" i="24"/>
  <c r="B1345" i="24"/>
  <c r="B1346" i="24"/>
  <c r="B1347" i="24"/>
  <c r="B1348" i="24"/>
  <c r="B1349" i="24"/>
  <c r="B1350" i="24"/>
  <c r="B1351" i="24"/>
  <c r="B1352" i="24"/>
  <c r="B1353" i="24"/>
  <c r="B1354" i="24"/>
  <c r="B1355" i="24"/>
  <c r="B1356" i="24"/>
  <c r="B1357" i="24"/>
  <c r="B1358" i="24"/>
  <c r="B1359" i="24"/>
  <c r="B1360" i="24"/>
  <c r="B1361" i="24"/>
  <c r="B1362" i="24"/>
  <c r="B1363" i="24"/>
  <c r="B1364" i="24"/>
  <c r="B1365" i="24"/>
  <c r="B1366" i="24"/>
  <c r="B1367" i="24"/>
  <c r="B1368" i="24"/>
  <c r="B1369" i="24"/>
  <c r="B1370" i="24"/>
  <c r="B1371" i="24"/>
  <c r="B1372" i="24"/>
  <c r="B1373" i="24"/>
  <c r="B1374" i="24"/>
  <c r="B1375" i="24"/>
  <c r="B1376" i="24"/>
  <c r="B1377" i="24"/>
  <c r="B1378" i="24"/>
  <c r="B1379" i="24"/>
  <c r="B1380" i="24"/>
  <c r="B1381" i="24"/>
  <c r="B1382" i="24"/>
  <c r="B1383" i="24"/>
  <c r="B1384" i="24"/>
  <c r="B1385" i="24"/>
  <c r="B1386" i="24"/>
  <c r="B1387" i="24"/>
  <c r="B1388" i="24"/>
  <c r="B1389" i="24"/>
  <c r="B1390" i="24"/>
  <c r="B1391" i="24"/>
  <c r="B1392" i="24"/>
  <c r="B1393" i="24"/>
  <c r="B1394" i="24"/>
  <c r="B1395" i="24"/>
  <c r="B1396" i="24"/>
  <c r="B1397" i="24"/>
  <c r="B1398" i="24"/>
  <c r="B1399" i="24"/>
  <c r="B1400" i="24"/>
  <c r="B1401" i="24"/>
  <c r="B1402" i="24"/>
  <c r="B1403" i="24"/>
  <c r="B1404" i="24"/>
  <c r="B1405" i="24"/>
  <c r="B1406" i="24"/>
  <c r="B1407" i="24"/>
  <c r="B1408" i="24"/>
  <c r="B1409" i="24"/>
  <c r="B1410" i="24"/>
  <c r="B1411" i="24"/>
  <c r="B1412" i="24"/>
  <c r="B1413" i="24"/>
  <c r="B1414" i="24"/>
  <c r="B1415" i="24"/>
  <c r="B1416" i="24"/>
  <c r="B1417" i="24"/>
  <c r="B1418" i="24"/>
  <c r="B1419" i="24"/>
  <c r="B1420" i="24"/>
  <c r="B1421" i="24"/>
  <c r="B1422" i="24"/>
  <c r="B1423" i="24"/>
  <c r="B1424" i="24"/>
  <c r="B1425" i="24"/>
  <c r="B1426" i="24"/>
  <c r="B1427" i="24"/>
  <c r="B1428" i="24"/>
  <c r="B1429" i="24"/>
  <c r="B1430" i="24"/>
  <c r="B1431" i="24"/>
  <c r="B1432" i="24"/>
  <c r="B1433" i="24"/>
  <c r="B1434" i="24"/>
  <c r="B1435" i="24"/>
  <c r="B1436" i="24"/>
  <c r="B1437" i="24"/>
  <c r="B1438" i="24"/>
  <c r="B1439" i="24"/>
  <c r="B1440" i="24"/>
  <c r="B1441" i="24"/>
  <c r="B1442" i="24"/>
  <c r="B1443" i="24"/>
  <c r="B1444" i="24"/>
  <c r="B1445" i="24"/>
  <c r="B1446" i="24"/>
  <c r="B1447" i="24"/>
  <c r="B1448" i="24"/>
  <c r="B1449" i="24"/>
  <c r="B1450" i="24"/>
  <c r="B1451" i="24"/>
  <c r="B1452" i="24"/>
  <c r="B1453" i="24"/>
  <c r="B1454" i="24"/>
  <c r="B1455" i="24"/>
  <c r="B1456" i="24"/>
  <c r="B1457" i="24"/>
  <c r="B1458" i="24"/>
  <c r="B1459" i="24"/>
  <c r="B1460" i="24"/>
  <c r="B1461" i="24"/>
  <c r="B1462" i="24"/>
  <c r="B1463" i="24"/>
  <c r="B1464" i="24"/>
  <c r="B1465" i="24"/>
  <c r="B1466" i="24"/>
  <c r="B1467" i="24"/>
  <c r="B1468" i="24"/>
  <c r="B1469" i="24"/>
  <c r="B1470" i="24"/>
  <c r="B1471" i="24"/>
  <c r="B1472" i="24"/>
  <c r="B1473" i="24"/>
  <c r="B1474" i="24"/>
  <c r="B1475" i="24"/>
  <c r="B1476" i="24"/>
  <c r="B1477" i="24"/>
  <c r="B1478" i="24"/>
  <c r="B1479" i="24"/>
  <c r="B1480" i="24"/>
  <c r="B1481" i="24"/>
  <c r="B1482" i="24"/>
  <c r="B1483" i="24"/>
  <c r="B1484" i="24"/>
  <c r="B1485" i="24"/>
  <c r="B1486" i="24"/>
  <c r="B1487" i="24"/>
  <c r="B1488" i="24"/>
  <c r="B1489" i="24"/>
  <c r="B1490" i="24"/>
  <c r="B1491" i="24"/>
  <c r="B1492" i="24"/>
  <c r="B1493" i="24"/>
  <c r="B1494" i="24"/>
  <c r="B1495" i="24"/>
  <c r="B1496" i="24"/>
  <c r="B1497" i="24"/>
  <c r="B1498" i="24"/>
  <c r="B1499" i="24"/>
  <c r="B1500" i="24"/>
  <c r="B1501" i="24"/>
  <c r="B1502" i="24"/>
  <c r="B1503" i="24"/>
  <c r="B1504" i="24"/>
  <c r="B1505" i="24"/>
  <c r="B1506" i="24"/>
  <c r="B1507" i="24"/>
  <c r="B1508" i="24"/>
  <c r="B1509" i="24"/>
  <c r="B1510" i="24"/>
  <c r="B1511" i="24"/>
  <c r="B1512" i="24"/>
  <c r="B1513" i="24"/>
  <c r="B1514" i="24"/>
  <c r="B1515" i="24"/>
  <c r="B1516" i="24"/>
  <c r="B1517" i="24"/>
  <c r="B1518" i="24"/>
  <c r="B1519" i="24"/>
  <c r="B1520" i="24"/>
  <c r="B1521" i="24"/>
  <c r="B1522" i="24"/>
  <c r="B1523" i="24"/>
  <c r="B1524" i="24"/>
  <c r="B1525" i="24"/>
  <c r="B1526" i="24"/>
  <c r="B1527" i="24"/>
  <c r="B1528" i="24"/>
  <c r="B1529" i="24"/>
  <c r="B1530" i="24"/>
  <c r="B1531" i="24"/>
  <c r="B1532" i="24"/>
  <c r="B1533" i="24"/>
  <c r="B1534" i="24"/>
  <c r="B1535" i="24"/>
  <c r="B1536" i="24"/>
  <c r="B1537" i="24"/>
  <c r="B1538" i="24"/>
  <c r="B1539" i="24"/>
  <c r="B1540" i="24"/>
  <c r="B1541" i="24"/>
  <c r="B1542" i="24"/>
  <c r="B1543" i="24"/>
  <c r="B1544" i="24"/>
  <c r="B1545" i="24"/>
  <c r="B1546" i="24"/>
  <c r="B1547" i="24"/>
  <c r="B1548" i="24"/>
  <c r="B1549" i="24"/>
  <c r="B1550" i="24"/>
  <c r="B1551" i="24"/>
  <c r="B1552" i="24"/>
  <c r="B1553" i="24"/>
  <c r="B1554" i="24"/>
  <c r="B1555" i="24"/>
  <c r="B1556" i="24"/>
  <c r="B1557" i="24"/>
  <c r="B1558" i="24"/>
  <c r="B1559" i="24"/>
  <c r="B1560" i="24"/>
  <c r="B1561" i="24"/>
  <c r="B1562" i="24"/>
  <c r="B1563" i="24"/>
  <c r="B1564" i="24"/>
  <c r="B1565" i="24"/>
  <c r="B1566" i="24"/>
  <c r="B1567" i="24"/>
  <c r="B1568" i="24"/>
  <c r="B1569" i="24"/>
  <c r="B1570" i="24"/>
  <c r="B1571" i="24"/>
  <c r="B1572" i="24"/>
  <c r="B1573" i="24"/>
  <c r="B1574" i="24"/>
  <c r="B1575" i="24"/>
  <c r="B1576" i="24"/>
  <c r="B1577" i="24"/>
  <c r="B1578" i="24"/>
  <c r="B1579" i="24"/>
  <c r="B1580" i="24"/>
  <c r="B1581" i="24"/>
  <c r="B1582" i="24"/>
  <c r="B1583" i="24"/>
  <c r="B1584" i="24"/>
  <c r="B1585" i="24"/>
  <c r="B1586" i="24"/>
  <c r="B1587" i="24"/>
  <c r="B1588" i="24"/>
  <c r="B1589" i="24"/>
  <c r="B1590" i="24"/>
  <c r="B1591" i="24"/>
  <c r="B1592" i="24"/>
  <c r="B1593" i="24"/>
  <c r="B1594" i="24"/>
  <c r="B1595" i="24"/>
  <c r="B1596" i="24"/>
  <c r="B1597" i="24"/>
  <c r="B1598" i="24"/>
  <c r="B1599" i="24"/>
  <c r="B1600" i="24"/>
  <c r="B1601" i="24"/>
  <c r="B1602" i="24"/>
  <c r="B1603" i="24"/>
  <c r="B1604" i="24"/>
  <c r="B1605" i="24"/>
  <c r="B1606" i="24"/>
  <c r="B1607" i="24"/>
  <c r="B1608" i="24"/>
  <c r="B1609" i="24"/>
  <c r="B1610" i="24"/>
  <c r="B1611" i="24"/>
  <c r="B1612" i="24"/>
  <c r="B1613" i="24"/>
  <c r="B1614" i="24"/>
  <c r="B1615" i="24"/>
  <c r="B1616" i="24"/>
  <c r="B1617" i="24"/>
  <c r="B1618" i="24"/>
  <c r="B1619" i="24"/>
  <c r="B1620" i="24"/>
  <c r="B1621" i="24"/>
  <c r="B1622" i="24"/>
  <c r="B1623" i="24"/>
  <c r="B1624" i="24"/>
  <c r="B1625" i="24"/>
  <c r="B1626" i="24"/>
  <c r="B1627" i="24"/>
  <c r="B1628" i="24"/>
  <c r="B1629" i="24"/>
  <c r="B1630" i="24"/>
  <c r="B1631" i="24"/>
  <c r="B1632" i="24"/>
  <c r="B1633" i="24"/>
  <c r="B1634" i="24"/>
  <c r="B1635" i="24"/>
  <c r="B1636" i="24"/>
  <c r="B1637" i="24"/>
  <c r="B1638" i="24"/>
  <c r="B1639" i="24"/>
  <c r="B1640" i="24"/>
  <c r="B1641" i="24"/>
  <c r="B1642" i="24"/>
  <c r="B1643" i="24"/>
  <c r="B1644" i="24"/>
  <c r="B1645" i="24"/>
  <c r="B1646" i="24"/>
  <c r="B1647" i="24"/>
  <c r="B1648" i="24"/>
  <c r="B1649" i="24"/>
  <c r="B1650" i="24"/>
  <c r="B1651" i="24"/>
  <c r="B1652" i="24"/>
  <c r="B1653" i="24"/>
  <c r="B1654" i="24"/>
  <c r="B1655" i="24"/>
  <c r="B1656" i="24"/>
  <c r="B1657" i="24"/>
  <c r="B1658" i="24"/>
  <c r="B1659" i="24"/>
  <c r="B1660" i="24"/>
  <c r="B1661" i="24"/>
  <c r="B1662" i="24"/>
  <c r="B1663" i="24"/>
  <c r="B1664" i="24"/>
  <c r="B1665" i="24"/>
  <c r="B1666" i="24"/>
  <c r="B1667" i="24"/>
  <c r="B1668" i="24"/>
  <c r="B1669" i="24"/>
  <c r="B1670" i="24"/>
  <c r="B1671" i="24"/>
  <c r="B1672" i="24"/>
  <c r="B1673" i="24"/>
  <c r="B1674" i="24"/>
  <c r="B1675" i="24"/>
  <c r="B1676" i="24"/>
  <c r="B1677" i="24"/>
  <c r="B1678" i="24"/>
  <c r="B1679" i="24"/>
  <c r="B1680" i="24"/>
  <c r="B1681" i="24"/>
  <c r="B1682" i="24"/>
  <c r="B1683" i="24"/>
  <c r="B1684" i="24"/>
  <c r="B1685" i="24"/>
  <c r="B1686" i="24"/>
  <c r="B1687" i="24"/>
  <c r="B1688" i="24"/>
  <c r="B1689" i="24"/>
  <c r="B1690" i="24"/>
  <c r="B1691" i="24"/>
  <c r="B1692" i="24"/>
  <c r="B1693" i="24"/>
  <c r="B1694" i="24"/>
  <c r="B1695" i="24"/>
  <c r="B1696" i="24"/>
  <c r="B1697" i="24"/>
  <c r="B1698" i="24"/>
  <c r="B1699" i="24"/>
  <c r="B1700" i="24"/>
  <c r="B1701" i="24"/>
  <c r="B1702" i="24"/>
  <c r="B1703" i="24"/>
  <c r="B1704" i="24"/>
  <c r="B1705" i="24"/>
  <c r="B1706" i="24"/>
  <c r="B1707" i="24"/>
  <c r="B1708" i="24"/>
  <c r="B1709" i="24"/>
  <c r="B1710" i="24"/>
  <c r="B1711" i="24"/>
  <c r="B1712" i="24"/>
  <c r="B1713" i="24"/>
  <c r="B1714" i="24"/>
  <c r="B1715" i="24"/>
  <c r="B1716" i="24"/>
  <c r="B1717" i="24"/>
  <c r="B1718" i="24"/>
  <c r="B1719" i="24"/>
  <c r="B1720" i="24"/>
  <c r="B1721" i="24"/>
  <c r="B1722" i="24"/>
  <c r="B1723" i="24"/>
  <c r="B1724" i="24"/>
  <c r="B1725" i="24"/>
  <c r="B1726" i="24"/>
  <c r="B1727" i="24"/>
  <c r="B1728" i="24"/>
  <c r="B1729" i="24"/>
  <c r="B1730" i="24"/>
  <c r="B1731" i="24"/>
  <c r="B1732" i="24"/>
  <c r="B1733" i="24"/>
  <c r="B1734" i="24"/>
  <c r="B1735" i="24"/>
  <c r="B1736" i="24"/>
  <c r="B1737" i="24"/>
  <c r="B1738" i="24"/>
  <c r="B1739" i="24"/>
  <c r="B1740" i="24"/>
  <c r="B1741" i="24"/>
  <c r="B1742" i="24"/>
  <c r="B1743" i="24"/>
  <c r="B1744" i="24"/>
  <c r="B1745" i="24"/>
  <c r="B1746" i="24"/>
  <c r="B1747" i="24"/>
  <c r="B1748" i="24"/>
  <c r="B1749" i="24"/>
  <c r="B1750" i="24"/>
  <c r="B1751" i="24"/>
  <c r="B1752" i="24"/>
  <c r="B1753" i="24"/>
  <c r="B1754" i="24"/>
  <c r="B1755" i="24"/>
  <c r="B1756" i="24"/>
  <c r="B1757" i="24"/>
  <c r="B1758" i="24"/>
  <c r="B1759" i="24"/>
  <c r="B1760" i="24"/>
  <c r="B1761" i="24"/>
  <c r="B1762" i="24"/>
  <c r="B1763" i="24"/>
  <c r="B1764" i="24"/>
  <c r="B1765" i="24"/>
  <c r="B1766" i="24"/>
  <c r="B1767" i="24"/>
  <c r="B1768" i="24"/>
  <c r="B1769" i="24"/>
  <c r="B1770" i="24"/>
  <c r="B1771" i="24"/>
  <c r="B1772" i="24"/>
  <c r="B1773" i="24"/>
  <c r="B1774" i="24"/>
  <c r="B1775" i="24"/>
  <c r="B1776" i="24"/>
  <c r="B1777" i="24"/>
  <c r="B1778" i="24"/>
  <c r="B1779" i="24"/>
  <c r="B1780" i="24"/>
  <c r="B1781" i="24"/>
  <c r="B1782" i="24"/>
  <c r="B1783" i="24"/>
  <c r="B1784" i="24"/>
  <c r="B1785" i="24"/>
  <c r="B1786" i="24"/>
  <c r="B1787" i="24"/>
  <c r="B1788" i="24"/>
  <c r="B1789" i="24"/>
  <c r="B1790" i="24"/>
  <c r="B1791" i="24"/>
  <c r="B1792" i="24"/>
  <c r="B1793" i="24"/>
  <c r="B1794" i="24"/>
  <c r="B1795" i="24"/>
  <c r="B1796" i="24"/>
  <c r="B1797" i="24"/>
  <c r="B1798" i="24"/>
  <c r="B1799" i="24"/>
  <c r="B1800" i="24"/>
  <c r="B1801" i="24"/>
  <c r="B1802" i="24"/>
  <c r="B1803" i="24"/>
  <c r="B1804" i="24"/>
  <c r="B1805" i="24"/>
  <c r="B1806" i="24"/>
  <c r="B1807" i="24"/>
  <c r="B1808" i="24"/>
  <c r="B1809" i="24"/>
  <c r="B1810" i="24"/>
  <c r="B1811" i="24"/>
  <c r="B1812" i="24"/>
  <c r="B1813" i="24"/>
  <c r="B1814" i="24"/>
  <c r="B1815" i="24"/>
  <c r="B1816" i="24"/>
  <c r="B1817" i="24"/>
  <c r="B1818" i="24"/>
  <c r="B1819" i="24"/>
  <c r="B1820" i="24"/>
  <c r="B1821" i="24"/>
  <c r="B1822" i="24"/>
  <c r="B1823" i="24"/>
  <c r="B1824" i="24"/>
  <c r="B1825" i="24"/>
  <c r="B1826" i="24"/>
  <c r="B1827" i="24"/>
  <c r="B1828" i="24"/>
  <c r="B1829" i="24"/>
  <c r="B1830" i="24"/>
  <c r="B1831" i="24"/>
  <c r="B1832" i="24"/>
  <c r="B1833" i="24"/>
  <c r="B1834" i="24"/>
  <c r="B1835" i="24"/>
  <c r="B1836" i="24"/>
  <c r="B1837" i="24"/>
  <c r="B1838" i="24"/>
  <c r="B1839" i="24"/>
  <c r="B1840" i="24"/>
  <c r="B1841" i="24"/>
  <c r="B1842" i="24"/>
  <c r="B1843" i="24"/>
  <c r="B1844" i="24"/>
  <c r="B1845" i="24"/>
  <c r="B1846" i="24"/>
  <c r="B1847" i="24"/>
  <c r="B1848" i="24"/>
  <c r="B1849" i="24"/>
  <c r="B1850" i="24"/>
  <c r="B1851" i="24"/>
  <c r="B1852" i="24"/>
  <c r="B1853" i="24"/>
  <c r="B1854" i="24"/>
  <c r="B1855" i="24"/>
  <c r="B1856" i="24"/>
  <c r="B1857" i="24"/>
  <c r="B1858" i="24"/>
  <c r="B1859" i="24"/>
  <c r="B1860" i="24"/>
  <c r="B1861" i="24"/>
  <c r="B1862" i="24"/>
  <c r="B1863" i="24"/>
  <c r="B1864" i="24"/>
  <c r="B1865" i="24"/>
  <c r="B1866" i="24"/>
  <c r="B1867" i="24"/>
  <c r="B1868" i="24"/>
  <c r="B1869" i="24"/>
  <c r="B1870" i="24"/>
  <c r="B1871" i="24"/>
  <c r="B1872" i="24"/>
  <c r="B1873" i="24"/>
  <c r="B1874" i="24"/>
  <c r="B1875" i="24"/>
  <c r="B1876" i="24"/>
  <c r="B1877" i="24"/>
  <c r="B1878" i="24"/>
  <c r="B1879" i="24"/>
  <c r="B1880" i="24"/>
  <c r="B1881" i="24"/>
  <c r="B1882" i="24"/>
  <c r="B1883" i="24"/>
  <c r="B1884" i="24"/>
  <c r="B1885" i="24"/>
  <c r="B1886" i="24"/>
  <c r="B1887" i="24"/>
  <c r="B1888" i="24"/>
  <c r="B1889" i="24"/>
  <c r="B1890" i="24"/>
  <c r="B1891" i="24"/>
  <c r="B1892" i="24"/>
  <c r="B1893" i="24"/>
  <c r="B1894" i="24"/>
  <c r="B1895" i="24"/>
  <c r="B1896" i="24"/>
  <c r="B1897" i="24"/>
  <c r="B1898" i="24"/>
  <c r="B1899" i="24"/>
  <c r="B1900" i="24"/>
  <c r="B1901" i="24"/>
  <c r="B1902" i="24"/>
  <c r="B1903" i="24"/>
  <c r="B1904" i="24"/>
  <c r="B1905" i="24"/>
  <c r="B1906" i="24"/>
  <c r="B1907" i="24"/>
  <c r="B1908" i="24"/>
  <c r="B1909" i="24"/>
  <c r="B1910" i="24"/>
  <c r="B1911" i="24"/>
  <c r="B1912" i="24"/>
  <c r="B1913" i="24"/>
  <c r="B1914" i="24"/>
  <c r="B1915" i="24"/>
  <c r="B1916" i="24"/>
  <c r="B1917" i="24"/>
  <c r="B1918" i="24"/>
  <c r="B1919" i="24"/>
  <c r="B1920" i="24"/>
  <c r="B1921" i="24"/>
  <c r="B1922" i="24"/>
  <c r="B1923" i="24"/>
  <c r="B1924" i="24"/>
  <c r="B1925" i="24"/>
  <c r="B1926" i="24"/>
  <c r="B1927" i="24"/>
  <c r="B1928" i="24"/>
  <c r="B1929" i="24"/>
  <c r="B1930" i="24"/>
  <c r="B1931" i="24"/>
  <c r="B1932" i="24"/>
  <c r="B1933" i="24"/>
  <c r="B1934" i="24"/>
  <c r="B1935" i="24"/>
  <c r="B1936" i="24"/>
  <c r="B1937" i="24"/>
  <c r="B1938" i="24"/>
  <c r="B1939" i="24"/>
  <c r="B1940" i="24"/>
  <c r="B1941" i="24"/>
  <c r="B1942" i="24"/>
  <c r="B1943" i="24"/>
  <c r="B1944" i="24"/>
  <c r="B1945" i="24"/>
  <c r="B1946" i="24"/>
  <c r="B1947" i="24"/>
  <c r="B1948" i="24"/>
  <c r="B1949" i="24"/>
  <c r="B1950" i="24"/>
  <c r="B1951" i="24"/>
  <c r="B1952" i="24"/>
  <c r="B1953" i="24"/>
  <c r="B1954" i="24"/>
  <c r="B1955" i="24"/>
  <c r="B1956" i="24"/>
  <c r="B1957" i="24"/>
  <c r="B1958" i="24"/>
  <c r="B1959" i="24"/>
  <c r="B1960" i="24"/>
  <c r="B1961" i="24"/>
  <c r="B1962" i="24"/>
  <c r="B1963" i="24"/>
  <c r="B1964" i="24"/>
  <c r="B1965" i="24"/>
  <c r="B1966" i="24"/>
  <c r="B1967" i="24"/>
  <c r="B1968" i="24"/>
  <c r="B1969" i="24"/>
  <c r="B1970" i="24"/>
  <c r="B1971" i="24"/>
  <c r="B1972" i="24"/>
  <c r="B1973" i="24"/>
  <c r="B1974" i="24"/>
  <c r="B1975" i="24"/>
  <c r="B1976" i="24"/>
  <c r="B1977" i="24"/>
  <c r="B1978" i="24"/>
  <c r="B1979" i="24"/>
  <c r="B1980" i="24"/>
  <c r="B1981" i="24"/>
  <c r="B1982" i="24"/>
  <c r="B1983" i="24"/>
  <c r="B1984" i="24"/>
  <c r="B1985" i="24"/>
  <c r="B1986" i="24"/>
  <c r="B1987" i="24"/>
  <c r="B1988" i="24"/>
  <c r="B1989" i="24"/>
  <c r="B1990" i="24"/>
  <c r="B1991" i="24"/>
  <c r="B1992" i="24"/>
  <c r="B1993" i="24"/>
  <c r="B1994" i="24"/>
  <c r="B1995" i="24"/>
  <c r="B1996" i="24"/>
  <c r="B1997" i="24"/>
  <c r="B1998" i="24"/>
  <c r="B1999" i="24"/>
  <c r="B2000" i="24"/>
  <c r="B2001" i="24"/>
  <c r="B2002" i="24"/>
  <c r="B2003" i="24"/>
  <c r="B2004" i="24"/>
  <c r="B2005" i="24"/>
  <c r="B2006" i="24"/>
  <c r="B2007" i="24"/>
  <c r="B2008" i="24"/>
  <c r="B2009" i="24"/>
  <c r="B2010" i="24"/>
  <c r="B2011" i="24"/>
  <c r="B2012" i="24"/>
  <c r="B2013" i="24"/>
  <c r="B2014" i="24"/>
  <c r="B2015" i="24"/>
  <c r="B2016" i="24"/>
  <c r="B2017" i="24"/>
  <c r="B2018" i="24"/>
  <c r="B2019" i="24"/>
  <c r="B2020" i="24"/>
  <c r="B2021" i="24"/>
  <c r="B2022" i="24"/>
  <c r="B2023" i="24"/>
  <c r="B2024" i="24"/>
  <c r="B2025" i="24"/>
  <c r="B2026" i="24"/>
  <c r="B2027" i="24"/>
  <c r="B2028" i="24"/>
  <c r="B2029" i="24"/>
  <c r="B2030" i="24"/>
  <c r="B2031" i="24"/>
  <c r="B2032" i="24"/>
  <c r="B2033" i="24"/>
  <c r="B2034" i="24"/>
  <c r="B2035" i="24"/>
  <c r="B2036" i="24"/>
  <c r="B2037" i="24"/>
  <c r="B2038" i="24"/>
  <c r="B2039" i="24"/>
  <c r="B2040" i="24"/>
  <c r="B2041" i="24"/>
  <c r="B2042" i="24"/>
  <c r="B2043" i="24"/>
  <c r="B2044" i="24"/>
  <c r="B2045" i="24"/>
  <c r="B2046" i="24"/>
  <c r="B2047" i="24"/>
  <c r="B2048" i="24"/>
  <c r="B2049" i="24"/>
  <c r="B2050" i="24"/>
  <c r="B2051" i="24"/>
  <c r="B2052" i="24"/>
  <c r="B2053" i="24"/>
  <c r="B2054" i="24"/>
  <c r="B2055" i="24"/>
  <c r="B2056" i="24"/>
  <c r="B2057" i="24"/>
  <c r="B2058" i="24"/>
  <c r="B2059" i="24"/>
  <c r="B2060" i="24"/>
  <c r="B2061" i="24"/>
  <c r="B2062" i="24"/>
  <c r="B2063" i="24"/>
  <c r="B2064" i="24"/>
  <c r="B2065" i="24"/>
  <c r="B2066" i="24"/>
  <c r="B2067" i="24"/>
  <c r="B2068" i="24"/>
  <c r="B2069" i="24"/>
  <c r="B2070" i="24"/>
  <c r="B2071" i="24"/>
  <c r="B2072" i="24"/>
  <c r="B2073" i="24"/>
  <c r="B2074" i="24"/>
  <c r="B2075" i="24"/>
  <c r="B2076" i="24"/>
  <c r="B2077" i="24"/>
  <c r="B2078" i="24"/>
  <c r="B2079" i="24"/>
  <c r="B2080" i="24"/>
  <c r="B2081" i="24"/>
  <c r="B2082" i="24"/>
  <c r="B2083" i="24"/>
  <c r="B2084" i="24"/>
  <c r="B2085" i="24"/>
  <c r="B2086" i="24"/>
  <c r="B2087" i="24"/>
  <c r="B2088" i="24"/>
  <c r="B2089" i="24"/>
  <c r="B2090" i="24"/>
  <c r="B2091" i="24"/>
  <c r="B2092" i="24"/>
  <c r="B2093" i="24"/>
  <c r="B2094" i="24"/>
  <c r="B2095" i="24"/>
  <c r="B2096" i="24"/>
  <c r="B2097" i="24"/>
  <c r="B2098" i="24"/>
  <c r="B2099" i="24"/>
  <c r="B2100" i="24"/>
  <c r="B2101" i="24"/>
  <c r="B2102" i="24"/>
  <c r="B2103" i="24"/>
  <c r="B2104" i="24"/>
  <c r="B2" i="24"/>
  <c r="C3" i="27"/>
  <c r="C4" i="27"/>
  <c r="C5" i="27"/>
  <c r="C6" i="27"/>
  <c r="C7" i="27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E11" i="26"/>
  <c r="E12" i="26"/>
  <c r="E13" i="26"/>
  <c r="E14" i="26"/>
  <c r="E15" i="26"/>
  <c r="E16" i="26"/>
  <c r="F16" i="26" s="1"/>
  <c r="E17" i="26"/>
  <c r="E18" i="26"/>
  <c r="F18" i="26" s="1"/>
  <c r="E19" i="26"/>
  <c r="F19" i="26" s="1"/>
  <c r="E20" i="26"/>
  <c r="E21" i="26"/>
  <c r="E22" i="26"/>
  <c r="F22" i="26" s="1"/>
  <c r="E23" i="26"/>
  <c r="E24" i="26"/>
  <c r="F24" i="26" s="1"/>
  <c r="E25" i="26"/>
  <c r="E26" i="26"/>
  <c r="E27" i="26"/>
  <c r="E28" i="26"/>
  <c r="F28" i="26" s="1"/>
  <c r="E29" i="26"/>
  <c r="E30" i="26"/>
  <c r="E31" i="26"/>
  <c r="E32" i="26"/>
  <c r="F32" i="26" s="1"/>
  <c r="E33" i="26"/>
  <c r="F33" i="26" s="1"/>
  <c r="E34" i="26"/>
  <c r="E35" i="26"/>
  <c r="E36" i="26"/>
  <c r="E37" i="26"/>
  <c r="F37" i="26" s="1"/>
  <c r="E38" i="26"/>
  <c r="E39" i="26"/>
  <c r="E40" i="26"/>
  <c r="E41" i="26"/>
  <c r="E42" i="26"/>
  <c r="F42" i="26" s="1"/>
  <c r="E43" i="26"/>
  <c r="F43" i="26" s="1"/>
  <c r="E44" i="26"/>
  <c r="F44" i="26" s="1"/>
  <c r="E45" i="26"/>
  <c r="E46" i="26"/>
  <c r="E47" i="26"/>
  <c r="F47" i="26" s="1"/>
  <c r="E48" i="26"/>
  <c r="E49" i="26"/>
  <c r="E50" i="26"/>
  <c r="F50" i="26" s="1"/>
  <c r="E51" i="26"/>
  <c r="F51" i="26" s="1"/>
  <c r="E52" i="26"/>
  <c r="F52" i="26" s="1"/>
  <c r="E53" i="26"/>
  <c r="E54" i="26"/>
  <c r="E55" i="26"/>
  <c r="E56" i="26"/>
  <c r="E57" i="26"/>
  <c r="E58" i="26"/>
  <c r="F58" i="26" s="1"/>
  <c r="E59" i="26"/>
  <c r="E60" i="26"/>
  <c r="F60" i="26" s="1"/>
  <c r="E61" i="26"/>
  <c r="F61" i="26" s="1"/>
  <c r="E62" i="26"/>
  <c r="E63" i="26"/>
  <c r="E64" i="26"/>
  <c r="F64" i="26" s="1"/>
  <c r="E65" i="26"/>
  <c r="F65" i="26" s="1"/>
  <c r="E66" i="26"/>
  <c r="F66" i="26" s="1"/>
  <c r="E67" i="26"/>
  <c r="E68" i="26"/>
  <c r="E69" i="26"/>
  <c r="E70" i="26"/>
  <c r="F70" i="26" s="1"/>
  <c r="E71" i="26"/>
  <c r="E72" i="26"/>
  <c r="F72" i="26" s="1"/>
  <c r="E73" i="26"/>
  <c r="E74" i="26"/>
  <c r="F74" i="26" s="1"/>
  <c r="E75" i="26"/>
  <c r="F75" i="26" s="1"/>
  <c r="E76" i="26"/>
  <c r="E77" i="26"/>
  <c r="E78" i="26"/>
  <c r="F78" i="26" s="1"/>
  <c r="E79" i="26"/>
  <c r="F79" i="26" s="1"/>
  <c r="E80" i="26"/>
  <c r="F80" i="26" s="1"/>
  <c r="E81" i="26"/>
  <c r="E82" i="26"/>
  <c r="E83" i="26"/>
  <c r="E84" i="26"/>
  <c r="F84" i="26" s="1"/>
  <c r="E85" i="26"/>
  <c r="E86" i="26"/>
  <c r="F86" i="26" s="1"/>
  <c r="E87" i="26"/>
  <c r="E88" i="26"/>
  <c r="F88" i="26" s="1"/>
  <c r="E89" i="26"/>
  <c r="F89" i="26" s="1"/>
  <c r="E90" i="26"/>
  <c r="E91" i="26"/>
  <c r="E92" i="26"/>
  <c r="F92" i="26" s="1"/>
  <c r="E93" i="26"/>
  <c r="F93" i="26" s="1"/>
  <c r="E94" i="26"/>
  <c r="F94" i="26" s="1"/>
  <c r="E95" i="26"/>
  <c r="E96" i="26"/>
  <c r="E97" i="26"/>
  <c r="E98" i="26"/>
  <c r="E99" i="26"/>
  <c r="E100" i="26"/>
  <c r="F100" i="26" s="1"/>
  <c r="E101" i="26"/>
  <c r="E102" i="26"/>
  <c r="E103" i="26"/>
  <c r="F103" i="26" s="1"/>
  <c r="E104" i="26"/>
  <c r="E105" i="26"/>
  <c r="E106" i="26"/>
  <c r="F106" i="26" s="1"/>
  <c r="E107" i="26"/>
  <c r="F107" i="26" s="1"/>
  <c r="E108" i="26"/>
  <c r="E109" i="26"/>
  <c r="E110" i="26"/>
  <c r="E111" i="26"/>
  <c r="E112" i="26"/>
  <c r="E113" i="26"/>
  <c r="E114" i="26"/>
  <c r="F114" i="26" s="1"/>
  <c r="E115" i="26"/>
  <c r="E116" i="26"/>
  <c r="F116" i="26" s="1"/>
  <c r="E117" i="26"/>
  <c r="F117" i="26" s="1"/>
  <c r="E118" i="26"/>
  <c r="E119" i="26"/>
  <c r="E120" i="26"/>
  <c r="F120" i="26" s="1"/>
  <c r="E121" i="26"/>
  <c r="E122" i="26"/>
  <c r="E123" i="26"/>
  <c r="E124" i="26"/>
  <c r="E125" i="26"/>
  <c r="E126" i="26"/>
  <c r="F126" i="26" s="1"/>
  <c r="E127" i="26"/>
  <c r="E128" i="26"/>
  <c r="F128" i="26" s="1"/>
  <c r="E129" i="26"/>
  <c r="E130" i="26"/>
  <c r="F130" i="26" s="1"/>
  <c r="E131" i="26"/>
  <c r="E132" i="26"/>
  <c r="E133" i="26"/>
  <c r="E134" i="26"/>
  <c r="F134" i="26" s="1"/>
  <c r="E135" i="26"/>
  <c r="F135" i="26" s="1"/>
  <c r="E136" i="26"/>
  <c r="F136" i="26" s="1"/>
  <c r="E137" i="26"/>
  <c r="E138" i="26"/>
  <c r="E139" i="26"/>
  <c r="E140" i="26"/>
  <c r="F140" i="26" s="1"/>
  <c r="E141" i="26"/>
  <c r="E142" i="26"/>
  <c r="F142" i="26" s="1"/>
  <c r="E143" i="26"/>
  <c r="E144" i="26"/>
  <c r="F144" i="26" s="1"/>
  <c r="E145" i="26"/>
  <c r="F145" i="26" s="1"/>
  <c r="E146" i="26"/>
  <c r="E147" i="26"/>
  <c r="E148" i="26"/>
  <c r="F148" i="26" s="1"/>
  <c r="E149" i="26"/>
  <c r="F149" i="26" s="1"/>
  <c r="E150" i="26"/>
  <c r="F150" i="26" s="1"/>
  <c r="E151" i="26"/>
  <c r="E152" i="26"/>
  <c r="E153" i="26"/>
  <c r="E154" i="26"/>
  <c r="F154" i="26" s="1"/>
  <c r="E155" i="26"/>
  <c r="E156" i="26"/>
  <c r="E157" i="26"/>
  <c r="E158" i="26"/>
  <c r="F158" i="26" s="1"/>
  <c r="E159" i="26"/>
  <c r="F159" i="26" s="1"/>
  <c r="E160" i="26"/>
  <c r="F160" i="26" s="1"/>
  <c r="E161" i="26"/>
  <c r="E162" i="26"/>
  <c r="E163" i="26"/>
  <c r="F163" i="26" s="1"/>
  <c r="E164" i="26"/>
  <c r="F164" i="26" s="1"/>
  <c r="E165" i="26"/>
  <c r="E166" i="26"/>
  <c r="E167" i="26"/>
  <c r="E168" i="26"/>
  <c r="F168" i="26" s="1"/>
  <c r="E169" i="26"/>
  <c r="E170" i="26"/>
  <c r="F170" i="26" s="1"/>
  <c r="E171" i="26"/>
  <c r="E172" i="26"/>
  <c r="E173" i="26"/>
  <c r="F173" i="26" s="1"/>
  <c r="E174" i="26"/>
  <c r="F174" i="26" s="1"/>
  <c r="E175" i="26"/>
  <c r="E176" i="26"/>
  <c r="E177" i="26"/>
  <c r="F177" i="26" s="1"/>
  <c r="E178" i="26"/>
  <c r="F178" i="26" s="1"/>
  <c r="E179" i="26"/>
  <c r="E180" i="26"/>
  <c r="E181" i="26"/>
  <c r="E182" i="26"/>
  <c r="F182" i="26" s="1"/>
  <c r="E183" i="26"/>
  <c r="E184" i="26"/>
  <c r="F184" i="26" s="1"/>
  <c r="E185" i="26"/>
  <c r="E186" i="26"/>
  <c r="F186" i="26" s="1"/>
  <c r="E187" i="26"/>
  <c r="F187" i="26" s="1"/>
  <c r="E188" i="26"/>
  <c r="E189" i="26"/>
  <c r="E190" i="26"/>
  <c r="E191" i="26"/>
  <c r="E192" i="26"/>
  <c r="F192" i="26" s="1"/>
  <c r="E193" i="26"/>
  <c r="E194" i="26"/>
  <c r="F194" i="26" s="1"/>
  <c r="E195" i="26"/>
  <c r="E196" i="26"/>
  <c r="E197" i="26"/>
  <c r="E198" i="26"/>
  <c r="E199" i="26"/>
  <c r="E200" i="26"/>
  <c r="E201" i="26"/>
  <c r="F12" i="26"/>
  <c r="F13" i="26"/>
  <c r="F14" i="26"/>
  <c r="F15" i="26"/>
  <c r="F17" i="26"/>
  <c r="F20" i="26"/>
  <c r="F21" i="26"/>
  <c r="F23" i="26"/>
  <c r="F25" i="26"/>
  <c r="F26" i="26"/>
  <c r="F27" i="26"/>
  <c r="F29" i="26"/>
  <c r="F30" i="26"/>
  <c r="F31" i="26"/>
  <c r="F34" i="26"/>
  <c r="F35" i="26"/>
  <c r="F36" i="26"/>
  <c r="F38" i="26"/>
  <c r="F39" i="26"/>
  <c r="F40" i="26"/>
  <c r="F41" i="26"/>
  <c r="F45" i="26"/>
  <c r="F46" i="26"/>
  <c r="F48" i="26"/>
  <c r="F49" i="26"/>
  <c r="F53" i="26"/>
  <c r="F54" i="26"/>
  <c r="F55" i="26"/>
  <c r="F56" i="26"/>
  <c r="F57" i="26"/>
  <c r="F59" i="26"/>
  <c r="F62" i="26"/>
  <c r="F63" i="26"/>
  <c r="F67" i="26"/>
  <c r="F68" i="26"/>
  <c r="F69" i="26"/>
  <c r="F71" i="26"/>
  <c r="F73" i="26"/>
  <c r="F76" i="26"/>
  <c r="F77" i="26"/>
  <c r="F81" i="26"/>
  <c r="F82" i="26"/>
  <c r="F83" i="26"/>
  <c r="F85" i="26"/>
  <c r="F87" i="26"/>
  <c r="F90" i="26"/>
  <c r="F91" i="26"/>
  <c r="F95" i="26"/>
  <c r="F96" i="26"/>
  <c r="F97" i="26"/>
  <c r="F98" i="26"/>
  <c r="F99" i="26"/>
  <c r="F101" i="26"/>
  <c r="F102" i="26"/>
  <c r="F104" i="26"/>
  <c r="F105" i="26"/>
  <c r="F108" i="26"/>
  <c r="F109" i="26"/>
  <c r="F110" i="26"/>
  <c r="F111" i="26"/>
  <c r="F112" i="26"/>
  <c r="F113" i="26"/>
  <c r="F115" i="26"/>
  <c r="F118" i="26"/>
  <c r="F119" i="26"/>
  <c r="F121" i="26"/>
  <c r="F122" i="26"/>
  <c r="F123" i="26"/>
  <c r="F124" i="26"/>
  <c r="F125" i="26"/>
  <c r="F127" i="26"/>
  <c r="F129" i="26"/>
  <c r="F131" i="26"/>
  <c r="F132" i="26"/>
  <c r="F133" i="26"/>
  <c r="F137" i="26"/>
  <c r="F138" i="26"/>
  <c r="F139" i="26"/>
  <c r="F141" i="26"/>
  <c r="F143" i="26"/>
  <c r="F146" i="26"/>
  <c r="F147" i="26"/>
  <c r="F151" i="26"/>
  <c r="F152" i="26"/>
  <c r="F153" i="26"/>
  <c r="F155" i="26"/>
  <c r="F156" i="26"/>
  <c r="F157" i="26"/>
  <c r="F161" i="26"/>
  <c r="F162" i="26"/>
  <c r="F165" i="26"/>
  <c r="F166" i="26"/>
  <c r="F167" i="26"/>
  <c r="F169" i="26"/>
  <c r="F171" i="26"/>
  <c r="F172" i="26"/>
  <c r="F175" i="26"/>
  <c r="F176" i="26"/>
  <c r="F179" i="26"/>
  <c r="F180" i="26"/>
  <c r="F181" i="26"/>
  <c r="F183" i="26"/>
  <c r="F185" i="26"/>
  <c r="F188" i="26"/>
  <c r="F189" i="26"/>
  <c r="F190" i="26"/>
  <c r="F191" i="26"/>
  <c r="F193" i="26"/>
  <c r="F195" i="26"/>
  <c r="F196" i="26"/>
  <c r="F197" i="26"/>
  <c r="F198" i="26"/>
  <c r="F199" i="26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F220" i="26"/>
  <c r="F221" i="26"/>
  <c r="F222" i="26"/>
  <c r="F223" i="26"/>
  <c r="F224" i="26"/>
  <c r="F225" i="26"/>
  <c r="F226" i="26"/>
  <c r="F227" i="26"/>
  <c r="F228" i="26"/>
  <c r="F229" i="26"/>
  <c r="F230" i="26"/>
  <c r="F231" i="26"/>
  <c r="F232" i="26"/>
  <c r="F233" i="26"/>
  <c r="F234" i="26"/>
  <c r="F235" i="26"/>
  <c r="F236" i="26"/>
  <c r="F237" i="26"/>
  <c r="F238" i="26"/>
  <c r="F239" i="26"/>
  <c r="F240" i="26"/>
  <c r="F241" i="26"/>
  <c r="F242" i="26"/>
  <c r="F243" i="26"/>
  <c r="F244" i="26"/>
  <c r="F245" i="26"/>
  <c r="F246" i="26"/>
  <c r="F247" i="26"/>
  <c r="F248" i="26"/>
  <c r="F249" i="26"/>
  <c r="F250" i="26"/>
  <c r="F251" i="26"/>
  <c r="F252" i="26"/>
  <c r="F253" i="26"/>
  <c r="F254" i="26"/>
  <c r="F255" i="26"/>
  <c r="F256" i="26"/>
  <c r="F257" i="26"/>
  <c r="F258" i="26"/>
  <c r="F259" i="26"/>
  <c r="F260" i="26"/>
  <c r="F261" i="26"/>
  <c r="F262" i="26"/>
  <c r="F263" i="26"/>
  <c r="F264" i="26"/>
  <c r="F265" i="26"/>
  <c r="F266" i="26"/>
  <c r="F267" i="26"/>
  <c r="F268" i="26"/>
  <c r="F269" i="26"/>
  <c r="F270" i="26"/>
  <c r="F271" i="26"/>
  <c r="F272" i="26"/>
  <c r="F273" i="26"/>
  <c r="F274" i="26"/>
  <c r="F275" i="26"/>
  <c r="F276" i="26"/>
  <c r="F277" i="26"/>
  <c r="F278" i="26"/>
  <c r="F279" i="26"/>
  <c r="F280" i="26"/>
  <c r="F281" i="26"/>
  <c r="F282" i="26"/>
  <c r="F283" i="26"/>
  <c r="F284" i="26"/>
  <c r="F285" i="26"/>
  <c r="F286" i="26"/>
  <c r="F287" i="26"/>
  <c r="F288" i="26"/>
  <c r="F289" i="26"/>
  <c r="F290" i="26"/>
  <c r="F291" i="26"/>
  <c r="F292" i="26"/>
  <c r="F293" i="26"/>
  <c r="F294" i="26"/>
  <c r="F295" i="26"/>
  <c r="F296" i="26"/>
  <c r="F297" i="26"/>
  <c r="F298" i="26"/>
  <c r="F299" i="26"/>
  <c r="F300" i="26"/>
  <c r="F301" i="26"/>
  <c r="F302" i="26"/>
  <c r="F303" i="26"/>
  <c r="F304" i="26"/>
  <c r="F305" i="26"/>
  <c r="E3" i="23"/>
  <c r="E4" i="23"/>
  <c r="E2" i="23"/>
  <c r="D3" i="23"/>
  <c r="D4" i="23"/>
  <c r="D2" i="23"/>
  <c r="C3" i="23"/>
  <c r="C4" i="23"/>
  <c r="C2" i="23"/>
  <c r="B3" i="23"/>
  <c r="B4" i="23"/>
  <c r="B2" i="23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D32" i="27"/>
  <c r="H3" i="27"/>
  <c r="H43" i="27"/>
  <c r="H44" i="27"/>
  <c r="H45" i="27"/>
  <c r="H53" i="27"/>
  <c r="H54" i="27"/>
  <c r="H46" i="27"/>
  <c r="H47" i="27"/>
  <c r="H48" i="27"/>
  <c r="H49" i="27"/>
  <c r="H50" i="27"/>
  <c r="H51" i="27"/>
  <c r="H52" i="27"/>
  <c r="C1" i="24" l="1"/>
  <c r="E10" i="23"/>
  <c r="C10" i="23"/>
  <c r="D10" i="23"/>
  <c r="H4" i="25"/>
  <c r="H5" i="25"/>
  <c r="H9" i="25"/>
  <c r="H8" i="25"/>
  <c r="H7" i="25"/>
  <c r="H6" i="25"/>
  <c r="H11" i="25"/>
  <c r="H10" i="25"/>
  <c r="D44" i="27"/>
  <c r="D46" i="27"/>
  <c r="D47" i="27"/>
  <c r="D48" i="27"/>
  <c r="D49" i="27"/>
  <c r="D50" i="27"/>
  <c r="D51" i="27"/>
  <c r="D52" i="27"/>
  <c r="E202" i="26" l="1"/>
  <c r="E203" i="26"/>
  <c r="E204" i="26"/>
  <c r="E205" i="26"/>
  <c r="E206" i="26"/>
  <c r="E207" i="26"/>
  <c r="E208" i="26"/>
  <c r="E209" i="26"/>
  <c r="E210" i="26"/>
  <c r="E211" i="26"/>
  <c r="E212" i="26"/>
  <c r="E213" i="26"/>
  <c r="E214" i="26"/>
  <c r="E215" i="26"/>
  <c r="E216" i="26"/>
  <c r="E217" i="26"/>
  <c r="E218" i="26"/>
  <c r="E219" i="26"/>
  <c r="E220" i="26"/>
  <c r="E221" i="26"/>
  <c r="E222" i="26"/>
  <c r="E223" i="26"/>
  <c r="E224" i="26"/>
  <c r="E225" i="26"/>
  <c r="E226" i="26"/>
  <c r="E227" i="26"/>
  <c r="E228" i="26"/>
  <c r="E229" i="26"/>
  <c r="E230" i="26"/>
  <c r="E231" i="26"/>
  <c r="E232" i="26"/>
  <c r="E233" i="26"/>
  <c r="E234" i="26"/>
  <c r="E235" i="26"/>
  <c r="E236" i="26"/>
  <c r="E237" i="26"/>
  <c r="E238" i="26"/>
  <c r="E239" i="26"/>
  <c r="E240" i="26"/>
  <c r="E241" i="26"/>
  <c r="E242" i="26"/>
  <c r="E243" i="26"/>
  <c r="E244" i="26"/>
  <c r="E245" i="26"/>
  <c r="E246" i="26"/>
  <c r="E247" i="26"/>
  <c r="E248" i="26"/>
  <c r="E249" i="26"/>
  <c r="E250" i="26"/>
  <c r="E251" i="26"/>
  <c r="E252" i="26"/>
  <c r="E253" i="26"/>
  <c r="E254" i="26"/>
  <c r="E255" i="26"/>
  <c r="E256" i="26"/>
  <c r="E257" i="26"/>
  <c r="E258" i="26"/>
  <c r="E259" i="26"/>
  <c r="E260" i="26"/>
  <c r="E261" i="26"/>
  <c r="E262" i="26"/>
  <c r="E263" i="26"/>
  <c r="E264" i="26"/>
  <c r="E265" i="26"/>
  <c r="E266" i="26"/>
  <c r="E267" i="26"/>
  <c r="E268" i="26"/>
  <c r="E269" i="26"/>
  <c r="E270" i="26"/>
  <c r="E271" i="26"/>
  <c r="E272" i="26"/>
  <c r="E273" i="26"/>
  <c r="E274" i="26"/>
  <c r="E275" i="26"/>
  <c r="E276" i="26"/>
  <c r="E277" i="26"/>
  <c r="E278" i="26"/>
  <c r="E279" i="26"/>
  <c r="E280" i="26"/>
  <c r="E281" i="26"/>
  <c r="E282" i="26"/>
  <c r="E283" i="26"/>
  <c r="E284" i="26"/>
  <c r="E285" i="26"/>
  <c r="E286" i="26"/>
  <c r="E287" i="26"/>
  <c r="E288" i="26"/>
  <c r="E289" i="26"/>
  <c r="E290" i="26"/>
  <c r="E291" i="26"/>
  <c r="E292" i="26"/>
  <c r="E293" i="26"/>
  <c r="E294" i="26"/>
  <c r="E295" i="26"/>
  <c r="E296" i="26"/>
  <c r="E297" i="26"/>
  <c r="E298" i="26"/>
  <c r="E299" i="26"/>
  <c r="E300" i="26"/>
  <c r="E301" i="26"/>
  <c r="E302" i="26"/>
  <c r="E303" i="26"/>
  <c r="E304" i="26"/>
  <c r="E305" i="26"/>
  <c r="F11" i="26"/>
  <c r="L1" i="26" s="1"/>
  <c r="L2" i="26" l="1"/>
  <c r="G6" i="25"/>
  <c r="G7" i="25"/>
  <c r="I7" i="25"/>
  <c r="I6" i="25"/>
  <c r="I5" i="25"/>
  <c r="I8" i="25"/>
  <c r="I4" i="25"/>
  <c r="C18" i="25"/>
  <c r="D20" i="25"/>
  <c r="D27" i="25"/>
  <c r="D24" i="25"/>
  <c r="D21" i="25"/>
  <c r="D22" i="25"/>
  <c r="D26" i="25"/>
  <c r="D23" i="25"/>
  <c r="D19" i="25"/>
  <c r="D18" i="25"/>
  <c r="D25" i="25"/>
  <c r="G3" i="25"/>
  <c r="A18" i="25"/>
  <c r="I9" i="25"/>
  <c r="I3" i="25"/>
  <c r="I12" i="25"/>
  <c r="I11" i="25"/>
  <c r="I10" i="25"/>
  <c r="H3" i="25"/>
  <c r="G9" i="25"/>
  <c r="G8" i="25"/>
  <c r="G12" i="25"/>
  <c r="G11" i="25"/>
  <c r="G5" i="25"/>
  <c r="G10" i="25"/>
  <c r="G4" i="25"/>
  <c r="C21" i="25"/>
  <c r="A26" i="25"/>
  <c r="A20" i="25"/>
  <c r="B27" i="25"/>
  <c r="B24" i="25"/>
  <c r="B21" i="25"/>
  <c r="A25" i="25"/>
  <c r="A19" i="25"/>
  <c r="C26" i="25"/>
  <c r="C23" i="25"/>
  <c r="C20" i="25"/>
  <c r="A24" i="25"/>
  <c r="B26" i="25"/>
  <c r="B23" i="25"/>
  <c r="B20" i="25"/>
  <c r="A23" i="25"/>
  <c r="B18" i="25"/>
  <c r="C25" i="25"/>
  <c r="C22" i="25"/>
  <c r="C19" i="25"/>
  <c r="A22" i="25"/>
  <c r="B25" i="25"/>
  <c r="B22" i="25"/>
  <c r="B19" i="25"/>
  <c r="A27" i="25"/>
  <c r="A21" i="25"/>
  <c r="C27" i="25"/>
  <c r="C24" i="25"/>
  <c r="L1" i="25" l="1"/>
  <c r="L2" i="25" s="1"/>
  <c r="E3" i="25" s="1"/>
  <c r="B3" i="25"/>
  <c r="B4" i="25"/>
  <c r="B5" i="25"/>
  <c r="B6" i="25"/>
  <c r="B7" i="25"/>
  <c r="B8" i="25"/>
  <c r="B9" i="25"/>
  <c r="B2" i="25"/>
  <c r="D8" i="25" l="1"/>
  <c r="D4" i="25"/>
  <c r="H12" i="25" a="1"/>
  <c r="H12" i="25" s="1"/>
  <c r="B10" i="25"/>
  <c r="F3" i="25"/>
  <c r="C10" i="25"/>
  <c r="D6" i="25" s="1"/>
  <c r="D2" i="25" l="1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K20" i="22"/>
  <c r="K19" i="22"/>
  <c r="K18" i="22"/>
  <c r="K17" i="22"/>
  <c r="K16" i="22"/>
  <c r="K15" i="22"/>
  <c r="K14" i="22"/>
  <c r="K13" i="22"/>
  <c r="K12" i="22"/>
  <c r="K11" i="22"/>
  <c r="K10" i="22"/>
  <c r="K9" i="22"/>
  <c r="K8" i="22"/>
  <c r="K7" i="22"/>
  <c r="K6" i="22"/>
  <c r="K5" i="22"/>
  <c r="K4" i="22"/>
  <c r="K3" i="22"/>
  <c r="K2" i="22"/>
  <c r="D34" i="22"/>
  <c r="E34" i="22"/>
  <c r="F34" i="22"/>
  <c r="D35" i="22"/>
  <c r="E35" i="22"/>
  <c r="F35" i="22"/>
  <c r="H35" i="22" s="1"/>
  <c r="I35" i="22" s="1"/>
  <c r="D36" i="22"/>
  <c r="E36" i="22"/>
  <c r="G36" i="22" s="1"/>
  <c r="F36" i="22"/>
  <c r="H36" i="22" s="1"/>
  <c r="I36" i="22" s="1"/>
  <c r="D37" i="22"/>
  <c r="E37" i="22"/>
  <c r="G37" i="22" s="1"/>
  <c r="F37" i="22"/>
  <c r="D23" i="22"/>
  <c r="E23" i="22"/>
  <c r="G23" i="22" s="1"/>
  <c r="F23" i="22"/>
  <c r="H23" i="22" s="1"/>
  <c r="I23" i="22" s="1"/>
  <c r="D24" i="22"/>
  <c r="E24" i="22"/>
  <c r="G24" i="22" s="1"/>
  <c r="F24" i="22"/>
  <c r="H24" i="22" s="1"/>
  <c r="I24" i="22" s="1"/>
  <c r="D25" i="22"/>
  <c r="E25" i="22"/>
  <c r="G25" i="22" s="1"/>
  <c r="F25" i="22"/>
  <c r="H25" i="22" s="1"/>
  <c r="I25" i="22" s="1"/>
  <c r="D26" i="22"/>
  <c r="E26" i="22"/>
  <c r="G26" i="22" s="1"/>
  <c r="F26" i="22"/>
  <c r="H26" i="22" s="1"/>
  <c r="D27" i="22"/>
  <c r="E27" i="22"/>
  <c r="G27" i="22" s="1"/>
  <c r="F27" i="22"/>
  <c r="H27" i="22" s="1"/>
  <c r="I27" i="22" s="1"/>
  <c r="D28" i="22"/>
  <c r="E28" i="22"/>
  <c r="G28" i="22" s="1"/>
  <c r="F28" i="22"/>
  <c r="H28" i="22" s="1"/>
  <c r="I28" i="22" s="1"/>
  <c r="D29" i="22"/>
  <c r="E29" i="22"/>
  <c r="G29" i="22" s="1"/>
  <c r="F29" i="22"/>
  <c r="I29" i="22" s="1"/>
  <c r="D30" i="22"/>
  <c r="E30" i="22"/>
  <c r="G30" i="22" s="1"/>
  <c r="F30" i="22"/>
  <c r="H30" i="22" s="1"/>
  <c r="I30" i="22" s="1"/>
  <c r="D31" i="22"/>
  <c r="E31" i="22"/>
  <c r="G31" i="22" s="1"/>
  <c r="F31" i="22"/>
  <c r="H31" i="22" s="1"/>
  <c r="I31" i="22" s="1"/>
  <c r="D32" i="22"/>
  <c r="E32" i="22"/>
  <c r="G32" i="22" s="1"/>
  <c r="F32" i="22"/>
  <c r="D17" i="22"/>
  <c r="E17" i="22"/>
  <c r="G17" i="22" s="1"/>
  <c r="F17" i="22"/>
  <c r="H17" i="22" s="1"/>
  <c r="I17" i="22" s="1"/>
  <c r="D18" i="22"/>
  <c r="E18" i="22"/>
  <c r="G18" i="22" s="1"/>
  <c r="F18" i="22"/>
  <c r="H18" i="22" s="1"/>
  <c r="I18" i="22" s="1"/>
  <c r="D19" i="22"/>
  <c r="E19" i="22"/>
  <c r="G19" i="22" s="1"/>
  <c r="F19" i="22"/>
  <c r="H19" i="22" s="1"/>
  <c r="D20" i="22"/>
  <c r="E20" i="22"/>
  <c r="F20" i="22"/>
  <c r="H20" i="22" s="1"/>
  <c r="I20" i="22" s="1"/>
  <c r="D21" i="22"/>
  <c r="E21" i="22"/>
  <c r="G21" i="22" s="1"/>
  <c r="F21" i="22"/>
  <c r="H21" i="22" s="1"/>
  <c r="I21" i="22" s="1"/>
  <c r="D22" i="22"/>
  <c r="E22" i="22"/>
  <c r="F22" i="22"/>
  <c r="I22" i="22" s="1"/>
  <c r="D12" i="22"/>
  <c r="E12" i="22"/>
  <c r="G12" i="22" s="1"/>
  <c r="F12" i="22"/>
  <c r="H12" i="22" s="1"/>
  <c r="I12" i="22" s="1"/>
  <c r="D13" i="22"/>
  <c r="E13" i="22"/>
  <c r="G13" i="22" s="1"/>
  <c r="F13" i="22"/>
  <c r="H13" i="22" s="1"/>
  <c r="I13" i="22" s="1"/>
  <c r="D14" i="22"/>
  <c r="E14" i="22"/>
  <c r="F14" i="22"/>
  <c r="I14" i="22" s="1"/>
  <c r="D15" i="22"/>
  <c r="E15" i="22"/>
  <c r="G15" i="22" s="1"/>
  <c r="F15" i="22"/>
  <c r="H15" i="22" s="1"/>
  <c r="I15" i="22" s="1"/>
  <c r="D16" i="22"/>
  <c r="E16" i="22"/>
  <c r="G16" i="22" s="1"/>
  <c r="F16" i="22"/>
  <c r="H16" i="22" s="1"/>
  <c r="I16" i="22" s="1"/>
  <c r="D2" i="22"/>
  <c r="E2" i="22"/>
  <c r="G2" i="22" s="1"/>
  <c r="F2" i="22"/>
  <c r="H2" i="22" s="1"/>
  <c r="I2" i="22" s="1"/>
  <c r="D3" i="22"/>
  <c r="E3" i="22"/>
  <c r="G3" i="22" s="1"/>
  <c r="F3" i="22"/>
  <c r="H3" i="22" s="1"/>
  <c r="I3" i="22" s="1"/>
  <c r="D4" i="22"/>
  <c r="E4" i="22"/>
  <c r="G4" i="22" s="1"/>
  <c r="F4" i="22"/>
  <c r="H4" i="22" s="1"/>
  <c r="I4" i="22" s="1"/>
  <c r="D5" i="22"/>
  <c r="E5" i="22"/>
  <c r="F5" i="22"/>
  <c r="H5" i="22" s="1"/>
  <c r="I5" i="22" s="1"/>
  <c r="D6" i="22"/>
  <c r="E6" i="22"/>
  <c r="G6" i="22" s="1"/>
  <c r="F6" i="22"/>
  <c r="H6" i="22" s="1"/>
  <c r="I6" i="22" s="1"/>
  <c r="D7" i="22"/>
  <c r="E7" i="22"/>
  <c r="G7" i="22" s="1"/>
  <c r="F7" i="22"/>
  <c r="H7" i="22" s="1"/>
  <c r="I7" i="22" s="1"/>
  <c r="D8" i="22"/>
  <c r="E8" i="22"/>
  <c r="F8" i="22"/>
  <c r="H8" i="22" s="1"/>
  <c r="I8" i="22" s="1"/>
  <c r="D9" i="22"/>
  <c r="E9" i="22"/>
  <c r="G9" i="22" s="1"/>
  <c r="F9" i="22"/>
  <c r="H9" i="22" s="1"/>
  <c r="I9" i="22" s="1"/>
  <c r="D10" i="22"/>
  <c r="E10" i="22"/>
  <c r="G10" i="22" s="1"/>
  <c r="F10" i="22"/>
  <c r="H10" i="22" s="1"/>
  <c r="D11" i="22"/>
  <c r="E11" i="22"/>
  <c r="G11" i="22" s="1"/>
  <c r="F11" i="22"/>
  <c r="H11" i="22" s="1"/>
  <c r="I11" i="22" s="1"/>
  <c r="F33" i="22"/>
  <c r="H33" i="22" s="1"/>
  <c r="I33" i="22" s="1"/>
  <c r="E33" i="22"/>
  <c r="G33" i="22" s="1"/>
  <c r="D33" i="22"/>
  <c r="G4" i="19"/>
  <c r="O6" i="19"/>
  <c r="G35" i="22" l="1"/>
  <c r="G34" i="22"/>
  <c r="J6" i="22"/>
  <c r="J15" i="22"/>
  <c r="J19" i="22"/>
  <c r="J4" i="22"/>
  <c r="J25" i="22"/>
  <c r="J7" i="22"/>
  <c r="J14" i="22"/>
  <c r="J18" i="22"/>
  <c r="J31" i="22"/>
  <c r="J21" i="22"/>
  <c r="J9" i="22"/>
  <c r="G20" i="22"/>
  <c r="J36" i="22"/>
  <c r="I19" i="22"/>
  <c r="G22" i="22"/>
  <c r="J32" i="22"/>
  <c r="H29" i="22"/>
  <c r="G14" i="22"/>
  <c r="I26" i="22"/>
  <c r="J23" i="22"/>
  <c r="J29" i="22"/>
  <c r="J33" i="22"/>
  <c r="J16" i="22"/>
  <c r="H14" i="22"/>
  <c r="J22" i="22"/>
  <c r="J26" i="22"/>
  <c r="J3" i="22"/>
  <c r="H22" i="22"/>
  <c r="J35" i="22"/>
  <c r="J28" i="22"/>
  <c r="J10" i="22"/>
  <c r="I10" i="22"/>
  <c r="H32" i="22"/>
  <c r="I32" i="22" s="1"/>
  <c r="J13" i="22"/>
  <c r="J34" i="22"/>
  <c r="J37" i="22"/>
  <c r="G8" i="22"/>
  <c r="G5" i="22"/>
  <c r="J12" i="22"/>
  <c r="J20" i="22"/>
  <c r="J17" i="22"/>
  <c r="J30" i="22"/>
  <c r="J27" i="22"/>
  <c r="J24" i="22"/>
  <c r="H37" i="22"/>
  <c r="I37" i="22" s="1"/>
  <c r="H34" i="22"/>
  <c r="I34" i="22" s="1"/>
  <c r="J11" i="22"/>
  <c r="J8" i="22"/>
  <c r="J5" i="22"/>
  <c r="J2" i="22"/>
  <c r="G6" i="19" l="1"/>
  <c r="G5" i="19"/>
  <c r="F7" i="19"/>
  <c r="B15" i="19" l="1"/>
  <c r="D15" i="19" s="1"/>
  <c r="B14" i="19"/>
  <c r="B7" i="19"/>
  <c r="J17" i="19"/>
  <c r="I17" i="19"/>
  <c r="K16" i="19"/>
  <c r="K15" i="19"/>
  <c r="K14" i="19"/>
  <c r="K13" i="19"/>
  <c r="D16" i="19"/>
  <c r="D13" i="19"/>
  <c r="E7" i="19"/>
  <c r="P1" i="19"/>
  <c r="B17" i="19" l="1"/>
  <c r="G14" i="19"/>
  <c r="H14" i="19" s="1"/>
  <c r="E17" i="19"/>
  <c r="P2" i="19"/>
  <c r="E18" i="19" l="1"/>
  <c r="G3" i="19"/>
  <c r="D20" i="19"/>
  <c r="G7" i="19" l="1"/>
  <c r="G17" i="19" s="1"/>
  <c r="Q2" i="19"/>
  <c r="Q1" i="19"/>
  <c r="G18" i="19" l="1"/>
  <c r="G8" i="19"/>
  <c r="C27" i="19" l="1"/>
  <c r="D27" i="19"/>
  <c r="B27" i="19"/>
  <c r="G23" i="19"/>
  <c r="E24" i="19"/>
  <c r="E25" i="19"/>
  <c r="E23" i="19"/>
  <c r="D26" i="19"/>
  <c r="B26" i="19"/>
  <c r="C26" i="19"/>
  <c r="E26" i="19" l="1"/>
  <c r="J7" i="19"/>
  <c r="K4" i="19"/>
  <c r="K5" i="19"/>
  <c r="K6" i="19"/>
  <c r="K3" i="19"/>
  <c r="D4" i="19"/>
  <c r="D5" i="19"/>
  <c r="D6" i="19"/>
  <c r="D3" i="19"/>
  <c r="I7" i="19"/>
  <c r="C7" i="19"/>
  <c r="E8" i="19" l="1"/>
  <c r="D7" i="19"/>
  <c r="D14" i="19" l="1"/>
  <c r="C17" i="19"/>
  <c r="D17" i="19" s="1"/>
  <c r="J1" i="26" l="1"/>
  <c r="I2" i="26"/>
  <c r="I1" i="26"/>
  <c r="K1" i="26" l="1"/>
  <c r="K2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Кваско Сергей Михайлович</author>
  </authors>
  <commentList>
    <comment ref="H1" authorId="0" shapeId="0" xr:uid="{71CC3FC8-9B68-469D-8BB9-6E477E73D3EF}">
      <text>
        <r>
          <rPr>
            <sz val="9"/>
            <color indexed="81"/>
            <rFont val="Calibri"/>
            <family val="2"/>
            <charset val="204"/>
          </rPr>
          <t>ожидаемая сумма платежей</t>
        </r>
      </text>
    </comment>
    <comment ref="I1" authorId="0" shapeId="0" xr:uid="{47D03365-2376-4B75-A5CE-8C0E3B0BEF11}">
      <text>
        <r>
          <rPr>
            <sz val="9"/>
            <color indexed="81"/>
            <rFont val="Tahoma"/>
            <family val="2"/>
            <charset val="204"/>
          </rPr>
          <t>ожидаемая сумма платежей по реестру ОСК (будущие)</t>
        </r>
      </text>
    </comment>
    <comment ref="J1" authorId="0" shapeId="0" xr:uid="{2CEF0869-F4A1-490F-969E-417C0A939F4B}">
      <text>
        <r>
          <rPr>
            <sz val="9"/>
            <color indexed="81"/>
            <rFont val="Tahoma"/>
            <family val="2"/>
            <charset val="204"/>
          </rPr>
          <t>количество ожидаемых платежей</t>
        </r>
      </text>
    </comment>
    <comment ref="K1" authorId="0" shapeId="0" xr:uid="{C83982BB-2682-42BA-BB27-C6B715E819F0}">
      <text>
        <r>
          <rPr>
            <sz val="9"/>
            <color indexed="81"/>
            <rFont val="Tahoma"/>
            <family val="2"/>
            <charset val="204"/>
          </rPr>
          <t>средняя сумма ожидаемого платежа</t>
        </r>
      </text>
    </comment>
    <comment ref="L1" authorId="0" shapeId="0" xr:uid="{70DC183E-D1FE-4CBC-9E5D-B559140CFC31}">
      <text>
        <r>
          <rPr>
            <sz val="9"/>
            <color indexed="81"/>
            <rFont val="Tahoma"/>
            <family val="2"/>
            <charset val="204"/>
          </rPr>
          <t>ожидаемая сумма платежей сегодня</t>
        </r>
      </text>
    </comment>
    <comment ref="H2" authorId="0" shapeId="0" xr:uid="{792FEBD2-388D-41EF-91C8-FBE7204A2DF7}">
      <text>
        <r>
          <rPr>
            <sz val="9"/>
            <color indexed="81"/>
            <rFont val="Tahoma"/>
            <family val="2"/>
            <charset val="204"/>
          </rPr>
          <t>потенцияльная просрочка основого долга</t>
        </r>
      </text>
    </comment>
    <comment ref="I2" authorId="0" shapeId="0" xr:uid="{3AC9F43D-05B0-48C3-B994-A4FF30984C92}">
      <text>
        <r>
          <rPr>
            <sz val="9"/>
            <color indexed="81"/>
            <rFont val="Tahoma"/>
            <family val="2"/>
            <charset val="204"/>
          </rPr>
          <t>потенциальная сумма просрочки по реестру ОСК (будущие)</t>
        </r>
      </text>
    </comment>
    <comment ref="K2" authorId="0" shapeId="0" xr:uid="{C2849892-26A7-4CD6-868B-D631AD557FAE}">
      <text>
        <r>
          <rPr>
            <sz val="9"/>
            <color indexed="81"/>
            <rFont val="Tahoma"/>
            <family val="2"/>
            <charset val="204"/>
          </rPr>
          <t>средняя сумма потенциально просроченного основного долга</t>
        </r>
      </text>
    </comment>
    <comment ref="L2" authorId="0" shapeId="0" xr:uid="{D381D21F-E211-499D-87A9-E6344478C9AC}">
      <text>
        <r>
          <rPr>
            <sz val="9"/>
            <color indexed="81"/>
            <rFont val="Tahoma"/>
            <family val="2"/>
            <charset val="204"/>
          </rPr>
          <t>потенциальная сумма просрочки сегодня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114468-AE3D-4010-84C3-A6165C4B25B0}" keepAlive="1" name="Запрос — 21 (2)" description="Соединение с запросом &quot;21 (2)&quot; в книге." type="5" refreshedVersion="7" background="1" saveData="1">
    <dbPr connection="Provider=Microsoft.Mashup.OleDb.1;Data Source=$Workbook$;Location=&quot;21 (2)&quot;;Extended Properties=&quot;&quot;" command="SELECT * FROM [21 (2)]"/>
  </connection>
  <connection id="2" xr16:uid="{BA51CDE5-1283-4CFF-8E08-CE56D1743BB6}" keepAlive="1" name="Запрос — 29" description="Соединение с запросом &quot;29&quot; в книге." type="5" refreshedVersion="7" background="1" saveData="1">
    <dbPr connection="Provider=Microsoft.Mashup.OleDb.1;Data Source=$Workbook$;Location=29;Extended Properties=&quot;&quot;" command="SELECT * FROM [29]"/>
  </connection>
  <connection id="3" xr16:uid="{61A71BB6-9EAD-4D25-8EC8-3C6BDAE14B9C}" keepAlive="1" name="Запрос — 29 (2)" description="Соединение с запросом &quot;29 (2)&quot; в книге." type="5" refreshedVersion="7" background="1" saveData="1">
    <dbPr connection="Provider=Microsoft.Mashup.OleDb.1;Data Source=$Workbook$;Location=&quot;29 (2)&quot;;Extended Properties=&quot;&quot;" command="SELECT * FROM [29 (2)]"/>
  </connection>
  <connection id="4" xr16:uid="{CF2AC25F-0FA7-4D6A-81CB-AFDDCB26F068}" keepAlive="1" name="Запрос — 30" description="Соединение с запросом &quot;30&quot; в книге." type="5" refreshedVersion="7" background="1" saveData="1">
    <dbPr connection="Provider=Microsoft.Mashup.OleDb.1;Data Source=$Workbook$;Location=30;Extended Properties=&quot;&quot;" command="SELECT * FROM [30]"/>
  </connection>
</connections>
</file>

<file path=xl/sharedStrings.xml><?xml version="1.0" encoding="utf-8"?>
<sst xmlns="http://schemas.openxmlformats.org/spreadsheetml/2006/main" count="5592" uniqueCount="4428">
  <si>
    <t>Параметры:</t>
  </si>
  <si>
    <t>Отбор:</t>
  </si>
  <si>
    <t>Заемщик</t>
  </si>
  <si>
    <t>Итого</t>
  </si>
  <si>
    <t xml:space="preserve"> =ЗНАЧЕН(ПОДСТАВИТЬ(E16;СИМВОЛ(160);))</t>
  </si>
  <si>
    <t>Т-01631/АЗ_Т-20201019/Ц</t>
  </si>
  <si>
    <t xml:space="preserve"> =ЕСЛИОШИБКА(ЕСЛИОШИБКА(ВПР(A17;'на счету'!B:C;2;0);ВПР(B17;'на счету'!A:C;3;0));"")</t>
  </si>
  <si>
    <t xml:space="preserve"> =ЕСЛИОШИБКА(ВПР(A17;'на счету'!B:C;2;0);"")</t>
  </si>
  <si>
    <t xml:space="preserve"> =ЕСЛИОШИБКА(ВПР(B17;'на счету'!A:C;3;0);"")</t>
  </si>
  <si>
    <t>ОД</t>
  </si>
  <si>
    <t>Пени</t>
  </si>
  <si>
    <t>Т-01847/АЗ_Т-20200626/Ц</t>
  </si>
  <si>
    <t>А-05431/АЗ_А-20200626/Ц</t>
  </si>
  <si>
    <t xml:space="preserve"> =СЧЁТЕСЛИМН('реестр просрочников'!C:C;"&gt;3";'реестр просрочников'!C:C;"&lt;15")</t>
  </si>
  <si>
    <t xml:space="preserve"> =СУММЕСЛИМН('реестр просрочников'!F:F;'реестр просрочников'!C:C;"&gt;3";'реестр просрочников'!C:C;"&lt;15")</t>
  </si>
  <si>
    <t xml:space="preserve"> =ЕСЛИОШИБКА(ЕСЛИ(ВПР(A2;'на счету'!B:C;2;0)&lt;&gt;"";E2-ВПР(A2;'на счету'!B:C;2;0));E2)</t>
  </si>
  <si>
    <t xml:space="preserve"> =ВПР(недоплата!A2;[заемном.xlsx]Лист1!$B:$D;3;0)</t>
  </si>
  <si>
    <t>Договор</t>
  </si>
  <si>
    <t xml:space="preserve"> =ЕСЛИ(ВПР(A2;недоплата!A:G;4;0)&gt;0;ВПР(A2;недоплата!A:G;4;0);ЕСЛИ(ВПР(A2;недоплата!A:G;6;0)&gt;0;ВПР(A2;недоплата!A:G;6;0);ВПР(A2;недоплата!A:G;7;0)))</t>
  </si>
  <si>
    <t>Чеботкова Полина Михайловна</t>
  </si>
  <si>
    <t>А-04628/АЗ_А-20201019/Ц</t>
  </si>
  <si>
    <t>Фомин Иван Евгеньевич</t>
  </si>
  <si>
    <t>Хачатрян Хачик Норайрович</t>
  </si>
  <si>
    <t xml:space="preserve"> =энбпдб!D2</t>
  </si>
  <si>
    <t xml:space="preserve"> =ЕСЛИ(энбпдб!C2&lt;&gt;"";ПРАВСИМВ(энбпдб!C2;ДЛСТР(энбпдб!C2)-НАЙТИ(" ";энбпдб!C2));ПРАВСИМВ(энбпдб!B2;ДЛСТР(энбпдб!B2)-НАЙТИ(" ";энбпдб!B2))&amp;", добрый день! Для погашения ежемесячного платежа по Договору займа № "&amp;энбпдб!A2&amp;" Вам необходимо оплатить: "&amp;РУБЛЬ(энбпдб!E2)&amp;" (без учета пени), не позднее "&amp;ТЕКСТ(СЕГОДНЯ();"ДД.ММ.ГГГГ")&amp;". Сумма задолженности увеличивается ежедневно. Системы кредитования «Взаимно». Тел.: 8-800-555-83-46")</t>
  </si>
  <si>
    <t>Павлов Вячеслав Игоревич</t>
  </si>
  <si>
    <t>Диденко Роман Владимирович</t>
  </si>
  <si>
    <t xml:space="preserve"> =ЕСЛИ(ИЛИ(B2="ЛАБОРАТОРИЯ ГЛАДКОЙ КОЖИ ООО";B2="Ахназарян Вардан Левонович");"Вика";ЕСЛИ(C2&lt;4;"в бегах:)";ЕСЛИ(И(C2&gt;3;C2&lt;18);"Юля";ЕСЛИ(И(C2&gt;17;C2&lt;44);"Саша";"Дима"))))</t>
  </si>
  <si>
    <t>В-00789/АЗ</t>
  </si>
  <si>
    <t>Пахомов Михаил Юрьевич</t>
  </si>
  <si>
    <t>Харитонова Ирина Александровна</t>
  </si>
  <si>
    <t>Зиновьева Елена Николаевна</t>
  </si>
  <si>
    <r>
      <t xml:space="preserve"> </t>
    </r>
    <r>
      <rPr>
        <b/>
        <sz val="11"/>
        <color theme="1"/>
        <rFont val="Calibri"/>
        <family val="2"/>
        <charset val="204"/>
        <scheme val="minor"/>
      </rPr>
      <t>=ЕСЛИОШИБКА(ЕСЛИ(ПОИСК("ООО ";A2)&lt;&gt;"";ПСТР(A2;1+ПОИСК("*";A2;5);ДЛСТР(A2)-6)&amp;" ООО");A2)</t>
    </r>
  </si>
  <si>
    <t xml:space="preserve"> =ЕСЛИОШИБКА(ЕСЛИ(ПОИСК("ВИВАР";A2)&lt;&gt;"";СИМВОЛ(34)&amp;"ВИВАР"&amp;СИМВОЛ(34)&amp;" ООО");ЕСЛИОШИБКА(ЕСЛИ(ПОИСК("МаммиЛэнд";A2)&lt;&gt;"";СИМВОЛ(34)&amp;"МаммиЛэнд"&amp;СИМВОЛ(34)&amp;" ООО");ЕСЛИОШИБКА(ЕСЛИ(ПОИСК("Харин Евгений Александрович";A2)&lt;&gt;"";"ИП "&amp;A2);ЕСЛИОШИБКА(ЕСЛИ(ПОИСК("Зинченко Аркадий Александрович";A2)&lt;&gt;"";"ИП "&amp;A2);ЕСЛИОШИБКА(ЕСЛИ(ПОИСК("ООО ";A2)&lt;&gt;"";ПСТР(A2;1+ПОИСК("*";A2;5);ДЛСТР(A2)-6)&amp;" ООО");A2)))))</t>
  </si>
  <si>
    <t>всего</t>
  </si>
  <si>
    <t xml:space="preserve"> =ЕСЛИОШИБКА(ЕСЛИОШИБКА(ЕСЛИОШИБКА(ЕСЛИ(ВПР(энбпдб!A2;[email.xlsx]Заем!$B:$C;2;0)&lt;&gt;"";ВПР(энбпдб!A2;[email.xlsx]Заем!$B:$C;2;0));ВПР(ЛЕВСИМВ(энбпдб!A2;10);[email.xlsx]Заем!$B:$C;2;0));ЕСЛИ(ВПР(энбпдб!B2;[email.xlsx]Заем!$A:$D;3;0)&lt;&gt;0;ВПР(энбпдб!B2;[email.xlsx]Заем!$A:$D;3;0);ВПР(энбпдб!B2;[email.xlsx]Заем!$A:$D;4;0)));"⛔📫")</t>
  </si>
  <si>
    <t>%</t>
  </si>
  <si>
    <t>ПЕНИ</t>
  </si>
  <si>
    <t>ГП</t>
  </si>
  <si>
    <t>1С</t>
  </si>
  <si>
    <t>Решение</t>
  </si>
  <si>
    <t>разница</t>
  </si>
  <si>
    <t>признает</t>
  </si>
  <si>
    <t>прощаем</t>
  </si>
  <si>
    <t>Дудин Василий Васильевич</t>
  </si>
  <si>
    <t>сумма платежа</t>
  </si>
  <si>
    <t>общее</t>
  </si>
  <si>
    <t>Мотыка Андрей Павлович</t>
  </si>
  <si>
    <t xml:space="preserve"> =ЕСЛИ(E2&gt;=4000000;"Черная дыра";ЕСЛИ(E2&gt;=3000000;"Кракен";ЕСЛИ(E2&gt;=2000000;"Годзилла";ЕСЛИ(E2&gt;=1000000;"Рассел Кроу";"Сумо"))))</t>
  </si>
  <si>
    <t>Барт Денис Михайлович</t>
  </si>
  <si>
    <t>Корнилова Наталия Владимировна</t>
  </si>
  <si>
    <t>Сапунов Дмитрий Владимирович</t>
  </si>
  <si>
    <t>Сидоров Александр Владимирович</t>
  </si>
  <si>
    <t>Лотонин Александр Олегович</t>
  </si>
  <si>
    <t xml:space="preserve"> =(D2*0,054%)*(C2+2)</t>
  </si>
  <si>
    <t xml:space="preserve"> =ЕСЛИ(C2&gt;=60;E2;ЕСЛИ(F2&gt;E2;E2;F2))</t>
  </si>
  <si>
    <t>Тимохин Иван Алексеевич</t>
  </si>
  <si>
    <t>вносит</t>
  </si>
  <si>
    <t>остаток</t>
  </si>
  <si>
    <t xml:space="preserve"> ="("&amp;ЛЕВСИМВ(P1;ПОИСК(" руб";P1)-1)&amp;") "&amp;ПРАВСИМВ(P1;ДЛСТР(P1)-ПОИСК(" руб";P1))</t>
  </si>
  <si>
    <t>Ширманов Никита Александрович</t>
  </si>
  <si>
    <t xml:space="preserve"> =ЕСЛИОШИБКА(ЕСЛИ(ПОИСК("КЭ";B2)&gt;30;(D2-F2)*1%*C2;F2);(E2*0,054%)*C2)</t>
  </si>
  <si>
    <t xml:space="preserve"> =ЕСЛИОШИБКА(ВПР(A17;CRM!A:I;7;0);ЕСЛИОШИБКА(ВПР(ЕСЛИ(ПОИСК("ООО";A17);"ООО "&amp;""""&amp;ЛЕВСИМВ(A17;ПОИСК("ООО";A17)-2)&amp;""""&amp;" (П)");CRM!A:I;7;0);ЕСЛИОШИБКА(ВПР(ЕСЛИ(ПОИСК("ЗАО";A17);"ЗАО "&amp;""""&amp;ЛЕВСИМВ(A17;ПОИСК("ЗАО";A17)-2)&amp;""""&amp;" (П)");CRM!A:I;7;0);ЕСЛИОШИБКА(ВПР(ЕСЛИ(ПОИСК("ИП ";A17);ПОДСТАВИТЬ(A17;"ИП ";""));CRM!A:I;7;0);ЕСЛИОШИБКА(ВПР(A17&amp;" (П)";CRM!A:I;7;0);"не обнаружено")))))</t>
  </si>
  <si>
    <t>Акимцева Юлия Анатольевна</t>
  </si>
  <si>
    <t>А-05360/АЗ</t>
  </si>
  <si>
    <t>Розанов Сергей Александрович</t>
  </si>
  <si>
    <t>Иванов Антон Олегович</t>
  </si>
  <si>
    <t>Кобзев Олег Викторович</t>
  </si>
  <si>
    <t>В-12813/КЛ.Транш - 1</t>
  </si>
  <si>
    <t>В-17095/КЛ.Транш - 1</t>
  </si>
  <si>
    <t>А-05392/АЗ</t>
  </si>
  <si>
    <t>Крюков Сергей Викторович</t>
  </si>
  <si>
    <t>Егоян Вард Баласанович</t>
  </si>
  <si>
    <t>Члоян Геворк Мамбреович</t>
  </si>
  <si>
    <t>Петров Денис Александрович</t>
  </si>
  <si>
    <t>В-08454/КЛ.Транш - 1</t>
  </si>
  <si>
    <t>Савельев Станислав Валентинович</t>
  </si>
  <si>
    <t>В-12574/КЛ.Транш - 2</t>
  </si>
  <si>
    <t>Солдатенков Алексей Геннадиевич</t>
  </si>
  <si>
    <t>Хадиев Фанис Рафисович</t>
  </si>
  <si>
    <t>Аперян Любовь Артуровна</t>
  </si>
  <si>
    <t>Семененко Трофим Игоревич</t>
  </si>
  <si>
    <t>Хлебников Владимир Витальевич</t>
  </si>
  <si>
    <t>Насырова Шахлохон Раимжановна</t>
  </si>
  <si>
    <t>Аксенчук Александр Вячеславович</t>
  </si>
  <si>
    <t>В-19585/КЛ.Транш - 1</t>
  </si>
  <si>
    <t>В-19662/КЛ.Транш - 1</t>
  </si>
  <si>
    <t>Измайлова Юлия Игоревна</t>
  </si>
  <si>
    <t>Говоруха Андрей Михайлович</t>
  </si>
  <si>
    <t>Мокрицкий Константин Александрович</t>
  </si>
  <si>
    <t>Подчуфарова Лариса Николаевна</t>
  </si>
  <si>
    <t xml:space="preserve"> =ЕСЛИОШИБКА(ЕСЛИ(ВПР(ЛЕВСИМВ(B2;10);[КО.xlsx]Лист1!$A:$A;1;0)&lt;&gt;"";"👎🏻");"👍🏻")</t>
  </si>
  <si>
    <t>прощение</t>
  </si>
  <si>
    <t xml:space="preserve"> =ОКРВНИЗ.МАТ(ВПР(B33;'РП (расш)'!A:I;9;0)/3+ВПР(B33;'РП (расш)'!A:K;11;0);1)</t>
  </si>
  <si>
    <t>1/3% + пени</t>
  </si>
  <si>
    <t>что</t>
  </si>
  <si>
    <t xml:space="preserve"> =ОКРВВЕРХ.МАТ(ВПР(B33;'РП (расш)'!A:H;8;0)+(ВПР(B33;'РП (расш)'!A:I;9;0)*0,67);1)</t>
  </si>
  <si>
    <t>тек пени</t>
  </si>
  <si>
    <t>H2</t>
  </si>
  <si>
    <t>D2-F2</t>
  </si>
  <si>
    <t xml:space="preserve"> =ЕСЛИ(L2=3;ОКРВВЕРХ.МАТ(ВПР(B2;'РП (расш)'!A:H;8;0)+(ВПР(B2;'РП (расш)'!A:I;9;0)/2);1);ЕСЛИ(L2=2;ОКРВВЕРХ.МАТ(ВПР(B2;'РП (расш)'!A:H;8;0)+(ВПР(B2;'РП (расш)'!A:I;9;0)*0,67);1);D2-F2))</t>
  </si>
  <si>
    <t>В-24071/КЛ.Транш - 1</t>
  </si>
  <si>
    <t>Воробьев Андрей Владимирович</t>
  </si>
  <si>
    <t>В-24121/КЛ.Транш - 1</t>
  </si>
  <si>
    <t>Багаев Феликс Давидович</t>
  </si>
  <si>
    <t>Кондратюк Алексей Николаевич</t>
  </si>
  <si>
    <t>просрочено</t>
  </si>
  <si>
    <t>пени</t>
  </si>
  <si>
    <t>пени тек</t>
  </si>
  <si>
    <t>пени прощение</t>
  </si>
  <si>
    <t>к оплате</t>
  </si>
  <si>
    <t>КО</t>
  </si>
  <si>
    <t>категория</t>
  </si>
  <si>
    <t>да</t>
  </si>
  <si>
    <t>нет</t>
  </si>
  <si>
    <t>все Пени</t>
  </si>
  <si>
    <t xml:space="preserve"> =ЕСЛИ(L2=3;ОКРВНИЗ.МАТ(ВПР(B2;'РП (расш)'!A:I;9;0)/2+ВПР(B2;'РП (расш)'!A:K;11;0);1);ЕСЛИ(И(L2=2;N2="да");ОКРВНИЗ.МАТ(ВПР(B2;'РП (расш)'!A:I;9;0)/3+ВПР(B2;'РП (расш)'!A:K;11;0);1);ЕСЛИ(L2=2;ОКРВНИЗ.МАТ(ВПР(B2;'РП (расш)'!A:I;9;0)/3)+G2;ЕСЛИ(И(L2=1;N2="да");F2;H2))))</t>
  </si>
  <si>
    <t xml:space="preserve"> =ЕСЛИОШИБКА(ЕСЛИ(ПОИСК("КЭ";B2);(D2-F2)*1%*C2);(E2*0,054%)*C2)</t>
  </si>
  <si>
    <t xml:space="preserve"> =ОКРУГЛВНИЗ(ЕСЛИ(C2&gt;=60;F2;ЕСЛИ(G2&gt;F2;F2;G2));0)</t>
  </si>
  <si>
    <t>В-25306/КЛ.Транш - 1</t>
  </si>
  <si>
    <t>Сидоренко Надежда Алексеевна</t>
  </si>
  <si>
    <t>2/3% + пени</t>
  </si>
  <si>
    <t>1/2% + пени</t>
  </si>
  <si>
    <t xml:space="preserve"> =ЕСЛИ(L2=4;ОКРВВЕРХ.МАТ(ВПР(B2;'РП (расш)'!A:H;8;0)+(ВПР(B2;'РП (расш)'!A:I;9;0)/3);1);ЕСЛИ(L2=3;ОКРВВЕРХ.МАТ(ВПР(B2;'РП (расш)'!A:H;8;0)+(ВПР(B2;'РП (расш)'!A:I;9;0)/2);1);ЕСЛИ(L2=2;ОКРВВЕРХ.МАТ(ВПР(B2;'РП (расш)'!A:H;8;0)+(ВПР(B2;'РП (расш)'!A:I;9;0)*0,67);1);D2-F2)))</t>
  </si>
  <si>
    <t>Дог1</t>
  </si>
  <si>
    <t>Дог2</t>
  </si>
  <si>
    <t>Договор 1</t>
  </si>
  <si>
    <t>Договор 2</t>
  </si>
  <si>
    <t>В-26517/КЛ.Транш - 1</t>
  </si>
  <si>
    <t>Загорулько Алексей Сергеевич</t>
  </si>
  <si>
    <t>В-27050/АЗ</t>
  </si>
  <si>
    <t>Бутурлакин Марк Николаевич</t>
  </si>
  <si>
    <t>Невкипелый Дмитрий Валерьевич</t>
  </si>
  <si>
    <t>В-13136/КЛ.Транш - 1_В-20211230/Ц</t>
  </si>
  <si>
    <t>Конуркин Сергей Сергеевич</t>
  </si>
  <si>
    <t>В-27646/КЛ.Транш - 1</t>
  </si>
  <si>
    <t>Гусейнов Магомед Динисламович</t>
  </si>
  <si>
    <t>В-27848/АЗ</t>
  </si>
  <si>
    <t>В-27878/АЗ</t>
  </si>
  <si>
    <t>Житаренко Юрий Иванович</t>
  </si>
  <si>
    <t>Романов Евгений Юрьевич</t>
  </si>
  <si>
    <t>В-17962/КЛ.Транш - 1</t>
  </si>
  <si>
    <t>Загорулько Елена Михайловна</t>
  </si>
  <si>
    <t>Шаулов Шаул Рамбомович</t>
  </si>
  <si>
    <t>Голосенин Тимофей Васильевич</t>
  </si>
  <si>
    <t>Ципис Вадим Яковлевич</t>
  </si>
  <si>
    <t>Султанова Анна Валерьевна</t>
  </si>
  <si>
    <t>В-27416/АЗ</t>
  </si>
  <si>
    <t>Жолобов Алексей Юрьевич</t>
  </si>
  <si>
    <t>В-28539/КЛ.Транш - 1</t>
  </si>
  <si>
    <t>Ульбашева Елена Владимировна</t>
  </si>
  <si>
    <t>Хоминец Владимир Владимирович</t>
  </si>
  <si>
    <t>Лякишев Павел Александрович</t>
  </si>
  <si>
    <t>Самошин Дмитрий Сергеевич</t>
  </si>
  <si>
    <t>Бунаков Алексей Вячеславович</t>
  </si>
  <si>
    <t>В-28587/КЛ.Транш - 1</t>
  </si>
  <si>
    <t>Видяков Денис Сергеевич</t>
  </si>
  <si>
    <t>Атабоев Каримжон Валижонович</t>
  </si>
  <si>
    <t>Пушкарев Александр Борисович</t>
  </si>
  <si>
    <t>Григорьев Олег Вячеславович</t>
  </si>
  <si>
    <t>В-28598/КЛ.Транш - 1</t>
  </si>
  <si>
    <t>Кожинов Дмитрий Сергеевич</t>
  </si>
  <si>
    <t>В-03300/КЛ.Транш - 1</t>
  </si>
  <si>
    <t>Тихонова Ирина Анатольевна</t>
  </si>
  <si>
    <t>Мкртчян Григор Рубикович</t>
  </si>
  <si>
    <t>Захарова Ирина Константиновна</t>
  </si>
  <si>
    <t>Колесников Евгений Михайлович</t>
  </si>
  <si>
    <t>Король Маргарита Игоревна</t>
  </si>
  <si>
    <t>В-25126/КЛ.Транш - 1</t>
  </si>
  <si>
    <t>Гриценко Дмитрий Владимирович</t>
  </si>
  <si>
    <t>Абдурашитов Озодбек Мавланжанович</t>
  </si>
  <si>
    <t>В-27250/КЛ.Транш - 2</t>
  </si>
  <si>
    <t>Сайфуллин Рауль Чулпанович</t>
  </si>
  <si>
    <t>Крайнева Марина Александровна</t>
  </si>
  <si>
    <t>Аракелян Лусине Вардановна</t>
  </si>
  <si>
    <t>ИП Светлов Виталий Анатольевич</t>
  </si>
  <si>
    <t>ИП Месропян Аревик Орбеловна</t>
  </si>
  <si>
    <t>В-00892/АЗ</t>
  </si>
  <si>
    <t>Рубайло Андрей Евгеньевич</t>
  </si>
  <si>
    <t>Кандаков Хайдарали Махмадрузиевич</t>
  </si>
  <si>
    <t>Змиевский Владимир Владимирович</t>
  </si>
  <si>
    <t>Башкатов Егор Иванович</t>
  </si>
  <si>
    <t>Осмаева Зулихан Авхадовна</t>
  </si>
  <si>
    <t>Осмаев Ибрагим Исламович</t>
  </si>
  <si>
    <t>Билалов Имам Исламович</t>
  </si>
  <si>
    <t>Тарасов Дмитрий Алексеевич</t>
  </si>
  <si>
    <t>В-01203/АЗ</t>
  </si>
  <si>
    <t>Нахапетов Артур Валерьевич</t>
  </si>
  <si>
    <t>Авагян Тигран Агванович</t>
  </si>
  <si>
    <t>В-02064/КЛ.Транш - 3</t>
  </si>
  <si>
    <t>В-07559/КЛ.Транш - 5</t>
  </si>
  <si>
    <t>Куренкова Марина Анатольевна</t>
  </si>
  <si>
    <t>Жирнов Игорь Владимирович</t>
  </si>
  <si>
    <t>ИП Петров Юрий Викторович</t>
  </si>
  <si>
    <t>Афонин Сергей Юрьевич</t>
  </si>
  <si>
    <t>Литвинов Дмитрий Геннадьевич</t>
  </si>
  <si>
    <t>Губская Светлана Анатольевна</t>
  </si>
  <si>
    <t>Валеев Рамиль Равилович</t>
  </si>
  <si>
    <t>Павлов Максим Андреевич</t>
  </si>
  <si>
    <t>В-12013/КЛ.Транш - 2</t>
  </si>
  <si>
    <t>Тульнова Ольга Владимировна</t>
  </si>
  <si>
    <t>Лекторова Екатерина Николаевна</t>
  </si>
  <si>
    <t>Степенко Александр Сергеевич</t>
  </si>
  <si>
    <t>Павлов Алексей Георгиевич</t>
  </si>
  <si>
    <t>Кисель Наталья Александровна</t>
  </si>
  <si>
    <t>Сайдалиева Наталия Владимировна</t>
  </si>
  <si>
    <t>Воронова Татьяна Алексеевна</t>
  </si>
  <si>
    <t>В-13005/КЛ.Транш - 3</t>
  </si>
  <si>
    <t>Зайцев Иван Владимирович</t>
  </si>
  <si>
    <t>Расулов Ахмедхан Саидбекович</t>
  </si>
  <si>
    <t>В-14168/КЛ.Транш - 4</t>
  </si>
  <si>
    <t>Борисов Андрей Сергеевич</t>
  </si>
  <si>
    <t>Янишевская Анна Сергеевна</t>
  </si>
  <si>
    <t>Хечоян Владимир Левонович</t>
  </si>
  <si>
    <t>В-14430/КЛ.Транш - 2</t>
  </si>
  <si>
    <t>Малхасян Арарат Балабекович</t>
  </si>
  <si>
    <t>В-16057/КЛ.Транш - 6</t>
  </si>
  <si>
    <t>Кондрашов Василий Игоревич</t>
  </si>
  <si>
    <t>Копытман Александр Семенович</t>
  </si>
  <si>
    <t>Рамазанов Абакар Рамазанович</t>
  </si>
  <si>
    <t>Селеверстов Михаил Васильевич</t>
  </si>
  <si>
    <t>Богданова Ольга Геннадиевна</t>
  </si>
  <si>
    <t>Голубь Елена Николаевна</t>
  </si>
  <si>
    <t>Коростелкина Татьяна Владимировна</t>
  </si>
  <si>
    <t>В-19070/КЛ.Транш - 4</t>
  </si>
  <si>
    <t>Киселев Александр Максимович</t>
  </si>
  <si>
    <t>В-19548/КЛ.Транш - 1</t>
  </si>
  <si>
    <t>Новоселов Сергей Владимирович</t>
  </si>
  <si>
    <t>Клинов Сергей Евгеньевич</t>
  </si>
  <si>
    <t>Бабенышева Наталия Григорьевна</t>
  </si>
  <si>
    <t>В-19740/КЛ.Транш - 5</t>
  </si>
  <si>
    <t>Назаров Всеволод Владимирович</t>
  </si>
  <si>
    <t>В-19740/КЛ.Транш - 6</t>
  </si>
  <si>
    <t>В-19740/КЛ.Транш - 7</t>
  </si>
  <si>
    <t>В-19740/КЛ.Транш - 8</t>
  </si>
  <si>
    <t>Коркина Елена Александровна</t>
  </si>
  <si>
    <t>Терехов Андрей Анатольевич</t>
  </si>
  <si>
    <t>Фролов Павел Андреевич</t>
  </si>
  <si>
    <t>Куразян Гарий Рафаэлович</t>
  </si>
  <si>
    <t>Кузьмичев Иван Сергеевич</t>
  </si>
  <si>
    <t>В-20731/КЛ.Транш - 3</t>
  </si>
  <si>
    <t>Рузавина Наталья Викторовна</t>
  </si>
  <si>
    <t>В-21245/КЛ.Транш - 3</t>
  </si>
  <si>
    <t>Ахметова Елена Леонидовна</t>
  </si>
  <si>
    <t>Попов Виктор Вячеславович</t>
  </si>
  <si>
    <t>Виноградова Светлана Витальевна</t>
  </si>
  <si>
    <t>Рябов Игорь Владимирович</t>
  </si>
  <si>
    <t>В-22052/КЛ.Транш - 2</t>
  </si>
  <si>
    <t>Тарасов Олег Васильевич</t>
  </si>
  <si>
    <t>Мисюк Георгий Анатольевич</t>
  </si>
  <si>
    <t>Дзюба Евгений Григорьевич</t>
  </si>
  <si>
    <t>Белякова Марина Сергеевна</t>
  </si>
  <si>
    <t>Кузнецова Александра Николаевна</t>
  </si>
  <si>
    <t>Зайцева Светлана Юрьевна</t>
  </si>
  <si>
    <t>Пушкарева Виолетта Алексеевна</t>
  </si>
  <si>
    <t>В-22979/КЛ.Транш - 1</t>
  </si>
  <si>
    <t>Цирамуа Наталия Наполеоновна</t>
  </si>
  <si>
    <t>Горбачев Иван Эдуардович</t>
  </si>
  <si>
    <t>Алешкевич Алексей Викторович</t>
  </si>
  <si>
    <t>В-23370/КЛ.Транш - 2</t>
  </si>
  <si>
    <t>Бекетов Алексей Алексеевич</t>
  </si>
  <si>
    <t>В-23509/КЛ.Транш - 2</t>
  </si>
  <si>
    <t>Зотов Дмитрий Анатольевич</t>
  </si>
  <si>
    <t>В-23555/КЛ.Транш - 2</t>
  </si>
  <si>
    <t>В-24137/КЛ.Транш - 1</t>
  </si>
  <si>
    <t>Новиков Артем Дмитриевич</t>
  </si>
  <si>
    <t>Смирнов Игорь Александрович</t>
  </si>
  <si>
    <t>В-25052/КЛ.Транш - 1</t>
  </si>
  <si>
    <t>Журавлёв Денис Сергеевич</t>
  </si>
  <si>
    <t>В-25126/КЛ.Транш - 2</t>
  </si>
  <si>
    <t>В-25132/КЛ.Транш - 2</t>
  </si>
  <si>
    <t>В-25499/АЗ</t>
  </si>
  <si>
    <t>Бархударов Сергей Юрьевич</t>
  </si>
  <si>
    <t>Блинов Сергей Владимирович</t>
  </si>
  <si>
    <t>Кудряшов Савва Романович</t>
  </si>
  <si>
    <t>В-25573/КЛ.Транш - 2</t>
  </si>
  <si>
    <t>Мусаев Натиг Байрам Оглы</t>
  </si>
  <si>
    <t>Бондаренко Александр Александрович</t>
  </si>
  <si>
    <t>Нагаева Елена Александровна</t>
  </si>
  <si>
    <t>Соколова Екатерина Николаевна</t>
  </si>
  <si>
    <t>Бакласова Мирабелла Викторовна</t>
  </si>
  <si>
    <t>Платонов Николай Владимирович</t>
  </si>
  <si>
    <t>Попов Михаил Александрович</t>
  </si>
  <si>
    <t>Белоусов Валерий Владиславович</t>
  </si>
  <si>
    <t>В-25922/КЛ.Транш - 2</t>
  </si>
  <si>
    <t>Рахимов Фарход Каримович</t>
  </si>
  <si>
    <t>Осмаев Абдул-Латиф Исламович</t>
  </si>
  <si>
    <t>Осмаев Джабраил Исламович</t>
  </si>
  <si>
    <t>Бакиров Теймур Бахрам оглы</t>
  </si>
  <si>
    <t>В-26197/КЛ.Транш - 2</t>
  </si>
  <si>
    <t>Ахмедов Магомедрасул Камаладинович</t>
  </si>
  <si>
    <t>Краснокутская Ирина Анатольевна</t>
  </si>
  <si>
    <t>В-26664/КЛ.Транш - 1</t>
  </si>
  <si>
    <t>Лемкин Николай Иванович</t>
  </si>
  <si>
    <t>Бурма Мария Георгиевна</t>
  </si>
  <si>
    <t>В-26928/КЛ.Транш - 1</t>
  </si>
  <si>
    <t>Труханкин Анатолий Васильевич</t>
  </si>
  <si>
    <t>В-26950/КЛ.Транш - 1</t>
  </si>
  <si>
    <t>Макаренко Екатерина Васильевна</t>
  </si>
  <si>
    <t>В-27038/АЗ</t>
  </si>
  <si>
    <t>В-27049/АЗ</t>
  </si>
  <si>
    <t>В-27065/АЗ</t>
  </si>
  <si>
    <t>Мордвинцева Елена Александровна</t>
  </si>
  <si>
    <t>Холодков Денис Владимирович</t>
  </si>
  <si>
    <t>В-27250/КЛ.Транш - 1</t>
  </si>
  <si>
    <t>Алешкин Алексей Владиславович</t>
  </si>
  <si>
    <t>В-27260/АЗ</t>
  </si>
  <si>
    <t>Белик Галина Александровна</t>
  </si>
  <si>
    <t>В-27315/КЛ.Транш - 1</t>
  </si>
  <si>
    <t>Годуйко Николай Николаевич</t>
  </si>
  <si>
    <t>В-27438/АЗ</t>
  </si>
  <si>
    <t>В-27634/КЛ.Транш - 1</t>
  </si>
  <si>
    <t>Хрипунов Клим Анатольевич</t>
  </si>
  <si>
    <t>В-27661/КЛ.Транш - 2</t>
  </si>
  <si>
    <t>Романова Анна Григорьевна</t>
  </si>
  <si>
    <t>В-27730/АЗ</t>
  </si>
  <si>
    <t>Гевондян Сергей Норайрович</t>
  </si>
  <si>
    <t>В-27753/КЛ.Транш - 1</t>
  </si>
  <si>
    <t>Турумбекова Темиркан Кадырбековна</t>
  </si>
  <si>
    <t>В-27788/КЛ.Транш - 1</t>
  </si>
  <si>
    <t>Смолин Виктор Иванович</t>
  </si>
  <si>
    <t>Калашников Юрий Витальевич</t>
  </si>
  <si>
    <t>В-27914/КЛ.Транш - 1</t>
  </si>
  <si>
    <t>Чепрасова Галина Александровна</t>
  </si>
  <si>
    <t>В-27929/КЛ.Транш - 1</t>
  </si>
  <si>
    <t>Шаламова Татьяна Андреевна</t>
  </si>
  <si>
    <t>В-28062/КЛ.Транш - 1</t>
  </si>
  <si>
    <t>Бондаренко Светлана Евгеньевна</t>
  </si>
  <si>
    <t>В-28090/АЗ</t>
  </si>
  <si>
    <t>Колесников Михаил Вячеславович</t>
  </si>
  <si>
    <t>Карагезян Шушаник Вачагановна</t>
  </si>
  <si>
    <t>В-28235/АЗ</t>
  </si>
  <si>
    <t>Юсупов Альберт Гиннатуллаевич</t>
  </si>
  <si>
    <t>Подтуркин Алексей Сергеевич</t>
  </si>
  <si>
    <t>В-28358/КЛ.Транш - 1</t>
  </si>
  <si>
    <t>Егиазарян Геворг Рубикович</t>
  </si>
  <si>
    <t>Абакумов Вадим Михайлович</t>
  </si>
  <si>
    <t>В-28376/КЛ.Транш - 1</t>
  </si>
  <si>
    <t>Симонова Дарья Павловна</t>
  </si>
  <si>
    <t>Абдуллин Азат Мазитович</t>
  </si>
  <si>
    <t>Петров Николай Анатольевич</t>
  </si>
  <si>
    <t>В-28436/АЗ</t>
  </si>
  <si>
    <t>Левченков Георгий Михайлович</t>
  </si>
  <si>
    <t>В-28538/КЛ.Транш - 1</t>
  </si>
  <si>
    <t>Ирицян Армен Дживанович</t>
  </si>
  <si>
    <t>В-28549/АЗ</t>
  </si>
  <si>
    <t>Егупов Дмитрий Сергеевич</t>
  </si>
  <si>
    <t>В-28753/КЛ.Транш - 1</t>
  </si>
  <si>
    <t>Петросян Анаит Ервандовна</t>
  </si>
  <si>
    <t>Хачатрян Лаврент Юрикович</t>
  </si>
  <si>
    <t>В-28906/КЛ.Транш - 1</t>
  </si>
  <si>
    <t>Соколов Константин Иванович</t>
  </si>
  <si>
    <t>В-28961/КЛ.Транш - 1</t>
  </si>
  <si>
    <t>Гагарин Юрий Александрович</t>
  </si>
  <si>
    <t>В-28968/АЗ</t>
  </si>
  <si>
    <t>Папикян Андраник Климентович</t>
  </si>
  <si>
    <t>Т-01827/АЗ_Т-20211028/Ц</t>
  </si>
  <si>
    <t>Дни</t>
  </si>
  <si>
    <t xml:space="preserve"> =ЕСЛИ(L2=4;ОКРВНИЗ.МАТ(ВПР(B2;'РП (расш)'!A:I;9;0)*0,66+ЕСЛИ(N2="да";ВПР(B2;'РП (расш)'!A:K;11;0);G2);1);ЕСЛИ(L2=3;ОКРВНИЗ.МАТ(ВПР(B2;'РП (расш)'!A:I;9;0)/2+ЕСЛИ(N2="да";ВПР(B2;'РП (расш)'!A:K;11;0);G2);1);ЕСЛИ(L2=2;ОКРВНИЗ.МАТ(ВПР(B2;'РП (расш)'!A:I;9;0)/3+ЕСЛИ(N2="да";ВПР(B2;'РП (расш)'!A:K;11;0);G2);1);ЕСЛИ(И(L2=1;N2="да");F2;H2))))</t>
  </si>
  <si>
    <t>Громов Вячеслав Александрович</t>
  </si>
  <si>
    <t>Валиков Алексей Анатольевич</t>
  </si>
  <si>
    <t xml:space="preserve"> =ЕСЛИОШИБКА(ЕСЛИ(ВПР(B2;'2022'!A:A;1;0)&gt;"";(ВПР(B2;'РП (расш)'!A:E;5;0)*0,054%)*C2;ЕСЛИ(ПОИСК("КЭ";B2);(D2-F2)*1%*C2));(E2*0,054%)*C2)</t>
  </si>
  <si>
    <t>some_var</t>
  </si>
  <si>
    <t xml:space="preserve"> =ЕСЛИ(И(ВПР(A2;O:O;1;0)&gt;0;ВПР(A2;O:S;5;0)&lt;400000);ВПР(A2;O:O;1;0);"од более 400К")</t>
  </si>
  <si>
    <t xml:space="preserve"> =СЖПРОБЕЛЫ(ЕСЛИ(ИЛИ(И(НЕ(ЕОШ(НАЙТИ("КЭ";B2)&lt;&gt;""));ЕОШ(НАЙТИ("А2";B2)="");ЕОШ(НАЙТИ("Тр";B2)=""));И(НЕ(ЕОШ(НАЙТИ("КЛ";B2)&lt;&gt;""));ЕОШ(НАЙТИ("АЗ";B2)="");ЕОШ(НАЙТИ("Тр";B2)="")));B2&amp;".Транш - 1";ЕСЛИОШИБКА(ЛЕВСИМВ(B2;ПОИСК("нш";B2)+1)&amp;" - "&amp;ПОДСТАВИТЬ(ПРАВСИМВ(B2;ПОИСК("*-";B2;2));"-";"");B2)))</t>
  </si>
  <si>
    <t xml:space="preserve"> =СУММ(ЕСЛИ(СЧЁТЕСЛИ(A17:A5000;A17:A5000)=1;1;0))</t>
  </si>
  <si>
    <t xml:space="preserve"> =СУММ(ЕСЛИОШИБКА(1/СЧЁТЕСЛИМН(A18:A2000;A18:A2000;C18:C2000;"&gt;=2";C18:C2000;"&lt;=3");))</t>
  </si>
  <si>
    <t xml:space="preserve"> =СЧЁТЕСЛИМН(C:C;"&gt;=2";C:C;"&lt;=3")-СУММ(ЕСЛИ(СЧЁТЕСЛИ(ИНДЕКС(A:C;ПОИСКПОЗ(2;C:C;0);1):ИНДЕКС(A:C;ПОИСКПОЗ(4;C:C;0)-1;1);ИНДЕКС(A:C;ПОИСКПОЗ(2;C:C;0);1):ИНДЕКС(A:C;ПОИСКПОЗ(4;C:C;0)-1;1))=1;1;0))</t>
  </si>
  <si>
    <t xml:space="preserve"> =СУММ(1/СЧЁТЕСЛИ(A1:A6;A1:A6))</t>
  </si>
  <si>
    <t xml:space="preserve"> =СУММ(1/СЧЁТЕСЛИ(ИНДЕКС(A:C;ПОИСКПОЗ(2;C:C;0);1):ИНДЕКС(A:C;ПОИСКПОЗ(4;C:C;0)-1;1);ИНДЕКС(A:C;ПОИСКПОЗ(2;C:C;0);1):ИНДЕКС(A:C;ПОИСКПОЗ(4;C:C;0)-1;1)))</t>
  </si>
  <si>
    <t xml:space="preserve"> =СЧЁТЕСЛИМН('реестр просрочников'!$C:$C;"&gt;="&amp;I3;'реестр просрочников'!$C:$C;"&lt;="&amp;J3)</t>
  </si>
  <si>
    <t xml:space="preserve"> {=СУММ(1/СЧЁТЕСЛИ(ИНДЕКС('реестр просрочников'!A:C;ПОИСКПОЗ(I3;'реестр просрочников'!C:C;0);1):ИНДЕКС('реестр просрочников'!A:C;ПОИСКПОЗ(J3;'реестр просрочников'!C:C;1);1);ИНДЕКС('реестр просрочников'!A:C;ПОИСКПОЗ(I3;'реестр просрочников'!C:C;0);1):ИНДЕКС('реестр просрочников'!A:C;ПОИСКПОЗ(J3;'реестр просрочников'!C:C;1);1)))}</t>
  </si>
  <si>
    <t>1/3% пени</t>
  </si>
  <si>
    <t>Мазуренко Наталья Владимировна</t>
  </si>
  <si>
    <t>Т-01931/АЗ_Т-20211028/Ц</t>
  </si>
  <si>
    <t>В-24983/КЛ.Транш - 1_В-20211230/Ц</t>
  </si>
  <si>
    <t>Новрузов Марат Абильфас Оглы</t>
  </si>
  <si>
    <t>Кильдюшкин Андрей Николаевич</t>
  </si>
  <si>
    <t>Петрова Елена Владимировна</t>
  </si>
  <si>
    <t>Локшина Ольга Владимировна</t>
  </si>
  <si>
    <t>В-14818/КЛ.Транш - 1_В-20211230/Ц</t>
  </si>
  <si>
    <t>Навасардян Алёна Евгеньевна</t>
  </si>
  <si>
    <t>В-23410/КЛ.Транш - 1_В-20211230/Ц</t>
  </si>
  <si>
    <t>Шиховцов Игорь Николаевич</t>
  </si>
  <si>
    <t>В-27105/КЛ.Транш - 1_В-20211230/Ц</t>
  </si>
  <si>
    <t>В-08393/КЛ.Транш - 1_В-20211230/Ц</t>
  </si>
  <si>
    <t>Бажуткин Николай Владимирович</t>
  </si>
  <si>
    <t>В-24350/КЛ.Транш - 1_В-20211230/Ц</t>
  </si>
  <si>
    <t>Мусаев Заурбек Хадживелиевич</t>
  </si>
  <si>
    <t>В-06818/КЛ.Транш - 1_В-20211230/Ц</t>
  </si>
  <si>
    <t>Собиров Раджабали Карахужаевич</t>
  </si>
  <si>
    <t>В-28360/КЛ.Транш - 1_В-20211230/Ц</t>
  </si>
  <si>
    <t>В-18548/КЛ.Транш - 1_В-20211230/Ц</t>
  </si>
  <si>
    <t>Элоян Артур Гамбарович</t>
  </si>
  <si>
    <t>В-12113/КЛ.Транш - 1_В-20211230/Ц</t>
  </si>
  <si>
    <t>Кузьмин Михаил Юрьевич</t>
  </si>
  <si>
    <t>В-18548/КЛ.Транш - 2_В-20211230/Ц</t>
  </si>
  <si>
    <t>В-04724/КЛ.Транш - 3_В-20211230/Ц</t>
  </si>
  <si>
    <t>Белан Надежда Александровна</t>
  </si>
  <si>
    <t>В-20251/КЛ.Транш - 2_В-20211230/Ц</t>
  </si>
  <si>
    <t>Слепнев Иван Викторович</t>
  </si>
  <si>
    <t>В-01217/АЗ_В-20211230/Ц</t>
  </si>
  <si>
    <t>Гупало Илья Александрович</t>
  </si>
  <si>
    <t>В-26449/АЗ_В-20211230/Ц</t>
  </si>
  <si>
    <t>Светлов Виталий Анатольевич</t>
  </si>
  <si>
    <t>В-26816/КЛ.Транш - 1_В-20211230/Ц</t>
  </si>
  <si>
    <t>Мартынко Александра Андреевна</t>
  </si>
  <si>
    <t>В-25792/КЛ.Транш - 2_В-20211230/Ц</t>
  </si>
  <si>
    <t>В-28090/АЗ_В-20211230/Ц</t>
  </si>
  <si>
    <t>В-25950/КЛ.Транш - 1_В-20211230/Ц</t>
  </si>
  <si>
    <t>Пивченкова Наталья Александровна</t>
  </si>
  <si>
    <t>В-10039/КЛ.Транш - 1_В-20211230/Ц</t>
  </si>
  <si>
    <t>В-26450/АЗ_В-20211230/Ц</t>
  </si>
  <si>
    <t>Петров Юрий Викторович</t>
  </si>
  <si>
    <t>В-26649/АЗ_В-20211230/Ц</t>
  </si>
  <si>
    <t>В-26651/АЗ_В-20211230/Ц</t>
  </si>
  <si>
    <t>Краснокутский Анатолий Владимирович</t>
  </si>
  <si>
    <t>В-28159/КЛ.Транш - 1_В-20211230/Ц</t>
  </si>
  <si>
    <t>Кол-во, шт.</t>
  </si>
  <si>
    <t>1 - 3</t>
  </si>
  <si>
    <t>4 - 7</t>
  </si>
  <si>
    <t>8 - 14</t>
  </si>
  <si>
    <t>15 - 30</t>
  </si>
  <si>
    <t>31 - 45</t>
  </si>
  <si>
    <t>46 - 60</t>
  </si>
  <si>
    <t>61 - 90</t>
  </si>
  <si>
    <t>91 +</t>
  </si>
  <si>
    <t>Сумма ОД</t>
  </si>
  <si>
    <t>кол-во</t>
  </si>
  <si>
    <t>сумма</t>
  </si>
  <si>
    <t>последний день</t>
  </si>
  <si>
    <t>до конца</t>
  </si>
  <si>
    <t>ФИО</t>
  </si>
  <si>
    <t>Сумма</t>
  </si>
  <si>
    <t xml:space="preserve"> =ИНДЕКС('реестр просрочников'!A18:A200;МИН(ЕСЛИ('реестр просрочников'!C18:C200=МИН('реестр просрочников'!C18:C200);СТРОКА('реестр просрочников'!C18:C200)-СТРОКА('реестр просрочников'!C18);"")))</t>
  </si>
  <si>
    <t>минимальное</t>
  </si>
  <si>
    <t xml:space="preserve"> =ИНДЕКС(A6:A18;МИН(ЕСЛИ(B6:B18=МАКС(ЕСЛИ(B6:B18&gt;=70;"";B6:B18));СТРОКА(B6:B18)-СТРОКА(B5);"")))</t>
  </si>
  <si>
    <t>максимальное с условием</t>
  </si>
  <si>
    <t xml:space="preserve"> =ЕСЛИ(СТРОКА(T3)&lt;=(СТРОКА($T$3)+$E$3);ИНДЕКС('реестр просрочников'!A18:A200;МИН(ЕСЛИ('реестр просрочников'!C18:C200=МАКС('реестр просрочников'!C18:C200);СТРОКА('реестр просрочников'!C18:C200)-СТРОКА('реестр просрочников'!C17)-СТРОКА(U1)+1;"")));"")</t>
  </si>
  <si>
    <t>ТОП 10</t>
  </si>
  <si>
    <t xml:space="preserve"> =ЕСЛИ(ИНДЕКС('реестр просрочников'!$A:$F;ПОИСКПОЗ(НАИБОЛЬШИЙ('реестр просрочников'!$F:$F;СТРОКА(K1));'реестр просрочников'!$F:$F;0);2)=B18;СМЕЩ(ИНДЕКС('реестр просрочников'!$A:$F;ПОИСКПОЗ(НАИБОЛЬШИЙ('реестр просрочников'!$F:$F;СТРОКА(K1));'реестр просрочников'!$F:$F;0);2);1;0);ИНДЕКС('реестр просрочников'!$A:$F;ПОИСКПОЗ(НАИБОЛЬШИЙ('реестр просрочников'!$F:$F;СТРОКА(K1));'реестр просрочников'!$F:$F;0);2))</t>
  </si>
  <si>
    <t>наибольший при повторах</t>
  </si>
  <si>
    <t xml:space="preserve"> =РАНГ.РВ(F18;$F$18:$F$80;0)+СЧЁТЕСЛИ(F$18:$F18;F18)-1</t>
  </si>
  <si>
    <t>ранжирование</t>
  </si>
  <si>
    <t xml:space="preserve"> =РАНГ(F18;$F$18:$F$200;0)+(СЧЁТЕСЛИ(F18:F200;F18)-1)/2</t>
  </si>
  <si>
    <t>среднее</t>
  </si>
  <si>
    <t xml:space="preserve"> =ИНДЕКС('реестр просрочников'!$A:$F;ПОИСКПОЗ(НАИМЕНЬШИЙ('реестр просрочников'!$K:$K;СТРОКА('реестр просрочников'!$N1));'реестр просрочников'!$K:$K;0);1)</t>
  </si>
  <si>
    <t>топ</t>
  </si>
  <si>
    <t xml:space="preserve"> =ЕСЛИОШИБКА(ИНДЕКС('реестр просрочников'!$A:$F;ПОИСКПОЗ(НАИБОЛЬШИЙ('реестр просрочников'!$I:$I;СТРОКА('реестр просрочников'!$M1));'реестр просрочников'!$I:$I;0);1);"")</t>
  </si>
  <si>
    <t>Платежный календарь</t>
  </si>
  <si>
    <t>Источник данных Равно "Займы предоставленные" И</t>
  </si>
  <si>
    <t>Состояние Равно "Действует"</t>
  </si>
  <si>
    <t>Контрагент</t>
  </si>
  <si>
    <t>Займ.Договор №</t>
  </si>
  <si>
    <t>Дата платежа</t>
  </si>
  <si>
    <t>Сумма планового платежа</t>
  </si>
  <si>
    <t>Остаток ОД</t>
  </si>
  <si>
    <t>Дни просрочки</t>
  </si>
  <si>
    <t xml:space="preserve"> =ЕСЛИ(B11&gt;0;ЕСЛИОШИБКА(ЕСЛИ(ВПР(ЛЕВСИМВ(B11;10);[КО.xlsx]Лист1!$A:$A;1;0)&gt;0;"КО");ЕСЛИ(E11="";"погашен";ЕСЛИ(B11&gt;0;ЕСЛИОШИБКА(ЕСЛИ(ВПР(B11;'реестр просрочников'!B:B;1;0)&gt;0;"просрочен";);ЕСЛИ(СЕГОДНЯ()&gt;=C11;"оплачен";"грядет"));""))))</t>
  </si>
  <si>
    <t>Статус</t>
  </si>
  <si>
    <t>ОжСуПл</t>
  </si>
  <si>
    <t>ПоПрОД</t>
  </si>
  <si>
    <t xml:space="preserve">Заемщик </t>
  </si>
  <si>
    <t>есть в 1С</t>
  </si>
  <si>
    <t>Просрочники</t>
  </si>
  <si>
    <t>Дата выхода</t>
  </si>
  <si>
    <t>?в просрочниках?</t>
  </si>
  <si>
    <t>В-21911/КЛ.Транш - 1_В-21082023/Ц</t>
  </si>
  <si>
    <t>Контрагент Не в списке "ВЗАИМНО ООО; АЭК ООО КА; АТЛАС ООО; ИРБИС ООО" И</t>
  </si>
  <si>
    <t>В-22449/КЛ.Транш - 1_В-21082023/Ц</t>
  </si>
  <si>
    <t>В-10495/КЛ.Транш - 1_В-21082023/Ц</t>
  </si>
  <si>
    <t>В-01109/АЗ_В-21082023/Ц</t>
  </si>
  <si>
    <t>В-12231/КЛ.Транш - 1_В-21082023/Ц</t>
  </si>
  <si>
    <t>В-20952/КЛ.Транш - 4_В-21082023/Ц</t>
  </si>
  <si>
    <t>В-07877/КЛ.Транш - 12_В-21082023/Ц</t>
  </si>
  <si>
    <t>В-07877/КЛ.Транш - 15_В-21082023/Ц</t>
  </si>
  <si>
    <t>В-07877/КЛ.Транш - 14_В-21082023/Ц</t>
  </si>
  <si>
    <t>В-23919/КЛ.Транш - 1_В-21082023/Ц</t>
  </si>
  <si>
    <t>В-19286/КЛ.Транш - 1_В-21082023/Ц</t>
  </si>
  <si>
    <t>В-23370/КЛ.Транш - 2_В-21082023/Ц</t>
  </si>
  <si>
    <t>В-11396/КЛ.Транш - 2_В-21082023/Ц</t>
  </si>
  <si>
    <t>В-25306/КЛ.Транш - 1_В-21082023/Ц</t>
  </si>
  <si>
    <t>В-01188/АЗ_В-21082023/Ц</t>
  </si>
  <si>
    <t>В-18921/КЛ.Транш - 1_В-21082023/Ц</t>
  </si>
  <si>
    <t>В-22979/КЛ.Транш - 1_В-21082023/Ц</t>
  </si>
  <si>
    <t>В-26664/КЛ.Транш - 1_В-21082023/Ц</t>
  </si>
  <si>
    <t>В-00970/АЗ_В-21082023/Ц</t>
  </si>
  <si>
    <t>В-19585/КЛ.Транш - 1_В-21082023/Ц</t>
  </si>
  <si>
    <t>В-20952/КЛ.Транш - 3_В-21082023/Ц</t>
  </si>
  <si>
    <t>В-01113/АЗ_В-21082023/Ц</t>
  </si>
  <si>
    <t>В-14198/КЛ.Транш - 1_В-21082023/Ц</t>
  </si>
  <si>
    <t>В-16067/КЛ.Транш - 1_В-21082023/Ц</t>
  </si>
  <si>
    <t>В-20952/КЛ.Транш - 6_В-21082023/Ц</t>
  </si>
  <si>
    <t>В-26114/КЛ.Транш - 1_В-21082023/Ц</t>
  </si>
  <si>
    <t>В-28587/КЛ.Транш - 1_В-21082023/Ц</t>
  </si>
  <si>
    <t>В-27914/КЛ.Транш - 1_В-21082023/Ц</t>
  </si>
  <si>
    <t>В-01174/АЗ_В-21082023/Ц</t>
  </si>
  <si>
    <t>В-28436/АЗ_В-21082023/Ц</t>
  </si>
  <si>
    <t>В-26422/КЛ.Транш - 1_В-21082023/Ц</t>
  </si>
  <si>
    <t>В-06345/КЛ.Транш - 1_В-21082023/Ц</t>
  </si>
  <si>
    <t>В-22677/КЛ.Транш - 1_В-21082023/Ц</t>
  </si>
  <si>
    <t>В-28961/КЛ.Транш - 1_В-21082023/Ц</t>
  </si>
  <si>
    <t>В-08348/КЛ.Транш - 7_В-21082023/Ц</t>
  </si>
  <si>
    <t>В-27315/КЛ.Транш - 1_В-21082023/Ц</t>
  </si>
  <si>
    <t>В-19740/КЛ.Транш - 5_В-21082023/Ц</t>
  </si>
  <si>
    <t>В-19740/КЛ.Транш - 6_В-21082023/Ц</t>
  </si>
  <si>
    <t>В-28968/АЗ_В-21082023/Ц</t>
  </si>
  <si>
    <t>В-01038/АЗ_В-21082023/Ц</t>
  </si>
  <si>
    <t>В-01039/АЗ_В-21082023/Ц</t>
  </si>
  <si>
    <t>В-17469/КЛ.Транш - 1_В-21082023/Ц</t>
  </si>
  <si>
    <t>В-19740/КЛ.Транш - 7_В-21082023/Ц</t>
  </si>
  <si>
    <t>В-12574/КЛ.Транш - 1_В-21082023/Ц</t>
  </si>
  <si>
    <t>В-19355/КЛ.Транш - 1_В-21082023/Ц</t>
  </si>
  <si>
    <t>В-12574/КЛ.Транш - 3_В-21082023/Ц</t>
  </si>
  <si>
    <t>В-22744/КЛ.Транш - 1_В-21082023/Ц</t>
  </si>
  <si>
    <t>В-21568/КЛ.Транш - 1_В-21082023/Ц</t>
  </si>
  <si>
    <t>В-22409/КЛ.Транш - 1_В-21082023/Ц</t>
  </si>
  <si>
    <t>В-00953/АЗ_В-21082023/Ц</t>
  </si>
  <si>
    <t>В-00955/АЗ_В-21082023/Ц</t>
  </si>
  <si>
    <t>В-02064/КЛ.Транш - 2_В-21082023/Ц</t>
  </si>
  <si>
    <t>В-02064/КЛ.Транш - 3_В-21082023/Ц</t>
  </si>
  <si>
    <t>В-02064/КЛ.Транш - 4_В-21082023/Ц</t>
  </si>
  <si>
    <t>В-08270/КЛ.Транш - 1_В-21082023/Ц</t>
  </si>
  <si>
    <t>В-08454/КЛ.Транш - 1_В-21082023/Ц</t>
  </si>
  <si>
    <t>В-09100/КЛ.Транш - 1_В-21082023/Ц</t>
  </si>
  <si>
    <t>В-09172/КЛ.Транш - 1_В-21082023/Ц</t>
  </si>
  <si>
    <t>В-10204/КЛ.Транш - 1_В-21082023/Ц</t>
  </si>
  <si>
    <t>В-10474/КЛ.Транш - 3_В-21082023/Ц</t>
  </si>
  <si>
    <t>В-10474/КЛ.Транш - 4_В-21082023/Ц</t>
  </si>
  <si>
    <t>В-10474/КЛ.Транш - 5_В-21082023/Ц</t>
  </si>
  <si>
    <t>В-10474/КЛ.Транш - 6_В-21082023/Ц</t>
  </si>
  <si>
    <t>В-11277/КЛ.Транш - 1_В-21082023/Ц</t>
  </si>
  <si>
    <t>В-11716/КЛ.Транш - 1_В-21082023/Ц</t>
  </si>
  <si>
    <t>В-12066/КЛ.Транш - 1_В-21082023/Ц</t>
  </si>
  <si>
    <t>В-12067/КЛ.Транш - 1_В-21082023/Ц</t>
  </si>
  <si>
    <t>В-12098/КЛ.Транш - 1_В-21082023/Ц</t>
  </si>
  <si>
    <t>В-12098/КЛ.Транш - 2_В-21082023/Ц</t>
  </si>
  <si>
    <t>В-12256/КЛ.Транш - 1_В-21082023/Ц</t>
  </si>
  <si>
    <t>В-12269/КЛ.Транш - 1_В-21082023/Ц</t>
  </si>
  <si>
    <t>В-12523/КЛ.Транш - 2_В-21082023/Ц</t>
  </si>
  <si>
    <t>В-12553/КЛ.Транш - 1_В-21082023/Ц</t>
  </si>
  <si>
    <t>В-12574/КЛ.Транш - 2_В-21082023/Ц</t>
  </si>
  <si>
    <t>В-12662/КЛ.Транш - 1_В-21082023/Ц</t>
  </si>
  <si>
    <t>В-12912/КЛ.Транш - 1_В-21082023/Ц</t>
  </si>
  <si>
    <t>В-13235/КЛ.Транш - 1_В-21082023/Ц</t>
  </si>
  <si>
    <t>В-13449/КЛ.Транш - 1_В-21082023/Ц</t>
  </si>
  <si>
    <t>В-14216/КЛ.Транш - 2_В-21082023/Ц</t>
  </si>
  <si>
    <t>В-14216/КЛ.Транш - 3_В-21082023/Ц</t>
  </si>
  <si>
    <t>В-14216/КЛ.Транш - 4_В-21082023/Ц</t>
  </si>
  <si>
    <t>В-14291/КЛ.Транш - 7_В-21082023/Ц</t>
  </si>
  <si>
    <t>В-14816/КЛ.Транш - 1_В-21082023/Ц</t>
  </si>
  <si>
    <t>В-15138/КЛ.Транш - 1_В-21082023/Ц</t>
  </si>
  <si>
    <t>В-15954/КЛ.Транш - 1_В-21082023/Ц</t>
  </si>
  <si>
    <t>В-16057/КЛ.Транш - 6_В-21082023/Ц</t>
  </si>
  <si>
    <t>В-16242/КЛ.Транш - 2_В-21082023/Ц</t>
  </si>
  <si>
    <t>В-16455/КЛ.Транш - 1_В-21082023/Ц</t>
  </si>
  <si>
    <t>В-17469/КЛ.Транш - 2_В-21082023/Ц</t>
  </si>
  <si>
    <t>В-17916/КЛ.Транш - 1_В-21082023/Ц</t>
  </si>
  <si>
    <t>В-18414/КЛ.Транш - 1_В-21082023/Ц</t>
  </si>
  <si>
    <t>В-18496/КЛ.Транш - 1_В-21082023/Ц</t>
  </si>
  <si>
    <t>В-18536/КЛ.Транш - 1_В-21082023/Ц</t>
  </si>
  <si>
    <t>В-18894/КЛ.Транш - 1_В-21082023/Ц</t>
  </si>
  <si>
    <t>В-19354/КЛ.Транш - 1_В-21082023/Ц</t>
  </si>
  <si>
    <t>В-19548/КЛ.Транш - 1_В-21082023/Ц</t>
  </si>
  <si>
    <t>В-19593/КЛ.Транш - 1_В-21082023/Ц</t>
  </si>
  <si>
    <t>В-19736/КЛ.Транш - 1_В-21082023/Ц</t>
  </si>
  <si>
    <t>В-19740/КЛ.Транш - 8_В-21082023/Ц</t>
  </si>
  <si>
    <t>В-19991/КЛ.Транш - 1_В-21082023/Ц</t>
  </si>
  <si>
    <t>В-19991/КЛ.Транш - 2_В-21082023/Ц</t>
  </si>
  <si>
    <t>В-20035/КЛ.Транш - 1_В-21082023/Ц</t>
  </si>
  <si>
    <t>В-20133/КЛ.Транш - 1_В-21082023/Ц</t>
  </si>
  <si>
    <t>В-21253/КЛ.Транш - 1_В-21082023/Ц</t>
  </si>
  <si>
    <t>В-21306/КЛ.Транш - 1_В-21082023/Ц</t>
  </si>
  <si>
    <t>В-22205/КЛ.Транш - 1_В-21082023/Ц</t>
  </si>
  <si>
    <t>В-22205/КЛ.Транш - 2_В-21082023/Ц</t>
  </si>
  <si>
    <t>В-22309/АЗ_В-21082023/Ц</t>
  </si>
  <si>
    <t>В-22935/КЛ.Транш - 1_В-21082023/Ц</t>
  </si>
  <si>
    <t>В-22935/КЛ.Транш - 2_В-21082023/Ц</t>
  </si>
  <si>
    <t>В-23229/АЗ_В-21082023/Ц</t>
  </si>
  <si>
    <t>В-23555/КЛ.Транш - 1_В-21082023/Ц</t>
  </si>
  <si>
    <t>В-23555/КЛ.Транш - 2_В-21082023/Ц</t>
  </si>
  <si>
    <t>В-23901/КЛ.Транш - 1_В-21082023/Ц</t>
  </si>
  <si>
    <t>В-23923/КЛ.Транш - 1_В-21082023/Ц</t>
  </si>
  <si>
    <t>В-24580/КЛ.Транш - 1_В-21082023/Ц</t>
  </si>
  <si>
    <t>В-25548/КЛ.Транш - 1_В-21082023/Ц</t>
  </si>
  <si>
    <t>В-25627/КЛ.Транш - 1_В-21082023/Ц</t>
  </si>
  <si>
    <t>В-25764/КЛ.Транш - 1_В-21082023/Ц</t>
  </si>
  <si>
    <t>В-25807/АЗ_В-21082023/Ц</t>
  </si>
  <si>
    <t>В-25810/АЗ_В-21082023/Ц</t>
  </si>
  <si>
    <t>В-25922/КЛ.Транш - 1_В-21082023/Ц</t>
  </si>
  <si>
    <t>В-25922/КЛ.Транш - 2_В-21082023/Ц</t>
  </si>
  <si>
    <t>В-26432/АЗ_В-21082023/Ц</t>
  </si>
  <si>
    <t>В-26733/КЛ.Транш - 1_В-21082023/Ц</t>
  </si>
  <si>
    <t>В-26950/КЛ.Транш - 1_В-21082023/Ц</t>
  </si>
  <si>
    <t>В-27646/КЛ.Транш - 1_В-21082023/Ц</t>
  </si>
  <si>
    <t>В-27788/КЛ.Транш - 1_В-21082023/Ц</t>
  </si>
  <si>
    <t>В-27929/КЛ.Транш - 1_В-21082023/Ц</t>
  </si>
  <si>
    <t>В-28235/АЗ_В-21082023/Ц</t>
  </si>
  <si>
    <t>В-28358/КЛ.Транш - 1_В-21082023/Ц</t>
  </si>
  <si>
    <t>В-28539/КЛ.Транш - 1_В-21082023/Ц</t>
  </si>
  <si>
    <t>В-28549/АЗ_В-21082023/Ц</t>
  </si>
  <si>
    <t>В-28598/КЛ.Транш - 1_В-21082023/Ц</t>
  </si>
  <si>
    <t>В-28906/КЛ.Транш - 1_В-21082023/Ц</t>
  </si>
  <si>
    <t>В-03974/КЛ.Транш - 3_В-21082023/Ц</t>
  </si>
  <si>
    <t>В-08644/КЛ.Транш - 1_В-21082023/Ц</t>
  </si>
  <si>
    <t>Портфель задолженности по займам предоставленным</t>
  </si>
  <si>
    <t>Включать в задолженность (Пени штрафы и прочие доходы): Нет</t>
  </si>
  <si>
    <t>Диапазоны просрочки по займам: </t>
  </si>
  <si>
    <t>Диапазоны сроков возврата займов: </t>
  </si>
  <si>
    <t>Просроченный займ Равно "Да" И</t>
  </si>
  <si>
    <t>Заемщик Не в списке "АЭК ООО КА; АТЛАС ООО; ВЗАИМНО ООО; ИРБИС ООО" И</t>
  </si>
  <si>
    <t>Дней на просрочке Меньше или равно "95" И</t>
  </si>
  <si>
    <t>Актуальный займ.Договор.Дата передачи в КО (Договоры) Не заполнено</t>
  </si>
  <si>
    <t>Займ предоставленный.Номер договора</t>
  </si>
  <si>
    <t>Дней</t>
  </si>
  <si>
    <t>На просрочке с</t>
  </si>
  <si>
    <t>Просрочено</t>
  </si>
  <si>
    <t>Всего</t>
  </si>
  <si>
    <t>( Организация Равно "КА АЭК ООО" ) И</t>
  </si>
  <si>
    <t>В-25659/КЛ.Транш - 1_В-20211230/Ц</t>
  </si>
  <si>
    <t>В-25659/КЛ.Транш - 2_В-20211230/Ц</t>
  </si>
  <si>
    <t>Просрочено ОД, %</t>
  </si>
  <si>
    <t>Просроченно, в т.ч. пени</t>
  </si>
  <si>
    <t>ИТОГО:</t>
  </si>
  <si>
    <t>Включать в задолженность (Пени штрафы и прочие доходы): Да</t>
  </si>
  <si>
    <t>( Организация Равно "КА АЭК ООО" ИЛИ</t>
  </si>
  <si>
    <t>Организация Равно "АТЛАС ООО" ИЛИ</t>
  </si>
  <si>
    <t>Организация Равно "ВЗАИМНО ООО" ИЛИ</t>
  </si>
  <si>
    <t>Организация Равно "ИРБИС ООО" ) И</t>
  </si>
  <si>
    <t>Заемщик Не в списке "ВЗАИМНО ООО; АЭК ООО КА; АТЛАС ООО; ИП Белов Олег Валерьевич"</t>
  </si>
  <si>
    <t>ПДП</t>
  </si>
  <si>
    <t>Проценты</t>
  </si>
  <si>
    <t>Прочие и доходы</t>
  </si>
  <si>
    <t>А-00714/АЗ</t>
  </si>
  <si>
    <t>Чекалкин Михаил Михайлович</t>
  </si>
  <si>
    <t>А-00934/АЗ</t>
  </si>
  <si>
    <t>Королев Герман Борисович</t>
  </si>
  <si>
    <t>А-01262/АЗ</t>
  </si>
  <si>
    <t>Гоголадзе Джондо Александрович</t>
  </si>
  <si>
    <t>А-01147/АЗ</t>
  </si>
  <si>
    <t>Ходакова Ирина Борисовна</t>
  </si>
  <si>
    <t>А-01652/АЗ</t>
  </si>
  <si>
    <t>Щербин Виталий Борисович</t>
  </si>
  <si>
    <t>Т-00638/АЗ_Т-20211028/Ц</t>
  </si>
  <si>
    <t>А-00005/КЭ.Транш - 1</t>
  </si>
  <si>
    <t>Фаворит ООО</t>
  </si>
  <si>
    <t>А-00027/КЭ.Транш - 1</t>
  </si>
  <si>
    <t>КАЙГЕР-КЛИНИНГ ООО</t>
  </si>
  <si>
    <t>А-01830/АЗ</t>
  </si>
  <si>
    <t>Лихтенвальд Игорь Владимирович</t>
  </si>
  <si>
    <t>А-00008/КЭ.Транш - 1</t>
  </si>
  <si>
    <t>ПРОФРЕСУРС ООО</t>
  </si>
  <si>
    <t>А-00101/КЭ.Транш - 1</t>
  </si>
  <si>
    <t>ИП Кнутов Сергей Алексеевич</t>
  </si>
  <si>
    <t>А-01872/АЗ</t>
  </si>
  <si>
    <t>Сальников Андрей Владимирович</t>
  </si>
  <si>
    <t>А-00161/КЭ.Транш - 1</t>
  </si>
  <si>
    <t>ИП Султанова Екатерина Владимировна</t>
  </si>
  <si>
    <t>А-02585/АЗ</t>
  </si>
  <si>
    <t>Хмелевский Кирилл Кириллович</t>
  </si>
  <si>
    <t>А-02772/АЗ</t>
  </si>
  <si>
    <t>Новоселов Евгений Михайлович</t>
  </si>
  <si>
    <t>А-03444/АЗ</t>
  </si>
  <si>
    <t>А-03822/АЗ</t>
  </si>
  <si>
    <t>Матвеев Александр Иванович</t>
  </si>
  <si>
    <t>А-04022/АЗ</t>
  </si>
  <si>
    <t>Мелитонян Саят Араевич</t>
  </si>
  <si>
    <t>А-00029/БЭ</t>
  </si>
  <si>
    <t>Саповский Олег Владимирович</t>
  </si>
  <si>
    <t>А-00211/КЭ.Транш - 2</t>
  </si>
  <si>
    <t>КРОШКИ ООО</t>
  </si>
  <si>
    <t>А-03853/АЗ</t>
  </si>
  <si>
    <t>Караваев Евгений Сергеевич</t>
  </si>
  <si>
    <t>А-00084/КЭ.Транш - 3</t>
  </si>
  <si>
    <t>МСККОРП ООО</t>
  </si>
  <si>
    <t>А-10036/КЭ.Транш - 1</t>
  </si>
  <si>
    <t>ИП Королев Александр Владимирович</t>
  </si>
  <si>
    <t>А-10037/КЭ.Транш - 1</t>
  </si>
  <si>
    <t>СТРОЙ ПРОТЕК ООО</t>
  </si>
  <si>
    <t>А-04384/АЗ</t>
  </si>
  <si>
    <t>Платунова Жанна Александровна</t>
  </si>
  <si>
    <t>А-04275/АЗ</t>
  </si>
  <si>
    <t>Абубакиров Бату Асхарович</t>
  </si>
  <si>
    <t>А-03942/АЗ</t>
  </si>
  <si>
    <t>Морозов Владимир Владимирович</t>
  </si>
  <si>
    <t>А-03756/АЗ</t>
  </si>
  <si>
    <t>Сердюк Лидия Мянсуровна</t>
  </si>
  <si>
    <t>А-03591/АЗ</t>
  </si>
  <si>
    <t>Анчутин Павел Александрович</t>
  </si>
  <si>
    <t>А-00035/БЭ</t>
  </si>
  <si>
    <t>Королёв Дмитрий Евгеньевич</t>
  </si>
  <si>
    <t>А-04617/АЗ</t>
  </si>
  <si>
    <t>Храмов Антон Иванович</t>
  </si>
  <si>
    <t>А-10061/КЭ.Транш - 1</t>
  </si>
  <si>
    <t>ИП Акулич Александр Сергеевич</t>
  </si>
  <si>
    <t>Т-01646/АЗ_В-21082023/Ц</t>
  </si>
  <si>
    <t>Ковбасенко Александр Анатольевич</t>
  </si>
  <si>
    <t>А-04236/АЗ</t>
  </si>
  <si>
    <t>Рафиев Агалар Сейдага-оглы</t>
  </si>
  <si>
    <t>А-00292/КЭ.Транш - 1</t>
  </si>
  <si>
    <t>ИП Аристакесян Анна Николаевна</t>
  </si>
  <si>
    <t>А-00305/КЭ.Транш - 1</t>
  </si>
  <si>
    <t>ИП Сбитнева Нелли Игоревна</t>
  </si>
  <si>
    <t>А-00314/КЭ.Транш - 1</t>
  </si>
  <si>
    <t>ИП Мамедов Эльдар Эльдарович</t>
  </si>
  <si>
    <t>А-05195/АЗ</t>
  </si>
  <si>
    <t>Строчкин Сергей Иванович</t>
  </si>
  <si>
    <t>А-05208/АЗ</t>
  </si>
  <si>
    <t>Иджян Соломон Сергеевич</t>
  </si>
  <si>
    <t>Т-01642/АЗ_В-21082023/Ц</t>
  </si>
  <si>
    <t>Алексеев Юрий Сергеевич</t>
  </si>
  <si>
    <t>А-04352/АЗ</t>
  </si>
  <si>
    <t>Матиев Шодмон Эргашевич</t>
  </si>
  <si>
    <t>А-04668/АЗ_В-21082023/Ц</t>
  </si>
  <si>
    <t>А-05130/АЗ</t>
  </si>
  <si>
    <t>Михалевский Александр Михайлович</t>
  </si>
  <si>
    <t>А-05138/АЗ</t>
  </si>
  <si>
    <t>Базаров Бахтиёр Асрорович</t>
  </si>
  <si>
    <t>Т-01754/АЗ_20190723/Ц</t>
  </si>
  <si>
    <t>А-10070/КЭ.Транш - 1</t>
  </si>
  <si>
    <t>К12 ООО</t>
  </si>
  <si>
    <t>В-00065/АЗ_В-21082023/Ц</t>
  </si>
  <si>
    <t>Горохов Сергей Владимирович 2</t>
  </si>
  <si>
    <t>В-00151/АЗ_В-20211230/Ц</t>
  </si>
  <si>
    <t>Трифонов Николай Валентинович</t>
  </si>
  <si>
    <t>В-00161/АЗ_В-21082023/Ц</t>
  </si>
  <si>
    <t>Гулиев Адиль Джангирович</t>
  </si>
  <si>
    <t>А-04742/АЗ</t>
  </si>
  <si>
    <t>Добрица Любовь Анатольевна</t>
  </si>
  <si>
    <t>А-04684/АЗ</t>
  </si>
  <si>
    <t>В-00041/АЗ_В-21082023/Ц</t>
  </si>
  <si>
    <t>Герюгов Расул Азнаурович</t>
  </si>
  <si>
    <t>А-04593/АЗ</t>
  </si>
  <si>
    <t>Шахбазян Овсеп Сурикович</t>
  </si>
  <si>
    <t>А-05335/АЗ_Т-20211028/Ц</t>
  </si>
  <si>
    <t>Четверикова Ирина Алексеевна</t>
  </si>
  <si>
    <t>В-00243/АЗ_Т-20211028/Ц</t>
  </si>
  <si>
    <t>А-10087/КЭ.Транш - 1</t>
  </si>
  <si>
    <t>ИП Быданов Кирилл Владимирович</t>
  </si>
  <si>
    <t>Т-01758/АЗ_В-21082023/Ц</t>
  </si>
  <si>
    <t>А-05346/АЗ_Т-20211028/Ц</t>
  </si>
  <si>
    <t>Баханцов Семен Владимирович</t>
  </si>
  <si>
    <t>В-00313/АЗ_Т-20211028/Ц</t>
  </si>
  <si>
    <t>Т-01805/АЗ_Т-20211028/Ц</t>
  </si>
  <si>
    <t>А-04404/АЗ</t>
  </si>
  <si>
    <t>Головатинский Лев Витальевич</t>
  </si>
  <si>
    <t>А-00379/КЭ.Транш - 2</t>
  </si>
  <si>
    <t>ВВТ-строй ООО</t>
  </si>
  <si>
    <t>А-05087/АЗ</t>
  </si>
  <si>
    <t>Фролов Павел Викторович</t>
  </si>
  <si>
    <t>А-10032/КЭ.Транш - 1</t>
  </si>
  <si>
    <t>ИП Филатов Андрей Анатольевич</t>
  </si>
  <si>
    <t>В-00467/АЗ_В-20211230/Ц</t>
  </si>
  <si>
    <t>Хасанханов Абдул Юсупович</t>
  </si>
  <si>
    <t>А-00375/КЭ.Транш - 1</t>
  </si>
  <si>
    <t>Креатив дизайн ООО</t>
  </si>
  <si>
    <t>А-10032/КЭ.Транш - 2</t>
  </si>
  <si>
    <t>В-00398/АЗ_В-21082023/Ц</t>
  </si>
  <si>
    <t>Казанцева Альбина Валерьевна</t>
  </si>
  <si>
    <t>А-10052/КЭ.Транш - 1</t>
  </si>
  <si>
    <t>Джи Би Пи ООО</t>
  </si>
  <si>
    <t>А-04401/АЗ</t>
  </si>
  <si>
    <t>Маргарян Эдгар Камоевич</t>
  </si>
  <si>
    <t>А-10039/КЭ.Транш - 1</t>
  </si>
  <si>
    <t>ИП Фараджов Зейнал Алинаги Оглы</t>
  </si>
  <si>
    <t>В-00469/АЗ_В-20211230/Ц</t>
  </si>
  <si>
    <t>Мачкалян Оганнес Саргисович</t>
  </si>
  <si>
    <t>А-05139/АЗ_В-21082023/Ц</t>
  </si>
  <si>
    <t>Гришенков Николай Викторович</t>
  </si>
  <si>
    <t>А-03641/АЗ</t>
  </si>
  <si>
    <t>Дам Вихерс Юлия Владимировна</t>
  </si>
  <si>
    <t>Т-01799/АЗ_В-20211230/Ц</t>
  </si>
  <si>
    <t>Сорокин Александр Вадимович</t>
  </si>
  <si>
    <t>В-00457/АЗ_Т-20211028/Ц</t>
  </si>
  <si>
    <t>Жарков Камиль Орифжонович</t>
  </si>
  <si>
    <t>В-00147/АЗ_Т-20211028/Ц</t>
  </si>
  <si>
    <t>Миронов Александр Александрович</t>
  </si>
  <si>
    <t>В-00232/КЛ.Транш - 1_Т-20211028/Ц</t>
  </si>
  <si>
    <t>Островский Кирилл Эдуардович</t>
  </si>
  <si>
    <t>В-00271/АЗ_Т-20211028/Ц</t>
  </si>
  <si>
    <t>Снегирёв Сергей Викторович</t>
  </si>
  <si>
    <t>А-05308/АЗ_В-20211230/Ц</t>
  </si>
  <si>
    <t>Конокотин Леонид Викторович</t>
  </si>
  <si>
    <t>А-10090/КЭ.Транш - 2</t>
  </si>
  <si>
    <t>СЕВЕРНЫЙ ФЛОТ ООО</t>
  </si>
  <si>
    <t>А-05349/АЗ_В-20211230/Ц</t>
  </si>
  <si>
    <t>Осетров Олег Андреевич</t>
  </si>
  <si>
    <t>В-00103/КЛ.Транш - 1_В-20211230/Ц</t>
  </si>
  <si>
    <t>Кучевский Сергей Геннадьевич</t>
  </si>
  <si>
    <t>В-00428/АЗ_В-21082023/Ц</t>
  </si>
  <si>
    <t>Алимирзаев Мурад Нурмагомедович</t>
  </si>
  <si>
    <t>В-00763/КЛ.Транш - 1_В-21082023/Ц</t>
  </si>
  <si>
    <t>Харламов Артем Сергеевич</t>
  </si>
  <si>
    <t>А-30002/КЭ.Транш - 1</t>
  </si>
  <si>
    <t>ИП Клименченко Ирина Анатольевна</t>
  </si>
  <si>
    <t>В-00622/АЗ_Т-20211028/Ц</t>
  </si>
  <si>
    <t>Манукян Вардан Эмильевич</t>
  </si>
  <si>
    <t>В-01023/КЛ.Транш - 1_В-21082023/Ц</t>
  </si>
  <si>
    <t>Муллоев Хошимчон Пулотович</t>
  </si>
  <si>
    <t>В-00395/АЗ_В-20211230/Ц</t>
  </si>
  <si>
    <t>Сарибаева Эльнара Исмаиловна</t>
  </si>
  <si>
    <t>В-00638/АЗ_В-21082023/Ц</t>
  </si>
  <si>
    <t>Сапрыкин Сергей Владимирович</t>
  </si>
  <si>
    <t>А-00410/КЭ.Транш - 1</t>
  </si>
  <si>
    <t>Союзметиз ООО</t>
  </si>
  <si>
    <t>В-01371/КЛ.Транш - 1_В-21082023/Ц</t>
  </si>
  <si>
    <t>Щербаков Сергей Валерьевич</t>
  </si>
  <si>
    <t>В-00038/АЗ_В-21082023/Ц</t>
  </si>
  <si>
    <t>Ананчев Ефим Иванович</t>
  </si>
  <si>
    <t>А-00357/КЭ.Транш - 1</t>
  </si>
  <si>
    <t>ИП Чермошенцева Галина Сергеевна</t>
  </si>
  <si>
    <t>А-00389/КЭ.Транш - 2</t>
  </si>
  <si>
    <t>ИП Грозин Андрей Викторович</t>
  </si>
  <si>
    <t>В-00948/КЛ.Транш - 1_В-21082023/Ц</t>
  </si>
  <si>
    <t>Беляев Алексей Васильевич</t>
  </si>
  <si>
    <t>В-00986/КЛ.Транш - 1_В-21082023/Ц</t>
  </si>
  <si>
    <t>Захаров Евгений Николаевич 2</t>
  </si>
  <si>
    <t>А-05231/АЗ</t>
  </si>
  <si>
    <t>Самохин Алексей Владимирович</t>
  </si>
  <si>
    <t>А-05305/АЗ_В-21082023/Ц</t>
  </si>
  <si>
    <t>Ермишин Сергей Михайлович</t>
  </si>
  <si>
    <t>В-00085/АЗ_В-21082023/Ц</t>
  </si>
  <si>
    <t>А-00281/КЭ.Транш - 3</t>
  </si>
  <si>
    <t>В-00175/АЗ_Т-20211028/Ц</t>
  </si>
  <si>
    <t>Лысяк Яна Вадимовна</t>
  </si>
  <si>
    <t>В-00477/АЗ_В-21082023/Ц</t>
  </si>
  <si>
    <t>Каверин Владимир Геннадьевич</t>
  </si>
  <si>
    <t>А-04119/АЗ</t>
  </si>
  <si>
    <t>Данилин Дмитрий Павлович</t>
  </si>
  <si>
    <t>В-01175/КЛ.Транш - 1_В-20211230/Ц</t>
  </si>
  <si>
    <t>Васильева Екатерина Николаевна</t>
  </si>
  <si>
    <t>В-00660/АЗ_В-20211230/Ц</t>
  </si>
  <si>
    <t>Казеев Радмир Рамирович</t>
  </si>
  <si>
    <t>В-00598/АЗ_В-20211230/Ц</t>
  </si>
  <si>
    <t>Недялков Алексей Иванович</t>
  </si>
  <si>
    <t>А-04223/АЗ</t>
  </si>
  <si>
    <t>Желядинов Рустам Максутович</t>
  </si>
  <si>
    <t>В-02110/КЛ.Транш - 1_В-21082023/Ц</t>
  </si>
  <si>
    <t>Саликов Альберт Якубович</t>
  </si>
  <si>
    <t>В-00046/АЗ_В-21082023/Ц</t>
  </si>
  <si>
    <t>Аванесян Виген Эмикович</t>
  </si>
  <si>
    <t>А-00049/БЭ</t>
  </si>
  <si>
    <t>Потороченков Игорь Сергеевич</t>
  </si>
  <si>
    <t>В-00678/КЛ.Транш - 1_В-21082023/Ц</t>
  </si>
  <si>
    <t>Заргаров Насиб Зияддин Оглы</t>
  </si>
  <si>
    <t>А-10081/КЭ.Транш - 4</t>
  </si>
  <si>
    <t>"Хорошо" ООО</t>
  </si>
  <si>
    <t>В-00823/АЗ_В-21082023/Ц</t>
  </si>
  <si>
    <t>Иванец Дмитрий Андреевич</t>
  </si>
  <si>
    <t>В-00249/АЗ_В-21082023/Ц</t>
  </si>
  <si>
    <t>Хотенова Елена Витальевна</t>
  </si>
  <si>
    <t>В-00837/АЗ_В-21082023/Ц</t>
  </si>
  <si>
    <t>Гребнев Юрий Александрович</t>
  </si>
  <si>
    <t>В-00838/АЗ_В-21082023/Ц</t>
  </si>
  <si>
    <t>А-05421/АЗ_В-21082023/Ц</t>
  </si>
  <si>
    <t>Дарвичева Татьяна Викторовна</t>
  </si>
  <si>
    <t>В-00538/АЗ</t>
  </si>
  <si>
    <t>Алексанян Карине Размиковна</t>
  </si>
  <si>
    <t>В-00702/АЗ_В-21082023/Ц</t>
  </si>
  <si>
    <t>Т-01843/АЗ_В-21082023/Ц</t>
  </si>
  <si>
    <t>А-00433/КЭ.Транш - 1</t>
  </si>
  <si>
    <t>НОВАЯ СПАРТА ООО</t>
  </si>
  <si>
    <t>А-04614/АЗ</t>
  </si>
  <si>
    <t>Павлова Светлана Юрьевна</t>
  </si>
  <si>
    <t>А-00435/КЭ.Транш - 1</t>
  </si>
  <si>
    <t>ИП Удалов Игорь Игоревич</t>
  </si>
  <si>
    <t>А-10102/КЭ.Транш - 1</t>
  </si>
  <si>
    <t>ИП Трескунова Ольга Евгеньевна</t>
  </si>
  <si>
    <t>В-00865/АЗ_В-21082023/Ц</t>
  </si>
  <si>
    <t>Чокуев Жаркынбек Калыбекович</t>
  </si>
  <si>
    <t>А-10089/КЭ.Транш - 1</t>
  </si>
  <si>
    <t>РСК ЭКСПЕРТ ООО</t>
  </si>
  <si>
    <t>В-00690/АЗ_В-20211230/Ц</t>
  </si>
  <si>
    <t>Садкеев Игорь Евгеньевич</t>
  </si>
  <si>
    <t>В-00693/АЗ_В-21082023/Ц</t>
  </si>
  <si>
    <t>Григоренко Андрей Николаевич</t>
  </si>
  <si>
    <t>В-00766/АЗ_В-21082023/Ц</t>
  </si>
  <si>
    <t>Макаров Алексей Александрович1</t>
  </si>
  <si>
    <t>А-05291/АЗ</t>
  </si>
  <si>
    <t>Шодиев Хуснуддин Сулоймонкулович</t>
  </si>
  <si>
    <t>В-00832/АЗ_В-20211230/Ц</t>
  </si>
  <si>
    <t>Зияев Азиз Джамшедович</t>
  </si>
  <si>
    <t>В-00833/АЗ_В-20211230/Ц</t>
  </si>
  <si>
    <t>В-00835/АЗ_В-20211230/Ц</t>
  </si>
  <si>
    <t>В-03413/КЛ.Транш - 1_В-21082023/Ц</t>
  </si>
  <si>
    <t>Тюменцев Максим Сергеевич</t>
  </si>
  <si>
    <t>В-03686/КЛ.Транш - 1_В-20211230/Ц</t>
  </si>
  <si>
    <t>Григорян Артур Амраги</t>
  </si>
  <si>
    <t>А-10045/КЭ.Транш - 2</t>
  </si>
  <si>
    <t>ИП Аббасов Амин Тофиг Оглы</t>
  </si>
  <si>
    <t>А-30005/КЭ.Транш - 1</t>
  </si>
  <si>
    <t>ИП Пивкин Константин Леонидович</t>
  </si>
  <si>
    <t>В-01345/КЛ.Транш - 1_В-20211230/Ц</t>
  </si>
  <si>
    <t>Циркунова Юлия Владимировна</t>
  </si>
  <si>
    <t>А-10026/БЭ</t>
  </si>
  <si>
    <t>Кузнецова Елена Витальевна</t>
  </si>
  <si>
    <t>В-03758/КЛ.Транш - 1_В-21082023/Ц</t>
  </si>
  <si>
    <t>Коржев Александр Сергеевич</t>
  </si>
  <si>
    <t>В-02500/КЛ.Транш - 1_В-21082023/Ц</t>
  </si>
  <si>
    <t>Четырина Марина Юрьевна</t>
  </si>
  <si>
    <t>В-00272/АЗ_В-20211230/Ц</t>
  </si>
  <si>
    <t>Додохова Анна Николаевна</t>
  </si>
  <si>
    <t>А-04751/АЗ</t>
  </si>
  <si>
    <t>Зенин Александр Петрович</t>
  </si>
  <si>
    <t>В-03414/КЛ.Транш - 1_В-21082023/Ц</t>
  </si>
  <si>
    <t>Никоноров Александр Владимирович</t>
  </si>
  <si>
    <t>В-00291/АЗ_В-21082023/Ц</t>
  </si>
  <si>
    <t>Семочкин Владимир Владимирович</t>
  </si>
  <si>
    <t>В-00726/АЗ_В-21082023/Ц</t>
  </si>
  <si>
    <t>В-04159/КЛ.Транш - 1_В-20211230/Ц</t>
  </si>
  <si>
    <t>Ерошкин Роман Сергеевич</t>
  </si>
  <si>
    <t>А-00389/КЭ.Транш - 1</t>
  </si>
  <si>
    <t>В-03543/КЛ.Транш - 1_В-21082023/Ц</t>
  </si>
  <si>
    <t>Юнусов Акмалдин Акрамович</t>
  </si>
  <si>
    <t>В-00610/АЗ_В-21082023/Ц</t>
  </si>
  <si>
    <t>Ожован Андриан Васильевич</t>
  </si>
  <si>
    <t>В-03738/КЛ.Транш - 1_В-21082023/Ц</t>
  </si>
  <si>
    <t>Савельев Григорий Алексеевич</t>
  </si>
  <si>
    <t>А-00366/КЭ.Транш - 3</t>
  </si>
  <si>
    <t>Строй-Универсал ООО</t>
  </si>
  <si>
    <t>В-00847/АЗ_В-21082023/Ц</t>
  </si>
  <si>
    <t>А-00267/КЭ.Транш - 2</t>
  </si>
  <si>
    <t>ГК АкоЛет ООО</t>
  </si>
  <si>
    <t>А-04639/АЗ</t>
  </si>
  <si>
    <t>Ерохов Андрей Вячеславович</t>
  </si>
  <si>
    <t>А-00386/КЭ.Транш - 1</t>
  </si>
  <si>
    <t>А-00327/КЭ.Транш - 1</t>
  </si>
  <si>
    <t>ИП Чеботарь Анжелика Сергеевна</t>
  </si>
  <si>
    <t>А-04412/АЗ</t>
  </si>
  <si>
    <t>Мусаев Рустам Камилжонович</t>
  </si>
  <si>
    <t>А-04793/АЗ</t>
  </si>
  <si>
    <t>Богомилов Михаил Михайлович</t>
  </si>
  <si>
    <t>В-01319/КЛ.Транш - 1_В-21082023/Ц</t>
  </si>
  <si>
    <t>Солодов Михаил Александрович</t>
  </si>
  <si>
    <t>В-00836/АЗ_В-20211230/Ц</t>
  </si>
  <si>
    <t>А-00051/БЭ</t>
  </si>
  <si>
    <t>Камшилина Татьяна Ивановна</t>
  </si>
  <si>
    <t>В-03672/КЛ.Транш - 1_В-20211230/Ц</t>
  </si>
  <si>
    <t>Павлов Денис Витальевич</t>
  </si>
  <si>
    <t>Т-00030/БЭ_Т-20211028/Ц</t>
  </si>
  <si>
    <t>В-00840/АЗ_В-21082023/Ц</t>
  </si>
  <si>
    <t>Батурин Василий Михайлович</t>
  </si>
  <si>
    <t>В-00557/АЗ_В-21082023/Ц</t>
  </si>
  <si>
    <t>Москалев Ярослав Вячеславович</t>
  </si>
  <si>
    <t>В-00614/АЗ_В-21082023/Ц</t>
  </si>
  <si>
    <t>Барчукова Марина Алексеевна</t>
  </si>
  <si>
    <t>В-01035/КЛ.Транш - 1_В-20211230/Ц</t>
  </si>
  <si>
    <t>Азоев Стаматис Рудикович</t>
  </si>
  <si>
    <t>В-01642/КЛ.Транш - 1_В-21082023/Ц</t>
  </si>
  <si>
    <t>Юрченко Дмитрий Валерьевич</t>
  </si>
  <si>
    <t>В-00858/АЗ_В-21082023/Ц</t>
  </si>
  <si>
    <t>Груничев Александр Леонидович</t>
  </si>
  <si>
    <t>В-03114/КЛ.Транш - 1_В-20211230/Ц</t>
  </si>
  <si>
    <t>Некрасов Алексей Сергеевич</t>
  </si>
  <si>
    <t>В-15085/КЛ.Транш - 1_В-21082023/Ц</t>
  </si>
  <si>
    <t>Лещев Андрей Николаевич</t>
  </si>
  <si>
    <t>А-10092/КЭ.Транш - 2</t>
  </si>
  <si>
    <t>ИП Ячменёва Ольга Сергеевна</t>
  </si>
  <si>
    <t>В-00256/КЛ.Транш - 2_В-20211230/Ц</t>
  </si>
  <si>
    <t>Теслюк Игорь Анатольевич</t>
  </si>
  <si>
    <t>В-01422/КЛ.Транш - 1_В-20211230/Ц</t>
  </si>
  <si>
    <t>Рыченков Александр Николаевич</t>
  </si>
  <si>
    <t>В-00478/КЛ.Транш - 1_В-21082023/Ц</t>
  </si>
  <si>
    <t>Солохин Александр Игоревич</t>
  </si>
  <si>
    <t>В-00608/АЗ_В-21082023/Ц</t>
  </si>
  <si>
    <t>Серов Лев Николаевич</t>
  </si>
  <si>
    <t>В-13104/КЛ.Транш - 1_В-20211230/Ц</t>
  </si>
  <si>
    <t>Мачнева Галина Петровна</t>
  </si>
  <si>
    <t>В-00478/КЛ.Транш - 2_В-21082023/Ц</t>
  </si>
  <si>
    <t>Т-01722/АЗ_Т-20211028/Ц</t>
  </si>
  <si>
    <t>Рогозин Андрей Иванович</t>
  </si>
  <si>
    <t>В-01072/КЛ.Транш - 1_В-21082023/Ц</t>
  </si>
  <si>
    <t>Головина Екатерина Давидовна</t>
  </si>
  <si>
    <t>В-01092/КЛ.Транш - 1_В-21082023/Ц</t>
  </si>
  <si>
    <t>Келехсаев Эдуард Павлович</t>
  </si>
  <si>
    <t>А-10098/КЭ.Транш - 1</t>
  </si>
  <si>
    <t>ЭНЕРГИЯ ООО</t>
  </si>
  <si>
    <t>А-10092/КЭ.Транш - 3</t>
  </si>
  <si>
    <t>А-10099/КЭ.Транш - 1</t>
  </si>
  <si>
    <t>Т-00001/КЭ_Т-20211028/Ц</t>
  </si>
  <si>
    <t>ИП Кругляк Наталья Анатольевна</t>
  </si>
  <si>
    <t>В-03846/КЛ.Транш - 1_В-21082023/Ц</t>
  </si>
  <si>
    <t>Корниенко Андрей Юрьевич</t>
  </si>
  <si>
    <t>В-02644/КЛ.Транш - 1_В-20211230/Ц</t>
  </si>
  <si>
    <t>Быстров Михаил Владимирович</t>
  </si>
  <si>
    <t>А-00328/КЭ.Транш - 1</t>
  </si>
  <si>
    <t>АЛЬЯНС НЕДВИЖИМОСТИ ООО</t>
  </si>
  <si>
    <t>А-05332/АЗ_В-21082023/Ц</t>
  </si>
  <si>
    <t>Косинова Мария Евгеньевна</t>
  </si>
  <si>
    <t>А-04328/АЗ</t>
  </si>
  <si>
    <t>В-00449/КЛ.Транш - 1_В-20211230/Ц</t>
  </si>
  <si>
    <t>Секриеру Вячеслав Андреевич</t>
  </si>
  <si>
    <t>А-10099/КЭ.Транш - 2</t>
  </si>
  <si>
    <t>В-03846/КЛ.Транш - 2_В-21082023/Ц</t>
  </si>
  <si>
    <t>В-00088/АЗ_В-20211230/Ц</t>
  </si>
  <si>
    <t>Юзбашян Ходедан Зограбович</t>
  </si>
  <si>
    <t>В-00256/КЛ.Транш - 1_В-20211230/Ц</t>
  </si>
  <si>
    <t>А-00332/КЭ.Транш - 1</t>
  </si>
  <si>
    <t>ИП Харин Евгений Александрович</t>
  </si>
  <si>
    <t>В-00051/КЛ.Транш - 2_В-21082023/Ц</t>
  </si>
  <si>
    <t>Саркисян Геворк Александрович</t>
  </si>
  <si>
    <t>В-00932/АЗ_В-21082023/Ц</t>
  </si>
  <si>
    <t>В-02402/КЛ.Транш - 1_В-21082023/Ц</t>
  </si>
  <si>
    <t>Кривотулов Дмитрий Александрович</t>
  </si>
  <si>
    <t>В-07706/КЛ.Транш - 1_В-21082023/Ц</t>
  </si>
  <si>
    <t>Краснов Николай Викторович</t>
  </si>
  <si>
    <t>А-04955/АЗ</t>
  </si>
  <si>
    <t>Зуева Светлана Григорьевна</t>
  </si>
  <si>
    <t>В-00982/АЗ_В-21082023/Ц</t>
  </si>
  <si>
    <t>Черников Сергей Сергеевич</t>
  </si>
  <si>
    <t>В-07328/КЛ.Транш - 1_В-21082023/Ц</t>
  </si>
  <si>
    <t>Корнач Антон Владимирович</t>
  </si>
  <si>
    <t>В-03631/КЛ.Транш - 1_В-21082023/Ц</t>
  </si>
  <si>
    <t>Чернышова Татьяна Николаевна</t>
  </si>
  <si>
    <t>В-00051/КЛ.Транш - 1_В-21082023/Ц</t>
  </si>
  <si>
    <t>В-03206/КЛ.Транш - 1_В-21082023/Ц</t>
  </si>
  <si>
    <t>Самойлов Дмитрий Анатольевич</t>
  </si>
  <si>
    <t>В-01388/КЛ.Транш - 2_В-21082023/Ц</t>
  </si>
  <si>
    <t>Одинцова Ирина Вячеславовна</t>
  </si>
  <si>
    <t>А-10100/КЭ.Транш - 3</t>
  </si>
  <si>
    <t>ИП Антонов Павел Владимирович</t>
  </si>
  <si>
    <t>В-01388/КЛ.Транш - 1_В-21082023/Ц</t>
  </si>
  <si>
    <t>В-07328/КЛ.Транш - 2_В-21082023/Ц</t>
  </si>
  <si>
    <t>В-00003/КЭ.Транш - 1_А-20210929/Ц</t>
  </si>
  <si>
    <t>СЕЙЛМЕД ООО</t>
  </si>
  <si>
    <t>А-00395/КЭ.Транш - 3</t>
  </si>
  <si>
    <t>ЛАВиК ООО</t>
  </si>
  <si>
    <t>В-01509/КЛ.Транш - 1_В-21082023/Ц</t>
  </si>
  <si>
    <t>Орехова Екатерина Юрьевна</t>
  </si>
  <si>
    <t>В-09250/КЛ.Транш - 1_В-20211230/Ц</t>
  </si>
  <si>
    <t>Калашников Алексей Владимирович</t>
  </si>
  <si>
    <t>А-10100/КЭ.Транш - 2</t>
  </si>
  <si>
    <t>В-09625/КЛ.Транш - 1_В-21082023/Ц</t>
  </si>
  <si>
    <t>Аблязизов Эдем Рустемович</t>
  </si>
  <si>
    <t>В-03473/КЛ.Транш - 1_В-21082023/Ц</t>
  </si>
  <si>
    <t>Калошин Павел Сергеевич</t>
  </si>
  <si>
    <t>А-00395/КЭ.Транш - 2</t>
  </si>
  <si>
    <t>В-00540/КЛ.Транш - 1_В-21082023/Ц</t>
  </si>
  <si>
    <t>Ефремов Николай Михайлович</t>
  </si>
  <si>
    <t>А-00418/КЭ.Транш - 1</t>
  </si>
  <si>
    <t>ИП Пулянина Вероника Александровна</t>
  </si>
  <si>
    <t>В-09037/КЛ.Транш - 1_В-21082023/Ц</t>
  </si>
  <si>
    <t>Волегов Николай Владиславович</t>
  </si>
  <si>
    <t>А-00404/КЭ.Транш - 1</t>
  </si>
  <si>
    <t>ИП Силютина Анна Геннадьевна</t>
  </si>
  <si>
    <t>А-00466/КЭ.Транш - 1</t>
  </si>
  <si>
    <t>МАРО АРТ ГРУПП ООО</t>
  </si>
  <si>
    <t>А-10113/КЭ.Транш - 1</t>
  </si>
  <si>
    <t>КАНЦПРОФ СПБ ООО</t>
  </si>
  <si>
    <t>А-00425/КЭ.Транш - 1</t>
  </si>
  <si>
    <t>ПЕРЕЕЗД СЕРВИС ООО</t>
  </si>
  <si>
    <t>В-08416/КЛ.Транш - 1_В-21082023/Ц</t>
  </si>
  <si>
    <t>Абраменко Александр Владимирович</t>
  </si>
  <si>
    <t>В-05187/КЛ.Транш - 1_В-21082023/Ц</t>
  </si>
  <si>
    <t>Посвенчук Владислав Андреевич</t>
  </si>
  <si>
    <t>Т-01897/АЗ_Т-20211028/Ц</t>
  </si>
  <si>
    <t>Никитенко Роман Владимирович</t>
  </si>
  <si>
    <t>В-00839/КЛ.Транш - 1_В-20211230/Ц</t>
  </si>
  <si>
    <t>Никитина Анастасия Витальевна</t>
  </si>
  <si>
    <t>А-04839/АЗ_В-21082023/Ц</t>
  </si>
  <si>
    <t>Агафонов Алексей Юрьевич</t>
  </si>
  <si>
    <t>А-10092/КЭ.Транш - 1</t>
  </si>
  <si>
    <t>В-06852/КЛ.Транш - 1_В-21082023/Ц</t>
  </si>
  <si>
    <t>Рязанцев Дмитрий Тимурович</t>
  </si>
  <si>
    <t>В-06852/КЛ.Транш - 3_В-21082023/Ц</t>
  </si>
  <si>
    <t>В-08251/КЛ.Транш - 1_В-21082023/Ц</t>
  </si>
  <si>
    <t>Абдуллин Игорь Эдуардович</t>
  </si>
  <si>
    <t>В-09421/КЛ.Транш - 1_А-20210929/Ц</t>
  </si>
  <si>
    <t>Оверченко Виктория Владимировна</t>
  </si>
  <si>
    <t>Т-10003/КЭ_Т-20211028/Ц</t>
  </si>
  <si>
    <t>"ВИВАР" ООО</t>
  </si>
  <si>
    <t>В-06852/КЛ.Транш - 2_В-21082023/Ц</t>
  </si>
  <si>
    <t>В-03811/КЛ.Транш - 1_В-20211230/Ц</t>
  </si>
  <si>
    <t>Новиков Егор Викторович</t>
  </si>
  <si>
    <t>В-02376/КЛ.Транш - 1_В-21082023/Ц</t>
  </si>
  <si>
    <t>Харитонов Александр Васильевич</t>
  </si>
  <si>
    <t>В-11882/КЛ.Транш - 1_В-21082023/Ц</t>
  </si>
  <si>
    <t>Курмаев Виталий Юрьевич</t>
  </si>
  <si>
    <t>В-00009/АЗ</t>
  </si>
  <si>
    <t>Городенок Дмитрий Петрович</t>
  </si>
  <si>
    <t>В-02902/КЛ.Транш - 1_В-20211230/Ц</t>
  </si>
  <si>
    <t>Соколов Игорь Васильевич</t>
  </si>
  <si>
    <t>В-12042/КЛ.Транш - 1_В-21082023/Ц</t>
  </si>
  <si>
    <t>Ергашев Мухаммаджон Абдувалиевич</t>
  </si>
  <si>
    <t>В-12167/КЛ.Транш - 1_А-20210929/Ц</t>
  </si>
  <si>
    <t>Мусаелян Вилен Карленович</t>
  </si>
  <si>
    <t>В-08942/КЛ.Транш - 1_В-21082023/Ц</t>
  </si>
  <si>
    <t>Зеленков Алексей Владимирович</t>
  </si>
  <si>
    <t>В-10010/КЭ.Транш - 1_А-20210929/Ц</t>
  </si>
  <si>
    <t>ФОРМУЛА КОМФОРТА ООО</t>
  </si>
  <si>
    <t>В-11882/КЛ.Транш - 2_В-21082023/Ц</t>
  </si>
  <si>
    <t>В-11882/КЛ.Транш - 3_В-21082023/Ц</t>
  </si>
  <si>
    <t>В-10492/КЛ.Транш - 1_В-21082023/Ц</t>
  </si>
  <si>
    <t>Евсеев Сергей Анатольевич</t>
  </si>
  <si>
    <t>В-06186/КЛ.Транш - 2_А-20210929/Ц</t>
  </si>
  <si>
    <t>Станкеев Сергей Николаевич</t>
  </si>
  <si>
    <t>В-11280/КЛ.Транш - 1_В-21082023/Ц</t>
  </si>
  <si>
    <t>Шушарин Артем Владимирович</t>
  </si>
  <si>
    <t>Т-01675/АЗ_В-21082023/Ц</t>
  </si>
  <si>
    <t>В-05401/КЛ.Транш - 1_В-21082023/Ц</t>
  </si>
  <si>
    <t>Ханукаев Михаил Гавриилович</t>
  </si>
  <si>
    <t>А-10096/КЭ.Транш - 1</t>
  </si>
  <si>
    <t>НОРДИНВЕСТ ООО</t>
  </si>
  <si>
    <t>В-12163/КЛ.Транш - 1_В-21082023/Ц</t>
  </si>
  <si>
    <t>Куксова Елена Юрьевна</t>
  </si>
  <si>
    <t>В-05135/КЛ.Транш - 1_В-21082023/Ц</t>
  </si>
  <si>
    <t>Еремян Артур Корюнович</t>
  </si>
  <si>
    <t>В-11085/КЛ.Транш - 1</t>
  </si>
  <si>
    <t>Алешин Эдуард Александрович</t>
  </si>
  <si>
    <t>Т-01867/АЗ_Т-20211028/Ц</t>
  </si>
  <si>
    <t>Гальчук Илья Анатольевич</t>
  </si>
  <si>
    <t>В-12016/КЛ.Транш - 4_В-20211230/Ц</t>
  </si>
  <si>
    <t>Исаков Магомед Владимирович</t>
  </si>
  <si>
    <t>В-12163/КЛ.Транш - 2_В-21082023/Ц</t>
  </si>
  <si>
    <t>Т-00004/КЭ_Т-20211028/Ц</t>
  </si>
  <si>
    <t>ИП Бойко Василий Анатольевич</t>
  </si>
  <si>
    <t>В-08822/КЛ.Транш - 1_В-21082023/Ц</t>
  </si>
  <si>
    <t>Потёмкина Юлия Сергеевна</t>
  </si>
  <si>
    <t>В-13886/КЛ.Транш - 1_В-21082023/Ц</t>
  </si>
  <si>
    <t>Волков Василий Валерьевич</t>
  </si>
  <si>
    <t>В-03197/КЛ.Транш - 2_В-21082023/Ц</t>
  </si>
  <si>
    <t>Павлюченко Михаил Михайлович</t>
  </si>
  <si>
    <t>В-13025/КЛ.Транш - 1_А-20210929/Ц</t>
  </si>
  <si>
    <t>Тюмин Валерий Александрович</t>
  </si>
  <si>
    <t>В-00508/АЗ_В-21082023/Ц</t>
  </si>
  <si>
    <t>Мошкин Андрей Викторович</t>
  </si>
  <si>
    <t>В-06186/КЛ.Транш - 1_А-20210929/Ц</t>
  </si>
  <si>
    <t>В-12016/КЛ.Транш - 2_В-20211230/Ц</t>
  </si>
  <si>
    <t>В-00687/АЗ_В-21082023/Ц</t>
  </si>
  <si>
    <t>Калантарян Артур Вазгени</t>
  </si>
  <si>
    <t>В-12016/КЛ.Транш - 3_В-20211230/Ц</t>
  </si>
  <si>
    <t>В-00547/АЗ_В-21082023/Ц</t>
  </si>
  <si>
    <t>Струнгарь Григорий Васильевич</t>
  </si>
  <si>
    <t>А-30003/КЭ.Транш - 1</t>
  </si>
  <si>
    <t>ТЕХНИКА ЮГА ООО</t>
  </si>
  <si>
    <t>В-12741/КЛ.Транш - 1_В-21082023/Ц</t>
  </si>
  <si>
    <t>Фролов Сергей Владимирович</t>
  </si>
  <si>
    <t>В-09290/КЛ.Транш - 1_В-21082023/Ц</t>
  </si>
  <si>
    <t>Корносенков Евгений Алексеевич</t>
  </si>
  <si>
    <t>В-13625/КЛ.Транш - 1_В-21082023/Ц</t>
  </si>
  <si>
    <t>Саакян Рафик Самвелович</t>
  </si>
  <si>
    <t>Т-00002/КЭ_Т-20211028/Ц</t>
  </si>
  <si>
    <t>ИП Клякин Станислав Анатольевич</t>
  </si>
  <si>
    <t>В-01099/АЗ_В-21082023/Ц</t>
  </si>
  <si>
    <t>В-13177/КЛ.Транш - 1_А-20210929/Ц</t>
  </si>
  <si>
    <t>Гараев Ровшан Гасымович</t>
  </si>
  <si>
    <t>В-11307/КЛ.Транш - 1_В-21082023/Ц</t>
  </si>
  <si>
    <t>Никифоров Александр Андреевич</t>
  </si>
  <si>
    <t>В-30003/КЭ.Транш - 1_В-21082023/Ц</t>
  </si>
  <si>
    <t>ИП Вертейко Алексей Михайлович</t>
  </si>
  <si>
    <t>В-00359/КЛ.Транш - 2_В-20211230/Ц</t>
  </si>
  <si>
    <t>Голота Илья Викторович</t>
  </si>
  <si>
    <t>В-07544/КЛ.Транш - 1_В-21082023/Ц</t>
  </si>
  <si>
    <t>Долгополов Сергей Юрьевич</t>
  </si>
  <si>
    <t>В-12294/КЛ.Транш - 1_В-20211230/Ц</t>
  </si>
  <si>
    <t>Макаров Алексей Александрович</t>
  </si>
  <si>
    <t>В-03392/КЛ.Транш - 1</t>
  </si>
  <si>
    <t>Громов Сергей Дмитриевич</t>
  </si>
  <si>
    <t>В-13600/КЛ.Транш - 1_В-20211230/Ц</t>
  </si>
  <si>
    <t>Карманов Александр Иванович</t>
  </si>
  <si>
    <t>В-14569/КЛ.Транш - 1_А-20210929/Ц</t>
  </si>
  <si>
    <t>Ануфриенко Сергей Владимирович</t>
  </si>
  <si>
    <t>В-11333/КЛ.Транш - 1_В-20211230/Ц</t>
  </si>
  <si>
    <t>Нургушиев Нуридин Эдильбийевич</t>
  </si>
  <si>
    <t>В-01046/АЗ</t>
  </si>
  <si>
    <t>В-09247/КЛ.Транш - 1_А-20210929/Ц</t>
  </si>
  <si>
    <t>Резников Сергей Владимирович</t>
  </si>
  <si>
    <t>А-00458/КЭ.Транш - 1</t>
  </si>
  <si>
    <t>В-12894/КЛ.Транш - 1_В-20211230/Ц</t>
  </si>
  <si>
    <t>Щеглов Роман Сергеевич</t>
  </si>
  <si>
    <t>В-02690/КЛ.Транш - 1_В-20211230/Ц</t>
  </si>
  <si>
    <t>Никонов Андрей Георгиевич</t>
  </si>
  <si>
    <t>Т-10005/КЭ_Т-20211028/Ц</t>
  </si>
  <si>
    <t>ИП Богданова Лариса Анатольевна</t>
  </si>
  <si>
    <t>В-16441/КЛ.Транш - 1_В-20211230/Ц</t>
  </si>
  <si>
    <t>Тюрин Алексей Викторович</t>
  </si>
  <si>
    <t>А-04357/АЗ</t>
  </si>
  <si>
    <t>Головко Владимир Павлович</t>
  </si>
  <si>
    <t>В-16457/КЛ.Транш - 1_В-20211230/Ц</t>
  </si>
  <si>
    <t>Мирошниченко Евгений Константинович</t>
  </si>
  <si>
    <t>В-09302/КЛ.Транш - 3_В-20211230/Ц</t>
  </si>
  <si>
    <t>Шквыр Виктор Викторович</t>
  </si>
  <si>
    <t>В-16777/КЛ.Транш - 1_В-20211230/Ц</t>
  </si>
  <si>
    <t>Фролов Василий Михайлович</t>
  </si>
  <si>
    <t>В-16873/КЛ.Транш - 1</t>
  </si>
  <si>
    <t>Казанин Игорь Викторович</t>
  </si>
  <si>
    <t>В-09302/КЛ.Транш - 4_В-20211230/Ц</t>
  </si>
  <si>
    <t>В-09302/КЛ.Транш - 2_В-20211230/Ц</t>
  </si>
  <si>
    <t>В-16186/КЛ.Транш - 1_В-21082023/Ц</t>
  </si>
  <si>
    <t>Атцаев Ахмед Шахитович</t>
  </si>
  <si>
    <t>В-17494/КЛ.Транш - 1_В-21082023/Ц</t>
  </si>
  <si>
    <t>Герейханов Фаик Гуснеддинович</t>
  </si>
  <si>
    <t>В-13669/КЛ.Транш - 2_В-20211230/Ц</t>
  </si>
  <si>
    <t>Почапский Антон Вячеславович</t>
  </si>
  <si>
    <t>В-17533/КЛ.Транш - 1_В-20211230/Ц</t>
  </si>
  <si>
    <t>Даниялов Марат Алавутдинович</t>
  </si>
  <si>
    <t>В-10433/КЛ.Транш - 2_В-21082023/Ц</t>
  </si>
  <si>
    <t>Сорокин Константин Витальевич</t>
  </si>
  <si>
    <t>В-00319/КЛ.Транш - 2_В-20211230/Ц</t>
  </si>
  <si>
    <t>Бардин Андрей Юрьевич</t>
  </si>
  <si>
    <t>В-12016/КЛ.Транш - 1_В-20211230/Ц</t>
  </si>
  <si>
    <t>В-07717/КЛ.Транш - 1_В-20211230/Ц</t>
  </si>
  <si>
    <t>Перевалов Артём Владимирович</t>
  </si>
  <si>
    <t>В-13669/КЛ.Транш - 3_В-20211230/Ц</t>
  </si>
  <si>
    <t>В-09302/КЛ.Транш - 5_В-20211230/Ц</t>
  </si>
  <si>
    <t>В-13669/КЛ.Транш - 6_В-20211230/Ц</t>
  </si>
  <si>
    <t>В-14484/КЛ.Транш - 1_В-21082023/Ц</t>
  </si>
  <si>
    <t>Титов Максим Сергеевич</t>
  </si>
  <si>
    <t>В-16915/КЛ.Транш - 1_В-20211230/Ц</t>
  </si>
  <si>
    <t>Ильинский Владимир Юрьевич</t>
  </si>
  <si>
    <t>В-00022/КЭ.Транш - 1_А-20210929/Ц</t>
  </si>
  <si>
    <t>В-00011/КЭ.Транш - 1_А-20210929/Ц</t>
  </si>
  <si>
    <t>ЛИДЕР ГРУПП ООО</t>
  </si>
  <si>
    <t>В-10278/КЛ.Транш - 1_В-21082023/Ц</t>
  </si>
  <si>
    <t>Инджелер Фатих</t>
  </si>
  <si>
    <t>В-18171/КЛ.Транш - 1_В-20211230/Ц</t>
  </si>
  <si>
    <t>Гачегов Дмитрий Сергеевич</t>
  </si>
  <si>
    <t>В-17075/КЛ.Транш - 1_В-20211230/Ц</t>
  </si>
  <si>
    <t>Хашимов Далерджон Темурович</t>
  </si>
  <si>
    <t>В-18216/КЛ.Транш - 1_В-20211230/Ц</t>
  </si>
  <si>
    <t>Иванов Илья Андреевич</t>
  </si>
  <si>
    <t>А-05387/АЗ</t>
  </si>
  <si>
    <t>Кульчак Екатерина Александровна</t>
  </si>
  <si>
    <t>В-10433/КЛ.Транш - 1_В-21082023/Ц</t>
  </si>
  <si>
    <t>В-13669/КЛ.Транш - 4_В-20211230/Ц</t>
  </si>
  <si>
    <t>В-17043/КЛ.Транш - 1_В-20211230/Ц</t>
  </si>
  <si>
    <t>Петров Сергей Анатольевич</t>
  </si>
  <si>
    <t>В-08288/КЛ.Транш - 2_В-21082023/Ц</t>
  </si>
  <si>
    <t>Атаманов Максим Владимирович</t>
  </si>
  <si>
    <t>В-13042/КЛ.Транш - 1_В-20211230/Ц</t>
  </si>
  <si>
    <t>Шумилов Валерий Игоревич</t>
  </si>
  <si>
    <t>А-10118/КЭ.Транш - 1</t>
  </si>
  <si>
    <t>ТРАНСЛОГ ООО</t>
  </si>
  <si>
    <t>В-00239/КЛ.Транш - 1_В-20211230/Ц</t>
  </si>
  <si>
    <t>Морозкина Наталья Сергеевна</t>
  </si>
  <si>
    <t>В-15583/КЛ.Транш - 1_В-21082023/Ц</t>
  </si>
  <si>
    <t>Кокина Татьяна Викторовна</t>
  </si>
  <si>
    <t>В-13070/КЛ.Транш - 3_В-21082023/Ц</t>
  </si>
  <si>
    <t>Деревяга Илья Викторович</t>
  </si>
  <si>
    <t>А-00063/БЭ</t>
  </si>
  <si>
    <t>Иванов Евгений Владимирович</t>
  </si>
  <si>
    <t>В-13669/КЛ.Транш - 5_В-20211230/Ц</t>
  </si>
  <si>
    <t>Т-00038/БЭ_Т-20211028/Ц</t>
  </si>
  <si>
    <t>В-17625/КЛ.Транш - 1_В-20211230/Ц</t>
  </si>
  <si>
    <t>Иванов Борис Александрович</t>
  </si>
  <si>
    <t>В-18791/КЛ.Транш - 1_В-21082023/Ц</t>
  </si>
  <si>
    <t>Агаджанян Самвел Амаякович</t>
  </si>
  <si>
    <t>В-11521/КЛ.Транш - 1_В-21082023/Ц</t>
  </si>
  <si>
    <t>Абдульманова Ангелина Рамилевна</t>
  </si>
  <si>
    <t>В-15465/КЛ.Транш - 1_В-20211230/Ц</t>
  </si>
  <si>
    <t>Бабичев Андрей Юрьевич</t>
  </si>
  <si>
    <t>В-19025/КЛ.Транш - 1_В-20211230/Ц</t>
  </si>
  <si>
    <t>Лялин Анатолий Геннадьевич</t>
  </si>
  <si>
    <t>В-19097/КЛ.Транш - 1_В-20211230/Ц</t>
  </si>
  <si>
    <t>Павликивский Владимир Васильевич</t>
  </si>
  <si>
    <t>В-04293/КЛ.Транш - 1_В-20211230/Ц</t>
  </si>
  <si>
    <t>Манин Сергей Викторович</t>
  </si>
  <si>
    <t>В-01176/АЗ_В-20211230/Ц</t>
  </si>
  <si>
    <t>Маренич Иван Евгеньевич</t>
  </si>
  <si>
    <t>В-13070/КЛ.Транш - 2_В-21082023/Ц</t>
  </si>
  <si>
    <t>В-19329/КЛ.Транш - 1_В-20211230/Ц</t>
  </si>
  <si>
    <t>Сахимова Анна Владимировна</t>
  </si>
  <si>
    <t>А-10122/КЭ.Транш - 1</t>
  </si>
  <si>
    <t>ГАЛАКТИКА ООО</t>
  </si>
  <si>
    <t>В-09890/КЛ.Транш - 1_В-21082023/Ц</t>
  </si>
  <si>
    <t>Климахина Татьяна Сергеевна</t>
  </si>
  <si>
    <t>В-08361/КЛ.Транш - 1_В-20211230/Ц</t>
  </si>
  <si>
    <t>Афонин Николай Юрьевич</t>
  </si>
  <si>
    <t>В-18538/КЛ.Транш - 1_В-20211230/Ц</t>
  </si>
  <si>
    <t>Росляков Артем Владимирович</t>
  </si>
  <si>
    <t>В-19901/КЛ.Транш - 1_В-20211230/Ц</t>
  </si>
  <si>
    <t>Ермилин Виталий Владимирович</t>
  </si>
  <si>
    <t>В-19766/КЛ.Транш - 1_В-20211230/Ц</t>
  </si>
  <si>
    <t>Камышов Игорь Николаевич</t>
  </si>
  <si>
    <t>В-15330/КЛ.Транш - 1_В-20211230/Ц</t>
  </si>
  <si>
    <t>Заргарян Марианна Марленовна</t>
  </si>
  <si>
    <t>В-19846/КЛ.Транш - 1_В-20211230/Ц</t>
  </si>
  <si>
    <t>Камбулина Ирина Юрьевна</t>
  </si>
  <si>
    <t>В-00178/КЛ.Транш - 1_В-21082023/Ц</t>
  </si>
  <si>
    <t>Скопинов Иван Алексеевич</t>
  </si>
  <si>
    <t>В-15448/КЛ.Транш - 1_В-20211230/Ц</t>
  </si>
  <si>
    <t>Ведешин Максим Сергеевич</t>
  </si>
  <si>
    <t>В-13507/КЛ.Транш - 1_В-21082023/Ц</t>
  </si>
  <si>
    <t>Векилянц Екатерина Николаевна</t>
  </si>
  <si>
    <t>В-00612/АЗ_В-21082023/Ц</t>
  </si>
  <si>
    <t>Поддубный Николай Станиславович</t>
  </si>
  <si>
    <t>В-08603/КЛ.Транш - 1_В-21082023/Ц</t>
  </si>
  <si>
    <t>Стародубов Виталий Юрьевич</t>
  </si>
  <si>
    <t>В-12380/КЛ.Транш - 1_В-20211230/Ц</t>
  </si>
  <si>
    <t>Денисенко Руслана Анатольевна</t>
  </si>
  <si>
    <t>В-07717/КЛ.Транш - 5_В-20211230/Ц</t>
  </si>
  <si>
    <t>В-00012/КЭ.Транш - 1_В-20211230/Ц</t>
  </si>
  <si>
    <t>ИП Тен Елена Манкильевна</t>
  </si>
  <si>
    <t>В-00918/АЗ_В-21082023/Ц</t>
  </si>
  <si>
    <t>Чикунов Дмитрий Александрович</t>
  </si>
  <si>
    <t>В-20635/КЛ.Транш - 1_В-20211230/Ц</t>
  </si>
  <si>
    <t>Чурсинов Ярослав Александрович</t>
  </si>
  <si>
    <t>В-12484/КЛ.Транш - 1_В-21082023/Ц</t>
  </si>
  <si>
    <t>Гриднева Татьяна Николаевна</t>
  </si>
  <si>
    <t>В-17051/КЛ.Транш - 1_В-20211230/Ц</t>
  </si>
  <si>
    <t>Гринь Юлия Владимировна</t>
  </si>
  <si>
    <t>В-07717/КЛ.Транш - 2_В-20211230/Ц</t>
  </si>
  <si>
    <t>В-20703/КЛ.Транш - 1_В-20211230/Ц</t>
  </si>
  <si>
    <t>Кириллов Николай Валерьевич</t>
  </si>
  <si>
    <t>В-17167/КЛ.Транш - 1_В-20211230/Ц</t>
  </si>
  <si>
    <t>Зинкевич Константин Владимирович</t>
  </si>
  <si>
    <t>В-11595/КЛ.Транш - 1_В-20211230/Ц</t>
  </si>
  <si>
    <t>Рожкова Наталья Петровна</t>
  </si>
  <si>
    <t>В-14453/КЛ.Транш - 1_В-21082023/Ц</t>
  </si>
  <si>
    <t>Архипов Данил Алексеевич</t>
  </si>
  <si>
    <t>В-20300/КЛ.Транш - 1_В-20211230/Ц</t>
  </si>
  <si>
    <t>Дзейтов Муслим Алиевич</t>
  </si>
  <si>
    <t>В-17315/КЛ.Транш - 1_В-20211230/Ц</t>
  </si>
  <si>
    <t>Рагимов Рафик Балайевич</t>
  </si>
  <si>
    <t>В-00806/АЗ_В-20211230/Ц</t>
  </si>
  <si>
    <t>Белинский Сергей Игоревич</t>
  </si>
  <si>
    <t>В-13264/КЛ.Транш - 2_В-21082023/Ц</t>
  </si>
  <si>
    <t>Леднев Алексей Иванович</t>
  </si>
  <si>
    <t>В-21219/КЛ.Транш - 1_В-20211230/Ц</t>
  </si>
  <si>
    <t>Майоров Олег Владимирович</t>
  </si>
  <si>
    <t>В-07717/КЛ.Транш - 4_В-20211230/Ц</t>
  </si>
  <si>
    <t>В-07717/КЛ.Транш - 3_В-20211230/Ц</t>
  </si>
  <si>
    <t>В-00708/АЗ_В-21082023/Ц</t>
  </si>
  <si>
    <t>Богданова Марина Алексеевна</t>
  </si>
  <si>
    <t>В-14005/КЛ.Транш - 3_В-20211230/Ц</t>
  </si>
  <si>
    <t>Биятов Малик Серекович</t>
  </si>
  <si>
    <t>В-04229/КЛ.Транш - 1_В-20211230/Ц</t>
  </si>
  <si>
    <t>Матросов Дмитрий Сергеевич</t>
  </si>
  <si>
    <t>В-11186/КЛ.Транш - 1_В-21082023/Ц</t>
  </si>
  <si>
    <t>Гадян Артак Андраникович</t>
  </si>
  <si>
    <t>В-00439/КЛ.Транш - 1_В-21082023/Ц</t>
  </si>
  <si>
    <t>Сельцова Наталья Юрьевна</t>
  </si>
  <si>
    <t>В-18008/КЛ.Транш - 1_В-21082023/Ц</t>
  </si>
  <si>
    <t>Цикишев Сергей Николаевич</t>
  </si>
  <si>
    <t>В-20442/КЛ.Транш - 1_В-20211230/Ц</t>
  </si>
  <si>
    <t>Салимов Шерзод Тохирович</t>
  </si>
  <si>
    <t>В-19349/КЛ.Транш - 1_В-20211230/Ц</t>
  </si>
  <si>
    <t>Еременко Сергей Артурович</t>
  </si>
  <si>
    <t>В-15908/КЛ.Транш - 1_В-20211230/Ц</t>
  </si>
  <si>
    <t>Базарова Нафиса Ибрагимжановна</t>
  </si>
  <si>
    <t>В-14529/КЛ.Транш - 1_В-20211230/Ц</t>
  </si>
  <si>
    <t>Емельяненко Александр Николаевич</t>
  </si>
  <si>
    <t>В-12551/КЛ.Транш - 1_В-20211230/Ц</t>
  </si>
  <si>
    <t>Иванченко Сергей Александрович</t>
  </si>
  <si>
    <t>В-14005/КЛ.Транш - 1_В-20211230/Ц</t>
  </si>
  <si>
    <t>В-02961/КЛ.Транш - 1_В-21082023/Ц</t>
  </si>
  <si>
    <t>Любушкин Сергей Васильевич</t>
  </si>
  <si>
    <t>В-17458/КЛ.Транш - 1_В-20211230/Ц</t>
  </si>
  <si>
    <t>Белолипцев Дмитрий Олегович</t>
  </si>
  <si>
    <t>В-22173/КЛ.Транш - 1_В-20211230/Ц</t>
  </si>
  <si>
    <t>Байтемиров Ахметхан Магарамович</t>
  </si>
  <si>
    <t>В-18163/КЛ.Транш - 1_В-21082023/Ц</t>
  </si>
  <si>
    <t>Магомедов Ахмед Багаутдинович</t>
  </si>
  <si>
    <t>В-22434/АЗ_В-20211230/Ц</t>
  </si>
  <si>
    <t>Касутин Евгений Дмитриевич</t>
  </si>
  <si>
    <t>В-22436/АЗ_В-20211230/Ц</t>
  </si>
  <si>
    <t>Касутина Виктория Алексеевна</t>
  </si>
  <si>
    <t>В-03541/КЛ.Транш - 1_В-21082023/Ц</t>
  </si>
  <si>
    <t>Баранов Сергей Алексеевич</t>
  </si>
  <si>
    <t>В-18022/КЛ.Транш - 1_В-20211230/Ц</t>
  </si>
  <si>
    <t>Сосков Иван Сергеевич</t>
  </si>
  <si>
    <t>В-05425/КЛ.Транш - 2_В-20211230/Ц</t>
  </si>
  <si>
    <t>Мелкумян Масис Владимирович</t>
  </si>
  <si>
    <t>В-21208/КЛ.Транш - 2_В-20211230/Ц</t>
  </si>
  <si>
    <t>Журавлева Наталья Юрьевна</t>
  </si>
  <si>
    <t>В-00034/КЭ.Транш - 1_В20211230/Ц</t>
  </si>
  <si>
    <t>ТК МЕЖРЕГИОНСЕРВИС-77 ООО</t>
  </si>
  <si>
    <t>В-01179/АЗ_В-20211230/Ц</t>
  </si>
  <si>
    <t>Забиров Ринат Шавкатович</t>
  </si>
  <si>
    <t>В-04682/КЛ.Транш - 3_В-20211230/Ц</t>
  </si>
  <si>
    <t>Усиков Андрей Васильевич</t>
  </si>
  <si>
    <t>В-17030/КЛ.Транш - 1_В-21082023/Ц</t>
  </si>
  <si>
    <t>Цуриков Яков Владимирович</t>
  </si>
  <si>
    <t>В-13264/КЛ.Транш - 3_В-21082023/Ц</t>
  </si>
  <si>
    <t>В-13264/КЛ.Транш - 1_В-21082023/Ц</t>
  </si>
  <si>
    <t>В-22100/КЛ.Транш - 1_В-20211230/Ц</t>
  </si>
  <si>
    <t>Кострыгина Юлия Викторовна</t>
  </si>
  <si>
    <t>В-21146/КЛ.Транш - 1_В-20211230/Ц</t>
  </si>
  <si>
    <t>Тришина Екатерина Викторовна</t>
  </si>
  <si>
    <t>В-23325/АЗ_В-20211230/Ц</t>
  </si>
  <si>
    <t>Ермакова Кристина Алексеевна</t>
  </si>
  <si>
    <t>В-23339/АЗ_В-20211230/Ц</t>
  </si>
  <si>
    <t>Ермаков Владислав Олегович</t>
  </si>
  <si>
    <t>В-04682/КЛ.Транш - 4_В-20211230/Ц</t>
  </si>
  <si>
    <t>В-04682/КЛ.Транш - 5_В-20211230/Ц</t>
  </si>
  <si>
    <t>В-04682/КЛ.Транш - 8_В-20211230/Ц</t>
  </si>
  <si>
    <t>В-14005/КЛ.Транш - 2_В-20211230/Ц</t>
  </si>
  <si>
    <t>В-00021/КЭ.Транш - 1_В-20211230/Ц</t>
  </si>
  <si>
    <t>ИП Арутюнян Ваге Андреасович</t>
  </si>
  <si>
    <t>В-01107/АЗ_В-20211230/Ц</t>
  </si>
  <si>
    <t>Лещинский Михаил Дмитриевич</t>
  </si>
  <si>
    <t>В-04682/КЛ.Транш - 7_В-20211230/Ц</t>
  </si>
  <si>
    <t>В-11186/КЛ.Транш - 2_В-21082023/Ц</t>
  </si>
  <si>
    <t>В-04682/КЛ.Транш - 6_В-20211230/Ц</t>
  </si>
  <si>
    <t>В-00951/АЗ_В-20211230/Ц</t>
  </si>
  <si>
    <t>В-24072/АЗ_В-20211230/Ц</t>
  </si>
  <si>
    <t>Султанов Салим Исламович</t>
  </si>
  <si>
    <t>Т-01914/АЗ_Т-20211028/Ц</t>
  </si>
  <si>
    <t>Битюцких Александр Александрович</t>
  </si>
  <si>
    <t>В-02707/КЛ.Транш - 1_В-21082023/Ц</t>
  </si>
  <si>
    <t>Гавриленко Денис Владимирович</t>
  </si>
  <si>
    <t>В-20046/КЛ.Транш - 1_В-21082023/Ц</t>
  </si>
  <si>
    <t>Лебедовский Максим Юрьевич</t>
  </si>
  <si>
    <t>В-17687/КЛ.Транш - 2_В-20211230/Ц</t>
  </si>
  <si>
    <t>Мусаев Саид Рамазанович</t>
  </si>
  <si>
    <t>В-22026/КЛ.Транш - 1_В-20211230/Ц</t>
  </si>
  <si>
    <t>Гречкин Сергей Петрович</t>
  </si>
  <si>
    <t>В-20109/КЛ.Транш - 1_В-21082023/Ц</t>
  </si>
  <si>
    <t>Спицын Антон Вадимович</t>
  </si>
  <si>
    <t>В-01898/КЛ.Транш - 1_В-20211230/Ц</t>
  </si>
  <si>
    <t>Захаркин Алексей Викторович</t>
  </si>
  <si>
    <t>В-17805/КЛ.Транш - 2_В-20211230/Ц</t>
  </si>
  <si>
    <t>Апухтина Виолетта Байрамовна</t>
  </si>
  <si>
    <t>В-00039/КЭ.Транш - 1_В-20211230/Ц</t>
  </si>
  <si>
    <t>ЭЛ-КОМПЛЕКТ ООО</t>
  </si>
  <si>
    <t>В-01084/АЗ</t>
  </si>
  <si>
    <t>Печеникова Оксана Александровна</t>
  </si>
  <si>
    <t>В-23633/КЛ.Транш - 1_В-20211230/Ц</t>
  </si>
  <si>
    <t>Кошелева Светлана Сергеевна</t>
  </si>
  <si>
    <t>В-00439/КЛ.Транш - 2_В-21082023/Ц</t>
  </si>
  <si>
    <t>В-11334/КЛ.Транш - 1_В-20211230/Ц</t>
  </si>
  <si>
    <t>Кольчицкий Захар Викторович</t>
  </si>
  <si>
    <t>В-23840/КЛ.Транш - 1_В-20211230/Ц</t>
  </si>
  <si>
    <t>Золотов Олег Владимирович</t>
  </si>
  <si>
    <t>В-17153/КЛ.Транш - 2_В-20211230/Ц</t>
  </si>
  <si>
    <t>Хасанов Жасур Абдурашидович</t>
  </si>
  <si>
    <t>В-20766/КЛ.Транш - 1_В-20211230/Ц</t>
  </si>
  <si>
    <t>Васильев Сергей Владимирович</t>
  </si>
  <si>
    <t>В-16023/КЛ.Транш - 1_В-20211230/Ц</t>
  </si>
  <si>
    <t>Волохов Юрий Викторович</t>
  </si>
  <si>
    <t>В-17153/КЛ.Транш - 1_В-20211230/Ц</t>
  </si>
  <si>
    <t>В-19655/КЛ.Транш - 1_В-20211230/Ц</t>
  </si>
  <si>
    <t>Башленко Илья Васильевич</t>
  </si>
  <si>
    <t>В-12427/КЛ.Транш - 1_В-21082023/Ц</t>
  </si>
  <si>
    <t>Хуртов Сергей Георгиевич</t>
  </si>
  <si>
    <t>В-21040/КЛ.Транш - 1_В-20211230/Ц</t>
  </si>
  <si>
    <t>Рассказов Максим Владимирович</t>
  </si>
  <si>
    <t>В-16959/КЛ.Транш - 1_В-20211230/Ц</t>
  </si>
  <si>
    <t>Рева Анастасия Владимировна</t>
  </si>
  <si>
    <t>В-21208/КЛ.Транш - 1_В-20211230/Ц</t>
  </si>
  <si>
    <t>В-25457/КЛ.Транш - 1_В-20211230/Ц</t>
  </si>
  <si>
    <t>Крючковский Сергей Владиславович</t>
  </si>
  <si>
    <t>В-21269/КЛ.Транш - 1_В-20211230/Ц</t>
  </si>
  <si>
    <t>Елизарова Виктория Андреевна</t>
  </si>
  <si>
    <t>В-10934/КЛ.Транш - 1_В-20211230/Ц</t>
  </si>
  <si>
    <t>Бендас Евгений Васильевич</t>
  </si>
  <si>
    <t>В-12391/КЛ.Транш - 2_В-20211230/Ц</t>
  </si>
  <si>
    <t>Саутин Александр Юрьевич</t>
  </si>
  <si>
    <t>В-30009/КЭ.Транш - 1_В-20211230/Ц</t>
  </si>
  <si>
    <t>ИП Федотов Тихон Андреевич</t>
  </si>
  <si>
    <t>В-17687/КЛ.Транш - 1_В-20211230/Ц</t>
  </si>
  <si>
    <t>В-25747/КЛ.Транш - 1_В-20211230/Ц</t>
  </si>
  <si>
    <t>Инютин Никита Александрович</t>
  </si>
  <si>
    <t>В-12427/КЛ.Транш - 2_В-21082023/Ц</t>
  </si>
  <si>
    <t>В-08918/КЛ.Транш - 1_В-20211230/Ц</t>
  </si>
  <si>
    <t>Фофанов Михаил Михайлович</t>
  </si>
  <si>
    <t>В-17805/КЛ.Транш - 1_В-20211230/Ц</t>
  </si>
  <si>
    <t>В-10934/КЛ.Транш - 2_В-20211230/Ц</t>
  </si>
  <si>
    <t>В-16959/КЛ.Транш - 2_В-20211230/Ц</t>
  </si>
  <si>
    <t>В-12368/КЛ.Транш - 1_В-20211230/Ц</t>
  </si>
  <si>
    <t>Масальский Руслан Иванович</t>
  </si>
  <si>
    <t>В-17788/КЛ.Транш - 2_В-20211230/Ц</t>
  </si>
  <si>
    <t>Ташланова Юлия Юрьевна</t>
  </si>
  <si>
    <t>В-09795/КЛ.Транш - 1_В-20211230/Ц</t>
  </si>
  <si>
    <t>Матвеев Андрей Александрович</t>
  </si>
  <si>
    <t>В-17788/КЛ.Транш - 3_В-20211230/Ц</t>
  </si>
  <si>
    <t>В-26247/КЛ.Транш - 1_В-20211230/Ц</t>
  </si>
  <si>
    <t>Марков Владислав Владимирович</t>
  </si>
  <si>
    <t>В-21847/КЛ.Транш - 1_В-20211230/Ц</t>
  </si>
  <si>
    <t>Пантелеев Даниил Александрович</t>
  </si>
  <si>
    <t>В-04210/КЛ.Транш - 1_В-20211230/Ц</t>
  </si>
  <si>
    <t>Фейзуллаев Альберт Нефтуллаевич</t>
  </si>
  <si>
    <t>В-12391/КЛ.Транш - 1_В-20211230/Ц</t>
  </si>
  <si>
    <t>В-18370/КЛ.Транш - 1_В-20211230/Ц</t>
  </si>
  <si>
    <t>Богданов Борис Владимирович</t>
  </si>
  <si>
    <t>В-20855/КЛ.Транш - 1_В-20211230/Ц</t>
  </si>
  <si>
    <t>Лебедева Евгения Александровна</t>
  </si>
  <si>
    <t>В-24021/КЛ.Транш - 1_В-20211230/Ц</t>
  </si>
  <si>
    <t>Кострюков Сергей Вячеславович</t>
  </si>
  <si>
    <t>В-12401/КЛ.Транш - 1_В-21082023/Ц</t>
  </si>
  <si>
    <t>Джабраилов Саид-Хусейн Хасанович</t>
  </si>
  <si>
    <t>В-12401/КЛ.Транш - 2_В-21082023/Ц</t>
  </si>
  <si>
    <t>В-10012/КЭ.Транш - 1_В-20211230/Ц</t>
  </si>
  <si>
    <t>АРТЭС ООО</t>
  </si>
  <si>
    <t>В-25302/КЛ.Транш - 1_В-20211230/Ц</t>
  </si>
  <si>
    <t>Пеньков Алексей Александрович</t>
  </si>
  <si>
    <t>В-12427/КЛ.Транш - 3_В-21082023/Ц</t>
  </si>
  <si>
    <t>В-21048/КЛ.Транш - 1_В-20211230/Ц</t>
  </si>
  <si>
    <t>Матузов Алексей Викторович</t>
  </si>
  <si>
    <t>В-17788/КЛ.Транш - 1_В-20211230/Ц</t>
  </si>
  <si>
    <t>В-25806/КЛ.Транш - 1_В-20211230/Ц</t>
  </si>
  <si>
    <t>Армяновский Сергей Владимирович</t>
  </si>
  <si>
    <t>В-17824/КЛ.Транш - 1_В-20211230/Ц</t>
  </si>
  <si>
    <t>Трунтов Андрей Федорович</t>
  </si>
  <si>
    <t>В-17805/КЛ.Транш - 3_В-20211230/Ц</t>
  </si>
  <si>
    <t>В-14178/КЛ.Транш - 1_В-20211230/Ц</t>
  </si>
  <si>
    <t>Киселев Андрей Владимирович</t>
  </si>
  <si>
    <t>В-18757/КЛ.Транш - 1_В-20211230/Ц</t>
  </si>
  <si>
    <t>Машковцев Алексей Валерьевич</t>
  </si>
  <si>
    <t>В-17062/КЛ.Транш - 2_В-20211230/Ц</t>
  </si>
  <si>
    <t>Мацола Артём Иванович</t>
  </si>
  <si>
    <t>В-17062/КЛ.Транш - 3_В-20211230/Ц</t>
  </si>
  <si>
    <t>В-20490/КЛ.Транш - 1_В-21082023/Ц</t>
  </si>
  <si>
    <t>Муравьев Сергей Сергеевич</t>
  </si>
  <si>
    <t>В-21574/КЛ.Транш - 1_В-20211230/Ц</t>
  </si>
  <si>
    <t>Тряпко Владимир Александрович</t>
  </si>
  <si>
    <t>В-08745/КЛ.Транш - 1_В-21082023/Ц</t>
  </si>
  <si>
    <t>Правдивцева Наталья Владимировна</t>
  </si>
  <si>
    <t>В-24878/КЛ.Транш - 1_В-20211230/Ц</t>
  </si>
  <si>
    <t>Мовсесян Гарик Вагифович</t>
  </si>
  <si>
    <t>В-11534/КЛ.Транш - 2_В-20211230/Ц</t>
  </si>
  <si>
    <t>Иванов Владимир Леонидович</t>
  </si>
  <si>
    <t>В-13336/КЛ.Транш - 2_В-21082023/Ц</t>
  </si>
  <si>
    <t>Алыбаев Долеткельди Ягудович</t>
  </si>
  <si>
    <t>В-17106/КЛ.Транш - 1_В-20211230/Ц</t>
  </si>
  <si>
    <t>Кебурия Илья Нугзариевич</t>
  </si>
  <si>
    <t>В-24927/КЛ.Транш - 1_В-20211230/Ц</t>
  </si>
  <si>
    <t>Златин Денис Петрович</t>
  </si>
  <si>
    <t>В-21858/КЛ.Транш - 1_В-20211230/Ц</t>
  </si>
  <si>
    <t>Тонконогов Артем Андреевич</t>
  </si>
  <si>
    <t>В-14907/КЛ.Транш - 1_В-20211230/Ц</t>
  </si>
  <si>
    <t>В-25131/КЛ.Транш - 1_В-20211230/Ц</t>
  </si>
  <si>
    <t>Айрапетян Нарек Гайкович</t>
  </si>
  <si>
    <t>В-11534/КЛ.Транш - 1_В-20211230/Ц</t>
  </si>
  <si>
    <t>В-14544/КЛ.Транш - 1_В-20211230/Ц</t>
  </si>
  <si>
    <t>В-14544/КЛ.Транш - 2_В-20211230/Ц</t>
  </si>
  <si>
    <t>В-22057/КЛ.Транш - 2_В-20211230/Ц</t>
  </si>
  <si>
    <t>Лихачева Мария Николаевна</t>
  </si>
  <si>
    <t>В-27521/КЛ.Транш - 1_В-20211230/Ц</t>
  </si>
  <si>
    <t>В-01051/АЗ_В-20211230/Ц</t>
  </si>
  <si>
    <t>Демченко Андрей Сергеевич</t>
  </si>
  <si>
    <t>В-00068/КЭ.Транш - 1_В-20211230/Ц</t>
  </si>
  <si>
    <t>Бизнес Бухгалтер ООО</t>
  </si>
  <si>
    <t>В-17062/КЛ.Транш - 1_В-20211230/Ц</t>
  </si>
  <si>
    <t>В-22057/КЛ.Транш - 1_В-20211230/Ц</t>
  </si>
  <si>
    <t>В-25304/АЗ_В-20211230/Ц</t>
  </si>
  <si>
    <t>Гаврин Валентин Николаевич</t>
  </si>
  <si>
    <t>В-26776/КЛ.Транш - 1_В-20211230/Ц</t>
  </si>
  <si>
    <t>Комаров Андрей Сергеевич</t>
  </si>
  <si>
    <t>В-27747/КЛ.Транш - 1_В-20211230/Ц</t>
  </si>
  <si>
    <t>В-00070/КЭ.Транш - 1_В-20211230/Ц</t>
  </si>
  <si>
    <t>ТехТара ООО</t>
  </si>
  <si>
    <t>В-19451/КЛ.Транш - 2_В-20211230/Ц</t>
  </si>
  <si>
    <t>Устинов Максим Викторович</t>
  </si>
  <si>
    <t>В-27006/КЛ.Транш - 1_В-20211230/Ц</t>
  </si>
  <si>
    <t>В-14907/КЛ.Транш - 2_В-20211230/Ц</t>
  </si>
  <si>
    <t>В-17752/КЛ.Транш - 1_В-20211230/Ц</t>
  </si>
  <si>
    <t>Симонов Станислав Валерьевич</t>
  </si>
  <si>
    <t>В-27050/АЗ_В-20211230/Ц</t>
  </si>
  <si>
    <t>В-17752/КЛ.Транш - 2_В-20211230/Ц</t>
  </si>
  <si>
    <t>В-15393/КЛ.Транш - 1_В-20211230/Ц</t>
  </si>
  <si>
    <t>Темникова Оксана Дмитриевна</t>
  </si>
  <si>
    <t>В-26093/КЛ.Транш - 1_В-20211230/Ц</t>
  </si>
  <si>
    <t>Храмцова Дарья Юрьевна</t>
  </si>
  <si>
    <t>В-27416/АЗ_В-20211230/Ц</t>
  </si>
  <si>
    <t>В-00077/КЭ.Транш - 1_В-20211230/Ц</t>
  </si>
  <si>
    <t>ДОРРЕМСТРОЙ ООО</t>
  </si>
  <si>
    <t>В-19451/КЛ.Транш - 3_В-20211230/Ц</t>
  </si>
  <si>
    <t>В-20787/КЛ.Транш - 1_В-20211230/Ц</t>
  </si>
  <si>
    <t>Исаков Иван Владимирович</t>
  </si>
  <si>
    <t>В-17199/КЛ.Транш - 3_В-20211230/Ц</t>
  </si>
  <si>
    <t>Мустафин Ринад Исмаилович</t>
  </si>
  <si>
    <t>В-11630/КЛ.Транш - 1_В-20211230/Ц</t>
  </si>
  <si>
    <t>Комарова Марина Владимировна</t>
  </si>
  <si>
    <t>В-17506/КЛ.Транш - 1_В-21082023/Ц</t>
  </si>
  <si>
    <t>Богачук Сергей Прокопьевич</t>
  </si>
  <si>
    <t>В-23074/КЛ.Транш - 1_В-20211230/Ц</t>
  </si>
  <si>
    <t>Дорожинская Екатерина Андреевна</t>
  </si>
  <si>
    <t>В-24261/КЛ.Транш - 1_В-20211230/Ц</t>
  </si>
  <si>
    <t>Мустафьева Айтан Таджединовна</t>
  </si>
  <si>
    <t>В-24336/КЛ.Транш - 1_В-21082023/Ц</t>
  </si>
  <si>
    <t>Алексанян Роберт Робертович</t>
  </si>
  <si>
    <t>В-16432/КЛ.Транш - 1_В-21082023/Ц</t>
  </si>
  <si>
    <t>Малинина Оксана Александровна</t>
  </si>
  <si>
    <t>В-21175/КЛ.Транш - 1_В-21082023/Ц</t>
  </si>
  <si>
    <t>Пилюгин Олег Васильевич</t>
  </si>
  <si>
    <t>В-17199/КЛ.Транш - 2_В-20211230/Ц</t>
  </si>
  <si>
    <t>В-24336/КЛ.Транш - 2_В-21082023/Ц</t>
  </si>
  <si>
    <t>В-19179/КЛ.Транш - 2_В-20211230/Ц</t>
  </si>
  <si>
    <t>Буренкова Екатерина Сергеевна</t>
  </si>
  <si>
    <t>В-29072/КЛ.Транш - 1_В-20211230/Ц</t>
  </si>
  <si>
    <t>В-16261/КЛ.Транш - 1_В-20211230/Ц</t>
  </si>
  <si>
    <t>Прусаков Максим Владимирович</t>
  </si>
  <si>
    <t>В-19179/КЛ.Транш - 1_В-20211230/Ц</t>
  </si>
  <si>
    <t>В-20458/КЛ.Транш - 1_В-20211230/Ц</t>
  </si>
  <si>
    <t>Музыка Евгений Александрович</t>
  </si>
  <si>
    <t>В-24336/КЛ.Транш - 3_В-21082023/Ц</t>
  </si>
  <si>
    <t>В-21666/КЛ.Транш - 1_В-20211230/Ц</t>
  </si>
  <si>
    <t>Кочнева Наталья Николаевна</t>
  </si>
  <si>
    <t>В-28383/КЛ.Транш - 1_В-20211230/Ц</t>
  </si>
  <si>
    <t>В-24336/КЛ.Транш - 4_В-21082023/Ц</t>
  </si>
  <si>
    <t>В-18851/КЛ.Транш - 1_В-21082023/Ц</t>
  </si>
  <si>
    <t>Царьков Павел Игоревич</t>
  </si>
  <si>
    <t>В-23897/КЛ.Транш - 1_В-20211230/Ц</t>
  </si>
  <si>
    <t>Курнакова Надежда Александровна</t>
  </si>
  <si>
    <t>В-28684/КЛ.Транш - 1_В-21082023/Ц</t>
  </si>
  <si>
    <t>В-18334/КЛ.Транш - 1_В-20211230/Ц</t>
  </si>
  <si>
    <t>Акиньшин Олег Алексеевич</t>
  </si>
  <si>
    <t>В-01050/АЗ_В-20211230/Ц</t>
  </si>
  <si>
    <t>В-20921/КЛ.Транш - 1_В-20211230/Ц</t>
  </si>
  <si>
    <t>Оганесян Наири Миранович</t>
  </si>
  <si>
    <t>В-25367/АЗ_В-20211230/Ц</t>
  </si>
  <si>
    <t>Диакону Сергей Борисович</t>
  </si>
  <si>
    <t>В-25370/АЗ_В-20211230/Ц</t>
  </si>
  <si>
    <t>Науменко Андрей Николаевич</t>
  </si>
  <si>
    <t>В-19227/КЛ.Транш - 1_В-20211230/Ц</t>
  </si>
  <si>
    <t>Мощинская Елена Николаевна</t>
  </si>
  <si>
    <t>В-05402/КЛ.Транш - 4_В-21082023/Ц</t>
  </si>
  <si>
    <t>Мылов Сергей Геннадьевич</t>
  </si>
  <si>
    <t>В-19093/КЛ.Транш - 1_В-20211230/Ц</t>
  </si>
  <si>
    <t>Баранов Аркадий Александрович</t>
  </si>
  <si>
    <t>В-07072/КЛ.Транш - 1_В-20211230/Ц</t>
  </si>
  <si>
    <t>Мазурин Николай Анатольевич</t>
  </si>
  <si>
    <t>В-17853/КЛ.Транш - 6_В-20211230/Ц</t>
  </si>
  <si>
    <t>Савельев Александр Владимирович</t>
  </si>
  <si>
    <t>В-13336/КЛ.Транш - 1_В-21082023/Ц</t>
  </si>
  <si>
    <t>В-15451/КЛ.Транш - 1_В-21082023/Ц</t>
  </si>
  <si>
    <t>Кутанов Егор Сергеевич</t>
  </si>
  <si>
    <t>В-17853/КЛ.Транш - 4_В-20211230/Ц</t>
  </si>
  <si>
    <t>В-28694/КЛ.Транш - 1_В-21082023/Ц</t>
  </si>
  <si>
    <t>В-07072/КЛ.Транш - 3_В-20211230/Ц</t>
  </si>
  <si>
    <t>В-18164/КЛ.Транш - 1_В-21082023/Ц</t>
  </si>
  <si>
    <t>Гилаев Флюс Фаусович</t>
  </si>
  <si>
    <t>В-17853/КЛ.Транш - 3_В-20211230/Ц</t>
  </si>
  <si>
    <t>В-17853/КЛ.Транш - 5_В-20211230/Ц</t>
  </si>
  <si>
    <t>В-13740/КЛ.Транш - 1_В-21082023/Ц</t>
  </si>
  <si>
    <t>Семенов Андрей Сергеевич</t>
  </si>
  <si>
    <t>В-27251/КЛ.Транш - 1_В-21082023/Ц</t>
  </si>
  <si>
    <t>В-10141/КЛ.Транш - 2_В-20211230/Ц</t>
  </si>
  <si>
    <t>Галеев Александр Ринатович</t>
  </si>
  <si>
    <t>В-17853/КЛ.Транш - 7_В-20211230/Ц</t>
  </si>
  <si>
    <t>В-09174/КЛ.Транш - 9_В-20211230/Ц</t>
  </si>
  <si>
    <t>Скрипичников Егор Сергеевич</t>
  </si>
  <si>
    <t>В-09174/КЛ.Транш - 7_В-20211230/Ц</t>
  </si>
  <si>
    <t>В-11050/КЛ.Транш - 1_В-20211230/Ц</t>
  </si>
  <si>
    <t>Садигов Нарман Адждар Оглы</t>
  </si>
  <si>
    <t>В-17853/КЛ.Транш - 1_В-20211230/Ц</t>
  </si>
  <si>
    <t>В-17853/КЛ.Транш - 2_В-20211230/Ц</t>
  </si>
  <si>
    <t>В-07072/КЛ.Транш - 2_В-20211230/Ц</t>
  </si>
  <si>
    <t>В-10141/КЛ.Транш - 1_В-20211230/Ц</t>
  </si>
  <si>
    <t>В-09174/КЛ.Транш - 8_В-20211230/Ц</t>
  </si>
  <si>
    <t>В-19425/КЛ.Транш - 1_В-20211230/Ц</t>
  </si>
  <si>
    <t>Молчанов Дмитрий Викторович</t>
  </si>
  <si>
    <t>В-24308/КЛ.Транш - 1_В-20211230/Ц</t>
  </si>
  <si>
    <t>В-27855/КЛ.Транш - 1_В-20211230/Ц</t>
  </si>
  <si>
    <t>В-09174/КЛ.Транш - 10_В-20211230/Ц</t>
  </si>
  <si>
    <t>В-25792/КЛ.Транш - 1_В-20211230/Ц</t>
  </si>
  <si>
    <t>В-19227/КЛ.Транш - 2_В-20211230/Ц</t>
  </si>
  <si>
    <t>В-28872/КЛ.Транш - 1_В-20211230/Ц</t>
  </si>
  <si>
    <t>В-02583/КЛ.Транш - 8_В-21082023/Ц</t>
  </si>
  <si>
    <t>Филатова Юлия Петровна</t>
  </si>
  <si>
    <t>В-30001/КЭ.Транш - 1_В-20211230/Ц</t>
  </si>
  <si>
    <t>ИП Белан Надежда Александровна</t>
  </si>
  <si>
    <t>В-02583/КЛ.Транш - 5_В-21082023/Ц</t>
  </si>
  <si>
    <t>В-10008/КЭ.Транш - 2_В-20211230/Ц</t>
  </si>
  <si>
    <t>В-17417/КЛ.Транш - 1_В-20211230/Ц</t>
  </si>
  <si>
    <t>Минаева Наталия Анатольевна</t>
  </si>
  <si>
    <t>В-10008/КЭ.Транш - 3_В-20211230/Ц</t>
  </si>
  <si>
    <t>В-10024/КЭ.Транш - 1_В-20211230/Ц</t>
  </si>
  <si>
    <t>В-28393/КЛ.Транш - 1_В-20211230/Ц</t>
  </si>
  <si>
    <t>В-10008/КЭ.Транш - 1_В-20211230/Ц</t>
  </si>
  <si>
    <t>В-00063/КЭ.Транш - 3_В-20211230/Ц</t>
  </si>
  <si>
    <t>В-10025/КЭ.Транш - 1_В-20211230/Ц</t>
  </si>
  <si>
    <t>В-26170/КЛ.Транш - 1_В-20211230/Ц</t>
  </si>
  <si>
    <t>Магомедов Саид Магомедрасулович</t>
  </si>
  <si>
    <t>В-24308/КЛ.Транш - 2_В-20211230/Ц</t>
  </si>
  <si>
    <t>Т-01885/АЗ_Т-20211028/Ц</t>
  </si>
  <si>
    <t>Месропян Аревик Орбеловна</t>
  </si>
  <si>
    <t>В-02583/КЛ.Транш - 6_В-21082023/Ц</t>
  </si>
  <si>
    <t>В-10039/КЛ.Транш - 2_В-20211230/Ц</t>
  </si>
  <si>
    <t>В-02583/КЛ.Транш - 7_В-21082023/Ц</t>
  </si>
  <si>
    <t>В-10020/КЭ.Транш - 1_В-20211230/Ц</t>
  </si>
  <si>
    <t>АС ООО</t>
  </si>
  <si>
    <t>В-03450/КЛ.Транш - 1_В-20211230/Ц</t>
  </si>
  <si>
    <t>Рябоконов Алексей Викторович</t>
  </si>
  <si>
    <t>В-14546/КЛ.Транш - 1_В-20211230/Ц</t>
  </si>
  <si>
    <t>Козлов Иван Александрович</t>
  </si>
  <si>
    <t>В-21731/КЛ.Транш - 2_В-21082023/Ц</t>
  </si>
  <si>
    <t>В-14232/КЛ.Транш - 1_В-20211230/Ц</t>
  </si>
  <si>
    <t>Эскеров Агаси Эскерович</t>
  </si>
  <si>
    <t>В-02583/КЛ.Транш - 9_В-21082023/Ц</t>
  </si>
  <si>
    <t>В-30007/КЭ.Транш - 1_В-20211230/Ц</t>
  </si>
  <si>
    <t>ИП Артемов Александр Викторович</t>
  </si>
  <si>
    <t>В-27410/КЛ.Транш - 1_В-21082023/Ц</t>
  </si>
  <si>
    <t>В-28274/КЛ.Транш - 1_В-21082023/Ц</t>
  </si>
  <si>
    <t>В-25052/КЛ.Транш - 1_В-21082023/Ц</t>
  </si>
  <si>
    <t>В-01203/АЗ_В-21082023/Ц</t>
  </si>
  <si>
    <t>В-18631/КЛ.Транш - 1_В-21082023/Ц</t>
  </si>
  <si>
    <t>Самедов Эльдар Абилевич</t>
  </si>
  <si>
    <t>В-19346/КЛ.Транш - 2_В-21082023/Ц</t>
  </si>
  <si>
    <t>В-19346/КЛ.Транш - 3_В-21082023/Ц</t>
  </si>
  <si>
    <t>В-00030/КЭ.Транш - 1_В-21082023/Ц</t>
  </si>
  <si>
    <t>Макси-Строй ООО</t>
  </si>
  <si>
    <t>В-18141/КЛ.Транш - 1_В-21082023/Ц</t>
  </si>
  <si>
    <t>Королёв Сергей Николаевич</t>
  </si>
  <si>
    <t>В-19104/КЛ.Транш - 1_В-21082023/Ц</t>
  </si>
  <si>
    <t>Кожанов Александр Михайлович</t>
  </si>
  <si>
    <t>В-12943/КЛ.Транш - 1_В-21082023/Ц</t>
  </si>
  <si>
    <t>Дробот Роман Вячеславович</t>
  </si>
  <si>
    <t>В-03300/КЛ.Транш - 1_В-21082023/Ц</t>
  </si>
  <si>
    <t>В-27753/КЛ.Транш - 1_В-21082023/Ц</t>
  </si>
  <si>
    <t>В-19684/КЛ.Транш - 1_В-21082023/Ц</t>
  </si>
  <si>
    <t>Белорыбкин Михаил Васильевич</t>
  </si>
  <si>
    <t>В-25865/КЛ.Транш - 1_В-21082023/Ц</t>
  </si>
  <si>
    <t>Набойченко Юлия Александровна</t>
  </si>
  <si>
    <t>В-23776/КЛ.Транш - 1_В-21082023/Ц</t>
  </si>
  <si>
    <t>Шалдыбин Данил Геннадьевич</t>
  </si>
  <si>
    <t>В-10022/КЭ.Транш - 1_В-21082023/Ц</t>
  </si>
  <si>
    <t>В-21321/КЛ.Транш - 1_В-21082023/Ц</t>
  </si>
  <si>
    <t>Надеев Алексей Александрович</t>
  </si>
  <si>
    <t>В-17318/КЛ.Транш - 1_В-21082023/Ц</t>
  </si>
  <si>
    <t>Анищенкова Оксана Михайловна</t>
  </si>
  <si>
    <t>В-25824/КЛ.Транш - 1_В-21082023/Ц</t>
  </si>
  <si>
    <t>Яковлев Борис Викторович</t>
  </si>
  <si>
    <t>В-21872/КЛ.Транш - 1_В-21082023/Ц</t>
  </si>
  <si>
    <t>Савчук Елена Александровна</t>
  </si>
  <si>
    <t>В-00052/КЭ.Транш - 1_В-21082023/Ц</t>
  </si>
  <si>
    <t>ИП Окунева Лилия Викторовна</t>
  </si>
  <si>
    <t>В-04333/КЛ.Транш - 8_В-20211230/Ц</t>
  </si>
  <si>
    <t>Заика Денис Викторович</t>
  </si>
  <si>
    <t>В-26928/КЛ.Транш - 1_В-21082023/Ц</t>
  </si>
  <si>
    <t>В-27065/АЗ_В-21082023/Ц</t>
  </si>
  <si>
    <t>А-04028/АЗ</t>
  </si>
  <si>
    <t>Селютин Петр Петрович</t>
  </si>
  <si>
    <t>В-00033/КЭ.Транш - 2</t>
  </si>
  <si>
    <t>АВТОКОНТИНЕНТ ООО</t>
  </si>
  <si>
    <t>В-00036/КЭ.Транш - 2</t>
  </si>
  <si>
    <t>Лого-Трейд ООО</t>
  </si>
  <si>
    <t>В-00052/КЭ.Транш - 1</t>
  </si>
  <si>
    <t>В-00065/КЭ.Транш - 1</t>
  </si>
  <si>
    <t>Эврика ООО</t>
  </si>
  <si>
    <t>В-00079/КЭ.Транш - 1</t>
  </si>
  <si>
    <t>ИП Деньга Виктор Иванович</t>
  </si>
  <si>
    <t>В-00431/КЛ.Транш - 2</t>
  </si>
  <si>
    <t>Дагиров Рустам Шамсутдинович</t>
  </si>
  <si>
    <t>В-00953/АЗ</t>
  </si>
  <si>
    <t>В-00955/АЗ</t>
  </si>
  <si>
    <t>В-00970/АЗ</t>
  </si>
  <si>
    <t>В-01022/АЗ</t>
  </si>
  <si>
    <t>В-01023/АЗ</t>
  </si>
  <si>
    <t>В-01024/АЗ</t>
  </si>
  <si>
    <t>В-01038/АЗ</t>
  </si>
  <si>
    <t>В-01039/АЗ</t>
  </si>
  <si>
    <t>В-01068/АЗ</t>
  </si>
  <si>
    <t>В-01109/АЗ</t>
  </si>
  <si>
    <t>В-01113/АЗ</t>
  </si>
  <si>
    <t>В-01161/АЗ</t>
  </si>
  <si>
    <t>Ельшин Владимир Анатольевич</t>
  </si>
  <si>
    <t>В-01174/АЗ</t>
  </si>
  <si>
    <t>В-01184/АЗ</t>
  </si>
  <si>
    <t>Конев Сергей Арсентьевич</t>
  </si>
  <si>
    <t>В-01188/АЗ</t>
  </si>
  <si>
    <t>В-01211/АЗ</t>
  </si>
  <si>
    <t>Азиева Милана Зайнуладаевна</t>
  </si>
  <si>
    <t>В-02064/КЛ.Транш - 2</t>
  </si>
  <si>
    <t>В-02064/КЛ.Транш - 4</t>
  </si>
  <si>
    <t>В-02849/КЛ.Транш - 1</t>
  </si>
  <si>
    <t>Тарасов Александр Владимирович</t>
  </si>
  <si>
    <t>В-04967/КЛ.Транш - 4</t>
  </si>
  <si>
    <t>Горшков Никита Григорьевич</t>
  </si>
  <si>
    <t>В-05253/КЛ.Транш - 4</t>
  </si>
  <si>
    <t>Мамедов Динар Рашид Оглы</t>
  </si>
  <si>
    <t>В-06345/КЛ.Транш - 1</t>
  </si>
  <si>
    <t>В-06920/КЛ.Транш - 3</t>
  </si>
  <si>
    <t>Кузнецова Юлия Сергеевна</t>
  </si>
  <si>
    <t>В-07559/КЛ.Транш - 3</t>
  </si>
  <si>
    <t>В-07559/КЛ.Транш - 4</t>
  </si>
  <si>
    <t>В-07877/КЛ.Транш - 12</t>
  </si>
  <si>
    <t>В-07877/КЛ.Транш - 14</t>
  </si>
  <si>
    <t>В-07877/КЛ.Транш - 15</t>
  </si>
  <si>
    <t>В-08270/КЛ.Транш - 1</t>
  </si>
  <si>
    <t>В-08348/КЛ.Транш - 7</t>
  </si>
  <si>
    <t>В-08368/КЛ.Транш - 2</t>
  </si>
  <si>
    <t>Князев Алексей Иванович</t>
  </si>
  <si>
    <t>В-08644/КЛ.Транш - 1</t>
  </si>
  <si>
    <t>В-09086/КЛ.Транш - 1</t>
  </si>
  <si>
    <t>Баранова Светлана Александровна</t>
  </si>
  <si>
    <t>В-09086/КЛ.Транш - 2</t>
  </si>
  <si>
    <t>В-09086/КЛ.Транш - 3</t>
  </si>
  <si>
    <t>В-09100/КЛ.Транш - 1</t>
  </si>
  <si>
    <t>В-09172/КЛ.Транш - 1</t>
  </si>
  <si>
    <t>В-10022/КЭ.Транш - 1</t>
  </si>
  <si>
    <t>В-10050/КЛ.Транш - 1</t>
  </si>
  <si>
    <t>Ларина Анна Ильинична</t>
  </si>
  <si>
    <t>В-10204/КЛ.Транш - 1</t>
  </si>
  <si>
    <t>В-10474/КЛ.Транш - 3</t>
  </si>
  <si>
    <t>В-10474/КЛ.Транш - 4</t>
  </si>
  <si>
    <t>В-10474/КЛ.Транш - 5</t>
  </si>
  <si>
    <t>В-10474/КЛ.Транш - 6</t>
  </si>
  <si>
    <t>В-10495/КЛ.Транш - 1</t>
  </si>
  <si>
    <t>В-10789/КЛ.Транш - 1</t>
  </si>
  <si>
    <t>Арутюнян Сережа Теватосович</t>
  </si>
  <si>
    <t>В-10841/КЛ.Транш - 1</t>
  </si>
  <si>
    <t>Азиев Абдурахман Авхадович</t>
  </si>
  <si>
    <t>В-10909/КЛ.Транш - 1</t>
  </si>
  <si>
    <t>Дементьев Василий Алексеевич</t>
  </si>
  <si>
    <t>В-11277/КЛ.Транш - 1</t>
  </si>
  <si>
    <t>В-11396/КЛ.Транш - 2</t>
  </si>
  <si>
    <t>В-11447/КЛ.Транш - 1</t>
  </si>
  <si>
    <t>Елистратов Сергей Викторович</t>
  </si>
  <si>
    <t>В-11447/КЛ.Транш - 1_В-21082023/Ц</t>
  </si>
  <si>
    <t>В-11605/КЛ.Транш - 1</t>
  </si>
  <si>
    <t>Мамлина Наталия Андреевна</t>
  </si>
  <si>
    <t>В-11716/КЛ.Транш - 1</t>
  </si>
  <si>
    <t>В-11782/КЛ.Транш - 1</t>
  </si>
  <si>
    <t>Ангелов Алексей Славов</t>
  </si>
  <si>
    <t>В-11948/КЛ.Транш - 1</t>
  </si>
  <si>
    <t>Романов Алексей Викторович</t>
  </si>
  <si>
    <t>В-12066/КЛ.Транш - 1</t>
  </si>
  <si>
    <t>В-12067/КЛ.Транш - 1</t>
  </si>
  <si>
    <t>В-12098/КЛ.Транш - 1</t>
  </si>
  <si>
    <t>В-12098/КЛ.Транш - 2</t>
  </si>
  <si>
    <t>В-12231/КЛ.Транш - 1</t>
  </si>
  <si>
    <t>В-12256/КЛ.Транш - 1</t>
  </si>
  <si>
    <t>В-12269/КЛ.Транш - 1</t>
  </si>
  <si>
    <t>В-12523/КЛ.Транш - 2</t>
  </si>
  <si>
    <t>В-12553/КЛ.Транш - 1</t>
  </si>
  <si>
    <t>В-12574/КЛ.Транш - 1</t>
  </si>
  <si>
    <t>В-12574/КЛ.Транш - 3</t>
  </si>
  <si>
    <t>В-12662/КЛ.Транш - 1</t>
  </si>
  <si>
    <t>В-12789/КЛ.Транш - 1</t>
  </si>
  <si>
    <t>Агапов Сергей Петрович</t>
  </si>
  <si>
    <t>В-12790/КЛ.Транш - 1</t>
  </si>
  <si>
    <t>Наумов Олег Владимирович</t>
  </si>
  <si>
    <t>В-12912/КЛ.Транш - 1</t>
  </si>
  <si>
    <t>В-12943/КЛ.Транш - 1</t>
  </si>
  <si>
    <t>В-13235/КЛ.Транш - 1</t>
  </si>
  <si>
    <t>В-13405/КЛ.Транш - 1</t>
  </si>
  <si>
    <t>Покатаев Андрей Борисович</t>
  </si>
  <si>
    <t>В-13449/КЛ.Транш - 1</t>
  </si>
  <si>
    <t>В-13545/КЛ.Транш - 1</t>
  </si>
  <si>
    <t>Оскомова Инна Анатольевна</t>
  </si>
  <si>
    <t>В-14074/КЛ.Транш - 1</t>
  </si>
  <si>
    <t>Наумик Екатерина Андреевна</t>
  </si>
  <si>
    <t>В-14074/КЛ.Транш - 2</t>
  </si>
  <si>
    <t>В-14198/КЛ.Транш - 1</t>
  </si>
  <si>
    <t>В-14216/КЛ.Транш - 1</t>
  </si>
  <si>
    <t>В-14216/КЛ.Транш - 2</t>
  </si>
  <si>
    <t>В-14216/КЛ.Транш - 3</t>
  </si>
  <si>
    <t>В-14216/КЛ.Транш - 4</t>
  </si>
  <si>
    <t>В-14291/КЛ.Транш - 7</t>
  </si>
  <si>
    <t>В-14816/КЛ.Транш - 1</t>
  </si>
  <si>
    <t>В-14816/КЛ.Транш - 5</t>
  </si>
  <si>
    <t>В-14816/КЛ.Транш - 6</t>
  </si>
  <si>
    <t>В-14816/КЛ.Транш - 7</t>
  </si>
  <si>
    <t>В-14913/КЛ.Транш - 1</t>
  </si>
  <si>
    <t>В-15138/КЛ.Транш - 1</t>
  </si>
  <si>
    <t>В-15831/КЛ.Транш - 1</t>
  </si>
  <si>
    <t>В-15954/КЛ.Транш - 1</t>
  </si>
  <si>
    <t>В-16067/КЛ.Транш - 1</t>
  </si>
  <si>
    <t>В-16242/КЛ.Транш - 2</t>
  </si>
  <si>
    <t>В-16455/КЛ.Транш - 1</t>
  </si>
  <si>
    <t>В-16934/КЛ.Транш - 1</t>
  </si>
  <si>
    <t>В-16934/КЛ.Транш - 5</t>
  </si>
  <si>
    <t>В-17469/КЛ.Транш - 1</t>
  </si>
  <si>
    <t>В-17469/КЛ.Транш - 2</t>
  </si>
  <si>
    <t>В-17916/КЛ.Транш - 1</t>
  </si>
  <si>
    <t>В-18414/КЛ.Транш - 1</t>
  </si>
  <si>
    <t>В-18496/КЛ.Транш - 1</t>
  </si>
  <si>
    <t>В-18536/КЛ.Транш - 1</t>
  </si>
  <si>
    <t>В-18600/КЛ.Транш - 1</t>
  </si>
  <si>
    <t>Ворошилин Владимир Игоревич</t>
  </si>
  <si>
    <t>В-18894/КЛ.Транш - 1</t>
  </si>
  <si>
    <t>В-18921/КЛ.Транш - 1</t>
  </si>
  <si>
    <t>В-18958/КЛ.Транш - 1</t>
  </si>
  <si>
    <t>В-19286/КЛ.Транш - 1</t>
  </si>
  <si>
    <t>В-19354/КЛ.Транш - 1</t>
  </si>
  <si>
    <t>В-19355/КЛ.Транш - 1</t>
  </si>
  <si>
    <t>В-19593/КЛ.Транш - 1</t>
  </si>
  <si>
    <t>В-19736/КЛ.Транш - 1</t>
  </si>
  <si>
    <t>В-19880/КЛ.Транш - 1</t>
  </si>
  <si>
    <t>Колпаков Антон Валерьевич</t>
  </si>
  <si>
    <t>В-19991/КЛ.Транш - 1</t>
  </si>
  <si>
    <t>В-19991/КЛ.Транш - 2</t>
  </si>
  <si>
    <t>В-19991/КЛ.Транш - 3</t>
  </si>
  <si>
    <t>В-20035/КЛ.Транш - 1</t>
  </si>
  <si>
    <t>В-20133/КЛ.Транш - 1</t>
  </si>
  <si>
    <t>В-20329/КЛ.Транш - 2</t>
  </si>
  <si>
    <t>В-20384/КЛ.Транш - 1</t>
  </si>
  <si>
    <t>В-20544/КЛ.Транш - 1</t>
  </si>
  <si>
    <t>Соколова Елена Викторовна</t>
  </si>
  <si>
    <t>В-20952/КЛ.Транш - 3</t>
  </si>
  <si>
    <t>В-20952/КЛ.Транш - 4</t>
  </si>
  <si>
    <t>В-20952/КЛ.Транш - 6</t>
  </si>
  <si>
    <t>В-21245/КЛ.Транш - 2</t>
  </si>
  <si>
    <t>В-21253/КЛ.Транш - 1</t>
  </si>
  <si>
    <t>В-21306/КЛ.Транш - 1</t>
  </si>
  <si>
    <t>В-21321/КЛ.Транш - 1</t>
  </si>
  <si>
    <t>В-21568/КЛ.Транш - 1</t>
  </si>
  <si>
    <t>В-21872/КЛ.Транш - 1</t>
  </si>
  <si>
    <t>В-21911/КЛ.Транш - 1</t>
  </si>
  <si>
    <t>В-21960/КЛ.Транш - 1</t>
  </si>
  <si>
    <t>Кравченко Владимир Николаевич</t>
  </si>
  <si>
    <t>В-21960/КЛ.Транш - 2</t>
  </si>
  <si>
    <t>В-22052/КЛ.Транш - 1</t>
  </si>
  <si>
    <t>В-22205/КЛ.Транш - 1</t>
  </si>
  <si>
    <t>В-22205/КЛ.Транш - 2</t>
  </si>
  <si>
    <t>В-22246/КЛ.Транш - 3</t>
  </si>
  <si>
    <t>Сбоев Виктор Юрьевич</t>
  </si>
  <si>
    <t>В-22309/АЗ</t>
  </si>
  <si>
    <t>В-22409/КЛ.Транш - 1</t>
  </si>
  <si>
    <t>В-22449/КЛ.Транш - 1</t>
  </si>
  <si>
    <t>В-22677/КЛ.Транш - 1</t>
  </si>
  <si>
    <t>В-22683/КЛ.Транш - 1</t>
  </si>
  <si>
    <t>В-22744/КЛ.Транш - 1</t>
  </si>
  <si>
    <t>В-22864/КЛ.Транш - 1</t>
  </si>
  <si>
    <t>В-22935/КЛ.Транш - 1</t>
  </si>
  <si>
    <t>В-22935/КЛ.Транш - 2</t>
  </si>
  <si>
    <t>В-23229/АЗ</t>
  </si>
  <si>
    <t>В-23362/КЛ.Транш - 1</t>
  </si>
  <si>
    <t>Виноградов Алексей Валерьевич</t>
  </si>
  <si>
    <t>В-23362/КЛ.Транш - 2</t>
  </si>
  <si>
    <t>В-23370/КЛ.Транш - 1</t>
  </si>
  <si>
    <t>В-23383/КЛ.Транш - 1</t>
  </si>
  <si>
    <t>Водолазкин Александр Юрьевич</t>
  </si>
  <si>
    <t>В-23509/КЛ.Транш - 1</t>
  </si>
  <si>
    <t>В-23555/КЛ.Транш - 1</t>
  </si>
  <si>
    <t>В-23901/КЛ.Транш - 1</t>
  </si>
  <si>
    <t>В-23919/КЛ.Транш - 1</t>
  </si>
  <si>
    <t>В-23923/КЛ.Транш - 1</t>
  </si>
  <si>
    <t>В-23979/КЛ.Транш - 1</t>
  </si>
  <si>
    <t>Сывороткин Сергей Валентинович</t>
  </si>
  <si>
    <t>В-24151/КЛ.Транш - 1</t>
  </si>
  <si>
    <t>Юн Вадим Вячеславович</t>
  </si>
  <si>
    <t>В-24350/КЛ_В-20211230/Ц</t>
  </si>
  <si>
    <t>В-24374/КЛ.Транш - 1</t>
  </si>
  <si>
    <t>Амбросиенко Павел Сергеевич</t>
  </si>
  <si>
    <t>В-24554/КЛ.Транш - 1</t>
  </si>
  <si>
    <t>Росляков Олег Николаевич</t>
  </si>
  <si>
    <t>В-24580/КЛ.Транш - 1</t>
  </si>
  <si>
    <t>В-24610/КЛ.Транш - 1</t>
  </si>
  <si>
    <t>Ибрагимов Асхаб Ибрагимович</t>
  </si>
  <si>
    <t>В-24618/АЗ</t>
  </si>
  <si>
    <t>В-24687/КЛ.Транш - 1</t>
  </si>
  <si>
    <t>Паронян Егор Каренович</t>
  </si>
  <si>
    <t>В-24956/КЛ.Транш - 1</t>
  </si>
  <si>
    <t>Васильева Ирина Александровна</t>
  </si>
  <si>
    <t>В-25093/КЛ.Транш - 1</t>
  </si>
  <si>
    <t>Никульченков Сергей Анатольевич</t>
  </si>
  <si>
    <t>В-25093/КЛ.Транш - 1_В-21082023/Ц</t>
  </si>
  <si>
    <t>В-25131/КЛ_В-20211230/Ц</t>
  </si>
  <si>
    <t>В-25132/КЛ.Транш - 1</t>
  </si>
  <si>
    <t>В-25407/КЛ.Транш - 1</t>
  </si>
  <si>
    <t>Загребельный Юрий Николаевич</t>
  </si>
  <si>
    <t>В-25425/КЛ.Транш - 1</t>
  </si>
  <si>
    <t>Саркисов Никита Витальевич</t>
  </si>
  <si>
    <t>В-25494/АЗ</t>
  </si>
  <si>
    <t>В-25509/КЛ.Транш - 1</t>
  </si>
  <si>
    <t>Елисеев Вячеслав Викторович</t>
  </si>
  <si>
    <t>В-25530/КЛ.Транш - 1</t>
  </si>
  <si>
    <t>Гридяева Лариса Павловна</t>
  </si>
  <si>
    <t>В-25548/КЛ.Транш - 1</t>
  </si>
  <si>
    <t>В-25573/КЛ.Транш - 1</t>
  </si>
  <si>
    <t>В-25627/КЛ.Транш - 1</t>
  </si>
  <si>
    <t>В-25671/АЗ</t>
  </si>
  <si>
    <t>В-25764/КЛ.Транш - 1</t>
  </si>
  <si>
    <t>В-25807/АЗ</t>
  </si>
  <si>
    <t>В-25810/АЗ</t>
  </si>
  <si>
    <t>В-25824/КЛ.Транш - 1</t>
  </si>
  <si>
    <t>В-25852/КЛ.Транш - 1</t>
  </si>
  <si>
    <t>Пешков Владимир Сергеевич</t>
  </si>
  <si>
    <t>В-25922/КЛ.Транш - 1</t>
  </si>
  <si>
    <t>В-25981/АЗ</t>
  </si>
  <si>
    <t>Горбачев Денис Леонидович</t>
  </si>
  <si>
    <t>В-26069/АЗ</t>
  </si>
  <si>
    <t>Веселовская Галина Васильевна</t>
  </si>
  <si>
    <t>В-26114/КЛ.Транш - 1</t>
  </si>
  <si>
    <t>В-26125/АЗ</t>
  </si>
  <si>
    <t>В-26172/АЗ</t>
  </si>
  <si>
    <t>В-26197/КЛ.Транш - 1</t>
  </si>
  <si>
    <t>В-26409/КЛ.Транш - 1</t>
  </si>
  <si>
    <t>Кожухова Наталья Евгеньевна</t>
  </si>
  <si>
    <t>В-26422/КЛ.Транш - 1</t>
  </si>
  <si>
    <t>В-26432/АЗ</t>
  </si>
  <si>
    <t>В-26733/КЛ.Транш - 1</t>
  </si>
  <si>
    <t>В-26743/КЛ.Транш - 1</t>
  </si>
  <si>
    <t>Ерофеева Марина Игоревна</t>
  </si>
  <si>
    <t>В-26827/КЛ.Транш - 1</t>
  </si>
  <si>
    <t>Сапожников Станислав Михайлович</t>
  </si>
  <si>
    <t>А-00061/АЗ</t>
  </si>
  <si>
    <t>00020/АЗ</t>
  </si>
  <si>
    <t>00030-1/АЗ</t>
  </si>
  <si>
    <t>00032/АЗ</t>
  </si>
  <si>
    <t>00055/АЗ</t>
  </si>
  <si>
    <t>00097/АЗ</t>
  </si>
  <si>
    <t>00046/АЗ</t>
  </si>
  <si>
    <t>00141/АЗ</t>
  </si>
  <si>
    <t>00157/АЗ</t>
  </si>
  <si>
    <t>00168/АЗ</t>
  </si>
  <si>
    <t>00102/АЗ</t>
  </si>
  <si>
    <t>00191/АЗ</t>
  </si>
  <si>
    <t>00116/АЗ</t>
  </si>
  <si>
    <t>00202/АЗ</t>
  </si>
  <si>
    <t>00071/АЗ</t>
  </si>
  <si>
    <t>00083-2/АЗ</t>
  </si>
  <si>
    <t>00083/АЗ</t>
  </si>
  <si>
    <t>00222/АЗ</t>
  </si>
  <si>
    <t>00166/АЗ</t>
  </si>
  <si>
    <t>00232/АЗ</t>
  </si>
  <si>
    <t>00171/АЗ</t>
  </si>
  <si>
    <t>00241/АЗ</t>
  </si>
  <si>
    <t>00109/АЗ</t>
  </si>
  <si>
    <t>00179/АЗ</t>
  </si>
  <si>
    <t>00184/АЗ</t>
  </si>
  <si>
    <t>00127/АЗ</t>
  </si>
  <si>
    <t>А-00029/АЗ</t>
  </si>
  <si>
    <t>00041-2/АЗ</t>
  </si>
  <si>
    <t>00030/АЗ</t>
  </si>
  <si>
    <t>00096/АЗ</t>
  </si>
  <si>
    <t>00240/АЗ</t>
  </si>
  <si>
    <t>00276/АЗ</t>
  </si>
  <si>
    <t>00201/АЗ</t>
  </si>
  <si>
    <t>А-00019/АЗ</t>
  </si>
  <si>
    <t>А-00020/АЗ</t>
  </si>
  <si>
    <t>А-00036/АЗ</t>
  </si>
  <si>
    <t>00252-1/АЗ</t>
  </si>
  <si>
    <t>00268/АЗ</t>
  </si>
  <si>
    <t>00090/АЗ</t>
  </si>
  <si>
    <t>00159/АЗ</t>
  </si>
  <si>
    <t>00301/АЗ</t>
  </si>
  <si>
    <t>00113/АЗ</t>
  </si>
  <si>
    <t>А-00091/АЗ</t>
  </si>
  <si>
    <t>00252/АЗ</t>
  </si>
  <si>
    <t>А-00014/АЗ</t>
  </si>
  <si>
    <t>А-00015/АЗ</t>
  </si>
  <si>
    <t>А-00017/АЗ</t>
  </si>
  <si>
    <t>00019/АЗ</t>
  </si>
  <si>
    <t>00205/АЗ</t>
  </si>
  <si>
    <t>00290/АЗ</t>
  </si>
  <si>
    <t>00160/АЗ</t>
  </si>
  <si>
    <t>00296/АЗ</t>
  </si>
  <si>
    <t>00227/АЗ</t>
  </si>
  <si>
    <t>00272/АЗ</t>
  </si>
  <si>
    <t>00100/АЗ</t>
  </si>
  <si>
    <t>00271/АЗ</t>
  </si>
  <si>
    <t>00172/АЗ</t>
  </si>
  <si>
    <t>00104/АЗ</t>
  </si>
  <si>
    <t>А-00064/АЗ</t>
  </si>
  <si>
    <t>00318/АЗ</t>
  </si>
  <si>
    <t>00258-2/АЗ</t>
  </si>
  <si>
    <t>А-00034/АЗ</t>
  </si>
  <si>
    <t>А-00052/АЗ</t>
  </si>
  <si>
    <t>00049/АЗ</t>
  </si>
  <si>
    <t>А-00087/АЗ</t>
  </si>
  <si>
    <t>00312/АЗ</t>
  </si>
  <si>
    <t>А-00110/АЗ</t>
  </si>
  <si>
    <t>00284/АЗ</t>
  </si>
  <si>
    <t>00373/АЗ</t>
  </si>
  <si>
    <t>00346/АЗ</t>
  </si>
  <si>
    <t>00151/АЗ</t>
  </si>
  <si>
    <t>00269/АЗ</t>
  </si>
  <si>
    <t>00045/АЗ</t>
  </si>
  <si>
    <t>00230/АЗ</t>
  </si>
  <si>
    <t>А-00065/АЗ</t>
  </si>
  <si>
    <t>00331/АЗ</t>
  </si>
  <si>
    <t>00049-2/АЗ</t>
  </si>
  <si>
    <t>00397/АЗ</t>
  </si>
  <si>
    <t>А-00100/АЗ</t>
  </si>
  <si>
    <t>А-00054/АЗ</t>
  </si>
  <si>
    <t>00360/АЗ</t>
  </si>
  <si>
    <t>А-00062/АЗ</t>
  </si>
  <si>
    <t>00367/АЗ</t>
  </si>
  <si>
    <t>00307/АЗ</t>
  </si>
  <si>
    <t>А-00022/АЗ</t>
  </si>
  <si>
    <t>00292/АЗ</t>
  </si>
  <si>
    <t>00416/АЗ</t>
  </si>
  <si>
    <t>00430/АЗ</t>
  </si>
  <si>
    <t>А-00063/АЗ</t>
  </si>
  <si>
    <t>А-00067/АЗ</t>
  </si>
  <si>
    <t>А-00116/АЗ</t>
  </si>
  <si>
    <t>00324/АЗ</t>
  </si>
  <si>
    <t>00106/АЗ</t>
  </si>
  <si>
    <t>А-00080/АЗ</t>
  </si>
  <si>
    <t>А-00108/АЗ</t>
  </si>
  <si>
    <t>00314/АЗ</t>
  </si>
  <si>
    <t>00396/АЗ</t>
  </si>
  <si>
    <t>00326/АЗ</t>
  </si>
  <si>
    <t>00408/АЗ</t>
  </si>
  <si>
    <t>А-00090/АЗ</t>
  </si>
  <si>
    <t>А-00152/АЗ</t>
  </si>
  <si>
    <t>00425/АЗ</t>
  </si>
  <si>
    <t>00345/АЗ</t>
  </si>
  <si>
    <t>А-00037/АЗ</t>
  </si>
  <si>
    <t>А-00147/АЗ</t>
  </si>
  <si>
    <t>00357/АЗ</t>
  </si>
  <si>
    <t>А-00088/АЗ</t>
  </si>
  <si>
    <t>А-00150/АЗ</t>
  </si>
  <si>
    <t>00386/АЗ</t>
  </si>
  <si>
    <t>А-00160/АЗ</t>
  </si>
  <si>
    <t>А-00186/АЗ</t>
  </si>
  <si>
    <t>А-00187/АЗ</t>
  </si>
  <si>
    <t>А-00200/АЗ</t>
  </si>
  <si>
    <t>А-00202/АЗ</t>
  </si>
  <si>
    <t>А-00103/АЗ</t>
  </si>
  <si>
    <t>А-00137/АЗ</t>
  </si>
  <si>
    <t>А-00117/АЗ</t>
  </si>
  <si>
    <t>А-00174/АЗ</t>
  </si>
  <si>
    <t>А-00222/АЗ</t>
  </si>
  <si>
    <t>00414/АЗ</t>
  </si>
  <si>
    <t>А-00241/АЗ</t>
  </si>
  <si>
    <t>А-00144/АЗ</t>
  </si>
  <si>
    <t>А-00271/АЗ</t>
  </si>
  <si>
    <t>А-00212/АЗ</t>
  </si>
  <si>
    <t>А-00276/АЗ</t>
  </si>
  <si>
    <t>А-00278/АЗ</t>
  </si>
  <si>
    <t>А-00284/АЗ</t>
  </si>
  <si>
    <t>А-00285/АЗ</t>
  </si>
  <si>
    <t>А-00288/АЗ</t>
  </si>
  <si>
    <t>А-00295/АЗ</t>
  </si>
  <si>
    <t>А-00189/АЗ</t>
  </si>
  <si>
    <t>А-00324/АЗ</t>
  </si>
  <si>
    <t>А-00246/АЗ</t>
  </si>
  <si>
    <t>А-00336/АЗ</t>
  </si>
  <si>
    <t>А-00352/АЗ</t>
  </si>
  <si>
    <t>А-00372/АЗ</t>
  </si>
  <si>
    <t>А-00250/АЗ</t>
  </si>
  <si>
    <t>А-00296/АЗ</t>
  </si>
  <si>
    <t>А-00175/АЗ</t>
  </si>
  <si>
    <t>А-00161/АЗ</t>
  </si>
  <si>
    <t>А-00300/АЗ</t>
  </si>
  <si>
    <t>А-00248/АЗ</t>
  </si>
  <si>
    <t>А-00353/АЗ</t>
  </si>
  <si>
    <t>А-00409/АЗ</t>
  </si>
  <si>
    <t>А-00410/АЗ</t>
  </si>
  <si>
    <t>А-00321/АЗ</t>
  </si>
  <si>
    <t>А-00328/АЗ</t>
  </si>
  <si>
    <t>А-00253/АЗ</t>
  </si>
  <si>
    <t>А-00440/АЗ</t>
  </si>
  <si>
    <t>А-00228/АЗ</t>
  </si>
  <si>
    <t>А-00265/АЗ</t>
  </si>
  <si>
    <t>А-00179/АЗ</t>
  </si>
  <si>
    <t>А-00451/АЗ</t>
  </si>
  <si>
    <t>А-00454/АЗ</t>
  </si>
  <si>
    <t>А-00367/АЗ</t>
  </si>
  <si>
    <t>А-00383/АЗ</t>
  </si>
  <si>
    <t>А-00442/АЗ</t>
  </si>
  <si>
    <t>А-00443/АЗ</t>
  </si>
  <si>
    <t>А-00359/АЗ</t>
  </si>
  <si>
    <t>А-00291/АЗ</t>
  </si>
  <si>
    <t>А-00277/АЗ</t>
  </si>
  <si>
    <t>А-00493/АЗ</t>
  </si>
  <si>
    <t>А-00379/АЗ</t>
  </si>
  <si>
    <t>А-00444/АЗ</t>
  </si>
  <si>
    <t>А-00559/АЗ</t>
  </si>
  <si>
    <t>А-00566/АЗ</t>
  </si>
  <si>
    <t>А-00237/АЗ</t>
  </si>
  <si>
    <t>А-00459/АЗ</t>
  </si>
  <si>
    <t>А-00341/АЗ</t>
  </si>
  <si>
    <t>А-00427/АЗ</t>
  </si>
  <si>
    <t>А-00516/АЗ</t>
  </si>
  <si>
    <t>А-00299/АЗ</t>
  </si>
  <si>
    <t>А-00445/АЗ</t>
  </si>
  <si>
    <t>А-00412/АЗ</t>
  </si>
  <si>
    <t>А-00488/АЗ</t>
  </si>
  <si>
    <t>А-00514/АЗ</t>
  </si>
  <si>
    <t>А-00576/АЗ</t>
  </si>
  <si>
    <t>А-00254/АЗ</t>
  </si>
  <si>
    <t>А-00491/АЗ</t>
  </si>
  <si>
    <t>А-00522/АЗ</t>
  </si>
  <si>
    <t>Т-00013/АЗ</t>
  </si>
  <si>
    <t>Т-00015/АЗ</t>
  </si>
  <si>
    <t>Т-00030/АЗ</t>
  </si>
  <si>
    <t>А-00597/АЗ</t>
  </si>
  <si>
    <t>А-00599/АЗ</t>
  </si>
  <si>
    <t>А-00447/АЗ</t>
  </si>
  <si>
    <t>А-00586/АЗ</t>
  </si>
  <si>
    <t>А-00589/АЗ</t>
  </si>
  <si>
    <t>А-00608/АЗ</t>
  </si>
  <si>
    <t>А-00509/АЗ</t>
  </si>
  <si>
    <t>Т-00006/АЗ</t>
  </si>
  <si>
    <t>Т-00041/АЗ</t>
  </si>
  <si>
    <t>Т-00024/АЗ</t>
  </si>
  <si>
    <t>А-00483/АЗ</t>
  </si>
  <si>
    <t>А-00357/АЗ</t>
  </si>
  <si>
    <t>А-00405/АЗ</t>
  </si>
  <si>
    <t>А-00518/АЗ</t>
  </si>
  <si>
    <t>А-00569/АЗ</t>
  </si>
  <si>
    <t>А-00320/АЗ</t>
  </si>
  <si>
    <t>А-00596/АЗ</t>
  </si>
  <si>
    <t>А-00524/АЗ</t>
  </si>
  <si>
    <t>Т-00094/АЗ</t>
  </si>
  <si>
    <t>Т-00058/АЗ</t>
  </si>
  <si>
    <t>Т-00016/АЗ</t>
  </si>
  <si>
    <t>А-00512/АЗ</t>
  </si>
  <si>
    <t>Т-00108/АЗ</t>
  </si>
  <si>
    <t>А-00660/АЗ</t>
  </si>
  <si>
    <t>Т-00143/АЗ</t>
  </si>
  <si>
    <t>А-00643/АЗ</t>
  </si>
  <si>
    <t>Т-00160/АЗ</t>
  </si>
  <si>
    <t>Т-00185/АЗ</t>
  </si>
  <si>
    <t>А-00531/АЗ</t>
  </si>
  <si>
    <t>А-00619/АЗ</t>
  </si>
  <si>
    <t>Т-00069/АЗ</t>
  </si>
  <si>
    <t>Т-00125/АЗ</t>
  </si>
  <si>
    <t>А-00688/АЗ</t>
  </si>
  <si>
    <t>Т-00118/АЗ</t>
  </si>
  <si>
    <t>А-00504/АЗ</t>
  </si>
  <si>
    <t>А-00690/АЗ</t>
  </si>
  <si>
    <t>А-00426/АЗ</t>
  </si>
  <si>
    <t>Т-00175/АЗ</t>
  </si>
  <si>
    <t>Т-00168/АЗ</t>
  </si>
  <si>
    <t>А-00685/АЗ</t>
  </si>
  <si>
    <t>Т-00187/АЗ</t>
  </si>
  <si>
    <t>А-00492/АЗ</t>
  </si>
  <si>
    <t>Т-00205/АЗ</t>
  </si>
  <si>
    <t>Т-00179/АЗ</t>
  </si>
  <si>
    <t>Т-00055/АЗ</t>
  </si>
  <si>
    <t>Т-00098/АЗ</t>
  </si>
  <si>
    <t>А-00702/АЗ</t>
  </si>
  <si>
    <t>А-00505/АЗ</t>
  </si>
  <si>
    <t>Т-00176/АЗ</t>
  </si>
  <si>
    <t>Т-00278/АЗ</t>
  </si>
  <si>
    <t>Т-00180/АЗ</t>
  </si>
  <si>
    <t>Т-00114/АЗ</t>
  </si>
  <si>
    <t>Т-00141/АЗ</t>
  </si>
  <si>
    <t>Т-00231/АЗ</t>
  </si>
  <si>
    <t>Т-00375/АЗ</t>
  </si>
  <si>
    <t>Т-00240/АЗ</t>
  </si>
  <si>
    <t>Т-00146/АЗ</t>
  </si>
  <si>
    <t>А-00616/АЗ</t>
  </si>
  <si>
    <t>Т-00204/АЗ</t>
  </si>
  <si>
    <t>Т-00228/АЗ</t>
  </si>
  <si>
    <t>Т-00183/АЗ</t>
  </si>
  <si>
    <t>А-00732/АЗ</t>
  </si>
  <si>
    <t>Т-00425/АЗ</t>
  </si>
  <si>
    <t>А-00710/АЗ</t>
  </si>
  <si>
    <t>Т-00283/АЗ</t>
  </si>
  <si>
    <t>Т-00302/АЗ</t>
  </si>
  <si>
    <t>Т-00344/АЗ</t>
  </si>
  <si>
    <t>Т-00428/АЗ</t>
  </si>
  <si>
    <t>Т-00282/АЗ</t>
  </si>
  <si>
    <t>Т-00246/АЗ</t>
  </si>
  <si>
    <t>Т-00417/АЗ</t>
  </si>
  <si>
    <t>Т-00196/АЗ</t>
  </si>
  <si>
    <t>Т-00145/АЗ</t>
  </si>
  <si>
    <t>А-00587/АЗ</t>
  </si>
  <si>
    <t>А-00717/АЗ</t>
  </si>
  <si>
    <t>Т-00284/АЗ</t>
  </si>
  <si>
    <t>Т-00450/АЗ</t>
  </si>
  <si>
    <t>Т-00398/АЗ</t>
  </si>
  <si>
    <t>Т-00071/АЗ</t>
  </si>
  <si>
    <t>Т-00072/АЗ</t>
  </si>
  <si>
    <t>Т-00319/АЗ</t>
  </si>
  <si>
    <t>Т-00347/АЗ</t>
  </si>
  <si>
    <t>Т-00052/АЗ</t>
  </si>
  <si>
    <t>А-00802/АЗ</t>
  </si>
  <si>
    <t>Т-00383/АЗ</t>
  </si>
  <si>
    <t>А-00754/АЗ</t>
  </si>
  <si>
    <t>А-00792/АЗ</t>
  </si>
  <si>
    <t>А-00750/АЗ</t>
  </si>
  <si>
    <t>Т-00413/АЗ</t>
  </si>
  <si>
    <t>А-00687/АЗ</t>
  </si>
  <si>
    <t>А-00843/АЗ</t>
  </si>
  <si>
    <t>Т-00358/АЗ</t>
  </si>
  <si>
    <t>Т-00504/АЗ</t>
  </si>
  <si>
    <t>А-00851/АЗ</t>
  </si>
  <si>
    <t>Т-00224/АЗ</t>
  </si>
  <si>
    <t>Т-00435/АЗ</t>
  </si>
  <si>
    <t>А-00903/АЗ</t>
  </si>
  <si>
    <t>Т-00286/АЗ</t>
  </si>
  <si>
    <t>А-00863/АЗ</t>
  </si>
  <si>
    <t>А-00869/АЗ</t>
  </si>
  <si>
    <t>Т-00446/АЗ</t>
  </si>
  <si>
    <t>Т-00381/АЗ</t>
  </si>
  <si>
    <t>А-00858/АЗ</t>
  </si>
  <si>
    <t>Т-00267/АЗ</t>
  </si>
  <si>
    <t>Т-00437/АЗ</t>
  </si>
  <si>
    <t>А-00929/АЗ</t>
  </si>
  <si>
    <t>Т-00377/АЗ</t>
  </si>
  <si>
    <t>Т-00060/АЗ</t>
  </si>
  <si>
    <t>Т-00415/АЗ</t>
  </si>
  <si>
    <t>А-00915/АЗ</t>
  </si>
  <si>
    <t>А-00795/АЗ</t>
  </si>
  <si>
    <t>Т-00314/АЗ</t>
  </si>
  <si>
    <t>А-00627/АЗ</t>
  </si>
  <si>
    <t>Т-00467/АЗ</t>
  </si>
  <si>
    <t>Т-00313/АЗ</t>
  </si>
  <si>
    <t>А-00890/АЗ</t>
  </si>
  <si>
    <t>Т-00448/АЗ</t>
  </si>
  <si>
    <t>А-00790/АЗ</t>
  </si>
  <si>
    <t>Т-00472/АЗ</t>
  </si>
  <si>
    <t>А-00969/АЗ</t>
  </si>
  <si>
    <t>Т-00486/АЗ</t>
  </si>
  <si>
    <t>Т-00046/АЗ</t>
  </si>
  <si>
    <t>Т-00047/АЗ</t>
  </si>
  <si>
    <t>А-00878/АЗ</t>
  </si>
  <si>
    <t>А-00823/АЗ</t>
  </si>
  <si>
    <t>А-00923/АЗ</t>
  </si>
  <si>
    <t>А-00953/АЗ</t>
  </si>
  <si>
    <t>А-00911/АЗ</t>
  </si>
  <si>
    <t>Т-00430/АЗ</t>
  </si>
  <si>
    <t>Т-00394/АЗ</t>
  </si>
  <si>
    <t>А-00925/АЗ</t>
  </si>
  <si>
    <t>А-00674/АЗ</t>
  </si>
  <si>
    <t>А-00914/АЗ</t>
  </si>
  <si>
    <t>А-01001/АЗ</t>
  </si>
  <si>
    <t>А-00886/АЗ</t>
  </si>
  <si>
    <t>А-00752/АЗ</t>
  </si>
  <si>
    <t>Т-00513/АЗ</t>
  </si>
  <si>
    <t>А-00960/АЗ</t>
  </si>
  <si>
    <t>А-00768/АЗ</t>
  </si>
  <si>
    <t>Т-00161/АЗ</t>
  </si>
  <si>
    <t>А-00775/АЗ</t>
  </si>
  <si>
    <t>Т-00521/АЗ</t>
  </si>
  <si>
    <t>Т-00433/АЗ</t>
  </si>
  <si>
    <t>А-01115/АЗ</t>
  </si>
  <si>
    <t>Т-00395/АЗ</t>
  </si>
  <si>
    <t>Т-00410/АЗ</t>
  </si>
  <si>
    <t>Т-00494/АЗ</t>
  </si>
  <si>
    <t>А-01043/АЗ</t>
  </si>
  <si>
    <t>А-00999/АЗ</t>
  </si>
  <si>
    <t>Т-00362/АЗ</t>
  </si>
  <si>
    <t>Т-00519/АЗ</t>
  </si>
  <si>
    <t>А-00948/АЗ</t>
  </si>
  <si>
    <t>Т-00496/АЗ</t>
  </si>
  <si>
    <t>Т-00491/АЗ</t>
  </si>
  <si>
    <t>Т-00203/АЗ</t>
  </si>
  <si>
    <t>А-01069/АЗ</t>
  </si>
  <si>
    <t>Т-00453/АЗ</t>
  </si>
  <si>
    <t>Т-00057/АЗ</t>
  </si>
  <si>
    <t>Т-00379/АЗ</t>
  </si>
  <si>
    <t>А-00884/АЗ</t>
  </si>
  <si>
    <t>Т-00227/АЗ</t>
  </si>
  <si>
    <t>А-01095/АЗ</t>
  </si>
  <si>
    <t>Т-00193/АЗ</t>
  </si>
  <si>
    <t>А-01126/АЗ</t>
  </si>
  <si>
    <t>А-00831/АЗ</t>
  </si>
  <si>
    <t>А-01214/АЗ</t>
  </si>
  <si>
    <t>А-01300/АЗ</t>
  </si>
  <si>
    <t>А-00990/АЗ</t>
  </si>
  <si>
    <t>А-01083/АЗ</t>
  </si>
  <si>
    <t>А-00938/АЗ</t>
  </si>
  <si>
    <t>А-01329/АЗ</t>
  </si>
  <si>
    <t>А-01007/АЗ</t>
  </si>
  <si>
    <t>А-00932/АЗ</t>
  </si>
  <si>
    <t>А-00974/АЗ</t>
  </si>
  <si>
    <t>А-01180/АЗ</t>
  </si>
  <si>
    <t>А-00952/АЗ</t>
  </si>
  <si>
    <t>Т-00397/АЗ</t>
  </si>
  <si>
    <t>А-01109/АЗ</t>
  </si>
  <si>
    <t>А-01168/АЗ</t>
  </si>
  <si>
    <t>Т-00508/АЗ</t>
  </si>
  <si>
    <t>А-01062/АЗ</t>
  </si>
  <si>
    <t>А-00781/АЗ</t>
  </si>
  <si>
    <t>А-01073/АЗ</t>
  </si>
  <si>
    <t>А-01070/АЗ</t>
  </si>
  <si>
    <t>А-01016/АЗ</t>
  </si>
  <si>
    <t>А-01000/АЗ</t>
  </si>
  <si>
    <t>А-00898/АЗ</t>
  </si>
  <si>
    <t>Т-00468/АЗ</t>
  </si>
  <si>
    <t>А-01104/АЗ</t>
  </si>
  <si>
    <t>Т-00532/АЗ</t>
  </si>
  <si>
    <t>А-01256/АЗ</t>
  </si>
  <si>
    <t>А-00956/АЗ</t>
  </si>
  <si>
    <t>А-00982/АЗ</t>
  </si>
  <si>
    <t>А-01206/АЗ</t>
  </si>
  <si>
    <t>А-01204/АЗ</t>
  </si>
  <si>
    <t>А-01195/АЗ</t>
  </si>
  <si>
    <t>А-01140/АЗ</t>
  </si>
  <si>
    <t>А-01163/АЗ</t>
  </si>
  <si>
    <t>А-01319/АЗ</t>
  </si>
  <si>
    <t>А-01134/АЗ</t>
  </si>
  <si>
    <t>Т-00288/АЗ</t>
  </si>
  <si>
    <t>А-01114/АЗ</t>
  </si>
  <si>
    <t>А-01087/АЗ</t>
  </si>
  <si>
    <t>А-01123/АЗ</t>
  </si>
  <si>
    <t>Т-00392/АЗ</t>
  </si>
  <si>
    <t>Т-00463/АЗ</t>
  </si>
  <si>
    <t>Т-00371/АЗ</t>
  </si>
  <si>
    <t>Т-00310/АЗ</t>
  </si>
  <si>
    <t>А-01379/АЗ</t>
  </si>
  <si>
    <t>А-01248/АЗ</t>
  </si>
  <si>
    <t>Т-00280/АЗ</t>
  </si>
  <si>
    <t>А-00874/АЗ</t>
  </si>
  <si>
    <t>А-00939/АЗ</t>
  </si>
  <si>
    <t>А-01311/АЗ</t>
  </si>
  <si>
    <t>А-01170/АЗ</t>
  </si>
  <si>
    <t>А-01097/АЗ</t>
  </si>
  <si>
    <t>А-01078/АЗ</t>
  </si>
  <si>
    <t>А-01291/АЗ</t>
  </si>
  <si>
    <t>Т-00571/АЗ</t>
  </si>
  <si>
    <t>А-01143/АЗ</t>
  </si>
  <si>
    <t>А-01217/АЗ</t>
  </si>
  <si>
    <t>Т-00353/АЗ</t>
  </si>
  <si>
    <t>А-01193/АЗ</t>
  </si>
  <si>
    <t>А-00942/АЗ</t>
  </si>
  <si>
    <t>А-01437/АЗ</t>
  </si>
  <si>
    <t>А-00986/АЗ</t>
  </si>
  <si>
    <t>А-01375/АЗ</t>
  </si>
  <si>
    <t>А-01257/АЗ</t>
  </si>
  <si>
    <t>А-01279/АЗ</t>
  </si>
  <si>
    <t>А-01294/АЗ</t>
  </si>
  <si>
    <t>А-01463/АЗ</t>
  </si>
  <si>
    <t>А-01323/АЗ</t>
  </si>
  <si>
    <t>А-01182/АЗ</t>
  </si>
  <si>
    <t>Т-00511/АЗ</t>
  </si>
  <si>
    <t>А-01265/АЗ</t>
  </si>
  <si>
    <t>А-01534/АЗ</t>
  </si>
  <si>
    <t>Т-00593/АЗ</t>
  </si>
  <si>
    <t>А-01009/АЗ</t>
  </si>
  <si>
    <t>А-01557/АЗ</t>
  </si>
  <si>
    <t>А-01583/АЗ</t>
  </si>
  <si>
    <t>А-01189/АЗ</t>
  </si>
  <si>
    <t>А-01716/АЗ</t>
  </si>
  <si>
    <t>Т-00544/АЗ</t>
  </si>
  <si>
    <t>А-01468/АЗ</t>
  </si>
  <si>
    <t>А-01054/АЗ</t>
  </si>
  <si>
    <t>А-01405/АЗ</t>
  </si>
  <si>
    <t>А-01190/АЗ</t>
  </si>
  <si>
    <t>Т-00345/АЗ</t>
  </si>
  <si>
    <t>А-01357/АЗ</t>
  </si>
  <si>
    <t>А-01356/АЗ</t>
  </si>
  <si>
    <t>А-01358/АЗ</t>
  </si>
  <si>
    <t>А-01504/АЗ</t>
  </si>
  <si>
    <t>А-01521/АЗ</t>
  </si>
  <si>
    <t>А-01579/АЗ</t>
  </si>
  <si>
    <t>Т-00598/АЗ</t>
  </si>
  <si>
    <t>А-01326/АЗ</t>
  </si>
  <si>
    <t>Т-00407/АЗ</t>
  </si>
  <si>
    <t>А-01127/АЗ</t>
  </si>
  <si>
    <t>А-01251/АЗ</t>
  </si>
  <si>
    <t>А-00892/АЗ</t>
  </si>
  <si>
    <t>А-01629/АЗ</t>
  </si>
  <si>
    <t>Т-00636/АЗ</t>
  </si>
  <si>
    <t>А-01490/АЗ</t>
  </si>
  <si>
    <t>А-01266/АЗ</t>
  </si>
  <si>
    <t>А-01475/АЗ</t>
  </si>
  <si>
    <t>А-01425/АЗ</t>
  </si>
  <si>
    <t>А-01432/АЗ</t>
  </si>
  <si>
    <t>А-01539/АЗ</t>
  </si>
  <si>
    <t>А-01565/АЗ</t>
  </si>
  <si>
    <t>А-01449/АЗ</t>
  </si>
  <si>
    <t>А-01569/АЗ</t>
  </si>
  <si>
    <t>А-01720/АЗ</t>
  </si>
  <si>
    <t>Т-00582/АЗ</t>
  </si>
  <si>
    <t>А-01584/АЗ</t>
  </si>
  <si>
    <t>А-01494/АЗ</t>
  </si>
  <si>
    <t>Т-00360/АЗ</t>
  </si>
  <si>
    <t>А-01675/АЗ</t>
  </si>
  <si>
    <t>А-01597/АЗ</t>
  </si>
  <si>
    <t>Т-00611/АЗ</t>
  </si>
  <si>
    <t>А-01821/АЗ</t>
  </si>
  <si>
    <t>А-01812/АЗ</t>
  </si>
  <si>
    <t>А-01771/АЗ</t>
  </si>
  <si>
    <t>А-01719/АЗ</t>
  </si>
  <si>
    <t>А-01252/АЗ</t>
  </si>
  <si>
    <t>А-01600/АЗ</t>
  </si>
  <si>
    <t>А-01610/АЗ</t>
  </si>
  <si>
    <t>А-01075/АЗ</t>
  </si>
  <si>
    <t>А-01728/АЗ</t>
  </si>
  <si>
    <t>А-01440/АЗ</t>
  </si>
  <si>
    <t>А-01766/АЗ</t>
  </si>
  <si>
    <t>А-01489/АЗ</t>
  </si>
  <si>
    <t>Т-00645/АЗ</t>
  </si>
  <si>
    <t>Т-00684/АЗ</t>
  </si>
  <si>
    <t>Т-00572/АЗ</t>
  </si>
  <si>
    <t>А-01946/АЗ</t>
  </si>
  <si>
    <t>Т-00738/АЗ</t>
  </si>
  <si>
    <t>А-01986/АЗ</t>
  </si>
  <si>
    <t>А-01713/АЗ</t>
  </si>
  <si>
    <t>Т-00621/АЗ</t>
  </si>
  <si>
    <t>Т-00638/АЗ</t>
  </si>
  <si>
    <t>А-01342/АЗ</t>
  </si>
  <si>
    <t>А-01706/АЗ</t>
  </si>
  <si>
    <t>А-01775/АЗ</t>
  </si>
  <si>
    <t>А-01874/АЗ</t>
  </si>
  <si>
    <t>А-01614/АЗ</t>
  </si>
  <si>
    <t>Т-00462/АЗ</t>
  </si>
  <si>
    <t>А-01974/АЗ</t>
  </si>
  <si>
    <t>А-01770/АЗ</t>
  </si>
  <si>
    <t>Т-00665/АЗ</t>
  </si>
  <si>
    <t>А-01698/АЗ</t>
  </si>
  <si>
    <t>А-01607/АЗ</t>
  </si>
  <si>
    <t>Т-00708/АЗ</t>
  </si>
  <si>
    <t>Т-00698/АЗ</t>
  </si>
  <si>
    <t>А-01784/АЗ</t>
  </si>
  <si>
    <t>Т-00837/АЗ</t>
  </si>
  <si>
    <t>Т-00049/АЗ</t>
  </si>
  <si>
    <t>А-01993/АЗ</t>
  </si>
  <si>
    <t>А-01679/АЗ</t>
  </si>
  <si>
    <t>А-01972/АЗ</t>
  </si>
  <si>
    <t>А-01027/АЗ</t>
  </si>
  <si>
    <t>Т-00866/АЗ</t>
  </si>
  <si>
    <t>А-01790/АЗ</t>
  </si>
  <si>
    <t>А-01984/АЗ</t>
  </si>
  <si>
    <t>А-01891/АЗ</t>
  </si>
  <si>
    <t>Т-00673/АЗ</t>
  </si>
  <si>
    <t>А-01665/АЗ</t>
  </si>
  <si>
    <t>А-02017/АЗ</t>
  </si>
  <si>
    <t>А-02158/АЗ</t>
  </si>
  <si>
    <t>А-01543/АЗ</t>
  </si>
  <si>
    <t>Т-00583/АЗ</t>
  </si>
  <si>
    <t>А-01952/АЗ</t>
  </si>
  <si>
    <t>Т-00895/АЗ</t>
  </si>
  <si>
    <t>Т-00657/АЗ</t>
  </si>
  <si>
    <t>А-02114/АЗ</t>
  </si>
  <si>
    <t>Т-00820/АЗ</t>
  </si>
  <si>
    <t>Т-00884/АЗ</t>
  </si>
  <si>
    <t>Т-00883/АЗ</t>
  </si>
  <si>
    <t>А-01796/АЗ</t>
  </si>
  <si>
    <t>Т-00734/АЗ</t>
  </si>
  <si>
    <t>Т-00822/АЗ</t>
  </si>
  <si>
    <t>Т-00745/АЗ</t>
  </si>
  <si>
    <t>А-01930/АЗ</t>
  </si>
  <si>
    <t>Т-00624/АЗ</t>
  </si>
  <si>
    <t>Т-00769/АЗ</t>
  </si>
  <si>
    <t>А-01853/АЗ</t>
  </si>
  <si>
    <t>А-01866/АЗ</t>
  </si>
  <si>
    <t>Т-00756/АЗ</t>
  </si>
  <si>
    <t>А-02102/АЗ</t>
  </si>
  <si>
    <t>А-01738/АЗ</t>
  </si>
  <si>
    <t>Т-00873/АЗ</t>
  </si>
  <si>
    <t>Т-00885/АЗ</t>
  </si>
  <si>
    <t>А-02137/АЗ</t>
  </si>
  <si>
    <t>А-02174/АЗ</t>
  </si>
  <si>
    <t>А-02197/АЗ</t>
  </si>
  <si>
    <t>А-02120/АЗ</t>
  </si>
  <si>
    <t>И-00015/АЗ</t>
  </si>
  <si>
    <t>А-02085/АЗ</t>
  </si>
  <si>
    <t>А-02086/АЗ</t>
  </si>
  <si>
    <t>Т-01020/АЗ</t>
  </si>
  <si>
    <t>А-02357/АЗ</t>
  </si>
  <si>
    <t>Т-01055/АЗ</t>
  </si>
  <si>
    <t>А-02257/АЗ</t>
  </si>
  <si>
    <t>Т-00904/АЗ</t>
  </si>
  <si>
    <t>Т-00943/АЗ</t>
  </si>
  <si>
    <t>А-02150/АЗ</t>
  </si>
  <si>
    <t>А-02294/АЗ</t>
  </si>
  <si>
    <t>А-02070/АЗ</t>
  </si>
  <si>
    <t>Т-01158/АЗ</t>
  </si>
  <si>
    <t>А-02713/АЗ</t>
  </si>
  <si>
    <t>А-02646/АЗ</t>
  </si>
  <si>
    <t>А-02529/АЗ</t>
  </si>
  <si>
    <t>Т-01186/АЗ</t>
  </si>
  <si>
    <t>А-02792/АЗ</t>
  </si>
  <si>
    <t>А-02488/АЗ</t>
  </si>
  <si>
    <t>А-02449/АЗ</t>
  </si>
  <si>
    <t>Т-01193/АЗ</t>
  </si>
  <si>
    <t>А-02816/АЗ</t>
  </si>
  <si>
    <t>Т-00891/АЗ</t>
  </si>
  <si>
    <t>А-02755/АЗ</t>
  </si>
  <si>
    <t>И-00037/АЗ</t>
  </si>
  <si>
    <t>Т-00817/АЗ</t>
  </si>
  <si>
    <t>А-02635/АЗ</t>
  </si>
  <si>
    <t>Т-00879/АЗ</t>
  </si>
  <si>
    <t>А-02937/АЗ</t>
  </si>
  <si>
    <t>Т-01173/АЗ</t>
  </si>
  <si>
    <t>А-02753/АЗ</t>
  </si>
  <si>
    <t>Т-01238/АЗ</t>
  </si>
  <si>
    <t>А-02939/АЗ</t>
  </si>
  <si>
    <t>А-02524/АЗ</t>
  </si>
  <si>
    <t>Т-01141/АЗ</t>
  </si>
  <si>
    <t>А-02631/АЗ</t>
  </si>
  <si>
    <t>Т-01228/АЗ</t>
  </si>
  <si>
    <t>А-02905/АЗ</t>
  </si>
  <si>
    <t>И-00038/АЗ</t>
  </si>
  <si>
    <t>А-02590/АЗ</t>
  </si>
  <si>
    <t>Т-01124/АЗ</t>
  </si>
  <si>
    <t>А-02656/АЗ</t>
  </si>
  <si>
    <t>Т-01230/АЗ</t>
  </si>
  <si>
    <t>А-02915/АЗ</t>
  </si>
  <si>
    <t>А-02639/АЗ</t>
  </si>
  <si>
    <t>А-03226/АЗ</t>
  </si>
  <si>
    <t>Т-01284/АЗ</t>
  </si>
  <si>
    <t>А-03093/АЗ</t>
  </si>
  <si>
    <t>Т-01196/АЗ</t>
  </si>
  <si>
    <t>А-02820/АЗ</t>
  </si>
  <si>
    <t>А-02880/АЗ</t>
  </si>
  <si>
    <t>А-03153/АЗ</t>
  </si>
  <si>
    <t>Т-01325/АЗ</t>
  </si>
  <si>
    <t>А-03267/АЗ</t>
  </si>
  <si>
    <t>Т-01316/АЗ</t>
  </si>
  <si>
    <t>А-03234/АЗ</t>
  </si>
  <si>
    <t>А-02957/АЗ</t>
  </si>
  <si>
    <t>А-02913/АЗ</t>
  </si>
  <si>
    <t>А-03347/АЗ</t>
  </si>
  <si>
    <t>Т-01351/АЗ</t>
  </si>
  <si>
    <t>А-02655/АЗ</t>
  </si>
  <si>
    <t>А-00032/ИЗ</t>
  </si>
  <si>
    <t>А-00015/ИЗ</t>
  </si>
  <si>
    <t>Т-01078/АЗ</t>
  </si>
  <si>
    <t>А-03425/АЗ</t>
  </si>
  <si>
    <t>А-02944/АЗ</t>
  </si>
  <si>
    <t>Т-01222/АЗ</t>
  </si>
  <si>
    <t>А-02889/АЗ</t>
  </si>
  <si>
    <t>А-03191/АЗ</t>
  </si>
  <si>
    <t>Т-01275/АЗ</t>
  </si>
  <si>
    <t>А-03061/АЗ</t>
  </si>
  <si>
    <t>А-03172/АЗ</t>
  </si>
  <si>
    <t>А-02421/АЗ</t>
  </si>
  <si>
    <t>А-03562/АЗ</t>
  </si>
  <si>
    <t>А-03342/АЗ</t>
  </si>
  <si>
    <t>А-03221/АЗ</t>
  </si>
  <si>
    <t>А-03783/АЗ</t>
  </si>
  <si>
    <t>А-03167/АЗ</t>
  </si>
  <si>
    <t>А-03237/АЗ</t>
  </si>
  <si>
    <t>Т-01236/АЗ</t>
  </si>
  <si>
    <t>А-02936/АЗ</t>
  </si>
  <si>
    <t>И-00042/АЗ</t>
  </si>
  <si>
    <t>А-03033/АЗ</t>
  </si>
  <si>
    <t>А-02821/АЗ</t>
  </si>
  <si>
    <t>А-03684/АЗ</t>
  </si>
  <si>
    <t>А-03137/АЗ</t>
  </si>
  <si>
    <t>А-03429/АЗ</t>
  </si>
  <si>
    <t>А-03771/АЗ</t>
  </si>
  <si>
    <t>А-03599/АЗ</t>
  </si>
  <si>
    <t>Т-01378/АЗ</t>
  </si>
  <si>
    <t>А-03447/АЗ</t>
  </si>
  <si>
    <t>А-03437/АЗ</t>
  </si>
  <si>
    <t>А-03762/АЗ</t>
  </si>
  <si>
    <t>А-03627/АЗ</t>
  </si>
  <si>
    <t>А-03507/АЗ</t>
  </si>
  <si>
    <t>А-03292/АЗ</t>
  </si>
  <si>
    <t>А-00034/БЭ</t>
  </si>
  <si>
    <t>Т-01373/АЗ</t>
  </si>
  <si>
    <t>А-03430/АЗ</t>
  </si>
  <si>
    <t>Т-01371/АЗ</t>
  </si>
  <si>
    <t>А-03423/АЗ</t>
  </si>
  <si>
    <t>Т-01313/АЗ</t>
  </si>
  <si>
    <t>И-00055/АЗ</t>
  </si>
  <si>
    <t>А-03214/АЗ</t>
  </si>
  <si>
    <t>А-03814/АЗ</t>
  </si>
  <si>
    <t>А-03792/АЗ</t>
  </si>
  <si>
    <t>А-03128/АЗ</t>
  </si>
  <si>
    <t>А-02682/АЗ</t>
  </si>
  <si>
    <t>А-03999/АЗ</t>
  </si>
  <si>
    <t>А-03925/АЗ</t>
  </si>
  <si>
    <t>Т-10003/БЭ</t>
  </si>
  <si>
    <t>Т-01425/АЗ</t>
  </si>
  <si>
    <t>А-03653/АЗ</t>
  </si>
  <si>
    <t>А-03483/АЗ</t>
  </si>
  <si>
    <t>А-00039/БЭ</t>
  </si>
  <si>
    <t>А-04056/АЗ</t>
  </si>
  <si>
    <t>А-03787/АЗ</t>
  </si>
  <si>
    <t>А-03766/АЗ</t>
  </si>
  <si>
    <t>Т-01596/АЗ</t>
  </si>
  <si>
    <t>А-04542/АЗ</t>
  </si>
  <si>
    <t>А-00001/БЭ</t>
  </si>
  <si>
    <t>Т-01424/АЗ</t>
  </si>
  <si>
    <t>А-03648/АЗ</t>
  </si>
  <si>
    <t>А-03879/АЗ</t>
  </si>
  <si>
    <t>А-04088/АЗ</t>
  </si>
  <si>
    <t>А-04096/АЗ</t>
  </si>
  <si>
    <t>А-03980/АЗ</t>
  </si>
  <si>
    <t>А-10010/БЭ</t>
  </si>
  <si>
    <t>А-03633/АЗ</t>
  </si>
  <si>
    <t>А-04092/АЗ</t>
  </si>
  <si>
    <t>А-03820/АЗ</t>
  </si>
  <si>
    <t>А-04041/АЗ</t>
  </si>
  <si>
    <t>Т-01396/АЗ</t>
  </si>
  <si>
    <t>А-03544/АЗ</t>
  </si>
  <si>
    <t>И-00119/АЗ</t>
  </si>
  <si>
    <t>Т-01438/АЗ</t>
  </si>
  <si>
    <t>А-03695/АЗ</t>
  </si>
  <si>
    <t>А-04242/АЗ</t>
  </si>
  <si>
    <t>А-00029/ИЗ</t>
  </si>
  <si>
    <t>А-04206/АЗ</t>
  </si>
  <si>
    <t>А-03559/АЗ</t>
  </si>
  <si>
    <t>Т-01579/АЗ</t>
  </si>
  <si>
    <t>А-04317/АЗ</t>
  </si>
  <si>
    <t>А-03511/АЗ</t>
  </si>
  <si>
    <t>А-04165/АЗ</t>
  </si>
  <si>
    <t>А-03918/АЗ</t>
  </si>
  <si>
    <t>А-04335/АЗ</t>
  </si>
  <si>
    <t>А-03397/АЗ</t>
  </si>
  <si>
    <t>А-04151/АЗ</t>
  </si>
  <si>
    <t>А-04337/АЗ</t>
  </si>
  <si>
    <t>А-03674/АЗ</t>
  </si>
  <si>
    <t>Т-01585/АЗ</t>
  </si>
  <si>
    <t>А-04341/АЗ</t>
  </si>
  <si>
    <t>А-04464/АЗ</t>
  </si>
  <si>
    <t>А-04382/АЗ</t>
  </si>
  <si>
    <t>А-03997/АЗ</t>
  </si>
  <si>
    <t>А-03770/АЗ</t>
  </si>
  <si>
    <t>А-04504/АЗ</t>
  </si>
  <si>
    <t>А-04539/АЗ</t>
  </si>
  <si>
    <t>А-04173/АЗ</t>
  </si>
  <si>
    <t>А-03934/АЗ</t>
  </si>
  <si>
    <t>А-03768/АЗ</t>
  </si>
  <si>
    <t>А-04548/АЗ</t>
  </si>
  <si>
    <t>Т-01413/АЗ</t>
  </si>
  <si>
    <t>А-03590/АЗ</t>
  </si>
  <si>
    <t>А-04488/АЗ</t>
  </si>
  <si>
    <t>А-04034/АЗ</t>
  </si>
  <si>
    <t>А-04158/АЗ</t>
  </si>
  <si>
    <t>А-10016/БЭ</t>
  </si>
  <si>
    <t>А-03750/АЗ</t>
  </si>
  <si>
    <t>А-03938/АЗ</t>
  </si>
  <si>
    <t>А-04419/АЗ</t>
  </si>
  <si>
    <t>А-04771/АЗ</t>
  </si>
  <si>
    <t>А-04615/АЗ</t>
  </si>
  <si>
    <t>А-03788/АЗ</t>
  </si>
  <si>
    <t>А-03749/АЗ</t>
  </si>
  <si>
    <t>И-00148/АЗ</t>
  </si>
  <si>
    <t>Т-01510/АЗ</t>
  </si>
  <si>
    <t>А-04015/АЗ</t>
  </si>
  <si>
    <t>Т-01539/АЗ</t>
  </si>
  <si>
    <t>А-04156/АЗ</t>
  </si>
  <si>
    <t>Т-01643/АЗ</t>
  </si>
  <si>
    <t>А-04669/АЗ</t>
  </si>
  <si>
    <t>И-00164/АЗ</t>
  </si>
  <si>
    <t>И-00125/АЗ</t>
  </si>
  <si>
    <t>А-04677/АЗ</t>
  </si>
  <si>
    <t>А-04695/АЗ</t>
  </si>
  <si>
    <t>А-04705/АЗ</t>
  </si>
  <si>
    <t>И-00086/АЗ</t>
  </si>
  <si>
    <t>А-04728/АЗ</t>
  </si>
  <si>
    <t>А-04117/АЗ</t>
  </si>
  <si>
    <t>А-04003/АЗ</t>
  </si>
  <si>
    <t>Т-01659/АЗ</t>
  </si>
  <si>
    <t>А-04753/АЗ</t>
  </si>
  <si>
    <t>А-04541/АЗ</t>
  </si>
  <si>
    <t>Т-01457/АЗ</t>
  </si>
  <si>
    <t>А-03753/АЗ</t>
  </si>
  <si>
    <t>А-04658/АЗ</t>
  </si>
  <si>
    <t>А-03926/АЗ</t>
  </si>
  <si>
    <t>А-04888/АЗ</t>
  </si>
  <si>
    <t>Т-01554/АЗ</t>
  </si>
  <si>
    <t>А-04196/АЗ</t>
  </si>
  <si>
    <t>А-04132/АЗ</t>
  </si>
  <si>
    <t>А-04681/АЗ</t>
  </si>
  <si>
    <t>А-04680/АЗ</t>
  </si>
  <si>
    <t>Т-01509/АЗ</t>
  </si>
  <si>
    <t>А-04014/АЗ</t>
  </si>
  <si>
    <t>А-04355/АЗ</t>
  </si>
  <si>
    <t>Т-01607/АЗ</t>
  </si>
  <si>
    <t>А-04470/АЗ</t>
  </si>
  <si>
    <t>Т-10002/БЭ</t>
  </si>
  <si>
    <t>А-04538/АЗ</t>
  </si>
  <si>
    <t>А-04656/АЗ</t>
  </si>
  <si>
    <t>Т-01638/АЗ</t>
  </si>
  <si>
    <t>А-04789/АЗ</t>
  </si>
  <si>
    <t>А-03837/АЗ</t>
  </si>
  <si>
    <t>А-04167/АЗ</t>
  </si>
  <si>
    <t>А-04942/АЗ</t>
  </si>
  <si>
    <t>А-04594/АЗ</t>
  </si>
  <si>
    <t>Т-01601/АЗ</t>
  </si>
  <si>
    <t>А-04432/АЗ</t>
  </si>
  <si>
    <t>А-04543/АЗ</t>
  </si>
  <si>
    <t>А-04590/АЗ</t>
  </si>
  <si>
    <t>А-04611/АЗ</t>
  </si>
  <si>
    <t>А-04497/АЗ</t>
  </si>
  <si>
    <t>А-04801/АЗ</t>
  </si>
  <si>
    <t>Т-01611/АЗ</t>
  </si>
  <si>
    <t>А-04499/АЗ</t>
  </si>
  <si>
    <t>А-04701/АЗ</t>
  </si>
  <si>
    <t>А-04895/АЗ</t>
  </si>
  <si>
    <t>А-05030/АЗ</t>
  </si>
  <si>
    <t>А-04812/АЗ</t>
  </si>
  <si>
    <t>А-04644/АЗ</t>
  </si>
  <si>
    <t>А-04757/АЗ</t>
  </si>
  <si>
    <t>А-04815/АЗ</t>
  </si>
  <si>
    <t>А-05006/АЗ</t>
  </si>
  <si>
    <t>А-05160/АЗ</t>
  </si>
  <si>
    <t>А-04973/АЗ</t>
  </si>
  <si>
    <t>А-04403/АЗ</t>
  </si>
  <si>
    <t>Т-01572/АЗ</t>
  </si>
  <si>
    <t>Т-01571/АЗ</t>
  </si>
  <si>
    <t>А-04282/АЗ</t>
  </si>
  <si>
    <t>А-04281/АЗ</t>
  </si>
  <si>
    <t>Т-01672/АЗ</t>
  </si>
  <si>
    <t>А-04829/АЗ</t>
  </si>
  <si>
    <t>А-04027/АЗ</t>
  </si>
  <si>
    <t>А-04398/АЗ</t>
  </si>
  <si>
    <t>Т-01775/АЗ</t>
  </si>
  <si>
    <t>А-05285/АЗ</t>
  </si>
  <si>
    <t>А-04329/АЗ</t>
  </si>
  <si>
    <t>А-04607/АЗ</t>
  </si>
  <si>
    <t>Т-01707/АЗ</t>
  </si>
  <si>
    <t>А-04237/АЗ</t>
  </si>
  <si>
    <t>А-04535/АЗ</t>
  </si>
  <si>
    <t>А-05114/АЗ</t>
  </si>
  <si>
    <t>А-04070/АЗ</t>
  </si>
  <si>
    <t>А-05171/АЗ</t>
  </si>
  <si>
    <t>А-04266/АЗ</t>
  </si>
  <si>
    <t>И-00097/АЗ</t>
  </si>
  <si>
    <t>Т-01716/АЗ</t>
  </si>
  <si>
    <t>А-05048/АЗ</t>
  </si>
  <si>
    <t>Т-10005/БЭ</t>
  </si>
  <si>
    <t>А-04676/АЗ</t>
  </si>
  <si>
    <t>Т-01724/АЗ</t>
  </si>
  <si>
    <t>А-04571/АЗ</t>
  </si>
  <si>
    <t>А-04805/АЗ</t>
  </si>
  <si>
    <t>Т-01745/АЗ</t>
  </si>
  <si>
    <t>А-05156/АЗ</t>
  </si>
  <si>
    <t>А-05060/АЗ</t>
  </si>
  <si>
    <t>А-04193/АЗ</t>
  </si>
  <si>
    <t>А-04818/АЗ</t>
  </si>
  <si>
    <t>А-00019/ИЗ</t>
  </si>
  <si>
    <t>А-10019/БЭ</t>
  </si>
  <si>
    <t>А-04962/АЗ</t>
  </si>
  <si>
    <t>А-04842/АЗ</t>
  </si>
  <si>
    <t>А-05198/АЗ</t>
  </si>
  <si>
    <t>И-00170/АЗ</t>
  </si>
  <si>
    <t>А-05073/АЗ</t>
  </si>
  <si>
    <t>И-00067/АЗ</t>
  </si>
  <si>
    <t>Т-01754/АЗ</t>
  </si>
  <si>
    <t>А-04735/АЗ</t>
  </si>
  <si>
    <t>А-04323/АЗ</t>
  </si>
  <si>
    <t>Т-01720/АЗ</t>
  </si>
  <si>
    <t>А-05074/АЗ</t>
  </si>
  <si>
    <t>Т-01524/АЗ</t>
  </si>
  <si>
    <t>А-04089/АЗ</t>
  </si>
  <si>
    <t>Т-01682/АЗ</t>
  </si>
  <si>
    <t>А-04872/АЗ</t>
  </si>
  <si>
    <t>Т-01758/АЗ</t>
  </si>
  <si>
    <t>А-04925/АЗ</t>
  </si>
  <si>
    <t>А-04668/АЗ</t>
  </si>
  <si>
    <t>Т-01642/АЗ</t>
  </si>
  <si>
    <t>И-00163/АЗ</t>
  </si>
  <si>
    <t>А-05230/АЗ</t>
  </si>
  <si>
    <t>А-04698/АЗ</t>
  </si>
  <si>
    <t>А-05123/АЗ</t>
  </si>
  <si>
    <t>А-05137/АЗ</t>
  </si>
  <si>
    <t>А-04802/АЗ</t>
  </si>
  <si>
    <t>Т-01805/АЗ</t>
  </si>
  <si>
    <t>А-05346/АЗ</t>
  </si>
  <si>
    <t>В-00313/АЗ</t>
  </si>
  <si>
    <t>А-04202/АЗ</t>
  </si>
  <si>
    <t>А-04868/АЗ</t>
  </si>
  <si>
    <t>А-03933/АЗ</t>
  </si>
  <si>
    <t>В-00052/АЗ</t>
  </si>
  <si>
    <t>А-04601/АЗ</t>
  </si>
  <si>
    <t>А-05031/АЗ</t>
  </si>
  <si>
    <t>А-05100/АЗ</t>
  </si>
  <si>
    <t>А-05159/АЗ</t>
  </si>
  <si>
    <t>А-04911/АЗ</t>
  </si>
  <si>
    <t>А-05228/АЗ</t>
  </si>
  <si>
    <t>А-05335/АЗ</t>
  </si>
  <si>
    <t>В-00243/АЗ</t>
  </si>
  <si>
    <t>И-00154/АЗ</t>
  </si>
  <si>
    <t>В-00073/АЗ</t>
  </si>
  <si>
    <t>А-04635/АЗ</t>
  </si>
  <si>
    <t>В-00065/АЗ</t>
  </si>
  <si>
    <t>В-00018/АЗ</t>
  </si>
  <si>
    <t>Т-01772/АЗ</t>
  </si>
  <si>
    <t>А-05280/АЗ</t>
  </si>
  <si>
    <t>Т-01610/АЗ</t>
  </si>
  <si>
    <t>А-04490/АЗ</t>
  </si>
  <si>
    <t>В-00151/АЗ</t>
  </si>
  <si>
    <t>В-00161/АЗ</t>
  </si>
  <si>
    <t>А-04674/АЗ</t>
  </si>
  <si>
    <t>В-00041/АЗ</t>
  </si>
  <si>
    <t>А-05099/АЗ</t>
  </si>
  <si>
    <t>Т-01461/АЗ</t>
  </si>
  <si>
    <t>А-03786/АЗ</t>
  </si>
  <si>
    <t>А-04960/АЗ</t>
  </si>
  <si>
    <t>В-00143/АЗ</t>
  </si>
  <si>
    <t>А-04914/АЗ</t>
  </si>
  <si>
    <t>Т-01718/АЗ</t>
  </si>
  <si>
    <t>А-04943/АЗ</t>
  </si>
  <si>
    <t>А-04958/АЗ</t>
  </si>
  <si>
    <t>Т-01706/АЗ</t>
  </si>
  <si>
    <t>Т-01662/АЗ</t>
  </si>
  <si>
    <t>А-04766/АЗ</t>
  </si>
  <si>
    <t>В-00099/АЗ</t>
  </si>
  <si>
    <t>А-05333/АЗ</t>
  </si>
  <si>
    <t>А-04176/АЗ</t>
  </si>
  <si>
    <t>Т-01646/АЗ</t>
  </si>
  <si>
    <t>В-00040/АЗ</t>
  </si>
  <si>
    <t>А-04953/АЗ</t>
  </si>
  <si>
    <t>Т-01653/АЗ</t>
  </si>
  <si>
    <t>А-04717/АЗ</t>
  </si>
  <si>
    <t>В-00308/АЗ</t>
  </si>
  <si>
    <t>В-00366/АЗ</t>
  </si>
  <si>
    <t>Т-01540/АЗ</t>
  </si>
  <si>
    <t>А-04160/АЗ</t>
  </si>
  <si>
    <t>В-00100/АЗ</t>
  </si>
  <si>
    <t>А-03870/АЗ</t>
  </si>
  <si>
    <t>В-00039/АЗ</t>
  </si>
  <si>
    <t>В-00117/АЗ</t>
  </si>
  <si>
    <t>В-00135/АЗ</t>
  </si>
  <si>
    <t>А-04931/АЗ</t>
  </si>
  <si>
    <t>А-04641/АЗ</t>
  </si>
  <si>
    <t>Т-01741/АЗ</t>
  </si>
  <si>
    <t>А-05146/АЗ</t>
  </si>
  <si>
    <t>А-04018/АЗ</t>
  </si>
  <si>
    <t>А-05037/АЗ</t>
  </si>
  <si>
    <t>В-00326/АЗ</t>
  </si>
  <si>
    <t>В-00169/АЗ</t>
  </si>
  <si>
    <t>В-00275/АЗ</t>
  </si>
  <si>
    <t>Т-01750/АЗ</t>
  </si>
  <si>
    <t>А-05178/АЗ</t>
  </si>
  <si>
    <t>А-04910/АЗ</t>
  </si>
  <si>
    <t>А-05245/АЗ</t>
  </si>
  <si>
    <t>В-00201/АЗ</t>
  </si>
  <si>
    <t>В-00208/АЗ</t>
  </si>
  <si>
    <t>А-05377/АЗ</t>
  </si>
  <si>
    <t>В-00434/АЗ</t>
  </si>
  <si>
    <t>А-04901/АЗ</t>
  </si>
  <si>
    <t>Т-01725/АЗ</t>
  </si>
  <si>
    <t>В-00398/АЗ</t>
  </si>
  <si>
    <t>Т-01774/АЗ</t>
  </si>
  <si>
    <t>А-04890/АЗ</t>
  </si>
  <si>
    <t>А-04792/АЗ</t>
  </si>
  <si>
    <t>В-00357/АЗ</t>
  </si>
  <si>
    <t>В-00036/АЗ</t>
  </si>
  <si>
    <t>В-00469/АЗ</t>
  </si>
  <si>
    <t>В-00467/АЗ</t>
  </si>
  <si>
    <t>В-00141/АЗ</t>
  </si>
  <si>
    <t>А-05076/АЗ</t>
  </si>
  <si>
    <t>А-05110/АЗ</t>
  </si>
  <si>
    <t>А-04950/АЗ</t>
  </si>
  <si>
    <t>В-00147/АЗ</t>
  </si>
  <si>
    <t>Т-01799/АЗ</t>
  </si>
  <si>
    <t>Т-01820/АЗ</t>
  </si>
  <si>
    <t>А-05380/АЗ</t>
  </si>
  <si>
    <t>В-00457/АЗ</t>
  </si>
  <si>
    <t>В-00223/АЗ</t>
  </si>
  <si>
    <t>В-00006/АЗ</t>
  </si>
  <si>
    <t>В-00177/АЗ</t>
  </si>
  <si>
    <t>А-05238/АЗ</t>
  </si>
  <si>
    <t>И-00141/АЗ</t>
  </si>
  <si>
    <t>А-05165/АЗ</t>
  </si>
  <si>
    <t>В-00226/АЗ</t>
  </si>
  <si>
    <t>А-04220/АЗ</t>
  </si>
  <si>
    <t>В-00552/АЗ</t>
  </si>
  <si>
    <t>В-00310/АЗ</t>
  </si>
  <si>
    <t>Т-01705/АЗ</t>
  </si>
  <si>
    <t>А-04984/АЗ</t>
  </si>
  <si>
    <t>Т-01499/АЗ</t>
  </si>
  <si>
    <t>А-03951/АЗ</t>
  </si>
  <si>
    <t>В-00020/АЗ</t>
  </si>
  <si>
    <t>В-00360/АЗ</t>
  </si>
  <si>
    <t>В-00204/АЗ</t>
  </si>
  <si>
    <t>В-00271/АЗ</t>
  </si>
  <si>
    <t>А-05308/АЗ</t>
  </si>
  <si>
    <t>В-00592/АЗ</t>
  </si>
  <si>
    <t>В-00411/АЗ</t>
  </si>
  <si>
    <t>В-00252/АЗ</t>
  </si>
  <si>
    <t>В-00404/АЗ</t>
  </si>
  <si>
    <t>В-00079/АЗ</t>
  </si>
  <si>
    <t>А-05349/АЗ</t>
  </si>
  <si>
    <t>В-00176/АЗ</t>
  </si>
  <si>
    <t>А-04459/АЗ</t>
  </si>
  <si>
    <t>А-10024/БЭ</t>
  </si>
  <si>
    <t>В-00622/АЗ</t>
  </si>
  <si>
    <t>В-00638/АЗ</t>
  </si>
  <si>
    <t>В-00450/АЗ</t>
  </si>
  <si>
    <t>А-05338/АЗ</t>
  </si>
  <si>
    <t>В-00175/АЗ</t>
  </si>
  <si>
    <t>В-00263/АЗ</t>
  </si>
  <si>
    <t>В-00428/АЗ</t>
  </si>
  <si>
    <t>В-00395/АЗ</t>
  </si>
  <si>
    <t>А-05139/АЗ</t>
  </si>
  <si>
    <t>В-00536/АЗ</t>
  </si>
  <si>
    <t>В-00514/АЗ</t>
  </si>
  <si>
    <t>А-04397/АЗ</t>
  </si>
  <si>
    <t>А-05282/АЗ</t>
  </si>
  <si>
    <t>В-00391/АЗ</t>
  </si>
  <si>
    <t>В-00617/АЗ</t>
  </si>
  <si>
    <t>А-05225/АЗ</t>
  </si>
  <si>
    <t>А-05337/АЗ</t>
  </si>
  <si>
    <t>В-00264/АЗ</t>
  </si>
  <si>
    <t>В-00643/АЗ</t>
  </si>
  <si>
    <t>В-00650/АЗ</t>
  </si>
  <si>
    <t>А-04917/АЗ</t>
  </si>
  <si>
    <t>В-00489/АЗ</t>
  </si>
  <si>
    <t>А-05170/АЗ</t>
  </si>
  <si>
    <t>В-00286/АЗ</t>
  </si>
  <si>
    <t>В-00497/АЗ</t>
  </si>
  <si>
    <t>А-05101/АЗ</t>
  </si>
  <si>
    <t>Т-01670/АЗ</t>
  </si>
  <si>
    <t>А-04787/АЗ</t>
  </si>
  <si>
    <t>В-00038/АЗ</t>
  </si>
  <si>
    <t>В-00837/АЗ</t>
  </si>
  <si>
    <t>В-00838/АЗ</t>
  </si>
  <si>
    <t>В-00522/АЗ</t>
  </si>
  <si>
    <t>А-05157/АЗ</t>
  </si>
  <si>
    <t>В-00586/АЗ</t>
  </si>
  <si>
    <t>В-00179/АЗ</t>
  </si>
  <si>
    <t>Т-01728/АЗ</t>
  </si>
  <si>
    <t>А-05097/АЗ</t>
  </si>
  <si>
    <t>В-00670/АЗ</t>
  </si>
  <si>
    <t>В-00233/АЗ</t>
  </si>
  <si>
    <t>В-00477/АЗ</t>
  </si>
  <si>
    <t>Т-01790/АЗ</t>
  </si>
  <si>
    <t>В-00727/АЗ</t>
  </si>
  <si>
    <t>А-05435/АЗ</t>
  </si>
  <si>
    <t>А-05372/АЗ</t>
  </si>
  <si>
    <t>А-05305/АЗ</t>
  </si>
  <si>
    <t>В-00085/АЗ</t>
  </si>
  <si>
    <t>В-00559/АЗ</t>
  </si>
  <si>
    <t>А-05132/АЗ</t>
  </si>
  <si>
    <t>В-00820/АЗ</t>
  </si>
  <si>
    <t>В-00823/АЗ</t>
  </si>
  <si>
    <t>А-04670/АЗ</t>
  </si>
  <si>
    <t>А-00058/БЭ</t>
  </si>
  <si>
    <t>В-00399/АЗ</t>
  </si>
  <si>
    <t>А-05193/АЗ</t>
  </si>
  <si>
    <t>В-00598/АЗ</t>
  </si>
  <si>
    <t>В-00660/АЗ</t>
  </si>
  <si>
    <t>В-00769/АЗ</t>
  </si>
  <si>
    <t>А-05180/АЗ</t>
  </si>
  <si>
    <t>В-00249/АЗ</t>
  </si>
  <si>
    <t>А-05411/АЗ</t>
  </si>
  <si>
    <t>В-00609/АЗ</t>
  </si>
  <si>
    <t>В-00706/АЗ</t>
  </si>
  <si>
    <t>В-00818/АЗ</t>
  </si>
  <si>
    <t>В-00865/АЗ</t>
  </si>
  <si>
    <t>В-00575/АЗ</t>
  </si>
  <si>
    <t>А-05088/АЗ</t>
  </si>
  <si>
    <t>Т-01677/АЗ</t>
  </si>
  <si>
    <t>А-04356/АЗ</t>
  </si>
  <si>
    <t>А-04413/АЗ</t>
  </si>
  <si>
    <t>В-00690/АЗ</t>
  </si>
  <si>
    <t>В-00693/АЗ</t>
  </si>
  <si>
    <t>Т-01847/АЗ</t>
  </si>
  <si>
    <t>А-05431/АЗ</t>
  </si>
  <si>
    <t>В-00766/АЗ</t>
  </si>
  <si>
    <t>Т-01668/АЗ</t>
  </si>
  <si>
    <t>А-04782/АЗ</t>
  </si>
  <si>
    <t>В-00338/АЗ</t>
  </si>
  <si>
    <t>В-00832/АЗ</t>
  </si>
  <si>
    <t>В-00833/АЗ</t>
  </si>
  <si>
    <t>В-00835/АЗ</t>
  </si>
  <si>
    <t>В-00836/АЗ</t>
  </si>
  <si>
    <t>В-00887/АЗ</t>
  </si>
  <si>
    <t>В-00566/АЗ</t>
  </si>
  <si>
    <t>В-00237/АЗ</t>
  </si>
  <si>
    <t>В-00272/АЗ</t>
  </si>
  <si>
    <t>В-00507/АЗ</t>
  </si>
  <si>
    <t>В-00291/АЗ</t>
  </si>
  <si>
    <t>В-00726/АЗ</t>
  </si>
  <si>
    <t>В-00219/АЗ</t>
  </si>
  <si>
    <t>В-00046/АЗ</t>
  </si>
  <si>
    <t>В-00254/АЗ</t>
  </si>
  <si>
    <t>В-00610/АЗ</t>
  </si>
  <si>
    <t>В-00847/АЗ</t>
  </si>
  <si>
    <t>В-00553/АЗ</t>
  </si>
  <si>
    <t>В-00635/АЗ</t>
  </si>
  <si>
    <t>В-00710/АЗ</t>
  </si>
  <si>
    <t>В-00840/АЗ</t>
  </si>
  <si>
    <t>В-00819/АЗ</t>
  </si>
  <si>
    <t>А-05233/АЗ</t>
  </si>
  <si>
    <t>А-04628/АЗ</t>
  </si>
  <si>
    <t>Т-01631/АЗ</t>
  </si>
  <si>
    <t>В-00557/АЗ</t>
  </si>
  <si>
    <t>В-00927/АЗ</t>
  </si>
  <si>
    <t>В-00911/АЗ</t>
  </si>
  <si>
    <t>В-00614/АЗ</t>
  </si>
  <si>
    <t>В-00648/АЗ</t>
  </si>
  <si>
    <t>В-00547/АЗ</t>
  </si>
  <si>
    <t>Т-01612/АЗ</t>
  </si>
  <si>
    <t>А-04501/АЗ</t>
  </si>
  <si>
    <t>В-00565/АЗ</t>
  </si>
  <si>
    <t>В-00581/АЗ</t>
  </si>
  <si>
    <t>В-00762/АЗ</t>
  </si>
  <si>
    <t>Т-01841/АЗ</t>
  </si>
  <si>
    <t>А-04171/АЗ</t>
  </si>
  <si>
    <t>А-05166/АЗ</t>
  </si>
  <si>
    <t>В-00573/АЗ</t>
  </si>
  <si>
    <t>В-00593/АЗ</t>
  </si>
  <si>
    <t>Т-01809/АЗ</t>
  </si>
  <si>
    <t>В-00673/АЗ</t>
  </si>
  <si>
    <t>В-00774/АЗ</t>
  </si>
  <si>
    <t>В-00662/АЗ</t>
  </si>
  <si>
    <t>Т-01798/АЗ</t>
  </si>
  <si>
    <t>А-05334/АЗ</t>
  </si>
  <si>
    <t>Т-01797/АЗ</t>
  </si>
  <si>
    <t>А-05332/АЗ</t>
  </si>
  <si>
    <t>Т-01722/АЗ</t>
  </si>
  <si>
    <t>В-00608/АЗ</t>
  </si>
  <si>
    <t>В-00932/АЗ</t>
  </si>
  <si>
    <t>Т-01404/АЗ</t>
  </si>
  <si>
    <t>А-03565/АЗ</t>
  </si>
  <si>
    <t>В-00883/АЗ</t>
  </si>
  <si>
    <t>В-00788/АЗ</t>
  </si>
  <si>
    <t>Т-00030/БЭ</t>
  </si>
  <si>
    <t>А-00053/БЭ</t>
  </si>
  <si>
    <t>В-00824/АЗ</t>
  </si>
  <si>
    <t>Т-01862/АЗ</t>
  </si>
  <si>
    <t>В-00899/АЗ</t>
  </si>
  <si>
    <t>Т-01865/АЗ</t>
  </si>
  <si>
    <t>В-00866/АЗ</t>
  </si>
  <si>
    <t>В-00872/АЗ</t>
  </si>
  <si>
    <t>Т-00001/КЭ</t>
  </si>
  <si>
    <t>Т-01752/АЗ</t>
  </si>
  <si>
    <t>А-05182/АЗ</t>
  </si>
  <si>
    <t>В-00088/АЗ</t>
  </si>
  <si>
    <t>В-00324/АЗ</t>
  </si>
  <si>
    <t>В-00365/АЗ</t>
  </si>
  <si>
    <t>А-05164/АЗ</t>
  </si>
  <si>
    <t>Т-01747/АЗ</t>
  </si>
  <si>
    <t>В-00982/АЗ</t>
  </si>
  <si>
    <t>В-00321/АЗ</t>
  </si>
  <si>
    <t>В-00885/АЗ</t>
  </si>
  <si>
    <t>А-05447/АЗ</t>
  </si>
  <si>
    <t>В-01020/АЗ</t>
  </si>
  <si>
    <t>А-05105/АЗ</t>
  </si>
  <si>
    <t>Т-01866/АЗ</t>
  </si>
  <si>
    <t>А-03947/АЗ</t>
  </si>
  <si>
    <t>Т-01497/АЗ</t>
  </si>
  <si>
    <t>В-00817/АЗ</t>
  </si>
  <si>
    <t>А-05439/АЗ</t>
  </si>
  <si>
    <t>Т-01850/АЗ</t>
  </si>
  <si>
    <t>В-00730/АЗ</t>
  </si>
  <si>
    <t>А-05370/АЗ</t>
  </si>
  <si>
    <t>В-00858/АЗ</t>
  </si>
  <si>
    <t>В-00923/АЗ</t>
  </si>
  <si>
    <t>В-00790/АЗ</t>
  </si>
  <si>
    <t>А-04827/АЗ</t>
  </si>
  <si>
    <t>Т-10003/КЭ</t>
  </si>
  <si>
    <t>В-00447/АЗ</t>
  </si>
  <si>
    <t>Т-01876/АЗ</t>
  </si>
  <si>
    <t>В-00568/АЗ</t>
  </si>
  <si>
    <t>В-00317/АЗ</t>
  </si>
  <si>
    <t>Т-01875/АЗ</t>
  </si>
  <si>
    <t>Т-01681/АЗ</t>
  </si>
  <si>
    <t>А-03533/АЗ</t>
  </si>
  <si>
    <t>А-04848/АЗ</t>
  </si>
  <si>
    <t>Т-01869/АЗ</t>
  </si>
  <si>
    <t>А-05271/АЗ</t>
  </si>
  <si>
    <t>Т-01899/АЗ</t>
  </si>
  <si>
    <t>Т-00004/КЭ</t>
  </si>
  <si>
    <t>Т-01835/АЗ</t>
  </si>
  <si>
    <t>А-05455/АЗ</t>
  </si>
  <si>
    <t>В-01119/АЗ</t>
  </si>
  <si>
    <t>В-01120/АЗ</t>
  </si>
  <si>
    <t>А-04839/АЗ</t>
  </si>
  <si>
    <t>Т-01675/АЗ</t>
  </si>
  <si>
    <t>В-00967/АЗ</t>
  </si>
  <si>
    <t>В-00980/АЗ</t>
  </si>
  <si>
    <t>В-00854/АЗ</t>
  </si>
  <si>
    <t>Т-01867/АЗ</t>
  </si>
  <si>
    <t>Т-01922/АЗ</t>
  </si>
  <si>
    <t>В-01102/АЗ</t>
  </si>
  <si>
    <t>В-00737/АЗ</t>
  </si>
  <si>
    <t>В-00808/АЗ</t>
  </si>
  <si>
    <t>Т-00002/КЭ</t>
  </si>
  <si>
    <t>В-00687/АЗ</t>
  </si>
  <si>
    <t>В-00988/АЗ</t>
  </si>
  <si>
    <t>В-00992/АЗ</t>
  </si>
  <si>
    <t>В-01099/АЗ</t>
  </si>
  <si>
    <t>В-00884/АЗ</t>
  </si>
  <si>
    <t>А-00009/ИЗ</t>
  </si>
  <si>
    <t>В-00881/АЗ</t>
  </si>
  <si>
    <t>В-00370/АЗ</t>
  </si>
  <si>
    <t>Т-10005/КЭ</t>
  </si>
  <si>
    <t>В-01085/АЗ</t>
  </si>
  <si>
    <t>В-01131/АЗ</t>
  </si>
  <si>
    <t>В-01176/АЗ</t>
  </si>
  <si>
    <t>В-00963/АЗ</t>
  </si>
  <si>
    <t>А-05463/АЗ</t>
  </si>
  <si>
    <t>Т-01935/АЗ</t>
  </si>
  <si>
    <t>В-00508/АЗ</t>
  </si>
  <si>
    <t>В-01104/АЗ</t>
  </si>
  <si>
    <t>Т-01878/АЗ</t>
  </si>
  <si>
    <t>Т-01893/АЗ</t>
  </si>
  <si>
    <t>Т-00038/БЭ</t>
  </si>
  <si>
    <t>В-01171/АЗ</t>
  </si>
  <si>
    <t>В-01172/АЗ</t>
  </si>
  <si>
    <t>Т-00008/КЭ</t>
  </si>
  <si>
    <t>В-00339/АЗ</t>
  </si>
  <si>
    <t>А-05082/АЗ</t>
  </si>
  <si>
    <t>В-00612/АЗ</t>
  </si>
  <si>
    <t>В-00918/АЗ</t>
  </si>
  <si>
    <t>В-00496/АЗ</t>
  </si>
  <si>
    <t>В-00733/АЗ</t>
  </si>
  <si>
    <t>В-00806/АЗ</t>
  </si>
  <si>
    <t>В-00708/АЗ</t>
  </si>
  <si>
    <t>В-00772/АЗ</t>
  </si>
  <si>
    <t>В-00763/АЗ</t>
  </si>
  <si>
    <t>В-22434/АЗ</t>
  </si>
  <si>
    <t>В-22436/АЗ</t>
  </si>
  <si>
    <t>В-00137/АЗ</t>
  </si>
  <si>
    <t>В-01179/АЗ</t>
  </si>
  <si>
    <t>В-01159/АЗ</t>
  </si>
  <si>
    <t>В-23339/АЗ</t>
  </si>
  <si>
    <t>В-23325/АЗ</t>
  </si>
  <si>
    <t>Т-01931/АЗ</t>
  </si>
  <si>
    <t>В-00951/АЗ</t>
  </si>
  <si>
    <t>В-24072/АЗ</t>
  </si>
  <si>
    <t>Т-01914/АЗ</t>
  </si>
  <si>
    <t>В-24642/АЗ</t>
  </si>
  <si>
    <t>В-24989/АЗ</t>
  </si>
  <si>
    <t>В-01175/АЗ</t>
  </si>
  <si>
    <t>В-01200/АЗ</t>
  </si>
  <si>
    <t>В-01107/АЗ</t>
  </si>
  <si>
    <t>В-22352/АЗ</t>
  </si>
  <si>
    <t>В-01202/АЗ</t>
  </si>
  <si>
    <t>В-01061/АЗ</t>
  </si>
  <si>
    <t>В-01098/АЗ</t>
  </si>
  <si>
    <t>В-25370/АЗ</t>
  </si>
  <si>
    <t>В-25304/АЗ</t>
  </si>
  <si>
    <t>В-25367/АЗ</t>
  </si>
  <si>
    <t>В-01147/АЗ</t>
  </si>
  <si>
    <t>В-01148/АЗ</t>
  </si>
  <si>
    <t>В-25687/АЗ</t>
  </si>
  <si>
    <t>В-26005/АЗ</t>
  </si>
  <si>
    <t>В-01217/АЗ</t>
  </si>
  <si>
    <t>В-26450/АЗ</t>
  </si>
  <si>
    <t>В-26449/АЗ</t>
  </si>
  <si>
    <t>В-26649/АЗ</t>
  </si>
  <si>
    <t>В-26651/АЗ</t>
  </si>
  <si>
    <t>В-01180/АЗ</t>
  </si>
  <si>
    <t>В-00634/АЗ</t>
  </si>
  <si>
    <t>А-00087-2/</t>
  </si>
  <si>
    <t>А-00001/КЭ</t>
  </si>
  <si>
    <t>А-00027/КЭ</t>
  </si>
  <si>
    <t>А-00026/КЭ</t>
  </si>
  <si>
    <t>А-00005/КЭ</t>
  </si>
  <si>
    <t>А-00029/КЭ</t>
  </si>
  <si>
    <t>А-00009/КЭ</t>
  </si>
  <si>
    <t>А-00008/КЭ</t>
  </si>
  <si>
    <t>А-00007/КЭ</t>
  </si>
  <si>
    <t>А-00015/КЭ</t>
  </si>
  <si>
    <t>А-00014/КЭ</t>
  </si>
  <si>
    <t>А-00010/КЭ</t>
  </si>
  <si>
    <t>А-00020/КЭ</t>
  </si>
  <si>
    <t>А-00004/КЭ</t>
  </si>
  <si>
    <t>А-00028/КЭ</t>
  </si>
  <si>
    <t>А-00016/КЭ</t>
  </si>
  <si>
    <t>А-00065/КЭ</t>
  </si>
  <si>
    <t>А-00086/КЭ</t>
  </si>
  <si>
    <t>А-00018/КЭ</t>
  </si>
  <si>
    <t>А-00062/КЭ</t>
  </si>
  <si>
    <t>А-00030/КЭ</t>
  </si>
  <si>
    <t>А-00096/КЭ</t>
  </si>
  <si>
    <t>А-00059/КЭ</t>
  </si>
  <si>
    <t>А-00006/КЭ</t>
  </si>
  <si>
    <t>А-00103/КЭ</t>
  </si>
  <si>
    <t>А-00089/КЭ</t>
  </si>
  <si>
    <t>А-00082/КЭ</t>
  </si>
  <si>
    <t>А-00101/КЭ</t>
  </si>
  <si>
    <t>А-00087/КЭ</t>
  </si>
  <si>
    <t>А-00078/КЭ</t>
  </si>
  <si>
    <t>А-00058/КЭ</t>
  </si>
  <si>
    <t>А-00108/КЭ</t>
  </si>
  <si>
    <t>А-00064/КЭ</t>
  </si>
  <si>
    <t>А-00046/КЭ</t>
  </si>
  <si>
    <t>А-00125/КЭ</t>
  </si>
  <si>
    <t>А-00115/КЭ</t>
  </si>
  <si>
    <t>А-00070/КЭ</t>
  </si>
  <si>
    <t>А-00088/КЭ</t>
  </si>
  <si>
    <t>А-00100/КЭ</t>
  </si>
  <si>
    <t>А-00112/КЭ</t>
  </si>
  <si>
    <t>А-00102/КЭ</t>
  </si>
  <si>
    <t>А-00002/ИЗ</t>
  </si>
  <si>
    <t>А-00116/КЭ</t>
  </si>
  <si>
    <t>А-00074/КЭ</t>
  </si>
  <si>
    <t>А-00152/КЭ</t>
  </si>
  <si>
    <t>А-00161/КЭ</t>
  </si>
  <si>
    <t>А-00104/КЭ</t>
  </si>
  <si>
    <t>А-00136/КЭ</t>
  </si>
  <si>
    <t>А-00145/КЭ</t>
  </si>
  <si>
    <t>А-00095/КЭ</t>
  </si>
  <si>
    <t>А-00109/КЭ</t>
  </si>
  <si>
    <t>А-00168/КЭ</t>
  </si>
  <si>
    <t>А-00147/КЭ</t>
  </si>
  <si>
    <t>А-10003/КЭ</t>
  </si>
  <si>
    <t>А-00120/КЭ</t>
  </si>
  <si>
    <t>А-00094/КЭ</t>
  </si>
  <si>
    <t>А-00224/КЭ</t>
  </si>
  <si>
    <t>А-00183/КЭ</t>
  </si>
  <si>
    <t>А-00149/КЭ</t>
  </si>
  <si>
    <t>А-00107/КЭ</t>
  </si>
  <si>
    <t>А-10005/КЭ</t>
  </si>
  <si>
    <t>А-20001/КЭ</t>
  </si>
  <si>
    <t>А-00192/КЭ</t>
  </si>
  <si>
    <t>А-00245/КЭ</t>
  </si>
  <si>
    <t>А-00216/КЭ</t>
  </si>
  <si>
    <t>А-00195/КЭ</t>
  </si>
  <si>
    <t>А-00210/КЭ</t>
  </si>
  <si>
    <t>А-20003/КЭ</t>
  </si>
  <si>
    <t>А-10007/КЭ</t>
  </si>
  <si>
    <t>А-00221/КЭ</t>
  </si>
  <si>
    <t>А-00160/КЭ</t>
  </si>
  <si>
    <t>А-00238/КЭ</t>
  </si>
  <si>
    <t>А-00273/КЭ</t>
  </si>
  <si>
    <t>А-00289/КЭ</t>
  </si>
  <si>
    <t>А-00130/КЭ</t>
  </si>
  <si>
    <t>А-00263/КЭ</t>
  </si>
  <si>
    <t>А-10035/КЭ</t>
  </si>
  <si>
    <t>А-10004/КЭ</t>
  </si>
  <si>
    <t>А-00236/КЭ</t>
  </si>
  <si>
    <t>А-00293/КЭ</t>
  </si>
  <si>
    <t>А-00262/КЭ</t>
  </si>
  <si>
    <t>А-00169/КЭ</t>
  </si>
  <si>
    <t>А-00254/КЭ</t>
  </si>
  <si>
    <t>А-00247/КЭ</t>
  </si>
  <si>
    <t>А-00084/КЭ</t>
  </si>
  <si>
    <t>А-00230/КЭ</t>
  </si>
  <si>
    <t>А-00006/ИЗ</t>
  </si>
  <si>
    <t>А-10015/КЭ</t>
  </si>
  <si>
    <t>А-00165/КЭ</t>
  </si>
  <si>
    <t>А-00211/КЭ</t>
  </si>
  <si>
    <t>А-00314/КЭ</t>
  </si>
  <si>
    <t>А-00242/КЭ</t>
  </si>
  <si>
    <t>А-10048/КЭ</t>
  </si>
  <si>
    <t>А-10017/КЭ</t>
  </si>
  <si>
    <t>А-10028/КЭ</t>
  </si>
  <si>
    <t>А-10047/КЭ</t>
  </si>
  <si>
    <t>А-10041/КЭ</t>
  </si>
  <si>
    <t>А-00259/КЭ</t>
  </si>
  <si>
    <t>А-10061/КЭ</t>
  </si>
  <si>
    <t>А-00349/КЭ</t>
  </si>
  <si>
    <t>А-00294/КЭ</t>
  </si>
  <si>
    <t>А-10034/КЭ</t>
  </si>
  <si>
    <t>А-00305/КЭ</t>
  </si>
  <si>
    <t>А-10037/КЭ</t>
  </si>
  <si>
    <t>А-00352/КЭ</t>
  </si>
  <si>
    <t>А-00292/КЭ</t>
  </si>
  <si>
    <t>А-00330/КЭ</t>
  </si>
  <si>
    <t>А-00298/КЭ</t>
  </si>
  <si>
    <t>А-00222/КЭ</t>
  </si>
  <si>
    <t>А-00274/КЭ</t>
  </si>
  <si>
    <t>А-10001/КЭ</t>
  </si>
  <si>
    <t>А-10052/КЭ</t>
  </si>
  <si>
    <t>А-10024/КЭ</t>
  </si>
  <si>
    <t>А-00229/КЭ</t>
  </si>
  <si>
    <t>А-10050/КЭ</t>
  </si>
  <si>
    <t>А-00346/КЭ</t>
  </si>
  <si>
    <t>А-00282/КЭ</t>
  </si>
  <si>
    <t>А-00217/КЭ</t>
  </si>
  <si>
    <t>А-30001/КЭ</t>
  </si>
  <si>
    <t>А-10044/КЭ</t>
  </si>
  <si>
    <t>А-00268/КЭ</t>
  </si>
  <si>
    <t>А-10063/КЭ</t>
  </si>
  <si>
    <t>А-10087/КЭ</t>
  </si>
  <si>
    <t>А-10077/КЭ</t>
  </si>
  <si>
    <t>А-10020/КЭ</t>
  </si>
  <si>
    <t>А-10045/КЭ</t>
  </si>
  <si>
    <t>А-00287/КЭ</t>
  </si>
  <si>
    <t>А-00357/КЭ</t>
  </si>
  <si>
    <t>А-10032/КЭ</t>
  </si>
  <si>
    <t>А-00257/КЭ</t>
  </si>
  <si>
    <t>В-00763/КЛ</t>
  </si>
  <si>
    <t>А-00375/КЭ</t>
  </si>
  <si>
    <t>А-10039/КЭ</t>
  </si>
  <si>
    <t>А-00255/КЭ</t>
  </si>
  <si>
    <t>А-00363/КЭ</t>
  </si>
  <si>
    <t>В-00043/КЛ</t>
  </si>
  <si>
    <t>В-00267/КЛ</t>
  </si>
  <si>
    <t>В-00617/КЛ</t>
  </si>
  <si>
    <t>А-30002/КЭ</t>
  </si>
  <si>
    <t>А-10036/КЭ</t>
  </si>
  <si>
    <t>В-00320/КЛ</t>
  </si>
  <si>
    <t>В-00232/КЛ</t>
  </si>
  <si>
    <t>В-00947/КЛ</t>
  </si>
  <si>
    <t>А-00410/КЭ</t>
  </si>
  <si>
    <t>В-00463/КЛ</t>
  </si>
  <si>
    <t>В-00103/КЛ</t>
  </si>
  <si>
    <t>В-00124/КЛ</t>
  </si>
  <si>
    <t>А-00389/КЭ</t>
  </si>
  <si>
    <t>А-00281/КЭ</t>
  </si>
  <si>
    <t>А-00309/КЭ</t>
  </si>
  <si>
    <t>В-00182/КЛ</t>
  </si>
  <si>
    <t>В-00986/КЛ</t>
  </si>
  <si>
    <t>В-00223/КЛ</t>
  </si>
  <si>
    <t>В-01023/КЛ</t>
  </si>
  <si>
    <t>В-00094/КЛ</t>
  </si>
  <si>
    <t>В-00339/КЛ</t>
  </si>
  <si>
    <t>В-01055/КЛ</t>
  </si>
  <si>
    <t>А-10090/КЭ</t>
  </si>
  <si>
    <t>В-01371/КЛ</t>
  </si>
  <si>
    <t>А-00347/КЭ</t>
  </si>
  <si>
    <t>В-01448/КЛ</t>
  </si>
  <si>
    <t>В-01375/КЛ</t>
  </si>
  <si>
    <t>В-00948/КЛ</t>
  </si>
  <si>
    <t>В-01770/КЛ</t>
  </si>
  <si>
    <t>В-00562/АЗ</t>
  </si>
  <si>
    <t>А-00433/КЭ</t>
  </si>
  <si>
    <t>В-02110/КЛ</t>
  </si>
  <si>
    <t>В-00233/КЛ</t>
  </si>
  <si>
    <t>В-00678/КЛ</t>
  </si>
  <si>
    <t>А-00435/КЭ</t>
  </si>
  <si>
    <t>В-01175/КЛ</t>
  </si>
  <si>
    <t>В-00489/КЛ</t>
  </si>
  <si>
    <t>В-01710/КЛ</t>
  </si>
  <si>
    <t>В-01528/КЛ</t>
  </si>
  <si>
    <t>А-10102/КЭ</t>
  </si>
  <si>
    <t>В-01925/КЛ</t>
  </si>
  <si>
    <t>В-01768/КЛ</t>
  </si>
  <si>
    <t>В-01562/КЛ</t>
  </si>
  <si>
    <t>В-01713/КЛ</t>
  </si>
  <si>
    <t>В-02255/КЛ</t>
  </si>
  <si>
    <t>В-03206/КЛ</t>
  </si>
  <si>
    <t>В-01509/КЛ</t>
  </si>
  <si>
    <t>В-00139/КЛ</t>
  </si>
  <si>
    <t>А-30005/КЭ</t>
  </si>
  <si>
    <t>В-00118/КЛ</t>
  </si>
  <si>
    <t>А-10066/КЭ</t>
  </si>
  <si>
    <t>В-00302/КЛ</t>
  </si>
  <si>
    <t>В-01911/КЛ</t>
  </si>
  <si>
    <t>В-01220/КЛ</t>
  </si>
  <si>
    <t>В-03413/КЛ</t>
  </si>
  <si>
    <t>В-01345/КЛ</t>
  </si>
  <si>
    <t>В-03686/КЛ</t>
  </si>
  <si>
    <t>В-03758/КЛ</t>
  </si>
  <si>
    <t>В-03899/КЛ</t>
  </si>
  <si>
    <t>В-00683/КЛ</t>
  </si>
  <si>
    <t>В-03465/КЛ</t>
  </si>
  <si>
    <t>В-03960/КЛ</t>
  </si>
  <si>
    <t>В-03858/КЛ</t>
  </si>
  <si>
    <t>В-03414/КЛ</t>
  </si>
  <si>
    <t>А-00366/КЭ</t>
  </si>
  <si>
    <t>А-00327/КЭ</t>
  </si>
  <si>
    <t>В-04159/КЛ</t>
  </si>
  <si>
    <t>В-02500/КЛ</t>
  </si>
  <si>
    <t>В-04357/КЛ</t>
  </si>
  <si>
    <t>В-02752/КЛ</t>
  </si>
  <si>
    <t>В-02105/КЛ</t>
  </si>
  <si>
    <t>В-03543/КЛ</t>
  </si>
  <si>
    <t>В-03738/КЛ</t>
  </si>
  <si>
    <t>В-01428/КЛ</t>
  </si>
  <si>
    <t>В-03749/КЛ</t>
  </si>
  <si>
    <t>В-03155/КЛ</t>
  </si>
  <si>
    <t>А-00429/КЭ</t>
  </si>
  <si>
    <t>В-01319/КЛ</t>
  </si>
  <si>
    <t>А-10092/КЭ</t>
  </si>
  <si>
    <t>В-03741/КЛ</t>
  </si>
  <si>
    <t>В-03463/КЛ</t>
  </si>
  <si>
    <t>А-00343/КЭ</t>
  </si>
  <si>
    <t>А-00403/КЭ</t>
  </si>
  <si>
    <t>В-01227/КЛ</t>
  </si>
  <si>
    <t>В-02186/КЛ</t>
  </si>
  <si>
    <t>В-03129/КЛ</t>
  </si>
  <si>
    <t>В-01987/КЛ</t>
  </si>
  <si>
    <t>В-00884/КЛ</t>
  </si>
  <si>
    <t>В-01035/КЛ</t>
  </si>
  <si>
    <t>А-10098/КЭ</t>
  </si>
  <si>
    <t>А-10099/КЭ</t>
  </si>
  <si>
    <t>В-03846/КЛ</t>
  </si>
  <si>
    <t>В-00183/КЛ</t>
  </si>
  <si>
    <t>А-00328/КЭ</t>
  </si>
  <si>
    <t>В-03114/КЛ</t>
  </si>
  <si>
    <t>В-03277/КЛ</t>
  </si>
  <si>
    <t>В-07240/КЛ</t>
  </si>
  <si>
    <t>В-05290/КЛ</t>
  </si>
  <si>
    <t>В-08042/КЛ</t>
  </si>
  <si>
    <t>В-00603/КЛ</t>
  </si>
  <si>
    <t>В-00478/КЛ</t>
  </si>
  <si>
    <t>В-01422/КЛ</t>
  </si>
  <si>
    <t>В-02026/КЛ</t>
  </si>
  <si>
    <t>В-03672/КЛ</t>
  </si>
  <si>
    <t>В-01526/КЛ</t>
  </si>
  <si>
    <t>А-00386/КЭ</t>
  </si>
  <si>
    <t>В-01072/КЛ</t>
  </si>
  <si>
    <t>В-03615/КЛ</t>
  </si>
  <si>
    <t>В-02944/КЛ</t>
  </si>
  <si>
    <t>В-02644/КЛ</t>
  </si>
  <si>
    <t>В-00425/КЛ</t>
  </si>
  <si>
    <t>В-03907/КЛ</t>
  </si>
  <si>
    <t>В-00438/КЛ</t>
  </si>
  <si>
    <t>В-00449/КЛ</t>
  </si>
  <si>
    <t>В-06520/КЛ</t>
  </si>
  <si>
    <t>В-01174/КЛ</t>
  </si>
  <si>
    <t>В-01086/КЛ</t>
  </si>
  <si>
    <t>В-08204/КЛ</t>
  </si>
  <si>
    <t>В-00003/КЭ</t>
  </si>
  <si>
    <t>В-04809/КЛ</t>
  </si>
  <si>
    <t>В-01417/КЛ</t>
  </si>
  <si>
    <t>В-00079/КЛ</t>
  </si>
  <si>
    <t>А-00395/КЭ</t>
  </si>
  <si>
    <t>В-00051/КЛ</t>
  </si>
  <si>
    <t>В-03071/КЛ</t>
  </si>
  <si>
    <t>В-07706/КЛ</t>
  </si>
  <si>
    <t>В-02402/КЛ</t>
  </si>
  <si>
    <t>В-03383/КЛ</t>
  </si>
  <si>
    <t>В-07328/КЛ</t>
  </si>
  <si>
    <t>В-03631/КЛ</t>
  </si>
  <si>
    <t>В-07632/КЛ</t>
  </si>
  <si>
    <t>А-00418/КЭ</t>
  </si>
  <si>
    <t>А-00466/КЭ</t>
  </si>
  <si>
    <t>В-04162/КЛ</t>
  </si>
  <si>
    <t>В-09250/КЛ</t>
  </si>
  <si>
    <t>В-01552/КЛ</t>
  </si>
  <si>
    <t>В-07444/КЛ</t>
  </si>
  <si>
    <t>В-03039/КЛ</t>
  </si>
  <si>
    <t>В-09625/КЛ</t>
  </si>
  <si>
    <t>В-03473/КЛ</t>
  </si>
  <si>
    <t>В-09805/КЛ</t>
  </si>
  <si>
    <t>В-00540/КЛ</t>
  </si>
  <si>
    <t>В-01388/КЛ</t>
  </si>
  <si>
    <t>В-06955/КЛ</t>
  </si>
  <si>
    <t>В-09037/КЛ</t>
  </si>
  <si>
    <t>В-06682/КЛ</t>
  </si>
  <si>
    <t>В-04620/КЛ</t>
  </si>
  <si>
    <t>В-05187/КЛ</t>
  </si>
  <si>
    <t>В-03869/КЛ</t>
  </si>
  <si>
    <t>В-08416/КЛ</t>
  </si>
  <si>
    <t>В-00839/КЛ</t>
  </si>
  <si>
    <t>В-06852/КЛ</t>
  </si>
  <si>
    <t>В-08629/КЛ</t>
  </si>
  <si>
    <t>В-01875/КЛ</t>
  </si>
  <si>
    <t>В-05135/КЛ</t>
  </si>
  <si>
    <t>В-02641/КЛ</t>
  </si>
  <si>
    <t>В-10010/КЭ</t>
  </si>
  <si>
    <t>В-03541/КЛ</t>
  </si>
  <si>
    <t>В-09241/КЛ</t>
  </si>
  <si>
    <t>В-09288/КЛ</t>
  </si>
  <si>
    <t>В-08251/КЛ</t>
  </si>
  <si>
    <t>В-12535/КЛ</t>
  </si>
  <si>
    <t>В-11162/КЛ</t>
  </si>
  <si>
    <t>В-09421/КЛ</t>
  </si>
  <si>
    <t>В-03811/КЛ</t>
  </si>
  <si>
    <t>В-11603/КЛ</t>
  </si>
  <si>
    <t>В-11713/КЛ</t>
  </si>
  <si>
    <t>В-12614/КЛ</t>
  </si>
  <si>
    <t>В-03074/КЛ</t>
  </si>
  <si>
    <t>В-10703/КЛ</t>
  </si>
  <si>
    <t>В-02376/КЛ</t>
  </si>
  <si>
    <t>В-13025/КЛ</t>
  </si>
  <si>
    <t>В-12216/КЛ</t>
  </si>
  <si>
    <t>В-09695/КЛ</t>
  </si>
  <si>
    <t>В-11882/КЛ</t>
  </si>
  <si>
    <t>В-07275/КЛ</t>
  </si>
  <si>
    <t>А-10096/КЭ</t>
  </si>
  <si>
    <t>В-00714/КЛ</t>
  </si>
  <si>
    <t>В-02902/КЛ</t>
  </si>
  <si>
    <t>А-00446/КЭ</t>
  </si>
  <si>
    <t>В-12000/КЛ</t>
  </si>
  <si>
    <t>В-09961/КЛ</t>
  </si>
  <si>
    <t>В-12167/КЛ</t>
  </si>
  <si>
    <t>В-11653/КЛ</t>
  </si>
  <si>
    <t>В-08942/КЛ</t>
  </si>
  <si>
    <t>В-03629/КЛ</t>
  </si>
  <si>
    <t>В-06379/КЛ</t>
  </si>
  <si>
    <t>В-12435/КЛ</t>
  </si>
  <si>
    <t>В-08189/КЛ</t>
  </si>
  <si>
    <t>В-10492/КЛ</t>
  </si>
  <si>
    <t>В-03585/КЛ</t>
  </si>
  <si>
    <t>В-06186/КЛ</t>
  </si>
  <si>
    <t>А-10100/КЭ</t>
  </si>
  <si>
    <t>А-00467/КЭ</t>
  </si>
  <si>
    <t>В-11280/КЛ</t>
  </si>
  <si>
    <t>В-13055/КЛ</t>
  </si>
  <si>
    <t>В-11892/КЛ</t>
  </si>
  <si>
    <t>В-09649/КЛ</t>
  </si>
  <si>
    <t>В-11967/КЛ</t>
  </si>
  <si>
    <t>В-12163/КЛ</t>
  </si>
  <si>
    <t>В-30003/КЭ</t>
  </si>
  <si>
    <t>В-10890/КЛ</t>
  </si>
  <si>
    <t>В-06092/КЛ</t>
  </si>
  <si>
    <t>В-12372/КЛ</t>
  </si>
  <si>
    <t>В-11085/КЛ</t>
  </si>
  <si>
    <t>В-02090/КЛ</t>
  </si>
  <si>
    <t>В-13719/КЛ</t>
  </si>
  <si>
    <t>В-08584/КЛ</t>
  </si>
  <si>
    <t>В-09948/КЛ</t>
  </si>
  <si>
    <t>В-12631/КЛ</t>
  </si>
  <si>
    <t>В-13297/КЛ</t>
  </si>
  <si>
    <t>В-13886/КЛ</t>
  </si>
  <si>
    <t>В-08822/КЛ</t>
  </si>
  <si>
    <t>В-11533/КЛ</t>
  </si>
  <si>
    <t>В-03197/КЛ</t>
  </si>
  <si>
    <t>В-14029/КЛ</t>
  </si>
  <si>
    <t>В-07971/КЛ</t>
  </si>
  <si>
    <t>В-14944/КЛ</t>
  </si>
  <si>
    <t>В-08626/КЛ</t>
  </si>
  <si>
    <t>В-05401/КЛ</t>
  </si>
  <si>
    <t>В-01647/КЛ</t>
  </si>
  <si>
    <t>В-12016/КЛ</t>
  </si>
  <si>
    <t>В-13544/КЛ</t>
  </si>
  <si>
    <t>В-15171/КЛ</t>
  </si>
  <si>
    <t>В-11190/КЛ</t>
  </si>
  <si>
    <t>В-09513/КЛ</t>
  </si>
  <si>
    <t>В-12741/КЛ</t>
  </si>
  <si>
    <t>В-13625/КЛ</t>
  </si>
  <si>
    <t>В-09290/КЛ</t>
  </si>
  <si>
    <t>В-07008/КЛ</t>
  </si>
  <si>
    <t>В-13177/КЛ</t>
  </si>
  <si>
    <t>В-11523/КЛ</t>
  </si>
  <si>
    <t>В-03040/КЛ</t>
  </si>
  <si>
    <t>А-00404/КЭ</t>
  </si>
  <si>
    <t>В-05009/КЛ</t>
  </si>
  <si>
    <t>В-11307/КЛ</t>
  </si>
  <si>
    <t>В-07544/КЛ</t>
  </si>
  <si>
    <t>В-12294/КЛ</t>
  </si>
  <si>
    <t>В-03392/КЛ</t>
  </si>
  <si>
    <t>В-13600/КЛ</t>
  </si>
  <si>
    <t>В-14569/КЛ</t>
  </si>
  <si>
    <t>В-17494/КЛ</t>
  </si>
  <si>
    <t>В-16873/КЛ</t>
  </si>
  <si>
    <t>В-11333/КЛ</t>
  </si>
  <si>
    <t>В-14727/КЛ</t>
  </si>
  <si>
    <t>В-02777/КЛ</t>
  </si>
  <si>
    <t>В-00359/КЛ</t>
  </si>
  <si>
    <t>В-12042/КЛ</t>
  </si>
  <si>
    <t>В-09247/КЛ</t>
  </si>
  <si>
    <t>В-12894/КЛ</t>
  </si>
  <si>
    <t>В-18929/КЛ</t>
  </si>
  <si>
    <t>А-00458/КЭ</t>
  </si>
  <si>
    <t>В-00022/КЭ</t>
  </si>
  <si>
    <t>В-01110/АЗ</t>
  </si>
  <si>
    <t>В-16441/КЛ</t>
  </si>
  <si>
    <t>В-02690/КЛ</t>
  </si>
  <si>
    <t>В-11824/КЛ</t>
  </si>
  <si>
    <t>В-15156/КЛ</t>
  </si>
  <si>
    <t>В-11861/КЛ</t>
  </si>
  <si>
    <t>В-16457/КЛ</t>
  </si>
  <si>
    <t>В-03324/КЛ</t>
  </si>
  <si>
    <t>В-09302/КЛ</t>
  </si>
  <si>
    <t>В-16777/КЛ</t>
  </si>
  <si>
    <t>В-16877/КЛ</t>
  </si>
  <si>
    <t>А-10107/КЭ</t>
  </si>
  <si>
    <t>В-14621/КЛ</t>
  </si>
  <si>
    <t>В-14484/КЛ</t>
  </si>
  <si>
    <t>В-00011/КЭ</t>
  </si>
  <si>
    <t>В-09916/КЛ</t>
  </si>
  <si>
    <t>В-01092/КЛ</t>
  </si>
  <si>
    <t>В-16186/КЛ</t>
  </si>
  <si>
    <t>В-17940/КЛ</t>
  </si>
  <si>
    <t>В-11733/КЛ</t>
  </si>
  <si>
    <t>В-17533/КЛ</t>
  </si>
  <si>
    <t>В-10638/КЛ</t>
  </si>
  <si>
    <t>В-12380/КЛ</t>
  </si>
  <si>
    <t>В-19901/КЛ</t>
  </si>
  <si>
    <t>В-13669/КЛ</t>
  </si>
  <si>
    <t>В-10433/КЛ</t>
  </si>
  <si>
    <t>В-17724/КЛ</t>
  </si>
  <si>
    <t>А-10122/КЭ</t>
  </si>
  <si>
    <t>В-17242/КЛ</t>
  </si>
  <si>
    <t>В-13638/КЛ</t>
  </si>
  <si>
    <t>В-10278/КЛ</t>
  </si>
  <si>
    <t>В-18171/КЛ</t>
  </si>
  <si>
    <t>В-17075/КЛ</t>
  </si>
  <si>
    <t>В-21219/КЛ</t>
  </si>
  <si>
    <t>В-18055/КЛ</t>
  </si>
  <si>
    <t>В-18216/КЛ</t>
  </si>
  <si>
    <t>В-17043/КЛ</t>
  </si>
  <si>
    <t>В-08288/КЛ</t>
  </si>
  <si>
    <t>В-13042/КЛ</t>
  </si>
  <si>
    <t>В-15583/КЛ</t>
  </si>
  <si>
    <t>В-16915/КЛ</t>
  </si>
  <si>
    <t>В-15465/КЛ</t>
  </si>
  <si>
    <t>В-07384/КЛ</t>
  </si>
  <si>
    <t>В-13070/КЛ</t>
  </si>
  <si>
    <t>В-19132/КЛ</t>
  </si>
  <si>
    <t>В-17625/КЛ</t>
  </si>
  <si>
    <t>В-04096/КЛ</t>
  </si>
  <si>
    <t>В-05425/КЛ</t>
  </si>
  <si>
    <t>В-11186/КЛ</t>
  </si>
  <si>
    <t>В-18237/КЛ</t>
  </si>
  <si>
    <t>В-18983/КЛ</t>
  </si>
  <si>
    <t>В-19025/КЛ</t>
  </si>
  <si>
    <t>В-19097/КЛ</t>
  </si>
  <si>
    <t>В-04293/КЛ</t>
  </si>
  <si>
    <t>В-11521/КЛ</t>
  </si>
  <si>
    <t>В-18791/КЛ</t>
  </si>
  <si>
    <t>В-15448/КЛ</t>
  </si>
  <si>
    <t>В-13629/КЛ</t>
  </si>
  <si>
    <t>В-15222/КЛ</t>
  </si>
  <si>
    <t>В-19329/КЛ</t>
  </si>
  <si>
    <t>В-00012/КЭ</t>
  </si>
  <si>
    <t>В-11932/КЛ</t>
  </si>
  <si>
    <t>В-18167/КЛ</t>
  </si>
  <si>
    <t>В-00023/КЭ</t>
  </si>
  <si>
    <t>В-12675/КЛ</t>
  </si>
  <si>
    <t>В-08361/КЛ</t>
  </si>
  <si>
    <t>В-08391/КЛ</t>
  </si>
  <si>
    <t>В-16861/КЛ</t>
  </si>
  <si>
    <t>В-18538/КЛ</t>
  </si>
  <si>
    <t>В-02691/КЛ</t>
  </si>
  <si>
    <t>В-07411/КЛ</t>
  </si>
  <si>
    <t>В-17201/КЛ</t>
  </si>
  <si>
    <t>В-19766/КЛ</t>
  </si>
  <si>
    <t>В-15330/КЛ</t>
  </si>
  <si>
    <t>В-19846/КЛ</t>
  </si>
  <si>
    <t>В-00178/КЛ</t>
  </si>
  <si>
    <t>В-15412/КЛ</t>
  </si>
  <si>
    <t>В-13507/КЛ</t>
  </si>
  <si>
    <t>В-17852/КЛ</t>
  </si>
  <si>
    <t>В-03938/КЛ</t>
  </si>
  <si>
    <t>В-08603/КЛ</t>
  </si>
  <si>
    <t>В-20635/КЛ</t>
  </si>
  <si>
    <t>В-08065/КЛ</t>
  </si>
  <si>
    <t>В-07717/КЛ</t>
  </si>
  <si>
    <t>В-09292/КЛ</t>
  </si>
  <si>
    <t>В-12484/КЛ</t>
  </si>
  <si>
    <t>В-01271/КЛ</t>
  </si>
  <si>
    <t>В-01506/КЛ</t>
  </si>
  <si>
    <t>В-20703/КЛ</t>
  </si>
  <si>
    <t>В-17167/КЛ</t>
  </si>
  <si>
    <t>В-12548/КЛ</t>
  </si>
  <si>
    <t>В-10123/КЛ</t>
  </si>
  <si>
    <t>В-14453/КЛ</t>
  </si>
  <si>
    <t>В-11934/КЛ</t>
  </si>
  <si>
    <t>В-17315/КЛ</t>
  </si>
  <si>
    <t>В-20300/КЛ</t>
  </si>
  <si>
    <t>В-08064/КЛ</t>
  </si>
  <si>
    <t>В-13264/КЛ</t>
  </si>
  <si>
    <t>В-19791/КЛ</t>
  </si>
  <si>
    <t>В-14310/КЛ</t>
  </si>
  <si>
    <t>В-21019/КЛ</t>
  </si>
  <si>
    <t>В-22238/КЛ</t>
  </si>
  <si>
    <t>В-01252/КЛ</t>
  </si>
  <si>
    <t>В-04229/КЛ</t>
  </si>
  <si>
    <t>В-14005/КЛ</t>
  </si>
  <si>
    <t>В-01216/КЛ</t>
  </si>
  <si>
    <t>В-18008/КЛ</t>
  </si>
  <si>
    <t>В-19349/КЛ</t>
  </si>
  <si>
    <t>В-20442/КЛ</t>
  </si>
  <si>
    <t>В-11946/КЛ</t>
  </si>
  <si>
    <t>В-15908/КЛ</t>
  </si>
  <si>
    <t>В-12551/КЛ</t>
  </si>
  <si>
    <t>В-15085/КЛ</t>
  </si>
  <si>
    <t>В-16757/КЛ</t>
  </si>
  <si>
    <t>В-13051/КЛ</t>
  </si>
  <si>
    <t>В-24983/КЛ</t>
  </si>
  <si>
    <t>В-02961/КЛ</t>
  </si>
  <si>
    <t>В-17458/КЛ</t>
  </si>
  <si>
    <t>В-22173/КЛ</t>
  </si>
  <si>
    <t>В-22201/КЛ</t>
  </si>
  <si>
    <t>В-18022/КЛ</t>
  </si>
  <si>
    <t>В-18163/КЛ</t>
  </si>
  <si>
    <t>В-00553/КЛ</t>
  </si>
  <si>
    <t>В-14335/КЛ</t>
  </si>
  <si>
    <t>В-00034/КЭ</t>
  </si>
  <si>
    <t>В-12410/КЛ</t>
  </si>
  <si>
    <t>В-07147/КЛ</t>
  </si>
  <si>
    <t>В-17030/КЛ</t>
  </si>
  <si>
    <t>В-04682/КЛ</t>
  </si>
  <si>
    <t>В-13136/КЛ</t>
  </si>
  <si>
    <t>В-20766/КЛ</t>
  </si>
  <si>
    <t>В-15822/КЛ</t>
  </si>
  <si>
    <t>В-09725/КЛ</t>
  </si>
  <si>
    <t>В-08148/КЛ</t>
  </si>
  <si>
    <t>В-11595/КЛ</t>
  </si>
  <si>
    <t>В-22642/КЛ</t>
  </si>
  <si>
    <t>В-21269/КЛ</t>
  </si>
  <si>
    <t>В-17362/КЛ</t>
  </si>
  <si>
    <t>В-00021/КЭ</t>
  </si>
  <si>
    <t>В-22100/КЛ</t>
  </si>
  <si>
    <t>В-21146/КЛ</t>
  </si>
  <si>
    <t>В-15165/КЛ</t>
  </si>
  <si>
    <t>В-23045/КЛ</t>
  </si>
  <si>
    <t>В-13219/КЛ</t>
  </si>
  <si>
    <t>В-17708/КЛ</t>
  </si>
  <si>
    <t>В-15200/КЛ</t>
  </si>
  <si>
    <t>В-22833/КЛ</t>
  </si>
  <si>
    <t>В-20546/КЛ</t>
  </si>
  <si>
    <t>В-20046/КЛ</t>
  </si>
  <si>
    <t>В-02707/КЛ</t>
  </si>
  <si>
    <t>В-22426/КЛ</t>
  </si>
  <si>
    <t>В-18366/КЛ</t>
  </si>
  <si>
    <t>В-30009/КЭ</t>
  </si>
  <si>
    <t>В-18654/КЛ</t>
  </si>
  <si>
    <t>В-00039/КЭ</t>
  </si>
  <si>
    <t>В-24267/КЛ</t>
  </si>
  <si>
    <t>В-22026/КЛ</t>
  </si>
  <si>
    <t>В-20109/КЛ</t>
  </si>
  <si>
    <t>В-15750/КЛ</t>
  </si>
  <si>
    <t>В-01898/КЛ</t>
  </si>
  <si>
    <t>В-21454/КЛ</t>
  </si>
  <si>
    <t>В-17805/КЛ</t>
  </si>
  <si>
    <t>В-00145/КЛ</t>
  </si>
  <si>
    <t>В-20497/КЛ</t>
  </si>
  <si>
    <t>В-00439/КЛ</t>
  </si>
  <si>
    <t>В-25131/КЛ</t>
  </si>
  <si>
    <t>В-17062/КЛ</t>
  </si>
  <si>
    <t>В-20437/КЛ</t>
  </si>
  <si>
    <t>В-12246/КЛ</t>
  </si>
  <si>
    <t>В-09213/КЛ</t>
  </si>
  <si>
    <t>В-11334/КЛ</t>
  </si>
  <si>
    <t>В-23840/КЛ</t>
  </si>
  <si>
    <t>Т-10006/КЭ</t>
  </si>
  <si>
    <t>В-12483/КЛ</t>
  </si>
  <si>
    <t>В-09890/КЛ</t>
  </si>
  <si>
    <t>В-17153/КЛ</t>
  </si>
  <si>
    <t>В-12401/КЛ</t>
  </si>
  <si>
    <t>В-21858/КЛ</t>
  </si>
  <si>
    <t>В-19655/КЛ</t>
  </si>
  <si>
    <t>В-13104/КЛ</t>
  </si>
  <si>
    <t>В-10012/КЭ</t>
  </si>
  <si>
    <t>В-21040/КЛ</t>
  </si>
  <si>
    <t>В-11825/КЛ</t>
  </si>
  <si>
    <t>В-03974/КЛ</t>
  </si>
  <si>
    <t>В-01692/КЛ</t>
  </si>
  <si>
    <t>В-13254/КЛ</t>
  </si>
  <si>
    <t>В-00977/КЛ</t>
  </si>
  <si>
    <t>В-17687/КЛ</t>
  </si>
  <si>
    <t>В-21208/КЛ</t>
  </si>
  <si>
    <t>В-12391/КЛ</t>
  </si>
  <si>
    <t>В-25747/КЛ</t>
  </si>
  <si>
    <t>В-10934/КЛ</t>
  </si>
  <si>
    <t>В-08918/КЛ</t>
  </si>
  <si>
    <t>В-02154/КЛ</t>
  </si>
  <si>
    <t>В-12368/КЛ</t>
  </si>
  <si>
    <t>В-27006/КЛ</t>
  </si>
  <si>
    <t>В-26242/КЛ</t>
  </si>
  <si>
    <t>В-26247/КЛ</t>
  </si>
  <si>
    <t>В-11407/КЛ</t>
  </si>
  <si>
    <t>В-21847/КЛ</t>
  </si>
  <si>
    <t>В-17051/КЛ</t>
  </si>
  <si>
    <t>В-21079/КЛ</t>
  </si>
  <si>
    <t>В-16023/КЛ</t>
  </si>
  <si>
    <t>В-22728/КЛ</t>
  </si>
  <si>
    <t>В-04210/КЛ</t>
  </si>
  <si>
    <t>В-24021/КЛ</t>
  </si>
  <si>
    <t>В-20855/КЛ</t>
  </si>
  <si>
    <t>В-18370/КЛ</t>
  </si>
  <si>
    <t>В-05654/КЛ</t>
  </si>
  <si>
    <t>В-27434/КЛ</t>
  </si>
  <si>
    <t>В-25302/КЛ</t>
  </si>
  <si>
    <t>В-00070/КЭ</t>
  </si>
  <si>
    <t>В-00068/КЭ</t>
  </si>
  <si>
    <t>В-15560/КЛ</t>
  </si>
  <si>
    <t>В-22538/КЛ</t>
  </si>
  <si>
    <t>В-16959/КЛ</t>
  </si>
  <si>
    <t>В-21048/КЛ</t>
  </si>
  <si>
    <t>В-25457/КЛ</t>
  </si>
  <si>
    <t>В-28329/КЛ</t>
  </si>
  <si>
    <t>В-20060/КЛ</t>
  </si>
  <si>
    <t>В-17788/КЛ</t>
  </si>
  <si>
    <t>В-09795/КЛ</t>
  </si>
  <si>
    <t>В-12279/КЛ</t>
  </si>
  <si>
    <t>В-15532/КЛ</t>
  </si>
  <si>
    <t>В-17934/КЛ</t>
  </si>
  <si>
    <t>В-14178/КЛ</t>
  </si>
  <si>
    <t>В-18757/КЛ</t>
  </si>
  <si>
    <t>В-14196/КЛ</t>
  </si>
  <si>
    <t>В-00077/КЭ</t>
  </si>
  <si>
    <t>В-20490/КЛ</t>
  </si>
  <si>
    <t>В-20200/КЛ</t>
  </si>
  <si>
    <t>В-21574/КЛ</t>
  </si>
  <si>
    <t>В-06035/КЛ</t>
  </si>
  <si>
    <t>В-22627/КЛ</t>
  </si>
  <si>
    <t>В-24823/КЛ</t>
  </si>
  <si>
    <t>В-24878/КЛ</t>
  </si>
  <si>
    <t>В-08745/КЛ</t>
  </si>
  <si>
    <t>В-11534/КЛ</t>
  </si>
  <si>
    <t>В-23906/КЛ</t>
  </si>
  <si>
    <t>В-23712/КЛ</t>
  </si>
  <si>
    <t>В-00473/КЛ</t>
  </si>
  <si>
    <t>В-17106/КЛ</t>
  </si>
  <si>
    <t>В-24927/КЛ</t>
  </si>
  <si>
    <t>В-19526/КЛ</t>
  </si>
  <si>
    <t>В-14907/КЛ</t>
  </si>
  <si>
    <t>В-27521/КЛ</t>
  </si>
  <si>
    <t>В-14544/КЛ</t>
  </si>
  <si>
    <t>В-22057/КЛ</t>
  </si>
  <si>
    <t>В-00017/КЛ</t>
  </si>
  <si>
    <t>В-21075/КЛ</t>
  </si>
  <si>
    <t>В-24261/КЛ</t>
  </si>
  <si>
    <t>В-27747/КЛ</t>
  </si>
  <si>
    <t>В-26776/КЛ</t>
  </si>
  <si>
    <t>В-25513/КЛ</t>
  </si>
  <si>
    <t>В-23242/КЛ</t>
  </si>
  <si>
    <t>В-15163/КЛ</t>
  </si>
  <si>
    <t>В-19451/КЛ</t>
  </si>
  <si>
    <t>В-20032/КЛ</t>
  </si>
  <si>
    <t>В-20218/КЛ</t>
  </si>
  <si>
    <t>В-25806/КЛ</t>
  </si>
  <si>
    <t>В-17752/КЛ</t>
  </si>
  <si>
    <t>В-17824/КЛ</t>
  </si>
  <si>
    <t>В-15393/КЛ</t>
  </si>
  <si>
    <t>В-24350/КЛ</t>
  </si>
  <si>
    <t>В-14860/КЛ</t>
  </si>
  <si>
    <t>В-28544/КЛ</t>
  </si>
  <si>
    <t>В-27105/КЛ</t>
  </si>
  <si>
    <t>В-17199/КЛ</t>
  </si>
  <si>
    <t>В-20787/КЛ</t>
  </si>
  <si>
    <t>В-26474/КЛ</t>
  </si>
  <si>
    <t>В-18438/КЛ</t>
  </si>
  <si>
    <t>В-00239/КЛ</t>
  </si>
  <si>
    <t>В-03359/КЛ</t>
  </si>
  <si>
    <t>В-17506/КЛ</t>
  </si>
  <si>
    <t>В-14633/КЛ</t>
  </si>
  <si>
    <t>В-16432/КЛ</t>
  </si>
  <si>
    <t>В-21175/КЛ</t>
  </si>
  <si>
    <t>В-26093/КЛ</t>
  </si>
  <si>
    <t>В-25529/КЛ</t>
  </si>
  <si>
    <t>В-24336/КЛ</t>
  </si>
  <si>
    <t>В-16541/КЛ</t>
  </si>
  <si>
    <t>В-29072/КЛ</t>
  </si>
  <si>
    <t>В-07729/КЛ</t>
  </si>
  <si>
    <t>В-19179/КЛ</t>
  </si>
  <si>
    <t>В-18890/КЛ</t>
  </si>
  <si>
    <t>В-05256/КЛ</t>
  </si>
  <si>
    <t>В-20172/КЛ</t>
  </si>
  <si>
    <t>В-20458/КЛ</t>
  </si>
  <si>
    <t>В-01207/АЗ</t>
  </si>
  <si>
    <t>В-21666/КЛ</t>
  </si>
  <si>
    <t>В-27256/КЛ</t>
  </si>
  <si>
    <t>В-28383/КЛ</t>
  </si>
  <si>
    <t>В-18851/КЛ</t>
  </si>
  <si>
    <t>В-15881/КЛ</t>
  </si>
  <si>
    <t>В-22996/КЛ</t>
  </si>
  <si>
    <t>В-23897/КЛ</t>
  </si>
  <si>
    <t>В-25466/АЗ</t>
  </si>
  <si>
    <t>В-20210/КЛ</t>
  </si>
  <si>
    <t>В-28655/КЛ</t>
  </si>
  <si>
    <t>В-28684/КЛ</t>
  </si>
  <si>
    <t>В-01050/АЗ</t>
  </si>
  <si>
    <t>В-01051/АЗ</t>
  </si>
  <si>
    <t>В-28471/КЛ</t>
  </si>
  <si>
    <t>В-18334/КЛ</t>
  </si>
  <si>
    <t>В-12670/КЛ</t>
  </si>
  <si>
    <t>В-18586/КЛ</t>
  </si>
  <si>
    <t>В-19227/КЛ</t>
  </si>
  <si>
    <t>В-23919/КЛ</t>
  </si>
  <si>
    <t>В-05105/КЛ</t>
  </si>
  <si>
    <t>В-07072/КЛ</t>
  </si>
  <si>
    <t>В-19862/КЛ</t>
  </si>
  <si>
    <t>В-17853/КЛ</t>
  </si>
  <si>
    <t>В-15778/КЛ</t>
  </si>
  <si>
    <t>В-13336/КЛ</t>
  </si>
  <si>
    <t>В-20921/КЛ</t>
  </si>
  <si>
    <t>В-00075/КЭ</t>
  </si>
  <si>
    <t>В-18164/КЛ</t>
  </si>
  <si>
    <t>В-24012/КЛ</t>
  </si>
  <si>
    <t>В-15451/КЛ</t>
  </si>
  <si>
    <t>В-27251/КЛ</t>
  </si>
  <si>
    <t>В-13740/КЛ</t>
  </si>
  <si>
    <t>В-28694/КЛ</t>
  </si>
  <si>
    <t>В-12818/КЛ</t>
  </si>
  <si>
    <t>В-07877/КЛ</t>
  </si>
  <si>
    <t>В-10141/КЛ</t>
  </si>
  <si>
    <t>В-09174/КЛ</t>
  </si>
  <si>
    <t>В-11050/КЛ</t>
  </si>
  <si>
    <t>В-21630/КЛ</t>
  </si>
  <si>
    <t>В-11630/КЛ</t>
  </si>
  <si>
    <t>В-19093/КЛ</t>
  </si>
  <si>
    <t>В-30001/КЭ</t>
  </si>
  <si>
    <t>В-04724/КЛ</t>
  </si>
  <si>
    <t>В-18569/КЛ</t>
  </si>
  <si>
    <t>В-19425/КЛ</t>
  </si>
  <si>
    <t>В-08393/КЛ</t>
  </si>
  <si>
    <t>В-27855/КЛ</t>
  </si>
  <si>
    <t>В-24308/КЛ</t>
  </si>
  <si>
    <t>В-10008/КЭ</t>
  </si>
  <si>
    <t>В-10024/КЭ</t>
  </si>
  <si>
    <t>В-10025/КЭ</t>
  </si>
  <si>
    <t>В-20118/КЛ</t>
  </si>
  <si>
    <t>В-25792/КЛ</t>
  </si>
  <si>
    <t>В-21972/КЛ</t>
  </si>
  <si>
    <t>В-28872/КЛ</t>
  </si>
  <si>
    <t>В-23074/КЛ</t>
  </si>
  <si>
    <t>В-23776/КЛ</t>
  </si>
  <si>
    <t>В-20180/КЛ</t>
  </si>
  <si>
    <t>В-18548/КЛ</t>
  </si>
  <si>
    <t>В-19897/КЛ</t>
  </si>
  <si>
    <t>В-14546/КЛ</t>
  </si>
  <si>
    <t>В-28224/КЛ</t>
  </si>
  <si>
    <t>Т-01885/АЗ</t>
  </si>
  <si>
    <t>В-00063/КЭ</t>
  </si>
  <si>
    <t>В-30005/КЭ</t>
  </si>
  <si>
    <t>В-24385/КЛ</t>
  </si>
  <si>
    <t>В-26949/КЛ</t>
  </si>
  <si>
    <t>В-12113/КЛ</t>
  </si>
  <si>
    <t>В-17417/КЛ</t>
  </si>
  <si>
    <t>В-05402/КЛ</t>
  </si>
  <si>
    <t>В-10020/КЭ</t>
  </si>
  <si>
    <t>В-18909/КЛ</t>
  </si>
  <si>
    <t>В-23410/КЛ</t>
  </si>
  <si>
    <t>В-20251/КЛ</t>
  </si>
  <si>
    <t>В-28393/КЛ</t>
  </si>
  <si>
    <t>В-24493/КЛ</t>
  </si>
  <si>
    <t>В-21731/КЛ</t>
  </si>
  <si>
    <t>В-14818/КЛ</t>
  </si>
  <si>
    <t>В-26816/КЛ</t>
  </si>
  <si>
    <t>В-19597/КЛ</t>
  </si>
  <si>
    <t>В-27835/КЛ</t>
  </si>
  <si>
    <t>В-28159/КЛ</t>
  </si>
  <si>
    <t>В-16261/КЛ</t>
  </si>
  <si>
    <t>В-27334/КЛ</t>
  </si>
  <si>
    <t>В-14232/КЛ</t>
  </si>
  <si>
    <t>В-01013/КЛ</t>
  </si>
  <si>
    <t>В-25530/КЛ</t>
  </si>
  <si>
    <t>В-25950/КЛ</t>
  </si>
  <si>
    <t>В-06818/КЛ</t>
  </si>
  <si>
    <t>В-26170/КЛ</t>
  </si>
  <si>
    <t>В-04333/КЛ</t>
  </si>
  <si>
    <t>В-20140/КЛ</t>
  </si>
  <si>
    <t>В-28274/КЛ</t>
  </si>
  <si>
    <t>В-10039/КЛ</t>
  </si>
  <si>
    <t>В-18631/КЛ</t>
  </si>
  <si>
    <t>В-27843/КЛ</t>
  </si>
  <si>
    <t>В-27753/КЛ</t>
  </si>
  <si>
    <t>В-19104/КЛ</t>
  </si>
  <si>
    <t>В-28252/КЛ</t>
  </si>
  <si>
    <t>В-16728/КЛ</t>
  </si>
  <si>
    <t>В-03450/КЛ</t>
  </si>
  <si>
    <t>В-30007/КЭ</t>
  </si>
  <si>
    <t>В-18141/КЛ</t>
  </si>
  <si>
    <t>В-20731/КЛ</t>
  </si>
  <si>
    <t>В-19684/КЛ</t>
  </si>
  <si>
    <t>В-19346/КЛ</t>
  </si>
  <si>
    <t>В-00030/КЭ</t>
  </si>
  <si>
    <t>В-27410/КЛ</t>
  </si>
  <si>
    <t>В-03300/КЛ</t>
  </si>
  <si>
    <t>В-25306/КЛ</t>
  </si>
  <si>
    <t>В-25865/КЛ</t>
  </si>
  <si>
    <t>В-21137/КЛ</t>
  </si>
  <si>
    <t>В-17318/КЛ</t>
  </si>
  <si>
    <t>В-25052/КЛ</t>
  </si>
  <si>
    <t>В-02583/КЛ</t>
  </si>
  <si>
    <t>В-10014/КЭ</t>
  </si>
  <si>
    <t>В-26664/КЛ</t>
  </si>
  <si>
    <t>В-26114/КЛ</t>
  </si>
  <si>
    <t>В-00052/КЭ</t>
  </si>
  <si>
    <t>В-12943/КЛ</t>
  </si>
  <si>
    <t>В-25824/КЛ</t>
  </si>
  <si>
    <t>В-08644/КЛ</t>
  </si>
  <si>
    <t>В-21872/КЛ</t>
  </si>
  <si>
    <t>В-28587/КЛ</t>
  </si>
  <si>
    <t>В-27914/КЛ</t>
  </si>
  <si>
    <t>В-20952/КЛ</t>
  </si>
  <si>
    <t>В-10050/КЛ</t>
  </si>
  <si>
    <t>В-28961/КЛ</t>
  </si>
  <si>
    <t>В-26422/КЛ</t>
  </si>
  <si>
    <t>В-22677/КЛ</t>
  </si>
  <si>
    <t>В-08348/КЛ</t>
  </si>
  <si>
    <t>В-12574/КЛ</t>
  </si>
  <si>
    <t>В-22409/КЛ</t>
  </si>
  <si>
    <t>В-12256/КЛ</t>
  </si>
  <si>
    <t>В-23923/КЛ</t>
  </si>
  <si>
    <t>В-26928/КЛ</t>
  </si>
  <si>
    <t>В-28360/КЛ</t>
  </si>
  <si>
    <t>В-11277/КЛ</t>
  </si>
  <si>
    <t>В-27315/КЛ</t>
  </si>
  <si>
    <t>В-09100/КЛ</t>
  </si>
  <si>
    <t>В-12523/КЛ</t>
  </si>
  <si>
    <t>В-28358/КЛ</t>
  </si>
  <si>
    <t>В-15138/КЛ</t>
  </si>
  <si>
    <t>В-19354/КЛ</t>
  </si>
  <si>
    <t>В-21253/КЛ</t>
  </si>
  <si>
    <t>В-19740/КЛ</t>
  </si>
  <si>
    <t>В-08454/КЛ</t>
  </si>
  <si>
    <t>В-27788/КЛ</t>
  </si>
  <si>
    <t>В-22205/КЛ</t>
  </si>
  <si>
    <t>В-10474/КЛ</t>
  </si>
  <si>
    <t>В-19991/КЛ</t>
  </si>
  <si>
    <t>В-02064/КЛ</t>
  </si>
  <si>
    <t>В-25548/КЛ</t>
  </si>
  <si>
    <t>В-27929/КЛ</t>
  </si>
  <si>
    <t>В-25922/КЛ</t>
  </si>
  <si>
    <t>В-25627/КЛ</t>
  </si>
  <si>
    <t>В-14291/КЛ</t>
  </si>
  <si>
    <t>В-22935/КЛ</t>
  </si>
  <si>
    <t>В-12067/КЛ</t>
  </si>
  <si>
    <t>В-16057/КЛ</t>
  </si>
  <si>
    <t>В-13449/КЛ</t>
  </si>
  <si>
    <t>В-16455/КЛ</t>
  </si>
  <si>
    <t>В-12098/КЛ</t>
  </si>
  <si>
    <t>В-19585/КЛ</t>
  </si>
  <si>
    <t>В-28906/КЛ</t>
  </si>
  <si>
    <t>В-20035/КЛ</t>
  </si>
  <si>
    <t>В-20133/КЛ</t>
  </si>
  <si>
    <t>В-18958/КЛ</t>
  </si>
  <si>
    <t>В-14198/КЛ</t>
  </si>
  <si>
    <t>В-22864/КЛ</t>
  </si>
  <si>
    <t>В-17916/КЛ</t>
  </si>
  <si>
    <t>В-17469/КЛ</t>
  </si>
  <si>
    <t>В-25764/КЛ</t>
  </si>
  <si>
    <t>В-14816/КЛ</t>
  </si>
  <si>
    <t>В-12066/КЛ</t>
  </si>
  <si>
    <t>В-10204/КЛ</t>
  </si>
  <si>
    <t>В-27646/КЛ</t>
  </si>
  <si>
    <t>В-06345/КЛ</t>
  </si>
  <si>
    <t>В-21306/КЛ</t>
  </si>
  <si>
    <t>В-17095/КЛ</t>
  </si>
  <si>
    <t>В-28376/КЛ</t>
  </si>
  <si>
    <t>В-12662/КЛ</t>
  </si>
  <si>
    <t/>
  </si>
  <si>
    <t>В-21568/КЛ</t>
  </si>
  <si>
    <t>В-15954/КЛ</t>
  </si>
  <si>
    <t>В-14216/КЛ</t>
  </si>
  <si>
    <t>В-11396/КЛ</t>
  </si>
  <si>
    <t>В-23901/КЛ</t>
  </si>
  <si>
    <t>В-18894/КЛ</t>
  </si>
  <si>
    <t>В-10495/КЛ</t>
  </si>
  <si>
    <t>В-23555/КЛ</t>
  </si>
  <si>
    <t>В-16242/КЛ</t>
  </si>
  <si>
    <t>В-22449/КЛ</t>
  </si>
  <si>
    <t>В-09172/КЛ</t>
  </si>
  <si>
    <t>В-16934/КЛ</t>
  </si>
  <si>
    <t>В-28539/КЛ</t>
  </si>
  <si>
    <t>В-23370/КЛ</t>
  </si>
  <si>
    <t>В-12912/КЛ</t>
  </si>
  <si>
    <t>В-12231/КЛ</t>
  </si>
  <si>
    <t>В-24580/КЛ</t>
  </si>
  <si>
    <t>В-19548/КЛ</t>
  </si>
  <si>
    <t>В-18414/КЛ</t>
  </si>
  <si>
    <t>В-12553/КЛ</t>
  </si>
  <si>
    <t>В-08270/КЛ</t>
  </si>
  <si>
    <t>В-12269/КЛ</t>
  </si>
  <si>
    <t>В-19736/КЛ</t>
  </si>
  <si>
    <t>В-22744/КЛ</t>
  </si>
  <si>
    <t>В-19593/КЛ</t>
  </si>
  <si>
    <t>В-18496/КЛ</t>
  </si>
  <si>
    <t>В-21911/КЛ</t>
  </si>
  <si>
    <t>В-18536/КЛ</t>
  </si>
  <si>
    <t>В-11716/КЛ</t>
  </si>
  <si>
    <t>В-26733/КЛ</t>
  </si>
  <si>
    <t>В-13235/КЛ</t>
  </si>
  <si>
    <t xml:space="preserve"> Сидоров Александр Владимирович </t>
  </si>
  <si>
    <t xml:space="preserve"> Кожинов Дмитрий Сергеевич </t>
  </si>
  <si>
    <t xml:space="preserve"> Цирамуа Наталия Наполеоновна </t>
  </si>
  <si>
    <t xml:space="preserve"> Король Маргарита Игоревна </t>
  </si>
  <si>
    <t xml:space="preserve"> Копытман Александр Семенович </t>
  </si>
  <si>
    <t xml:space="preserve"> Говоруха Андрей Михайлович </t>
  </si>
  <si>
    <t xml:space="preserve"> Конуркин Сергей Сергеевич </t>
  </si>
  <si>
    <t>Период: 10.06.2024 - 09.07.2024</t>
  </si>
  <si>
    <t xml:space="preserve"> Попов Михаил Александрович </t>
  </si>
  <si>
    <t xml:space="preserve"> Платонов Николай Владимирович </t>
  </si>
  <si>
    <t xml:space="preserve"> Члоян Геворк Мамбреович </t>
  </si>
  <si>
    <t xml:space="preserve"> Зотов Дмитрий Анатольевич </t>
  </si>
  <si>
    <t xml:space="preserve"> Романов Евгений Юрьевич </t>
  </si>
  <si>
    <t xml:space="preserve"> Селеверстов Михаил Васильевич </t>
  </si>
  <si>
    <t xml:space="preserve"> Рамазанов Абакар Рамазанович </t>
  </si>
  <si>
    <t xml:space="preserve"> Савельев Станислав Валентинович </t>
  </si>
  <si>
    <t>1 248</t>
  </si>
  <si>
    <t>1 118</t>
  </si>
  <si>
    <t>1 049</t>
  </si>
  <si>
    <t>1 726</t>
  </si>
  <si>
    <t>1 185</t>
  </si>
  <si>
    <t>1 119</t>
  </si>
  <si>
    <t>1 747</t>
  </si>
  <si>
    <t>1 070</t>
  </si>
  <si>
    <t>1 064</t>
  </si>
  <si>
    <t>1 057</t>
  </si>
  <si>
    <t>1 045</t>
  </si>
  <si>
    <t>1 750</t>
  </si>
  <si>
    <t>1 671</t>
  </si>
  <si>
    <t>1 668</t>
  </si>
  <si>
    <t>1 636</t>
  </si>
  <si>
    <t>1 558</t>
  </si>
  <si>
    <t>1 551</t>
  </si>
  <si>
    <t>1 470</t>
  </si>
  <si>
    <t>1 467</t>
  </si>
  <si>
    <t>1 461</t>
  </si>
  <si>
    <t>1 458</t>
  </si>
  <si>
    <t>1 447</t>
  </si>
  <si>
    <t>1 379</t>
  </si>
  <si>
    <t>1 376</t>
  </si>
  <si>
    <t>1 367</t>
  </si>
  <si>
    <t>1 325</t>
  </si>
  <si>
    <t>1 290</t>
  </si>
  <si>
    <t>1 251</t>
  </si>
  <si>
    <t>1 131</t>
  </si>
  <si>
    <t>1 129</t>
  </si>
  <si>
    <t>1 111</t>
  </si>
  <si>
    <t>1 054</t>
  </si>
  <si>
    <t>1 033</t>
  </si>
  <si>
    <t>1 000</t>
  </si>
  <si>
    <t>2 098</t>
  </si>
  <si>
    <t>1 922</t>
  </si>
  <si>
    <t>1 861</t>
  </si>
  <si>
    <t>1 755</t>
  </si>
  <si>
    <t>1 751</t>
  </si>
  <si>
    <t>1 740</t>
  </si>
  <si>
    <t>1 721</t>
  </si>
  <si>
    <t>1 673</t>
  </si>
  <si>
    <t>1 652</t>
  </si>
  <si>
    <t>1 609</t>
  </si>
  <si>
    <t>1 583</t>
  </si>
  <si>
    <t>1 582</t>
  </si>
  <si>
    <t>1 572</t>
  </si>
  <si>
    <t>1 561</t>
  </si>
  <si>
    <t>1 550</t>
  </si>
  <si>
    <t>1 542</t>
  </si>
  <si>
    <t>1 532</t>
  </si>
  <si>
    <t>1 475</t>
  </si>
  <si>
    <t>1 446</t>
  </si>
  <si>
    <t>1 438</t>
  </si>
  <si>
    <t>1 436</t>
  </si>
  <si>
    <t>1 427</t>
  </si>
  <si>
    <t>1 425</t>
  </si>
  <si>
    <t>1 400</t>
  </si>
  <si>
    <t>1 393</t>
  </si>
  <si>
    <t>1 351</t>
  </si>
  <si>
    <t>1 336</t>
  </si>
  <si>
    <t>1 298</t>
  </si>
  <si>
    <t>1 281</t>
  </si>
  <si>
    <t>1 270</t>
  </si>
  <si>
    <t>1 259</t>
  </si>
  <si>
    <t>1 254</t>
  </si>
  <si>
    <t>1 225</t>
  </si>
  <si>
    <t>1 224</t>
  </si>
  <si>
    <t>1 201</t>
  </si>
  <si>
    <t>1 200</t>
  </si>
  <si>
    <t>1 199</t>
  </si>
  <si>
    <t>1 190</t>
  </si>
  <si>
    <t>1 183</t>
  </si>
  <si>
    <t>1 172</t>
  </si>
  <si>
    <t>1 167</t>
  </si>
  <si>
    <t>1 149</t>
  </si>
  <si>
    <t>1 143</t>
  </si>
  <si>
    <t>1 142</t>
  </si>
  <si>
    <t>1 134</t>
  </si>
  <si>
    <t>1 132</t>
  </si>
  <si>
    <t>1 122</t>
  </si>
  <si>
    <t>1 102</t>
  </si>
  <si>
    <t>1 094</t>
  </si>
  <si>
    <t>1 078</t>
  </si>
  <si>
    <t>1 077</t>
  </si>
  <si>
    <t>1 068</t>
  </si>
  <si>
    <t>1 066</t>
  </si>
  <si>
    <t>1 060</t>
  </si>
  <si>
    <t>1 059</t>
  </si>
  <si>
    <t>1 039</t>
  </si>
  <si>
    <t>1 038</t>
  </si>
  <si>
    <t>1 026</t>
  </si>
  <si>
    <t>2 097</t>
  </si>
  <si>
    <t>1 876</t>
  </si>
  <si>
    <t>1 836</t>
  </si>
  <si>
    <t>1 835</t>
  </si>
  <si>
    <t>1 818</t>
  </si>
  <si>
    <t>1 761</t>
  </si>
  <si>
    <t>1 741</t>
  </si>
  <si>
    <t>1 725</t>
  </si>
  <si>
    <t>1 684</t>
  </si>
  <si>
    <t>1 681</t>
  </si>
  <si>
    <t>1 672</t>
  </si>
  <si>
    <t>1 617</t>
  </si>
  <si>
    <t>1 616</t>
  </si>
  <si>
    <t>1 615</t>
  </si>
  <si>
    <t>1 614</t>
  </si>
  <si>
    <t>1 594</t>
  </si>
  <si>
    <t>1 593</t>
  </si>
  <si>
    <t>1 589</t>
  </si>
  <si>
    <t>1 588</t>
  </si>
  <si>
    <t>1 568</t>
  </si>
  <si>
    <t>1 567</t>
  </si>
  <si>
    <t>1 562</t>
  </si>
  <si>
    <t>1 549</t>
  </si>
  <si>
    <t>1 541</t>
  </si>
  <si>
    <t>1 527</t>
  </si>
  <si>
    <t>1 526</t>
  </si>
  <si>
    <t>1 469</t>
  </si>
  <si>
    <t>1 466</t>
  </si>
  <si>
    <t>1 465</t>
  </si>
  <si>
    <t>1 457</t>
  </si>
  <si>
    <t>1 445</t>
  </si>
  <si>
    <t>1 444</t>
  </si>
  <si>
    <t>1 443</t>
  </si>
  <si>
    <t>1 442</t>
  </si>
  <si>
    <t>1 410</t>
  </si>
  <si>
    <t>1 378</t>
  </si>
  <si>
    <t>1 361</t>
  </si>
  <si>
    <t>1 335</t>
  </si>
  <si>
    <t>1 334</t>
  </si>
  <si>
    <t>1 309</t>
  </si>
  <si>
    <t>1 297</t>
  </si>
  <si>
    <t>1 280</t>
  </si>
  <si>
    <t>1 264</t>
  </si>
  <si>
    <t>1 263</t>
  </si>
  <si>
    <t>1 262</t>
  </si>
  <si>
    <t>1 250</t>
  </si>
  <si>
    <t>1 249</t>
  </si>
  <si>
    <t>1 235</t>
  </si>
  <si>
    <t>1 234</t>
  </si>
  <si>
    <t>1 229</t>
  </si>
  <si>
    <t>1 211</t>
  </si>
  <si>
    <t>1 210</t>
  </si>
  <si>
    <t>1 195</t>
  </si>
  <si>
    <t>1 194</t>
  </si>
  <si>
    <t>1 154</t>
  </si>
  <si>
    <t>1 153</t>
  </si>
  <si>
    <t>1 133</t>
  </si>
  <si>
    <t>1 130</t>
  </si>
  <si>
    <t>1 112</t>
  </si>
  <si>
    <t>1 110</t>
  </si>
  <si>
    <t>1 104</t>
  </si>
  <si>
    <t>1 088</t>
  </si>
  <si>
    <t>1 084</t>
  </si>
  <si>
    <t>1 071</t>
  </si>
  <si>
    <t>1 065</t>
  </si>
  <si>
    <t>1 063</t>
  </si>
  <si>
    <t>1 056</t>
  </si>
  <si>
    <t>1 050</t>
  </si>
  <si>
    <t>1 044</t>
  </si>
  <si>
    <t>1 037</t>
  </si>
  <si>
    <t>1 032</t>
  </si>
  <si>
    <t>1 013</t>
  </si>
  <si>
    <t>1 010</t>
  </si>
  <si>
    <t>На конец дня: 26.07.2024</t>
  </si>
  <si>
    <t>3 653</t>
  </si>
  <si>
    <t>3 566</t>
  </si>
  <si>
    <t>3 511</t>
  </si>
  <si>
    <t>3 403</t>
  </si>
  <si>
    <t>3 264</t>
  </si>
  <si>
    <t>3 174</t>
  </si>
  <si>
    <t>3 117</t>
  </si>
  <si>
    <t>3 104</t>
  </si>
  <si>
    <t>2 997</t>
  </si>
  <si>
    <t>2 853</t>
  </si>
  <si>
    <t>2 783</t>
  </si>
  <si>
    <t>2 721</t>
  </si>
  <si>
    <t>2 375</t>
  </si>
  <si>
    <t>2 373</t>
  </si>
  <si>
    <t>2 275</t>
  </si>
  <si>
    <t>2 183</t>
  </si>
  <si>
    <t>2 164</t>
  </si>
  <si>
    <t>2 150</t>
  </si>
  <si>
    <t>2 142</t>
  </si>
  <si>
    <t>2 134</t>
  </si>
  <si>
    <t>2 127</t>
  </si>
  <si>
    <t>2 124</t>
  </si>
  <si>
    <t>2 111</t>
  </si>
  <si>
    <t>2 109</t>
  </si>
  <si>
    <t>2 072</t>
  </si>
  <si>
    <t>2 052</t>
  </si>
  <si>
    <t>2 025</t>
  </si>
  <si>
    <t>1 980</t>
  </si>
  <si>
    <t>1 977</t>
  </si>
  <si>
    <t>1 975</t>
  </si>
  <si>
    <t>1 933</t>
  </si>
  <si>
    <t>1 924</t>
  </si>
  <si>
    <t>1 908</t>
  </si>
  <si>
    <t>1 894</t>
  </si>
  <si>
    <t>1 877</t>
  </si>
  <si>
    <t>1 872</t>
  </si>
  <si>
    <t>1 863</t>
  </si>
  <si>
    <t>1 859</t>
  </si>
  <si>
    <t>1 857</t>
  </si>
  <si>
    <t>1 844</t>
  </si>
  <si>
    <t>1 837</t>
  </si>
  <si>
    <t>1 831</t>
  </si>
  <si>
    <t>1 819</t>
  </si>
  <si>
    <t>1 798</t>
  </si>
  <si>
    <t>1 796</t>
  </si>
  <si>
    <t>1 783</t>
  </si>
  <si>
    <t>1 768</t>
  </si>
  <si>
    <t>1 766</t>
  </si>
  <si>
    <t>1 764</t>
  </si>
  <si>
    <t>1 762</t>
  </si>
  <si>
    <t>1 758</t>
  </si>
  <si>
    <t>1 742</t>
  </si>
  <si>
    <t>1 737</t>
  </si>
  <si>
    <t>1 732</t>
  </si>
  <si>
    <t>1 723</t>
  </si>
  <si>
    <t>1 717</t>
  </si>
  <si>
    <t>1 707</t>
  </si>
  <si>
    <t>1 701</t>
  </si>
  <si>
    <t>1 694</t>
  </si>
  <si>
    <t>1 688</t>
  </si>
  <si>
    <t>1 685</t>
  </si>
  <si>
    <t>1 682</t>
  </si>
  <si>
    <t>1 679</t>
  </si>
  <si>
    <t>1 663</t>
  </si>
  <si>
    <t>1 650</t>
  </si>
  <si>
    <t>1 647</t>
  </si>
  <si>
    <t>1 643</t>
  </si>
  <si>
    <t>1 634</t>
  </si>
  <si>
    <t>1 622</t>
  </si>
  <si>
    <t>1 620</t>
  </si>
  <si>
    <t>1 618</t>
  </si>
  <si>
    <t>1 602</t>
  </si>
  <si>
    <t>1 595</t>
  </si>
  <si>
    <t>1 590</t>
  </si>
  <si>
    <t>1 585</t>
  </si>
  <si>
    <t>1 569</t>
  </si>
  <si>
    <t>1 565</t>
  </si>
  <si>
    <t>1 563</t>
  </si>
  <si>
    <t>1 559</t>
  </si>
  <si>
    <t>1 553</t>
  </si>
  <si>
    <t>1 543</t>
  </si>
  <si>
    <t>1 528</t>
  </si>
  <si>
    <t>1 518</t>
  </si>
  <si>
    <t>1 512</t>
  </si>
  <si>
    <t>1 493</t>
  </si>
  <si>
    <t>1 490</t>
  </si>
  <si>
    <t>1 486</t>
  </si>
  <si>
    <t>1 484</t>
  </si>
  <si>
    <t>1 481</t>
  </si>
  <si>
    <t>1 478</t>
  </si>
  <si>
    <t>1 472</t>
  </si>
  <si>
    <t>1 449</t>
  </si>
  <si>
    <t>1 440</t>
  </si>
  <si>
    <t>1 423</t>
  </si>
  <si>
    <t>1 418</t>
  </si>
  <si>
    <t>1 411</t>
  </si>
  <si>
    <t>1 404</t>
  </si>
  <si>
    <t>1 390</t>
  </si>
  <si>
    <t>1 387</t>
  </si>
  <si>
    <t>1 381</t>
  </si>
  <si>
    <t>1 369</t>
  </si>
  <si>
    <t>1 362</t>
  </si>
  <si>
    <t>1 357</t>
  </si>
  <si>
    <t>1 354</t>
  </si>
  <si>
    <t>1 347</t>
  </si>
  <si>
    <t>1 339</t>
  </si>
  <si>
    <t>1 337</t>
  </si>
  <si>
    <t>1 332</t>
  </si>
  <si>
    <t>1 330</t>
  </si>
  <si>
    <t>1 313</t>
  </si>
  <si>
    <t>1 310</t>
  </si>
  <si>
    <t>1 307</t>
  </si>
  <si>
    <t>1 304</t>
  </si>
  <si>
    <t>1 301</t>
  </si>
  <si>
    <t>1 294</t>
  </si>
  <si>
    <t>1 292</t>
  </si>
  <si>
    <t>1 265</t>
  </si>
  <si>
    <t>1 236</t>
  </si>
  <si>
    <t>1 230</t>
  </si>
  <si>
    <t>1 226</t>
  </si>
  <si>
    <t>1 220</t>
  </si>
  <si>
    <t>1 216</t>
  </si>
  <si>
    <t>1 212</t>
  </si>
  <si>
    <t>1 203</t>
  </si>
  <si>
    <t>1 196</t>
  </si>
  <si>
    <t>1 180</t>
  </si>
  <si>
    <t>1 178</t>
  </si>
  <si>
    <t>1 176</t>
  </si>
  <si>
    <t>1 170</t>
  </si>
  <si>
    <t>1 168</t>
  </si>
  <si>
    <t>1 160</t>
  </si>
  <si>
    <t>1 155</t>
  </si>
  <si>
    <t>1 150</t>
  </si>
  <si>
    <t>1 147</t>
  </si>
  <si>
    <t>1 145</t>
  </si>
  <si>
    <t>1 140</t>
  </si>
  <si>
    <t>1 135</t>
  </si>
  <si>
    <t>1 127</t>
  </si>
  <si>
    <t>1 125</t>
  </si>
  <si>
    <t>1 113</t>
  </si>
  <si>
    <t>1 105</t>
  </si>
  <si>
    <t>1 097</t>
  </si>
  <si>
    <t>1 089</t>
  </si>
  <si>
    <t>1 085</t>
  </si>
  <si>
    <t>1 081</t>
  </si>
  <si>
    <t>1 079</t>
  </si>
  <si>
    <t>1 075</t>
  </si>
  <si>
    <t>1 072</t>
  </si>
  <si>
    <t>1 051</t>
  </si>
  <si>
    <t>1 047</t>
  </si>
  <si>
    <t>1 042</t>
  </si>
  <si>
    <t>1 030</t>
  </si>
  <si>
    <t>1 020</t>
  </si>
  <si>
    <t>1 018</t>
  </si>
  <si>
    <t>1 014</t>
  </si>
  <si>
    <t>1 011</t>
  </si>
  <si>
    <t>1 001</t>
  </si>
  <si>
    <t>818 214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</si>
</sst>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#,##0.00\ &quot;₽&quot;"/>
    <numFmt numFmtId="165" formatCode="_-* #,##0.00\ _₽_-;\-* #,##0.00\ _₽_-;_-* &quot;-&quot;??\ _₽_-;_-@_-"/>
    <numFmt numFmtId="166" formatCode="_-* #,##0_-;\-* #,##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9"/>
      <color indexed="8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19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7" xfId="0" applyBorder="1"/>
    <xf numFmtId="0" fontId="0" fillId="0" borderId="8" xfId="0" applyBorder="1"/>
    <xf numFmtId="164" fontId="0" fillId="0" borderId="8" xfId="0" applyNumberFormat="1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2" fillId="0" borderId="0" xfId="0" applyFont="1"/>
    <xf numFmtId="0" fontId="2" fillId="0" borderId="8" xfId="0" applyFont="1" applyBorder="1"/>
    <xf numFmtId="0" fontId="0" fillId="0" borderId="8" xfId="0" applyBorder="1" applyAlignment="1">
      <alignment horizontal="center"/>
    </xf>
    <xf numFmtId="43" fontId="0" fillId="0" borderId="8" xfId="1" applyFont="1" applyBorder="1"/>
    <xf numFmtId="43" fontId="0" fillId="0" borderId="2" xfId="1" applyFont="1" applyBorder="1"/>
    <xf numFmtId="43" fontId="0" fillId="0" borderId="11" xfId="1" applyFont="1" applyBorder="1"/>
    <xf numFmtId="0" fontId="2" fillId="0" borderId="1" xfId="0" applyFont="1" applyBorder="1" applyAlignment="1">
      <alignment wrapText="1"/>
    </xf>
    <xf numFmtId="0" fontId="2" fillId="2" borderId="4" xfId="0" applyFont="1" applyFill="1" applyBorder="1"/>
    <xf numFmtId="0" fontId="2" fillId="2" borderId="5" xfId="0" applyFont="1" applyFill="1" applyBorder="1"/>
    <xf numFmtId="164" fontId="2" fillId="2" borderId="5" xfId="0" applyNumberFormat="1" applyFont="1" applyFill="1" applyBorder="1"/>
    <xf numFmtId="43" fontId="0" fillId="0" borderId="0" xfId="0" applyNumberFormat="1"/>
    <xf numFmtId="0" fontId="2" fillId="2" borderId="13" xfId="0" applyFont="1" applyFill="1" applyBorder="1"/>
    <xf numFmtId="43" fontId="0" fillId="0" borderId="14" xfId="1" applyFont="1" applyBorder="1"/>
    <xf numFmtId="43" fontId="0" fillId="0" borderId="15" xfId="1" applyFont="1" applyBorder="1"/>
    <xf numFmtId="165" fontId="0" fillId="0" borderId="0" xfId="0" applyNumberFormat="1"/>
    <xf numFmtId="0" fontId="2" fillId="2" borderId="4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43" fontId="0" fillId="0" borderId="7" xfId="0" applyNumberFormat="1" applyBorder="1"/>
    <xf numFmtId="165" fontId="0" fillId="0" borderId="9" xfId="0" applyNumberFormat="1" applyBorder="1"/>
    <xf numFmtId="43" fontId="0" fillId="0" borderId="10" xfId="0" applyNumberFormat="1" applyBorder="1"/>
    <xf numFmtId="43" fontId="0" fillId="0" borderId="0" xfId="1" applyFont="1"/>
    <xf numFmtId="43" fontId="2" fillId="0" borderId="8" xfId="1" applyFont="1" applyBorder="1"/>
    <xf numFmtId="0" fontId="2" fillId="2" borderId="16" xfId="0" applyFont="1" applyFill="1" applyBorder="1" applyAlignment="1">
      <alignment horizontal="center"/>
    </xf>
    <xf numFmtId="43" fontId="0" fillId="0" borderId="17" xfId="0" applyNumberFormat="1" applyBorder="1"/>
    <xf numFmtId="43" fontId="0" fillId="0" borderId="18" xfId="0" applyNumberFormat="1" applyBorder="1"/>
    <xf numFmtId="165" fontId="0" fillId="0" borderId="8" xfId="0" applyNumberFormat="1" applyBorder="1"/>
    <xf numFmtId="0" fontId="2" fillId="0" borderId="19" xfId="0" applyFont="1" applyBorder="1" applyAlignment="1">
      <alignment horizontal="center"/>
    </xf>
    <xf numFmtId="166" fontId="0" fillId="0" borderId="0" xfId="1" applyNumberFormat="1" applyFont="1"/>
    <xf numFmtId="0" fontId="2" fillId="3" borderId="2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1" xfId="0" applyFont="1" applyFill="1" applyBorder="1" applyAlignment="1">
      <alignment horizontal="center"/>
    </xf>
    <xf numFmtId="165" fontId="2" fillId="0" borderId="0" xfId="0" applyNumberFormat="1" applyFont="1"/>
    <xf numFmtId="43" fontId="2" fillId="0" borderId="0" xfId="1" applyFont="1"/>
    <xf numFmtId="166" fontId="2" fillId="0" borderId="0" xfId="1" applyNumberFormat="1" applyFont="1"/>
    <xf numFmtId="0" fontId="2" fillId="0" borderId="0" xfId="0" applyFont="1" applyAlignment="1">
      <alignment horizontal="center"/>
    </xf>
    <xf numFmtId="0" fontId="0" fillId="0" borderId="22" xfId="0" applyBorder="1"/>
    <xf numFmtId="0" fontId="0" fillId="0" borderId="23" xfId="0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0" xfId="0" applyFont="1"/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44" fontId="5" fillId="2" borderId="12" xfId="0" applyNumberFormat="1" applyFont="1" applyFill="1" applyBorder="1"/>
    <xf numFmtId="0" fontId="2" fillId="2" borderId="24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164" fontId="0" fillId="0" borderId="14" xfId="1" applyNumberFormat="1" applyFont="1" applyBorder="1"/>
    <xf numFmtId="0" fontId="2" fillId="2" borderId="28" xfId="0" applyFont="1" applyFill="1" applyBorder="1" applyAlignment="1">
      <alignment horizontal="center"/>
    </xf>
    <xf numFmtId="0" fontId="0" fillId="0" borderId="3" xfId="0" applyBorder="1"/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4" fontId="0" fillId="0" borderId="6" xfId="0" applyNumberFormat="1" applyBorder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2" borderId="21" xfId="0" applyFont="1" applyFill="1" applyBorder="1" applyAlignment="1">
      <alignment horizontal="center"/>
    </xf>
    <xf numFmtId="0" fontId="0" fillId="0" borderId="8" xfId="1" applyNumberFormat="1" applyFont="1" applyBorder="1"/>
    <xf numFmtId="164" fontId="0" fillId="0" borderId="8" xfId="1" applyNumberFormat="1" applyFont="1" applyBorder="1"/>
    <xf numFmtId="0" fontId="0" fillId="4" borderId="0" xfId="0" applyFill="1"/>
    <xf numFmtId="0" fontId="0" fillId="0" borderId="4" xfId="0" applyBorder="1"/>
    <xf numFmtId="43" fontId="0" fillId="4" borderId="0" xfId="1" applyFont="1" applyFill="1"/>
    <xf numFmtId="44" fontId="5" fillId="0" borderId="5" xfId="1" applyNumberFormat="1" applyFont="1" applyBorder="1"/>
    <xf numFmtId="44" fontId="5" fillId="0" borderId="6" xfId="0" applyNumberFormat="1" applyFont="1" applyBorder="1"/>
    <xf numFmtId="44" fontId="5" fillId="0" borderId="11" xfId="1" applyNumberFormat="1" applyFont="1" applyBorder="1"/>
    <xf numFmtId="44" fontId="5" fillId="0" borderId="12" xfId="0" applyNumberFormat="1" applyFont="1" applyBorder="1"/>
    <xf numFmtId="0" fontId="2" fillId="0" borderId="10" xfId="0" applyFont="1" applyBorder="1"/>
    <xf numFmtId="0" fontId="2" fillId="0" borderId="11" xfId="0" applyFont="1" applyBorder="1"/>
    <xf numFmtId="0" fontId="2" fillId="4" borderId="12" xfId="0" applyFont="1" applyFill="1" applyBorder="1"/>
    <xf numFmtId="4" fontId="0" fillId="0" borderId="0" xfId="0" applyNumberFormat="1"/>
    <xf numFmtId="2" fontId="0" fillId="0" borderId="0" xfId="0" applyNumberFormat="1"/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164" fontId="0" fillId="0" borderId="9" xfId="0" applyNumberFormat="1" applyBorder="1"/>
    <xf numFmtId="0" fontId="0" fillId="0" borderId="24" xfId="0" applyBorder="1"/>
    <xf numFmtId="164" fontId="0" fillId="0" borderId="24" xfId="0" applyNumberFormat="1" applyBorder="1"/>
    <xf numFmtId="164" fontId="0" fillId="0" borderId="23" xfId="0" applyNumberFormat="1" applyBorder="1"/>
    <xf numFmtId="0" fontId="2" fillId="2" borderId="1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164" fontId="2" fillId="2" borderId="20" xfId="0" applyNumberFormat="1" applyFont="1" applyFill="1" applyBorder="1" applyAlignment="1">
      <alignment horizontal="center"/>
    </xf>
    <xf numFmtId="164" fontId="2" fillId="2" borderId="2" xfId="0" applyNumberFormat="1" applyFont="1" applyFill="1" applyBorder="1" applyAlignment="1">
      <alignment horizontal="center"/>
    </xf>
    <xf numFmtId="164" fontId="5" fillId="0" borderId="11" xfId="0" applyNumberFormat="1" applyFont="1" applyBorder="1"/>
    <xf numFmtId="164" fontId="5" fillId="0" borderId="12" xfId="0" applyNumberFormat="1" applyFont="1" applyBorder="1"/>
    <xf numFmtId="43" fontId="0" fillId="0" borderId="0" xfId="1" quotePrefix="1" applyFont="1"/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9" fontId="5" fillId="0" borderId="25" xfId="2" applyFont="1" applyBorder="1" applyAlignment="1">
      <alignment horizontal="center" vertical="center"/>
    </xf>
    <xf numFmtId="9" fontId="5" fillId="0" borderId="26" xfId="2" applyFont="1" applyBorder="1" applyAlignment="1">
      <alignment horizontal="center" vertical="center"/>
    </xf>
    <xf numFmtId="44" fontId="5" fillId="0" borderId="26" xfId="2" applyNumberFormat="1" applyFont="1" applyBorder="1" applyAlignment="1">
      <alignment horizontal="center" vertical="center"/>
    </xf>
    <xf numFmtId="44" fontId="5" fillId="0" borderId="27" xfId="2" applyNumberFormat="1" applyFont="1" applyBorder="1" applyAlignment="1">
      <alignment horizontal="center" vertical="center"/>
    </xf>
    <xf numFmtId="0" fontId="5" fillId="0" borderId="5" xfId="1" applyNumberFormat="1" applyFont="1" applyBorder="1" applyAlignment="1">
      <alignment horizontal="center" vertical="center"/>
    </xf>
    <xf numFmtId="0" fontId="5" fillId="0" borderId="11" xfId="1" applyNumberFormat="1" applyFont="1" applyBorder="1" applyAlignment="1">
      <alignment horizontal="center" vertical="center"/>
    </xf>
    <xf numFmtId="0" fontId="5" fillId="2" borderId="10" xfId="0" applyFont="1" applyFill="1" applyBorder="1" applyAlignment="1">
      <alignment horizontal="right"/>
    </xf>
    <xf numFmtId="0" fontId="5" fillId="2" borderId="11" xfId="0" applyFont="1" applyFill="1" applyBorder="1" applyAlignment="1">
      <alignment horizontal="right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29693</xdr:colOff>
      <xdr:row>2</xdr:row>
      <xdr:rowOff>0</xdr:rowOff>
    </xdr:from>
    <xdr:to>
      <xdr:col>13</xdr:col>
      <xdr:colOff>405092</xdr:colOff>
      <xdr:row>7</xdr:row>
      <xdr:rowOff>80472</xdr:rowOff>
    </xdr:to>
    <xdr:sp macro="[0]!clearsheet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636C8460-26EC-4D01-8156-CAF2B4D48C74}"/>
            </a:ext>
          </a:extLst>
        </xdr:cNvPr>
        <xdr:cNvSpPr/>
      </xdr:nvSpPr>
      <xdr:spPr>
        <a:xfrm>
          <a:off x="14675781" y="388435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🧹</a:t>
          </a:r>
          <a:endParaRPr lang="ru-RU" sz="54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14</xdr:col>
      <xdr:colOff>202297</xdr:colOff>
      <xdr:row>2</xdr:row>
      <xdr:rowOff>41053</xdr:rowOff>
    </xdr:from>
    <xdr:to>
      <xdr:col>15</xdr:col>
      <xdr:colOff>337825</xdr:colOff>
      <xdr:row>7</xdr:row>
      <xdr:rowOff>114090</xdr:rowOff>
    </xdr:to>
    <xdr:sp macro="[0]!ReestrProsr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FA580899-2B1A-47DC-B114-229863B225DF}"/>
            </a:ext>
          </a:extLst>
        </xdr:cNvPr>
        <xdr:cNvSpPr/>
      </xdr:nvSpPr>
      <xdr:spPr>
        <a:xfrm>
          <a:off x="16199815" y="422053"/>
          <a:ext cx="736163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💲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974910</xdr:colOff>
      <xdr:row>0</xdr:row>
      <xdr:rowOff>183648</xdr:rowOff>
    </xdr:from>
    <xdr:to>
      <xdr:col>5</xdr:col>
      <xdr:colOff>2092139</xdr:colOff>
      <xdr:row>6</xdr:row>
      <xdr:rowOff>56660</xdr:rowOff>
    </xdr:to>
    <xdr:sp macro="[0]!clearsheet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AA5CA2B8-3907-4C87-9465-09A97A7E2FF4}"/>
            </a:ext>
          </a:extLst>
        </xdr:cNvPr>
        <xdr:cNvSpPr/>
      </xdr:nvSpPr>
      <xdr:spPr>
        <a:xfrm>
          <a:off x="11442885" y="183648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🧹</a:t>
          </a:r>
        </a:p>
      </xdr:txBody>
    </xdr:sp>
    <xdr:clientData/>
  </xdr:twoCellAnchor>
  <xdr:twoCellAnchor editAs="absolute">
    <xdr:from>
      <xdr:col>6</xdr:col>
      <xdr:colOff>136234</xdr:colOff>
      <xdr:row>1</xdr:row>
      <xdr:rowOff>12198</xdr:rowOff>
    </xdr:from>
    <xdr:to>
      <xdr:col>6</xdr:col>
      <xdr:colOff>320964</xdr:colOff>
      <xdr:row>5</xdr:row>
      <xdr:rowOff>187827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A4372CD3-9347-4284-8AC6-A478A41CE7C0}"/>
            </a:ext>
          </a:extLst>
        </xdr:cNvPr>
        <xdr:cNvSpPr/>
      </xdr:nvSpPr>
      <xdr:spPr>
        <a:xfrm>
          <a:off x="12918784" y="212223"/>
          <a:ext cx="184730" cy="937629"/>
        </a:xfrm>
        <a:prstGeom prst="rect">
          <a:avLst/>
        </a:prstGeom>
        <a:noFill/>
        <a:scene3d>
          <a:camera prst="orthographicFront">
            <a:rot lat="0" lon="10800000" rev="0"/>
          </a:camera>
          <a:lightRig rig="threePt" dir="t"/>
        </a:scene3d>
      </xdr:spPr>
      <xdr:txBody>
        <a:bodyPr wrap="none" lIns="91440" tIns="45720" rIns="91440" bIns="45720">
          <a:spAutoFit/>
        </a:bodyPr>
        <a:lstStyle/>
        <a:p>
          <a:pPr algn="ctr"/>
          <a:endParaRPr lang="ru-RU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twoCellAnchor>
  <xdr:twoCellAnchor editAs="absolute">
    <xdr:from>
      <xdr:col>5</xdr:col>
      <xdr:colOff>2094130</xdr:colOff>
      <xdr:row>1</xdr:row>
      <xdr:rowOff>12198</xdr:rowOff>
    </xdr:from>
    <xdr:to>
      <xdr:col>6</xdr:col>
      <xdr:colOff>515718</xdr:colOff>
      <xdr:row>6</xdr:row>
      <xdr:rowOff>85235</xdr:rowOff>
    </xdr:to>
    <xdr:sp macro="[0]!ReestrProsrRash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1501422B-6CA7-44FF-AD21-94B20367D9E7}"/>
            </a:ext>
          </a:extLst>
        </xdr:cNvPr>
        <xdr:cNvSpPr/>
      </xdr:nvSpPr>
      <xdr:spPr>
        <a:xfrm>
          <a:off x="12562105" y="212223"/>
          <a:ext cx="736163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💲</a:t>
          </a:r>
          <a:endParaRPr lang="ru-RU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260535</xdr:colOff>
      <xdr:row>10</xdr:row>
      <xdr:rowOff>55060</xdr:rowOff>
    </xdr:from>
    <xdr:to>
      <xdr:col>16</xdr:col>
      <xdr:colOff>577664</xdr:colOff>
      <xdr:row>15</xdr:row>
      <xdr:rowOff>128097</xdr:rowOff>
    </xdr:to>
    <xdr:sp macro="[0]!Aclear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7BB2D60-F6BC-4D0F-B7F5-CE9D59E364B4}"/>
            </a:ext>
          </a:extLst>
        </xdr:cNvPr>
        <xdr:cNvSpPr/>
      </xdr:nvSpPr>
      <xdr:spPr>
        <a:xfrm>
          <a:off x="14567085" y="1969585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🧹</a:t>
          </a:r>
        </a:p>
      </xdr:txBody>
    </xdr:sp>
    <xdr:clientData/>
  </xdr:twoCellAnchor>
  <xdr:twoCellAnchor editAs="absolute">
    <xdr:from>
      <xdr:col>17</xdr:col>
      <xdr:colOff>12885</xdr:colOff>
      <xdr:row>10</xdr:row>
      <xdr:rowOff>45535</xdr:rowOff>
    </xdr:from>
    <xdr:to>
      <xdr:col>17</xdr:col>
      <xdr:colOff>1130114</xdr:colOff>
      <xdr:row>15</xdr:row>
      <xdr:rowOff>118572</xdr:rowOff>
    </xdr:to>
    <xdr:sp macro="[0]!akcia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5E0ABE75-856C-4846-B441-BFB689ADC4C4}"/>
            </a:ext>
          </a:extLst>
        </xdr:cNvPr>
        <xdr:cNvSpPr/>
      </xdr:nvSpPr>
      <xdr:spPr>
        <a:xfrm>
          <a:off x="15910110" y="1960060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🧭</a:t>
          </a:r>
          <a:endParaRPr lang="ru-RU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0;&#105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1">
          <cell r="A1" t="str">
            <v>В-26950/КЛ</v>
          </cell>
        </row>
        <row r="2">
          <cell r="A2" t="str">
            <v>В-18921/КЛ</v>
          </cell>
        </row>
        <row r="3">
          <cell r="A3" t="str">
            <v>В-09100/КЛ</v>
          </cell>
        </row>
        <row r="4">
          <cell r="A4" t="str">
            <v>В-01188/АЗ</v>
          </cell>
        </row>
        <row r="5">
          <cell r="A5" t="str">
            <v>В-27315/КЛ</v>
          </cell>
        </row>
        <row r="6">
          <cell r="A6" t="str">
            <v>В-11277/КЛ</v>
          </cell>
        </row>
        <row r="7">
          <cell r="A7" t="str">
            <v>В-28968/АЗ</v>
          </cell>
        </row>
        <row r="8">
          <cell r="A8" t="str">
            <v>В-28549/АЗ</v>
          </cell>
        </row>
        <row r="9">
          <cell r="A9" t="str">
            <v>В-28360/КЛ</v>
          </cell>
        </row>
        <row r="10">
          <cell r="A10" t="str">
            <v>В-12256/КЛ</v>
          </cell>
        </row>
        <row r="11">
          <cell r="A11" t="str">
            <v>В-23923/КЛ</v>
          </cell>
        </row>
        <row r="12">
          <cell r="A12" t="str">
            <v>В-27065/АЗ</v>
          </cell>
        </row>
        <row r="13">
          <cell r="A13" t="str">
            <v>В-26928/КЛ</v>
          </cell>
        </row>
        <row r="14">
          <cell r="A14" t="str">
            <v>В-22409/КЛ</v>
          </cell>
        </row>
        <row r="15">
          <cell r="A15" t="str">
            <v>В-12256/КЛ</v>
          </cell>
        </row>
        <row r="16">
          <cell r="A16" t="str">
            <v>В-23923/КЛ</v>
          </cell>
        </row>
        <row r="17">
          <cell r="A17" t="str">
            <v>В-12574/КЛ</v>
          </cell>
        </row>
        <row r="18">
          <cell r="A18" t="str">
            <v>В-08348/КЛ</v>
          </cell>
        </row>
        <row r="19">
          <cell r="A19" t="str">
            <v>В-22677/КЛ</v>
          </cell>
        </row>
        <row r="20">
          <cell r="A20" t="str">
            <v>В-26422/КЛ</v>
          </cell>
        </row>
        <row r="21">
          <cell r="A21" t="str">
            <v>В-28961/КЛ</v>
          </cell>
        </row>
        <row r="22">
          <cell r="A22" t="str">
            <v>В-10050/КЛ</v>
          </cell>
        </row>
        <row r="23">
          <cell r="A23" t="str">
            <v>В-28436/АЗ</v>
          </cell>
        </row>
        <row r="24">
          <cell r="A24" t="str">
            <v>В-01174/АЗ</v>
          </cell>
        </row>
        <row r="25">
          <cell r="A25" t="str">
            <v>В-20952/КЛ</v>
          </cell>
        </row>
        <row r="26">
          <cell r="A26" t="str">
            <v>В-27914/КЛ</v>
          </cell>
        </row>
        <row r="27">
          <cell r="A27" t="str">
            <v>В-28587/КЛ</v>
          </cell>
        </row>
        <row r="28">
          <cell r="A28" t="str">
            <v>В-21872/КЛ</v>
          </cell>
        </row>
        <row r="29">
          <cell r="A29" t="str">
            <v>В-08644/КЛ</v>
          </cell>
        </row>
        <row r="30">
          <cell r="A30" t="str">
            <v>В-12943/КЛ</v>
          </cell>
        </row>
        <row r="31">
          <cell r="A31" t="str">
            <v>В-25824/КЛ</v>
          </cell>
        </row>
        <row r="32">
          <cell r="A32" t="str">
            <v>В-00052/КЭ</v>
          </cell>
        </row>
        <row r="33">
          <cell r="A33" t="str">
            <v>В-26114/КЛ</v>
          </cell>
        </row>
        <row r="34">
          <cell r="A34" t="str">
            <v>В-26664/КЛ</v>
          </cell>
        </row>
        <row r="35">
          <cell r="A35" t="str">
            <v>В-10014/КЭ</v>
          </cell>
        </row>
        <row r="36">
          <cell r="A36" t="str">
            <v>В-02583/КЛ</v>
          </cell>
        </row>
        <row r="37">
          <cell r="A37" t="str">
            <v>В-27049/АЗ</v>
          </cell>
        </row>
        <row r="38">
          <cell r="A38" t="str">
            <v>В-17318/КЛ</v>
          </cell>
        </row>
        <row r="39">
          <cell r="A39" t="str">
            <v>В-25052/КЛ</v>
          </cell>
        </row>
        <row r="40">
          <cell r="A40" t="str">
            <v>В-21137/КЛ</v>
          </cell>
        </row>
        <row r="41">
          <cell r="A41" t="str">
            <v>В-25865/КЛ</v>
          </cell>
        </row>
        <row r="42">
          <cell r="A42" t="str">
            <v>В-25306/КЛ</v>
          </cell>
        </row>
        <row r="43">
          <cell r="A43" t="str">
            <v>В-03300/КЛ</v>
          </cell>
        </row>
        <row r="44">
          <cell r="A44" t="str">
            <v>В-27410/КЛ</v>
          </cell>
        </row>
        <row r="45">
          <cell r="A45" t="str">
            <v>В-00030/КЭ</v>
          </cell>
        </row>
        <row r="46">
          <cell r="A46" t="str">
            <v>В-19346/КЛ</v>
          </cell>
        </row>
        <row r="47">
          <cell r="A47" t="str">
            <v>В-19684/КЛ</v>
          </cell>
        </row>
        <row r="48">
          <cell r="A48" t="str">
            <v>В-20731/КЛ</v>
          </cell>
        </row>
        <row r="49">
          <cell r="A49" t="str">
            <v>В-18141/КЛ</v>
          </cell>
        </row>
        <row r="50">
          <cell r="A50" t="str">
            <v>В-30007/КЭ</v>
          </cell>
        </row>
        <row r="51">
          <cell r="A51" t="str">
            <v>В-03450/КЛ</v>
          </cell>
        </row>
        <row r="52">
          <cell r="A52" t="str">
            <v>В-16728/КЛ</v>
          </cell>
        </row>
        <row r="53">
          <cell r="A53" t="str">
            <v>В-01203/АЗ</v>
          </cell>
        </row>
        <row r="54">
          <cell r="A54" t="str">
            <v>В-28252/КЛ</v>
          </cell>
        </row>
        <row r="55">
          <cell r="A55" t="str">
            <v>В-19104/КЛ</v>
          </cell>
        </row>
        <row r="56">
          <cell r="A56" t="str">
            <v>В-27753/КЛ</v>
          </cell>
        </row>
        <row r="57">
          <cell r="A57" t="str">
            <v>В-27843/КЛ</v>
          </cell>
        </row>
        <row r="58">
          <cell r="A58" t="str">
            <v>В-18631/КЛ</v>
          </cell>
        </row>
        <row r="59">
          <cell r="A59" t="str">
            <v>В-10039/КЛ</v>
          </cell>
        </row>
        <row r="60">
          <cell r="A60" t="str">
            <v>В-00634/АЗ</v>
          </cell>
        </row>
        <row r="61">
          <cell r="A61" t="str">
            <v>В-28274/КЛ</v>
          </cell>
        </row>
        <row r="62">
          <cell r="A62" t="str">
            <v>В-20140/КЛ</v>
          </cell>
        </row>
        <row r="63">
          <cell r="A63" t="str">
            <v>В-04333/КЛ</v>
          </cell>
        </row>
        <row r="64">
          <cell r="A64" t="str">
            <v>В-26170/КЛ</v>
          </cell>
        </row>
        <row r="65">
          <cell r="A65" t="str">
            <v>В-06818/КЛ</v>
          </cell>
        </row>
        <row r="66">
          <cell r="A66" t="str">
            <v>В-25950/КЛ</v>
          </cell>
        </row>
        <row r="67">
          <cell r="A67" t="str">
            <v>В-25530/КЛ</v>
          </cell>
        </row>
        <row r="68">
          <cell r="A68" t="str">
            <v>В-01013/КЛ</v>
          </cell>
        </row>
        <row r="69">
          <cell r="A69" t="str">
            <v>В-28090/АЗ</v>
          </cell>
        </row>
        <row r="70">
          <cell r="A70" t="str">
            <v>В-27334/КЛ</v>
          </cell>
        </row>
        <row r="71">
          <cell r="A71" t="str">
            <v>В-16261/КЛ</v>
          </cell>
        </row>
        <row r="72">
          <cell r="A72" t="str">
            <v>В-28159/КЛ</v>
          </cell>
        </row>
        <row r="73">
          <cell r="A73" t="str">
            <v>В-27835/КЛ</v>
          </cell>
        </row>
        <row r="74">
          <cell r="A74" t="str">
            <v>В-19597/КЛ</v>
          </cell>
        </row>
        <row r="75">
          <cell r="A75" t="str">
            <v>В-26816/КЛ</v>
          </cell>
        </row>
        <row r="76">
          <cell r="A76" t="str">
            <v>В-14818/КЛ</v>
          </cell>
        </row>
        <row r="77">
          <cell r="A77" t="str">
            <v>В-24493/КЛ</v>
          </cell>
        </row>
        <row r="78">
          <cell r="A78" t="str">
            <v>В-21731/КЛ</v>
          </cell>
        </row>
        <row r="79">
          <cell r="A79" t="str">
            <v>В-28393/КЛ</v>
          </cell>
        </row>
        <row r="80">
          <cell r="A80" t="str">
            <v>В-20251/КЛ</v>
          </cell>
        </row>
        <row r="81">
          <cell r="A81" t="str">
            <v>В-23410/КЛ</v>
          </cell>
        </row>
        <row r="82">
          <cell r="A82" t="str">
            <v>В-18909/КЛ</v>
          </cell>
        </row>
        <row r="83">
          <cell r="A83" t="str">
            <v>В-10020/КЭ</v>
          </cell>
        </row>
        <row r="84">
          <cell r="A84" t="str">
            <v>В-05402/КЛ</v>
          </cell>
        </row>
        <row r="85">
          <cell r="A85" t="str">
            <v>В-17417/КЛ</v>
          </cell>
        </row>
        <row r="86">
          <cell r="A86" t="str">
            <v>В-12113/КЛ</v>
          </cell>
        </row>
        <row r="87">
          <cell r="A87" t="str">
            <v>В-26949/КЛ</v>
          </cell>
        </row>
        <row r="88">
          <cell r="A88" t="str">
            <v>В-24385/КЛ</v>
          </cell>
        </row>
        <row r="89">
          <cell r="A89" t="str">
            <v>В-30005/КЭ</v>
          </cell>
        </row>
        <row r="90">
          <cell r="A90" t="str">
            <v>В-01180/АЗ</v>
          </cell>
        </row>
        <row r="91">
          <cell r="A91" t="str">
            <v>Т-01885/АЗ</v>
          </cell>
        </row>
        <row r="92">
          <cell r="A92" t="str">
            <v>В-00063/КЭ</v>
          </cell>
        </row>
        <row r="93">
          <cell r="A93" t="str">
            <v>В-28224/КЛ</v>
          </cell>
        </row>
        <row r="94">
          <cell r="A94" t="str">
            <v>В-14546/КЛ</v>
          </cell>
        </row>
        <row r="95">
          <cell r="A95" t="str">
            <v>В-19897/КЛ</v>
          </cell>
        </row>
        <row r="96">
          <cell r="A96" t="str">
            <v>В-18548/КЛ</v>
          </cell>
        </row>
        <row r="97">
          <cell r="A97" t="str">
            <v>В-20180/КЛ</v>
          </cell>
        </row>
        <row r="98">
          <cell r="A98" t="str">
            <v>В-23776/КЛ</v>
          </cell>
        </row>
        <row r="99">
          <cell r="A99" t="str">
            <v>В-26649/АЗ</v>
          </cell>
        </row>
        <row r="100">
          <cell r="A100" t="str">
            <v>В-26651/АЗ</v>
          </cell>
        </row>
        <row r="101">
          <cell r="A101" t="str">
            <v>В-23074/КЛ</v>
          </cell>
        </row>
        <row r="102">
          <cell r="A102" t="str">
            <v>В-28872/КЛ</v>
          </cell>
        </row>
        <row r="103">
          <cell r="A103" t="str">
            <v>В-21972/КЛ</v>
          </cell>
        </row>
        <row r="104">
          <cell r="A104" t="str">
            <v>В-25792/КЛ</v>
          </cell>
        </row>
        <row r="105">
          <cell r="A105" t="str">
            <v>В-20118/КЛ</v>
          </cell>
        </row>
        <row r="106">
          <cell r="A106" t="str">
            <v>В-26450/АЗ</v>
          </cell>
        </row>
        <row r="107">
          <cell r="A107" t="str">
            <v>В-10025/КЭ</v>
          </cell>
        </row>
        <row r="108">
          <cell r="A108" t="str">
            <v>В-10008/КЭ</v>
          </cell>
        </row>
        <row r="109">
          <cell r="A109" t="str">
            <v>В-10024/КЭ</v>
          </cell>
        </row>
        <row r="110">
          <cell r="A110" t="str">
            <v>В-26449/АЗ</v>
          </cell>
        </row>
        <row r="111">
          <cell r="A111" t="str">
            <v>В-24308/КЛ</v>
          </cell>
        </row>
        <row r="112">
          <cell r="A112" t="str">
            <v>В-27855/КЛ</v>
          </cell>
        </row>
        <row r="113">
          <cell r="A113" t="str">
            <v>В-08393/КЛ</v>
          </cell>
        </row>
        <row r="114">
          <cell r="A114" t="str">
            <v>В-19425/КЛ</v>
          </cell>
        </row>
        <row r="115">
          <cell r="A115" t="str">
            <v>В-18569/КЛ</v>
          </cell>
        </row>
        <row r="116">
          <cell r="A116" t="str">
            <v>В-01217/АЗ</v>
          </cell>
        </row>
        <row r="117">
          <cell r="A117" t="str">
            <v>В-04724/КЛ</v>
          </cell>
        </row>
        <row r="118">
          <cell r="A118" t="str">
            <v>В-30001/КЭ</v>
          </cell>
        </row>
        <row r="119">
          <cell r="A119" t="str">
            <v>В-19093/КЛ</v>
          </cell>
        </row>
        <row r="120">
          <cell r="A120" t="str">
            <v>В-11630/КЛ</v>
          </cell>
        </row>
        <row r="121">
          <cell r="A121" t="str">
            <v>В-21630/КЛ</v>
          </cell>
        </row>
        <row r="122">
          <cell r="A122" t="str">
            <v>В-11050/КЛ</v>
          </cell>
        </row>
        <row r="123">
          <cell r="A123" t="str">
            <v>В-09174/КЛ</v>
          </cell>
        </row>
        <row r="124">
          <cell r="A124" t="str">
            <v>В-10141/КЛ</v>
          </cell>
        </row>
        <row r="125">
          <cell r="A125" t="str">
            <v>В-07877/КЛ</v>
          </cell>
        </row>
        <row r="126">
          <cell r="A126" t="str">
            <v>В-01113/АЗ</v>
          </cell>
        </row>
        <row r="127">
          <cell r="A127" t="str">
            <v>В-12818/КЛ</v>
          </cell>
        </row>
        <row r="128">
          <cell r="A128" t="str">
            <v>В-28694/КЛ</v>
          </cell>
        </row>
        <row r="129">
          <cell r="A129" t="str">
            <v>В-27251/КЛ</v>
          </cell>
        </row>
        <row r="130">
          <cell r="A130" t="str">
            <v>В-13740/КЛ</v>
          </cell>
        </row>
        <row r="131">
          <cell r="A131" t="str">
            <v>В-15451/КЛ</v>
          </cell>
        </row>
        <row r="132">
          <cell r="A132" t="str">
            <v>В-18164/КЛ</v>
          </cell>
        </row>
        <row r="133">
          <cell r="A133" t="str">
            <v>В-00075/КЭ</v>
          </cell>
        </row>
        <row r="134">
          <cell r="A134" t="str">
            <v>В-26005/АЗ</v>
          </cell>
        </row>
        <row r="135">
          <cell r="A135" t="str">
            <v>В-20921/КЛ</v>
          </cell>
        </row>
        <row r="136">
          <cell r="A136" t="str">
            <v>В-13336/КЛ</v>
          </cell>
        </row>
        <row r="137">
          <cell r="A137" t="str">
            <v>В-15778/КЛ</v>
          </cell>
        </row>
        <row r="138">
          <cell r="A138" t="str">
            <v>В-17853/КЛ</v>
          </cell>
        </row>
        <row r="139">
          <cell r="A139" t="str">
            <v>В-19862/КЛ</v>
          </cell>
        </row>
        <row r="140">
          <cell r="A140" t="str">
            <v>В-07072/КЛ</v>
          </cell>
        </row>
        <row r="141">
          <cell r="A141" t="str">
            <v>В-05105/КЛ</v>
          </cell>
        </row>
        <row r="142">
          <cell r="A142" t="str">
            <v>В-23919/КЛ</v>
          </cell>
        </row>
        <row r="143">
          <cell r="A143" t="str">
            <v>В-19227/КЛ</v>
          </cell>
        </row>
        <row r="144">
          <cell r="A144" t="str">
            <v>В-18586/КЛ</v>
          </cell>
        </row>
        <row r="145">
          <cell r="A145" t="str">
            <v>В-12670/КЛ</v>
          </cell>
        </row>
        <row r="146">
          <cell r="A146" t="str">
            <v>В-18334/КЛ</v>
          </cell>
        </row>
        <row r="147">
          <cell r="A147" t="str">
            <v>В-27438/АЗ</v>
          </cell>
        </row>
        <row r="148">
          <cell r="A148" t="str">
            <v>В-28471/КЛ</v>
          </cell>
        </row>
        <row r="149">
          <cell r="A149" t="str">
            <v>В-01051/АЗ</v>
          </cell>
        </row>
        <row r="150">
          <cell r="A150" t="str">
            <v>В-28684/КЛ</v>
          </cell>
        </row>
        <row r="151">
          <cell r="A151" t="str">
            <v>В-28655/КЛ</v>
          </cell>
        </row>
        <row r="152">
          <cell r="A152" t="str">
            <v>В-25466/АЗ</v>
          </cell>
        </row>
        <row r="153">
          <cell r="A153" t="str">
            <v>В-20210/КЛ</v>
          </cell>
        </row>
        <row r="154">
          <cell r="A154" t="str">
            <v>В-23897/КЛ</v>
          </cell>
        </row>
        <row r="155">
          <cell r="A155" t="str">
            <v>В-22996/КЛ</v>
          </cell>
        </row>
        <row r="156">
          <cell r="A156" t="str">
            <v>В-15881/КЛ</v>
          </cell>
        </row>
        <row r="157">
          <cell r="A157" t="str">
            <v>В-18851/КЛ</v>
          </cell>
        </row>
        <row r="158">
          <cell r="A158" t="str">
            <v>В-28383/КЛ</v>
          </cell>
        </row>
        <row r="159">
          <cell r="A159" t="str">
            <v>В-27256/КЛ</v>
          </cell>
        </row>
        <row r="160">
          <cell r="A160" t="str">
            <v>В-21666/КЛ</v>
          </cell>
        </row>
        <row r="161">
          <cell r="A161" t="str">
            <v>В-01207/АЗ</v>
          </cell>
        </row>
        <row r="162">
          <cell r="A162" t="str">
            <v>В-20458/КЛ</v>
          </cell>
        </row>
        <row r="163">
          <cell r="A163" t="str">
            <v>В-20172/КЛ</v>
          </cell>
        </row>
        <row r="164">
          <cell r="A164" t="str">
            <v>В-05256/КЛ</v>
          </cell>
        </row>
        <row r="165">
          <cell r="A165" t="str">
            <v>В-18890/КЛ</v>
          </cell>
        </row>
        <row r="166">
          <cell r="A166" t="str">
            <v>В-25687/АЗ</v>
          </cell>
        </row>
        <row r="167">
          <cell r="A167" t="str">
            <v>В-19179/КЛ</v>
          </cell>
        </row>
        <row r="168">
          <cell r="A168" t="str">
            <v>В-07729/КЛ</v>
          </cell>
        </row>
        <row r="169">
          <cell r="A169" t="str">
            <v>В-29072/КЛ</v>
          </cell>
        </row>
        <row r="170">
          <cell r="A170" t="str">
            <v>В-16541/КЛ</v>
          </cell>
        </row>
        <row r="171">
          <cell r="A171" t="str">
            <v>В-24336/КЛ</v>
          </cell>
        </row>
        <row r="172">
          <cell r="A172" t="str">
            <v>В-25529/КЛ</v>
          </cell>
        </row>
        <row r="173">
          <cell r="A173" t="str">
            <v>В-26093/КЛ</v>
          </cell>
        </row>
        <row r="174">
          <cell r="A174" t="str">
            <v>В-21175/КЛ</v>
          </cell>
        </row>
        <row r="175">
          <cell r="A175" t="str">
            <v>В-16432/КЛ</v>
          </cell>
        </row>
        <row r="176">
          <cell r="A176" t="str">
            <v>В-27878/АЗ</v>
          </cell>
        </row>
        <row r="177">
          <cell r="A177" t="str">
            <v>В-27848/АЗ</v>
          </cell>
        </row>
        <row r="178">
          <cell r="A178" t="str">
            <v>В-14633/КЛ</v>
          </cell>
        </row>
        <row r="179">
          <cell r="A179" t="str">
            <v>В-17506/КЛ</v>
          </cell>
        </row>
        <row r="180">
          <cell r="A180" t="str">
            <v>В-03359/КЛ</v>
          </cell>
        </row>
        <row r="181">
          <cell r="A181" t="str">
            <v>В-00239/КЛ</v>
          </cell>
        </row>
        <row r="182">
          <cell r="A182" t="str">
            <v>В-18438/КЛ</v>
          </cell>
        </row>
        <row r="183">
          <cell r="A183" t="str">
            <v>В-26474/КЛ</v>
          </cell>
        </row>
        <row r="184">
          <cell r="A184" t="str">
            <v>В-20787/КЛ</v>
          </cell>
        </row>
        <row r="185">
          <cell r="A185" t="str">
            <v>В-17199/КЛ</v>
          </cell>
        </row>
        <row r="186">
          <cell r="A186" t="str">
            <v>В-27105/КЛ</v>
          </cell>
        </row>
        <row r="187">
          <cell r="A187" t="str">
            <v>В-28544/КЛ</v>
          </cell>
        </row>
        <row r="188">
          <cell r="A188" t="str">
            <v>В-14860/КЛ</v>
          </cell>
        </row>
        <row r="189">
          <cell r="A189" t="str">
            <v>В-27416/АЗ</v>
          </cell>
        </row>
        <row r="190">
          <cell r="A190" t="str">
            <v>В-15393/КЛ</v>
          </cell>
        </row>
        <row r="191">
          <cell r="A191" t="str">
            <v>В-01148/АЗ</v>
          </cell>
        </row>
        <row r="192">
          <cell r="A192" t="str">
            <v>В-01147/АЗ</v>
          </cell>
        </row>
        <row r="193">
          <cell r="A193" t="str">
            <v>В-27050/АЗ</v>
          </cell>
        </row>
        <row r="194">
          <cell r="A194" t="str">
            <v>В-17824/КЛ</v>
          </cell>
        </row>
        <row r="195">
          <cell r="A195" t="str">
            <v>В-17752/КЛ</v>
          </cell>
        </row>
        <row r="196">
          <cell r="A196" t="str">
            <v>В-25806/КЛ</v>
          </cell>
        </row>
        <row r="197">
          <cell r="A197" t="str">
            <v>В-20218/КЛ</v>
          </cell>
        </row>
        <row r="198">
          <cell r="A198" t="str">
            <v>В-20032/КЛ</v>
          </cell>
        </row>
        <row r="199">
          <cell r="A199" t="str">
            <v>В-19451/КЛ</v>
          </cell>
        </row>
        <row r="200">
          <cell r="A200" t="str">
            <v>В-15163/КЛ</v>
          </cell>
        </row>
        <row r="201">
          <cell r="A201" t="str">
            <v>В-25367/АЗ</v>
          </cell>
        </row>
        <row r="202">
          <cell r="A202" t="str">
            <v>В-25370/АЗ</v>
          </cell>
        </row>
        <row r="203">
          <cell r="A203" t="str">
            <v>В-25304/АЗ</v>
          </cell>
        </row>
        <row r="204">
          <cell r="A204" t="str">
            <v>В-23242/КЛ</v>
          </cell>
        </row>
        <row r="205">
          <cell r="A205" t="str">
            <v>В-25513/КЛ</v>
          </cell>
        </row>
        <row r="206">
          <cell r="A206" t="str">
            <v>В-26776/КЛ</v>
          </cell>
        </row>
        <row r="207">
          <cell r="A207" t="str">
            <v>В-27747/КЛ</v>
          </cell>
        </row>
        <row r="208">
          <cell r="A208" t="str">
            <v>В-24261/КЛ</v>
          </cell>
        </row>
        <row r="209">
          <cell r="A209" t="str">
            <v>В-21075/КЛ</v>
          </cell>
        </row>
        <row r="210">
          <cell r="A210" t="str">
            <v>В-01098/АЗ</v>
          </cell>
        </row>
        <row r="211">
          <cell r="A211" t="str">
            <v>В-00017/КЛ</v>
          </cell>
        </row>
        <row r="212">
          <cell r="A212" t="str">
            <v>В-22057/КЛ</v>
          </cell>
        </row>
        <row r="213">
          <cell r="A213" t="str">
            <v>В-14544/КЛ</v>
          </cell>
        </row>
        <row r="214">
          <cell r="A214" t="str">
            <v>В-27521/КЛ</v>
          </cell>
        </row>
        <row r="215">
          <cell r="A215" t="str">
            <v>В-14907/КЛ</v>
          </cell>
        </row>
        <row r="216">
          <cell r="A216" t="str">
            <v>В-19526/КЛ</v>
          </cell>
        </row>
        <row r="217">
          <cell r="A217" t="str">
            <v>В-24927/КЛ</v>
          </cell>
        </row>
        <row r="218">
          <cell r="A218" t="str">
            <v>В-23712/КЛ</v>
          </cell>
        </row>
        <row r="219">
          <cell r="A219" t="str">
            <v>В-00473/КЛ</v>
          </cell>
        </row>
        <row r="220">
          <cell r="A220" t="str">
            <v>В-17106/КЛ</v>
          </cell>
        </row>
        <row r="221">
          <cell r="A221" t="str">
            <v>В-11534/КЛ</v>
          </cell>
        </row>
        <row r="222">
          <cell r="A222" t="str">
            <v>В-24878/КЛ</v>
          </cell>
        </row>
        <row r="223">
          <cell r="A223" t="str">
            <v>В-08745/КЛ</v>
          </cell>
        </row>
        <row r="224">
          <cell r="A224" t="str">
            <v>В-24823/КЛ</v>
          </cell>
        </row>
        <row r="225">
          <cell r="A225" t="str">
            <v>В-22627/КЛ</v>
          </cell>
        </row>
        <row r="226">
          <cell r="A226" t="str">
            <v>В-06035/КЛ</v>
          </cell>
        </row>
        <row r="227">
          <cell r="A227" t="str">
            <v>В-21574/КЛ</v>
          </cell>
        </row>
        <row r="228">
          <cell r="A228" t="str">
            <v>В-20200/КЛ</v>
          </cell>
        </row>
        <row r="229">
          <cell r="A229" t="str">
            <v>В-20490/КЛ</v>
          </cell>
        </row>
        <row r="230">
          <cell r="A230" t="str">
            <v>В-00077/КЭ</v>
          </cell>
        </row>
        <row r="231">
          <cell r="A231" t="str">
            <v>В-11162/КЛ</v>
          </cell>
        </row>
        <row r="232">
          <cell r="A232" t="str">
            <v>В-14196/КЛ</v>
          </cell>
        </row>
        <row r="233">
          <cell r="A233" t="str">
            <v>В-18757/КЛ</v>
          </cell>
        </row>
        <row r="234">
          <cell r="A234" t="str">
            <v>В-14178/КЛ</v>
          </cell>
        </row>
        <row r="235">
          <cell r="A235" t="str">
            <v>В-17934/КЛ</v>
          </cell>
        </row>
        <row r="236">
          <cell r="A236" t="str">
            <v>В-27980/КЛ</v>
          </cell>
        </row>
        <row r="237">
          <cell r="A237" t="str">
            <v>В-15532/КЛ</v>
          </cell>
        </row>
        <row r="238">
          <cell r="A238" t="str">
            <v>В-12279/КЛ</v>
          </cell>
        </row>
        <row r="239">
          <cell r="A239" t="str">
            <v>В-09795/КЛ</v>
          </cell>
        </row>
        <row r="240">
          <cell r="A240" t="str">
            <v>В-17788/КЛ</v>
          </cell>
        </row>
        <row r="241">
          <cell r="A241" t="str">
            <v>В-20060/КЛ</v>
          </cell>
        </row>
        <row r="242">
          <cell r="A242" t="str">
            <v>В-28329/КЛ</v>
          </cell>
        </row>
        <row r="243">
          <cell r="A243" t="str">
            <v>В-25457/КЛ</v>
          </cell>
        </row>
        <row r="244">
          <cell r="A244" t="str">
            <v>В-21048/КЛ</v>
          </cell>
        </row>
        <row r="245">
          <cell r="A245" t="str">
            <v>В-16959/КЛ</v>
          </cell>
        </row>
        <row r="246">
          <cell r="A246" t="str">
            <v>В-22538/КЛ</v>
          </cell>
        </row>
        <row r="247">
          <cell r="A247" t="str">
            <v>В-15560/КЛ</v>
          </cell>
        </row>
        <row r="248">
          <cell r="A248" t="str">
            <v>В-00068/КЭ</v>
          </cell>
        </row>
        <row r="249">
          <cell r="A249" t="str">
            <v>В-00070/КЭ</v>
          </cell>
        </row>
        <row r="250">
          <cell r="A250" t="str">
            <v>В-25302/КЛ</v>
          </cell>
        </row>
        <row r="251">
          <cell r="A251" t="str">
            <v>В-27434/КЛ</v>
          </cell>
        </row>
        <row r="252">
          <cell r="A252" t="str">
            <v>В-05654/КЛ</v>
          </cell>
        </row>
        <row r="253">
          <cell r="A253" t="str">
            <v>В-20855/КЛ</v>
          </cell>
        </row>
        <row r="254">
          <cell r="A254" t="str">
            <v>В-24021/КЛ</v>
          </cell>
        </row>
        <row r="255">
          <cell r="A255" t="str">
            <v>В-18370/КЛ</v>
          </cell>
        </row>
        <row r="256">
          <cell r="A256" t="str">
            <v>В-01061/АЗ</v>
          </cell>
        </row>
        <row r="257">
          <cell r="A257" t="str">
            <v>В-04210/КЛ</v>
          </cell>
        </row>
        <row r="258">
          <cell r="A258" t="str">
            <v>В-22728/КЛ</v>
          </cell>
        </row>
        <row r="259">
          <cell r="A259" t="str">
            <v>В-16023/КЛ</v>
          </cell>
        </row>
        <row r="260">
          <cell r="A260" t="str">
            <v>В-21079/КЛ</v>
          </cell>
        </row>
        <row r="261">
          <cell r="A261" t="str">
            <v>В-17051/КЛ</v>
          </cell>
        </row>
        <row r="262">
          <cell r="A262" t="str">
            <v>В-21847/КЛ</v>
          </cell>
        </row>
        <row r="263">
          <cell r="A263" t="str">
            <v>В-11407/КЛ</v>
          </cell>
        </row>
        <row r="264">
          <cell r="A264" t="str">
            <v>В-26247/КЛ</v>
          </cell>
        </row>
        <row r="265">
          <cell r="A265" t="str">
            <v>В-26242/КЛ</v>
          </cell>
        </row>
        <row r="266">
          <cell r="A266" t="str">
            <v>В-27006/КЛ</v>
          </cell>
        </row>
        <row r="267">
          <cell r="A267" t="str">
            <v>В-12368/КЛ</v>
          </cell>
        </row>
        <row r="268">
          <cell r="A268" t="str">
            <v>В-01202/АЗ</v>
          </cell>
        </row>
        <row r="269">
          <cell r="A269" t="str">
            <v>В-08918/КЛ</v>
          </cell>
        </row>
        <row r="270">
          <cell r="A270" t="str">
            <v>В-02154/КЛ</v>
          </cell>
        </row>
        <row r="271">
          <cell r="A271" t="str">
            <v>В-10934/КЛ</v>
          </cell>
        </row>
        <row r="272">
          <cell r="A272" t="str">
            <v>В-25747/КЛ</v>
          </cell>
        </row>
        <row r="273">
          <cell r="A273" t="str">
            <v>В-22352/АЗ</v>
          </cell>
        </row>
        <row r="274">
          <cell r="A274" t="str">
            <v>В-12391/КЛ</v>
          </cell>
        </row>
        <row r="275">
          <cell r="A275" t="str">
            <v>В-21208/КЛ</v>
          </cell>
        </row>
        <row r="276">
          <cell r="A276" t="str">
            <v>В-17687/КЛ</v>
          </cell>
        </row>
        <row r="277">
          <cell r="A277" t="str">
            <v>В-12427/КЛ</v>
          </cell>
        </row>
        <row r="278">
          <cell r="A278" t="str">
            <v>В-22897/КЛ</v>
          </cell>
        </row>
        <row r="279">
          <cell r="A279" t="str">
            <v>В-13254/КЛ</v>
          </cell>
        </row>
        <row r="280">
          <cell r="A280" t="str">
            <v>В-01692/КЛ</v>
          </cell>
        </row>
        <row r="281">
          <cell r="A281" t="str">
            <v>В-03974/КЛ</v>
          </cell>
        </row>
        <row r="282">
          <cell r="A282" t="str">
            <v>В-11825/КЛ</v>
          </cell>
        </row>
        <row r="283">
          <cell r="A283" t="str">
            <v>В-21040/КЛ</v>
          </cell>
        </row>
        <row r="284">
          <cell r="A284" t="str">
            <v>В-10012/КЭ</v>
          </cell>
        </row>
        <row r="285">
          <cell r="A285" t="str">
            <v>В-13104/КЛ</v>
          </cell>
        </row>
        <row r="286">
          <cell r="A286" t="str">
            <v>В-19655/КЛ</v>
          </cell>
        </row>
        <row r="287">
          <cell r="A287" t="str">
            <v>В-21858/КЛ</v>
          </cell>
        </row>
        <row r="288">
          <cell r="A288" t="str">
            <v>В-12401/КЛ</v>
          </cell>
        </row>
        <row r="289">
          <cell r="A289" t="str">
            <v>В-17153/КЛ</v>
          </cell>
        </row>
        <row r="290">
          <cell r="A290" t="str">
            <v>В-09890/КЛ</v>
          </cell>
        </row>
        <row r="291">
          <cell r="A291" t="str">
            <v>Т-10006/КЭ_Т-20211028/Ц</v>
          </cell>
        </row>
        <row r="292">
          <cell r="A292" t="str">
            <v>В-23840/КЛ</v>
          </cell>
        </row>
        <row r="293">
          <cell r="A293" t="str">
            <v>В-12483/КЛ</v>
          </cell>
        </row>
        <row r="294">
          <cell r="A294" t="str">
            <v>В-11334/КЛ</v>
          </cell>
        </row>
        <row r="295">
          <cell r="A295" t="str">
            <v>В-01107/АЗ</v>
          </cell>
        </row>
        <row r="296">
          <cell r="A296" t="str">
            <v>В-09213/КЛ</v>
          </cell>
        </row>
        <row r="297">
          <cell r="A297" t="str">
            <v>В-12246/КЛ</v>
          </cell>
        </row>
        <row r="298">
          <cell r="A298" t="str">
            <v>В-20437/КЛ</v>
          </cell>
        </row>
        <row r="299">
          <cell r="A299" t="str">
            <v>В-17062/КЛ</v>
          </cell>
        </row>
        <row r="300">
          <cell r="A300" t="str">
            <v>В-25131/КЛ</v>
          </cell>
        </row>
        <row r="301">
          <cell r="A301" t="str">
            <v>В-00439/КЛ</v>
          </cell>
        </row>
        <row r="302">
          <cell r="A302" t="str">
            <v>В-00145/КЛ</v>
          </cell>
        </row>
        <row r="303">
          <cell r="A303" t="str">
            <v>В-23633/КЛ</v>
          </cell>
        </row>
        <row r="304">
          <cell r="A304" t="str">
            <v>В-20497/КЛ</v>
          </cell>
        </row>
        <row r="305">
          <cell r="A305" t="str">
            <v>В-17805/КЛ</v>
          </cell>
        </row>
        <row r="306">
          <cell r="A306" t="str">
            <v>В-21454/КЛ</v>
          </cell>
        </row>
        <row r="307">
          <cell r="A307" t="str">
            <v>В-01898/КЛ</v>
          </cell>
        </row>
        <row r="308">
          <cell r="A308" t="str">
            <v>В-15750/КЛ</v>
          </cell>
        </row>
        <row r="309">
          <cell r="A309" t="str">
            <v>В-01200/АЗ</v>
          </cell>
        </row>
        <row r="310">
          <cell r="A310" t="str">
            <v>В-22026/КЛ</v>
          </cell>
        </row>
        <row r="311">
          <cell r="A311" t="str">
            <v>В-22026/КЛ</v>
          </cell>
        </row>
        <row r="312">
          <cell r="A312" t="str">
            <v>В-24267/КЛ</v>
          </cell>
        </row>
        <row r="313">
          <cell r="A313" t="str">
            <v>В-01175/АЗ</v>
          </cell>
        </row>
        <row r="314">
          <cell r="A314" t="str">
            <v>В-00039/КЭ</v>
          </cell>
        </row>
        <row r="315">
          <cell r="A315" t="str">
            <v>В-18654/КЛ</v>
          </cell>
        </row>
        <row r="316">
          <cell r="A316" t="str">
            <v>В-30009/КЭ</v>
          </cell>
        </row>
        <row r="317">
          <cell r="A317" t="str">
            <v>В-18366/КЛ</v>
          </cell>
        </row>
        <row r="318">
          <cell r="A318" t="str">
            <v>В-22426/КЛ</v>
          </cell>
        </row>
        <row r="319">
          <cell r="A319" t="str">
            <v>В-02707/КЛ</v>
          </cell>
        </row>
        <row r="320">
          <cell r="A320" t="str">
            <v>В-20046/КЛ</v>
          </cell>
        </row>
        <row r="321">
          <cell r="A321" t="str">
            <v>В-20546/КЛ</v>
          </cell>
        </row>
        <row r="322">
          <cell r="A322" t="str">
            <v>В-22833/КЛ</v>
          </cell>
        </row>
        <row r="323">
          <cell r="A323" t="str">
            <v>В-24989/АЗ</v>
          </cell>
        </row>
        <row r="324">
          <cell r="A324" t="str">
            <v>В-24642/АЗ</v>
          </cell>
        </row>
        <row r="325">
          <cell r="A325" t="str">
            <v>В-17073/КЛ</v>
          </cell>
        </row>
        <row r="326">
          <cell r="A326" t="str">
            <v>Т-01914/АЗ_Т-20211028/Ц</v>
          </cell>
        </row>
        <row r="327">
          <cell r="A327" t="str">
            <v>В-15200/КЛ</v>
          </cell>
        </row>
        <row r="328">
          <cell r="A328" t="str">
            <v>В-17708/КЛ</v>
          </cell>
        </row>
        <row r="329">
          <cell r="A329" t="str">
            <v>В-13219/КЛ</v>
          </cell>
        </row>
        <row r="330">
          <cell r="A330" t="str">
            <v>В-24072/АЗ</v>
          </cell>
        </row>
        <row r="331">
          <cell r="A331" t="str">
            <v>В-23045/КЛ</v>
          </cell>
        </row>
        <row r="332">
          <cell r="A332" t="str">
            <v>Т-01931/АЗ_Т-20211028/Ц</v>
          </cell>
        </row>
        <row r="333">
          <cell r="A333" t="str">
            <v>В-00951/АЗ</v>
          </cell>
        </row>
        <row r="334">
          <cell r="A334" t="str">
            <v>В-15165/КЛ</v>
          </cell>
        </row>
        <row r="335">
          <cell r="A335" t="str">
            <v>В-21146/КЛ</v>
          </cell>
        </row>
        <row r="336">
          <cell r="A336" t="str">
            <v>В-23325/АЗ</v>
          </cell>
        </row>
        <row r="337">
          <cell r="A337" t="str">
            <v>В-23339/АЗ</v>
          </cell>
        </row>
        <row r="338">
          <cell r="A338" t="str">
            <v>В-00021/КЭ</v>
          </cell>
        </row>
        <row r="339">
          <cell r="A339" t="str">
            <v>В-17362/КЛ</v>
          </cell>
        </row>
        <row r="340">
          <cell r="A340" t="str">
            <v>В-21269/КЛ</v>
          </cell>
        </row>
        <row r="341">
          <cell r="A341" t="str">
            <v>В-22642/КЛ</v>
          </cell>
        </row>
        <row r="342">
          <cell r="A342" t="str">
            <v>В-01159/АЗ</v>
          </cell>
        </row>
        <row r="343">
          <cell r="A343" t="str">
            <v>В-11595/КЛ</v>
          </cell>
        </row>
        <row r="344">
          <cell r="A344" t="str">
            <v>В-08148/КЛ</v>
          </cell>
        </row>
        <row r="345">
          <cell r="A345" t="str">
            <v>В-09725/КЛ</v>
          </cell>
        </row>
        <row r="346">
          <cell r="A346" t="str">
            <v>В-15822/КЛ</v>
          </cell>
        </row>
        <row r="347">
          <cell r="A347" t="str">
            <v>В-15908/КЛ</v>
          </cell>
        </row>
        <row r="348">
          <cell r="A348" t="str">
            <v>В-20766/КЛ</v>
          </cell>
        </row>
        <row r="349">
          <cell r="A349" t="str">
            <v>В-13136/КЛ</v>
          </cell>
        </row>
        <row r="350">
          <cell r="A350" t="str">
            <v>В-14529/КЛ</v>
          </cell>
        </row>
        <row r="351">
          <cell r="A351" t="str">
            <v>В-01179/АЗ</v>
          </cell>
        </row>
        <row r="352">
          <cell r="A352" t="str">
            <v>В-17030/КЛ</v>
          </cell>
        </row>
        <row r="353">
          <cell r="A353" t="str">
            <v>В-07147/КЛ</v>
          </cell>
        </row>
        <row r="354">
          <cell r="A354" t="str">
            <v>В-12410/КЛ</v>
          </cell>
        </row>
        <row r="355">
          <cell r="A355" t="str">
            <v>В-00137/АЗ</v>
          </cell>
        </row>
        <row r="356">
          <cell r="A356" t="str">
            <v>В-00034/КЭ</v>
          </cell>
        </row>
        <row r="357">
          <cell r="A357" t="str">
            <v>В-14335/КЛ</v>
          </cell>
        </row>
        <row r="358">
          <cell r="A358" t="str">
            <v>В-00553/КЛ</v>
          </cell>
        </row>
        <row r="359">
          <cell r="A359" t="str">
            <v>В-18163/КЛ</v>
          </cell>
        </row>
        <row r="360">
          <cell r="A360" t="str">
            <v>В-22436/АЗ</v>
          </cell>
        </row>
        <row r="361">
          <cell r="A361" t="str">
            <v>В-22434/АЗ</v>
          </cell>
        </row>
        <row r="362">
          <cell r="A362" t="str">
            <v>В-22201/КЛ</v>
          </cell>
        </row>
        <row r="363">
          <cell r="A363" t="str">
            <v>В-22173/КЛ</v>
          </cell>
        </row>
        <row r="364">
          <cell r="A364" t="str">
            <v>Т-01893/АЗ_Т-20211028/Ц</v>
          </cell>
        </row>
        <row r="365">
          <cell r="A365" t="str">
            <v>В-02961/КЛ</v>
          </cell>
        </row>
        <row r="366">
          <cell r="A366" t="str">
            <v>В-24983/КЛ</v>
          </cell>
        </row>
        <row r="367">
          <cell r="A367" t="str">
            <v>В-13051/КЛ</v>
          </cell>
        </row>
        <row r="368">
          <cell r="A368" t="str">
            <v>В-16757/КЛ</v>
          </cell>
        </row>
        <row r="369">
          <cell r="A369" t="str">
            <v>В-16757/КЛ</v>
          </cell>
        </row>
        <row r="370">
          <cell r="A370" t="str">
            <v>В-15085/КЛ</v>
          </cell>
        </row>
        <row r="371">
          <cell r="A371" t="str">
            <v>В-12551/КЛ</v>
          </cell>
        </row>
        <row r="372">
          <cell r="A372" t="str">
            <v>В-11946/КЛ</v>
          </cell>
        </row>
        <row r="373">
          <cell r="A373" t="str">
            <v>В-19349/КЛ</v>
          </cell>
        </row>
        <row r="374">
          <cell r="A374" t="str">
            <v>В-20442/КЛ</v>
          </cell>
        </row>
        <row r="375">
          <cell r="A375" t="str">
            <v>В-00772/АЗ</v>
          </cell>
        </row>
        <row r="376">
          <cell r="A376" t="str">
            <v>В-18008/КЛ</v>
          </cell>
        </row>
        <row r="377">
          <cell r="A377" t="str">
            <v>В-01216/КЛ</v>
          </cell>
        </row>
        <row r="378">
          <cell r="A378" t="str">
            <v>В-04229/КЛ</v>
          </cell>
        </row>
        <row r="379">
          <cell r="A379" t="str">
            <v>В-14005/КЛ</v>
          </cell>
        </row>
        <row r="380">
          <cell r="A380" t="str">
            <v>В-00708/АЗ</v>
          </cell>
        </row>
        <row r="381">
          <cell r="A381" t="str">
            <v>В-01252/КЛ</v>
          </cell>
        </row>
        <row r="382">
          <cell r="A382" t="str">
            <v>В-22238/КЛ</v>
          </cell>
        </row>
        <row r="383">
          <cell r="A383" t="str">
            <v>В-14310/КЛ</v>
          </cell>
        </row>
        <row r="384">
          <cell r="A384" t="str">
            <v>В-21019/КЛ</v>
          </cell>
        </row>
        <row r="385">
          <cell r="A385" t="str">
            <v>В-00806/АЗ</v>
          </cell>
        </row>
        <row r="386">
          <cell r="A386" t="str">
            <v>В-00733/АЗ</v>
          </cell>
        </row>
        <row r="387">
          <cell r="A387" t="str">
            <v>В-00496/АЗ</v>
          </cell>
        </row>
        <row r="388">
          <cell r="A388" t="str">
            <v>В-19791/КЛ</v>
          </cell>
        </row>
        <row r="389">
          <cell r="A389" t="str">
            <v>В-13264/КЛ</v>
          </cell>
        </row>
        <row r="390">
          <cell r="A390" t="str">
            <v>В-08064/КЛ</v>
          </cell>
        </row>
        <row r="391">
          <cell r="A391" t="str">
            <v>В-17315/КЛ</v>
          </cell>
        </row>
        <row r="392">
          <cell r="A392" t="str">
            <v>В-20300/КЛ</v>
          </cell>
        </row>
        <row r="393">
          <cell r="A393" t="str">
            <v>В-11934/КЛ</v>
          </cell>
        </row>
        <row r="394">
          <cell r="A394" t="str">
            <v>В-14453/КЛ</v>
          </cell>
        </row>
        <row r="395">
          <cell r="A395" t="str">
            <v>В-10123/КЛ</v>
          </cell>
        </row>
        <row r="396">
          <cell r="A396" t="str">
            <v>В-17167/КЛ</v>
          </cell>
        </row>
        <row r="397">
          <cell r="A397" t="str">
            <v>В-12548/КЛ</v>
          </cell>
        </row>
        <row r="398">
          <cell r="A398" t="str">
            <v>В-20703/КЛ</v>
          </cell>
        </row>
        <row r="399">
          <cell r="A399" t="str">
            <v>В-01271/КЛ</v>
          </cell>
        </row>
        <row r="400">
          <cell r="A400" t="str">
            <v>В-12484/КЛ</v>
          </cell>
        </row>
        <row r="401">
          <cell r="A401" t="str">
            <v>В-09292/КЛ</v>
          </cell>
        </row>
        <row r="402">
          <cell r="A402" t="str">
            <v>В-07717/КЛ</v>
          </cell>
        </row>
        <row r="403">
          <cell r="A403" t="str">
            <v>В-08065/КЛ</v>
          </cell>
        </row>
        <row r="404">
          <cell r="A404" t="str">
            <v>В-20635/КЛ</v>
          </cell>
        </row>
        <row r="405">
          <cell r="A405" t="str">
            <v xml:space="preserve">В-00918/АЗ </v>
          </cell>
        </row>
        <row r="406">
          <cell r="A406" t="str">
            <v>В-03938/КЛ</v>
          </cell>
        </row>
        <row r="407">
          <cell r="A407" t="str">
            <v>В-08603/КЛ</v>
          </cell>
        </row>
        <row r="408">
          <cell r="A408" t="str">
            <v>В-17852/КЛ</v>
          </cell>
        </row>
        <row r="409">
          <cell r="A409" t="str">
            <v>В-00612/АЗ</v>
          </cell>
        </row>
        <row r="410">
          <cell r="A410" t="str">
            <v>В-13507/КЛ</v>
          </cell>
        </row>
        <row r="411">
          <cell r="A411" t="str">
            <v>В-15412/КЛ</v>
          </cell>
        </row>
        <row r="412">
          <cell r="A412" t="str">
            <v>В-00178/КЛ</v>
          </cell>
        </row>
        <row r="413">
          <cell r="A413" t="str">
            <v>В-19846/КЛ</v>
          </cell>
        </row>
        <row r="414">
          <cell r="A414" t="str">
            <v>В-15330/КЛ</v>
          </cell>
        </row>
        <row r="415">
          <cell r="A415" t="str">
            <v>В-19766/КЛ</v>
          </cell>
        </row>
        <row r="416">
          <cell r="A416" t="str">
            <v>А-05082/АЗ</v>
          </cell>
        </row>
        <row r="417">
          <cell r="A417" t="str">
            <v>В-17201/КЛ</v>
          </cell>
        </row>
        <row r="418">
          <cell r="A418" t="str">
            <v>В-07411/КЛ</v>
          </cell>
        </row>
        <row r="419">
          <cell r="A419" t="str">
            <v>В-18538/КЛ</v>
          </cell>
        </row>
        <row r="420">
          <cell r="A420" t="str">
            <v>В-16861/КЛ</v>
          </cell>
        </row>
        <row r="421">
          <cell r="A421" t="str">
            <v>В-08391/КЛ</v>
          </cell>
        </row>
        <row r="422">
          <cell r="A422" t="str">
            <v>В-08361/КЛ</v>
          </cell>
        </row>
        <row r="423">
          <cell r="A423" t="str">
            <v>В-12675/КЛ</v>
          </cell>
        </row>
        <row r="424">
          <cell r="A424" t="str">
            <v>В-00023/КЭ</v>
          </cell>
        </row>
        <row r="425">
          <cell r="A425" t="str">
            <v>В-18167/КЛ</v>
          </cell>
        </row>
        <row r="426">
          <cell r="A426" t="str">
            <v>В-00012/КЭ</v>
          </cell>
        </row>
        <row r="427">
          <cell r="A427" t="str">
            <v>В-11932/КЛ</v>
          </cell>
        </row>
        <row r="428">
          <cell r="A428" t="str">
            <v>В-19329/КЛ</v>
          </cell>
        </row>
        <row r="429">
          <cell r="A429" t="str">
            <v>В-00339/АЗ</v>
          </cell>
        </row>
        <row r="430">
          <cell r="A430" t="str">
            <v>В-15222/КЛ</v>
          </cell>
        </row>
        <row r="431">
          <cell r="A431" t="str">
            <v>Т-00008/КЭ</v>
          </cell>
        </row>
        <row r="432">
          <cell r="A432" t="str">
            <v>В-13629/КЛ</v>
          </cell>
        </row>
        <row r="433">
          <cell r="A433" t="str">
            <v>В-01172/АЗ</v>
          </cell>
        </row>
        <row r="434">
          <cell r="A434" t="str">
            <v>В-01171/АЗ</v>
          </cell>
        </row>
        <row r="435">
          <cell r="A435" t="str">
            <v>В-15448/КЛ</v>
          </cell>
        </row>
        <row r="436">
          <cell r="A436" t="str">
            <v>В-04293/КЛ</v>
          </cell>
        </row>
        <row r="437">
          <cell r="A437" t="str">
            <v>В-11521/КЛ</v>
          </cell>
        </row>
        <row r="438">
          <cell r="A438" t="str">
            <v>В-18791/КЛ</v>
          </cell>
        </row>
        <row r="439">
          <cell r="A439" t="str">
            <v>В-19097/КЛ</v>
          </cell>
        </row>
        <row r="440">
          <cell r="A440" t="str">
            <v>В-19025/КЛ</v>
          </cell>
        </row>
        <row r="441">
          <cell r="A441" t="str">
            <v>В-18983/КЛ</v>
          </cell>
        </row>
        <row r="442">
          <cell r="A442" t="str">
            <v>В-18237/КЛ</v>
          </cell>
        </row>
        <row r="443">
          <cell r="A443" t="str">
            <v>В-05425/КЛ</v>
          </cell>
        </row>
        <row r="444">
          <cell r="A444" t="str">
            <v>В-11186/КЛ</v>
          </cell>
        </row>
        <row r="445">
          <cell r="A445" t="str">
            <v>В-19132/КЛ</v>
          </cell>
        </row>
        <row r="446">
          <cell r="A446" t="str">
            <v>В-04096/КЛ</v>
          </cell>
        </row>
        <row r="447">
          <cell r="A447" t="str">
            <v>Т-00038/БЭ</v>
          </cell>
        </row>
        <row r="448">
          <cell r="A448" t="str">
            <v>А-00063/БЭ</v>
          </cell>
        </row>
        <row r="449">
          <cell r="A449" t="str">
            <v>В-17625/КЛ</v>
          </cell>
        </row>
        <row r="450">
          <cell r="A450" t="str">
            <v>В-13070/КЛ</v>
          </cell>
        </row>
        <row r="451">
          <cell r="A451" t="str">
            <v>В-07384/КЛ</v>
          </cell>
        </row>
        <row r="452">
          <cell r="A452" t="str">
            <v>В-16915/КЛ</v>
          </cell>
        </row>
        <row r="453">
          <cell r="A453" t="str">
            <v>В-15583/КЛ</v>
          </cell>
        </row>
        <row r="454">
          <cell r="A454" t="str">
            <v>В-13042/КЛ</v>
          </cell>
        </row>
        <row r="455">
          <cell r="A455" t="str">
            <v>В-08288/КЛ</v>
          </cell>
        </row>
        <row r="456">
          <cell r="A456" t="str">
            <v>В-17043/КЛ</v>
          </cell>
        </row>
        <row r="457">
          <cell r="A457" t="str">
            <v>В-21219/КЛ</v>
          </cell>
        </row>
        <row r="458">
          <cell r="A458" t="str">
            <v>В-18055/КЛ</v>
          </cell>
        </row>
        <row r="459">
          <cell r="A459" t="str">
            <v>В-18216/КЛ</v>
          </cell>
        </row>
        <row r="460">
          <cell r="A460" t="str">
            <v>В-17075/КЛ</v>
          </cell>
        </row>
        <row r="461">
          <cell r="A461" t="str">
            <v>Т-01878/АЗ</v>
          </cell>
        </row>
        <row r="462">
          <cell r="A462" t="str">
            <v>В-18171/КЛ</v>
          </cell>
        </row>
        <row r="463">
          <cell r="A463" t="str">
            <v>В-10278/КЛ</v>
          </cell>
        </row>
        <row r="464">
          <cell r="A464" t="str">
            <v>В-01104/АЗ</v>
          </cell>
        </row>
        <row r="465">
          <cell r="A465" t="str">
            <v>В-17242/КЛ</v>
          </cell>
        </row>
        <row r="466">
          <cell r="A466" t="str">
            <v>А-10122/КЭ</v>
          </cell>
        </row>
        <row r="467">
          <cell r="A467" t="str">
            <v>В-00508/АЗ</v>
          </cell>
        </row>
        <row r="468">
          <cell r="A468" t="str">
            <v>В-17724/КЛ</v>
          </cell>
        </row>
        <row r="469">
          <cell r="A469" t="str">
            <v>В-00963/АЗ</v>
          </cell>
        </row>
        <row r="470">
          <cell r="A470" t="str">
            <v>А-05463/АЗ</v>
          </cell>
        </row>
        <row r="471">
          <cell r="A471" t="str">
            <v>Т-01935/АЗ</v>
          </cell>
        </row>
        <row r="472">
          <cell r="A472" t="str">
            <v>А-04639/АЗ</v>
          </cell>
        </row>
        <row r="473">
          <cell r="A473" t="str">
            <v>В-10433/КЛ</v>
          </cell>
        </row>
        <row r="474">
          <cell r="A474" t="str">
            <v>В-13669/КЛ</v>
          </cell>
        </row>
        <row r="475">
          <cell r="A475" t="str">
            <v>В-12380/КЛ</v>
          </cell>
        </row>
        <row r="476">
          <cell r="A476" t="str">
            <v>В-10638/КЛ</v>
          </cell>
        </row>
        <row r="477">
          <cell r="A477" t="str">
            <v>В-17533/КЛ</v>
          </cell>
        </row>
        <row r="478">
          <cell r="A478" t="str">
            <v>В-11733/КЛ</v>
          </cell>
        </row>
        <row r="479">
          <cell r="A479" t="str">
            <v>В-01176/АЗ</v>
          </cell>
        </row>
        <row r="480">
          <cell r="A480" t="str">
            <v>В-17940/КЛ</v>
          </cell>
        </row>
        <row r="481">
          <cell r="A481" t="str">
            <v>В-01092/КЛ</v>
          </cell>
        </row>
        <row r="482">
          <cell r="A482" t="str">
            <v>В-00319/КЛ</v>
          </cell>
        </row>
        <row r="483">
          <cell r="A483" t="str">
            <v>В-16186/КЛ</v>
          </cell>
        </row>
        <row r="484">
          <cell r="A484" t="str">
            <v>В-09916/КЛ</v>
          </cell>
        </row>
        <row r="485">
          <cell r="A485" t="str">
            <v>В-16877/КЛ</v>
          </cell>
        </row>
        <row r="486">
          <cell r="A486" t="str">
            <v>В-16777/КЛ</v>
          </cell>
        </row>
        <row r="487">
          <cell r="A487" t="str">
            <v>В-09302/КЛ</v>
          </cell>
        </row>
        <row r="488">
          <cell r="A488" t="str">
            <v>В-03324/КЛ</v>
          </cell>
        </row>
        <row r="489">
          <cell r="A489" t="str">
            <v>В-16457/КЛ</v>
          </cell>
        </row>
        <row r="490">
          <cell r="A490" t="str">
            <v>В-00011/КЭ</v>
          </cell>
        </row>
        <row r="491">
          <cell r="A491" t="str">
            <v>В-01131/АЗ</v>
          </cell>
        </row>
        <row r="492">
          <cell r="A492" t="str">
            <v>В-14484/КЛ</v>
          </cell>
        </row>
        <row r="493">
          <cell r="A493" t="str">
            <v>В-14621/КЛ</v>
          </cell>
        </row>
        <row r="494">
          <cell r="A494" t="str">
            <v>В-10013/КЭ</v>
          </cell>
        </row>
        <row r="495">
          <cell r="A495" t="str">
            <v>В-11861/КЛ</v>
          </cell>
        </row>
        <row r="496">
          <cell r="A496" t="str">
            <v>В-15156/КЛ</v>
          </cell>
        </row>
        <row r="497">
          <cell r="A497" t="str">
            <v>В-11824/КЛ</v>
          </cell>
        </row>
        <row r="498">
          <cell r="A498" t="str">
            <v>В-01084/АЗ</v>
          </cell>
        </row>
        <row r="499">
          <cell r="A499" t="str">
            <v>В-01085/АЗ</v>
          </cell>
        </row>
        <row r="500">
          <cell r="A500" t="str">
            <v>В-02690/КЛ</v>
          </cell>
        </row>
        <row r="501">
          <cell r="A501" t="str">
            <v>В-16441/КЛ</v>
          </cell>
        </row>
        <row r="502">
          <cell r="A502" t="str">
            <v>Т-10005/КЭ</v>
          </cell>
        </row>
        <row r="503">
          <cell r="A503" t="str">
            <v>В-01110/АЗ</v>
          </cell>
        </row>
        <row r="504">
          <cell r="A504" t="str">
            <v>В-00022/КЭ</v>
          </cell>
        </row>
        <row r="505">
          <cell r="A505" t="str">
            <v>А-00458/КЭ</v>
          </cell>
        </row>
        <row r="506">
          <cell r="A506" t="str">
            <v>В-00370/АЗ</v>
          </cell>
        </row>
        <row r="507">
          <cell r="A507" t="str">
            <v>В-18929/КЛ</v>
          </cell>
        </row>
        <row r="508">
          <cell r="A508" t="str">
            <v>В-12894/КЛ</v>
          </cell>
        </row>
        <row r="509">
          <cell r="A509" t="str">
            <v>В-00881/АЗ</v>
          </cell>
        </row>
        <row r="510">
          <cell r="A510" t="str">
            <v>В-09247/КЛ</v>
          </cell>
        </row>
        <row r="511">
          <cell r="A511" t="str">
            <v>В-12042/КЛ</v>
          </cell>
        </row>
        <row r="512">
          <cell r="A512" t="str">
            <v>В-00359/КЛ</v>
          </cell>
        </row>
        <row r="513">
          <cell r="A513" t="str">
            <v>А-00009/ИЗ</v>
          </cell>
        </row>
        <row r="514">
          <cell r="A514" t="str">
            <v>В-02777/КЛ</v>
          </cell>
        </row>
        <row r="515">
          <cell r="A515" t="str">
            <v>В-14727/КЛ</v>
          </cell>
        </row>
        <row r="516">
          <cell r="A516" t="str">
            <v>В-11333/КЛ</v>
          </cell>
        </row>
        <row r="517">
          <cell r="A517" t="str">
            <v>В-16873/КЛ</v>
          </cell>
        </row>
        <row r="518">
          <cell r="A518" t="str">
            <v>В-17494/КЛ</v>
          </cell>
        </row>
        <row r="519">
          <cell r="A519" t="str">
            <v>В-14569/КЛ</v>
          </cell>
        </row>
        <row r="520">
          <cell r="A520" t="str">
            <v>В-13600/КЛ</v>
          </cell>
        </row>
        <row r="521">
          <cell r="A521" t="str">
            <v>В-03392/КЛ</v>
          </cell>
        </row>
        <row r="522">
          <cell r="A522" t="str">
            <v>В-12294/КЛ</v>
          </cell>
        </row>
        <row r="523">
          <cell r="A523" t="str">
            <v>В-07544/КЛ</v>
          </cell>
        </row>
        <row r="524">
          <cell r="A524" t="str">
            <v>В-11307/КЛ</v>
          </cell>
        </row>
        <row r="525">
          <cell r="A525" t="str">
            <v>В-05009/КЛ</v>
          </cell>
        </row>
        <row r="526">
          <cell r="A526" t="str">
            <v>А-00404/КЭ</v>
          </cell>
        </row>
        <row r="527">
          <cell r="A527" t="str">
            <v>В-03040/КЛ</v>
          </cell>
        </row>
        <row r="528">
          <cell r="A528" t="str">
            <v>В-00884/АЗ</v>
          </cell>
        </row>
        <row r="529">
          <cell r="A529" t="str">
            <v>В-01109/АЗ</v>
          </cell>
        </row>
        <row r="530">
          <cell r="A530" t="str">
            <v>В-01099/АЗ</v>
          </cell>
        </row>
        <row r="531">
          <cell r="A531" t="str">
            <v>В-11523/КЛ</v>
          </cell>
        </row>
        <row r="532">
          <cell r="A532" t="str">
            <v>В-13177/КЛ</v>
          </cell>
        </row>
        <row r="533">
          <cell r="A533" t="str">
            <v>В-00992/АЗ</v>
          </cell>
        </row>
        <row r="534">
          <cell r="A534" t="str">
            <v>В-07008/КЛ</v>
          </cell>
        </row>
        <row r="535">
          <cell r="A535" t="str">
            <v>В-13625/КЛ</v>
          </cell>
        </row>
        <row r="536">
          <cell r="A536" t="str">
            <v>В-09290/КЛ</v>
          </cell>
        </row>
        <row r="537">
          <cell r="A537" t="str">
            <v>В-12741/КЛ</v>
          </cell>
        </row>
        <row r="538">
          <cell r="A538" t="str">
            <v>В-09513/КЛ</v>
          </cell>
        </row>
        <row r="539">
          <cell r="A539" t="str">
            <v>В-00988/АЗ</v>
          </cell>
        </row>
        <row r="540">
          <cell r="A540" t="str">
            <v>В-00687/АЗ</v>
          </cell>
        </row>
        <row r="541">
          <cell r="A541" t="str">
            <v>В-11190/КЛ</v>
          </cell>
        </row>
        <row r="542">
          <cell r="A542" t="str">
            <v>В-15171/КЛ</v>
          </cell>
        </row>
        <row r="543">
          <cell r="A543" t="str">
            <v>В-01046/АЗ</v>
          </cell>
        </row>
        <row r="544">
          <cell r="A544" t="str">
            <v>В-13544/КЛ</v>
          </cell>
        </row>
        <row r="545">
          <cell r="A545" t="str">
            <v>В-12016/КЛ</v>
          </cell>
        </row>
        <row r="546">
          <cell r="A546" t="str">
            <v>В-01647/КЛ</v>
          </cell>
        </row>
        <row r="547">
          <cell r="A547" t="str">
            <v>Т-00002/КЭ</v>
          </cell>
        </row>
        <row r="548">
          <cell r="A548" t="str">
            <v>В-00808/АЗ</v>
          </cell>
        </row>
        <row r="549">
          <cell r="A549" t="str">
            <v>В-00737/АЗ</v>
          </cell>
        </row>
        <row r="550">
          <cell r="A550" t="str">
            <v>В-05401/КЛ</v>
          </cell>
        </row>
        <row r="551">
          <cell r="A551" t="str">
            <v>В-01102/АЗ</v>
          </cell>
        </row>
        <row r="552">
          <cell r="A552" t="str">
            <v>В-14944/КЛ</v>
          </cell>
        </row>
        <row r="553">
          <cell r="A553" t="str">
            <v>В-08626/КЛ</v>
          </cell>
        </row>
        <row r="554">
          <cell r="A554" t="str">
            <v>В-07971/КЛ</v>
          </cell>
        </row>
        <row r="555">
          <cell r="A555" t="str">
            <v>В-14029/КЛ</v>
          </cell>
        </row>
        <row r="556">
          <cell r="A556" t="str">
            <v>В-03197/КЛ</v>
          </cell>
        </row>
        <row r="557">
          <cell r="A557" t="str">
            <v>В-11533/КЛ</v>
          </cell>
        </row>
        <row r="558">
          <cell r="A558" t="str">
            <v>Т-01922/АЗ</v>
          </cell>
        </row>
        <row r="559">
          <cell r="A559" t="str">
            <v>В-08822/КЛ</v>
          </cell>
        </row>
        <row r="560">
          <cell r="A560" t="str">
            <v>В-13886/КЛ</v>
          </cell>
        </row>
        <row r="561">
          <cell r="A561" t="str">
            <v>В-13297/КЛ</v>
          </cell>
        </row>
        <row r="562">
          <cell r="A562" t="str">
            <v>В-12631/КЛ</v>
          </cell>
        </row>
        <row r="563">
          <cell r="A563" t="str">
            <v>В-09948/КЛ</v>
          </cell>
        </row>
        <row r="564">
          <cell r="A564" t="str">
            <v>В-08584/КЛ</v>
          </cell>
        </row>
        <row r="565">
          <cell r="A565" t="str">
            <v>В-13719/КЛ</v>
          </cell>
        </row>
        <row r="566">
          <cell r="A566" t="str">
            <v>Т-01867/АЗ</v>
          </cell>
        </row>
        <row r="567">
          <cell r="A567" t="str">
            <v>В-02090/КЛ</v>
          </cell>
        </row>
        <row r="568">
          <cell r="A568" t="str">
            <v>В-00854/АЗ</v>
          </cell>
        </row>
        <row r="569">
          <cell r="A569" t="str">
            <v>В-00980/АЗ</v>
          </cell>
        </row>
        <row r="570">
          <cell r="A570" t="str">
            <v>В-11085/КЛ</v>
          </cell>
        </row>
        <row r="571">
          <cell r="A571" t="str">
            <v>В-00967/АЗ</v>
          </cell>
        </row>
        <row r="572">
          <cell r="A572" t="str">
            <v>В-12372/КЛ</v>
          </cell>
        </row>
        <row r="573">
          <cell r="A573" t="str">
            <v>В-06092/КЛ</v>
          </cell>
        </row>
        <row r="574">
          <cell r="A574" t="str">
            <v>В-10890/КЛ</v>
          </cell>
        </row>
        <row r="575">
          <cell r="A575" t="str">
            <v>В-30003/КЭ</v>
          </cell>
        </row>
        <row r="576">
          <cell r="A576" t="str">
            <v>Т-01675/АЗ</v>
          </cell>
        </row>
        <row r="577">
          <cell r="A577" t="str">
            <v>А-04839/АЗ</v>
          </cell>
        </row>
        <row r="578">
          <cell r="A578" t="str">
            <v>В-01119/АЗ</v>
          </cell>
        </row>
        <row r="579">
          <cell r="A579" t="str">
            <v>В-01120/АЗ</v>
          </cell>
        </row>
        <row r="580">
          <cell r="A580" t="str">
            <v>В-12163/КЛ</v>
          </cell>
        </row>
        <row r="581">
          <cell r="A581" t="str">
            <v>В-11967/КЛ</v>
          </cell>
        </row>
        <row r="582">
          <cell r="A582" t="str">
            <v>В-09649/КЛ</v>
          </cell>
        </row>
        <row r="583">
          <cell r="A583" t="str">
            <v>В-11892/КЛ</v>
          </cell>
        </row>
        <row r="584">
          <cell r="A584" t="str">
            <v>В-13055/КЛ</v>
          </cell>
        </row>
        <row r="585">
          <cell r="A585" t="str">
            <v>В-11280/КЛ</v>
          </cell>
        </row>
        <row r="586">
          <cell r="A586" t="str">
            <v>А-00467/КЭ</v>
          </cell>
        </row>
        <row r="587">
          <cell r="A587" t="str">
            <v>А-10100/КЭ</v>
          </cell>
        </row>
        <row r="588">
          <cell r="A588" t="str">
            <v>А-05455/АЗ</v>
          </cell>
        </row>
        <row r="589">
          <cell r="A589" t="str">
            <v>В-06186/КЛ</v>
          </cell>
        </row>
        <row r="590">
          <cell r="A590" t="str">
            <v>В-03585/КЛ</v>
          </cell>
        </row>
        <row r="591">
          <cell r="A591" t="str">
            <v>В-10492/КЛ</v>
          </cell>
        </row>
        <row r="592">
          <cell r="A592" t="str">
            <v>В-08189/КЛ</v>
          </cell>
        </row>
        <row r="593">
          <cell r="A593" t="str">
            <v>Т-01835/АЗ</v>
          </cell>
        </row>
        <row r="594">
          <cell r="A594" t="str">
            <v>В-06379/КЛ</v>
          </cell>
        </row>
        <row r="595">
          <cell r="A595" t="str">
            <v>Т-00004/КЭ</v>
          </cell>
        </row>
        <row r="596">
          <cell r="A596" t="str">
            <v>В-03629/КЛ</v>
          </cell>
        </row>
        <row r="597">
          <cell r="A597" t="str">
            <v>В-08942/КЛ</v>
          </cell>
        </row>
        <row r="598">
          <cell r="A598" t="str">
            <v>Т-01899/АЗ</v>
          </cell>
        </row>
        <row r="599">
          <cell r="A599" t="str">
            <v>В-11653/КЛ</v>
          </cell>
        </row>
        <row r="600">
          <cell r="A600" t="str">
            <v>В-12167/КЛ</v>
          </cell>
        </row>
        <row r="601">
          <cell r="A601" t="str">
            <v>В-09961/КЛ</v>
          </cell>
        </row>
        <row r="602">
          <cell r="A602" t="str">
            <v>В-12000/КЛ</v>
          </cell>
        </row>
        <row r="603">
          <cell r="A603" t="str">
            <v>А-00446/КЭ</v>
          </cell>
        </row>
        <row r="604">
          <cell r="A604" t="str">
            <v xml:space="preserve">А-05271/АЗ </v>
          </cell>
        </row>
        <row r="605">
          <cell r="A605" t="str">
            <v>В-02902/КЛ</v>
          </cell>
        </row>
        <row r="606">
          <cell r="A606" t="str">
            <v>В-00714/КЛ</v>
          </cell>
        </row>
        <row r="607">
          <cell r="A607" t="str">
            <v>В-07275/КЛ</v>
          </cell>
        </row>
        <row r="608">
          <cell r="A608" t="str">
            <v>А-10096/КЭ</v>
          </cell>
        </row>
        <row r="609">
          <cell r="A609" t="str">
            <v>В-11882/КЛ</v>
          </cell>
        </row>
        <row r="610">
          <cell r="A610" t="str">
            <v>В-09695/КЛ</v>
          </cell>
        </row>
        <row r="611">
          <cell r="A611" t="str">
            <v>В-12216/КЛ</v>
          </cell>
        </row>
        <row r="612">
          <cell r="A612" t="str">
            <v>В-13025/КЛ</v>
          </cell>
        </row>
        <row r="613">
          <cell r="A613" t="str">
            <v>В-02376/КЛ</v>
          </cell>
        </row>
        <row r="614">
          <cell r="A614" t="str">
            <v>В-10703/КЛ</v>
          </cell>
        </row>
        <row r="615">
          <cell r="A615" t="str">
            <v>В-03074/КЛ</v>
          </cell>
        </row>
        <row r="616">
          <cell r="A616" t="str">
            <v xml:space="preserve">Т-01869/АЗ </v>
          </cell>
        </row>
        <row r="617">
          <cell r="A617" t="str">
            <v>В-12614/КЛ</v>
          </cell>
        </row>
        <row r="618">
          <cell r="A618" t="str">
            <v>В-11713/КЛ</v>
          </cell>
        </row>
        <row r="619">
          <cell r="A619" t="str">
            <v>В-03811/КЛ</v>
          </cell>
        </row>
        <row r="620">
          <cell r="A620" t="str">
            <v>В-11603/КЛ</v>
          </cell>
        </row>
        <row r="621">
          <cell r="A621" t="str">
            <v>А-04848/АЗ</v>
          </cell>
        </row>
        <row r="622">
          <cell r="A622" t="str">
            <v>В-11162/КЛ</v>
          </cell>
        </row>
        <row r="623">
          <cell r="A623" t="str">
            <v>Т-01681/АЗ</v>
          </cell>
        </row>
        <row r="624">
          <cell r="A624" t="str">
            <v>А-03533/АЗ</v>
          </cell>
        </row>
        <row r="625">
          <cell r="A625" t="str">
            <v>В-12535/КЛ</v>
          </cell>
        </row>
        <row r="626">
          <cell r="A626" t="str">
            <v>В-08251/КЛ</v>
          </cell>
        </row>
        <row r="627">
          <cell r="A627" t="str">
            <v>В-09288/КЛ</v>
          </cell>
        </row>
        <row r="628">
          <cell r="A628" t="str">
            <v>В-09241/КЛ</v>
          </cell>
        </row>
        <row r="629">
          <cell r="A629" t="str">
            <v>В-03541/КЛ</v>
          </cell>
        </row>
        <row r="630">
          <cell r="A630" t="str">
            <v>Т-01875/АЗ</v>
          </cell>
        </row>
        <row r="631">
          <cell r="A631" t="str">
            <v>В-10010/КЭ</v>
          </cell>
        </row>
        <row r="632">
          <cell r="A632" t="str">
            <v>В-02641/КЛ</v>
          </cell>
        </row>
        <row r="633">
          <cell r="A633" t="str">
            <v>А-04955/АЗ</v>
          </cell>
        </row>
        <row r="634">
          <cell r="A634" t="str">
            <v>В-05135/КЛ</v>
          </cell>
        </row>
        <row r="635">
          <cell r="A635" t="str">
            <v>В-01875/КЛ</v>
          </cell>
        </row>
        <row r="636">
          <cell r="A636" t="str">
            <v>В-08629/КЛ</v>
          </cell>
        </row>
        <row r="637">
          <cell r="A637" t="str">
            <v>В-06852/КЛ</v>
          </cell>
        </row>
        <row r="638">
          <cell r="A638" t="str">
            <v>В-00839/КЛ</v>
          </cell>
        </row>
        <row r="639">
          <cell r="A639" t="str">
            <v>В-00317/АЗ</v>
          </cell>
        </row>
        <row r="640">
          <cell r="A640" t="str">
            <v>В-08416/КЛ</v>
          </cell>
        </row>
        <row r="641">
          <cell r="A641" t="str">
            <v>В-05187/КЛ</v>
          </cell>
        </row>
        <row r="642">
          <cell r="A642" t="str">
            <v>В-03869/КЛ</v>
          </cell>
        </row>
        <row r="643">
          <cell r="A643" t="str">
            <v>В-04620/КЛ</v>
          </cell>
        </row>
        <row r="644">
          <cell r="A644" t="str">
            <v>В-00568/АЗ</v>
          </cell>
        </row>
        <row r="645">
          <cell r="A645" t="str">
            <v>Т-01876/АЗ</v>
          </cell>
        </row>
        <row r="646">
          <cell r="A646" t="str">
            <v>В-06682/КЛ</v>
          </cell>
        </row>
        <row r="647">
          <cell r="A647" t="str">
            <v>В-00447/АЗ</v>
          </cell>
        </row>
        <row r="648">
          <cell r="A648" t="str">
            <v>В-09037/КЛ</v>
          </cell>
        </row>
        <row r="649">
          <cell r="A649" t="str">
            <v>Т-10003/КЭ</v>
          </cell>
        </row>
        <row r="650">
          <cell r="A650" t="str">
            <v>В-06955/КЛ</v>
          </cell>
        </row>
        <row r="651">
          <cell r="A651" t="str">
            <v>В-01388/КЛ</v>
          </cell>
        </row>
        <row r="652">
          <cell r="A652" t="str">
            <v>В-00540/КЛ</v>
          </cell>
        </row>
        <row r="653">
          <cell r="A653" t="str">
            <v>В-09805/КЛ</v>
          </cell>
        </row>
        <row r="654">
          <cell r="A654" t="str">
            <v>В-03473/КЛ</v>
          </cell>
        </row>
        <row r="655">
          <cell r="A655" t="str">
            <v>В-09625/КЛ</v>
          </cell>
        </row>
        <row r="656">
          <cell r="A656" t="str">
            <v>А-04827/АЗ</v>
          </cell>
        </row>
        <row r="657">
          <cell r="A657" t="str">
            <v>В-00790/АЗ</v>
          </cell>
        </row>
        <row r="658">
          <cell r="A658" t="str">
            <v>В-00923/АЗ</v>
          </cell>
        </row>
        <row r="659">
          <cell r="A659" t="str">
            <v>В-00858/АЗ</v>
          </cell>
        </row>
        <row r="660">
          <cell r="A660" t="str">
            <v>В-03039/КЛ</v>
          </cell>
        </row>
        <row r="661">
          <cell r="A661" t="str">
            <v>А-05370/АЗ</v>
          </cell>
        </row>
        <row r="662">
          <cell r="A662" t="str">
            <v>В-00730/АЗ</v>
          </cell>
        </row>
        <row r="663">
          <cell r="A663" t="str">
            <v>В-07444/КЛ</v>
          </cell>
        </row>
        <row r="664">
          <cell r="A664" t="str">
            <v>В-00817/АЗ</v>
          </cell>
        </row>
        <row r="665">
          <cell r="A665" t="str">
            <v>А-05439/АЗ</v>
          </cell>
        </row>
        <row r="666">
          <cell r="A666" t="str">
            <v>Т-01850/АЗ</v>
          </cell>
        </row>
        <row r="667">
          <cell r="A667" t="str">
            <v>Т-01497/АЗ</v>
          </cell>
        </row>
        <row r="668">
          <cell r="A668" t="str">
            <v>А-03947/АЗ</v>
          </cell>
        </row>
        <row r="669">
          <cell r="A669" t="str">
            <v>В-01552/КЛ</v>
          </cell>
        </row>
        <row r="670">
          <cell r="A670" t="str">
            <v>А-05105/АЗ</v>
          </cell>
        </row>
        <row r="671">
          <cell r="A671" t="str">
            <v>Т-01866/АЗ</v>
          </cell>
        </row>
        <row r="672">
          <cell r="A672" t="str">
            <v>В-09250/КЛ</v>
          </cell>
        </row>
        <row r="673">
          <cell r="A673" t="str">
            <v>В-01020/АЗ</v>
          </cell>
        </row>
        <row r="674">
          <cell r="A674" t="str">
            <v>В-04162/КЛ</v>
          </cell>
        </row>
        <row r="675">
          <cell r="A675" t="str">
            <v>А-00466/КЭ</v>
          </cell>
        </row>
        <row r="676">
          <cell r="A676" t="str">
            <v>А-00418/КЭ</v>
          </cell>
        </row>
        <row r="677">
          <cell r="A677" t="str">
            <v>В-07632/КЛ</v>
          </cell>
        </row>
        <row r="678">
          <cell r="A678" t="str">
            <v>В-03631/КЛ</v>
          </cell>
        </row>
        <row r="679">
          <cell r="A679" t="str">
            <v>В-07328/КЛ</v>
          </cell>
        </row>
        <row r="680">
          <cell r="A680" t="str">
            <v>А-05447/АЗ</v>
          </cell>
        </row>
        <row r="681">
          <cell r="A681" t="str">
            <v>В-00885/АЗ</v>
          </cell>
        </row>
        <row r="682">
          <cell r="A682" t="str">
            <v>В-00321/АЗ</v>
          </cell>
        </row>
        <row r="683">
          <cell r="A683" t="str">
            <v>В-05772/КЛ</v>
          </cell>
        </row>
        <row r="684">
          <cell r="A684" t="str">
            <v xml:space="preserve">В-00982/АЗ </v>
          </cell>
        </row>
        <row r="685">
          <cell r="A685" t="str">
            <v>В-01482/КЛ</v>
          </cell>
        </row>
        <row r="686">
          <cell r="A686" t="str">
            <v>В-03383/КЛ</v>
          </cell>
        </row>
        <row r="687">
          <cell r="A687" t="str">
            <v>В-02402/КЛ</v>
          </cell>
        </row>
        <row r="688">
          <cell r="A688" t="str">
            <v>В-07706/КЛ</v>
          </cell>
        </row>
        <row r="689">
          <cell r="A689" t="str">
            <v>Т-01747/АЗ</v>
          </cell>
        </row>
        <row r="690">
          <cell r="A690" t="str">
            <v>А-05164/АЗ</v>
          </cell>
        </row>
        <row r="691">
          <cell r="A691" t="str">
            <v>В-03071/КЛ</v>
          </cell>
        </row>
        <row r="692">
          <cell r="A692" t="str">
            <v>А-00395/КЭ</v>
          </cell>
        </row>
        <row r="693">
          <cell r="A693" t="str">
            <v>В-00051/КЛ</v>
          </cell>
        </row>
        <row r="694">
          <cell r="A694" t="str">
            <v>В-00365/АЗ</v>
          </cell>
        </row>
        <row r="695">
          <cell r="A695" t="str">
            <v>В-00079/КЛ</v>
          </cell>
        </row>
        <row r="696">
          <cell r="A696" t="str">
            <v>В-00324/АЗ</v>
          </cell>
        </row>
        <row r="697">
          <cell r="A697" t="str">
            <v>В-01086/КЛ</v>
          </cell>
        </row>
        <row r="698">
          <cell r="A698" t="str">
            <v>В-00088/АЗ</v>
          </cell>
        </row>
        <row r="699">
          <cell r="A699" t="str">
            <v>В-01417/КЛ</v>
          </cell>
        </row>
        <row r="700">
          <cell r="A700" t="str">
            <v>А-04614/АЗ</v>
          </cell>
        </row>
        <row r="701">
          <cell r="A701" t="str">
            <v>В-04809/КЛ</v>
          </cell>
        </row>
        <row r="702">
          <cell r="A702" t="str">
            <v>В-00003/КЭ</v>
          </cell>
        </row>
        <row r="703">
          <cell r="A703" t="str">
            <v>Т-01752/АЗ</v>
          </cell>
        </row>
        <row r="704">
          <cell r="A704" t="str">
            <v>А-05182/АЗ</v>
          </cell>
        </row>
        <row r="705">
          <cell r="A705" t="str">
            <v>Т-00001/КЭ</v>
          </cell>
        </row>
        <row r="706">
          <cell r="A706" t="str">
            <v>В-08204/КЛ</v>
          </cell>
        </row>
        <row r="707">
          <cell r="A707" t="str">
            <v>В-01174/КЛ</v>
          </cell>
        </row>
        <row r="708">
          <cell r="A708" t="str">
            <v>В-00872/АЗ</v>
          </cell>
        </row>
        <row r="709">
          <cell r="A709" t="str">
            <v>В-00866/АЗ</v>
          </cell>
        </row>
        <row r="710">
          <cell r="A710" t="str">
            <v>В-00449/КЛ</v>
          </cell>
        </row>
        <row r="711">
          <cell r="A711" t="str">
            <v>В-00438/КЛ</v>
          </cell>
        </row>
        <row r="712">
          <cell r="A712" t="str">
            <v>В-03907/КЛ</v>
          </cell>
        </row>
        <row r="713">
          <cell r="A713" t="str">
            <v>В-00425/КЛ</v>
          </cell>
        </row>
        <row r="714">
          <cell r="A714" t="str">
            <v>Т-01865/АЗ</v>
          </cell>
        </row>
        <row r="715">
          <cell r="A715" t="str">
            <v>В-02644/КЛ</v>
          </cell>
        </row>
        <row r="716">
          <cell r="A716" t="str">
            <v>Т-01862/АЗ</v>
          </cell>
        </row>
        <row r="717">
          <cell r="A717" t="str">
            <v>В-00899/АЗ</v>
          </cell>
        </row>
        <row r="718">
          <cell r="A718" t="str">
            <v>В-00824/АЗ</v>
          </cell>
        </row>
        <row r="719">
          <cell r="A719" t="str">
            <v>А-00053/БЭ</v>
          </cell>
        </row>
        <row r="720">
          <cell r="A720" t="str">
            <v>А-04119/АЗ</v>
          </cell>
        </row>
        <row r="721">
          <cell r="A721" t="str">
            <v>А-04328/АЗ</v>
          </cell>
        </row>
        <row r="722">
          <cell r="A722" t="str">
            <v>Т-00030/БЭ</v>
          </cell>
        </row>
        <row r="723">
          <cell r="A723" t="str">
            <v>А-00051/БЭ</v>
          </cell>
        </row>
        <row r="724">
          <cell r="A724" t="str">
            <v>В-00788/АЗ</v>
          </cell>
        </row>
        <row r="725">
          <cell r="A725" t="str">
            <v>А-03565/АЗ</v>
          </cell>
        </row>
        <row r="726">
          <cell r="A726" t="str">
            <v>Т-01404/АЗ</v>
          </cell>
        </row>
        <row r="727">
          <cell r="A727" t="str">
            <v>В-00883/АЗ</v>
          </cell>
        </row>
        <row r="728">
          <cell r="A728" t="str">
            <v>В-02944/КЛ</v>
          </cell>
        </row>
        <row r="729">
          <cell r="A729" t="str">
            <v>В-01072/КЛ</v>
          </cell>
        </row>
        <row r="730">
          <cell r="A730" t="str">
            <v>В-03615/КЛ</v>
          </cell>
        </row>
        <row r="731">
          <cell r="A731" t="str">
            <v xml:space="preserve">А-00386/КЭ </v>
          </cell>
        </row>
        <row r="732">
          <cell r="A732" t="str">
            <v>В-01526/КЛ</v>
          </cell>
        </row>
        <row r="733">
          <cell r="A733" t="str">
            <v>В-00932/АЗ</v>
          </cell>
        </row>
        <row r="734">
          <cell r="A734" t="str">
            <v xml:space="preserve">В-00608/АЗ </v>
          </cell>
        </row>
        <row r="735">
          <cell r="A735" t="str">
            <v xml:space="preserve">Т-01722/АЗ </v>
          </cell>
        </row>
        <row r="736">
          <cell r="A736" t="str">
            <v>В-02026/КЛ</v>
          </cell>
        </row>
        <row r="737">
          <cell r="A737" t="str">
            <v>В-03672/КЛ</v>
          </cell>
        </row>
        <row r="738">
          <cell r="A738" t="str">
            <v>Т-01797/АЗ</v>
          </cell>
        </row>
        <row r="739">
          <cell r="A739" t="str">
            <v>А-05332/АЗ</v>
          </cell>
        </row>
        <row r="740">
          <cell r="A740" t="str">
            <v>В-01422/КЛ</v>
          </cell>
        </row>
        <row r="741">
          <cell r="A741" t="str">
            <v>В-00478/КЛ</v>
          </cell>
        </row>
        <row r="742">
          <cell r="A742" t="str">
            <v>В-00256/КЛ</v>
          </cell>
        </row>
        <row r="743">
          <cell r="A743" t="str">
            <v>В-00603/КЛ</v>
          </cell>
        </row>
        <row r="744">
          <cell r="A744" t="str">
            <v>Т-01798/АЗ</v>
          </cell>
        </row>
        <row r="745">
          <cell r="A745" t="str">
            <v>А-05334/АЗ</v>
          </cell>
        </row>
        <row r="746">
          <cell r="A746" t="str">
            <v>В-08042/КЛ</v>
          </cell>
        </row>
        <row r="747">
          <cell r="A747" t="str">
            <v>В-07240/КЛ</v>
          </cell>
        </row>
        <row r="748">
          <cell r="A748" t="str">
            <v>В-05290/КЛ</v>
          </cell>
        </row>
        <row r="749">
          <cell r="A749" t="str">
            <v>В-00662/АЗ</v>
          </cell>
        </row>
        <row r="750">
          <cell r="A750" t="str">
            <v>В-03277/КЛ</v>
          </cell>
        </row>
        <row r="751">
          <cell r="A751" t="str">
            <v>В-00774/АЗ</v>
          </cell>
        </row>
        <row r="752">
          <cell r="A752" t="str">
            <v>В-00673/АЗ</v>
          </cell>
        </row>
        <row r="753">
          <cell r="A753" t="str">
            <v>Т-01809/АЗ</v>
          </cell>
        </row>
        <row r="754">
          <cell r="A754" t="str">
            <v>В-03114/КЛ</v>
          </cell>
        </row>
        <row r="755">
          <cell r="A755" t="str">
            <v>В-00593/АЗ</v>
          </cell>
        </row>
        <row r="756">
          <cell r="A756" t="str">
            <v>А-05009/АЗ</v>
          </cell>
        </row>
        <row r="757">
          <cell r="A757" t="str">
            <v>А-00328/КЭ</v>
          </cell>
        </row>
        <row r="758">
          <cell r="A758" t="str">
            <v>В-00183/КЛ</v>
          </cell>
        </row>
        <row r="759">
          <cell r="A759" t="str">
            <v>В-03846/КЛ</v>
          </cell>
        </row>
        <row r="760">
          <cell r="A760" t="str">
            <v>А-05166/АЗ</v>
          </cell>
        </row>
        <row r="761">
          <cell r="A761" t="str">
            <v>В-00573/АЗ</v>
          </cell>
        </row>
        <row r="762">
          <cell r="A762" t="str">
            <v>А-10099/КЭ</v>
          </cell>
        </row>
        <row r="763">
          <cell r="A763" t="str">
            <v>А-10098/КЭ</v>
          </cell>
        </row>
        <row r="764">
          <cell r="A764" t="str">
            <v>В-01642/КЛ</v>
          </cell>
        </row>
        <row r="765">
          <cell r="A765" t="str">
            <v>В-01035/КЛ</v>
          </cell>
        </row>
        <row r="766">
          <cell r="A766" t="str">
            <v>А-04171/АЗ</v>
          </cell>
        </row>
        <row r="767">
          <cell r="A767" t="str">
            <v>Т-01841/АЗ_Т-20200626/Ц</v>
          </cell>
        </row>
        <row r="768">
          <cell r="A768" t="str">
            <v>В-00884/КЛ</v>
          </cell>
        </row>
        <row r="769">
          <cell r="A769" t="str">
            <v>В-00762/АЗ</v>
          </cell>
        </row>
        <row r="770">
          <cell r="A770" t="str">
            <v>В-00581/АЗ</v>
          </cell>
        </row>
        <row r="771">
          <cell r="A771" t="str">
            <v>В-03129/КЛ</v>
          </cell>
        </row>
        <row r="772">
          <cell r="A772" t="str">
            <v>В-01987/КЛ</v>
          </cell>
        </row>
        <row r="773">
          <cell r="A773" t="str">
            <v>В-00565/АЗ</v>
          </cell>
        </row>
        <row r="774">
          <cell r="A774" t="str">
            <v>В-00547/АЗ</v>
          </cell>
        </row>
        <row r="775">
          <cell r="A775" t="str">
            <v>В-02186/КЛ</v>
          </cell>
        </row>
        <row r="776">
          <cell r="A776" t="str">
            <v>Т-01612/АЗ</v>
          </cell>
        </row>
        <row r="777">
          <cell r="A777" t="str">
            <v>А-04501/АЗ</v>
          </cell>
        </row>
        <row r="778">
          <cell r="A778" t="str">
            <v>В-00648/АЗ</v>
          </cell>
        </row>
        <row r="779">
          <cell r="A779" t="str">
            <v>В-01227/КЛ</v>
          </cell>
        </row>
        <row r="780">
          <cell r="A780" t="str">
            <v>В-00927/АЗ</v>
          </cell>
        </row>
        <row r="781">
          <cell r="A781" t="str">
            <v>В-00614/АЗ</v>
          </cell>
        </row>
        <row r="782">
          <cell r="A782" t="str">
            <v>В-00911/АЗ</v>
          </cell>
        </row>
        <row r="783">
          <cell r="A783" t="str">
            <v>А-00403/КЭ</v>
          </cell>
        </row>
        <row r="784">
          <cell r="A784" t="str">
            <v>А-00343/КЭ</v>
          </cell>
        </row>
        <row r="785">
          <cell r="A785" t="str">
            <v>В-00557/АЗ</v>
          </cell>
        </row>
        <row r="786">
          <cell r="A786" t="str">
            <v>Т-01631/АЗ</v>
          </cell>
        </row>
        <row r="787">
          <cell r="A787" t="str">
            <v>А-04628/АЗ</v>
          </cell>
        </row>
        <row r="788">
          <cell r="A788" t="str">
            <v>В-03463/КЛ</v>
          </cell>
        </row>
        <row r="789">
          <cell r="A789" t="str">
            <v>В-03741/КЛ</v>
          </cell>
        </row>
        <row r="790">
          <cell r="A790" t="str">
            <v>В-00819/АЗ</v>
          </cell>
        </row>
        <row r="791">
          <cell r="A791" t="str">
            <v>А-04793/АЗ</v>
          </cell>
        </row>
        <row r="792">
          <cell r="A792" t="str">
            <v>В-00840/АЗ</v>
          </cell>
        </row>
        <row r="793">
          <cell r="A793" t="str">
            <v>А-10092/КЭ</v>
          </cell>
        </row>
        <row r="794">
          <cell r="A794" t="str">
            <v>В-00710/АЗ</v>
          </cell>
        </row>
        <row r="795">
          <cell r="A795" t="str">
            <v>В-01319/КЛ</v>
          </cell>
        </row>
        <row r="796">
          <cell r="A796" t="str">
            <v>В-00635/АЗ</v>
          </cell>
        </row>
        <row r="797">
          <cell r="A797" t="str">
            <v>А-00429/КЭ</v>
          </cell>
        </row>
        <row r="798">
          <cell r="A798" t="str">
            <v>В-03749/КЛ</v>
          </cell>
        </row>
        <row r="799">
          <cell r="A799" t="str">
            <v>В-03155/КЛ</v>
          </cell>
        </row>
        <row r="800">
          <cell r="A800" t="str">
            <v>В-01428/КЛ</v>
          </cell>
        </row>
        <row r="801">
          <cell r="A801" t="str">
            <v>В-00553/АЗ</v>
          </cell>
        </row>
        <row r="802">
          <cell r="A802" t="str">
            <v>В-00847/АЗ</v>
          </cell>
        </row>
        <row r="803">
          <cell r="A803" t="str">
            <v>В-00610/АЗ</v>
          </cell>
        </row>
        <row r="804">
          <cell r="A804" t="str">
            <v>В-03738/КЛ</v>
          </cell>
        </row>
        <row r="805">
          <cell r="A805" t="str">
            <v>В-00046/АЗ</v>
          </cell>
        </row>
        <row r="806">
          <cell r="A806" t="str">
            <v>В-02105/КЛ</v>
          </cell>
        </row>
        <row r="807">
          <cell r="A807" t="str">
            <v>В-03543/КЛ</v>
          </cell>
        </row>
        <row r="808">
          <cell r="A808" t="str">
            <v>В-00254/АЗ</v>
          </cell>
        </row>
        <row r="809">
          <cell r="A809" t="str">
            <v>В-04357/КЛ</v>
          </cell>
        </row>
        <row r="810">
          <cell r="A810" t="str">
            <v>В-02500/КЛ</v>
          </cell>
        </row>
        <row r="811">
          <cell r="A811" t="str">
            <v>В-00219/АЗ</v>
          </cell>
        </row>
        <row r="812">
          <cell r="A812" t="str">
            <v>В-00291/АЗ</v>
          </cell>
        </row>
        <row r="813">
          <cell r="A813" t="str">
            <v>В-00726/АЗ</v>
          </cell>
        </row>
        <row r="814">
          <cell r="A814" t="str">
            <v>В-04159/КЛ</v>
          </cell>
        </row>
        <row r="815">
          <cell r="A815" t="str">
            <v>А-00366/КЭ</v>
          </cell>
        </row>
        <row r="816">
          <cell r="A816" t="str">
            <v>А-00327/КЭ</v>
          </cell>
        </row>
        <row r="817">
          <cell r="A817" t="str">
            <v>А-04751/АЗ</v>
          </cell>
        </row>
        <row r="818">
          <cell r="A818" t="str">
            <v>В-03414/КЛ</v>
          </cell>
        </row>
        <row r="819">
          <cell r="A819" t="str">
            <v>В-00272/АЗ</v>
          </cell>
        </row>
        <row r="820">
          <cell r="A820" t="str">
            <v>В-00507/АЗ</v>
          </cell>
        </row>
        <row r="821">
          <cell r="A821" t="str">
            <v>В-03858/КЛ</v>
          </cell>
        </row>
        <row r="822">
          <cell r="A822" t="str">
            <v>В-03960/КЛ</v>
          </cell>
        </row>
        <row r="823">
          <cell r="A823" t="str">
            <v>В-00237/АЗ</v>
          </cell>
        </row>
        <row r="824">
          <cell r="A824" t="str">
            <v>В-03465/КЛ</v>
          </cell>
        </row>
        <row r="825">
          <cell r="A825" t="str">
            <v>В-00566/АЗ</v>
          </cell>
        </row>
        <row r="826">
          <cell r="A826" t="str">
            <v>В-00683/КЛ</v>
          </cell>
        </row>
        <row r="827">
          <cell r="A827" t="str">
            <v>А-10026/БЭ</v>
          </cell>
        </row>
        <row r="828">
          <cell r="A828" t="str">
            <v>В-03758/КЛ</v>
          </cell>
        </row>
        <row r="829">
          <cell r="A829" t="str">
            <v>В-03899/КЛ</v>
          </cell>
        </row>
        <row r="830">
          <cell r="A830" t="str">
            <v>В-00887/АЗ</v>
          </cell>
        </row>
        <row r="831">
          <cell r="A831" t="str">
            <v>В-00835/АЗ</v>
          </cell>
        </row>
        <row r="832">
          <cell r="A832" t="str">
            <v>В-00833/АЗ</v>
          </cell>
        </row>
        <row r="833">
          <cell r="A833" t="str">
            <v>В-00832/АЗ</v>
          </cell>
        </row>
        <row r="834">
          <cell r="A834" t="str">
            <v>В-03686/КЛ</v>
          </cell>
        </row>
        <row r="835">
          <cell r="A835" t="str">
            <v>В-00836/АЗ</v>
          </cell>
        </row>
        <row r="836">
          <cell r="A836" t="str">
            <v>В-00338/АЗ</v>
          </cell>
        </row>
        <row r="837">
          <cell r="A837" t="str">
            <v>В-03413/КЛ</v>
          </cell>
        </row>
        <row r="838">
          <cell r="A838" t="str">
            <v>В-01345/КЛ</v>
          </cell>
        </row>
        <row r="839">
          <cell r="A839" t="str">
            <v>В-00766/АЗ</v>
          </cell>
        </row>
        <row r="840">
          <cell r="A840" t="str">
            <v>А-05291/АЗ</v>
          </cell>
        </row>
        <row r="841">
          <cell r="A841" t="str">
            <v>Т-01847/АЗ</v>
          </cell>
        </row>
        <row r="842">
          <cell r="A842" t="str">
            <v>В-01220/КЛ</v>
          </cell>
        </row>
        <row r="843">
          <cell r="A843" t="str">
            <v>В-00789/АЗ</v>
          </cell>
        </row>
        <row r="844">
          <cell r="A844" t="str">
            <v>А-05431/АЗ</v>
          </cell>
        </row>
        <row r="845">
          <cell r="A845" t="str">
            <v>В-01911/КЛ</v>
          </cell>
        </row>
        <row r="846">
          <cell r="A846" t="str">
            <v>В-00407/АЗ</v>
          </cell>
        </row>
        <row r="847">
          <cell r="A847" t="str">
            <v>В-00690/АЗ</v>
          </cell>
        </row>
        <row r="848">
          <cell r="A848" t="str">
            <v>В-00693/АЗ</v>
          </cell>
        </row>
        <row r="849">
          <cell r="A849" t="str">
            <v>В-00302/КЛ</v>
          </cell>
        </row>
        <row r="850">
          <cell r="A850" t="str">
            <v>А-10066/КЭ</v>
          </cell>
        </row>
        <row r="851">
          <cell r="A851" t="str">
            <v>В-00538/АЗ</v>
          </cell>
        </row>
        <row r="852">
          <cell r="A852" t="str">
            <v>А-04413/АЗ</v>
          </cell>
        </row>
        <row r="853">
          <cell r="A853" t="str">
            <v>Т-01677/АЗ</v>
          </cell>
        </row>
        <row r="854">
          <cell r="A854" t="str">
            <v>Т-01843/АЗ</v>
          </cell>
        </row>
        <row r="855">
          <cell r="A855" t="str">
            <v>А-04356/АЗ</v>
          </cell>
        </row>
        <row r="856">
          <cell r="A856" t="str">
            <v>А-05421/АЗ</v>
          </cell>
        </row>
        <row r="857">
          <cell r="A857" t="str">
            <v>В-00702/АЗ</v>
          </cell>
        </row>
        <row r="858">
          <cell r="A858" t="str">
            <v>А-05088/АЗ</v>
          </cell>
        </row>
        <row r="859">
          <cell r="A859" t="str">
            <v>В-00118/КЛ</v>
          </cell>
        </row>
        <row r="860">
          <cell r="A860" t="str">
            <v>А-30005/КЭ</v>
          </cell>
        </row>
        <row r="861">
          <cell r="A861" t="str">
            <v>В-00865/АЗ</v>
          </cell>
        </row>
        <row r="862">
          <cell r="A862" t="str">
            <v>В-00575/АЗ</v>
          </cell>
        </row>
        <row r="863">
          <cell r="A863" t="str">
            <v>В-03206/КЛ</v>
          </cell>
        </row>
        <row r="864">
          <cell r="A864" t="str">
            <v>В-00818/АЗ</v>
          </cell>
        </row>
        <row r="865">
          <cell r="A865" t="str">
            <v>А-10045/КЭ</v>
          </cell>
        </row>
        <row r="866">
          <cell r="A866" t="str">
            <v>В-01509/КЛ</v>
          </cell>
        </row>
        <row r="867">
          <cell r="A867" t="str">
            <v>В-00706/АЗ</v>
          </cell>
        </row>
        <row r="868">
          <cell r="A868" t="str">
            <v>В-00609/АЗ</v>
          </cell>
        </row>
        <row r="869">
          <cell r="A869" t="str">
            <v>А-05411/АЗ</v>
          </cell>
        </row>
        <row r="870">
          <cell r="A870" t="str">
            <v>А-04223/АЗ</v>
          </cell>
        </row>
        <row r="871">
          <cell r="A871" t="str">
            <v>В-02255/КЛ</v>
          </cell>
        </row>
        <row r="872">
          <cell r="A872" t="str">
            <v>В-01713/КЛ</v>
          </cell>
        </row>
        <row r="873">
          <cell r="A873" t="str">
            <v>В-01562/КЛ</v>
          </cell>
        </row>
        <row r="874">
          <cell r="A874" t="str">
            <v>В-00249/АЗ</v>
          </cell>
        </row>
        <row r="875">
          <cell r="A875" t="str">
            <v>В-01768/КЛ</v>
          </cell>
        </row>
        <row r="876">
          <cell r="A876" t="str">
            <v>В-01925/КЛ</v>
          </cell>
        </row>
        <row r="877">
          <cell r="A877" t="str">
            <v>В-01528/КЛ</v>
          </cell>
        </row>
        <row r="878">
          <cell r="A878" t="str">
            <v>А-10102/КЭ</v>
          </cell>
        </row>
        <row r="879">
          <cell r="A879" t="str">
            <v>А-05193/АЗ</v>
          </cell>
        </row>
        <row r="880">
          <cell r="A880" t="str">
            <v>В-00598/АЗ</v>
          </cell>
        </row>
        <row r="881">
          <cell r="A881" t="str">
            <v>В-01710/КЛ</v>
          </cell>
        </row>
        <row r="882">
          <cell r="A882" t="str">
            <v>В-00660/АЗ</v>
          </cell>
        </row>
        <row r="883">
          <cell r="A883" t="str">
            <v>А-00058/БЭ</v>
          </cell>
        </row>
        <row r="884">
          <cell r="A884" t="str">
            <v>В-00399/АЗ</v>
          </cell>
        </row>
        <row r="885">
          <cell r="A885" t="str">
            <v>В-00489/КЛ</v>
          </cell>
        </row>
        <row r="886">
          <cell r="A886" t="str">
            <v>А-00049/БЭ</v>
          </cell>
        </row>
        <row r="887">
          <cell r="A887" t="str">
            <v>В-01175/КЛ</v>
          </cell>
        </row>
        <row r="888">
          <cell r="A888" t="str">
            <v>А-00435/КЭ</v>
          </cell>
        </row>
        <row r="889">
          <cell r="A889" t="str">
            <v>А-04670/АЗ</v>
          </cell>
        </row>
        <row r="890">
          <cell r="A890" t="str">
            <v>В-00678/КЛ</v>
          </cell>
        </row>
        <row r="891">
          <cell r="A891" t="str">
            <v>А-05132/АЗ</v>
          </cell>
        </row>
        <row r="892">
          <cell r="A892" t="str">
            <v>В-00820/АЗ</v>
          </cell>
        </row>
        <row r="893">
          <cell r="A893" t="str">
            <v>В-00823/АЗ</v>
          </cell>
        </row>
        <row r="894">
          <cell r="A894" t="str">
            <v>В-00559/АЗ</v>
          </cell>
        </row>
        <row r="895">
          <cell r="A895" t="str">
            <v>А-05372/АЗ</v>
          </cell>
        </row>
        <row r="896">
          <cell r="A896" t="str">
            <v>А-05305/АЗ</v>
          </cell>
        </row>
        <row r="897">
          <cell r="A897" t="str">
            <v>В-02110/КЛ</v>
          </cell>
        </row>
        <row r="898">
          <cell r="A898" t="str">
            <v>А-00255/КЭ</v>
          </cell>
        </row>
        <row r="899">
          <cell r="A899" t="str">
            <v>В-00233/КЛ</v>
          </cell>
        </row>
        <row r="900">
          <cell r="A900" t="str">
            <v>В-00085/АЗ</v>
          </cell>
        </row>
        <row r="901">
          <cell r="A901" t="str">
            <v>А-00433/КЭ</v>
          </cell>
        </row>
        <row r="902">
          <cell r="A902" t="str">
            <v>В-00727/АЗ</v>
          </cell>
        </row>
        <row r="903">
          <cell r="A903" t="str">
            <v>В-00562/АЗ</v>
          </cell>
        </row>
        <row r="904">
          <cell r="A904" t="str">
            <v>А-05435/АЗ</v>
          </cell>
        </row>
        <row r="905">
          <cell r="A905" t="str">
            <v>Т-01790/АЗ</v>
          </cell>
        </row>
        <row r="906">
          <cell r="A906" t="str">
            <v>Каверин Владимир Геннадьевич</v>
          </cell>
        </row>
        <row r="907">
          <cell r="A907" t="str">
            <v>А-05231/АЗ</v>
          </cell>
        </row>
        <row r="908">
          <cell r="A908" t="str">
            <v>В-00948/КЛ</v>
          </cell>
        </row>
        <row r="909">
          <cell r="A909" t="str">
            <v>В-00233/АЗ</v>
          </cell>
        </row>
        <row r="910">
          <cell r="A910" t="str">
            <v>В-01375/КЛ</v>
          </cell>
        </row>
        <row r="911">
          <cell r="A911" t="str">
            <v>В-00586/АЗ</v>
          </cell>
        </row>
        <row r="912">
          <cell r="A912" t="str">
            <v>В-01448/КЛ</v>
          </cell>
        </row>
        <row r="913">
          <cell r="A913" t="str">
            <v>А-00347/КЭ</v>
          </cell>
        </row>
        <row r="914">
          <cell r="A914" t="str">
            <v>А-05157/АЗ</v>
          </cell>
        </row>
        <row r="915">
          <cell r="A915" t="str">
            <v>В-00838/АЗ</v>
          </cell>
        </row>
        <row r="916">
          <cell r="A916" t="str">
            <v>В-00837/АЗ</v>
          </cell>
        </row>
        <row r="917">
          <cell r="A917" t="str">
            <v>В-00522/АЗ</v>
          </cell>
        </row>
        <row r="918">
          <cell r="A918" t="str">
            <v>В-01371/КЛ</v>
          </cell>
        </row>
        <row r="919">
          <cell r="A919" t="str">
            <v>Т-01670/АЗ</v>
          </cell>
        </row>
        <row r="920">
          <cell r="A920" t="str">
            <v>А-04787/АЗ</v>
          </cell>
        </row>
        <row r="921">
          <cell r="A921" t="str">
            <v>В-00038/АЗ</v>
          </cell>
        </row>
        <row r="922">
          <cell r="A922" t="str">
            <v>А-05101/АЗ</v>
          </cell>
        </row>
        <row r="923">
          <cell r="A923" t="str">
            <v>В-00497/АЗ</v>
          </cell>
        </row>
        <row r="924">
          <cell r="A924" t="str">
            <v>А-10090/КЭ</v>
          </cell>
        </row>
        <row r="925">
          <cell r="A925" t="str">
            <v>А-05170/АЗ</v>
          </cell>
        </row>
        <row r="926">
          <cell r="A926" t="str">
            <v>В-00286/АЗ</v>
          </cell>
        </row>
        <row r="927">
          <cell r="A927" t="str">
            <v>А-05337/АЗ</v>
          </cell>
        </row>
        <row r="928">
          <cell r="A928" t="str">
            <v>В-00264/АЗ</v>
          </cell>
        </row>
        <row r="929">
          <cell r="A929" t="str">
            <v>В-00643/АЗ</v>
          </cell>
        </row>
        <row r="930">
          <cell r="A930" t="str">
            <v>В-00650/АЗ</v>
          </cell>
        </row>
        <row r="931">
          <cell r="A931" t="str">
            <v>В-01023/КЛ</v>
          </cell>
        </row>
        <row r="932">
          <cell r="A932" t="str">
            <v>В-00094/КЛ</v>
          </cell>
        </row>
        <row r="933">
          <cell r="A933" t="str">
            <v>В-01055/КЛ</v>
          </cell>
        </row>
        <row r="934">
          <cell r="A934" t="str">
            <v>В-00339/КЛ</v>
          </cell>
        </row>
        <row r="935">
          <cell r="A935" t="str">
            <v>В-00489/АЗ</v>
          </cell>
        </row>
        <row r="936">
          <cell r="A936" t="str">
            <v>В-00223/КЛ</v>
          </cell>
        </row>
        <row r="937">
          <cell r="A937" t="str">
            <v>В-00986/КЛ</v>
          </cell>
        </row>
        <row r="938">
          <cell r="A938" t="str">
            <v>В-00182/КЛ</v>
          </cell>
        </row>
        <row r="939">
          <cell r="A939" t="str">
            <v>А-05225/АЗ</v>
          </cell>
        </row>
        <row r="940">
          <cell r="A940" t="str">
            <v>В-00617/АЗ</v>
          </cell>
        </row>
        <row r="941">
          <cell r="A941" t="str">
            <v>А-03641/АЗ</v>
          </cell>
        </row>
        <row r="942">
          <cell r="A942" t="str">
            <v>В-00391/АЗ</v>
          </cell>
        </row>
        <row r="943">
          <cell r="A943" t="str">
            <v>А-00389/КЭ</v>
          </cell>
        </row>
        <row r="944">
          <cell r="A944" t="str">
            <v>А-00309/КЭ</v>
          </cell>
        </row>
        <row r="945">
          <cell r="A945" t="str">
            <v>А-00281/КЭ</v>
          </cell>
        </row>
        <row r="946">
          <cell r="A946" t="str">
            <v>А-05282/АЗ</v>
          </cell>
        </row>
        <row r="947">
          <cell r="A947" t="str">
            <v>В-00103/КЛ</v>
          </cell>
        </row>
        <row r="948">
          <cell r="A948" t="str">
            <v>А-04397/АЗ</v>
          </cell>
        </row>
        <row r="949">
          <cell r="A949" t="str">
            <v>В-00463/КЛ</v>
          </cell>
        </row>
        <row r="950">
          <cell r="A950" t="str">
            <v>В-00536/АЗ</v>
          </cell>
        </row>
        <row r="951">
          <cell r="A951" t="str">
            <v>В-00514/АЗ</v>
          </cell>
        </row>
        <row r="952">
          <cell r="A952" t="str">
            <v>А-05139/АЗ</v>
          </cell>
        </row>
        <row r="953">
          <cell r="A953" t="str">
            <v>А-00410/КЭ</v>
          </cell>
        </row>
        <row r="954">
          <cell r="A954" t="str">
            <v>В-00428/АЗ</v>
          </cell>
        </row>
        <row r="955">
          <cell r="A955" t="str">
            <v>В-00395/АЗ</v>
          </cell>
        </row>
        <row r="956">
          <cell r="A956" t="str">
            <v>А-04742/АЗ</v>
          </cell>
        </row>
        <row r="957">
          <cell r="A957" t="str">
            <v>А-05338/АЗ</v>
          </cell>
        </row>
        <row r="958">
          <cell r="A958" t="str">
            <v>В-00450/АЗ</v>
          </cell>
        </row>
        <row r="959">
          <cell r="A959" t="str">
            <v>В-00175/АЗ</v>
          </cell>
        </row>
        <row r="960">
          <cell r="A960" t="str">
            <v>В-00263/АЗ</v>
          </cell>
        </row>
        <row r="961">
          <cell r="A961" t="str">
            <v>В-00638/АЗ</v>
          </cell>
        </row>
        <row r="962">
          <cell r="A962" t="str">
            <v>В-00622/АЗ</v>
          </cell>
        </row>
        <row r="963">
          <cell r="A963" t="str">
            <v>А-10024/БЭ</v>
          </cell>
        </row>
        <row r="964">
          <cell r="A964" t="str">
            <v>В-00947/КЛ</v>
          </cell>
        </row>
        <row r="965">
          <cell r="A965" t="str">
            <v>А-05349/АЗ</v>
          </cell>
        </row>
        <row r="966">
          <cell r="A966" t="str">
            <v>В-00079/АЗ</v>
          </cell>
        </row>
        <row r="967">
          <cell r="A967" t="str">
            <v>В-00404/АЗ</v>
          </cell>
        </row>
        <row r="968">
          <cell r="A968" t="str">
            <v>А-05308/АЗ</v>
          </cell>
        </row>
        <row r="969">
          <cell r="A969" t="str">
            <v>В-00411/АЗ</v>
          </cell>
        </row>
        <row r="970">
          <cell r="A970" t="str">
            <v>В-00592/АЗ</v>
          </cell>
        </row>
        <row r="971">
          <cell r="A971" t="str">
            <v>В-00204/АЗ</v>
          </cell>
        </row>
        <row r="972">
          <cell r="A972" t="str">
            <v>В-00271/АЗ</v>
          </cell>
        </row>
        <row r="973">
          <cell r="A973" t="str">
            <v>В-00360/АЗ</v>
          </cell>
        </row>
        <row r="974">
          <cell r="A974" t="str">
            <v>А-04984/АЗ</v>
          </cell>
        </row>
        <row r="975">
          <cell r="A975" t="str">
            <v>Т-01705/АЗ</v>
          </cell>
        </row>
        <row r="976">
          <cell r="A976" t="str">
            <v>Т-01499/АЗ</v>
          </cell>
        </row>
        <row r="977">
          <cell r="A977" t="str">
            <v>А-03951/АЗ</v>
          </cell>
        </row>
        <row r="978">
          <cell r="A978" t="str">
            <v>В-00020/АЗ</v>
          </cell>
        </row>
        <row r="979">
          <cell r="A979" t="str">
            <v>А-04220/АЗ</v>
          </cell>
        </row>
        <row r="980">
          <cell r="A980" t="str">
            <v>В-00320/КЛ</v>
          </cell>
        </row>
        <row r="981">
          <cell r="A981" t="str">
            <v>А-05165/АЗ</v>
          </cell>
        </row>
        <row r="982">
          <cell r="A982" t="str">
            <v>И-00141/АЗ</v>
          </cell>
        </row>
        <row r="983">
          <cell r="A983" t="str">
            <v>А-30002/КЭ</v>
          </cell>
        </row>
        <row r="984">
          <cell r="A984" t="str">
            <v>А-10036/КЭ</v>
          </cell>
        </row>
        <row r="985">
          <cell r="A985" t="str">
            <v>А-05380/АЗ</v>
          </cell>
        </row>
        <row r="986">
          <cell r="A986" t="str">
            <v>Т-01820/АЗ</v>
          </cell>
        </row>
        <row r="987">
          <cell r="A987" t="str">
            <v>В-00457/АЗ</v>
          </cell>
        </row>
        <row r="988">
          <cell r="A988" t="str">
            <v>Т-01799/АЗ</v>
          </cell>
        </row>
        <row r="989">
          <cell r="A989" t="str">
            <v>В-00147/АЗ</v>
          </cell>
        </row>
        <row r="990">
          <cell r="A990" t="str">
            <v>А-05110/АЗ</v>
          </cell>
        </row>
        <row r="991">
          <cell r="A991" t="str">
            <v>А-04950/АЗ</v>
          </cell>
        </row>
        <row r="992">
          <cell r="A992" t="str">
            <v>А-05076/АЗ</v>
          </cell>
        </row>
        <row r="993">
          <cell r="A993" t="str">
            <v>В-00617/КЛ</v>
          </cell>
        </row>
        <row r="994">
          <cell r="A994" t="str">
            <v>В-00141/АЗ</v>
          </cell>
        </row>
        <row r="995">
          <cell r="A995" t="str">
            <v>В-00469/АЗ</v>
          </cell>
        </row>
        <row r="996">
          <cell r="A996" t="str">
            <v>В-00467/АЗ</v>
          </cell>
        </row>
        <row r="997">
          <cell r="A997" t="str">
            <v>В-00267/КЛ</v>
          </cell>
        </row>
        <row r="998">
          <cell r="A998" t="str">
            <v>В-00357/АЗ</v>
          </cell>
        </row>
        <row r="999">
          <cell r="A999" t="str">
            <v>Т-01774/АЗ</v>
          </cell>
        </row>
        <row r="1000">
          <cell r="A1000" t="str">
            <v>В-00398/АЗ</v>
          </cell>
        </row>
        <row r="1001">
          <cell r="A1001" t="str">
            <v>Т-01725/АЗ</v>
          </cell>
        </row>
        <row r="1002">
          <cell r="A1002" t="str">
            <v>А-05377/АЗ</v>
          </cell>
        </row>
        <row r="1003">
          <cell r="A1003" t="str">
            <v>В-00434/АЗ</v>
          </cell>
        </row>
        <row r="1004">
          <cell r="A1004" t="str">
            <v>А-04901/АЗ</v>
          </cell>
        </row>
        <row r="1005">
          <cell r="A1005" t="str">
            <v>А-05245/АЗ</v>
          </cell>
        </row>
        <row r="1006">
          <cell r="A1006" t="str">
            <v>В-00043/КЛ</v>
          </cell>
        </row>
        <row r="1007">
          <cell r="A1007" t="str">
            <v>В-00201/АЗ</v>
          </cell>
        </row>
        <row r="1008">
          <cell r="A1008" t="str">
            <v>А-04910/АЗ</v>
          </cell>
        </row>
        <row r="1009">
          <cell r="A1009" t="str">
            <v>А-10039/КЭ</v>
          </cell>
        </row>
        <row r="1010">
          <cell r="A1010" t="str">
            <v>А-00363/КЭ</v>
          </cell>
        </row>
        <row r="1011">
          <cell r="A1011" t="str">
            <v>А-05178/АЗ</v>
          </cell>
        </row>
        <row r="1012">
          <cell r="A1012" t="str">
            <v>Т-01750/АЗ</v>
          </cell>
        </row>
        <row r="1013">
          <cell r="A1013" t="str">
            <v>А-00375/КЭ</v>
          </cell>
        </row>
        <row r="1014">
          <cell r="A1014" t="str">
            <v>В-00763/КЛ</v>
          </cell>
        </row>
        <row r="1015">
          <cell r="A1015" t="str">
            <v>А-00257/КЭ</v>
          </cell>
        </row>
        <row r="1016">
          <cell r="A1016" t="str">
            <v>В-00275/АЗ</v>
          </cell>
        </row>
        <row r="1017">
          <cell r="A1017" t="str">
            <v>В-00326/АЗ</v>
          </cell>
        </row>
        <row r="1018">
          <cell r="A1018" t="str">
            <v>В-00169/АЗ</v>
          </cell>
        </row>
        <row r="1019">
          <cell r="A1019" t="str">
            <v>А-04018/АЗ</v>
          </cell>
        </row>
        <row r="1020">
          <cell r="A1020" t="str">
            <v>А-04641/АЗ</v>
          </cell>
        </row>
        <row r="1021">
          <cell r="A1021" t="str">
            <v>В-00135/АЗ</v>
          </cell>
        </row>
        <row r="1022">
          <cell r="A1022" t="str">
            <v>А-04404/АЗ</v>
          </cell>
        </row>
        <row r="1023">
          <cell r="A1023" t="str">
            <v>А-03870/АЗ</v>
          </cell>
        </row>
        <row r="1024">
          <cell r="A1024" t="str">
            <v>В-00039/АЗ</v>
          </cell>
        </row>
        <row r="1025">
          <cell r="A1025" t="str">
            <v>А-10032/КЭ</v>
          </cell>
        </row>
        <row r="1026">
          <cell r="A1026" t="str">
            <v>Т-01540/АЗ</v>
          </cell>
        </row>
        <row r="1027">
          <cell r="A1027" t="str">
            <v>А-04160/АЗ</v>
          </cell>
        </row>
        <row r="1028">
          <cell r="A1028" t="str">
            <v>В-00100/АЗ</v>
          </cell>
        </row>
        <row r="1029">
          <cell r="A1029" t="str">
            <v>В-00308/АЗ</v>
          </cell>
        </row>
        <row r="1030">
          <cell r="A1030" t="str">
            <v>А-04953/АЗ</v>
          </cell>
        </row>
        <row r="1031">
          <cell r="A1031" t="str">
            <v>А-00357/КЭ</v>
          </cell>
        </row>
        <row r="1032">
          <cell r="A1032" t="str">
            <v>В-00040/АЗ</v>
          </cell>
        </row>
        <row r="1033">
          <cell r="A1033" t="str">
            <v>Т-01646/АЗ</v>
          </cell>
        </row>
        <row r="1034">
          <cell r="A1034" t="str">
            <v>А-04684/АЗ</v>
          </cell>
        </row>
        <row r="1035">
          <cell r="A1035" t="str">
            <v>А-04958/АЗ</v>
          </cell>
        </row>
        <row r="1036">
          <cell r="A1036" t="str">
            <v>А-04914/АЗ</v>
          </cell>
        </row>
        <row r="1037">
          <cell r="A1037" t="str">
            <v>Т-01718/АЗ</v>
          </cell>
        </row>
        <row r="1038">
          <cell r="A1038" t="str">
            <v>А-04943/АЗ</v>
          </cell>
        </row>
        <row r="1039">
          <cell r="A1039" t="str">
            <v>Т-01706/АЗ</v>
          </cell>
        </row>
        <row r="1040">
          <cell r="A1040" t="str">
            <v>А-04674/АЗ</v>
          </cell>
        </row>
        <row r="1041">
          <cell r="A1041" t="str">
            <v>В-00041/АЗ</v>
          </cell>
        </row>
        <row r="1042">
          <cell r="A1042" t="str">
            <v>Т-01610/АЗ</v>
          </cell>
        </row>
        <row r="1043">
          <cell r="A1043" t="str">
            <v>А-04490/АЗ</v>
          </cell>
        </row>
        <row r="1044">
          <cell r="A1044" t="str">
            <v>В-00151/АЗ</v>
          </cell>
        </row>
        <row r="1045">
          <cell r="A1045" t="str">
            <v>В-00161/АЗ</v>
          </cell>
        </row>
        <row r="1046">
          <cell r="A1046" t="str">
            <v>А-05138/АЗ</v>
          </cell>
        </row>
        <row r="1047">
          <cell r="A1047" t="str">
            <v>А-05130/АЗ</v>
          </cell>
        </row>
        <row r="1048">
          <cell r="A1048" t="str">
            <v>В-00018/АЗ</v>
          </cell>
        </row>
        <row r="1049">
          <cell r="A1049" t="str">
            <v>А-10020/КЭ</v>
          </cell>
        </row>
        <row r="1050">
          <cell r="A1050" t="str">
            <v>В-00065/АЗ</v>
          </cell>
        </row>
        <row r="1051">
          <cell r="A1051" t="str">
            <v>И-00154/АЗ</v>
          </cell>
        </row>
        <row r="1052">
          <cell r="A1052" t="str">
            <v>В-00073/АЗ</v>
          </cell>
        </row>
        <row r="1053">
          <cell r="A1053" t="str">
            <v>А-10087/КЭ</v>
          </cell>
        </row>
        <row r="1054">
          <cell r="A1054" t="str">
            <v>А-05335/АЗ</v>
          </cell>
        </row>
        <row r="1055">
          <cell r="A1055" t="str">
            <v>В-00243/АЗ</v>
          </cell>
        </row>
        <row r="1056">
          <cell r="A1056" t="str">
            <v>А-05100/АЗ</v>
          </cell>
        </row>
        <row r="1057">
          <cell r="A1057" t="str">
            <v>А-05159/АЗ</v>
          </cell>
        </row>
        <row r="1058">
          <cell r="A1058" t="str">
            <v>А-05031/АЗ</v>
          </cell>
        </row>
        <row r="1059">
          <cell r="A1059" t="str">
            <v>А-04601/АЗ</v>
          </cell>
        </row>
        <row r="1060">
          <cell r="A1060" t="str">
            <v>В-00052/АЗ</v>
          </cell>
        </row>
        <row r="1061">
          <cell r="A1061" t="str">
            <v>А-03933/АЗ</v>
          </cell>
        </row>
        <row r="1062">
          <cell r="A1062" t="str">
            <v>А-04868/АЗ</v>
          </cell>
        </row>
        <row r="1063">
          <cell r="A1063" t="str">
            <v>А-04352/АЗ</v>
          </cell>
        </row>
        <row r="1064">
          <cell r="A1064" t="str">
            <v>А-05137/АЗ</v>
          </cell>
        </row>
        <row r="1065">
          <cell r="A1065" t="str">
            <v>А-04802/АЗ</v>
          </cell>
        </row>
        <row r="1066">
          <cell r="A1066" t="str">
            <v>Т-01805/АЗ</v>
          </cell>
        </row>
        <row r="1067">
          <cell r="A1067" t="str">
            <v>А-05346/АЗ</v>
          </cell>
        </row>
        <row r="1068">
          <cell r="A1068" t="str">
            <v>А-00268/КЭ</v>
          </cell>
        </row>
        <row r="1069">
          <cell r="A1069" t="str">
            <v>А-10063/КЭ</v>
          </cell>
        </row>
        <row r="1070">
          <cell r="A1070" t="str">
            <v>А-05123/АЗ</v>
          </cell>
        </row>
        <row r="1071">
          <cell r="A1071" t="str">
            <v>А-05230/АЗ</v>
          </cell>
        </row>
        <row r="1072">
          <cell r="A1072" t="str">
            <v>И-00163/АЗ</v>
          </cell>
        </row>
        <row r="1073">
          <cell r="A1073" t="str">
            <v>Т-01642/АЗ</v>
          </cell>
        </row>
        <row r="1074">
          <cell r="A1074" t="str">
            <v>А-04668/АЗ</v>
          </cell>
        </row>
        <row r="1075">
          <cell r="A1075" t="str">
            <v>А-05208/АЗ</v>
          </cell>
        </row>
        <row r="1076">
          <cell r="A1076" t="str">
            <v>Т-01758/АЗ</v>
          </cell>
        </row>
        <row r="1077">
          <cell r="A1077" t="str">
            <v>А-04925/АЗ</v>
          </cell>
        </row>
        <row r="1078">
          <cell r="A1078" t="str">
            <v>А-05074/АЗ</v>
          </cell>
        </row>
        <row r="1079">
          <cell r="A1079" t="str">
            <v>Т-01720/АЗ</v>
          </cell>
        </row>
        <row r="1080">
          <cell r="A1080" t="str">
            <v>Т-01524/АЗ</v>
          </cell>
        </row>
        <row r="1081">
          <cell r="A1081" t="str">
            <v>А-04089/АЗ</v>
          </cell>
        </row>
        <row r="1082">
          <cell r="A1082" t="str">
            <v>А-04323/АЗ</v>
          </cell>
        </row>
        <row r="1083">
          <cell r="A1083" t="str">
            <v>А-05195/АЗ</v>
          </cell>
        </row>
        <row r="1084">
          <cell r="A1084" t="str">
            <v>Т-01754/АЗ</v>
          </cell>
        </row>
        <row r="1085">
          <cell r="A1085" t="str">
            <v>А-04735/АЗ</v>
          </cell>
        </row>
        <row r="1086">
          <cell r="A1086" t="str">
            <v>И-00170/АЗ</v>
          </cell>
        </row>
        <row r="1087">
          <cell r="A1087" t="str">
            <v>А-05073/АЗ</v>
          </cell>
        </row>
        <row r="1088">
          <cell r="A1088" t="str">
            <v>А-04962/АЗ</v>
          </cell>
        </row>
        <row r="1089">
          <cell r="A1089" t="str">
            <v>А-04842/АЗ</v>
          </cell>
        </row>
        <row r="1090">
          <cell r="A1090" t="str">
            <v>А-05198/АЗ</v>
          </cell>
        </row>
        <row r="1091">
          <cell r="A1091" t="str">
            <v>А-04593/АЗ</v>
          </cell>
        </row>
        <row r="1092">
          <cell r="A1092" t="str">
            <v>А-10019/БЭ</v>
          </cell>
        </row>
        <row r="1093">
          <cell r="A1093" t="str">
            <v>А-00019/ИЗ</v>
          </cell>
        </row>
        <row r="1094">
          <cell r="A1094" t="str">
            <v>А-04818/АЗ</v>
          </cell>
        </row>
        <row r="1095">
          <cell r="A1095" t="str">
            <v>А-04193/АЗ</v>
          </cell>
        </row>
        <row r="1096">
          <cell r="A1096" t="str">
            <v>А-04805/АЗ</v>
          </cell>
        </row>
        <row r="1097">
          <cell r="A1097" t="str">
            <v>А-05087/АЗ</v>
          </cell>
        </row>
        <row r="1098">
          <cell r="A1098" t="str">
            <v>Т-01724/АЗ</v>
          </cell>
        </row>
        <row r="1099">
          <cell r="A1099" t="str">
            <v>А-04676/АЗ</v>
          </cell>
        </row>
        <row r="1100">
          <cell r="A1100" t="str">
            <v>Т-10005/БЭ</v>
          </cell>
        </row>
        <row r="1101">
          <cell r="A1101" t="str">
            <v>И-00097/АЗ</v>
          </cell>
        </row>
        <row r="1102">
          <cell r="A1102" t="str">
            <v>А-05048/АЗ</v>
          </cell>
        </row>
        <row r="1103">
          <cell r="A1103" t="str">
            <v>Т-01716/АЗ</v>
          </cell>
        </row>
        <row r="1104">
          <cell r="A1104" t="str">
            <v>А-05114/АЗ</v>
          </cell>
        </row>
        <row r="1105">
          <cell r="A1105" t="str">
            <v>А-04070/АЗ</v>
          </cell>
        </row>
        <row r="1106">
          <cell r="A1106" t="str">
            <v>А-04535/АЗ</v>
          </cell>
        </row>
        <row r="1107">
          <cell r="A1107" t="str">
            <v>Т-01707/АЗ</v>
          </cell>
        </row>
        <row r="1108">
          <cell r="A1108" t="str">
            <v>А-30001/КЭ</v>
          </cell>
        </row>
        <row r="1109">
          <cell r="A1109" t="str">
            <v>А-04237/АЗ</v>
          </cell>
        </row>
        <row r="1110">
          <cell r="A1110" t="str">
            <v>А-04329/АЗ</v>
          </cell>
        </row>
        <row r="1111">
          <cell r="A1111" t="str">
            <v>Т-01775/АЗ</v>
          </cell>
        </row>
        <row r="1112">
          <cell r="A1112" t="str">
            <v>А-05285/АЗ</v>
          </cell>
        </row>
        <row r="1113">
          <cell r="A1113" t="str">
            <v>А-00217/КЭ</v>
          </cell>
        </row>
        <row r="1114">
          <cell r="A1114" t="str">
            <v>Т-01672/АЗ</v>
          </cell>
        </row>
        <row r="1115">
          <cell r="A1115" t="str">
            <v>А-04027/АЗ</v>
          </cell>
        </row>
        <row r="1116">
          <cell r="A1116" t="str">
            <v>А-04829/АЗ</v>
          </cell>
        </row>
        <row r="1117">
          <cell r="A1117" t="str">
            <v>А-00346/КЭ</v>
          </cell>
        </row>
        <row r="1118">
          <cell r="A1118" t="str">
            <v>А-10050/КЭ</v>
          </cell>
        </row>
        <row r="1119">
          <cell r="A1119" t="str">
            <v>А-00229/КЭ</v>
          </cell>
        </row>
        <row r="1120">
          <cell r="A1120" t="str">
            <v>Т-01572/АЗ</v>
          </cell>
        </row>
        <row r="1121">
          <cell r="A1121" t="str">
            <v>Т-01571/АЗ</v>
          </cell>
        </row>
        <row r="1122">
          <cell r="A1122" t="str">
            <v>А-04281/АЗ</v>
          </cell>
        </row>
        <row r="1123">
          <cell r="A1123" t="str">
            <v>А-04282/АЗ</v>
          </cell>
        </row>
        <row r="1124">
          <cell r="A1124" t="str">
            <v>А-05006/АЗ</v>
          </cell>
        </row>
        <row r="1125">
          <cell r="A1125" t="str">
            <v>А-05160/АЗ</v>
          </cell>
        </row>
        <row r="1126">
          <cell r="A1126" t="str">
            <v>А-04815/АЗ</v>
          </cell>
        </row>
        <row r="1127">
          <cell r="A1127" t="str">
            <v>А-05030/АЗ</v>
          </cell>
        </row>
        <row r="1128">
          <cell r="A1128" t="str">
            <v>А-04701/АЗ</v>
          </cell>
        </row>
        <row r="1129">
          <cell r="A1129" t="str">
            <v>А-04499/АЗ</v>
          </cell>
        </row>
        <row r="1130">
          <cell r="A1130" t="str">
            <v>Т-01611/АЗ</v>
          </cell>
        </row>
        <row r="1131">
          <cell r="A1131" t="str">
            <v>А-04801/АЗ</v>
          </cell>
        </row>
        <row r="1132">
          <cell r="A1132" t="str">
            <v>А-10001/КЭ</v>
          </cell>
        </row>
        <row r="1133">
          <cell r="A1133" t="str">
            <v>А-00274/КЭ</v>
          </cell>
        </row>
        <row r="1134">
          <cell r="A1134" t="str">
            <v>А-04942/АЗ</v>
          </cell>
        </row>
        <row r="1135">
          <cell r="A1135" t="str">
            <v>А-04594/АЗ</v>
          </cell>
        </row>
        <row r="1136">
          <cell r="A1136" t="str">
            <v>А-04167/АЗ</v>
          </cell>
        </row>
        <row r="1137">
          <cell r="A1137" t="str">
            <v>А-04789/АЗ</v>
          </cell>
        </row>
        <row r="1138">
          <cell r="A1138" t="str">
            <v>А-03837/АЗ</v>
          </cell>
        </row>
        <row r="1139">
          <cell r="A1139" t="str">
            <v>А-04236/АЗ</v>
          </cell>
        </row>
        <row r="1140">
          <cell r="A1140" t="str">
            <v>А-04538/АЗ</v>
          </cell>
        </row>
        <row r="1141">
          <cell r="A1141" t="str">
            <v>Т-10002/БЭ</v>
          </cell>
        </row>
        <row r="1142">
          <cell r="A1142" t="str">
            <v>Т-01607/АЗ</v>
          </cell>
        </row>
        <row r="1143">
          <cell r="A1143" t="str">
            <v>А-04355/АЗ</v>
          </cell>
        </row>
        <row r="1144">
          <cell r="A1144" t="str">
            <v>А-04470/АЗ</v>
          </cell>
        </row>
        <row r="1145">
          <cell r="A1145" t="str">
            <v>А-00352/КЭ</v>
          </cell>
        </row>
        <row r="1146">
          <cell r="A1146" t="str">
            <v>А-04681/АЗ</v>
          </cell>
        </row>
        <row r="1147">
          <cell r="A1147" t="str">
            <v>А-04680/АЗ</v>
          </cell>
        </row>
        <row r="1148">
          <cell r="A1148" t="str">
            <v>А-04132/АЗ</v>
          </cell>
        </row>
        <row r="1149">
          <cell r="A1149" t="str">
            <v>А-04888/АЗ</v>
          </cell>
        </row>
        <row r="1150">
          <cell r="A1150" t="str">
            <v>А-03926/АЗ</v>
          </cell>
        </row>
        <row r="1151">
          <cell r="A1151" t="str">
            <v>А-10037/КЭ</v>
          </cell>
        </row>
        <row r="1152">
          <cell r="A1152" t="str">
            <v>А-00305/КЭ</v>
          </cell>
        </row>
        <row r="1153">
          <cell r="A1153" t="str">
            <v>А-04658/АЗ</v>
          </cell>
        </row>
        <row r="1154">
          <cell r="A1154" t="str">
            <v>А-04541/АЗ</v>
          </cell>
        </row>
        <row r="1155">
          <cell r="A1155" t="str">
            <v>Т-01457/АЗ</v>
          </cell>
        </row>
        <row r="1156">
          <cell r="A1156" t="str">
            <v>А-03753/АЗ</v>
          </cell>
        </row>
        <row r="1157">
          <cell r="A1157" t="str">
            <v>А-04117/АЗ</v>
          </cell>
        </row>
        <row r="1158">
          <cell r="A1158" t="str">
            <v>А-04003/АЗ</v>
          </cell>
        </row>
        <row r="1159">
          <cell r="A1159" t="str">
            <v>А-04695/АЗ</v>
          </cell>
        </row>
        <row r="1160">
          <cell r="A1160" t="str">
            <v>И-00125/АЗ</v>
          </cell>
        </row>
        <row r="1161">
          <cell r="A1161" t="str">
            <v>А-04669/АЗ</v>
          </cell>
        </row>
        <row r="1162">
          <cell r="A1162" t="str">
            <v>Т-01643/АЗ</v>
          </cell>
        </row>
        <row r="1163">
          <cell r="A1163" t="str">
            <v>Т-01539/АЗ</v>
          </cell>
        </row>
        <row r="1164">
          <cell r="A1164" t="str">
            <v>А-04156/АЗ</v>
          </cell>
        </row>
        <row r="1165">
          <cell r="A1165" t="str">
            <v>А-04015/АЗ</v>
          </cell>
        </row>
        <row r="1166">
          <cell r="A1166" t="str">
            <v>Т-01510/АЗ</v>
          </cell>
        </row>
        <row r="1167">
          <cell r="A1167" t="str">
            <v>А-00294/КЭ</v>
          </cell>
        </row>
        <row r="1168">
          <cell r="A1168" t="str">
            <v>А-10034/КЭ</v>
          </cell>
        </row>
        <row r="1169">
          <cell r="A1169" t="str">
            <v>А-03749/АЗ</v>
          </cell>
        </row>
        <row r="1170">
          <cell r="A1170" t="str">
            <v>А-03788/АЗ</v>
          </cell>
        </row>
        <row r="1171">
          <cell r="A1171" t="str">
            <v>А-04617/АЗ</v>
          </cell>
        </row>
        <row r="1172">
          <cell r="A1172" t="str">
            <v>А-04771/АЗ</v>
          </cell>
        </row>
        <row r="1173">
          <cell r="A1173" t="str">
            <v>А-03750/АЗ</v>
          </cell>
        </row>
        <row r="1174">
          <cell r="A1174" t="str">
            <v>А-04158/АЗ</v>
          </cell>
        </row>
        <row r="1175">
          <cell r="A1175" t="str">
            <v>А-10016/БЭ</v>
          </cell>
        </row>
        <row r="1176">
          <cell r="A1176" t="str">
            <v>А-03591/АЗ</v>
          </cell>
        </row>
        <row r="1177">
          <cell r="A1177" t="str">
            <v>А-00035/БЭ</v>
          </cell>
        </row>
        <row r="1178">
          <cell r="A1178" t="str">
            <v>А-04548/АЗ</v>
          </cell>
        </row>
        <row r="1179">
          <cell r="A1179" t="str">
            <v>А-00259/КЭ</v>
          </cell>
        </row>
        <row r="1180">
          <cell r="A1180" t="str">
            <v>А-10061/КЭ</v>
          </cell>
        </row>
        <row r="1181">
          <cell r="A1181" t="str">
            <v>А-03768/АЗ</v>
          </cell>
        </row>
        <row r="1182">
          <cell r="A1182" t="str">
            <v>А-10041/КЭ</v>
          </cell>
        </row>
        <row r="1183">
          <cell r="A1183" t="str">
            <v>А-03934/АЗ</v>
          </cell>
        </row>
        <row r="1184">
          <cell r="A1184" t="str">
            <v>А-04173/АЗ</v>
          </cell>
        </row>
        <row r="1185">
          <cell r="A1185" t="str">
            <v>А-03942/АЗ</v>
          </cell>
        </row>
        <row r="1186">
          <cell r="A1186" t="str">
            <v>А-03756/АЗ</v>
          </cell>
        </row>
        <row r="1187">
          <cell r="A1187" t="str">
            <v>А-10047/КЭ</v>
          </cell>
        </row>
        <row r="1188">
          <cell r="A1188" t="str">
            <v>А-04384/АЗ</v>
          </cell>
        </row>
        <row r="1189">
          <cell r="A1189" t="str">
            <v>А-04382/АЗ</v>
          </cell>
        </row>
        <row r="1190">
          <cell r="A1190" t="str">
            <v>А-04275/АЗ</v>
          </cell>
        </row>
        <row r="1191">
          <cell r="A1191" t="str">
            <v>А-04341/АЗ</v>
          </cell>
        </row>
        <row r="1192">
          <cell r="A1192" t="str">
            <v>Т-01585/АЗ</v>
          </cell>
        </row>
        <row r="1193">
          <cell r="A1193" t="str">
            <v>А-04464/АЗ</v>
          </cell>
        </row>
        <row r="1194">
          <cell r="A1194" t="str">
            <v>А-03853/АЗ</v>
          </cell>
        </row>
        <row r="1195">
          <cell r="A1195" t="str">
            <v>А-04151/АЗ</v>
          </cell>
        </row>
        <row r="1196">
          <cell r="A1196" t="str">
            <v>А-03918/АЗ</v>
          </cell>
        </row>
        <row r="1197">
          <cell r="A1197" t="str">
            <v>А-10017/КЭ</v>
          </cell>
        </row>
        <row r="1198">
          <cell r="A1198" t="str">
            <v>А-03511/АЗ</v>
          </cell>
        </row>
        <row r="1199">
          <cell r="A1199" t="str">
            <v>А-00242/КЭ</v>
          </cell>
        </row>
        <row r="1200">
          <cell r="A1200" t="str">
            <v>А-10048/КЭ</v>
          </cell>
        </row>
        <row r="1201">
          <cell r="A1201" t="str">
            <v>А-04206/АЗ</v>
          </cell>
        </row>
        <row r="1202">
          <cell r="A1202" t="str">
            <v>А-00314/КЭ</v>
          </cell>
        </row>
        <row r="1203">
          <cell r="A1203" t="str">
            <v>А-00211/КЭ</v>
          </cell>
        </row>
        <row r="1204">
          <cell r="A1204" t="str">
            <v>А-00165/КЭ</v>
          </cell>
        </row>
        <row r="1205">
          <cell r="A1205" t="str">
            <v>А-04028/АЗ</v>
          </cell>
        </row>
        <row r="1206">
          <cell r="A1206" t="str">
            <v>И-00119/АЗ</v>
          </cell>
        </row>
        <row r="1207">
          <cell r="A1207" t="str">
            <v>А-03544/АЗ</v>
          </cell>
        </row>
        <row r="1208">
          <cell r="A1208" t="str">
            <v>Т-01396/АЗ</v>
          </cell>
        </row>
        <row r="1209">
          <cell r="A1209" t="str">
            <v>А-00006/ИЗ</v>
          </cell>
        </row>
        <row r="1210">
          <cell r="A1210" t="str">
            <v>А-04092/АЗ</v>
          </cell>
        </row>
        <row r="1211">
          <cell r="A1211" t="str">
            <v>А-00230/КЭ</v>
          </cell>
        </row>
        <row r="1212">
          <cell r="A1212" t="str">
            <v>А-10010/БЭ</v>
          </cell>
        </row>
        <row r="1213">
          <cell r="A1213" t="str">
            <v>А-04022/АЗ</v>
          </cell>
        </row>
        <row r="1214">
          <cell r="A1214" t="str">
            <v>А-03980/АЗ</v>
          </cell>
        </row>
        <row r="1215">
          <cell r="A1215" t="str">
            <v>А-04096/АЗ</v>
          </cell>
        </row>
        <row r="1216">
          <cell r="A1216" t="str">
            <v>А-04088/АЗ</v>
          </cell>
        </row>
        <row r="1217">
          <cell r="A1217" t="str">
            <v>А-00169/КЭ</v>
          </cell>
        </row>
        <row r="1218">
          <cell r="A1218" t="str">
            <v>А-00247/КЭ</v>
          </cell>
        </row>
        <row r="1219">
          <cell r="A1219" t="str">
            <v>А-00084/КЭ</v>
          </cell>
        </row>
        <row r="1220">
          <cell r="A1220" t="str">
            <v>А-00254/КЭ</v>
          </cell>
        </row>
        <row r="1221">
          <cell r="A1221" t="str">
            <v>А-00001/БЭ</v>
          </cell>
        </row>
        <row r="1222">
          <cell r="A1222" t="str">
            <v>А-04412/АЗ</v>
          </cell>
        </row>
        <row r="1223">
          <cell r="A1223" t="str">
            <v>Т-01596/АЗ</v>
          </cell>
        </row>
        <row r="1224">
          <cell r="A1224" t="str">
            <v>А-03766/АЗ</v>
          </cell>
        </row>
        <row r="1225">
          <cell r="A1225" t="str">
            <v>А-00029/БЭ</v>
          </cell>
        </row>
        <row r="1226">
          <cell r="A1226" t="str">
            <v>А-04056/АЗ</v>
          </cell>
        </row>
        <row r="1227">
          <cell r="A1227" t="str">
            <v>А-00262/КЭ</v>
          </cell>
        </row>
        <row r="1228">
          <cell r="A1228" t="str">
            <v>Т-10003/БЭ</v>
          </cell>
        </row>
        <row r="1229">
          <cell r="A1229" t="str">
            <v>А-03925/АЗ</v>
          </cell>
        </row>
        <row r="1230">
          <cell r="A1230" t="str">
            <v>А-03444/АЗ</v>
          </cell>
        </row>
        <row r="1231">
          <cell r="A1231" t="str">
            <v>А-00293/КЭ</v>
          </cell>
        </row>
        <row r="1232">
          <cell r="A1232" t="str">
            <v>А-02682/АЗ</v>
          </cell>
        </row>
        <row r="1233">
          <cell r="A1233" t="str">
            <v>А-03792/АЗ</v>
          </cell>
        </row>
        <row r="1234">
          <cell r="A1234" t="str">
            <v>А-03814/АЗ</v>
          </cell>
        </row>
        <row r="1235">
          <cell r="A1235" t="str">
            <v>А-00034/БЭ</v>
          </cell>
        </row>
        <row r="1236">
          <cell r="A1236" t="str">
            <v>А-03822/АЗ</v>
          </cell>
        </row>
        <row r="1237">
          <cell r="A1237" t="str">
            <v>А-03507/АЗ</v>
          </cell>
        </row>
        <row r="1238">
          <cell r="A1238" t="str">
            <v>А-00236/КЭ</v>
          </cell>
        </row>
        <row r="1239">
          <cell r="A1239" t="str">
            <v>А-10004/КЭ</v>
          </cell>
        </row>
        <row r="1240">
          <cell r="A1240" t="str">
            <v>А-10035/КЭ</v>
          </cell>
        </row>
        <row r="1241">
          <cell r="A1241" t="str">
            <v>А-00130/КЭ</v>
          </cell>
        </row>
        <row r="1242">
          <cell r="A1242" t="str">
            <v>А-03437/АЗ</v>
          </cell>
        </row>
        <row r="1243">
          <cell r="A1243" t="str">
            <v>А-00263/КЭ</v>
          </cell>
        </row>
        <row r="1244">
          <cell r="A1244" t="str">
            <v>А-03599/АЗ</v>
          </cell>
        </row>
        <row r="1245">
          <cell r="A1245" t="str">
            <v>А-00289/КЭ</v>
          </cell>
        </row>
        <row r="1246">
          <cell r="A1246" t="str">
            <v>А-03137/АЗ</v>
          </cell>
        </row>
        <row r="1247">
          <cell r="A1247" t="str">
            <v>А-00273/КЭ</v>
          </cell>
        </row>
        <row r="1248">
          <cell r="A1248" t="str">
            <v>А-02821/АЗ</v>
          </cell>
        </row>
        <row r="1249">
          <cell r="A1249" t="str">
            <v>А-00238/КЭ</v>
          </cell>
        </row>
        <row r="1250">
          <cell r="A1250" t="str">
            <v>Т-01236/АЗ</v>
          </cell>
        </row>
        <row r="1251">
          <cell r="A1251" t="str">
            <v>А-02936/АЗ</v>
          </cell>
        </row>
        <row r="1252">
          <cell r="A1252" t="str">
            <v>И-00042/АЗ</v>
          </cell>
        </row>
        <row r="1253">
          <cell r="A1253" t="str">
            <v>А-00160/КЭ</v>
          </cell>
        </row>
        <row r="1254">
          <cell r="A1254" t="str">
            <v>А-00221/КЭ</v>
          </cell>
        </row>
        <row r="1255">
          <cell r="A1255" t="str">
            <v>А-03237/АЗ</v>
          </cell>
        </row>
        <row r="1256">
          <cell r="A1256" t="str">
            <v>А-10007/КЭ</v>
          </cell>
        </row>
        <row r="1257">
          <cell r="A1257" t="str">
            <v>А-20003/КЭ</v>
          </cell>
        </row>
        <row r="1258">
          <cell r="A1258" t="str">
            <v>А-00210/КЭ</v>
          </cell>
        </row>
        <row r="1259">
          <cell r="A1259" t="str">
            <v>А-03342/АЗ</v>
          </cell>
        </row>
        <row r="1260">
          <cell r="A1260" t="str">
            <v>А-00195/КЭ</v>
          </cell>
        </row>
        <row r="1261">
          <cell r="A1261" t="str">
            <v>Т-01078/АЗ</v>
          </cell>
        </row>
        <row r="1262">
          <cell r="A1262" t="str">
            <v>А-00245/КЭ</v>
          </cell>
        </row>
        <row r="1263">
          <cell r="A1263" t="str">
            <v>А-00192/КЭ</v>
          </cell>
        </row>
        <row r="1264">
          <cell r="A1264" t="str">
            <v>А-02655/АЗ</v>
          </cell>
        </row>
        <row r="1265">
          <cell r="A1265" t="str">
            <v>А-02957/АЗ</v>
          </cell>
        </row>
        <row r="1266">
          <cell r="A1266" t="str">
            <v>А-10005/КЭ</v>
          </cell>
        </row>
        <row r="1267">
          <cell r="A1267" t="str">
            <v>А-03153/АЗ</v>
          </cell>
        </row>
        <row r="1268">
          <cell r="A1268" t="str">
            <v>А-00107/КЭ</v>
          </cell>
        </row>
        <row r="1269">
          <cell r="A1269" t="str">
            <v>А-00149/КЭ</v>
          </cell>
        </row>
        <row r="1270">
          <cell r="A1270" t="str">
            <v>А-03093/АЗ</v>
          </cell>
        </row>
        <row r="1271">
          <cell r="A1271" t="str">
            <v>Т-01284/АЗ</v>
          </cell>
        </row>
        <row r="1272">
          <cell r="A1272" t="str">
            <v>А-00183/КЭ</v>
          </cell>
        </row>
        <row r="1273">
          <cell r="A1273" t="str">
            <v>А-00224/КЭ</v>
          </cell>
        </row>
        <row r="1274">
          <cell r="A1274" t="str">
            <v>А-02772/АЗ</v>
          </cell>
        </row>
        <row r="1275">
          <cell r="A1275" t="str">
            <v>А-02656/АЗ</v>
          </cell>
        </row>
        <row r="1276">
          <cell r="A1276" t="str">
            <v>А-00094/КЭ</v>
          </cell>
        </row>
        <row r="1277">
          <cell r="A1277" t="str">
            <v>А-10003/КЭ</v>
          </cell>
        </row>
        <row r="1278">
          <cell r="A1278" t="str">
            <v>А-00147/КЭ</v>
          </cell>
        </row>
        <row r="1279">
          <cell r="A1279" t="str">
            <v>А-02524/АЗ</v>
          </cell>
        </row>
        <row r="1280">
          <cell r="A1280" t="str">
            <v>А-02939/АЗ</v>
          </cell>
        </row>
        <row r="1281">
          <cell r="A1281" t="str">
            <v>Т-01238/АЗ</v>
          </cell>
        </row>
        <row r="1282">
          <cell r="A1282" t="str">
            <v>А-02937/АЗ</v>
          </cell>
        </row>
        <row r="1283">
          <cell r="A1283" t="str">
            <v>А-00109/КЭ</v>
          </cell>
        </row>
        <row r="1284">
          <cell r="A1284" t="str">
            <v>А-00095/КЭ</v>
          </cell>
        </row>
        <row r="1285">
          <cell r="A1285" t="str">
            <v>А-02635/АЗ</v>
          </cell>
        </row>
        <row r="1286">
          <cell r="A1286" t="str">
            <v>А-02488/АЗ</v>
          </cell>
        </row>
        <row r="1287">
          <cell r="A1287" t="str">
            <v>А-00161/КЭ</v>
          </cell>
        </row>
        <row r="1288">
          <cell r="A1288" t="str">
            <v>Т-01186/АЗ</v>
          </cell>
        </row>
        <row r="1289">
          <cell r="A1289" t="str">
            <v>А-02792/АЗ</v>
          </cell>
        </row>
        <row r="1290">
          <cell r="A1290" t="str">
            <v>А-00074/КЭ</v>
          </cell>
        </row>
        <row r="1291">
          <cell r="A1291" t="str">
            <v>А-02646/АЗ</v>
          </cell>
        </row>
        <row r="1292">
          <cell r="A1292" t="str">
            <v>А-00002/ИЗ</v>
          </cell>
        </row>
        <row r="1293">
          <cell r="A1293" t="str">
            <v>А-00116/КЭ</v>
          </cell>
        </row>
        <row r="1294">
          <cell r="A1294" t="str">
            <v>А-00102/КЭ</v>
          </cell>
        </row>
        <row r="1295">
          <cell r="A1295" t="str">
            <v>А-02257/АЗ</v>
          </cell>
        </row>
        <row r="1296">
          <cell r="A1296" t="str">
            <v>А-02120/АЗ</v>
          </cell>
        </row>
        <row r="1297">
          <cell r="A1297" t="str">
            <v>А-00100/КЭ</v>
          </cell>
        </row>
        <row r="1298">
          <cell r="A1298" t="str">
            <v>А-00088/КЭ</v>
          </cell>
        </row>
        <row r="1299">
          <cell r="A1299" t="str">
            <v>А-00115/КЭ</v>
          </cell>
        </row>
        <row r="1300">
          <cell r="A1300" t="str">
            <v>А-00046/КЭ</v>
          </cell>
        </row>
        <row r="1301">
          <cell r="A1301" t="str">
            <v>А-01738/АЗ</v>
          </cell>
        </row>
        <row r="1302">
          <cell r="A1302" t="str">
            <v>А-00064/КЭ</v>
          </cell>
        </row>
        <row r="1303">
          <cell r="A1303" t="str">
            <v>А-00108/КЭ</v>
          </cell>
        </row>
        <row r="1304">
          <cell r="A1304" t="str">
            <v>Т-00769/АЗ</v>
          </cell>
        </row>
        <row r="1305">
          <cell r="A1305" t="str">
            <v>А-00058/КЭ</v>
          </cell>
        </row>
        <row r="1306">
          <cell r="A1306" t="str">
            <v>Т-00883/АЗ</v>
          </cell>
        </row>
        <row r="1307">
          <cell r="A1307" t="str">
            <v>А-00078/КЭ</v>
          </cell>
        </row>
        <row r="1308">
          <cell r="A1308" t="str">
            <v>А-00087/КЭ</v>
          </cell>
        </row>
        <row r="1309">
          <cell r="A1309" t="str">
            <v>А-00101/КЭ</v>
          </cell>
        </row>
        <row r="1310">
          <cell r="A1310" t="str">
            <v>А-00089/КЭ</v>
          </cell>
        </row>
        <row r="1311">
          <cell r="A1311" t="str">
            <v>А-00082/КЭ</v>
          </cell>
        </row>
        <row r="1312">
          <cell r="A1312" t="str">
            <v>А-00103/КЭ</v>
          </cell>
        </row>
        <row r="1313">
          <cell r="A1313" t="str">
            <v>А-02114/АЗ</v>
          </cell>
        </row>
        <row r="1314">
          <cell r="A1314" t="str">
            <v>Т-00820/АЗ</v>
          </cell>
        </row>
        <row r="1315">
          <cell r="A1315" t="str">
            <v>А-00059/КЭ</v>
          </cell>
        </row>
        <row r="1316">
          <cell r="A1316" t="str">
            <v>А-01665/АЗ</v>
          </cell>
        </row>
        <row r="1317">
          <cell r="A1317" t="str">
            <v>А-01984/АЗ</v>
          </cell>
        </row>
        <row r="1318">
          <cell r="A1318" t="str">
            <v>А-00096/КЭ</v>
          </cell>
        </row>
        <row r="1319">
          <cell r="A1319" t="str">
            <v>А-00030/КЭ</v>
          </cell>
        </row>
        <row r="1320">
          <cell r="A1320" t="str">
            <v>А-00062/КЭ</v>
          </cell>
        </row>
        <row r="1321">
          <cell r="A1321" t="str">
            <v>А-00018/КЭ</v>
          </cell>
        </row>
        <row r="1322">
          <cell r="A1322" t="str">
            <v>А-00086/КЭ</v>
          </cell>
        </row>
        <row r="1323">
          <cell r="A1323" t="str">
            <v>Т-00837/АЗ</v>
          </cell>
        </row>
        <row r="1324">
          <cell r="A1324" t="str">
            <v>А-01872/АЗ</v>
          </cell>
        </row>
        <row r="1325">
          <cell r="A1325" t="str">
            <v>А-00065/КЭ</v>
          </cell>
        </row>
        <row r="1326">
          <cell r="A1326" t="str">
            <v>А-01607/АЗ</v>
          </cell>
        </row>
        <row r="1327">
          <cell r="A1327" t="str">
            <v>А-00016/КЭ</v>
          </cell>
        </row>
        <row r="1328">
          <cell r="A1328" t="str">
            <v>А-00004/КЭ</v>
          </cell>
        </row>
        <row r="1329">
          <cell r="A1329" t="str">
            <v>А-00028/КЭ</v>
          </cell>
        </row>
        <row r="1330">
          <cell r="A1330" t="str">
            <v>А-00010/КЭ</v>
          </cell>
        </row>
        <row r="1331">
          <cell r="A1331" t="str">
            <v>Т-00462/АЗ</v>
          </cell>
        </row>
        <row r="1332">
          <cell r="A1332" t="str">
            <v>А-01775/АЗ</v>
          </cell>
        </row>
        <row r="1333">
          <cell r="A1333" t="str">
            <v>А-00014/КЭ</v>
          </cell>
        </row>
        <row r="1334">
          <cell r="A1334" t="str">
            <v>А-00015/КЭ</v>
          </cell>
        </row>
        <row r="1335">
          <cell r="A1335" t="str">
            <v>А-01652/АЗ</v>
          </cell>
        </row>
        <row r="1336">
          <cell r="A1336" t="str">
            <v>Т-00638/АЗ</v>
          </cell>
        </row>
        <row r="1337">
          <cell r="A1337" t="str">
            <v>А-00007/КЭ</v>
          </cell>
        </row>
        <row r="1338">
          <cell r="A1338" t="str">
            <v>А-01193/АЗ</v>
          </cell>
        </row>
        <row r="1339">
          <cell r="A1339" t="str">
            <v>А-00008/КЭ</v>
          </cell>
        </row>
        <row r="1340">
          <cell r="A1340" t="str">
            <v>А-00009/КЭ</v>
          </cell>
        </row>
        <row r="1341">
          <cell r="A1341" t="str">
            <v>А-00029/КЭ</v>
          </cell>
        </row>
        <row r="1342">
          <cell r="A1342" t="str">
            <v>А-00001/КЭ</v>
          </cell>
        </row>
        <row r="1343">
          <cell r="A1343" t="str">
            <v>А-00026/КЭ</v>
          </cell>
        </row>
        <row r="1344">
          <cell r="A1344" t="str">
            <v>А-01830/АЗ</v>
          </cell>
        </row>
        <row r="1345">
          <cell r="A1345" t="str">
            <v>А-01489/АЗ</v>
          </cell>
        </row>
        <row r="1346">
          <cell r="A1346" t="str">
            <v>А-01600/АЗ</v>
          </cell>
        </row>
        <row r="1347">
          <cell r="A1347" t="str">
            <v>Т-00360/АЗ</v>
          </cell>
        </row>
        <row r="1348">
          <cell r="A1348" t="str">
            <v>А-01251/АЗ</v>
          </cell>
        </row>
        <row r="1349">
          <cell r="A1349" t="str">
            <v>А-01405/АЗ</v>
          </cell>
        </row>
        <row r="1350">
          <cell r="A1350" t="str">
            <v>А-01147/АЗ</v>
          </cell>
        </row>
        <row r="1351">
          <cell r="A1351" t="str">
            <v>Т-00511/АЗ</v>
          </cell>
        </row>
        <row r="1352">
          <cell r="A1352" t="str">
            <v>А-01265/АЗ</v>
          </cell>
        </row>
        <row r="1353">
          <cell r="A1353" t="str">
            <v>Т-00353/АЗ</v>
          </cell>
        </row>
        <row r="1354">
          <cell r="A1354" t="str">
            <v>А-01097/АЗ</v>
          </cell>
        </row>
        <row r="1355">
          <cell r="A1355" t="str">
            <v>А-00874/АЗ</v>
          </cell>
        </row>
        <row r="1356">
          <cell r="A1356" t="str">
            <v>А-01379/АЗ</v>
          </cell>
        </row>
        <row r="1357">
          <cell r="A1357" t="str">
            <v>Т-00310/АЗ</v>
          </cell>
        </row>
        <row r="1358">
          <cell r="A1358" t="str">
            <v>А-01087/АЗ</v>
          </cell>
        </row>
        <row r="1359">
          <cell r="A1359" t="str">
            <v>А-01206/АЗ</v>
          </cell>
        </row>
        <row r="1360">
          <cell r="A1360" t="str">
            <v>А-01000/АЗ</v>
          </cell>
        </row>
        <row r="1361">
          <cell r="A1361" t="str">
            <v>А-00781/АЗ</v>
          </cell>
        </row>
        <row r="1362">
          <cell r="A1362" t="str">
            <v>А-01262/АЗ</v>
          </cell>
        </row>
        <row r="1363">
          <cell r="A1363" t="str">
            <v>А-01007/АЗ</v>
          </cell>
        </row>
        <row r="1364">
          <cell r="A1364" t="str">
            <v>А-01126/АЗ</v>
          </cell>
        </row>
        <row r="1365">
          <cell r="A1365" t="str">
            <v>Т-00193/АЗ</v>
          </cell>
        </row>
        <row r="1366">
          <cell r="A1366" t="str">
            <v>Т-00362/АЗ</v>
          </cell>
        </row>
        <row r="1367">
          <cell r="A1367" t="str">
            <v>А-00999/АЗ</v>
          </cell>
        </row>
        <row r="1368">
          <cell r="A1368" t="str">
            <v>А-01043/АЗ</v>
          </cell>
        </row>
        <row r="1369">
          <cell r="A1369" t="str">
            <v>Т-00395/АЗ</v>
          </cell>
        </row>
        <row r="1370">
          <cell r="A1370" t="str">
            <v>А-00714/АЗ</v>
          </cell>
        </row>
        <row r="1371">
          <cell r="A1371" t="str">
            <v>А-01001/АЗ</v>
          </cell>
        </row>
        <row r="1372">
          <cell r="A1372" t="str">
            <v>А-00934/АЗ</v>
          </cell>
        </row>
        <row r="1373">
          <cell r="A1373" t="str">
            <v>А-00953/АЗ</v>
          </cell>
        </row>
        <row r="1374">
          <cell r="A1374" t="str">
            <v>Т-00486/АЗ</v>
          </cell>
        </row>
        <row r="1375">
          <cell r="A1375" t="str">
            <v>А-00969/АЗ</v>
          </cell>
        </row>
        <row r="1376">
          <cell r="A1376" t="str">
            <v>Т-00060/АЗ</v>
          </cell>
        </row>
        <row r="1377">
          <cell r="A1377" t="str">
            <v>Т-00377/АЗ</v>
          </cell>
        </row>
        <row r="1378">
          <cell r="A1378" t="str">
            <v>Т-00286/АЗ</v>
          </cell>
        </row>
        <row r="1379">
          <cell r="A1379" t="str">
            <v>Т-00435/АЗ</v>
          </cell>
        </row>
        <row r="1380">
          <cell r="A1380" t="str">
            <v>А-00750/АЗ</v>
          </cell>
        </row>
        <row r="1381">
          <cell r="A1381" t="str">
            <v>А-00717/АЗ</v>
          </cell>
        </row>
        <row r="1382">
          <cell r="A1382" t="str">
            <v>А-00587/АЗ</v>
          </cell>
        </row>
        <row r="1383">
          <cell r="A1383" t="str">
            <v>Т-00282/АЗ</v>
          </cell>
        </row>
        <row r="1384">
          <cell r="A1384" t="str">
            <v>Т-00428/АЗ</v>
          </cell>
        </row>
        <row r="1385">
          <cell r="A1385" t="str">
            <v>Т-00344/АЗ</v>
          </cell>
        </row>
        <row r="1386">
          <cell r="A1386" t="str">
            <v>Т-00283/АЗ</v>
          </cell>
        </row>
        <row r="1387">
          <cell r="A1387" t="str">
            <v>А-00616/АЗ</v>
          </cell>
        </row>
        <row r="1388">
          <cell r="A1388" t="str">
            <v>Т-00375/АЗ</v>
          </cell>
        </row>
        <row r="1389">
          <cell r="A1389" t="str">
            <v>А-00492/АЗ</v>
          </cell>
        </row>
        <row r="1390">
          <cell r="A1390" t="str">
            <v>Т-00069/АЗ</v>
          </cell>
        </row>
        <row r="1391">
          <cell r="A1391" t="str">
            <v>Т-00108/АЗ</v>
          </cell>
        </row>
        <row r="1392">
          <cell r="A1392" t="str">
            <v>А-00597/АЗ</v>
          </cell>
        </row>
        <row r="1393">
          <cell r="A1393" t="str">
            <v>А-00559/АЗ</v>
          </cell>
        </row>
        <row r="1394">
          <cell r="A1394" t="str">
            <v>А-00285/АЗ</v>
          </cell>
        </row>
        <row r="1395">
          <cell r="A1395" t="str">
            <v>А-00103/АЗ</v>
          </cell>
        </row>
        <row r="1396">
          <cell r="A1396" t="str">
            <v>А-00241/АЗ</v>
          </cell>
        </row>
        <row r="1397">
          <cell r="A1397" t="str">
            <v>А-00036/АЗ</v>
          </cell>
        </row>
        <row r="1398">
          <cell r="A1398" t="str">
            <v>00049/АЗ</v>
          </cell>
        </row>
        <row r="1399">
          <cell r="A1399" t="str">
            <v>00141/АЗ</v>
          </cell>
        </row>
        <row r="1400">
          <cell r="A1400" t="str">
            <v>00071/АЗ</v>
          </cell>
        </row>
        <row r="1401">
          <cell r="A1401" t="str">
            <v>А-00091/АЗ</v>
          </cell>
        </row>
        <row r="1402">
          <cell r="A1402" t="str">
            <v>00096/АЗ</v>
          </cell>
        </row>
        <row r="1403">
          <cell r="A1403" t="str">
            <v>00157/АЗ</v>
          </cell>
        </row>
        <row r="1404">
          <cell r="A1404" t="str">
            <v>00055/АЗ</v>
          </cell>
        </row>
        <row r="1405">
          <cell r="A1405" t="str">
            <v>00232/АЗ</v>
          </cell>
        </row>
        <row r="1406">
          <cell r="A1406" t="str">
            <v>А-00022/АЗ</v>
          </cell>
        </row>
        <row r="1407">
          <cell r="A1407" t="str">
            <v>А-00090/АЗ</v>
          </cell>
        </row>
        <row r="1408">
          <cell r="A1408" t="str">
            <v>00151/АЗ</v>
          </cell>
        </row>
        <row r="1409">
          <cell r="A1409" t="str">
            <v>00202/АЗ</v>
          </cell>
        </row>
        <row r="1410">
          <cell r="A1410" t="str">
            <v>00324/АЗ</v>
          </cell>
        </row>
        <row r="1411">
          <cell r="A1411" t="str">
            <v>00168/АЗ</v>
          </cell>
        </row>
        <row r="1412">
          <cell r="A1412" t="str">
            <v>00116/АЗ</v>
          </cell>
        </row>
        <row r="1413">
          <cell r="A1413" t="str">
            <v>А-00052/АЗ</v>
          </cell>
        </row>
        <row r="1414">
          <cell r="A1414" t="str">
            <v>А-00029/АЗ</v>
          </cell>
        </row>
        <row r="1415">
          <cell r="A1415" t="str">
            <v>00292/АЗ</v>
          </cell>
        </row>
        <row r="1416">
          <cell r="A1416" t="str">
            <v>00252/АЗ</v>
          </cell>
        </row>
        <row r="1417">
          <cell r="A1417" t="str">
            <v>00184/АЗ</v>
          </cell>
        </row>
        <row r="1418">
          <cell r="A1418" t="str">
            <v>А-00110/АЗ</v>
          </cell>
        </row>
        <row r="1419">
          <cell r="A1419" t="str">
            <v>00020/АЗ</v>
          </cell>
        </row>
        <row r="1420">
          <cell r="A1420" t="str">
            <v>00346/АЗ</v>
          </cell>
        </row>
        <row r="1421">
          <cell r="A1421" t="str">
            <v>00414/АЗ</v>
          </cell>
        </row>
        <row r="1422">
          <cell r="A1422" t="str">
            <v>00222/АЗ</v>
          </cell>
        </row>
        <row r="1423">
          <cell r="A1423" t="str">
            <v>00301/АЗ</v>
          </cell>
        </row>
        <row r="1424">
          <cell r="A1424" t="str">
            <v>00284/АЗ</v>
          </cell>
        </row>
        <row r="1425">
          <cell r="A1425" t="str">
            <v>А-00067/АЗ</v>
          </cell>
        </row>
        <row r="1426">
          <cell r="A1426" t="str">
            <v>00331/АЗ</v>
          </cell>
        </row>
        <row r="1427">
          <cell r="A1427" t="str">
            <v>А-00020/АЗ</v>
          </cell>
        </row>
        <row r="1428">
          <cell r="A1428" t="str">
            <v>А-00100/АЗ</v>
          </cell>
        </row>
        <row r="1429">
          <cell r="A1429" t="str">
            <v>В-20109/КЛ</v>
          </cell>
        </row>
        <row r="1430">
          <cell r="A1430" t="str">
            <v>В-22100/КЛ</v>
          </cell>
        </row>
        <row r="1431">
          <cell r="A1431" t="str">
            <v>В-18022/КЛ</v>
          </cell>
        </row>
        <row r="1432">
          <cell r="A1432" t="str">
            <v>Т-01893/АЗ</v>
          </cell>
        </row>
        <row r="1433">
          <cell r="A1433" t="str">
            <v>В-17458/КЛ</v>
          </cell>
        </row>
        <row r="1434">
          <cell r="A1434" t="str">
            <v>В-19901/КЛ</v>
          </cell>
        </row>
        <row r="1435">
          <cell r="A1435" t="str">
            <v>В-02691/КЛ</v>
          </cell>
        </row>
        <row r="1436">
          <cell r="A1436" t="str">
            <v>В-15465/КЛ</v>
          </cell>
        </row>
        <row r="1437">
          <cell r="A1437" t="str">
            <v>Т-01869/АЗ</v>
          </cell>
        </row>
        <row r="1438">
          <cell r="A1438" t="str">
            <v>В-09421/КЛ</v>
          </cell>
        </row>
        <row r="1439">
          <cell r="A1439" t="str">
            <v>Т-01722/АЗ</v>
          </cell>
        </row>
        <row r="1440">
          <cell r="A1440" t="str">
            <v>В-00232/КЛ</v>
          </cell>
        </row>
        <row r="1441">
          <cell r="A1441" t="str">
            <v>В-00313/АЗ</v>
          </cell>
        </row>
        <row r="1442">
          <cell r="A1442" t="str">
            <v>А-05271/АЗ</v>
          </cell>
        </row>
        <row r="1443">
          <cell r="A1443" t="str">
            <v>А-02706/АЗ</v>
          </cell>
        </row>
        <row r="1444">
          <cell r="A1444" t="str">
            <v>В-24012/КЛ</v>
          </cell>
        </row>
        <row r="1445">
          <cell r="A1445" t="str">
            <v>Т-10006/КЭ</v>
          </cell>
        </row>
        <row r="1446">
          <cell r="A1446" t="str">
            <v>Т-01914/АЗ</v>
          </cell>
        </row>
        <row r="1447">
          <cell r="A1447" t="str">
            <v>В-04682/КЛ</v>
          </cell>
        </row>
        <row r="1448">
          <cell r="A1448" t="str">
            <v>А-00386/КЭ</v>
          </cell>
        </row>
        <row r="1449">
          <cell r="A1449" t="str">
            <v>В-24350/КЛ</v>
          </cell>
        </row>
        <row r="1450">
          <cell r="A1450" t="str">
            <v>В-00918/АЗ</v>
          </cell>
        </row>
        <row r="1451">
          <cell r="A1451" t="str">
            <v>В-13638/КЛ</v>
          </cell>
        </row>
        <row r="1452">
          <cell r="A1452" t="str">
            <v>В-12435/КЛ</v>
          </cell>
        </row>
        <row r="1453">
          <cell r="A1453" t="str">
            <v>В-00982/АЗ</v>
          </cell>
        </row>
        <row r="1454">
          <cell r="A1454" t="str">
            <v>В-00608/АЗ</v>
          </cell>
        </row>
        <row r="1455">
          <cell r="A1455" t="str">
            <v>В-00477/АЗ</v>
          </cell>
        </row>
        <row r="1456">
          <cell r="A1456" t="str">
            <v>А-00332/КЭ</v>
          </cell>
        </row>
        <row r="1457">
          <cell r="A1457" t="str">
            <v>В-00022/КЭ</v>
          </cell>
        </row>
        <row r="1458">
          <cell r="A1458" t="str">
            <v>А-00458/КЭ</v>
          </cell>
        </row>
        <row r="1459">
          <cell r="A1459" t="str">
            <v>В-14232/КЛ</v>
          </cell>
        </row>
        <row r="1460">
          <cell r="A1460" t="str">
            <v>А-04984/АЗ</v>
          </cell>
        </row>
        <row r="1461">
          <cell r="A1461" t="str">
            <v>В-00702/АЗ</v>
          </cell>
        </row>
        <row r="1462">
          <cell r="A1462" t="str">
            <v>Т-01775/АЗ</v>
          </cell>
        </row>
        <row r="1463">
          <cell r="A1463" t="str">
            <v>В-28684/КЛ</v>
          </cell>
        </row>
        <row r="1464">
          <cell r="A1464" t="str">
            <v>В-28684/КЛ</v>
          </cell>
        </row>
        <row r="1465">
          <cell r="A1465" t="str">
            <v>В-12427/КЛ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КО"/>
    </sheetNames>
    <sheetDataSet>
      <sheetData sheetId="0">
        <row r="1">
          <cell r="A1" t="str">
            <v>В-26950/КЛ</v>
          </cell>
        </row>
        <row r="2">
          <cell r="A2" t="str">
            <v>В-18921/КЛ</v>
          </cell>
        </row>
        <row r="3">
          <cell r="A3" t="str">
            <v>В-09100/КЛ</v>
          </cell>
        </row>
        <row r="4">
          <cell r="A4" t="str">
            <v>В-01188/АЗ</v>
          </cell>
        </row>
        <row r="5">
          <cell r="A5" t="str">
            <v>В-27315/КЛ</v>
          </cell>
        </row>
        <row r="6">
          <cell r="A6" t="str">
            <v>В-11277/КЛ</v>
          </cell>
        </row>
        <row r="7">
          <cell r="A7" t="str">
            <v>В-28968/АЗ</v>
          </cell>
        </row>
        <row r="8">
          <cell r="A8" t="str">
            <v>В-28549/АЗ</v>
          </cell>
        </row>
        <row r="9">
          <cell r="A9" t="str">
            <v>В-28360/КЛ</v>
          </cell>
        </row>
        <row r="10">
          <cell r="A10" t="str">
            <v>В-12256/КЛ</v>
          </cell>
        </row>
        <row r="11">
          <cell r="A11" t="str">
            <v>В-23923/КЛ</v>
          </cell>
        </row>
        <row r="12">
          <cell r="A12" t="str">
            <v>В-27065/АЗ</v>
          </cell>
        </row>
        <row r="13">
          <cell r="A13" t="str">
            <v>В-26928/КЛ</v>
          </cell>
        </row>
        <row r="14">
          <cell r="A14" t="str">
            <v>В-22409/КЛ</v>
          </cell>
        </row>
        <row r="15">
          <cell r="A15" t="str">
            <v>В-12256/КЛ</v>
          </cell>
        </row>
        <row r="16">
          <cell r="A16" t="str">
            <v>В-23923/КЛ</v>
          </cell>
        </row>
        <row r="17">
          <cell r="A17" t="str">
            <v>В-12574/КЛ</v>
          </cell>
        </row>
        <row r="18">
          <cell r="A18" t="str">
            <v>В-08348/КЛ</v>
          </cell>
        </row>
        <row r="19">
          <cell r="A19" t="str">
            <v>В-22677/КЛ</v>
          </cell>
        </row>
        <row r="20">
          <cell r="A20" t="str">
            <v>В-26422/КЛ</v>
          </cell>
        </row>
        <row r="21">
          <cell r="A21" t="str">
            <v>В-28961/КЛ</v>
          </cell>
        </row>
        <row r="22">
          <cell r="A22" t="str">
            <v>В-10050/КЛ</v>
          </cell>
        </row>
        <row r="23">
          <cell r="A23" t="str">
            <v>В-28436/АЗ</v>
          </cell>
        </row>
        <row r="24">
          <cell r="A24" t="str">
            <v>В-01174/АЗ</v>
          </cell>
        </row>
        <row r="25">
          <cell r="A25" t="str">
            <v>В-20952/КЛ</v>
          </cell>
        </row>
        <row r="26">
          <cell r="A26" t="str">
            <v>В-27914/КЛ</v>
          </cell>
        </row>
        <row r="27">
          <cell r="A27" t="str">
            <v>В-28587/КЛ</v>
          </cell>
        </row>
        <row r="28">
          <cell r="A28" t="str">
            <v>В-21872/КЛ</v>
          </cell>
        </row>
        <row r="29">
          <cell r="A29" t="str">
            <v>В-08644/КЛ</v>
          </cell>
        </row>
        <row r="30">
          <cell r="A30" t="str">
            <v>В-12943/КЛ</v>
          </cell>
        </row>
        <row r="31">
          <cell r="A31" t="str">
            <v>В-25824/КЛ</v>
          </cell>
        </row>
        <row r="32">
          <cell r="A32" t="str">
            <v>В-00052/КЭ</v>
          </cell>
        </row>
        <row r="33">
          <cell r="A33" t="str">
            <v>В-26114/КЛ</v>
          </cell>
        </row>
        <row r="34">
          <cell r="A34" t="str">
            <v>В-26664/КЛ</v>
          </cell>
        </row>
        <row r="35">
          <cell r="A35" t="str">
            <v>В-10014/КЭ</v>
          </cell>
        </row>
        <row r="36">
          <cell r="A36" t="str">
            <v>В-02583/КЛ</v>
          </cell>
        </row>
        <row r="37">
          <cell r="A37" t="str">
            <v>В-27049/АЗ</v>
          </cell>
        </row>
        <row r="38">
          <cell r="A38" t="str">
            <v>В-17318/КЛ</v>
          </cell>
        </row>
        <row r="39">
          <cell r="A39" t="str">
            <v>В-25052/КЛ</v>
          </cell>
        </row>
        <row r="40">
          <cell r="A40" t="str">
            <v>В-21137/КЛ</v>
          </cell>
        </row>
        <row r="41">
          <cell r="A41" t="str">
            <v>В-25865/КЛ</v>
          </cell>
        </row>
        <row r="42">
          <cell r="A42" t="str">
            <v>В-25306/КЛ</v>
          </cell>
        </row>
        <row r="43">
          <cell r="A43" t="str">
            <v>В-03300/КЛ</v>
          </cell>
        </row>
        <row r="44">
          <cell r="A44" t="str">
            <v>В-27410/КЛ</v>
          </cell>
        </row>
        <row r="45">
          <cell r="A45" t="str">
            <v>В-00030/КЭ</v>
          </cell>
        </row>
        <row r="46">
          <cell r="A46" t="str">
            <v>В-19346/КЛ</v>
          </cell>
        </row>
        <row r="47">
          <cell r="A47" t="str">
            <v>В-19684/КЛ</v>
          </cell>
        </row>
        <row r="48">
          <cell r="A48" t="str">
            <v>В-20731/КЛ</v>
          </cell>
        </row>
        <row r="49">
          <cell r="A49" t="str">
            <v>В-18141/КЛ</v>
          </cell>
        </row>
        <row r="50">
          <cell r="A50" t="str">
            <v>В-30007/КЭ</v>
          </cell>
        </row>
        <row r="51">
          <cell r="A51" t="str">
            <v>В-03450/КЛ</v>
          </cell>
        </row>
        <row r="52">
          <cell r="A52" t="str">
            <v>В-16728/КЛ</v>
          </cell>
        </row>
        <row r="53">
          <cell r="A53" t="str">
            <v>В-01203/АЗ</v>
          </cell>
        </row>
        <row r="54">
          <cell r="A54" t="str">
            <v>В-28252/КЛ</v>
          </cell>
        </row>
        <row r="55">
          <cell r="A55" t="str">
            <v>В-19104/КЛ</v>
          </cell>
        </row>
        <row r="56">
          <cell r="A56" t="str">
            <v>В-27753/КЛ</v>
          </cell>
        </row>
        <row r="57">
          <cell r="A57" t="str">
            <v>В-27843/КЛ</v>
          </cell>
        </row>
        <row r="58">
          <cell r="A58" t="str">
            <v>В-18631/КЛ</v>
          </cell>
        </row>
        <row r="59">
          <cell r="A59" t="str">
            <v>В-10039/КЛ</v>
          </cell>
        </row>
        <row r="60">
          <cell r="A60" t="str">
            <v>В-00634/АЗ</v>
          </cell>
        </row>
        <row r="61">
          <cell r="A61" t="str">
            <v>В-28274/КЛ</v>
          </cell>
        </row>
        <row r="62">
          <cell r="A62" t="str">
            <v>В-20140/КЛ</v>
          </cell>
        </row>
        <row r="63">
          <cell r="A63" t="str">
            <v>В-04333/КЛ</v>
          </cell>
        </row>
        <row r="64">
          <cell r="A64" t="str">
            <v>В-26170/КЛ</v>
          </cell>
        </row>
        <row r="65">
          <cell r="A65" t="str">
            <v>В-06818/КЛ</v>
          </cell>
        </row>
        <row r="66">
          <cell r="A66" t="str">
            <v>В-25950/КЛ</v>
          </cell>
        </row>
        <row r="67">
          <cell r="A67" t="str">
            <v>В-25530/КЛ</v>
          </cell>
        </row>
        <row r="68">
          <cell r="A68" t="str">
            <v>В-01013/КЛ</v>
          </cell>
        </row>
        <row r="69">
          <cell r="A69" t="str">
            <v>В-28090/АЗ</v>
          </cell>
        </row>
        <row r="70">
          <cell r="A70" t="str">
            <v>В-27334/КЛ</v>
          </cell>
        </row>
        <row r="71">
          <cell r="A71" t="str">
            <v>В-16261/КЛ</v>
          </cell>
        </row>
        <row r="72">
          <cell r="A72" t="str">
            <v>В-28159/КЛ</v>
          </cell>
        </row>
        <row r="73">
          <cell r="A73" t="str">
            <v>В-27835/КЛ</v>
          </cell>
        </row>
        <row r="74">
          <cell r="A74" t="str">
            <v>В-19597/КЛ</v>
          </cell>
        </row>
        <row r="75">
          <cell r="A75" t="str">
            <v>В-26816/КЛ</v>
          </cell>
        </row>
        <row r="76">
          <cell r="A76" t="str">
            <v>В-14818/КЛ</v>
          </cell>
        </row>
        <row r="77">
          <cell r="A77" t="str">
            <v>В-24493/КЛ</v>
          </cell>
        </row>
        <row r="78">
          <cell r="A78" t="str">
            <v>В-21731/КЛ</v>
          </cell>
        </row>
        <row r="79">
          <cell r="A79" t="str">
            <v>В-28393/КЛ</v>
          </cell>
        </row>
        <row r="80">
          <cell r="A80" t="str">
            <v>В-20251/КЛ</v>
          </cell>
        </row>
        <row r="81">
          <cell r="A81" t="str">
            <v>В-23410/КЛ</v>
          </cell>
        </row>
        <row r="82">
          <cell r="A82" t="str">
            <v>В-18909/КЛ</v>
          </cell>
        </row>
        <row r="83">
          <cell r="A83" t="str">
            <v>В-10020/КЭ</v>
          </cell>
        </row>
        <row r="84">
          <cell r="A84" t="str">
            <v>В-05402/КЛ</v>
          </cell>
        </row>
        <row r="85">
          <cell r="A85" t="str">
            <v>В-17417/КЛ</v>
          </cell>
        </row>
        <row r="86">
          <cell r="A86" t="str">
            <v>В-12113/КЛ</v>
          </cell>
        </row>
        <row r="87">
          <cell r="A87" t="str">
            <v>В-26949/КЛ</v>
          </cell>
        </row>
        <row r="88">
          <cell r="A88" t="str">
            <v>В-24385/КЛ</v>
          </cell>
        </row>
        <row r="89">
          <cell r="A89" t="str">
            <v>В-30005/КЭ</v>
          </cell>
        </row>
        <row r="90">
          <cell r="A90" t="str">
            <v>В-01180/АЗ</v>
          </cell>
        </row>
        <row r="91">
          <cell r="A91" t="str">
            <v>Т-01885/АЗ</v>
          </cell>
        </row>
        <row r="92">
          <cell r="A92" t="str">
            <v>В-00063/КЭ</v>
          </cell>
        </row>
        <row r="93">
          <cell r="A93" t="str">
            <v>В-28224/КЛ</v>
          </cell>
        </row>
        <row r="94">
          <cell r="A94" t="str">
            <v>В-14546/КЛ</v>
          </cell>
        </row>
        <row r="95">
          <cell r="A95" t="str">
            <v>В-19897/КЛ</v>
          </cell>
        </row>
        <row r="96">
          <cell r="A96" t="str">
            <v>В-18548/КЛ</v>
          </cell>
        </row>
        <row r="97">
          <cell r="A97" t="str">
            <v>В-20180/КЛ</v>
          </cell>
        </row>
        <row r="98">
          <cell r="A98" t="str">
            <v>В-23776/КЛ</v>
          </cell>
        </row>
        <row r="99">
          <cell r="A99" t="str">
            <v>В-26649/АЗ</v>
          </cell>
        </row>
        <row r="100">
          <cell r="A100" t="str">
            <v>В-26651/АЗ</v>
          </cell>
        </row>
        <row r="101">
          <cell r="A101" t="str">
            <v>В-23074/КЛ</v>
          </cell>
        </row>
        <row r="102">
          <cell r="A102" t="str">
            <v>В-28872/КЛ</v>
          </cell>
        </row>
        <row r="103">
          <cell r="A103" t="str">
            <v>В-21972/КЛ</v>
          </cell>
        </row>
        <row r="104">
          <cell r="A104" t="str">
            <v>В-25792/КЛ</v>
          </cell>
        </row>
        <row r="105">
          <cell r="A105" t="str">
            <v>В-20118/КЛ</v>
          </cell>
        </row>
        <row r="106">
          <cell r="A106" t="str">
            <v>В-26450/АЗ</v>
          </cell>
        </row>
        <row r="107">
          <cell r="A107" t="str">
            <v>В-10025/КЭ</v>
          </cell>
        </row>
        <row r="108">
          <cell r="A108" t="str">
            <v>В-10008/КЭ</v>
          </cell>
        </row>
        <row r="109">
          <cell r="A109" t="str">
            <v>В-10024/КЭ</v>
          </cell>
        </row>
        <row r="110">
          <cell r="A110" t="str">
            <v>В-26449/АЗ</v>
          </cell>
        </row>
        <row r="111">
          <cell r="A111" t="str">
            <v>В-24308/КЛ</v>
          </cell>
        </row>
        <row r="112">
          <cell r="A112" t="str">
            <v>В-27855/КЛ</v>
          </cell>
        </row>
        <row r="113">
          <cell r="A113" t="str">
            <v>В-08393/КЛ</v>
          </cell>
        </row>
        <row r="114">
          <cell r="A114" t="str">
            <v>В-19425/КЛ</v>
          </cell>
        </row>
        <row r="115">
          <cell r="A115" t="str">
            <v>В-18569/КЛ</v>
          </cell>
        </row>
        <row r="116">
          <cell r="A116" t="str">
            <v>В-01217/АЗ</v>
          </cell>
        </row>
        <row r="117">
          <cell r="A117" t="str">
            <v>В-04724/КЛ</v>
          </cell>
        </row>
        <row r="118">
          <cell r="A118" t="str">
            <v>В-30001/КЭ</v>
          </cell>
        </row>
        <row r="119">
          <cell r="A119" t="str">
            <v>В-19093/КЛ</v>
          </cell>
        </row>
        <row r="120">
          <cell r="A120" t="str">
            <v>В-11630/КЛ</v>
          </cell>
        </row>
        <row r="121">
          <cell r="A121" t="str">
            <v>В-21630/КЛ</v>
          </cell>
        </row>
        <row r="122">
          <cell r="A122" t="str">
            <v>В-11050/КЛ</v>
          </cell>
        </row>
        <row r="123">
          <cell r="A123" t="str">
            <v>В-09174/КЛ</v>
          </cell>
        </row>
        <row r="124">
          <cell r="A124" t="str">
            <v>В-10141/КЛ</v>
          </cell>
        </row>
        <row r="125">
          <cell r="A125" t="str">
            <v>В-07877/КЛ</v>
          </cell>
        </row>
        <row r="126">
          <cell r="A126" t="str">
            <v>В-01113/АЗ</v>
          </cell>
        </row>
        <row r="127">
          <cell r="A127" t="str">
            <v>В-12818/КЛ</v>
          </cell>
        </row>
        <row r="128">
          <cell r="A128" t="str">
            <v>В-28694/КЛ</v>
          </cell>
        </row>
        <row r="129">
          <cell r="A129" t="str">
            <v>В-27251/КЛ</v>
          </cell>
        </row>
        <row r="130">
          <cell r="A130" t="str">
            <v>В-13740/КЛ</v>
          </cell>
        </row>
        <row r="131">
          <cell r="A131" t="str">
            <v>В-15451/КЛ</v>
          </cell>
        </row>
        <row r="132">
          <cell r="A132" t="str">
            <v>В-18164/КЛ</v>
          </cell>
        </row>
        <row r="133">
          <cell r="A133" t="str">
            <v>В-00075/КЭ</v>
          </cell>
        </row>
        <row r="134">
          <cell r="A134" t="str">
            <v>В-26005/АЗ</v>
          </cell>
        </row>
        <row r="135">
          <cell r="A135" t="str">
            <v>В-20921/КЛ</v>
          </cell>
        </row>
        <row r="136">
          <cell r="A136" t="str">
            <v>В-13336/КЛ</v>
          </cell>
        </row>
        <row r="137">
          <cell r="A137" t="str">
            <v>В-15778/КЛ</v>
          </cell>
        </row>
        <row r="138">
          <cell r="A138" t="str">
            <v>В-17853/КЛ</v>
          </cell>
        </row>
        <row r="139">
          <cell r="A139" t="str">
            <v>В-19862/КЛ</v>
          </cell>
        </row>
        <row r="140">
          <cell r="A140" t="str">
            <v>В-07072/КЛ</v>
          </cell>
        </row>
        <row r="141">
          <cell r="A141" t="str">
            <v>В-05105/КЛ</v>
          </cell>
        </row>
        <row r="142">
          <cell r="A142" t="str">
            <v>В-23919/КЛ</v>
          </cell>
        </row>
        <row r="143">
          <cell r="A143" t="str">
            <v>В-19227/КЛ</v>
          </cell>
        </row>
        <row r="144">
          <cell r="A144" t="str">
            <v>В-18586/КЛ</v>
          </cell>
        </row>
        <row r="145">
          <cell r="A145" t="str">
            <v>В-12670/КЛ</v>
          </cell>
        </row>
        <row r="146">
          <cell r="A146" t="str">
            <v>В-18334/КЛ</v>
          </cell>
        </row>
        <row r="147">
          <cell r="A147" t="str">
            <v>В-27438/АЗ</v>
          </cell>
        </row>
        <row r="148">
          <cell r="A148" t="str">
            <v>В-28471/КЛ</v>
          </cell>
        </row>
        <row r="149">
          <cell r="A149" t="str">
            <v>В-01051/АЗ</v>
          </cell>
        </row>
        <row r="150">
          <cell r="A150" t="str">
            <v>В-28684/КЛ</v>
          </cell>
        </row>
        <row r="151">
          <cell r="A151" t="str">
            <v>В-28655/КЛ</v>
          </cell>
        </row>
        <row r="152">
          <cell r="A152" t="str">
            <v>В-25466/АЗ</v>
          </cell>
        </row>
        <row r="153">
          <cell r="A153" t="str">
            <v>В-20210/КЛ</v>
          </cell>
        </row>
        <row r="154">
          <cell r="A154" t="str">
            <v>В-23897/КЛ</v>
          </cell>
        </row>
        <row r="155">
          <cell r="A155" t="str">
            <v>В-22996/КЛ</v>
          </cell>
        </row>
        <row r="156">
          <cell r="A156" t="str">
            <v>В-15881/КЛ</v>
          </cell>
        </row>
        <row r="157">
          <cell r="A157" t="str">
            <v>В-18851/КЛ</v>
          </cell>
        </row>
        <row r="158">
          <cell r="A158" t="str">
            <v>В-28383/КЛ</v>
          </cell>
        </row>
        <row r="159">
          <cell r="A159" t="str">
            <v>В-27256/КЛ</v>
          </cell>
        </row>
        <row r="160">
          <cell r="A160" t="str">
            <v>В-21666/КЛ</v>
          </cell>
        </row>
        <row r="161">
          <cell r="A161" t="str">
            <v>В-01207/АЗ</v>
          </cell>
        </row>
        <row r="162">
          <cell r="A162" t="str">
            <v>В-20458/КЛ</v>
          </cell>
        </row>
        <row r="163">
          <cell r="A163" t="str">
            <v>В-20172/КЛ</v>
          </cell>
        </row>
        <row r="164">
          <cell r="A164" t="str">
            <v>В-05256/КЛ</v>
          </cell>
        </row>
        <row r="165">
          <cell r="A165" t="str">
            <v>В-18890/КЛ</v>
          </cell>
        </row>
        <row r="166">
          <cell r="A166" t="str">
            <v>В-25687/АЗ</v>
          </cell>
        </row>
        <row r="167">
          <cell r="A167" t="str">
            <v>В-19179/КЛ</v>
          </cell>
        </row>
        <row r="168">
          <cell r="A168" t="str">
            <v>В-07729/КЛ</v>
          </cell>
        </row>
        <row r="169">
          <cell r="A169" t="str">
            <v>В-29072/КЛ</v>
          </cell>
        </row>
        <row r="170">
          <cell r="A170" t="str">
            <v>В-16541/КЛ</v>
          </cell>
        </row>
        <row r="171">
          <cell r="A171" t="str">
            <v>В-24336/КЛ</v>
          </cell>
        </row>
        <row r="172">
          <cell r="A172" t="str">
            <v>В-25529/КЛ</v>
          </cell>
        </row>
        <row r="173">
          <cell r="A173" t="str">
            <v>В-26093/КЛ</v>
          </cell>
        </row>
        <row r="174">
          <cell r="A174" t="str">
            <v>В-21175/КЛ</v>
          </cell>
        </row>
        <row r="175">
          <cell r="A175" t="str">
            <v>В-16432/КЛ</v>
          </cell>
        </row>
        <row r="176">
          <cell r="A176" t="str">
            <v>В-27878/АЗ</v>
          </cell>
        </row>
        <row r="177">
          <cell r="A177" t="str">
            <v>В-27848/АЗ</v>
          </cell>
        </row>
        <row r="178">
          <cell r="A178" t="str">
            <v>В-14633/КЛ</v>
          </cell>
        </row>
        <row r="179">
          <cell r="A179" t="str">
            <v>В-17506/КЛ</v>
          </cell>
        </row>
        <row r="180">
          <cell r="A180" t="str">
            <v>В-03359/КЛ</v>
          </cell>
        </row>
        <row r="181">
          <cell r="A181" t="str">
            <v>В-00239/КЛ</v>
          </cell>
        </row>
        <row r="182">
          <cell r="A182" t="str">
            <v>В-18438/КЛ</v>
          </cell>
        </row>
        <row r="183">
          <cell r="A183" t="str">
            <v>В-26474/КЛ</v>
          </cell>
        </row>
        <row r="184">
          <cell r="A184" t="str">
            <v>В-20787/КЛ</v>
          </cell>
        </row>
        <row r="185">
          <cell r="A185" t="str">
            <v>В-17199/КЛ</v>
          </cell>
        </row>
        <row r="186">
          <cell r="A186" t="str">
            <v>В-27105/КЛ</v>
          </cell>
        </row>
        <row r="187">
          <cell r="A187" t="str">
            <v>В-28544/КЛ</v>
          </cell>
        </row>
        <row r="188">
          <cell r="A188" t="str">
            <v>В-14860/КЛ</v>
          </cell>
        </row>
        <row r="189">
          <cell r="A189" t="str">
            <v>В-27416/АЗ</v>
          </cell>
        </row>
        <row r="190">
          <cell r="A190" t="str">
            <v>В-15393/КЛ</v>
          </cell>
        </row>
        <row r="191">
          <cell r="A191" t="str">
            <v>В-01148/АЗ</v>
          </cell>
        </row>
        <row r="192">
          <cell r="A192" t="str">
            <v>В-01147/АЗ</v>
          </cell>
        </row>
        <row r="193">
          <cell r="A193" t="str">
            <v>В-27050/АЗ</v>
          </cell>
        </row>
        <row r="194">
          <cell r="A194" t="str">
            <v>В-17824/КЛ</v>
          </cell>
        </row>
        <row r="195">
          <cell r="A195" t="str">
            <v>В-17752/КЛ</v>
          </cell>
        </row>
        <row r="196">
          <cell r="A196" t="str">
            <v>В-25806/КЛ</v>
          </cell>
        </row>
        <row r="197">
          <cell r="A197" t="str">
            <v>В-20218/КЛ</v>
          </cell>
        </row>
        <row r="198">
          <cell r="A198" t="str">
            <v>В-20032/КЛ</v>
          </cell>
        </row>
        <row r="199">
          <cell r="A199" t="str">
            <v>В-19451/КЛ</v>
          </cell>
        </row>
        <row r="200">
          <cell r="A200" t="str">
            <v>В-15163/КЛ</v>
          </cell>
        </row>
        <row r="201">
          <cell r="A201" t="str">
            <v>В-25367/АЗ</v>
          </cell>
        </row>
        <row r="202">
          <cell r="A202" t="str">
            <v>В-25370/АЗ</v>
          </cell>
        </row>
        <row r="203">
          <cell r="A203" t="str">
            <v>В-25304/АЗ</v>
          </cell>
        </row>
        <row r="204">
          <cell r="A204" t="str">
            <v>В-23242/КЛ</v>
          </cell>
        </row>
        <row r="205">
          <cell r="A205" t="str">
            <v>В-25513/КЛ</v>
          </cell>
        </row>
        <row r="206">
          <cell r="A206" t="str">
            <v>В-26776/КЛ</v>
          </cell>
        </row>
        <row r="207">
          <cell r="A207" t="str">
            <v>В-27747/КЛ</v>
          </cell>
        </row>
        <row r="208">
          <cell r="A208" t="str">
            <v>В-24261/КЛ</v>
          </cell>
        </row>
        <row r="209">
          <cell r="A209" t="str">
            <v>В-21075/КЛ</v>
          </cell>
        </row>
        <row r="210">
          <cell r="A210" t="str">
            <v>В-01098/АЗ</v>
          </cell>
        </row>
        <row r="211">
          <cell r="A211" t="str">
            <v>В-00017/КЛ</v>
          </cell>
        </row>
        <row r="212">
          <cell r="A212" t="str">
            <v>В-22057/КЛ</v>
          </cell>
        </row>
        <row r="213">
          <cell r="A213" t="str">
            <v>В-14544/КЛ</v>
          </cell>
        </row>
        <row r="214">
          <cell r="A214" t="str">
            <v>В-27521/КЛ</v>
          </cell>
        </row>
        <row r="215">
          <cell r="A215" t="str">
            <v>В-14907/КЛ</v>
          </cell>
        </row>
        <row r="216">
          <cell r="A216" t="str">
            <v>В-19526/КЛ</v>
          </cell>
        </row>
        <row r="217">
          <cell r="A217" t="str">
            <v>В-24927/КЛ</v>
          </cell>
        </row>
        <row r="218">
          <cell r="A218" t="str">
            <v>В-23712/КЛ</v>
          </cell>
        </row>
        <row r="219">
          <cell r="A219" t="str">
            <v>В-00473/КЛ</v>
          </cell>
        </row>
        <row r="220">
          <cell r="A220" t="str">
            <v>В-17106/КЛ</v>
          </cell>
        </row>
        <row r="221">
          <cell r="A221" t="str">
            <v>В-11534/КЛ</v>
          </cell>
        </row>
        <row r="222">
          <cell r="A222" t="str">
            <v>В-24878/КЛ</v>
          </cell>
        </row>
        <row r="223">
          <cell r="A223" t="str">
            <v>В-08745/КЛ</v>
          </cell>
        </row>
        <row r="224">
          <cell r="A224" t="str">
            <v>В-24823/КЛ</v>
          </cell>
        </row>
        <row r="225">
          <cell r="A225" t="str">
            <v>В-22627/КЛ</v>
          </cell>
        </row>
        <row r="226">
          <cell r="A226" t="str">
            <v>В-06035/КЛ</v>
          </cell>
        </row>
        <row r="227">
          <cell r="A227" t="str">
            <v>В-21574/КЛ</v>
          </cell>
        </row>
        <row r="228">
          <cell r="A228" t="str">
            <v>В-20200/КЛ</v>
          </cell>
        </row>
        <row r="229">
          <cell r="A229" t="str">
            <v>В-20490/КЛ</v>
          </cell>
        </row>
        <row r="230">
          <cell r="A230" t="str">
            <v>В-00077/КЭ</v>
          </cell>
        </row>
        <row r="231">
          <cell r="A231" t="str">
            <v>В-11162/КЛ</v>
          </cell>
        </row>
        <row r="232">
          <cell r="A232" t="str">
            <v>В-14196/КЛ</v>
          </cell>
        </row>
        <row r="233">
          <cell r="A233" t="str">
            <v>В-18757/КЛ</v>
          </cell>
        </row>
        <row r="234">
          <cell r="A234" t="str">
            <v>В-14178/КЛ</v>
          </cell>
        </row>
        <row r="235">
          <cell r="A235" t="str">
            <v>В-17934/КЛ</v>
          </cell>
        </row>
        <row r="236">
          <cell r="A236" t="str">
            <v>В-27980/КЛ</v>
          </cell>
        </row>
        <row r="237">
          <cell r="A237" t="str">
            <v>В-15532/КЛ</v>
          </cell>
        </row>
        <row r="238">
          <cell r="A238" t="str">
            <v>В-12279/КЛ</v>
          </cell>
        </row>
        <row r="239">
          <cell r="A239" t="str">
            <v>В-09795/КЛ</v>
          </cell>
        </row>
        <row r="240">
          <cell r="A240" t="str">
            <v>В-17788/КЛ</v>
          </cell>
        </row>
        <row r="241">
          <cell r="A241" t="str">
            <v>В-20060/КЛ</v>
          </cell>
        </row>
        <row r="242">
          <cell r="A242" t="str">
            <v>В-28329/КЛ</v>
          </cell>
        </row>
        <row r="243">
          <cell r="A243" t="str">
            <v>В-25457/КЛ</v>
          </cell>
        </row>
        <row r="244">
          <cell r="A244" t="str">
            <v>В-21048/КЛ</v>
          </cell>
        </row>
        <row r="245">
          <cell r="A245" t="str">
            <v>В-16959/КЛ</v>
          </cell>
        </row>
        <row r="246">
          <cell r="A246" t="str">
            <v>В-22538/КЛ</v>
          </cell>
        </row>
        <row r="247">
          <cell r="A247" t="str">
            <v>В-15560/КЛ</v>
          </cell>
        </row>
        <row r="248">
          <cell r="A248" t="str">
            <v>В-00068/КЭ</v>
          </cell>
        </row>
        <row r="249">
          <cell r="A249" t="str">
            <v>В-00070/КЭ</v>
          </cell>
        </row>
        <row r="250">
          <cell r="A250" t="str">
            <v>В-25302/КЛ</v>
          </cell>
        </row>
        <row r="251">
          <cell r="A251" t="str">
            <v>В-27434/КЛ</v>
          </cell>
        </row>
        <row r="252">
          <cell r="A252" t="str">
            <v>В-05654/КЛ</v>
          </cell>
        </row>
        <row r="253">
          <cell r="A253" t="str">
            <v>В-20855/КЛ</v>
          </cell>
        </row>
        <row r="254">
          <cell r="A254" t="str">
            <v>В-24021/КЛ</v>
          </cell>
        </row>
        <row r="255">
          <cell r="A255" t="str">
            <v>В-18370/КЛ</v>
          </cell>
        </row>
        <row r="256">
          <cell r="A256" t="str">
            <v>В-01061/АЗ</v>
          </cell>
        </row>
        <row r="257">
          <cell r="A257" t="str">
            <v>В-04210/КЛ</v>
          </cell>
        </row>
        <row r="258">
          <cell r="A258" t="str">
            <v>В-22728/КЛ</v>
          </cell>
        </row>
        <row r="259">
          <cell r="A259" t="str">
            <v>В-16023/КЛ</v>
          </cell>
        </row>
        <row r="260">
          <cell r="A260" t="str">
            <v>В-21079/КЛ</v>
          </cell>
        </row>
        <row r="261">
          <cell r="A261" t="str">
            <v>В-17051/КЛ</v>
          </cell>
        </row>
        <row r="262">
          <cell r="A262" t="str">
            <v>В-21847/КЛ</v>
          </cell>
        </row>
        <row r="263">
          <cell r="A263" t="str">
            <v>В-11407/КЛ</v>
          </cell>
        </row>
        <row r="264">
          <cell r="A264" t="str">
            <v>В-26247/КЛ</v>
          </cell>
        </row>
        <row r="265">
          <cell r="A265" t="str">
            <v>В-26242/КЛ</v>
          </cell>
        </row>
        <row r="266">
          <cell r="A266" t="str">
            <v>В-27006/КЛ</v>
          </cell>
        </row>
        <row r="267">
          <cell r="A267" t="str">
            <v>В-12368/КЛ</v>
          </cell>
        </row>
        <row r="268">
          <cell r="A268" t="str">
            <v>В-01202/АЗ</v>
          </cell>
        </row>
        <row r="269">
          <cell r="A269" t="str">
            <v>В-08918/КЛ</v>
          </cell>
        </row>
        <row r="270">
          <cell r="A270" t="str">
            <v>В-02154/КЛ</v>
          </cell>
        </row>
        <row r="271">
          <cell r="A271" t="str">
            <v>В-10934/КЛ</v>
          </cell>
        </row>
        <row r="272">
          <cell r="A272" t="str">
            <v>В-25747/КЛ</v>
          </cell>
        </row>
        <row r="273">
          <cell r="A273" t="str">
            <v>В-22352/АЗ</v>
          </cell>
        </row>
        <row r="274">
          <cell r="A274" t="str">
            <v>В-12391/КЛ</v>
          </cell>
        </row>
        <row r="275">
          <cell r="A275" t="str">
            <v>В-21208/КЛ</v>
          </cell>
        </row>
        <row r="276">
          <cell r="A276" t="str">
            <v>В-17687/КЛ</v>
          </cell>
        </row>
        <row r="277">
          <cell r="A277" t="str">
            <v>В-12427/КЛ</v>
          </cell>
        </row>
        <row r="278">
          <cell r="A278" t="str">
            <v>В-22897/КЛ</v>
          </cell>
        </row>
        <row r="279">
          <cell r="A279" t="str">
            <v>В-13254/КЛ</v>
          </cell>
        </row>
        <row r="280">
          <cell r="A280" t="str">
            <v>В-01692/КЛ</v>
          </cell>
        </row>
        <row r="281">
          <cell r="A281" t="str">
            <v>В-03974/КЛ</v>
          </cell>
        </row>
        <row r="282">
          <cell r="A282" t="str">
            <v>В-11825/КЛ</v>
          </cell>
        </row>
        <row r="283">
          <cell r="A283" t="str">
            <v>В-21040/КЛ</v>
          </cell>
        </row>
        <row r="284">
          <cell r="A284" t="str">
            <v>В-10012/КЭ</v>
          </cell>
        </row>
        <row r="285">
          <cell r="A285" t="str">
            <v>В-13104/КЛ</v>
          </cell>
        </row>
        <row r="286">
          <cell r="A286" t="str">
            <v>В-19655/КЛ</v>
          </cell>
        </row>
        <row r="287">
          <cell r="A287" t="str">
            <v>В-21858/КЛ</v>
          </cell>
        </row>
        <row r="288">
          <cell r="A288" t="str">
            <v>В-12401/КЛ</v>
          </cell>
        </row>
        <row r="289">
          <cell r="A289" t="str">
            <v>В-17153/КЛ</v>
          </cell>
        </row>
        <row r="290">
          <cell r="A290" t="str">
            <v>В-09890/КЛ</v>
          </cell>
        </row>
        <row r="291">
          <cell r="A291" t="str">
            <v>Т-10006/КЭ_Т-20211028/Ц</v>
          </cell>
        </row>
        <row r="292">
          <cell r="A292" t="str">
            <v>В-23840/КЛ</v>
          </cell>
        </row>
        <row r="293">
          <cell r="A293" t="str">
            <v>В-12483/КЛ</v>
          </cell>
        </row>
        <row r="294">
          <cell r="A294" t="str">
            <v>В-11334/КЛ</v>
          </cell>
        </row>
        <row r="295">
          <cell r="A295" t="str">
            <v>В-01107/АЗ</v>
          </cell>
        </row>
        <row r="296">
          <cell r="A296" t="str">
            <v>В-09213/КЛ</v>
          </cell>
        </row>
        <row r="297">
          <cell r="A297" t="str">
            <v>В-12246/КЛ</v>
          </cell>
        </row>
        <row r="298">
          <cell r="A298" t="str">
            <v>В-20437/КЛ</v>
          </cell>
        </row>
        <row r="299">
          <cell r="A299" t="str">
            <v>В-17062/КЛ</v>
          </cell>
        </row>
        <row r="300">
          <cell r="A300" t="str">
            <v>В-25131/КЛ</v>
          </cell>
        </row>
        <row r="301">
          <cell r="A301" t="str">
            <v>В-00439/КЛ</v>
          </cell>
        </row>
        <row r="302">
          <cell r="A302" t="str">
            <v>В-00145/КЛ</v>
          </cell>
        </row>
        <row r="303">
          <cell r="A303" t="str">
            <v>В-23633/КЛ</v>
          </cell>
        </row>
        <row r="304">
          <cell r="A304" t="str">
            <v>В-20497/КЛ</v>
          </cell>
        </row>
        <row r="305">
          <cell r="A305" t="str">
            <v>В-17805/КЛ</v>
          </cell>
        </row>
        <row r="306">
          <cell r="A306" t="str">
            <v>В-21454/КЛ</v>
          </cell>
        </row>
        <row r="307">
          <cell r="A307" t="str">
            <v>В-01898/КЛ</v>
          </cell>
        </row>
        <row r="308">
          <cell r="A308" t="str">
            <v>В-15750/КЛ</v>
          </cell>
        </row>
        <row r="309">
          <cell r="A309" t="str">
            <v>В-01200/АЗ</v>
          </cell>
        </row>
        <row r="310">
          <cell r="A310" t="str">
            <v>В-22026/КЛ</v>
          </cell>
        </row>
        <row r="311">
          <cell r="A311" t="str">
            <v>В-22026/КЛ</v>
          </cell>
        </row>
        <row r="312">
          <cell r="A312" t="str">
            <v>В-24267/КЛ</v>
          </cell>
        </row>
        <row r="313">
          <cell r="A313" t="str">
            <v>В-01175/АЗ</v>
          </cell>
        </row>
        <row r="314">
          <cell r="A314" t="str">
            <v>В-00039/КЭ</v>
          </cell>
        </row>
        <row r="315">
          <cell r="A315" t="str">
            <v>В-18654/КЛ</v>
          </cell>
        </row>
        <row r="316">
          <cell r="A316" t="str">
            <v>В-30009/КЭ</v>
          </cell>
        </row>
        <row r="317">
          <cell r="A317" t="str">
            <v>В-18366/КЛ</v>
          </cell>
        </row>
        <row r="318">
          <cell r="A318" t="str">
            <v>В-22426/КЛ</v>
          </cell>
        </row>
        <row r="319">
          <cell r="A319" t="str">
            <v>В-02707/КЛ</v>
          </cell>
        </row>
        <row r="320">
          <cell r="A320" t="str">
            <v>В-20046/КЛ</v>
          </cell>
        </row>
        <row r="321">
          <cell r="A321" t="str">
            <v>В-20546/КЛ</v>
          </cell>
        </row>
        <row r="322">
          <cell r="A322" t="str">
            <v>В-22833/КЛ</v>
          </cell>
        </row>
        <row r="323">
          <cell r="A323" t="str">
            <v>В-24989/АЗ</v>
          </cell>
        </row>
        <row r="324">
          <cell r="A324" t="str">
            <v>В-24642/АЗ</v>
          </cell>
        </row>
        <row r="325">
          <cell r="A325" t="str">
            <v>В-17073/КЛ</v>
          </cell>
        </row>
        <row r="326">
          <cell r="A326" t="str">
            <v>Т-01914/АЗ_Т-20211028/Ц</v>
          </cell>
        </row>
        <row r="327">
          <cell r="A327" t="str">
            <v>В-15200/КЛ</v>
          </cell>
        </row>
        <row r="328">
          <cell r="A328" t="str">
            <v>В-17708/КЛ</v>
          </cell>
        </row>
        <row r="329">
          <cell r="A329" t="str">
            <v>В-13219/КЛ</v>
          </cell>
        </row>
        <row r="330">
          <cell r="A330" t="str">
            <v>В-24072/АЗ</v>
          </cell>
        </row>
        <row r="331">
          <cell r="A331" t="str">
            <v>В-23045/КЛ</v>
          </cell>
        </row>
        <row r="332">
          <cell r="A332" t="str">
            <v>Т-01931/АЗ_Т-20211028/Ц</v>
          </cell>
        </row>
        <row r="333">
          <cell r="A333" t="str">
            <v>В-00951/АЗ</v>
          </cell>
        </row>
        <row r="334">
          <cell r="A334" t="str">
            <v>В-15165/КЛ</v>
          </cell>
        </row>
        <row r="335">
          <cell r="A335" t="str">
            <v>В-21146/КЛ</v>
          </cell>
        </row>
        <row r="336">
          <cell r="A336" t="str">
            <v>В-23325/АЗ</v>
          </cell>
        </row>
        <row r="337">
          <cell r="A337" t="str">
            <v>В-23339/АЗ</v>
          </cell>
        </row>
        <row r="338">
          <cell r="A338" t="str">
            <v>В-00021/КЭ</v>
          </cell>
        </row>
        <row r="339">
          <cell r="A339" t="str">
            <v>В-17362/КЛ</v>
          </cell>
        </row>
        <row r="340">
          <cell r="A340" t="str">
            <v>В-21269/КЛ</v>
          </cell>
        </row>
        <row r="341">
          <cell r="A341" t="str">
            <v>В-22642/КЛ</v>
          </cell>
        </row>
        <row r="342">
          <cell r="A342" t="str">
            <v>В-01159/АЗ</v>
          </cell>
        </row>
        <row r="343">
          <cell r="A343" t="str">
            <v>В-11595/КЛ</v>
          </cell>
        </row>
        <row r="344">
          <cell r="A344" t="str">
            <v>В-08148/КЛ</v>
          </cell>
        </row>
        <row r="345">
          <cell r="A345" t="str">
            <v>В-09725/КЛ</v>
          </cell>
        </row>
        <row r="346">
          <cell r="A346" t="str">
            <v>В-15822/КЛ</v>
          </cell>
        </row>
        <row r="347">
          <cell r="A347" t="str">
            <v>В-15908/КЛ</v>
          </cell>
        </row>
        <row r="348">
          <cell r="A348" t="str">
            <v>В-20766/КЛ</v>
          </cell>
        </row>
        <row r="349">
          <cell r="A349" t="str">
            <v>В-13136/КЛ</v>
          </cell>
        </row>
        <row r="350">
          <cell r="A350" t="str">
            <v>В-14529/КЛ</v>
          </cell>
        </row>
        <row r="351">
          <cell r="A351" t="str">
            <v>В-01179/АЗ</v>
          </cell>
        </row>
        <row r="352">
          <cell r="A352" t="str">
            <v>В-17030/КЛ</v>
          </cell>
        </row>
        <row r="353">
          <cell r="A353" t="str">
            <v>В-07147/КЛ</v>
          </cell>
        </row>
        <row r="354">
          <cell r="A354" t="str">
            <v>В-12410/КЛ</v>
          </cell>
        </row>
        <row r="355">
          <cell r="A355" t="str">
            <v>В-00137/АЗ</v>
          </cell>
        </row>
        <row r="356">
          <cell r="A356" t="str">
            <v>В-00034/КЭ</v>
          </cell>
        </row>
        <row r="357">
          <cell r="A357" t="str">
            <v>В-14335/КЛ</v>
          </cell>
        </row>
        <row r="358">
          <cell r="A358" t="str">
            <v>В-00553/КЛ</v>
          </cell>
        </row>
        <row r="359">
          <cell r="A359" t="str">
            <v>В-18163/КЛ</v>
          </cell>
        </row>
        <row r="360">
          <cell r="A360" t="str">
            <v>В-22436/АЗ</v>
          </cell>
        </row>
        <row r="361">
          <cell r="A361" t="str">
            <v>В-22434/АЗ</v>
          </cell>
        </row>
        <row r="362">
          <cell r="A362" t="str">
            <v>В-22201/КЛ</v>
          </cell>
        </row>
        <row r="363">
          <cell r="A363" t="str">
            <v>В-22173/КЛ</v>
          </cell>
        </row>
        <row r="364">
          <cell r="A364" t="str">
            <v>Т-01893/АЗ_Т-20211028/Ц</v>
          </cell>
        </row>
        <row r="365">
          <cell r="A365" t="str">
            <v>В-02961/КЛ</v>
          </cell>
        </row>
        <row r="366">
          <cell r="A366" t="str">
            <v>В-24983/КЛ</v>
          </cell>
        </row>
        <row r="367">
          <cell r="A367" t="str">
            <v>В-13051/КЛ</v>
          </cell>
        </row>
        <row r="368">
          <cell r="A368" t="str">
            <v>В-16757/КЛ</v>
          </cell>
        </row>
        <row r="369">
          <cell r="A369" t="str">
            <v>В-16757/КЛ</v>
          </cell>
        </row>
        <row r="370">
          <cell r="A370" t="str">
            <v>В-15085/КЛ</v>
          </cell>
        </row>
        <row r="371">
          <cell r="A371" t="str">
            <v>В-12551/КЛ</v>
          </cell>
        </row>
        <row r="372">
          <cell r="A372" t="str">
            <v>В-11946/КЛ</v>
          </cell>
        </row>
        <row r="373">
          <cell r="A373" t="str">
            <v>В-19349/КЛ</v>
          </cell>
        </row>
        <row r="374">
          <cell r="A374" t="str">
            <v>В-20442/КЛ</v>
          </cell>
        </row>
        <row r="375">
          <cell r="A375" t="str">
            <v>В-00772/АЗ</v>
          </cell>
        </row>
        <row r="376">
          <cell r="A376" t="str">
            <v>В-18008/КЛ</v>
          </cell>
        </row>
        <row r="377">
          <cell r="A377" t="str">
            <v>В-01216/КЛ</v>
          </cell>
        </row>
        <row r="378">
          <cell r="A378" t="str">
            <v>В-04229/КЛ</v>
          </cell>
        </row>
        <row r="379">
          <cell r="A379" t="str">
            <v>В-14005/КЛ</v>
          </cell>
        </row>
        <row r="380">
          <cell r="A380" t="str">
            <v>В-00708/АЗ</v>
          </cell>
        </row>
        <row r="381">
          <cell r="A381" t="str">
            <v>В-01252/КЛ</v>
          </cell>
        </row>
        <row r="382">
          <cell r="A382" t="str">
            <v>В-22238/КЛ</v>
          </cell>
        </row>
        <row r="383">
          <cell r="A383" t="str">
            <v>В-14310/КЛ</v>
          </cell>
        </row>
        <row r="384">
          <cell r="A384" t="str">
            <v>В-21019/КЛ</v>
          </cell>
        </row>
        <row r="385">
          <cell r="A385" t="str">
            <v>В-00806/АЗ</v>
          </cell>
        </row>
        <row r="386">
          <cell r="A386" t="str">
            <v>В-00733/АЗ</v>
          </cell>
        </row>
        <row r="387">
          <cell r="A387" t="str">
            <v>В-00496/АЗ</v>
          </cell>
        </row>
        <row r="388">
          <cell r="A388" t="str">
            <v>В-19791/КЛ</v>
          </cell>
        </row>
        <row r="389">
          <cell r="A389" t="str">
            <v>В-13264/КЛ</v>
          </cell>
        </row>
        <row r="390">
          <cell r="A390" t="str">
            <v>В-08064/КЛ</v>
          </cell>
        </row>
        <row r="391">
          <cell r="A391" t="str">
            <v>В-17315/КЛ</v>
          </cell>
        </row>
        <row r="392">
          <cell r="A392" t="str">
            <v>В-20300/КЛ</v>
          </cell>
        </row>
        <row r="393">
          <cell r="A393" t="str">
            <v>В-11934/КЛ</v>
          </cell>
        </row>
        <row r="394">
          <cell r="A394" t="str">
            <v>В-14453/КЛ</v>
          </cell>
        </row>
        <row r="395">
          <cell r="A395" t="str">
            <v>В-10123/КЛ</v>
          </cell>
        </row>
        <row r="396">
          <cell r="A396" t="str">
            <v>В-17167/КЛ</v>
          </cell>
        </row>
        <row r="397">
          <cell r="A397" t="str">
            <v>В-12548/КЛ</v>
          </cell>
        </row>
        <row r="398">
          <cell r="A398" t="str">
            <v>В-20703/КЛ</v>
          </cell>
        </row>
        <row r="399">
          <cell r="A399" t="str">
            <v>В-01271/КЛ</v>
          </cell>
        </row>
        <row r="400">
          <cell r="A400" t="str">
            <v>В-12484/КЛ</v>
          </cell>
        </row>
        <row r="401">
          <cell r="A401" t="str">
            <v>В-09292/КЛ</v>
          </cell>
        </row>
        <row r="402">
          <cell r="A402" t="str">
            <v>В-07717/КЛ</v>
          </cell>
        </row>
        <row r="403">
          <cell r="A403" t="str">
            <v>В-08065/КЛ</v>
          </cell>
        </row>
        <row r="404">
          <cell r="A404" t="str">
            <v>В-20635/КЛ</v>
          </cell>
        </row>
        <row r="405">
          <cell r="A405" t="str">
            <v xml:space="preserve">В-00918/АЗ </v>
          </cell>
        </row>
        <row r="406">
          <cell r="A406" t="str">
            <v>В-03938/КЛ</v>
          </cell>
        </row>
        <row r="407">
          <cell r="A407" t="str">
            <v>В-08603/КЛ</v>
          </cell>
        </row>
        <row r="408">
          <cell r="A408" t="str">
            <v>В-17852/КЛ</v>
          </cell>
        </row>
        <row r="409">
          <cell r="A409" t="str">
            <v>В-00612/АЗ</v>
          </cell>
        </row>
        <row r="410">
          <cell r="A410" t="str">
            <v>В-13507/КЛ</v>
          </cell>
        </row>
        <row r="411">
          <cell r="A411" t="str">
            <v>В-15412/КЛ</v>
          </cell>
        </row>
        <row r="412">
          <cell r="A412" t="str">
            <v>В-00178/КЛ</v>
          </cell>
        </row>
        <row r="413">
          <cell r="A413" t="str">
            <v>В-19846/КЛ</v>
          </cell>
        </row>
        <row r="414">
          <cell r="A414" t="str">
            <v>В-15330/КЛ</v>
          </cell>
        </row>
        <row r="415">
          <cell r="A415" t="str">
            <v>В-19766/КЛ</v>
          </cell>
        </row>
        <row r="416">
          <cell r="A416" t="str">
            <v>А-05082/АЗ</v>
          </cell>
        </row>
        <row r="417">
          <cell r="A417" t="str">
            <v>В-17201/КЛ</v>
          </cell>
        </row>
        <row r="418">
          <cell r="A418" t="str">
            <v>В-07411/КЛ</v>
          </cell>
        </row>
        <row r="419">
          <cell r="A419" t="str">
            <v>В-18538/КЛ</v>
          </cell>
        </row>
        <row r="420">
          <cell r="A420" t="str">
            <v>В-16861/КЛ</v>
          </cell>
        </row>
        <row r="421">
          <cell r="A421" t="str">
            <v>В-08391/КЛ</v>
          </cell>
        </row>
        <row r="422">
          <cell r="A422" t="str">
            <v>В-08361/КЛ</v>
          </cell>
        </row>
        <row r="423">
          <cell r="A423" t="str">
            <v>В-12675/КЛ</v>
          </cell>
        </row>
        <row r="424">
          <cell r="A424" t="str">
            <v>В-00023/КЭ</v>
          </cell>
        </row>
        <row r="425">
          <cell r="A425" t="str">
            <v>В-18167/КЛ</v>
          </cell>
        </row>
        <row r="426">
          <cell r="A426" t="str">
            <v>В-00012/КЭ</v>
          </cell>
        </row>
        <row r="427">
          <cell r="A427" t="str">
            <v>В-11932/КЛ</v>
          </cell>
        </row>
        <row r="428">
          <cell r="A428" t="str">
            <v>В-19329/КЛ</v>
          </cell>
        </row>
        <row r="429">
          <cell r="A429" t="str">
            <v>В-00339/АЗ</v>
          </cell>
        </row>
        <row r="430">
          <cell r="A430" t="str">
            <v>В-15222/КЛ</v>
          </cell>
        </row>
        <row r="431">
          <cell r="A431" t="str">
            <v>Т-00008/КЭ</v>
          </cell>
        </row>
        <row r="432">
          <cell r="A432" t="str">
            <v>В-13629/КЛ</v>
          </cell>
        </row>
        <row r="433">
          <cell r="A433" t="str">
            <v>В-01172/АЗ</v>
          </cell>
        </row>
        <row r="434">
          <cell r="A434" t="str">
            <v>В-01171/АЗ</v>
          </cell>
        </row>
        <row r="435">
          <cell r="A435" t="str">
            <v>В-15448/КЛ</v>
          </cell>
        </row>
        <row r="436">
          <cell r="A436" t="str">
            <v>В-04293/КЛ</v>
          </cell>
        </row>
        <row r="437">
          <cell r="A437" t="str">
            <v>В-11521/КЛ</v>
          </cell>
        </row>
        <row r="438">
          <cell r="A438" t="str">
            <v>В-18791/КЛ</v>
          </cell>
        </row>
        <row r="439">
          <cell r="A439" t="str">
            <v>В-19097/КЛ</v>
          </cell>
        </row>
        <row r="440">
          <cell r="A440" t="str">
            <v>В-19025/КЛ</v>
          </cell>
        </row>
        <row r="441">
          <cell r="A441" t="str">
            <v>В-18983/КЛ</v>
          </cell>
        </row>
        <row r="442">
          <cell r="A442" t="str">
            <v>В-18237/КЛ</v>
          </cell>
        </row>
        <row r="443">
          <cell r="A443" t="str">
            <v>В-05425/КЛ</v>
          </cell>
        </row>
        <row r="444">
          <cell r="A444" t="str">
            <v>В-11186/КЛ</v>
          </cell>
        </row>
        <row r="445">
          <cell r="A445" t="str">
            <v>В-19132/КЛ</v>
          </cell>
        </row>
        <row r="446">
          <cell r="A446" t="str">
            <v>В-04096/КЛ</v>
          </cell>
        </row>
        <row r="447">
          <cell r="A447" t="str">
            <v>Т-00038/БЭ</v>
          </cell>
        </row>
        <row r="448">
          <cell r="A448" t="str">
            <v>А-00063/БЭ</v>
          </cell>
        </row>
        <row r="449">
          <cell r="A449" t="str">
            <v>В-17625/КЛ</v>
          </cell>
        </row>
        <row r="450">
          <cell r="A450" t="str">
            <v>В-13070/КЛ</v>
          </cell>
        </row>
        <row r="451">
          <cell r="A451" t="str">
            <v>В-07384/КЛ</v>
          </cell>
        </row>
        <row r="452">
          <cell r="A452" t="str">
            <v>В-16915/КЛ</v>
          </cell>
        </row>
        <row r="453">
          <cell r="A453" t="str">
            <v>В-15583/КЛ</v>
          </cell>
        </row>
        <row r="454">
          <cell r="A454" t="str">
            <v>В-13042/КЛ</v>
          </cell>
        </row>
        <row r="455">
          <cell r="A455" t="str">
            <v>В-08288/КЛ</v>
          </cell>
        </row>
        <row r="456">
          <cell r="A456" t="str">
            <v>В-17043/КЛ</v>
          </cell>
        </row>
        <row r="457">
          <cell r="A457" t="str">
            <v>В-21219/КЛ</v>
          </cell>
        </row>
        <row r="458">
          <cell r="A458" t="str">
            <v>В-18055/КЛ</v>
          </cell>
        </row>
        <row r="459">
          <cell r="A459" t="str">
            <v>В-18216/КЛ</v>
          </cell>
        </row>
        <row r="460">
          <cell r="A460" t="str">
            <v>В-17075/КЛ</v>
          </cell>
        </row>
        <row r="461">
          <cell r="A461" t="str">
            <v>Т-01878/АЗ</v>
          </cell>
        </row>
        <row r="462">
          <cell r="A462" t="str">
            <v>В-18171/КЛ</v>
          </cell>
        </row>
        <row r="463">
          <cell r="A463" t="str">
            <v>В-10278/КЛ</v>
          </cell>
        </row>
        <row r="464">
          <cell r="A464" t="str">
            <v>В-01104/АЗ</v>
          </cell>
        </row>
        <row r="465">
          <cell r="A465" t="str">
            <v>В-17242/КЛ</v>
          </cell>
        </row>
        <row r="466">
          <cell r="A466" t="str">
            <v>А-10122/КЭ</v>
          </cell>
        </row>
        <row r="467">
          <cell r="A467" t="str">
            <v>В-00508/АЗ</v>
          </cell>
        </row>
        <row r="468">
          <cell r="A468" t="str">
            <v>В-17724/КЛ</v>
          </cell>
        </row>
        <row r="469">
          <cell r="A469" t="str">
            <v>В-00963/АЗ</v>
          </cell>
        </row>
        <row r="470">
          <cell r="A470" t="str">
            <v>А-05463/АЗ</v>
          </cell>
        </row>
        <row r="471">
          <cell r="A471" t="str">
            <v>Т-01935/АЗ</v>
          </cell>
        </row>
        <row r="472">
          <cell r="A472" t="str">
            <v>А-04639/АЗ</v>
          </cell>
        </row>
        <row r="473">
          <cell r="A473" t="str">
            <v>В-10433/КЛ</v>
          </cell>
        </row>
        <row r="474">
          <cell r="A474" t="str">
            <v>В-13669/КЛ</v>
          </cell>
        </row>
        <row r="475">
          <cell r="A475" t="str">
            <v>В-12380/КЛ</v>
          </cell>
        </row>
        <row r="476">
          <cell r="A476" t="str">
            <v>В-10638/КЛ</v>
          </cell>
        </row>
        <row r="477">
          <cell r="A477" t="str">
            <v>В-17533/КЛ</v>
          </cell>
        </row>
        <row r="478">
          <cell r="A478" t="str">
            <v>В-11733/КЛ</v>
          </cell>
        </row>
        <row r="479">
          <cell r="A479" t="str">
            <v>В-01176/АЗ</v>
          </cell>
        </row>
        <row r="480">
          <cell r="A480" t="str">
            <v>В-17940/КЛ</v>
          </cell>
        </row>
        <row r="481">
          <cell r="A481" t="str">
            <v>В-01092/КЛ</v>
          </cell>
        </row>
        <row r="482">
          <cell r="A482" t="str">
            <v>В-00319/КЛ</v>
          </cell>
        </row>
        <row r="483">
          <cell r="A483" t="str">
            <v>В-16186/КЛ</v>
          </cell>
        </row>
        <row r="484">
          <cell r="A484" t="str">
            <v>В-09916/КЛ</v>
          </cell>
        </row>
        <row r="485">
          <cell r="A485" t="str">
            <v>В-16877/КЛ</v>
          </cell>
        </row>
        <row r="486">
          <cell r="A486" t="str">
            <v>В-16777/КЛ</v>
          </cell>
        </row>
        <row r="487">
          <cell r="A487" t="str">
            <v>В-09302/КЛ</v>
          </cell>
        </row>
        <row r="488">
          <cell r="A488" t="str">
            <v>В-03324/КЛ</v>
          </cell>
        </row>
        <row r="489">
          <cell r="A489" t="str">
            <v>В-16457/КЛ</v>
          </cell>
        </row>
        <row r="490">
          <cell r="A490" t="str">
            <v>В-00011/КЭ</v>
          </cell>
        </row>
        <row r="491">
          <cell r="A491" t="str">
            <v>В-01131/АЗ</v>
          </cell>
        </row>
        <row r="492">
          <cell r="A492" t="str">
            <v>В-14484/КЛ</v>
          </cell>
        </row>
        <row r="493">
          <cell r="A493" t="str">
            <v>В-14621/КЛ</v>
          </cell>
        </row>
        <row r="494">
          <cell r="A494" t="str">
            <v>В-10013/КЭ</v>
          </cell>
        </row>
        <row r="495">
          <cell r="A495" t="str">
            <v>В-11861/КЛ</v>
          </cell>
        </row>
        <row r="496">
          <cell r="A496" t="str">
            <v>В-15156/КЛ</v>
          </cell>
        </row>
        <row r="497">
          <cell r="A497" t="str">
            <v>В-11824/КЛ</v>
          </cell>
        </row>
        <row r="498">
          <cell r="A498" t="str">
            <v>В-01084/АЗ</v>
          </cell>
        </row>
        <row r="499">
          <cell r="A499" t="str">
            <v>В-01085/АЗ</v>
          </cell>
        </row>
        <row r="500">
          <cell r="A500" t="str">
            <v>В-02690/КЛ</v>
          </cell>
        </row>
        <row r="501">
          <cell r="A501" t="str">
            <v>В-16441/КЛ</v>
          </cell>
        </row>
        <row r="502">
          <cell r="A502" t="str">
            <v>Т-10005/КЭ</v>
          </cell>
        </row>
        <row r="503">
          <cell r="A503" t="str">
            <v>В-01110/АЗ</v>
          </cell>
        </row>
        <row r="504">
          <cell r="A504" t="str">
            <v>В-00022/КЭ</v>
          </cell>
        </row>
        <row r="505">
          <cell r="A505" t="str">
            <v>А-00458/КЭ</v>
          </cell>
        </row>
        <row r="506">
          <cell r="A506" t="str">
            <v>В-00370/АЗ</v>
          </cell>
        </row>
        <row r="507">
          <cell r="A507" t="str">
            <v>В-18929/КЛ</v>
          </cell>
        </row>
        <row r="508">
          <cell r="A508" t="str">
            <v>В-12894/КЛ</v>
          </cell>
        </row>
        <row r="509">
          <cell r="A509" t="str">
            <v>В-00881/АЗ</v>
          </cell>
        </row>
        <row r="510">
          <cell r="A510" t="str">
            <v>В-09247/КЛ</v>
          </cell>
        </row>
        <row r="511">
          <cell r="A511" t="str">
            <v>В-12042/КЛ</v>
          </cell>
        </row>
        <row r="512">
          <cell r="A512" t="str">
            <v>В-00359/КЛ</v>
          </cell>
        </row>
        <row r="513">
          <cell r="A513" t="str">
            <v>А-00009/ИЗ</v>
          </cell>
        </row>
        <row r="514">
          <cell r="A514" t="str">
            <v>В-02777/КЛ</v>
          </cell>
        </row>
        <row r="515">
          <cell r="A515" t="str">
            <v>В-14727/КЛ</v>
          </cell>
        </row>
        <row r="516">
          <cell r="A516" t="str">
            <v>В-11333/КЛ</v>
          </cell>
        </row>
        <row r="517">
          <cell r="A517" t="str">
            <v>В-16873/КЛ</v>
          </cell>
        </row>
        <row r="518">
          <cell r="A518" t="str">
            <v>В-17494/КЛ</v>
          </cell>
        </row>
        <row r="519">
          <cell r="A519" t="str">
            <v>В-14569/КЛ</v>
          </cell>
        </row>
        <row r="520">
          <cell r="A520" t="str">
            <v>В-13600/КЛ</v>
          </cell>
        </row>
        <row r="521">
          <cell r="A521" t="str">
            <v>В-03392/КЛ</v>
          </cell>
        </row>
        <row r="522">
          <cell r="A522" t="str">
            <v>В-12294/КЛ</v>
          </cell>
        </row>
        <row r="523">
          <cell r="A523" t="str">
            <v>В-07544/КЛ</v>
          </cell>
        </row>
        <row r="524">
          <cell r="A524" t="str">
            <v>В-11307/КЛ</v>
          </cell>
        </row>
        <row r="525">
          <cell r="A525" t="str">
            <v>В-05009/КЛ</v>
          </cell>
        </row>
        <row r="526">
          <cell r="A526" t="str">
            <v>А-00404/КЭ</v>
          </cell>
        </row>
        <row r="527">
          <cell r="A527" t="str">
            <v>В-03040/КЛ</v>
          </cell>
        </row>
        <row r="528">
          <cell r="A528" t="str">
            <v>В-00884/АЗ</v>
          </cell>
        </row>
        <row r="529">
          <cell r="A529" t="str">
            <v>В-01109/АЗ</v>
          </cell>
        </row>
        <row r="530">
          <cell r="A530" t="str">
            <v>В-01099/АЗ</v>
          </cell>
        </row>
        <row r="531">
          <cell r="A531" t="str">
            <v>В-11523/КЛ</v>
          </cell>
        </row>
        <row r="532">
          <cell r="A532" t="str">
            <v>В-13177/КЛ</v>
          </cell>
        </row>
        <row r="533">
          <cell r="A533" t="str">
            <v>В-00992/АЗ</v>
          </cell>
        </row>
        <row r="534">
          <cell r="A534" t="str">
            <v>В-07008/КЛ</v>
          </cell>
        </row>
        <row r="535">
          <cell r="A535" t="str">
            <v>В-13625/КЛ</v>
          </cell>
        </row>
        <row r="536">
          <cell r="A536" t="str">
            <v>В-09290/КЛ</v>
          </cell>
        </row>
        <row r="537">
          <cell r="A537" t="str">
            <v>В-12741/КЛ</v>
          </cell>
        </row>
        <row r="538">
          <cell r="A538" t="str">
            <v>В-09513/КЛ</v>
          </cell>
        </row>
        <row r="539">
          <cell r="A539" t="str">
            <v>В-00988/АЗ</v>
          </cell>
        </row>
        <row r="540">
          <cell r="A540" t="str">
            <v>В-00687/АЗ</v>
          </cell>
        </row>
        <row r="541">
          <cell r="A541" t="str">
            <v>В-11190/КЛ</v>
          </cell>
        </row>
        <row r="542">
          <cell r="A542" t="str">
            <v>В-15171/КЛ</v>
          </cell>
        </row>
        <row r="543">
          <cell r="A543" t="str">
            <v>В-01046/АЗ</v>
          </cell>
        </row>
        <row r="544">
          <cell r="A544" t="str">
            <v>В-13544/КЛ</v>
          </cell>
        </row>
        <row r="545">
          <cell r="A545" t="str">
            <v>В-12016/КЛ</v>
          </cell>
        </row>
        <row r="546">
          <cell r="A546" t="str">
            <v>В-01647/КЛ</v>
          </cell>
        </row>
        <row r="547">
          <cell r="A547" t="str">
            <v>Т-00002/КЭ</v>
          </cell>
        </row>
        <row r="548">
          <cell r="A548" t="str">
            <v>В-00808/АЗ</v>
          </cell>
        </row>
        <row r="549">
          <cell r="A549" t="str">
            <v>В-00737/АЗ</v>
          </cell>
        </row>
        <row r="550">
          <cell r="A550" t="str">
            <v>В-05401/КЛ</v>
          </cell>
        </row>
        <row r="551">
          <cell r="A551" t="str">
            <v>В-01102/АЗ</v>
          </cell>
        </row>
        <row r="552">
          <cell r="A552" t="str">
            <v>В-14944/КЛ</v>
          </cell>
        </row>
        <row r="553">
          <cell r="A553" t="str">
            <v>В-08626/КЛ</v>
          </cell>
        </row>
        <row r="554">
          <cell r="A554" t="str">
            <v>В-07971/КЛ</v>
          </cell>
        </row>
        <row r="555">
          <cell r="A555" t="str">
            <v>В-14029/КЛ</v>
          </cell>
        </row>
        <row r="556">
          <cell r="A556" t="str">
            <v>В-03197/КЛ</v>
          </cell>
        </row>
        <row r="557">
          <cell r="A557" t="str">
            <v>В-11533/КЛ</v>
          </cell>
        </row>
        <row r="558">
          <cell r="A558" t="str">
            <v>Т-01922/АЗ</v>
          </cell>
        </row>
        <row r="559">
          <cell r="A559" t="str">
            <v>В-08822/КЛ</v>
          </cell>
        </row>
        <row r="560">
          <cell r="A560" t="str">
            <v>В-13886/КЛ</v>
          </cell>
        </row>
        <row r="561">
          <cell r="A561" t="str">
            <v>В-13297/КЛ</v>
          </cell>
        </row>
        <row r="562">
          <cell r="A562" t="str">
            <v>В-12631/КЛ</v>
          </cell>
        </row>
        <row r="563">
          <cell r="A563" t="str">
            <v>В-09948/КЛ</v>
          </cell>
        </row>
        <row r="564">
          <cell r="A564" t="str">
            <v>В-08584/КЛ</v>
          </cell>
        </row>
        <row r="565">
          <cell r="A565" t="str">
            <v>В-13719/КЛ</v>
          </cell>
        </row>
        <row r="566">
          <cell r="A566" t="str">
            <v>Т-01867/АЗ</v>
          </cell>
        </row>
        <row r="567">
          <cell r="A567" t="str">
            <v>В-02090/КЛ</v>
          </cell>
        </row>
        <row r="568">
          <cell r="A568" t="str">
            <v>В-00854/АЗ</v>
          </cell>
        </row>
        <row r="569">
          <cell r="A569" t="str">
            <v>В-00980/АЗ</v>
          </cell>
        </row>
        <row r="570">
          <cell r="A570" t="str">
            <v>В-11085/КЛ</v>
          </cell>
        </row>
        <row r="571">
          <cell r="A571" t="str">
            <v>В-00967/АЗ</v>
          </cell>
        </row>
        <row r="572">
          <cell r="A572" t="str">
            <v>В-12372/КЛ</v>
          </cell>
        </row>
        <row r="573">
          <cell r="A573" t="str">
            <v>В-06092/КЛ</v>
          </cell>
        </row>
        <row r="574">
          <cell r="A574" t="str">
            <v>В-10890/КЛ</v>
          </cell>
        </row>
        <row r="575">
          <cell r="A575" t="str">
            <v>В-30003/КЭ</v>
          </cell>
        </row>
        <row r="576">
          <cell r="A576" t="str">
            <v>Т-01675/АЗ</v>
          </cell>
        </row>
        <row r="577">
          <cell r="A577" t="str">
            <v>А-04839/АЗ</v>
          </cell>
        </row>
        <row r="578">
          <cell r="A578" t="str">
            <v>В-01119/АЗ</v>
          </cell>
        </row>
        <row r="579">
          <cell r="A579" t="str">
            <v>В-01120/АЗ</v>
          </cell>
        </row>
        <row r="580">
          <cell r="A580" t="str">
            <v>В-12163/КЛ</v>
          </cell>
        </row>
        <row r="581">
          <cell r="A581" t="str">
            <v>В-11967/КЛ</v>
          </cell>
        </row>
        <row r="582">
          <cell r="A582" t="str">
            <v>В-09649/КЛ</v>
          </cell>
        </row>
        <row r="583">
          <cell r="A583" t="str">
            <v>В-11892/КЛ</v>
          </cell>
        </row>
        <row r="584">
          <cell r="A584" t="str">
            <v>В-13055/КЛ</v>
          </cell>
        </row>
        <row r="585">
          <cell r="A585" t="str">
            <v>В-11280/КЛ</v>
          </cell>
        </row>
        <row r="586">
          <cell r="A586" t="str">
            <v>А-00467/КЭ</v>
          </cell>
        </row>
        <row r="587">
          <cell r="A587" t="str">
            <v>А-10100/КЭ</v>
          </cell>
        </row>
        <row r="588">
          <cell r="A588" t="str">
            <v>А-05455/АЗ</v>
          </cell>
        </row>
        <row r="589">
          <cell r="A589" t="str">
            <v>В-06186/КЛ</v>
          </cell>
        </row>
        <row r="590">
          <cell r="A590" t="str">
            <v>В-03585/КЛ</v>
          </cell>
        </row>
        <row r="591">
          <cell r="A591" t="str">
            <v>В-10492/КЛ</v>
          </cell>
        </row>
        <row r="592">
          <cell r="A592" t="str">
            <v>В-08189/КЛ</v>
          </cell>
        </row>
        <row r="593">
          <cell r="A593" t="str">
            <v>Т-01835/АЗ</v>
          </cell>
        </row>
        <row r="594">
          <cell r="A594" t="str">
            <v>В-06379/КЛ</v>
          </cell>
        </row>
        <row r="595">
          <cell r="A595" t="str">
            <v>Т-00004/КЭ</v>
          </cell>
        </row>
        <row r="596">
          <cell r="A596" t="str">
            <v>В-03629/КЛ</v>
          </cell>
        </row>
        <row r="597">
          <cell r="A597" t="str">
            <v>В-08942/КЛ</v>
          </cell>
        </row>
        <row r="598">
          <cell r="A598" t="str">
            <v>Т-01899/АЗ</v>
          </cell>
        </row>
        <row r="599">
          <cell r="A599" t="str">
            <v>В-11653/КЛ</v>
          </cell>
        </row>
        <row r="600">
          <cell r="A600" t="str">
            <v>В-12167/КЛ</v>
          </cell>
        </row>
        <row r="601">
          <cell r="A601" t="str">
            <v>В-09961/КЛ</v>
          </cell>
        </row>
        <row r="602">
          <cell r="A602" t="str">
            <v>В-12000/КЛ</v>
          </cell>
        </row>
        <row r="603">
          <cell r="A603" t="str">
            <v>А-00446/КЭ</v>
          </cell>
        </row>
        <row r="604">
          <cell r="A604" t="str">
            <v xml:space="preserve">А-05271/АЗ </v>
          </cell>
        </row>
        <row r="605">
          <cell r="A605" t="str">
            <v>В-02902/КЛ</v>
          </cell>
        </row>
        <row r="606">
          <cell r="A606" t="str">
            <v>В-00714/КЛ</v>
          </cell>
        </row>
        <row r="607">
          <cell r="A607" t="str">
            <v>В-07275/КЛ</v>
          </cell>
        </row>
        <row r="608">
          <cell r="A608" t="str">
            <v>А-10096/КЭ</v>
          </cell>
        </row>
        <row r="609">
          <cell r="A609" t="str">
            <v>В-11882/КЛ</v>
          </cell>
        </row>
        <row r="610">
          <cell r="A610" t="str">
            <v>В-09695/КЛ</v>
          </cell>
        </row>
        <row r="611">
          <cell r="A611" t="str">
            <v>В-12216/КЛ</v>
          </cell>
        </row>
        <row r="612">
          <cell r="A612" t="str">
            <v>В-13025/КЛ</v>
          </cell>
        </row>
        <row r="613">
          <cell r="A613" t="str">
            <v>В-02376/КЛ</v>
          </cell>
        </row>
        <row r="614">
          <cell r="A614" t="str">
            <v>В-10703/КЛ</v>
          </cell>
        </row>
        <row r="615">
          <cell r="A615" t="str">
            <v>В-03074/КЛ</v>
          </cell>
        </row>
        <row r="616">
          <cell r="A616" t="str">
            <v xml:space="preserve">Т-01869/АЗ </v>
          </cell>
        </row>
        <row r="617">
          <cell r="A617" t="str">
            <v>В-12614/КЛ</v>
          </cell>
        </row>
        <row r="618">
          <cell r="A618" t="str">
            <v>В-11713/КЛ</v>
          </cell>
        </row>
        <row r="619">
          <cell r="A619" t="str">
            <v>В-03811/КЛ</v>
          </cell>
        </row>
        <row r="620">
          <cell r="A620" t="str">
            <v>В-11603/КЛ</v>
          </cell>
        </row>
        <row r="621">
          <cell r="A621" t="str">
            <v>А-04848/АЗ</v>
          </cell>
        </row>
        <row r="622">
          <cell r="A622" t="str">
            <v>В-11162/КЛ</v>
          </cell>
        </row>
        <row r="623">
          <cell r="A623" t="str">
            <v>Т-01681/АЗ</v>
          </cell>
        </row>
        <row r="624">
          <cell r="A624" t="str">
            <v>А-03533/АЗ</v>
          </cell>
        </row>
        <row r="625">
          <cell r="A625" t="str">
            <v>В-12535/КЛ</v>
          </cell>
        </row>
        <row r="626">
          <cell r="A626" t="str">
            <v>В-08251/КЛ</v>
          </cell>
        </row>
        <row r="627">
          <cell r="A627" t="str">
            <v>В-09288/КЛ</v>
          </cell>
        </row>
        <row r="628">
          <cell r="A628" t="str">
            <v>В-09241/КЛ</v>
          </cell>
        </row>
        <row r="629">
          <cell r="A629" t="str">
            <v>В-03541/КЛ</v>
          </cell>
        </row>
        <row r="630">
          <cell r="A630" t="str">
            <v>Т-01875/АЗ</v>
          </cell>
        </row>
        <row r="631">
          <cell r="A631" t="str">
            <v>В-10010/КЭ</v>
          </cell>
        </row>
        <row r="632">
          <cell r="A632" t="str">
            <v>В-02641/КЛ</v>
          </cell>
        </row>
        <row r="633">
          <cell r="A633" t="str">
            <v>А-04955/АЗ</v>
          </cell>
        </row>
        <row r="634">
          <cell r="A634" t="str">
            <v>В-05135/КЛ</v>
          </cell>
        </row>
        <row r="635">
          <cell r="A635" t="str">
            <v>В-01875/КЛ</v>
          </cell>
        </row>
        <row r="636">
          <cell r="A636" t="str">
            <v>В-08629/КЛ</v>
          </cell>
        </row>
        <row r="637">
          <cell r="A637" t="str">
            <v>В-06852/КЛ</v>
          </cell>
        </row>
        <row r="638">
          <cell r="A638" t="str">
            <v>В-00839/КЛ</v>
          </cell>
        </row>
        <row r="639">
          <cell r="A639" t="str">
            <v>В-00317/АЗ</v>
          </cell>
        </row>
        <row r="640">
          <cell r="A640" t="str">
            <v>В-08416/КЛ</v>
          </cell>
        </row>
        <row r="641">
          <cell r="A641" t="str">
            <v>В-05187/КЛ</v>
          </cell>
        </row>
        <row r="642">
          <cell r="A642" t="str">
            <v>В-03869/КЛ</v>
          </cell>
        </row>
        <row r="643">
          <cell r="A643" t="str">
            <v>В-04620/КЛ</v>
          </cell>
        </row>
        <row r="644">
          <cell r="A644" t="str">
            <v>В-00568/АЗ</v>
          </cell>
        </row>
        <row r="645">
          <cell r="A645" t="str">
            <v>Т-01876/АЗ</v>
          </cell>
        </row>
        <row r="646">
          <cell r="A646" t="str">
            <v>В-06682/КЛ</v>
          </cell>
        </row>
        <row r="647">
          <cell r="A647" t="str">
            <v>В-00447/АЗ</v>
          </cell>
        </row>
        <row r="648">
          <cell r="A648" t="str">
            <v>В-09037/КЛ</v>
          </cell>
        </row>
        <row r="649">
          <cell r="A649" t="str">
            <v>Т-10003/КЭ</v>
          </cell>
        </row>
        <row r="650">
          <cell r="A650" t="str">
            <v>В-06955/КЛ</v>
          </cell>
        </row>
        <row r="651">
          <cell r="A651" t="str">
            <v>В-01388/КЛ</v>
          </cell>
        </row>
        <row r="652">
          <cell r="A652" t="str">
            <v>В-00540/КЛ</v>
          </cell>
        </row>
        <row r="653">
          <cell r="A653" t="str">
            <v>В-09805/КЛ</v>
          </cell>
        </row>
        <row r="654">
          <cell r="A654" t="str">
            <v>В-03473/КЛ</v>
          </cell>
        </row>
        <row r="655">
          <cell r="A655" t="str">
            <v>В-09625/КЛ</v>
          </cell>
        </row>
        <row r="656">
          <cell r="A656" t="str">
            <v>А-04827/АЗ</v>
          </cell>
        </row>
        <row r="657">
          <cell r="A657" t="str">
            <v>В-00790/АЗ</v>
          </cell>
        </row>
        <row r="658">
          <cell r="A658" t="str">
            <v>В-00923/АЗ</v>
          </cell>
        </row>
        <row r="659">
          <cell r="A659" t="str">
            <v>В-00858/АЗ</v>
          </cell>
        </row>
        <row r="660">
          <cell r="A660" t="str">
            <v>В-03039/КЛ</v>
          </cell>
        </row>
        <row r="661">
          <cell r="A661" t="str">
            <v>А-05370/АЗ</v>
          </cell>
        </row>
        <row r="662">
          <cell r="A662" t="str">
            <v>В-00730/АЗ</v>
          </cell>
        </row>
        <row r="663">
          <cell r="A663" t="str">
            <v>В-07444/КЛ</v>
          </cell>
        </row>
        <row r="664">
          <cell r="A664" t="str">
            <v>В-00817/АЗ</v>
          </cell>
        </row>
        <row r="665">
          <cell r="A665" t="str">
            <v>А-05439/АЗ</v>
          </cell>
        </row>
        <row r="666">
          <cell r="A666" t="str">
            <v>Т-01850/АЗ</v>
          </cell>
        </row>
        <row r="667">
          <cell r="A667" t="str">
            <v>Т-01497/АЗ</v>
          </cell>
        </row>
        <row r="668">
          <cell r="A668" t="str">
            <v>А-03947/АЗ</v>
          </cell>
        </row>
        <row r="669">
          <cell r="A669" t="str">
            <v>В-01552/КЛ</v>
          </cell>
        </row>
        <row r="670">
          <cell r="A670" t="str">
            <v>А-05105/АЗ</v>
          </cell>
        </row>
        <row r="671">
          <cell r="A671" t="str">
            <v>Т-01866/АЗ</v>
          </cell>
        </row>
        <row r="672">
          <cell r="A672" t="str">
            <v>В-09250/КЛ</v>
          </cell>
        </row>
        <row r="673">
          <cell r="A673" t="str">
            <v>В-01020/АЗ</v>
          </cell>
        </row>
        <row r="674">
          <cell r="A674" t="str">
            <v>В-04162/КЛ</v>
          </cell>
        </row>
        <row r="675">
          <cell r="A675" t="str">
            <v>А-00466/КЭ</v>
          </cell>
        </row>
        <row r="676">
          <cell r="A676" t="str">
            <v>А-00418/КЭ</v>
          </cell>
        </row>
        <row r="677">
          <cell r="A677" t="str">
            <v>В-07632/КЛ</v>
          </cell>
        </row>
        <row r="678">
          <cell r="A678" t="str">
            <v>В-03631/КЛ</v>
          </cell>
        </row>
        <row r="679">
          <cell r="A679" t="str">
            <v>В-07328/КЛ</v>
          </cell>
        </row>
        <row r="680">
          <cell r="A680" t="str">
            <v>А-05447/АЗ</v>
          </cell>
        </row>
        <row r="681">
          <cell r="A681" t="str">
            <v>В-00885/АЗ</v>
          </cell>
        </row>
        <row r="682">
          <cell r="A682" t="str">
            <v>В-00321/АЗ</v>
          </cell>
        </row>
        <row r="683">
          <cell r="A683" t="str">
            <v>В-05772/КЛ</v>
          </cell>
        </row>
        <row r="684">
          <cell r="A684" t="str">
            <v xml:space="preserve">В-00982/АЗ </v>
          </cell>
        </row>
        <row r="685">
          <cell r="A685" t="str">
            <v>В-01482/КЛ</v>
          </cell>
        </row>
        <row r="686">
          <cell r="A686" t="str">
            <v>В-03383/КЛ</v>
          </cell>
        </row>
        <row r="687">
          <cell r="A687" t="str">
            <v>В-02402/КЛ</v>
          </cell>
        </row>
        <row r="688">
          <cell r="A688" t="str">
            <v>В-07706/КЛ</v>
          </cell>
        </row>
        <row r="689">
          <cell r="A689" t="str">
            <v>Т-01747/АЗ</v>
          </cell>
        </row>
        <row r="690">
          <cell r="A690" t="str">
            <v>А-05164/АЗ</v>
          </cell>
        </row>
        <row r="691">
          <cell r="A691" t="str">
            <v>В-03071/КЛ</v>
          </cell>
        </row>
        <row r="692">
          <cell r="A692" t="str">
            <v>А-00395/КЭ</v>
          </cell>
        </row>
        <row r="693">
          <cell r="A693" t="str">
            <v>В-00051/КЛ</v>
          </cell>
        </row>
        <row r="694">
          <cell r="A694" t="str">
            <v>В-00365/АЗ</v>
          </cell>
        </row>
        <row r="695">
          <cell r="A695" t="str">
            <v>В-00079/КЛ</v>
          </cell>
        </row>
        <row r="696">
          <cell r="A696" t="str">
            <v>В-00324/АЗ</v>
          </cell>
        </row>
        <row r="697">
          <cell r="A697" t="str">
            <v>В-01086/КЛ</v>
          </cell>
        </row>
        <row r="698">
          <cell r="A698" t="str">
            <v>В-00088/АЗ</v>
          </cell>
        </row>
        <row r="699">
          <cell r="A699" t="str">
            <v>В-01417/КЛ</v>
          </cell>
        </row>
        <row r="700">
          <cell r="A700" t="str">
            <v>А-04614/АЗ</v>
          </cell>
        </row>
        <row r="701">
          <cell r="A701" t="str">
            <v>В-04809/КЛ</v>
          </cell>
        </row>
        <row r="702">
          <cell r="A702" t="str">
            <v>В-00003/КЭ</v>
          </cell>
        </row>
        <row r="703">
          <cell r="A703" t="str">
            <v>Т-01752/АЗ</v>
          </cell>
        </row>
        <row r="704">
          <cell r="A704" t="str">
            <v>А-05182/АЗ</v>
          </cell>
        </row>
        <row r="705">
          <cell r="A705" t="str">
            <v>Т-00001/КЭ</v>
          </cell>
        </row>
        <row r="706">
          <cell r="A706" t="str">
            <v>В-08204/КЛ</v>
          </cell>
        </row>
        <row r="707">
          <cell r="A707" t="str">
            <v>В-01174/КЛ</v>
          </cell>
        </row>
        <row r="708">
          <cell r="A708" t="str">
            <v>В-00872/АЗ</v>
          </cell>
        </row>
        <row r="709">
          <cell r="A709" t="str">
            <v>В-00866/АЗ</v>
          </cell>
        </row>
        <row r="710">
          <cell r="A710" t="str">
            <v>В-00449/КЛ</v>
          </cell>
        </row>
        <row r="711">
          <cell r="A711" t="str">
            <v>В-00438/КЛ</v>
          </cell>
        </row>
        <row r="712">
          <cell r="A712" t="str">
            <v>В-03907/КЛ</v>
          </cell>
        </row>
        <row r="713">
          <cell r="A713" t="str">
            <v>В-00425/КЛ</v>
          </cell>
        </row>
        <row r="714">
          <cell r="A714" t="str">
            <v>Т-01865/АЗ</v>
          </cell>
        </row>
        <row r="715">
          <cell r="A715" t="str">
            <v>В-02644/КЛ</v>
          </cell>
        </row>
        <row r="716">
          <cell r="A716" t="str">
            <v>Т-01862/АЗ</v>
          </cell>
        </row>
        <row r="717">
          <cell r="A717" t="str">
            <v>В-00899/АЗ</v>
          </cell>
        </row>
        <row r="718">
          <cell r="A718" t="str">
            <v>В-00824/АЗ</v>
          </cell>
        </row>
        <row r="719">
          <cell r="A719" t="str">
            <v>А-00053/БЭ</v>
          </cell>
        </row>
        <row r="720">
          <cell r="A720" t="str">
            <v>А-04119/АЗ</v>
          </cell>
        </row>
        <row r="721">
          <cell r="A721" t="str">
            <v>А-04328/АЗ</v>
          </cell>
        </row>
        <row r="722">
          <cell r="A722" t="str">
            <v>Т-00030/БЭ</v>
          </cell>
        </row>
        <row r="723">
          <cell r="A723" t="str">
            <v>А-00051/БЭ</v>
          </cell>
        </row>
        <row r="724">
          <cell r="A724" t="str">
            <v>В-00788/АЗ</v>
          </cell>
        </row>
        <row r="725">
          <cell r="A725" t="str">
            <v>А-03565/АЗ</v>
          </cell>
        </row>
        <row r="726">
          <cell r="A726" t="str">
            <v>Т-01404/АЗ</v>
          </cell>
        </row>
        <row r="727">
          <cell r="A727" t="str">
            <v>В-00883/АЗ</v>
          </cell>
        </row>
        <row r="728">
          <cell r="A728" t="str">
            <v>В-02944/КЛ</v>
          </cell>
        </row>
        <row r="729">
          <cell r="A729" t="str">
            <v>В-01072/КЛ</v>
          </cell>
        </row>
        <row r="730">
          <cell r="A730" t="str">
            <v>В-03615/КЛ</v>
          </cell>
        </row>
        <row r="731">
          <cell r="A731" t="str">
            <v xml:space="preserve">А-00386/КЭ </v>
          </cell>
        </row>
        <row r="732">
          <cell r="A732" t="str">
            <v>В-01526/КЛ</v>
          </cell>
        </row>
        <row r="733">
          <cell r="A733" t="str">
            <v>В-00932/АЗ</v>
          </cell>
        </row>
        <row r="734">
          <cell r="A734" t="str">
            <v xml:space="preserve">В-00608/АЗ </v>
          </cell>
        </row>
        <row r="735">
          <cell r="A735" t="str">
            <v xml:space="preserve">Т-01722/АЗ </v>
          </cell>
        </row>
        <row r="736">
          <cell r="A736" t="str">
            <v>В-02026/КЛ</v>
          </cell>
        </row>
        <row r="737">
          <cell r="A737" t="str">
            <v>В-03672/КЛ</v>
          </cell>
        </row>
        <row r="738">
          <cell r="A738" t="str">
            <v>Т-01797/АЗ</v>
          </cell>
        </row>
        <row r="739">
          <cell r="A739" t="str">
            <v>А-05332/АЗ</v>
          </cell>
        </row>
        <row r="740">
          <cell r="A740" t="str">
            <v>В-01422/КЛ</v>
          </cell>
        </row>
        <row r="741">
          <cell r="A741" t="str">
            <v>В-00478/КЛ</v>
          </cell>
        </row>
        <row r="742">
          <cell r="A742" t="str">
            <v>В-00256/КЛ</v>
          </cell>
        </row>
        <row r="743">
          <cell r="A743" t="str">
            <v>В-00603/КЛ</v>
          </cell>
        </row>
        <row r="744">
          <cell r="A744" t="str">
            <v>Т-01798/АЗ</v>
          </cell>
        </row>
        <row r="745">
          <cell r="A745" t="str">
            <v>А-05334/АЗ</v>
          </cell>
        </row>
        <row r="746">
          <cell r="A746" t="str">
            <v>В-08042/КЛ</v>
          </cell>
        </row>
        <row r="747">
          <cell r="A747" t="str">
            <v>В-07240/КЛ</v>
          </cell>
        </row>
        <row r="748">
          <cell r="A748" t="str">
            <v>В-05290/КЛ</v>
          </cell>
        </row>
        <row r="749">
          <cell r="A749" t="str">
            <v>В-00662/АЗ</v>
          </cell>
        </row>
        <row r="750">
          <cell r="A750" t="str">
            <v>В-03277/КЛ</v>
          </cell>
        </row>
        <row r="751">
          <cell r="A751" t="str">
            <v>В-00774/АЗ</v>
          </cell>
        </row>
        <row r="752">
          <cell r="A752" t="str">
            <v>В-00673/АЗ</v>
          </cell>
        </row>
        <row r="753">
          <cell r="A753" t="str">
            <v>Т-01809/АЗ</v>
          </cell>
        </row>
        <row r="754">
          <cell r="A754" t="str">
            <v>В-03114/КЛ</v>
          </cell>
        </row>
        <row r="755">
          <cell r="A755" t="str">
            <v>В-00593/АЗ</v>
          </cell>
        </row>
        <row r="756">
          <cell r="A756" t="str">
            <v>А-05009/АЗ</v>
          </cell>
        </row>
        <row r="757">
          <cell r="A757" t="str">
            <v>А-00328/КЭ</v>
          </cell>
        </row>
        <row r="758">
          <cell r="A758" t="str">
            <v>В-00183/КЛ</v>
          </cell>
        </row>
        <row r="759">
          <cell r="A759" t="str">
            <v>В-03846/КЛ</v>
          </cell>
        </row>
        <row r="760">
          <cell r="A760" t="str">
            <v>А-05166/АЗ</v>
          </cell>
        </row>
        <row r="761">
          <cell r="A761" t="str">
            <v>В-00573/АЗ</v>
          </cell>
        </row>
        <row r="762">
          <cell r="A762" t="str">
            <v>А-10099/КЭ</v>
          </cell>
        </row>
        <row r="763">
          <cell r="A763" t="str">
            <v>А-10098/КЭ</v>
          </cell>
        </row>
        <row r="764">
          <cell r="A764" t="str">
            <v>В-01642/КЛ</v>
          </cell>
        </row>
        <row r="765">
          <cell r="A765" t="str">
            <v>В-01035/КЛ</v>
          </cell>
        </row>
        <row r="766">
          <cell r="A766" t="str">
            <v>А-04171/АЗ</v>
          </cell>
        </row>
        <row r="767">
          <cell r="A767" t="str">
            <v>Т-01841/АЗ_Т-20200626/Ц</v>
          </cell>
        </row>
        <row r="768">
          <cell r="A768" t="str">
            <v>В-00884/КЛ</v>
          </cell>
        </row>
        <row r="769">
          <cell r="A769" t="str">
            <v>В-00762/АЗ</v>
          </cell>
        </row>
        <row r="770">
          <cell r="A770" t="str">
            <v>В-00581/АЗ</v>
          </cell>
        </row>
        <row r="771">
          <cell r="A771" t="str">
            <v>В-03129/КЛ</v>
          </cell>
        </row>
        <row r="772">
          <cell r="A772" t="str">
            <v>В-01987/КЛ</v>
          </cell>
        </row>
        <row r="773">
          <cell r="A773" t="str">
            <v>В-00565/АЗ</v>
          </cell>
        </row>
        <row r="774">
          <cell r="A774" t="str">
            <v>В-00547/АЗ</v>
          </cell>
        </row>
        <row r="775">
          <cell r="A775" t="str">
            <v>В-02186/КЛ</v>
          </cell>
        </row>
        <row r="776">
          <cell r="A776" t="str">
            <v>Т-01612/АЗ</v>
          </cell>
        </row>
        <row r="777">
          <cell r="A777" t="str">
            <v>А-04501/АЗ</v>
          </cell>
        </row>
        <row r="778">
          <cell r="A778" t="str">
            <v>В-00648/АЗ</v>
          </cell>
        </row>
        <row r="779">
          <cell r="A779" t="str">
            <v>В-01227/КЛ</v>
          </cell>
        </row>
        <row r="780">
          <cell r="A780" t="str">
            <v>В-00927/АЗ</v>
          </cell>
        </row>
        <row r="781">
          <cell r="A781" t="str">
            <v>В-00614/АЗ</v>
          </cell>
        </row>
        <row r="782">
          <cell r="A782" t="str">
            <v>В-00911/АЗ</v>
          </cell>
        </row>
        <row r="783">
          <cell r="A783" t="str">
            <v>А-00403/КЭ</v>
          </cell>
        </row>
        <row r="784">
          <cell r="A784" t="str">
            <v>А-00343/КЭ</v>
          </cell>
        </row>
        <row r="785">
          <cell r="A785" t="str">
            <v>В-00557/АЗ</v>
          </cell>
        </row>
        <row r="786">
          <cell r="A786" t="str">
            <v>Т-01631/АЗ</v>
          </cell>
        </row>
        <row r="787">
          <cell r="A787" t="str">
            <v>А-04628/АЗ</v>
          </cell>
        </row>
        <row r="788">
          <cell r="A788" t="str">
            <v>В-03463/КЛ</v>
          </cell>
        </row>
        <row r="789">
          <cell r="A789" t="str">
            <v>В-03741/КЛ</v>
          </cell>
        </row>
        <row r="790">
          <cell r="A790" t="str">
            <v>В-00819/АЗ</v>
          </cell>
        </row>
        <row r="791">
          <cell r="A791" t="str">
            <v>А-04793/АЗ</v>
          </cell>
        </row>
        <row r="792">
          <cell r="A792" t="str">
            <v>В-00840/АЗ</v>
          </cell>
        </row>
        <row r="793">
          <cell r="A793" t="str">
            <v>А-10092/КЭ</v>
          </cell>
        </row>
        <row r="794">
          <cell r="A794" t="str">
            <v>В-00710/АЗ</v>
          </cell>
        </row>
        <row r="795">
          <cell r="A795" t="str">
            <v>В-01319/КЛ</v>
          </cell>
        </row>
        <row r="796">
          <cell r="A796" t="str">
            <v>В-00635/АЗ</v>
          </cell>
        </row>
        <row r="797">
          <cell r="A797" t="str">
            <v>А-00429/КЭ</v>
          </cell>
        </row>
        <row r="798">
          <cell r="A798" t="str">
            <v>В-03749/КЛ</v>
          </cell>
        </row>
        <row r="799">
          <cell r="A799" t="str">
            <v>В-03155/КЛ</v>
          </cell>
        </row>
        <row r="800">
          <cell r="A800" t="str">
            <v>В-01428/КЛ</v>
          </cell>
        </row>
        <row r="801">
          <cell r="A801" t="str">
            <v>В-00553/АЗ</v>
          </cell>
        </row>
        <row r="802">
          <cell r="A802" t="str">
            <v>В-00847/АЗ</v>
          </cell>
        </row>
        <row r="803">
          <cell r="A803" t="str">
            <v>В-00610/АЗ</v>
          </cell>
        </row>
        <row r="804">
          <cell r="A804" t="str">
            <v>В-03738/КЛ</v>
          </cell>
        </row>
        <row r="805">
          <cell r="A805" t="str">
            <v>В-00046/АЗ</v>
          </cell>
        </row>
        <row r="806">
          <cell r="A806" t="str">
            <v>В-02105/КЛ</v>
          </cell>
        </row>
        <row r="807">
          <cell r="A807" t="str">
            <v>В-03543/КЛ</v>
          </cell>
        </row>
        <row r="808">
          <cell r="A808" t="str">
            <v>В-00254/АЗ</v>
          </cell>
        </row>
        <row r="809">
          <cell r="A809" t="str">
            <v>В-04357/КЛ</v>
          </cell>
        </row>
        <row r="810">
          <cell r="A810" t="str">
            <v>В-02500/КЛ</v>
          </cell>
        </row>
        <row r="811">
          <cell r="A811" t="str">
            <v>В-00219/АЗ</v>
          </cell>
        </row>
        <row r="812">
          <cell r="A812" t="str">
            <v>В-00291/АЗ</v>
          </cell>
        </row>
        <row r="813">
          <cell r="A813" t="str">
            <v>В-00726/АЗ</v>
          </cell>
        </row>
        <row r="814">
          <cell r="A814" t="str">
            <v>В-04159/КЛ</v>
          </cell>
        </row>
        <row r="815">
          <cell r="A815" t="str">
            <v>А-00366/КЭ</v>
          </cell>
        </row>
        <row r="816">
          <cell r="A816" t="str">
            <v>А-00327/КЭ</v>
          </cell>
        </row>
        <row r="817">
          <cell r="A817" t="str">
            <v>А-04751/АЗ</v>
          </cell>
        </row>
        <row r="818">
          <cell r="A818" t="str">
            <v>В-03414/КЛ</v>
          </cell>
        </row>
        <row r="819">
          <cell r="A819" t="str">
            <v>В-00272/АЗ</v>
          </cell>
        </row>
        <row r="820">
          <cell r="A820" t="str">
            <v>В-00507/АЗ</v>
          </cell>
        </row>
        <row r="821">
          <cell r="A821" t="str">
            <v>В-03858/КЛ</v>
          </cell>
        </row>
        <row r="822">
          <cell r="A822" t="str">
            <v>В-03960/КЛ</v>
          </cell>
        </row>
        <row r="823">
          <cell r="A823" t="str">
            <v>В-00237/АЗ</v>
          </cell>
        </row>
        <row r="824">
          <cell r="A824" t="str">
            <v>В-03465/КЛ</v>
          </cell>
        </row>
        <row r="825">
          <cell r="A825" t="str">
            <v>В-00566/АЗ</v>
          </cell>
        </row>
        <row r="826">
          <cell r="A826" t="str">
            <v>В-00683/КЛ</v>
          </cell>
        </row>
        <row r="827">
          <cell r="A827" t="str">
            <v>А-10026/БЭ</v>
          </cell>
        </row>
        <row r="828">
          <cell r="A828" t="str">
            <v>В-03758/КЛ</v>
          </cell>
        </row>
        <row r="829">
          <cell r="A829" t="str">
            <v>В-03899/КЛ</v>
          </cell>
        </row>
        <row r="830">
          <cell r="A830" t="str">
            <v>В-00887/АЗ</v>
          </cell>
        </row>
        <row r="831">
          <cell r="A831" t="str">
            <v>В-00835/АЗ</v>
          </cell>
        </row>
        <row r="832">
          <cell r="A832" t="str">
            <v>В-00833/АЗ</v>
          </cell>
        </row>
        <row r="833">
          <cell r="A833" t="str">
            <v>В-00832/АЗ</v>
          </cell>
        </row>
        <row r="834">
          <cell r="A834" t="str">
            <v>В-03686/КЛ</v>
          </cell>
        </row>
        <row r="835">
          <cell r="A835" t="str">
            <v>В-00836/АЗ</v>
          </cell>
        </row>
        <row r="836">
          <cell r="A836" t="str">
            <v>В-00338/АЗ</v>
          </cell>
        </row>
        <row r="837">
          <cell r="A837" t="str">
            <v>В-03413/КЛ</v>
          </cell>
        </row>
        <row r="838">
          <cell r="A838" t="str">
            <v>В-01345/КЛ</v>
          </cell>
        </row>
        <row r="839">
          <cell r="A839" t="str">
            <v>В-00766/АЗ</v>
          </cell>
        </row>
        <row r="840">
          <cell r="A840" t="str">
            <v>А-05291/АЗ</v>
          </cell>
        </row>
        <row r="841">
          <cell r="A841" t="str">
            <v>Т-01847/АЗ</v>
          </cell>
        </row>
        <row r="842">
          <cell r="A842" t="str">
            <v>В-01220/КЛ</v>
          </cell>
        </row>
        <row r="843">
          <cell r="A843" t="str">
            <v>В-00789/АЗ</v>
          </cell>
        </row>
        <row r="844">
          <cell r="A844" t="str">
            <v>А-05431/АЗ</v>
          </cell>
        </row>
        <row r="845">
          <cell r="A845" t="str">
            <v>В-01911/КЛ</v>
          </cell>
        </row>
        <row r="846">
          <cell r="A846" t="str">
            <v>В-00407/АЗ</v>
          </cell>
        </row>
        <row r="847">
          <cell r="A847" t="str">
            <v>В-00690/АЗ</v>
          </cell>
        </row>
        <row r="848">
          <cell r="A848" t="str">
            <v>В-00693/АЗ</v>
          </cell>
        </row>
        <row r="849">
          <cell r="A849" t="str">
            <v>В-00302/КЛ</v>
          </cell>
        </row>
        <row r="850">
          <cell r="A850" t="str">
            <v>А-10066/КЭ</v>
          </cell>
        </row>
        <row r="851">
          <cell r="A851" t="str">
            <v>В-00538/АЗ</v>
          </cell>
        </row>
        <row r="852">
          <cell r="A852" t="str">
            <v>А-04413/АЗ</v>
          </cell>
        </row>
        <row r="853">
          <cell r="A853" t="str">
            <v>Т-01677/АЗ</v>
          </cell>
        </row>
        <row r="854">
          <cell r="A854" t="str">
            <v>Т-01843/АЗ</v>
          </cell>
        </row>
        <row r="855">
          <cell r="A855" t="str">
            <v>А-04356/АЗ</v>
          </cell>
        </row>
        <row r="856">
          <cell r="A856" t="str">
            <v>А-05421/АЗ</v>
          </cell>
        </row>
        <row r="857">
          <cell r="A857" t="str">
            <v>В-00702/АЗ</v>
          </cell>
        </row>
        <row r="858">
          <cell r="A858" t="str">
            <v>А-05088/АЗ</v>
          </cell>
        </row>
        <row r="859">
          <cell r="A859" t="str">
            <v>В-00118/КЛ</v>
          </cell>
        </row>
        <row r="860">
          <cell r="A860" t="str">
            <v>А-30005/КЭ</v>
          </cell>
        </row>
        <row r="861">
          <cell r="A861" t="str">
            <v>В-00865/АЗ</v>
          </cell>
        </row>
        <row r="862">
          <cell r="A862" t="str">
            <v>В-00575/АЗ</v>
          </cell>
        </row>
        <row r="863">
          <cell r="A863" t="str">
            <v>В-03206/КЛ</v>
          </cell>
        </row>
        <row r="864">
          <cell r="A864" t="str">
            <v>В-00818/АЗ</v>
          </cell>
        </row>
        <row r="865">
          <cell r="A865" t="str">
            <v>А-10045/КЭ</v>
          </cell>
        </row>
        <row r="866">
          <cell r="A866" t="str">
            <v>В-01509/КЛ</v>
          </cell>
        </row>
        <row r="867">
          <cell r="A867" t="str">
            <v>В-00706/АЗ</v>
          </cell>
        </row>
        <row r="868">
          <cell r="A868" t="str">
            <v>В-00609/АЗ</v>
          </cell>
        </row>
        <row r="869">
          <cell r="A869" t="str">
            <v>А-05411/АЗ</v>
          </cell>
        </row>
        <row r="870">
          <cell r="A870" t="str">
            <v>А-04223/АЗ</v>
          </cell>
        </row>
        <row r="871">
          <cell r="A871" t="str">
            <v>В-02255/КЛ</v>
          </cell>
        </row>
        <row r="872">
          <cell r="A872" t="str">
            <v>В-01713/КЛ</v>
          </cell>
        </row>
        <row r="873">
          <cell r="A873" t="str">
            <v>В-01562/КЛ</v>
          </cell>
        </row>
        <row r="874">
          <cell r="A874" t="str">
            <v>В-00249/АЗ</v>
          </cell>
        </row>
        <row r="875">
          <cell r="A875" t="str">
            <v>В-01768/КЛ</v>
          </cell>
        </row>
        <row r="876">
          <cell r="A876" t="str">
            <v>В-01925/КЛ</v>
          </cell>
        </row>
        <row r="877">
          <cell r="A877" t="str">
            <v>В-01528/КЛ</v>
          </cell>
        </row>
        <row r="878">
          <cell r="A878" t="str">
            <v>А-10102/КЭ</v>
          </cell>
        </row>
        <row r="879">
          <cell r="A879" t="str">
            <v>А-05193/АЗ</v>
          </cell>
        </row>
        <row r="880">
          <cell r="A880" t="str">
            <v>В-00598/АЗ</v>
          </cell>
        </row>
        <row r="881">
          <cell r="A881" t="str">
            <v>В-01710/КЛ</v>
          </cell>
        </row>
        <row r="882">
          <cell r="A882" t="str">
            <v>В-00660/АЗ</v>
          </cell>
        </row>
        <row r="883">
          <cell r="A883" t="str">
            <v>А-00058/БЭ</v>
          </cell>
        </row>
        <row r="884">
          <cell r="A884" t="str">
            <v>В-00399/АЗ</v>
          </cell>
        </row>
        <row r="885">
          <cell r="A885" t="str">
            <v>В-00489/КЛ</v>
          </cell>
        </row>
        <row r="886">
          <cell r="A886" t="str">
            <v>А-00049/БЭ</v>
          </cell>
        </row>
        <row r="887">
          <cell r="A887" t="str">
            <v>В-01175/КЛ</v>
          </cell>
        </row>
        <row r="888">
          <cell r="A888" t="str">
            <v>А-00435/КЭ</v>
          </cell>
        </row>
        <row r="889">
          <cell r="A889" t="str">
            <v>А-04670/АЗ</v>
          </cell>
        </row>
        <row r="890">
          <cell r="A890" t="str">
            <v>В-00678/КЛ</v>
          </cell>
        </row>
        <row r="891">
          <cell r="A891" t="str">
            <v>А-05132/АЗ</v>
          </cell>
        </row>
        <row r="892">
          <cell r="A892" t="str">
            <v>В-00820/АЗ</v>
          </cell>
        </row>
        <row r="893">
          <cell r="A893" t="str">
            <v>В-00823/АЗ</v>
          </cell>
        </row>
        <row r="894">
          <cell r="A894" t="str">
            <v>В-00559/АЗ</v>
          </cell>
        </row>
        <row r="895">
          <cell r="A895" t="str">
            <v>А-05372/АЗ</v>
          </cell>
        </row>
        <row r="896">
          <cell r="A896" t="str">
            <v>А-05305/АЗ</v>
          </cell>
        </row>
        <row r="897">
          <cell r="A897" t="str">
            <v>В-02110/КЛ</v>
          </cell>
        </row>
        <row r="898">
          <cell r="A898" t="str">
            <v>А-00255/КЭ</v>
          </cell>
        </row>
        <row r="899">
          <cell r="A899" t="str">
            <v>В-00233/КЛ</v>
          </cell>
        </row>
        <row r="900">
          <cell r="A900" t="str">
            <v>В-00085/АЗ</v>
          </cell>
        </row>
        <row r="901">
          <cell r="A901" t="str">
            <v>А-00433/КЭ</v>
          </cell>
        </row>
        <row r="902">
          <cell r="A902" t="str">
            <v>В-00727/АЗ</v>
          </cell>
        </row>
        <row r="903">
          <cell r="A903" t="str">
            <v>В-00562/АЗ</v>
          </cell>
        </row>
        <row r="904">
          <cell r="A904" t="str">
            <v>А-05435/АЗ</v>
          </cell>
        </row>
        <row r="905">
          <cell r="A905" t="str">
            <v>Т-01790/АЗ</v>
          </cell>
        </row>
        <row r="906">
          <cell r="A906" t="str">
            <v>Каверин Владимир Геннадьевич</v>
          </cell>
        </row>
        <row r="907">
          <cell r="A907" t="str">
            <v>А-05231/АЗ</v>
          </cell>
        </row>
        <row r="908">
          <cell r="A908" t="str">
            <v>В-00948/КЛ</v>
          </cell>
        </row>
        <row r="909">
          <cell r="A909" t="str">
            <v>В-00233/АЗ</v>
          </cell>
        </row>
        <row r="910">
          <cell r="A910" t="str">
            <v>В-01375/КЛ</v>
          </cell>
        </row>
        <row r="911">
          <cell r="A911" t="str">
            <v>В-00586/АЗ</v>
          </cell>
        </row>
        <row r="912">
          <cell r="A912" t="str">
            <v>В-01448/КЛ</v>
          </cell>
        </row>
        <row r="913">
          <cell r="A913" t="str">
            <v>А-00347/КЭ</v>
          </cell>
        </row>
        <row r="914">
          <cell r="A914" t="str">
            <v>А-05157/АЗ</v>
          </cell>
        </row>
        <row r="915">
          <cell r="A915" t="str">
            <v>В-00838/АЗ</v>
          </cell>
        </row>
        <row r="916">
          <cell r="A916" t="str">
            <v>В-00837/АЗ</v>
          </cell>
        </row>
        <row r="917">
          <cell r="A917" t="str">
            <v>В-00522/АЗ</v>
          </cell>
        </row>
        <row r="918">
          <cell r="A918" t="str">
            <v>В-01371/КЛ</v>
          </cell>
        </row>
        <row r="919">
          <cell r="A919" t="str">
            <v>Т-01670/АЗ</v>
          </cell>
        </row>
        <row r="920">
          <cell r="A920" t="str">
            <v>А-04787/АЗ</v>
          </cell>
        </row>
        <row r="921">
          <cell r="A921" t="str">
            <v>В-00038/АЗ</v>
          </cell>
        </row>
        <row r="922">
          <cell r="A922" t="str">
            <v>А-05101/АЗ</v>
          </cell>
        </row>
        <row r="923">
          <cell r="A923" t="str">
            <v>В-00497/АЗ</v>
          </cell>
        </row>
        <row r="924">
          <cell r="A924" t="str">
            <v>А-10090/КЭ</v>
          </cell>
        </row>
        <row r="925">
          <cell r="A925" t="str">
            <v>А-05170/АЗ</v>
          </cell>
        </row>
        <row r="926">
          <cell r="A926" t="str">
            <v>В-00286/АЗ</v>
          </cell>
        </row>
        <row r="927">
          <cell r="A927" t="str">
            <v>А-05337/АЗ</v>
          </cell>
        </row>
        <row r="928">
          <cell r="A928" t="str">
            <v>В-00264/АЗ</v>
          </cell>
        </row>
        <row r="929">
          <cell r="A929" t="str">
            <v>В-00643/АЗ</v>
          </cell>
        </row>
        <row r="930">
          <cell r="A930" t="str">
            <v>В-00650/АЗ</v>
          </cell>
        </row>
        <row r="931">
          <cell r="A931" t="str">
            <v>В-01023/КЛ</v>
          </cell>
        </row>
        <row r="932">
          <cell r="A932" t="str">
            <v>В-00094/КЛ</v>
          </cell>
        </row>
        <row r="933">
          <cell r="A933" t="str">
            <v>В-01055/КЛ</v>
          </cell>
        </row>
        <row r="934">
          <cell r="A934" t="str">
            <v>В-00339/КЛ</v>
          </cell>
        </row>
        <row r="935">
          <cell r="A935" t="str">
            <v>В-00489/АЗ</v>
          </cell>
        </row>
        <row r="936">
          <cell r="A936" t="str">
            <v>В-00223/КЛ</v>
          </cell>
        </row>
        <row r="937">
          <cell r="A937" t="str">
            <v>В-00986/КЛ</v>
          </cell>
        </row>
        <row r="938">
          <cell r="A938" t="str">
            <v>В-00182/КЛ</v>
          </cell>
        </row>
        <row r="939">
          <cell r="A939" t="str">
            <v>А-05225/АЗ</v>
          </cell>
        </row>
        <row r="940">
          <cell r="A940" t="str">
            <v>В-00617/АЗ</v>
          </cell>
        </row>
        <row r="941">
          <cell r="A941" t="str">
            <v>А-03641/АЗ</v>
          </cell>
        </row>
        <row r="942">
          <cell r="A942" t="str">
            <v>В-00391/АЗ</v>
          </cell>
        </row>
        <row r="943">
          <cell r="A943" t="str">
            <v>А-00389/КЭ</v>
          </cell>
        </row>
        <row r="944">
          <cell r="A944" t="str">
            <v>А-00309/КЭ</v>
          </cell>
        </row>
        <row r="945">
          <cell r="A945" t="str">
            <v>А-00281/КЭ</v>
          </cell>
        </row>
        <row r="946">
          <cell r="A946" t="str">
            <v>А-05282/АЗ</v>
          </cell>
        </row>
        <row r="947">
          <cell r="A947" t="str">
            <v>В-00103/КЛ</v>
          </cell>
        </row>
        <row r="948">
          <cell r="A948" t="str">
            <v>А-04397/АЗ</v>
          </cell>
        </row>
        <row r="949">
          <cell r="A949" t="str">
            <v>В-00463/КЛ</v>
          </cell>
        </row>
        <row r="950">
          <cell r="A950" t="str">
            <v>В-00536/АЗ</v>
          </cell>
        </row>
        <row r="951">
          <cell r="A951" t="str">
            <v>В-00514/АЗ</v>
          </cell>
        </row>
        <row r="952">
          <cell r="A952" t="str">
            <v>А-05139/АЗ</v>
          </cell>
        </row>
        <row r="953">
          <cell r="A953" t="str">
            <v>А-00410/КЭ</v>
          </cell>
        </row>
        <row r="954">
          <cell r="A954" t="str">
            <v>В-00428/АЗ</v>
          </cell>
        </row>
        <row r="955">
          <cell r="A955" t="str">
            <v>В-00395/АЗ</v>
          </cell>
        </row>
        <row r="956">
          <cell r="A956" t="str">
            <v>А-04742/АЗ</v>
          </cell>
        </row>
        <row r="957">
          <cell r="A957" t="str">
            <v>А-05338/АЗ</v>
          </cell>
        </row>
        <row r="958">
          <cell r="A958" t="str">
            <v>В-00450/АЗ</v>
          </cell>
        </row>
        <row r="959">
          <cell r="A959" t="str">
            <v>В-00175/АЗ</v>
          </cell>
        </row>
        <row r="960">
          <cell r="A960" t="str">
            <v>В-00263/АЗ</v>
          </cell>
        </row>
        <row r="961">
          <cell r="A961" t="str">
            <v>В-00638/АЗ</v>
          </cell>
        </row>
        <row r="962">
          <cell r="A962" t="str">
            <v>В-00622/АЗ</v>
          </cell>
        </row>
        <row r="963">
          <cell r="A963" t="str">
            <v>А-10024/БЭ</v>
          </cell>
        </row>
        <row r="964">
          <cell r="A964" t="str">
            <v>В-00947/КЛ</v>
          </cell>
        </row>
        <row r="965">
          <cell r="A965" t="str">
            <v>А-05349/АЗ</v>
          </cell>
        </row>
        <row r="966">
          <cell r="A966" t="str">
            <v>В-00079/АЗ</v>
          </cell>
        </row>
        <row r="967">
          <cell r="A967" t="str">
            <v>В-00404/АЗ</v>
          </cell>
        </row>
        <row r="968">
          <cell r="A968" t="str">
            <v>А-05308/АЗ</v>
          </cell>
        </row>
        <row r="969">
          <cell r="A969" t="str">
            <v>В-00411/АЗ</v>
          </cell>
        </row>
        <row r="970">
          <cell r="A970" t="str">
            <v>В-00592/АЗ</v>
          </cell>
        </row>
        <row r="971">
          <cell r="A971" t="str">
            <v>В-00204/АЗ</v>
          </cell>
        </row>
        <row r="972">
          <cell r="A972" t="str">
            <v>В-00271/АЗ</v>
          </cell>
        </row>
        <row r="973">
          <cell r="A973" t="str">
            <v>В-00360/АЗ</v>
          </cell>
        </row>
        <row r="974">
          <cell r="A974" t="str">
            <v>А-04984/АЗ</v>
          </cell>
        </row>
        <row r="975">
          <cell r="A975" t="str">
            <v>Т-01705/АЗ</v>
          </cell>
        </row>
        <row r="976">
          <cell r="A976" t="str">
            <v>Т-01499/АЗ</v>
          </cell>
        </row>
        <row r="977">
          <cell r="A977" t="str">
            <v>А-03951/АЗ</v>
          </cell>
        </row>
        <row r="978">
          <cell r="A978" t="str">
            <v>В-00020/АЗ</v>
          </cell>
        </row>
        <row r="979">
          <cell r="A979" t="str">
            <v>А-04220/АЗ</v>
          </cell>
        </row>
        <row r="980">
          <cell r="A980" t="str">
            <v>В-00320/КЛ</v>
          </cell>
        </row>
        <row r="981">
          <cell r="A981" t="str">
            <v>А-05165/АЗ</v>
          </cell>
        </row>
        <row r="982">
          <cell r="A982" t="str">
            <v>И-00141/АЗ</v>
          </cell>
        </row>
        <row r="983">
          <cell r="A983" t="str">
            <v>А-30002/КЭ</v>
          </cell>
        </row>
        <row r="984">
          <cell r="A984" t="str">
            <v>А-10036/КЭ</v>
          </cell>
        </row>
        <row r="985">
          <cell r="A985" t="str">
            <v>А-05380/АЗ</v>
          </cell>
        </row>
        <row r="986">
          <cell r="A986" t="str">
            <v>Т-01820/АЗ</v>
          </cell>
        </row>
        <row r="987">
          <cell r="A987" t="str">
            <v>В-00457/АЗ</v>
          </cell>
        </row>
        <row r="988">
          <cell r="A988" t="str">
            <v>Т-01799/АЗ</v>
          </cell>
        </row>
        <row r="989">
          <cell r="A989" t="str">
            <v>В-00147/АЗ</v>
          </cell>
        </row>
        <row r="990">
          <cell r="A990" t="str">
            <v>А-05110/АЗ</v>
          </cell>
        </row>
        <row r="991">
          <cell r="A991" t="str">
            <v>А-04950/АЗ</v>
          </cell>
        </row>
        <row r="992">
          <cell r="A992" t="str">
            <v>А-05076/АЗ</v>
          </cell>
        </row>
        <row r="993">
          <cell r="A993" t="str">
            <v>В-00617/КЛ</v>
          </cell>
        </row>
        <row r="994">
          <cell r="A994" t="str">
            <v>В-00141/АЗ</v>
          </cell>
        </row>
        <row r="995">
          <cell r="A995" t="str">
            <v>В-00469/АЗ</v>
          </cell>
        </row>
        <row r="996">
          <cell r="A996" t="str">
            <v>В-00467/АЗ</v>
          </cell>
        </row>
        <row r="997">
          <cell r="A997" t="str">
            <v>В-00267/КЛ</v>
          </cell>
        </row>
        <row r="998">
          <cell r="A998" t="str">
            <v>В-00357/АЗ</v>
          </cell>
        </row>
        <row r="999">
          <cell r="A999" t="str">
            <v>Т-01774/АЗ</v>
          </cell>
        </row>
        <row r="1000">
          <cell r="A1000" t="str">
            <v>В-00398/АЗ</v>
          </cell>
        </row>
        <row r="1001">
          <cell r="A1001" t="str">
            <v>Т-01725/АЗ</v>
          </cell>
        </row>
        <row r="1002">
          <cell r="A1002" t="str">
            <v>А-05377/АЗ</v>
          </cell>
        </row>
        <row r="1003">
          <cell r="A1003" t="str">
            <v>В-00434/АЗ</v>
          </cell>
        </row>
        <row r="1004">
          <cell r="A1004" t="str">
            <v>А-04901/АЗ</v>
          </cell>
        </row>
        <row r="1005">
          <cell r="A1005" t="str">
            <v>А-05245/АЗ</v>
          </cell>
        </row>
        <row r="1006">
          <cell r="A1006" t="str">
            <v>В-00043/КЛ</v>
          </cell>
        </row>
        <row r="1007">
          <cell r="A1007" t="str">
            <v>В-00201/АЗ</v>
          </cell>
        </row>
        <row r="1008">
          <cell r="A1008" t="str">
            <v>А-04910/АЗ</v>
          </cell>
        </row>
        <row r="1009">
          <cell r="A1009" t="str">
            <v>А-10039/КЭ</v>
          </cell>
        </row>
        <row r="1010">
          <cell r="A1010" t="str">
            <v>А-00363/КЭ</v>
          </cell>
        </row>
        <row r="1011">
          <cell r="A1011" t="str">
            <v>А-05178/АЗ</v>
          </cell>
        </row>
        <row r="1012">
          <cell r="A1012" t="str">
            <v>Т-01750/АЗ</v>
          </cell>
        </row>
        <row r="1013">
          <cell r="A1013" t="str">
            <v>А-00375/КЭ</v>
          </cell>
        </row>
        <row r="1014">
          <cell r="A1014" t="str">
            <v>В-00763/КЛ</v>
          </cell>
        </row>
        <row r="1015">
          <cell r="A1015" t="str">
            <v>А-00257/КЭ</v>
          </cell>
        </row>
        <row r="1016">
          <cell r="A1016" t="str">
            <v>В-00275/АЗ</v>
          </cell>
        </row>
        <row r="1017">
          <cell r="A1017" t="str">
            <v>В-00326/АЗ</v>
          </cell>
        </row>
        <row r="1018">
          <cell r="A1018" t="str">
            <v>В-00169/АЗ</v>
          </cell>
        </row>
        <row r="1019">
          <cell r="A1019" t="str">
            <v>А-04018/АЗ</v>
          </cell>
        </row>
        <row r="1020">
          <cell r="A1020" t="str">
            <v>А-04641/АЗ</v>
          </cell>
        </row>
        <row r="1021">
          <cell r="A1021" t="str">
            <v>В-00135/АЗ</v>
          </cell>
        </row>
        <row r="1022">
          <cell r="A1022" t="str">
            <v>А-04404/АЗ</v>
          </cell>
        </row>
        <row r="1023">
          <cell r="A1023" t="str">
            <v>А-03870/АЗ</v>
          </cell>
        </row>
        <row r="1024">
          <cell r="A1024" t="str">
            <v>В-00039/АЗ</v>
          </cell>
        </row>
        <row r="1025">
          <cell r="A1025" t="str">
            <v>А-10032/КЭ</v>
          </cell>
        </row>
        <row r="1026">
          <cell r="A1026" t="str">
            <v>Т-01540/АЗ</v>
          </cell>
        </row>
        <row r="1027">
          <cell r="A1027" t="str">
            <v>А-04160/АЗ</v>
          </cell>
        </row>
        <row r="1028">
          <cell r="A1028" t="str">
            <v>В-00100/АЗ</v>
          </cell>
        </row>
        <row r="1029">
          <cell r="A1029" t="str">
            <v>В-00308/АЗ</v>
          </cell>
        </row>
        <row r="1030">
          <cell r="A1030" t="str">
            <v>А-04953/АЗ</v>
          </cell>
        </row>
        <row r="1031">
          <cell r="A1031" t="str">
            <v>А-00357/КЭ</v>
          </cell>
        </row>
        <row r="1032">
          <cell r="A1032" t="str">
            <v>В-00040/АЗ</v>
          </cell>
        </row>
        <row r="1033">
          <cell r="A1033" t="str">
            <v>Т-01646/АЗ</v>
          </cell>
        </row>
        <row r="1034">
          <cell r="A1034" t="str">
            <v>А-04684/АЗ</v>
          </cell>
        </row>
        <row r="1035">
          <cell r="A1035" t="str">
            <v>А-04958/АЗ</v>
          </cell>
        </row>
        <row r="1036">
          <cell r="A1036" t="str">
            <v>А-04914/АЗ</v>
          </cell>
        </row>
        <row r="1037">
          <cell r="A1037" t="str">
            <v>Т-01718/АЗ</v>
          </cell>
        </row>
        <row r="1038">
          <cell r="A1038" t="str">
            <v>А-04943/АЗ</v>
          </cell>
        </row>
        <row r="1039">
          <cell r="A1039" t="str">
            <v>Т-01706/АЗ</v>
          </cell>
        </row>
        <row r="1040">
          <cell r="A1040" t="str">
            <v>А-04674/АЗ</v>
          </cell>
        </row>
        <row r="1041">
          <cell r="A1041" t="str">
            <v>В-00041/АЗ</v>
          </cell>
        </row>
        <row r="1042">
          <cell r="A1042" t="str">
            <v>Т-01610/АЗ</v>
          </cell>
        </row>
        <row r="1043">
          <cell r="A1043" t="str">
            <v>А-04490/АЗ</v>
          </cell>
        </row>
        <row r="1044">
          <cell r="A1044" t="str">
            <v>В-00151/АЗ</v>
          </cell>
        </row>
        <row r="1045">
          <cell r="A1045" t="str">
            <v>В-00161/АЗ</v>
          </cell>
        </row>
        <row r="1046">
          <cell r="A1046" t="str">
            <v>А-05138/АЗ</v>
          </cell>
        </row>
        <row r="1047">
          <cell r="A1047" t="str">
            <v>А-05130/АЗ</v>
          </cell>
        </row>
        <row r="1048">
          <cell r="A1048" t="str">
            <v>В-00018/АЗ</v>
          </cell>
        </row>
        <row r="1049">
          <cell r="A1049" t="str">
            <v>А-10020/КЭ</v>
          </cell>
        </row>
        <row r="1050">
          <cell r="A1050" t="str">
            <v>В-00065/АЗ</v>
          </cell>
        </row>
        <row r="1051">
          <cell r="A1051" t="str">
            <v>И-00154/АЗ</v>
          </cell>
        </row>
        <row r="1052">
          <cell r="A1052" t="str">
            <v>В-00073/АЗ</v>
          </cell>
        </row>
        <row r="1053">
          <cell r="A1053" t="str">
            <v>А-10087/КЭ</v>
          </cell>
        </row>
        <row r="1054">
          <cell r="A1054" t="str">
            <v>А-05335/АЗ</v>
          </cell>
        </row>
        <row r="1055">
          <cell r="A1055" t="str">
            <v>В-00243/АЗ</v>
          </cell>
        </row>
        <row r="1056">
          <cell r="A1056" t="str">
            <v>А-05100/АЗ</v>
          </cell>
        </row>
        <row r="1057">
          <cell r="A1057" t="str">
            <v>А-05159/АЗ</v>
          </cell>
        </row>
        <row r="1058">
          <cell r="A1058" t="str">
            <v>А-05031/АЗ</v>
          </cell>
        </row>
        <row r="1059">
          <cell r="A1059" t="str">
            <v>А-04601/АЗ</v>
          </cell>
        </row>
        <row r="1060">
          <cell r="A1060" t="str">
            <v>В-00052/АЗ</v>
          </cell>
        </row>
        <row r="1061">
          <cell r="A1061" t="str">
            <v>А-03933/АЗ</v>
          </cell>
        </row>
        <row r="1062">
          <cell r="A1062" t="str">
            <v>А-04868/АЗ</v>
          </cell>
        </row>
        <row r="1063">
          <cell r="A1063" t="str">
            <v>А-04352/АЗ</v>
          </cell>
        </row>
        <row r="1064">
          <cell r="A1064" t="str">
            <v>А-05137/АЗ</v>
          </cell>
        </row>
        <row r="1065">
          <cell r="A1065" t="str">
            <v>А-04802/АЗ</v>
          </cell>
        </row>
        <row r="1066">
          <cell r="A1066" t="str">
            <v>Т-01805/АЗ</v>
          </cell>
        </row>
        <row r="1067">
          <cell r="A1067" t="str">
            <v>А-05346/АЗ</v>
          </cell>
        </row>
        <row r="1068">
          <cell r="A1068" t="str">
            <v>А-00268/КЭ</v>
          </cell>
        </row>
        <row r="1069">
          <cell r="A1069" t="str">
            <v>А-10063/КЭ</v>
          </cell>
        </row>
        <row r="1070">
          <cell r="A1070" t="str">
            <v>А-05123/АЗ</v>
          </cell>
        </row>
        <row r="1071">
          <cell r="A1071" t="str">
            <v>А-05230/АЗ</v>
          </cell>
        </row>
        <row r="1072">
          <cell r="A1072" t="str">
            <v>И-00163/АЗ</v>
          </cell>
        </row>
        <row r="1073">
          <cell r="A1073" t="str">
            <v>Т-01642/АЗ</v>
          </cell>
        </row>
        <row r="1074">
          <cell r="A1074" t="str">
            <v>А-04668/АЗ</v>
          </cell>
        </row>
        <row r="1075">
          <cell r="A1075" t="str">
            <v>А-05208/АЗ</v>
          </cell>
        </row>
        <row r="1076">
          <cell r="A1076" t="str">
            <v>Т-01758/АЗ</v>
          </cell>
        </row>
        <row r="1077">
          <cell r="A1077" t="str">
            <v>А-04925/АЗ</v>
          </cell>
        </row>
        <row r="1078">
          <cell r="A1078" t="str">
            <v>А-05074/АЗ</v>
          </cell>
        </row>
        <row r="1079">
          <cell r="A1079" t="str">
            <v>Т-01720/АЗ</v>
          </cell>
        </row>
        <row r="1080">
          <cell r="A1080" t="str">
            <v>Т-01524/АЗ</v>
          </cell>
        </row>
        <row r="1081">
          <cell r="A1081" t="str">
            <v>А-04089/АЗ</v>
          </cell>
        </row>
        <row r="1082">
          <cell r="A1082" t="str">
            <v>А-04323/АЗ</v>
          </cell>
        </row>
        <row r="1083">
          <cell r="A1083" t="str">
            <v>А-05195/АЗ</v>
          </cell>
        </row>
        <row r="1084">
          <cell r="A1084" t="str">
            <v>Т-01754/АЗ</v>
          </cell>
        </row>
        <row r="1085">
          <cell r="A1085" t="str">
            <v>А-04735/АЗ</v>
          </cell>
        </row>
        <row r="1086">
          <cell r="A1086" t="str">
            <v>И-00170/АЗ</v>
          </cell>
        </row>
        <row r="1087">
          <cell r="A1087" t="str">
            <v>А-05073/АЗ</v>
          </cell>
        </row>
        <row r="1088">
          <cell r="A1088" t="str">
            <v>А-04962/АЗ</v>
          </cell>
        </row>
        <row r="1089">
          <cell r="A1089" t="str">
            <v>А-04842/АЗ</v>
          </cell>
        </row>
        <row r="1090">
          <cell r="A1090" t="str">
            <v>А-05198/АЗ</v>
          </cell>
        </row>
        <row r="1091">
          <cell r="A1091" t="str">
            <v>А-04593/АЗ</v>
          </cell>
        </row>
        <row r="1092">
          <cell r="A1092" t="str">
            <v>А-10019/БЭ</v>
          </cell>
        </row>
        <row r="1093">
          <cell r="A1093" t="str">
            <v>А-00019/ИЗ</v>
          </cell>
        </row>
        <row r="1094">
          <cell r="A1094" t="str">
            <v>А-04818/АЗ</v>
          </cell>
        </row>
        <row r="1095">
          <cell r="A1095" t="str">
            <v>А-04193/АЗ</v>
          </cell>
        </row>
        <row r="1096">
          <cell r="A1096" t="str">
            <v>А-04805/АЗ</v>
          </cell>
        </row>
        <row r="1097">
          <cell r="A1097" t="str">
            <v>А-05087/АЗ</v>
          </cell>
        </row>
        <row r="1098">
          <cell r="A1098" t="str">
            <v>Т-01724/АЗ</v>
          </cell>
        </row>
        <row r="1099">
          <cell r="A1099" t="str">
            <v>А-04676/АЗ</v>
          </cell>
        </row>
        <row r="1100">
          <cell r="A1100" t="str">
            <v>Т-10005/БЭ</v>
          </cell>
        </row>
        <row r="1101">
          <cell r="A1101" t="str">
            <v>И-00097/АЗ</v>
          </cell>
        </row>
        <row r="1102">
          <cell r="A1102" t="str">
            <v>А-05048/АЗ</v>
          </cell>
        </row>
        <row r="1103">
          <cell r="A1103" t="str">
            <v>Т-01716/АЗ</v>
          </cell>
        </row>
        <row r="1104">
          <cell r="A1104" t="str">
            <v>А-05114/АЗ</v>
          </cell>
        </row>
        <row r="1105">
          <cell r="A1105" t="str">
            <v>А-04070/АЗ</v>
          </cell>
        </row>
        <row r="1106">
          <cell r="A1106" t="str">
            <v>А-04535/АЗ</v>
          </cell>
        </row>
        <row r="1107">
          <cell r="A1107" t="str">
            <v>Т-01707/АЗ</v>
          </cell>
        </row>
        <row r="1108">
          <cell r="A1108" t="str">
            <v>А-30001/КЭ</v>
          </cell>
        </row>
        <row r="1109">
          <cell r="A1109" t="str">
            <v>А-04237/АЗ</v>
          </cell>
        </row>
        <row r="1110">
          <cell r="A1110" t="str">
            <v>А-04329/АЗ</v>
          </cell>
        </row>
        <row r="1111">
          <cell r="A1111" t="str">
            <v>Т-01775/АЗ</v>
          </cell>
        </row>
        <row r="1112">
          <cell r="A1112" t="str">
            <v>А-05285/АЗ</v>
          </cell>
        </row>
        <row r="1113">
          <cell r="A1113" t="str">
            <v>А-00217/КЭ</v>
          </cell>
        </row>
        <row r="1114">
          <cell r="A1114" t="str">
            <v>Т-01672/АЗ</v>
          </cell>
        </row>
        <row r="1115">
          <cell r="A1115" t="str">
            <v>А-04027/АЗ</v>
          </cell>
        </row>
        <row r="1116">
          <cell r="A1116" t="str">
            <v>А-04829/АЗ</v>
          </cell>
        </row>
        <row r="1117">
          <cell r="A1117" t="str">
            <v>А-00346/КЭ</v>
          </cell>
        </row>
        <row r="1118">
          <cell r="A1118" t="str">
            <v>А-10050/КЭ</v>
          </cell>
        </row>
        <row r="1119">
          <cell r="A1119" t="str">
            <v>А-00229/КЭ</v>
          </cell>
        </row>
        <row r="1120">
          <cell r="A1120" t="str">
            <v>Т-01572/АЗ</v>
          </cell>
        </row>
        <row r="1121">
          <cell r="A1121" t="str">
            <v>Т-01571/АЗ</v>
          </cell>
        </row>
        <row r="1122">
          <cell r="A1122" t="str">
            <v>А-04281/АЗ</v>
          </cell>
        </row>
        <row r="1123">
          <cell r="A1123" t="str">
            <v>А-04282/АЗ</v>
          </cell>
        </row>
        <row r="1124">
          <cell r="A1124" t="str">
            <v>А-05006/АЗ</v>
          </cell>
        </row>
        <row r="1125">
          <cell r="A1125" t="str">
            <v>А-05160/АЗ</v>
          </cell>
        </row>
        <row r="1126">
          <cell r="A1126" t="str">
            <v>А-04815/АЗ</v>
          </cell>
        </row>
        <row r="1127">
          <cell r="A1127" t="str">
            <v>А-05030/АЗ</v>
          </cell>
        </row>
        <row r="1128">
          <cell r="A1128" t="str">
            <v>А-04701/АЗ</v>
          </cell>
        </row>
        <row r="1129">
          <cell r="A1129" t="str">
            <v>А-04499/АЗ</v>
          </cell>
        </row>
        <row r="1130">
          <cell r="A1130" t="str">
            <v>Т-01611/АЗ</v>
          </cell>
        </row>
        <row r="1131">
          <cell r="A1131" t="str">
            <v>А-04801/АЗ</v>
          </cell>
        </row>
        <row r="1132">
          <cell r="A1132" t="str">
            <v>А-10001/КЭ</v>
          </cell>
        </row>
        <row r="1133">
          <cell r="A1133" t="str">
            <v>А-00274/КЭ</v>
          </cell>
        </row>
        <row r="1134">
          <cell r="A1134" t="str">
            <v>А-04942/АЗ</v>
          </cell>
        </row>
        <row r="1135">
          <cell r="A1135" t="str">
            <v>А-04594/АЗ</v>
          </cell>
        </row>
        <row r="1136">
          <cell r="A1136" t="str">
            <v>А-04167/АЗ</v>
          </cell>
        </row>
        <row r="1137">
          <cell r="A1137" t="str">
            <v>А-04789/АЗ</v>
          </cell>
        </row>
        <row r="1138">
          <cell r="A1138" t="str">
            <v>А-03837/АЗ</v>
          </cell>
        </row>
        <row r="1139">
          <cell r="A1139" t="str">
            <v>А-04236/АЗ</v>
          </cell>
        </row>
        <row r="1140">
          <cell r="A1140" t="str">
            <v>А-04538/АЗ</v>
          </cell>
        </row>
        <row r="1141">
          <cell r="A1141" t="str">
            <v>Т-10002/БЭ</v>
          </cell>
        </row>
        <row r="1142">
          <cell r="A1142" t="str">
            <v>Т-01607/АЗ</v>
          </cell>
        </row>
        <row r="1143">
          <cell r="A1143" t="str">
            <v>А-04355/АЗ</v>
          </cell>
        </row>
        <row r="1144">
          <cell r="A1144" t="str">
            <v>А-04470/АЗ</v>
          </cell>
        </row>
        <row r="1145">
          <cell r="A1145" t="str">
            <v>А-00352/КЭ</v>
          </cell>
        </row>
        <row r="1146">
          <cell r="A1146" t="str">
            <v>А-04681/АЗ</v>
          </cell>
        </row>
        <row r="1147">
          <cell r="A1147" t="str">
            <v>А-04680/АЗ</v>
          </cell>
        </row>
        <row r="1148">
          <cell r="A1148" t="str">
            <v>А-04132/АЗ</v>
          </cell>
        </row>
        <row r="1149">
          <cell r="A1149" t="str">
            <v>А-04888/АЗ</v>
          </cell>
        </row>
        <row r="1150">
          <cell r="A1150" t="str">
            <v>А-03926/АЗ</v>
          </cell>
        </row>
        <row r="1151">
          <cell r="A1151" t="str">
            <v>А-10037/КЭ</v>
          </cell>
        </row>
        <row r="1152">
          <cell r="A1152" t="str">
            <v>А-00305/КЭ</v>
          </cell>
        </row>
        <row r="1153">
          <cell r="A1153" t="str">
            <v>А-04658/АЗ</v>
          </cell>
        </row>
        <row r="1154">
          <cell r="A1154" t="str">
            <v>А-04541/АЗ</v>
          </cell>
        </row>
        <row r="1155">
          <cell r="A1155" t="str">
            <v>Т-01457/АЗ</v>
          </cell>
        </row>
        <row r="1156">
          <cell r="A1156" t="str">
            <v>А-03753/АЗ</v>
          </cell>
        </row>
        <row r="1157">
          <cell r="A1157" t="str">
            <v>А-04117/АЗ</v>
          </cell>
        </row>
        <row r="1158">
          <cell r="A1158" t="str">
            <v>А-04003/АЗ</v>
          </cell>
        </row>
        <row r="1159">
          <cell r="A1159" t="str">
            <v>А-04695/АЗ</v>
          </cell>
        </row>
        <row r="1160">
          <cell r="A1160" t="str">
            <v>И-00125/АЗ</v>
          </cell>
        </row>
        <row r="1161">
          <cell r="A1161" t="str">
            <v>А-04669/АЗ</v>
          </cell>
        </row>
        <row r="1162">
          <cell r="A1162" t="str">
            <v>Т-01643/АЗ</v>
          </cell>
        </row>
        <row r="1163">
          <cell r="A1163" t="str">
            <v>Т-01539/АЗ</v>
          </cell>
        </row>
        <row r="1164">
          <cell r="A1164" t="str">
            <v>А-04156/АЗ</v>
          </cell>
        </row>
        <row r="1165">
          <cell r="A1165" t="str">
            <v>А-04015/АЗ</v>
          </cell>
        </row>
        <row r="1166">
          <cell r="A1166" t="str">
            <v>Т-01510/АЗ</v>
          </cell>
        </row>
        <row r="1167">
          <cell r="A1167" t="str">
            <v>А-00294/КЭ</v>
          </cell>
        </row>
        <row r="1168">
          <cell r="A1168" t="str">
            <v>А-10034/КЭ</v>
          </cell>
        </row>
        <row r="1169">
          <cell r="A1169" t="str">
            <v>А-03749/АЗ</v>
          </cell>
        </row>
        <row r="1170">
          <cell r="A1170" t="str">
            <v>А-03788/АЗ</v>
          </cell>
        </row>
        <row r="1171">
          <cell r="A1171" t="str">
            <v>А-04617/АЗ</v>
          </cell>
        </row>
        <row r="1172">
          <cell r="A1172" t="str">
            <v>А-04771/АЗ</v>
          </cell>
        </row>
        <row r="1173">
          <cell r="A1173" t="str">
            <v>А-03750/АЗ</v>
          </cell>
        </row>
        <row r="1174">
          <cell r="A1174" t="str">
            <v>А-04158/АЗ</v>
          </cell>
        </row>
        <row r="1175">
          <cell r="A1175" t="str">
            <v>А-10016/БЭ</v>
          </cell>
        </row>
        <row r="1176">
          <cell r="A1176" t="str">
            <v>А-03591/АЗ</v>
          </cell>
        </row>
        <row r="1177">
          <cell r="A1177" t="str">
            <v>А-00035/БЭ</v>
          </cell>
        </row>
        <row r="1178">
          <cell r="A1178" t="str">
            <v>А-04548/АЗ</v>
          </cell>
        </row>
        <row r="1179">
          <cell r="A1179" t="str">
            <v>А-00259/КЭ</v>
          </cell>
        </row>
        <row r="1180">
          <cell r="A1180" t="str">
            <v>А-10061/КЭ</v>
          </cell>
        </row>
        <row r="1181">
          <cell r="A1181" t="str">
            <v>А-03768/АЗ</v>
          </cell>
        </row>
        <row r="1182">
          <cell r="A1182" t="str">
            <v>А-10041/КЭ</v>
          </cell>
        </row>
        <row r="1183">
          <cell r="A1183" t="str">
            <v>А-03934/АЗ</v>
          </cell>
        </row>
        <row r="1184">
          <cell r="A1184" t="str">
            <v>А-04173/АЗ</v>
          </cell>
        </row>
        <row r="1185">
          <cell r="A1185" t="str">
            <v>А-03942/АЗ</v>
          </cell>
        </row>
        <row r="1186">
          <cell r="A1186" t="str">
            <v>А-03756/АЗ</v>
          </cell>
        </row>
        <row r="1187">
          <cell r="A1187" t="str">
            <v>А-10047/КЭ</v>
          </cell>
        </row>
        <row r="1188">
          <cell r="A1188" t="str">
            <v>А-04384/АЗ</v>
          </cell>
        </row>
        <row r="1189">
          <cell r="A1189" t="str">
            <v>А-04382/АЗ</v>
          </cell>
        </row>
        <row r="1190">
          <cell r="A1190" t="str">
            <v>А-04275/АЗ</v>
          </cell>
        </row>
        <row r="1191">
          <cell r="A1191" t="str">
            <v>А-04341/АЗ</v>
          </cell>
        </row>
        <row r="1192">
          <cell r="A1192" t="str">
            <v>Т-01585/АЗ</v>
          </cell>
        </row>
        <row r="1193">
          <cell r="A1193" t="str">
            <v>А-04464/АЗ</v>
          </cell>
        </row>
        <row r="1194">
          <cell r="A1194" t="str">
            <v>А-03853/АЗ</v>
          </cell>
        </row>
        <row r="1195">
          <cell r="A1195" t="str">
            <v>А-04151/АЗ</v>
          </cell>
        </row>
        <row r="1196">
          <cell r="A1196" t="str">
            <v>А-03918/АЗ</v>
          </cell>
        </row>
        <row r="1197">
          <cell r="A1197" t="str">
            <v>А-10017/КЭ</v>
          </cell>
        </row>
        <row r="1198">
          <cell r="A1198" t="str">
            <v>А-03511/АЗ</v>
          </cell>
        </row>
        <row r="1199">
          <cell r="A1199" t="str">
            <v>А-00242/КЭ</v>
          </cell>
        </row>
        <row r="1200">
          <cell r="A1200" t="str">
            <v>А-10048/КЭ</v>
          </cell>
        </row>
        <row r="1201">
          <cell r="A1201" t="str">
            <v>А-04206/АЗ</v>
          </cell>
        </row>
        <row r="1202">
          <cell r="A1202" t="str">
            <v>А-00314/КЭ</v>
          </cell>
        </row>
        <row r="1203">
          <cell r="A1203" t="str">
            <v>А-00211/КЭ</v>
          </cell>
        </row>
        <row r="1204">
          <cell r="A1204" t="str">
            <v>А-00165/КЭ</v>
          </cell>
        </row>
        <row r="1205">
          <cell r="A1205" t="str">
            <v>А-04028/АЗ</v>
          </cell>
        </row>
        <row r="1206">
          <cell r="A1206" t="str">
            <v>И-00119/АЗ</v>
          </cell>
        </row>
        <row r="1207">
          <cell r="A1207" t="str">
            <v>А-03544/АЗ</v>
          </cell>
        </row>
        <row r="1208">
          <cell r="A1208" t="str">
            <v>Т-01396/АЗ</v>
          </cell>
        </row>
        <row r="1209">
          <cell r="A1209" t="str">
            <v>А-00006/ИЗ</v>
          </cell>
        </row>
        <row r="1210">
          <cell r="A1210" t="str">
            <v>А-04092/АЗ</v>
          </cell>
        </row>
        <row r="1211">
          <cell r="A1211" t="str">
            <v>А-00230/КЭ</v>
          </cell>
        </row>
        <row r="1212">
          <cell r="A1212" t="str">
            <v>А-10010/БЭ</v>
          </cell>
        </row>
        <row r="1213">
          <cell r="A1213" t="str">
            <v>А-04022/АЗ</v>
          </cell>
        </row>
        <row r="1214">
          <cell r="A1214" t="str">
            <v>А-03980/АЗ</v>
          </cell>
        </row>
        <row r="1215">
          <cell r="A1215" t="str">
            <v>А-04096/АЗ</v>
          </cell>
        </row>
        <row r="1216">
          <cell r="A1216" t="str">
            <v>А-04088/АЗ</v>
          </cell>
        </row>
        <row r="1217">
          <cell r="A1217" t="str">
            <v>А-00169/КЭ</v>
          </cell>
        </row>
        <row r="1218">
          <cell r="A1218" t="str">
            <v>А-00247/КЭ</v>
          </cell>
        </row>
        <row r="1219">
          <cell r="A1219" t="str">
            <v>А-00084/КЭ</v>
          </cell>
        </row>
        <row r="1220">
          <cell r="A1220" t="str">
            <v>А-00254/КЭ</v>
          </cell>
        </row>
        <row r="1221">
          <cell r="A1221" t="str">
            <v>А-00001/БЭ</v>
          </cell>
        </row>
        <row r="1222">
          <cell r="A1222" t="str">
            <v>А-04412/АЗ</v>
          </cell>
        </row>
        <row r="1223">
          <cell r="A1223" t="str">
            <v>Т-01596/АЗ</v>
          </cell>
        </row>
        <row r="1224">
          <cell r="A1224" t="str">
            <v>А-03766/АЗ</v>
          </cell>
        </row>
        <row r="1225">
          <cell r="A1225" t="str">
            <v>А-00029/БЭ</v>
          </cell>
        </row>
        <row r="1226">
          <cell r="A1226" t="str">
            <v>А-04056/АЗ</v>
          </cell>
        </row>
        <row r="1227">
          <cell r="A1227" t="str">
            <v>А-00262/КЭ</v>
          </cell>
        </row>
        <row r="1228">
          <cell r="A1228" t="str">
            <v>Т-10003/БЭ</v>
          </cell>
        </row>
        <row r="1229">
          <cell r="A1229" t="str">
            <v>А-03925/АЗ</v>
          </cell>
        </row>
        <row r="1230">
          <cell r="A1230" t="str">
            <v>А-03444/АЗ</v>
          </cell>
        </row>
        <row r="1231">
          <cell r="A1231" t="str">
            <v>А-00293/КЭ</v>
          </cell>
        </row>
        <row r="1232">
          <cell r="A1232" t="str">
            <v>А-02682/АЗ</v>
          </cell>
        </row>
        <row r="1233">
          <cell r="A1233" t="str">
            <v>А-03792/АЗ</v>
          </cell>
        </row>
        <row r="1234">
          <cell r="A1234" t="str">
            <v>А-03814/АЗ</v>
          </cell>
        </row>
        <row r="1235">
          <cell r="A1235" t="str">
            <v>А-00034/БЭ</v>
          </cell>
        </row>
        <row r="1236">
          <cell r="A1236" t="str">
            <v>А-03822/АЗ</v>
          </cell>
        </row>
        <row r="1237">
          <cell r="A1237" t="str">
            <v>А-03507/АЗ</v>
          </cell>
        </row>
        <row r="1238">
          <cell r="A1238" t="str">
            <v>А-00236/КЭ</v>
          </cell>
        </row>
        <row r="1239">
          <cell r="A1239" t="str">
            <v>А-10004/КЭ</v>
          </cell>
        </row>
        <row r="1240">
          <cell r="A1240" t="str">
            <v>А-10035/КЭ</v>
          </cell>
        </row>
        <row r="1241">
          <cell r="A1241" t="str">
            <v>А-00130/КЭ</v>
          </cell>
        </row>
        <row r="1242">
          <cell r="A1242" t="str">
            <v>А-03437/АЗ</v>
          </cell>
        </row>
        <row r="1243">
          <cell r="A1243" t="str">
            <v>А-00263/КЭ</v>
          </cell>
        </row>
        <row r="1244">
          <cell r="A1244" t="str">
            <v>А-03599/АЗ</v>
          </cell>
        </row>
        <row r="1245">
          <cell r="A1245" t="str">
            <v>А-00289/КЭ</v>
          </cell>
        </row>
        <row r="1246">
          <cell r="A1246" t="str">
            <v>А-03137/АЗ</v>
          </cell>
        </row>
        <row r="1247">
          <cell r="A1247" t="str">
            <v>А-00273/КЭ</v>
          </cell>
        </row>
        <row r="1248">
          <cell r="A1248" t="str">
            <v>А-02821/АЗ</v>
          </cell>
        </row>
        <row r="1249">
          <cell r="A1249" t="str">
            <v>А-00238/КЭ</v>
          </cell>
        </row>
        <row r="1250">
          <cell r="A1250" t="str">
            <v>Т-01236/АЗ</v>
          </cell>
        </row>
        <row r="1251">
          <cell r="A1251" t="str">
            <v>А-02936/АЗ</v>
          </cell>
        </row>
        <row r="1252">
          <cell r="A1252" t="str">
            <v>И-00042/АЗ</v>
          </cell>
        </row>
        <row r="1253">
          <cell r="A1253" t="str">
            <v>А-00160/КЭ</v>
          </cell>
        </row>
        <row r="1254">
          <cell r="A1254" t="str">
            <v>А-00221/КЭ</v>
          </cell>
        </row>
        <row r="1255">
          <cell r="A1255" t="str">
            <v>А-03237/АЗ</v>
          </cell>
        </row>
        <row r="1256">
          <cell r="A1256" t="str">
            <v>А-10007/КЭ</v>
          </cell>
        </row>
        <row r="1257">
          <cell r="A1257" t="str">
            <v>А-20003/КЭ</v>
          </cell>
        </row>
        <row r="1258">
          <cell r="A1258" t="str">
            <v>А-00210/КЭ</v>
          </cell>
        </row>
        <row r="1259">
          <cell r="A1259" t="str">
            <v>А-03342/АЗ</v>
          </cell>
        </row>
        <row r="1260">
          <cell r="A1260" t="str">
            <v>А-00195/КЭ</v>
          </cell>
        </row>
        <row r="1261">
          <cell r="A1261" t="str">
            <v>Т-01078/АЗ</v>
          </cell>
        </row>
        <row r="1262">
          <cell r="A1262" t="str">
            <v>А-00245/КЭ</v>
          </cell>
        </row>
        <row r="1263">
          <cell r="A1263" t="str">
            <v>А-00192/КЭ</v>
          </cell>
        </row>
        <row r="1264">
          <cell r="A1264" t="str">
            <v>А-02655/АЗ</v>
          </cell>
        </row>
        <row r="1265">
          <cell r="A1265" t="str">
            <v>А-02957/АЗ</v>
          </cell>
        </row>
        <row r="1266">
          <cell r="A1266" t="str">
            <v>А-10005/КЭ</v>
          </cell>
        </row>
        <row r="1267">
          <cell r="A1267" t="str">
            <v>А-03153/АЗ</v>
          </cell>
        </row>
        <row r="1268">
          <cell r="A1268" t="str">
            <v>А-00107/КЭ</v>
          </cell>
        </row>
        <row r="1269">
          <cell r="A1269" t="str">
            <v>А-00149/КЭ</v>
          </cell>
        </row>
        <row r="1270">
          <cell r="A1270" t="str">
            <v>А-03093/АЗ</v>
          </cell>
        </row>
        <row r="1271">
          <cell r="A1271" t="str">
            <v>Т-01284/АЗ</v>
          </cell>
        </row>
        <row r="1272">
          <cell r="A1272" t="str">
            <v>А-00183/КЭ</v>
          </cell>
        </row>
        <row r="1273">
          <cell r="A1273" t="str">
            <v>А-00224/КЭ</v>
          </cell>
        </row>
        <row r="1274">
          <cell r="A1274" t="str">
            <v>А-02772/АЗ</v>
          </cell>
        </row>
        <row r="1275">
          <cell r="A1275" t="str">
            <v>А-02656/АЗ</v>
          </cell>
        </row>
        <row r="1276">
          <cell r="A1276" t="str">
            <v>А-00094/КЭ</v>
          </cell>
        </row>
        <row r="1277">
          <cell r="A1277" t="str">
            <v>А-10003/КЭ</v>
          </cell>
        </row>
        <row r="1278">
          <cell r="A1278" t="str">
            <v>А-00147/КЭ</v>
          </cell>
        </row>
        <row r="1279">
          <cell r="A1279" t="str">
            <v>А-02524/АЗ</v>
          </cell>
        </row>
        <row r="1280">
          <cell r="A1280" t="str">
            <v>А-02939/АЗ</v>
          </cell>
        </row>
        <row r="1281">
          <cell r="A1281" t="str">
            <v>Т-01238/АЗ</v>
          </cell>
        </row>
        <row r="1282">
          <cell r="A1282" t="str">
            <v>А-02937/АЗ</v>
          </cell>
        </row>
        <row r="1283">
          <cell r="A1283" t="str">
            <v>А-00109/КЭ</v>
          </cell>
        </row>
        <row r="1284">
          <cell r="A1284" t="str">
            <v>А-00095/КЭ</v>
          </cell>
        </row>
        <row r="1285">
          <cell r="A1285" t="str">
            <v>А-02635/АЗ</v>
          </cell>
        </row>
        <row r="1286">
          <cell r="A1286" t="str">
            <v>А-02488/АЗ</v>
          </cell>
        </row>
        <row r="1287">
          <cell r="A1287" t="str">
            <v>А-00161/КЭ</v>
          </cell>
        </row>
        <row r="1288">
          <cell r="A1288" t="str">
            <v>Т-01186/АЗ</v>
          </cell>
        </row>
        <row r="1289">
          <cell r="A1289" t="str">
            <v>А-02792/АЗ</v>
          </cell>
        </row>
        <row r="1290">
          <cell r="A1290" t="str">
            <v>А-00074/КЭ</v>
          </cell>
        </row>
        <row r="1291">
          <cell r="A1291" t="str">
            <v>А-02646/АЗ</v>
          </cell>
        </row>
        <row r="1292">
          <cell r="A1292" t="str">
            <v>А-00002/ИЗ</v>
          </cell>
        </row>
        <row r="1293">
          <cell r="A1293" t="str">
            <v>А-00116/КЭ</v>
          </cell>
        </row>
        <row r="1294">
          <cell r="A1294" t="str">
            <v>А-00102/КЭ</v>
          </cell>
        </row>
        <row r="1295">
          <cell r="A1295" t="str">
            <v>А-02257/АЗ</v>
          </cell>
        </row>
        <row r="1296">
          <cell r="A1296" t="str">
            <v>А-02120/АЗ</v>
          </cell>
        </row>
        <row r="1297">
          <cell r="A1297" t="str">
            <v>А-00100/КЭ</v>
          </cell>
        </row>
        <row r="1298">
          <cell r="A1298" t="str">
            <v>А-00088/КЭ</v>
          </cell>
        </row>
        <row r="1299">
          <cell r="A1299" t="str">
            <v>А-00115/КЭ</v>
          </cell>
        </row>
        <row r="1300">
          <cell r="A1300" t="str">
            <v>А-00046/КЭ</v>
          </cell>
        </row>
        <row r="1301">
          <cell r="A1301" t="str">
            <v>А-01738/АЗ</v>
          </cell>
        </row>
        <row r="1302">
          <cell r="A1302" t="str">
            <v>А-00064/КЭ</v>
          </cell>
        </row>
        <row r="1303">
          <cell r="A1303" t="str">
            <v>А-00108/КЭ</v>
          </cell>
        </row>
        <row r="1304">
          <cell r="A1304" t="str">
            <v>Т-00769/АЗ</v>
          </cell>
        </row>
        <row r="1305">
          <cell r="A1305" t="str">
            <v>А-00058/КЭ</v>
          </cell>
        </row>
        <row r="1306">
          <cell r="A1306" t="str">
            <v>Т-00883/АЗ</v>
          </cell>
        </row>
        <row r="1307">
          <cell r="A1307" t="str">
            <v>А-00078/КЭ</v>
          </cell>
        </row>
        <row r="1308">
          <cell r="A1308" t="str">
            <v>А-00087/КЭ</v>
          </cell>
        </row>
        <row r="1309">
          <cell r="A1309" t="str">
            <v>А-00101/КЭ</v>
          </cell>
        </row>
        <row r="1310">
          <cell r="A1310" t="str">
            <v>А-00089/КЭ</v>
          </cell>
        </row>
        <row r="1311">
          <cell r="A1311" t="str">
            <v>А-00082/КЭ</v>
          </cell>
        </row>
        <row r="1312">
          <cell r="A1312" t="str">
            <v>А-00103/КЭ</v>
          </cell>
        </row>
        <row r="1313">
          <cell r="A1313" t="str">
            <v>А-02114/АЗ</v>
          </cell>
        </row>
        <row r="1314">
          <cell r="A1314" t="str">
            <v>Т-00820/АЗ</v>
          </cell>
        </row>
        <row r="1315">
          <cell r="A1315" t="str">
            <v>А-00059/КЭ</v>
          </cell>
        </row>
        <row r="1316">
          <cell r="A1316" t="str">
            <v>А-01665/АЗ</v>
          </cell>
        </row>
        <row r="1317">
          <cell r="A1317" t="str">
            <v>А-01984/АЗ</v>
          </cell>
        </row>
        <row r="1318">
          <cell r="A1318" t="str">
            <v>А-00096/КЭ</v>
          </cell>
        </row>
        <row r="1319">
          <cell r="A1319" t="str">
            <v>А-00030/КЭ</v>
          </cell>
        </row>
        <row r="1320">
          <cell r="A1320" t="str">
            <v>А-00062/КЭ</v>
          </cell>
        </row>
        <row r="1321">
          <cell r="A1321" t="str">
            <v>А-00018/КЭ</v>
          </cell>
        </row>
        <row r="1322">
          <cell r="A1322" t="str">
            <v>А-00086/КЭ</v>
          </cell>
        </row>
        <row r="1323">
          <cell r="A1323" t="str">
            <v>Т-00837/АЗ</v>
          </cell>
        </row>
        <row r="1324">
          <cell r="A1324" t="str">
            <v>А-01872/АЗ</v>
          </cell>
        </row>
        <row r="1325">
          <cell r="A1325" t="str">
            <v>А-00065/КЭ</v>
          </cell>
        </row>
        <row r="1326">
          <cell r="A1326" t="str">
            <v>А-01607/АЗ</v>
          </cell>
        </row>
        <row r="1327">
          <cell r="A1327" t="str">
            <v>А-00016/КЭ</v>
          </cell>
        </row>
        <row r="1328">
          <cell r="A1328" t="str">
            <v>А-00004/КЭ</v>
          </cell>
        </row>
        <row r="1329">
          <cell r="A1329" t="str">
            <v>А-00028/КЭ</v>
          </cell>
        </row>
        <row r="1330">
          <cell r="A1330" t="str">
            <v>А-00010/КЭ</v>
          </cell>
        </row>
        <row r="1331">
          <cell r="A1331" t="str">
            <v>Т-00462/АЗ</v>
          </cell>
        </row>
        <row r="1332">
          <cell r="A1332" t="str">
            <v>А-01775/АЗ</v>
          </cell>
        </row>
        <row r="1333">
          <cell r="A1333" t="str">
            <v>А-00014/КЭ</v>
          </cell>
        </row>
        <row r="1334">
          <cell r="A1334" t="str">
            <v>А-00015/КЭ</v>
          </cell>
        </row>
        <row r="1335">
          <cell r="A1335" t="str">
            <v>А-01652/АЗ</v>
          </cell>
        </row>
        <row r="1336">
          <cell r="A1336" t="str">
            <v>Т-00638/АЗ</v>
          </cell>
        </row>
        <row r="1337">
          <cell r="A1337" t="str">
            <v>А-00007/КЭ</v>
          </cell>
        </row>
        <row r="1338">
          <cell r="A1338" t="str">
            <v>А-01193/АЗ</v>
          </cell>
        </row>
        <row r="1339">
          <cell r="A1339" t="str">
            <v>А-00008/КЭ</v>
          </cell>
        </row>
        <row r="1340">
          <cell r="A1340" t="str">
            <v>А-00009/КЭ</v>
          </cell>
        </row>
        <row r="1341">
          <cell r="A1341" t="str">
            <v>А-00029/КЭ</v>
          </cell>
        </row>
        <row r="1342">
          <cell r="A1342" t="str">
            <v>А-00001/КЭ</v>
          </cell>
        </row>
        <row r="1343">
          <cell r="A1343" t="str">
            <v>А-00026/КЭ</v>
          </cell>
        </row>
        <row r="1344">
          <cell r="A1344" t="str">
            <v>А-01830/АЗ</v>
          </cell>
        </row>
        <row r="1345">
          <cell r="A1345" t="str">
            <v>А-01489/АЗ</v>
          </cell>
        </row>
        <row r="1346">
          <cell r="A1346" t="str">
            <v>А-01600/АЗ</v>
          </cell>
        </row>
        <row r="1347">
          <cell r="A1347" t="str">
            <v>Т-00360/АЗ</v>
          </cell>
        </row>
        <row r="1348">
          <cell r="A1348" t="str">
            <v>А-01251/АЗ</v>
          </cell>
        </row>
        <row r="1349">
          <cell r="A1349" t="str">
            <v>А-01405/АЗ</v>
          </cell>
        </row>
        <row r="1350">
          <cell r="A1350" t="str">
            <v>А-01147/АЗ</v>
          </cell>
        </row>
        <row r="1351">
          <cell r="A1351" t="str">
            <v>Т-00511/АЗ</v>
          </cell>
        </row>
        <row r="1352">
          <cell r="A1352" t="str">
            <v>А-01265/АЗ</v>
          </cell>
        </row>
        <row r="1353">
          <cell r="A1353" t="str">
            <v>Т-00353/АЗ</v>
          </cell>
        </row>
        <row r="1354">
          <cell r="A1354" t="str">
            <v>А-01097/АЗ</v>
          </cell>
        </row>
        <row r="1355">
          <cell r="A1355" t="str">
            <v>А-00874/АЗ</v>
          </cell>
        </row>
        <row r="1356">
          <cell r="A1356" t="str">
            <v>А-01379/АЗ</v>
          </cell>
        </row>
        <row r="1357">
          <cell r="A1357" t="str">
            <v>Т-00310/АЗ</v>
          </cell>
        </row>
        <row r="1358">
          <cell r="A1358" t="str">
            <v>А-01087/АЗ</v>
          </cell>
        </row>
        <row r="1359">
          <cell r="A1359" t="str">
            <v>А-01206/АЗ</v>
          </cell>
        </row>
        <row r="1360">
          <cell r="A1360" t="str">
            <v>А-01000/АЗ</v>
          </cell>
        </row>
        <row r="1361">
          <cell r="A1361" t="str">
            <v>А-00781/АЗ</v>
          </cell>
        </row>
        <row r="1362">
          <cell r="A1362" t="str">
            <v>А-01262/АЗ</v>
          </cell>
        </row>
        <row r="1363">
          <cell r="A1363" t="str">
            <v>А-01007/АЗ</v>
          </cell>
        </row>
        <row r="1364">
          <cell r="A1364" t="str">
            <v>А-01126/АЗ</v>
          </cell>
        </row>
        <row r="1365">
          <cell r="A1365" t="str">
            <v>Т-00193/АЗ</v>
          </cell>
        </row>
        <row r="1366">
          <cell r="A1366" t="str">
            <v>Т-00362/АЗ</v>
          </cell>
        </row>
        <row r="1367">
          <cell r="A1367" t="str">
            <v>А-00999/АЗ</v>
          </cell>
        </row>
        <row r="1368">
          <cell r="A1368" t="str">
            <v>А-01043/АЗ</v>
          </cell>
        </row>
        <row r="1369">
          <cell r="A1369" t="str">
            <v>Т-00395/АЗ</v>
          </cell>
        </row>
        <row r="1370">
          <cell r="A1370" t="str">
            <v>А-00714/АЗ</v>
          </cell>
        </row>
        <row r="1371">
          <cell r="A1371" t="str">
            <v>А-01001/АЗ</v>
          </cell>
        </row>
        <row r="1372">
          <cell r="A1372" t="str">
            <v>А-00934/АЗ</v>
          </cell>
        </row>
        <row r="1373">
          <cell r="A1373" t="str">
            <v>А-00953/АЗ</v>
          </cell>
        </row>
        <row r="1374">
          <cell r="A1374" t="str">
            <v>Т-00486/АЗ</v>
          </cell>
        </row>
        <row r="1375">
          <cell r="A1375" t="str">
            <v>А-00969/АЗ</v>
          </cell>
        </row>
        <row r="1376">
          <cell r="A1376" t="str">
            <v>Т-00060/АЗ</v>
          </cell>
        </row>
        <row r="1377">
          <cell r="A1377" t="str">
            <v>Т-00377/АЗ</v>
          </cell>
        </row>
        <row r="1378">
          <cell r="A1378" t="str">
            <v>Т-00286/АЗ</v>
          </cell>
        </row>
        <row r="1379">
          <cell r="A1379" t="str">
            <v>Т-00435/АЗ</v>
          </cell>
        </row>
        <row r="1380">
          <cell r="A1380" t="str">
            <v>А-00750/АЗ</v>
          </cell>
        </row>
        <row r="1381">
          <cell r="A1381" t="str">
            <v>А-00717/АЗ</v>
          </cell>
        </row>
        <row r="1382">
          <cell r="A1382" t="str">
            <v>А-00587/АЗ</v>
          </cell>
        </row>
        <row r="1383">
          <cell r="A1383" t="str">
            <v>Т-00282/АЗ</v>
          </cell>
        </row>
        <row r="1384">
          <cell r="A1384" t="str">
            <v>Т-00428/АЗ</v>
          </cell>
        </row>
        <row r="1385">
          <cell r="A1385" t="str">
            <v>Т-00344/АЗ</v>
          </cell>
        </row>
        <row r="1386">
          <cell r="A1386" t="str">
            <v>Т-00283/АЗ</v>
          </cell>
        </row>
        <row r="1387">
          <cell r="A1387" t="str">
            <v>А-00616/АЗ</v>
          </cell>
        </row>
        <row r="1388">
          <cell r="A1388" t="str">
            <v>Т-00375/АЗ</v>
          </cell>
        </row>
        <row r="1389">
          <cell r="A1389" t="str">
            <v>А-00492/АЗ</v>
          </cell>
        </row>
        <row r="1390">
          <cell r="A1390" t="str">
            <v>Т-00069/АЗ</v>
          </cell>
        </row>
        <row r="1391">
          <cell r="A1391" t="str">
            <v>Т-00108/АЗ</v>
          </cell>
        </row>
        <row r="1392">
          <cell r="A1392" t="str">
            <v>А-00597/АЗ</v>
          </cell>
        </row>
        <row r="1393">
          <cell r="A1393" t="str">
            <v>А-00559/АЗ</v>
          </cell>
        </row>
        <row r="1394">
          <cell r="A1394" t="str">
            <v>А-00285/АЗ</v>
          </cell>
        </row>
        <row r="1395">
          <cell r="A1395" t="str">
            <v>А-00103/АЗ</v>
          </cell>
        </row>
        <row r="1396">
          <cell r="A1396" t="str">
            <v>А-00241/АЗ</v>
          </cell>
        </row>
        <row r="1397">
          <cell r="A1397" t="str">
            <v>А-00036/АЗ</v>
          </cell>
        </row>
        <row r="1398">
          <cell r="A1398" t="str">
            <v>00049/АЗ</v>
          </cell>
        </row>
        <row r="1399">
          <cell r="A1399" t="str">
            <v>00141/АЗ</v>
          </cell>
        </row>
        <row r="1400">
          <cell r="A1400" t="str">
            <v>00071/АЗ</v>
          </cell>
        </row>
        <row r="1401">
          <cell r="A1401" t="str">
            <v>А-00091/АЗ</v>
          </cell>
        </row>
        <row r="1402">
          <cell r="A1402" t="str">
            <v>00096/АЗ</v>
          </cell>
        </row>
        <row r="1403">
          <cell r="A1403" t="str">
            <v>00157/АЗ</v>
          </cell>
        </row>
        <row r="1404">
          <cell r="A1404" t="str">
            <v>00055/АЗ</v>
          </cell>
        </row>
        <row r="1405">
          <cell r="A1405" t="str">
            <v>00232/АЗ</v>
          </cell>
        </row>
        <row r="1406">
          <cell r="A1406" t="str">
            <v>А-00022/АЗ</v>
          </cell>
        </row>
        <row r="1407">
          <cell r="A1407" t="str">
            <v>А-00090/АЗ</v>
          </cell>
        </row>
        <row r="1408">
          <cell r="A1408" t="str">
            <v>00151/АЗ</v>
          </cell>
        </row>
        <row r="1409">
          <cell r="A1409" t="str">
            <v>00202/АЗ</v>
          </cell>
        </row>
        <row r="1410">
          <cell r="A1410" t="str">
            <v>00324/АЗ</v>
          </cell>
        </row>
        <row r="1411">
          <cell r="A1411" t="str">
            <v>00168/АЗ</v>
          </cell>
        </row>
        <row r="1412">
          <cell r="A1412" t="str">
            <v>00116/АЗ</v>
          </cell>
        </row>
        <row r="1413">
          <cell r="A1413" t="str">
            <v>А-00052/АЗ</v>
          </cell>
        </row>
        <row r="1414">
          <cell r="A1414" t="str">
            <v>А-00029/АЗ</v>
          </cell>
        </row>
        <row r="1415">
          <cell r="A1415" t="str">
            <v>00292/АЗ</v>
          </cell>
        </row>
        <row r="1416">
          <cell r="A1416" t="str">
            <v>00252/АЗ</v>
          </cell>
        </row>
        <row r="1417">
          <cell r="A1417" t="str">
            <v>00184/АЗ</v>
          </cell>
        </row>
        <row r="1418">
          <cell r="A1418" t="str">
            <v>А-00110/АЗ</v>
          </cell>
        </row>
        <row r="1419">
          <cell r="A1419" t="str">
            <v>00020/АЗ</v>
          </cell>
        </row>
        <row r="1420">
          <cell r="A1420" t="str">
            <v>00346/АЗ</v>
          </cell>
        </row>
        <row r="1421">
          <cell r="A1421" t="str">
            <v>00414/АЗ</v>
          </cell>
        </row>
        <row r="1422">
          <cell r="A1422" t="str">
            <v>00222/АЗ</v>
          </cell>
        </row>
        <row r="1423">
          <cell r="A1423" t="str">
            <v>00301/АЗ</v>
          </cell>
        </row>
        <row r="1424">
          <cell r="A1424" t="str">
            <v>00284/АЗ</v>
          </cell>
        </row>
        <row r="1425">
          <cell r="A1425" t="str">
            <v>А-00067/АЗ</v>
          </cell>
        </row>
        <row r="1426">
          <cell r="A1426" t="str">
            <v>00331/АЗ</v>
          </cell>
        </row>
        <row r="1427">
          <cell r="A1427" t="str">
            <v>А-00020/АЗ</v>
          </cell>
        </row>
        <row r="1428">
          <cell r="A1428" t="str">
            <v>А-00100/АЗ</v>
          </cell>
        </row>
        <row r="1429">
          <cell r="A1429" t="str">
            <v>В-20109/КЛ</v>
          </cell>
        </row>
        <row r="1430">
          <cell r="A1430" t="str">
            <v>В-22100/КЛ</v>
          </cell>
        </row>
        <row r="1431">
          <cell r="A1431" t="str">
            <v>В-18022/КЛ</v>
          </cell>
        </row>
        <row r="1432">
          <cell r="A1432" t="str">
            <v>Т-01893/АЗ</v>
          </cell>
        </row>
        <row r="1433">
          <cell r="A1433" t="str">
            <v>В-17458/КЛ</v>
          </cell>
        </row>
        <row r="1434">
          <cell r="A1434" t="str">
            <v>В-19901/КЛ</v>
          </cell>
        </row>
        <row r="1435">
          <cell r="A1435" t="str">
            <v>В-02691/КЛ</v>
          </cell>
        </row>
        <row r="1436">
          <cell r="A1436" t="str">
            <v>В-15465/КЛ</v>
          </cell>
        </row>
        <row r="1437">
          <cell r="A1437" t="str">
            <v>Т-01869/АЗ</v>
          </cell>
        </row>
        <row r="1438">
          <cell r="A1438" t="str">
            <v>В-09421/КЛ</v>
          </cell>
        </row>
        <row r="1439">
          <cell r="A1439" t="str">
            <v>Т-01722/АЗ</v>
          </cell>
        </row>
        <row r="1440">
          <cell r="A1440" t="str">
            <v>В-00232/КЛ</v>
          </cell>
        </row>
        <row r="1441">
          <cell r="A1441" t="str">
            <v>В-00313/АЗ</v>
          </cell>
        </row>
        <row r="1442">
          <cell r="A1442" t="str">
            <v>А-05271/АЗ</v>
          </cell>
        </row>
        <row r="1443">
          <cell r="A1443" t="str">
            <v>А-02706/АЗ</v>
          </cell>
        </row>
        <row r="1444">
          <cell r="A1444" t="str">
            <v>В-24012/КЛ</v>
          </cell>
        </row>
        <row r="1445">
          <cell r="A1445" t="str">
            <v>Т-10006/КЭ</v>
          </cell>
        </row>
        <row r="1446">
          <cell r="A1446" t="str">
            <v>Т-01914/АЗ</v>
          </cell>
        </row>
        <row r="1447">
          <cell r="A1447" t="str">
            <v>В-04682/КЛ</v>
          </cell>
        </row>
        <row r="1448">
          <cell r="A1448" t="str">
            <v>А-00386/КЭ</v>
          </cell>
        </row>
        <row r="1449">
          <cell r="A1449" t="str">
            <v>В-24350/КЛ</v>
          </cell>
        </row>
        <row r="1450">
          <cell r="A1450" t="str">
            <v>В-00918/АЗ</v>
          </cell>
        </row>
        <row r="1451">
          <cell r="A1451" t="str">
            <v>В-13638/КЛ</v>
          </cell>
        </row>
        <row r="1452">
          <cell r="A1452" t="str">
            <v>В-12435/КЛ</v>
          </cell>
        </row>
        <row r="1453">
          <cell r="A1453" t="str">
            <v>В-00982/АЗ</v>
          </cell>
        </row>
        <row r="1454">
          <cell r="A1454" t="str">
            <v>В-00608/АЗ</v>
          </cell>
        </row>
        <row r="1455">
          <cell r="A1455" t="str">
            <v>В-00477/АЗ</v>
          </cell>
        </row>
        <row r="1456">
          <cell r="A1456" t="str">
            <v>А-00332/КЭ</v>
          </cell>
        </row>
        <row r="1457">
          <cell r="A1457" t="str">
            <v>В-00022/КЭ</v>
          </cell>
        </row>
        <row r="1458">
          <cell r="A1458" t="str">
            <v>А-00458/КЭ</v>
          </cell>
        </row>
        <row r="1459">
          <cell r="A1459" t="str">
            <v>В-14232/КЛ</v>
          </cell>
        </row>
        <row r="1460">
          <cell r="A1460" t="str">
            <v>А-04984/АЗ</v>
          </cell>
        </row>
        <row r="1461">
          <cell r="A1461" t="str">
            <v>В-00702/АЗ</v>
          </cell>
        </row>
        <row r="1462">
          <cell r="A1462" t="str">
            <v>Т-01775/АЗ</v>
          </cell>
        </row>
        <row r="1463">
          <cell r="A1463" t="str">
            <v>В-28684/КЛ</v>
          </cell>
        </row>
        <row r="1464">
          <cell r="A1464" t="str">
            <v>В-28684/КЛ</v>
          </cell>
        </row>
        <row r="1465">
          <cell r="A1465" t="str">
            <v>В-12427/КЛ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9C8F7-5345-4D53-8D94-7041EC313837}">
  <sheetPr codeName="Лист5"/>
  <dimension ref="A1:L27"/>
  <sheetViews>
    <sheetView workbookViewId="0">
      <selection activeCell="B34" sqref="B34"/>
    </sheetView>
  </sheetViews>
  <sheetFormatPr defaultRowHeight="15" x14ac:dyDescent="0.25"/>
  <cols>
    <col min="1" max="1" width="32.7109375" bestFit="1" customWidth="1"/>
    <col min="2" max="2" width="20.42578125" style="1" bestFit="1" customWidth="1"/>
    <col min="3" max="3" width="17.7109375" style="1" bestFit="1" customWidth="1"/>
    <col min="4" max="4" width="17.7109375" bestFit="1" customWidth="1"/>
    <col min="6" max="6" width="13.140625" bestFit="1" customWidth="1"/>
    <col min="7" max="7" width="30.28515625" bestFit="1" customWidth="1"/>
    <col min="8" max="8" width="24.28515625" bestFit="1" customWidth="1"/>
    <col min="9" max="9" width="11.5703125" bestFit="1" customWidth="1"/>
    <col min="11" max="11" width="16" bestFit="1" customWidth="1"/>
    <col min="12" max="12" width="10.140625" bestFit="1" customWidth="1"/>
    <col min="16" max="16" width="10.28515625" bestFit="1" customWidth="1"/>
  </cols>
  <sheetData>
    <row r="1" spans="1:12" ht="16.5" thickBot="1" x14ac:dyDescent="0.3">
      <c r="A1" s="59" t="s">
        <v>357</v>
      </c>
      <c r="B1" s="60" t="s">
        <v>418</v>
      </c>
      <c r="C1" s="61" t="s">
        <v>427</v>
      </c>
      <c r="E1" s="104" t="s">
        <v>111</v>
      </c>
      <c r="F1" s="105"/>
      <c r="G1" s="105"/>
      <c r="H1" s="105"/>
      <c r="I1" s="106"/>
      <c r="K1" t="s">
        <v>430</v>
      </c>
      <c r="L1" s="1">
        <f ca="1">EOMONTH(TODAY(),0)</f>
        <v>45504</v>
      </c>
    </row>
    <row r="2" spans="1:12" ht="15" customHeight="1" thickBot="1" x14ac:dyDescent="0.3">
      <c r="A2" s="62" t="s">
        <v>419</v>
      </c>
      <c r="B2" s="63">
        <f>COUNTIFS('реестр просрочников'!$C$15:$C$15,"&gt;="&amp;LEFT(A2,2),'реестр просрочников'!$C$15:$C$15,"&lt;="&amp;RIGHT(A2,2))</f>
        <v>1</v>
      </c>
      <c r="C2" s="64">
        <f>SUMIFS('реестр просрочников'!$F$15:$F$15,'реестр просрочников'!$C$15:$C$15,"&gt;="&amp;LEFT(A2,1),'реестр просрочников'!$C$15:$C$15,"&lt;="&amp;RIGHT(A2,1))</f>
        <v>257515.12</v>
      </c>
      <c r="D2" s="107">
        <f>SUM(C2:C5)/C10</f>
        <v>1</v>
      </c>
      <c r="E2" s="57" t="s">
        <v>428</v>
      </c>
      <c r="F2" s="54" t="s">
        <v>429</v>
      </c>
      <c r="G2" s="54" t="s">
        <v>432</v>
      </c>
      <c r="H2" s="54" t="s">
        <v>17</v>
      </c>
      <c r="I2" s="55" t="s">
        <v>433</v>
      </c>
      <c r="K2" t="s">
        <v>431</v>
      </c>
      <c r="L2">
        <f ca="1">L1-TODAY()</f>
        <v>5</v>
      </c>
    </row>
    <row r="3" spans="1:12" ht="15" customHeight="1" thickBot="1" x14ac:dyDescent="0.3">
      <c r="A3" s="50" t="s">
        <v>420</v>
      </c>
      <c r="B3" s="49">
        <f>COUNTIFS('реестр просрочников'!$C$15:$C$15,"&gt;="&amp;LEFT(A3,2),'реестр просрочников'!$C$15:$C$15,"&lt;="&amp;RIGHT(A3,2))</f>
        <v>0</v>
      </c>
      <c r="C3" s="64">
        <f>SUMIFS('реестр просрочников'!$F$15:$F$15,'реестр просрочников'!$C$15:$C$15,"&gt;="&amp;LEFT(A3,1),'реестр просрочников'!$C$15:$C$15,"&lt;="&amp;RIGHT(A3,1))</f>
        <v>0</v>
      </c>
      <c r="D3" s="108"/>
      <c r="E3" s="58">
        <f ca="1">COUNTIFS('реестр просрочников'!C:C,"&gt;="&amp;90-$L$2)</f>
        <v>1</v>
      </c>
      <c r="F3" s="56">
        <f ca="1">SUMIFS('реестр просрочников'!F:F,'реестр просрочников'!C:C,"&gt;="&amp;90-$L$2)</f>
        <v>237796.4</v>
      </c>
      <c r="G3" s="4" t="str">
        <f ca="1">IFERROR(INDEX('реестр просрочников'!$A:$F,MATCH(LARGE('реестр просрочников'!$I:$I,ROW('реестр просрочников'!$M1)),'реестр просрочников'!$I:$I,0),1),"")</f>
        <v>Цирамуа Наталия Наполеоновна</v>
      </c>
      <c r="H3" s="4" t="str">
        <f ca="1">IFERROR(INDEX('реестр просрочников'!$A:$F,MATCH(LARGE('реестр просрочников'!$I:$I,ROW('реестр просрочников'!$M1)),'реестр просрочников'!$I:$I,0),2),"")</f>
        <v>В-22979/КЛ.Транш - 1_В-21082023/Ц</v>
      </c>
      <c r="I3" s="4">
        <f ca="1">IFERROR(INDEX('реестр просрочников'!$A:$F,MATCH(LARGE('реестр просрочников'!$I:$I,ROW('реестр просрочников'!$M1)),'реестр просрочников'!$I:$I,0),6),"")</f>
        <v>237796.4</v>
      </c>
    </row>
    <row r="4" spans="1:12" ht="15" customHeight="1" thickBot="1" x14ac:dyDescent="0.3">
      <c r="A4" s="50" t="s">
        <v>421</v>
      </c>
      <c r="B4" s="49">
        <f>COUNTIFS('реестр просрочников'!$C$15:$C$15,"&gt;="&amp;LEFT(A4,2),'реестр просрочников'!$C$15:$C$15,"&lt;="&amp;RIGHT(A4,2))</f>
        <v>0</v>
      </c>
      <c r="C4" s="64">
        <f>SUMIFS('реестр просрочников'!$F$15:$F$15,'реестр просрочников'!$C$15:$C$15,"&gt;="&amp;LEFT(A4,1),'реестр просрочников'!$C$15:$C$15,"&lt;="&amp;RIGHT(A4,1))</f>
        <v>0</v>
      </c>
      <c r="D4" s="109">
        <f>SUM(C2:C6)</f>
        <v>257515.12</v>
      </c>
      <c r="G4" s="4" t="str">
        <f ca="1">IFERROR(INDEX('реестр просрочников'!$A:$F,MATCH(LARGE('реестр просрочников'!$I:$I,ROW('реестр просрочников'!$M2)),'реестр просрочников'!$I:$I,0),1),"")</f>
        <v/>
      </c>
      <c r="H4" s="4" t="str">
        <f ca="1">IFERROR(INDEX('реестр просрочников'!$A:$F,MATCH(LARGE('реестр просрочников'!$I:$I,ROW('реестр просрочников'!$M2)),'реестр просрочников'!$I:$I,0),2),"")</f>
        <v/>
      </c>
      <c r="I4" s="4" t="str">
        <f ca="1">IFERROR(INDEX('реестр просрочников'!$A:$F,MATCH(LARGE('реестр просрочников'!$I:$I,ROW('реестр просрочников'!$M2)),'реестр просрочников'!$I:$I,0),6),"")</f>
        <v/>
      </c>
    </row>
    <row r="5" spans="1:12" ht="15.75" customHeight="1" thickBot="1" x14ac:dyDescent="0.3">
      <c r="A5" s="65" t="s">
        <v>422</v>
      </c>
      <c r="B5" s="66">
        <f>COUNTIFS('реестр просрочников'!$C$15:$C$15,"&gt;="&amp;LEFT(A5,2),'реестр просрочников'!$C$15:$C$15,"&lt;="&amp;RIGHT(A5,2))</f>
        <v>0</v>
      </c>
      <c r="C5" s="64">
        <f>SUMIFS('реестр просрочников'!$F$15:$F$15,'реестр просрочников'!$C$15:$C$15,"&gt;="&amp;LEFT(A5,1),'реестр просрочников'!$C$15:$C$15,"&lt;="&amp;RIGHT(A5,1))</f>
        <v>0</v>
      </c>
      <c r="D5" s="110"/>
      <c r="G5" s="4" t="str">
        <f ca="1">IFERROR(INDEX('реестр просрочников'!$A:$F,MATCH(LARGE('реестр просрочников'!$I:$I,ROW('реестр просрочников'!$M3)),'реестр просрочников'!$I:$I,0),1),"")</f>
        <v/>
      </c>
      <c r="H5" s="4" t="str">
        <f ca="1">IFERROR(INDEX('реестр просрочников'!$A:$F,MATCH(LARGE('реестр просрочников'!$I:$I,ROW('реестр просрочников'!$M3)),'реестр просрочников'!$I:$I,0),2),"")</f>
        <v/>
      </c>
      <c r="I5" s="4" t="str">
        <f ca="1">IFERROR(INDEX('реестр просрочников'!$A:$F,MATCH(LARGE('реестр просрочников'!$I:$I,ROW('реестр просрочников'!$M3)),'реестр просрочников'!$I:$I,0),6),"")</f>
        <v/>
      </c>
    </row>
    <row r="6" spans="1:12" ht="15" customHeight="1" thickBot="1" x14ac:dyDescent="0.3">
      <c r="A6" s="62" t="s">
        <v>423</v>
      </c>
      <c r="B6" s="63">
        <f>COUNTIFS('реестр просрочников'!$C$15:$C$15,"&gt;="&amp;LEFT(A6,2),'реестр просрочников'!$C$15:$C$15,"&lt;="&amp;RIGHT(A6,2))</f>
        <v>0</v>
      </c>
      <c r="C6" s="64">
        <f>SUMIFS('реестр просрочников'!$F$15:$F$15,'реестр просрочников'!$C$15:$C$15,"&gt;="&amp;LEFT(A6,1),'реестр просрочников'!$C$15:$C$15,"&lt;="&amp;RIGHT(A6,1))</f>
        <v>0</v>
      </c>
      <c r="D6" s="107">
        <f>SUM(C6:C9)/C10</f>
        <v>0</v>
      </c>
      <c r="G6" s="4" t="str">
        <f ca="1">IFERROR(INDEX('реестр просрочников'!$A:$F,MATCH(LARGE('реестр просрочников'!$I:$I,ROW('реестр просрочников'!$M4)),'реестр просрочников'!$I:$I,0),1),"")</f>
        <v/>
      </c>
      <c r="H6" s="4" t="str">
        <f ca="1">IFERROR(INDEX('реестр просрочников'!$A:$F,MATCH(LARGE('реестр просрочников'!$I:$I,ROW('реестр просрочников'!$M4)),'реестр просрочников'!$I:$I,0),2),"")</f>
        <v/>
      </c>
      <c r="I6" s="4" t="str">
        <f ca="1">IFERROR(INDEX('реестр просрочников'!$A:$F,MATCH(LARGE('реестр просрочников'!$I:$I,ROW('реестр просрочников'!$M4)),'реестр просрочников'!$I:$I,0),6),"")</f>
        <v/>
      </c>
    </row>
    <row r="7" spans="1:12" ht="15" customHeight="1" thickBot="1" x14ac:dyDescent="0.3">
      <c r="A7" s="50" t="s">
        <v>424</v>
      </c>
      <c r="B7" s="49">
        <f>COUNTIFS('реестр просрочников'!$C$15:$C$15,"&gt;="&amp;LEFT(A7,2),'реестр просрочников'!$C$15:$C$15,"&lt;="&amp;RIGHT(A7,2))</f>
        <v>0</v>
      </c>
      <c r="C7" s="64">
        <f>SUMIFS('реестр просрочников'!$F$15:$F$15,'реестр просрочников'!$C$15:$C$15,"&gt;="&amp;LEFT(A7,1),'реестр просрочников'!$C$15:$C$15,"&lt;="&amp;RIGHT(A7,1))</f>
        <v>0</v>
      </c>
      <c r="D7" s="108"/>
      <c r="G7" s="4" t="str">
        <f ca="1">IFERROR(INDEX('реестр просрочников'!$A:$F,MATCH(LARGE('реестр просрочников'!$I:$I,ROW('реестр просрочников'!$M5)),'реестр просрочников'!$I:$I,0),1),"")</f>
        <v/>
      </c>
      <c r="H7" s="4" t="str">
        <f ca="1">IFERROR(INDEX('реестр просрочников'!$A:$F,MATCH(LARGE('реестр просрочников'!$I:$I,ROW('реестр просрочников'!$M5)),'реестр просрочников'!$I:$I,0),2),"")</f>
        <v/>
      </c>
      <c r="I7" s="4" t="str">
        <f ca="1">IFERROR(INDEX('реестр просрочников'!$A:$F,MATCH(LARGE('реестр просрочников'!$I:$I,ROW('реестр просрочников'!$M5)),'реестр просрочников'!$I:$I,0),6),"")</f>
        <v/>
      </c>
    </row>
    <row r="8" spans="1:12" ht="15" customHeight="1" thickBot="1" x14ac:dyDescent="0.3">
      <c r="A8" s="50" t="s">
        <v>425</v>
      </c>
      <c r="B8" s="49">
        <f>COUNTIFS('реестр просрочников'!$C$15:$C$15,"&gt;="&amp;LEFT(A8,2),'реестр просрочников'!$C$15:$C$15,"&lt;="&amp;RIGHT(A8,2))</f>
        <v>0</v>
      </c>
      <c r="C8" s="64">
        <f>SUMIFS('реестр просрочников'!$F$15:$F$15,'реестр просрочников'!$C$15:$C$15,"&gt;="&amp;LEFT(A8,1),'реестр просрочников'!$C$15:$C$15,"&lt;="&amp;RIGHT(A8,1))</f>
        <v>0</v>
      </c>
      <c r="D8" s="109">
        <f>SUM(C6:C9)</f>
        <v>0</v>
      </c>
      <c r="G8" s="4" t="str">
        <f ca="1">IFERROR(INDEX('реестр просрочников'!$A:$F,MATCH(LARGE('реестр просрочников'!$I:$I,ROW('реестр просрочников'!$M6)),'реестр просрочников'!$I:$I,0),1),"")</f>
        <v/>
      </c>
      <c r="H8" s="4" t="str">
        <f ca="1">IFERROR(INDEX('реестр просрочников'!$A:$F,MATCH(LARGE('реестр просрочников'!$I:$I,ROW('реестр просрочников'!$M6)),'реестр просрочников'!$I:$I,0),2),"")</f>
        <v/>
      </c>
      <c r="I8" s="4" t="str">
        <f ca="1">IFERROR(INDEX('реестр просрочников'!$A:$F,MATCH(LARGE('реестр просрочников'!$I:$I,ROW('реестр просрочников'!$M6)),'реестр просрочников'!$I:$I,0),6),"")</f>
        <v/>
      </c>
    </row>
    <row r="9" spans="1:12" ht="15.75" customHeight="1" thickBot="1" x14ac:dyDescent="0.3">
      <c r="A9" s="65" t="s">
        <v>426</v>
      </c>
      <c r="B9" s="66">
        <f>COUNTIFS('реестр просрочников'!$C$15:$C$15,"&gt;="&amp;LEFT(A9,2),'реестр просрочников'!$C$15:$C$15,"&lt;="&amp;RIGHT(A9,2))</f>
        <v>0</v>
      </c>
      <c r="C9" s="64">
        <f>SUMIFS('реестр просрочников'!$F$15:$F$15,'реестр просрочников'!$C$15:$C$15,"&gt;="&amp;LEFT(A9,1),'реестр просрочников'!$C$15:$C$15,"&lt;="&amp;RIGHT(A9,1))</f>
        <v>0</v>
      </c>
      <c r="D9" s="110"/>
      <c r="G9" s="4" t="str">
        <f ca="1">IFERROR(INDEX('реестр просрочников'!$A:$F,MATCH(LARGE('реестр просрочников'!$I:$I,ROW('реестр просрочников'!$M7)),'реестр просрочников'!$I:$I,0),1),"")</f>
        <v/>
      </c>
      <c r="H9" s="4" t="str">
        <f ca="1">IFERROR(INDEX('реестр просрочников'!$A:$F,MATCH(LARGE('реестр просрочников'!$I:$I,ROW('реестр просрочников'!$M7)),'реестр просрочников'!$I:$I,0),2),"")</f>
        <v/>
      </c>
      <c r="I9" s="4" t="str">
        <f ca="1">IFERROR(INDEX('реестр просрочников'!$A:$F,MATCH(LARGE('реестр просрочников'!$I:$I,ROW('реестр просрочников'!$M7)),'реестр просрочников'!$I:$I,0),6),"")</f>
        <v/>
      </c>
    </row>
    <row r="10" spans="1:12" ht="16.5" thickBot="1" x14ac:dyDescent="0.3">
      <c r="A10" s="51" t="s">
        <v>3</v>
      </c>
      <c r="B10" s="52">
        <f>SUM(B2:B9)</f>
        <v>1</v>
      </c>
      <c r="C10" s="53">
        <f>SUM(C2:C9)</f>
        <v>257515.12</v>
      </c>
      <c r="G10" s="4" t="str">
        <f ca="1">IFERROR(INDEX('реестр просрочников'!$A:$F,MATCH(LARGE('реестр просрочников'!$I:$I,ROW('реестр просрочников'!$M8)),'реестр просрочников'!$I:$I,0),1),"")</f>
        <v/>
      </c>
      <c r="H10" s="4" t="str">
        <f ca="1">IFERROR(INDEX('реестр просрочников'!$A:$F,MATCH(LARGE('реестр просрочников'!$I:$I,ROW('реестр просрочников'!$M8)),'реестр просрочников'!$I:$I,0),2),"")</f>
        <v/>
      </c>
      <c r="I10" s="4" t="str">
        <f ca="1">IFERROR(INDEX('реестр просрочников'!$A:$F,MATCH(LARGE('реестр просрочников'!$I:$I,ROW('реестр просрочников'!$M8)),'реестр просрочников'!$I:$I,0),6),"")</f>
        <v/>
      </c>
    </row>
    <row r="11" spans="1:12" x14ac:dyDescent="0.25">
      <c r="G11" s="4" t="str">
        <f ca="1">IFERROR(INDEX('реестр просрочников'!$A:$F,MATCH(LARGE('реестр просрочников'!$I:$I,ROW('реестр просрочников'!$M9)),'реестр просрочников'!$I:$I,0),1),"")</f>
        <v/>
      </c>
      <c r="H11" s="4" t="str">
        <f ca="1">IFERROR(INDEX('реестр просрочников'!$A:$F,MATCH(LARGE('реестр просрочников'!$I:$I,ROW('реестр просрочников'!$M9)),'реестр просрочников'!$I:$I,0),2),"")</f>
        <v/>
      </c>
      <c r="I11" s="4" t="str">
        <f ca="1">IFERROR(INDEX('реестр просрочников'!$A:$F,MATCH(LARGE('реестр просрочников'!$I:$I,ROW('реестр просрочников'!$M9)),'реестр просрочников'!$I:$I,0),6),"")</f>
        <v/>
      </c>
    </row>
    <row r="12" spans="1:12" x14ac:dyDescent="0.25">
      <c r="G12" s="4" t="str">
        <f ca="1">IFERROR(INDEX('реестр просрочников'!$A:$F,MATCH(LARGE('реестр просрочников'!$I:$I,ROW('реестр просрочников'!$M10)),'реестр просрочников'!$I:$I,0),1),"")</f>
        <v/>
      </c>
      <c r="H12" s="4" t="str">
        <f t="array" aca="1" ref="H12" ca="1">IF(ROW(T12)&lt;(ROW($T$3)+$E$3),INDEX('реестр просрочников'!B15:B15,MIN(IF('реестр просрочников'!C15:C15=MAX('реестр просрочников'!C15:C15),ROW('реестр просрочников'!C15:C15)-ROW('реестр просрочников'!#REF!)-ROW(U10)+1,""))),"")</f>
        <v/>
      </c>
      <c r="I12" s="4" t="str">
        <f ca="1">IFERROR(INDEX('реестр просрочников'!$A:$F,MATCH(LARGE('реестр просрочников'!$I:$I,ROW('реестр просрочников'!$M10)),'реестр просрочников'!$I:$I,0),6),"")</f>
        <v/>
      </c>
    </row>
    <row r="16" spans="1:12" ht="15.75" x14ac:dyDescent="0.25">
      <c r="A16" s="103" t="s">
        <v>439</v>
      </c>
      <c r="B16" s="103"/>
      <c r="C16" s="103"/>
      <c r="D16" s="103"/>
    </row>
    <row r="17" spans="1:4" x14ac:dyDescent="0.25">
      <c r="A17" s="54" t="s">
        <v>432</v>
      </c>
      <c r="B17" s="54" t="s">
        <v>17</v>
      </c>
      <c r="C17" s="55" t="s">
        <v>433</v>
      </c>
      <c r="D17" s="67" t="s">
        <v>457</v>
      </c>
    </row>
    <row r="18" spans="1:4" x14ac:dyDescent="0.25">
      <c r="A18" s="4" t="str">
        <f>INDEX('реестр просрочников'!$A:$F,MATCH(SMALL('реестр просрочников'!$H:$H,ROW('реестр просрочников'!$N1)),'реестр просрочников'!$H:$H,0),1)</f>
        <v>Егиазарян Геворг Рубикович</v>
      </c>
      <c r="B18" s="4" t="str">
        <f>INDEX('реестр просрочников'!$A:$F,MATCH(SMALL('реестр просрочников'!$H:$H,ROW('реестр просрочников'!$N1)),'реестр просрочников'!$H:$H,0),2)</f>
        <v>В-28358/КЛ.Транш - 1_В-21082023/Ц</v>
      </c>
      <c r="C18" s="69">
        <f>INDEX('реестр просрочников'!$A:$F,MATCH(SMALL('реестр просрочников'!$H:$H,ROW('реестр просрочников'!$N1)),'реестр просрочников'!$H:$H,0),6)</f>
        <v>687800.96</v>
      </c>
      <c r="D18" s="68">
        <f>INDEX('реестр просрочников'!$A:$F,MATCH(SMALL('реестр просрочников'!$H:$H,ROW('реестр просрочников'!$N1)),'реестр просрочников'!$H:$H,0),3)</f>
        <v>9</v>
      </c>
    </row>
    <row r="19" spans="1:4" x14ac:dyDescent="0.25">
      <c r="A19" s="4" t="str">
        <f>INDEX('реестр просрочников'!A:F,MATCH(SMALL('реестр просрочников'!H:H,ROW('реестр просрочников'!N2)),'реестр просрочников'!H:H,0),1)</f>
        <v>Кожинов Дмитрий Сергеевич</v>
      </c>
      <c r="B19" s="4" t="str">
        <f>INDEX('реестр просрочников'!$A:$F,MATCH(SMALL('реестр просрочников'!$H:$H,ROW('реестр просрочников'!$N2)),'реестр просрочников'!$H:$H,0),2)</f>
        <v>В-28598/КЛ.Транш - 1_В-21082023/Ц</v>
      </c>
      <c r="C19" s="69">
        <f>INDEX('реестр просрочников'!$A:$F,MATCH(SMALL('реестр просрочников'!$H:$H,ROW('реестр просрочников'!$N2)),'реестр просрочников'!$H:$H,0),6)</f>
        <v>601100.55000000005</v>
      </c>
      <c r="D19" s="68">
        <f>INDEX('реестр просрочников'!$A:$F,MATCH(SMALL('реестр просрочников'!$H:$H,ROW('реестр просрочников'!$N2)),'реестр просрочников'!$H:$H,0),3)</f>
        <v>3</v>
      </c>
    </row>
    <row r="20" spans="1:4" x14ac:dyDescent="0.25">
      <c r="A20" s="4" t="str">
        <f>INDEX('реестр просрочников'!A:F,MATCH(SMALL('реестр просрочников'!H:H,ROW('реестр просрочников'!N3)),'реестр просрочников'!H:H,0),1)</f>
        <v>Копытман Александр Семенович</v>
      </c>
      <c r="B20" s="4" t="str">
        <f>INDEX('реестр просрочников'!$A:$F,MATCH(SMALL('реестр просрочников'!$H:$H,ROW('реестр просрочников'!$N3)),'реестр просрочников'!$H:$H,0),2)</f>
        <v>В-17469/КЛ.Транш - 1_В-21082023/Ц</v>
      </c>
      <c r="C20" s="69">
        <f>INDEX('реестр просрочников'!$A:$F,MATCH(SMALL('реестр просрочников'!$H:$H,ROW('реестр просрочников'!$N3)),'реестр просрочников'!$H:$H,0),6)</f>
        <v>576927.80000000005</v>
      </c>
      <c r="D20" s="68">
        <f>INDEX('реестр просрочников'!$A:$F,MATCH(SMALL('реестр просрочников'!$H:$H,ROW('реестр просрочников'!$N3)),'реестр просрочников'!$H:$H,0),3)</f>
        <v>75</v>
      </c>
    </row>
    <row r="21" spans="1:4" x14ac:dyDescent="0.25">
      <c r="A21" s="4" t="str">
        <f>INDEX('реестр просрочников'!A:F,MATCH(SMALL('реестр просрочников'!H:H,ROW('реестр просрочников'!N4)),'реестр просрочников'!H:H,0),1)</f>
        <v>Зотов Дмитрий Анатольевич</v>
      </c>
      <c r="B21" s="4" t="str">
        <f>INDEX('реестр просрочников'!$A:$F,MATCH(SMALL('реестр просрочников'!$H:$H,ROW('реестр просрочников'!$N4)),'реестр просрочников'!$H:$H,0),2)</f>
        <v>В-23555/КЛ.Транш - 1_В-21082023/Ц</v>
      </c>
      <c r="C21" s="69">
        <f>INDEX('реестр просрочников'!$A:$F,MATCH(SMALL('реестр просрочников'!$H:$H,ROW('реестр просрочников'!$N4)),'реестр просрочников'!$H:$H,0),6)</f>
        <v>452267.28</v>
      </c>
      <c r="D21" s="68">
        <f>INDEX('реестр просрочников'!$A:$F,MATCH(SMALL('реестр просрочников'!$H:$H,ROW('реестр просрочников'!$N4)),'реестр просрочников'!$H:$H,0),3)</f>
        <v>13</v>
      </c>
    </row>
    <row r="22" spans="1:4" x14ac:dyDescent="0.25">
      <c r="A22" s="4" t="str">
        <f>INDEX('реестр просрочников'!A:F,MATCH(SMALL('реестр просрочников'!H:H,ROW('реестр просрочников'!N5)),'реестр просрочников'!H:H,0),1)</f>
        <v>Попов Михаил Александрович</v>
      </c>
      <c r="B22" s="4" t="str">
        <f>INDEX('реестр просрочников'!$A:$F,MATCH(SMALL('реестр просрочников'!$H:$H,ROW('реестр просрочников'!$N5)),'реестр просрочников'!$H:$H,0),2)</f>
        <v>В-25810/АЗ_В-21082023/Ц</v>
      </c>
      <c r="C22" s="69">
        <f>INDEX('реестр просрочников'!$A:$F,MATCH(SMALL('реестр просрочников'!$H:$H,ROW('реестр просрочников'!$N5)),'реестр просрочников'!$H:$H,0),6)</f>
        <v>385341.82</v>
      </c>
      <c r="D22" s="68">
        <f>INDEX('реестр просрочников'!$A:$F,MATCH(SMALL('реестр просрочников'!$H:$H,ROW('реестр просрочников'!$N5)),'реестр просрочников'!$H:$H,0),3)</f>
        <v>46</v>
      </c>
    </row>
    <row r="23" spans="1:4" x14ac:dyDescent="0.25">
      <c r="A23" s="4" t="str">
        <f>INDEX('реестр просрочников'!A:F,MATCH(SMALL('реестр просрочников'!H:H,ROW('реестр просрочников'!N6)),'реестр просрочников'!H:H,0),1)</f>
        <v>Смолин Виктор Иванович</v>
      </c>
      <c r="B23" s="4" t="str">
        <f>INDEX('реестр просрочников'!$A:$F,MATCH(SMALL('реестр просрочников'!$H:$H,ROW('реестр просрочников'!$N6)),'реестр просрочников'!$H:$H,0),2)</f>
        <v>В-27788/КЛ.Транш - 1_В-21082023/Ц</v>
      </c>
      <c r="C23" s="69">
        <f>INDEX('реестр просрочников'!$A:$F,MATCH(SMALL('реестр просрочников'!$H:$H,ROW('реестр просрочников'!$N6)),'реестр просрочников'!$H:$H,0),6)</f>
        <v>347000.86</v>
      </c>
      <c r="D23" s="68">
        <f>INDEX('реестр просрочников'!$A:$F,MATCH(SMALL('реестр просрочников'!$H:$H,ROW('реестр просрочников'!$N6)),'реестр просрочников'!$H:$H,0),3)</f>
        <v>9</v>
      </c>
    </row>
    <row r="24" spans="1:4" x14ac:dyDescent="0.25">
      <c r="A24" s="4" t="str">
        <f>INDEX('реестр просрочников'!A:F,MATCH(SMALL('реестр просрочников'!H:H,ROW('реестр просрочников'!N7)),'реестр просрочников'!H:H,0),1)</f>
        <v>Новоселов Сергей Владимирович</v>
      </c>
      <c r="B24" s="4" t="str">
        <f>INDEX('реестр просрочников'!$A:$F,MATCH(SMALL('реестр просрочников'!$H:$H,ROW('реестр просрочников'!$N7)),'реестр просрочников'!$H:$H,0),2)</f>
        <v>В-19548/КЛ.Транш - 1_В-21082023/Ц</v>
      </c>
      <c r="C24" s="69">
        <f>INDEX('реестр просрочников'!$A:$F,MATCH(SMALL('реестр просрочников'!$H:$H,ROW('реестр просрочников'!$N7)),'реестр просрочников'!$H:$H,0),6)</f>
        <v>257515.12</v>
      </c>
      <c r="D24" s="68">
        <f>INDEX('реестр просрочников'!$A:$F,MATCH(SMALL('реестр просрочников'!$H:$H,ROW('реестр просрочников'!$N7)),'реестр просрочников'!$H:$H,0),3)</f>
        <v>1</v>
      </c>
    </row>
    <row r="25" spans="1:4" x14ac:dyDescent="0.25">
      <c r="A25" s="4" t="str">
        <f>INDEX('реестр просрочников'!A:F,MATCH(SMALL('реестр просрочников'!H:H,ROW('реестр просрочников'!N8)),'реестр просрочников'!H:H,0),1)</f>
        <v>Селеверстов Михаил Васильевич</v>
      </c>
      <c r="B25" s="4" t="str">
        <f>INDEX('реестр просрочников'!$A:$F,MATCH(SMALL('реестр просрочников'!$H:$H,ROW('реестр просрочников'!$N8)),'реестр просрочников'!$H:$H,0),2)</f>
        <v>В-18414/КЛ.Транш - 1_В-21082023/Ц</v>
      </c>
      <c r="C25" s="69">
        <f>INDEX('реестр просрочников'!$A:$F,MATCH(SMALL('реестр просрочников'!$H:$H,ROW('реестр просрочников'!$N8)),'реестр просрочников'!$H:$H,0),6)</f>
        <v>244826.11</v>
      </c>
      <c r="D25" s="68">
        <f>INDEX('реестр просрочников'!$A:$F,MATCH(SMALL('реестр просрочников'!$H:$H,ROW('реестр просрочников'!$N8)),'реестр просрочников'!$H:$H,0),3)</f>
        <v>29</v>
      </c>
    </row>
    <row r="26" spans="1:4" x14ac:dyDescent="0.25">
      <c r="A26" s="4" t="str">
        <f>INDEX('реестр просрочников'!A:F,MATCH(SMALL('реестр просрочников'!H:H,ROW('реестр просрочников'!N9)),'реестр просрочников'!H:H,0),1)</f>
        <v>Цирамуа Наталия Наполеоновна</v>
      </c>
      <c r="B26" s="4" t="str">
        <f>INDEX('реестр просрочников'!$A:$F,MATCH(SMALL('реестр просрочников'!$H:$H,ROW('реестр просрочников'!$N9)),'реестр просрочников'!$H:$H,0),2)</f>
        <v>В-22979/КЛ.Транш - 1_В-21082023/Ц</v>
      </c>
      <c r="C26" s="69">
        <f>INDEX('реестр просрочников'!$A:$F,MATCH(SMALL('реестр просрочников'!$H:$H,ROW('реестр просрочников'!$N9)),'реестр просрочников'!$H:$H,0),6)</f>
        <v>237796.4</v>
      </c>
      <c r="D26" s="68">
        <f>INDEX('реестр просрочников'!$A:$F,MATCH(SMALL('реестр просрочников'!$H:$H,ROW('реестр просрочников'!$N9)),'реестр просрочников'!$H:$H,0),3)</f>
        <v>92</v>
      </c>
    </row>
    <row r="27" spans="1:4" x14ac:dyDescent="0.25">
      <c r="A27" s="4" t="str">
        <f>INDEX('реестр просрочников'!A:F,MATCH(SMALL('реестр просрочников'!H:H,ROW('реестр просрочников'!N10)),'реестр просрочников'!H:H,0),1)</f>
        <v>Соколова Екатерина Николаевна</v>
      </c>
      <c r="B27" s="4" t="str">
        <f>INDEX('реестр просрочников'!$A:$F,MATCH(SMALL('реестр просрочников'!$H:$H,ROW('реестр просрочников'!$N10)),'реестр просрочников'!$H:$H,0),2)</f>
        <v>В-25764/КЛ.Транш - 1_В-21082023/Ц</v>
      </c>
      <c r="C27" s="69">
        <f>INDEX('реестр просрочников'!$A:$F,MATCH(SMALL('реестр просрочников'!$H:$H,ROW('реестр просрочников'!$N10)),'реестр просрочников'!$H:$H,0),6)</f>
        <v>219628.41</v>
      </c>
      <c r="D27" s="68">
        <f>INDEX('реестр просрочников'!$A:$F,MATCH(SMALL('реестр просрочников'!$H:$H,ROW('реестр просрочников'!$N10)),'реестр просрочников'!$H:$H,0),3)</f>
        <v>12</v>
      </c>
    </row>
  </sheetData>
  <mergeCells count="6">
    <mergeCell ref="A16:D16"/>
    <mergeCell ref="E1:I1"/>
    <mergeCell ref="D6:D7"/>
    <mergeCell ref="D2:D3"/>
    <mergeCell ref="D8:D9"/>
    <mergeCell ref="D4:D5"/>
  </mergeCells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I35"/>
  <sheetViews>
    <sheetView tabSelected="1" zoomScaleNormal="100" workbookViewId="0">
      <selection activeCell="J17" sqref="J17"/>
    </sheetView>
  </sheetViews>
  <sheetFormatPr defaultRowHeight="15" x14ac:dyDescent="0.25"/>
  <cols>
    <col min="1" max="1" width="53.28515625" bestFit="1" customWidth="1"/>
    <col min="2" max="2" width="35" customWidth="1"/>
    <col min="3" max="3" width="10.7109375" bestFit="1" customWidth="1"/>
    <col min="4" max="4" width="21.140625" customWidth="1"/>
    <col min="5" max="5" width="14.28515625" bestFit="1" customWidth="1"/>
    <col min="6" max="6" width="15.28515625" bestFit="1" customWidth="1"/>
    <col min="7" max="7" width="9.5703125" customWidth="1"/>
    <col min="8" max="8" width="12.5703125" customWidth="1"/>
    <col min="9" max="9" width="13.42578125" bestFit="1" customWidth="1"/>
    <col min="10" max="10" width="12.5703125" customWidth="1"/>
    <col min="12" max="12" width="12.5703125" customWidth="1"/>
    <col min="13" max="13" width="11.140625" bestFit="1" customWidth="1"/>
  </cols>
  <sheetData>
    <row r="2" spans="1:9" x14ac:dyDescent="0.25">
      <c r="A2" t="s">
        <v>605</v>
      </c>
    </row>
    <row r="4" spans="1:9" x14ac:dyDescent="0.25">
      <c r="A4" t="s">
        <v>0</v>
      </c>
      <c r="B4" t="s">
        <v>4269</v>
      </c>
    </row>
    <row r="5" spans="1:9" x14ac:dyDescent="0.25">
      <c r="B5" t="s">
        <v>606</v>
      </c>
    </row>
    <row r="6" spans="1:9" x14ac:dyDescent="0.25">
      <c r="B6" t="s">
        <v>607</v>
      </c>
    </row>
    <row r="7" spans="1:9" x14ac:dyDescent="0.25">
      <c r="B7" t="s">
        <v>608</v>
      </c>
    </row>
    <row r="8" spans="1:9" x14ac:dyDescent="0.25">
      <c r="A8" t="s">
        <v>1</v>
      </c>
      <c r="B8" t="s">
        <v>609</v>
      </c>
    </row>
    <row r="9" spans="1:9" x14ac:dyDescent="0.25">
      <c r="B9" t="s">
        <v>618</v>
      </c>
    </row>
    <row r="10" spans="1:9" x14ac:dyDescent="0.25">
      <c r="B10" t="s">
        <v>610</v>
      </c>
    </row>
    <row r="11" spans="1:9" x14ac:dyDescent="0.25">
      <c r="B11" t="s">
        <v>611</v>
      </c>
    </row>
    <row r="12" spans="1:9" x14ac:dyDescent="0.25">
      <c r="B12" t="s">
        <v>612</v>
      </c>
    </row>
    <row r="14" spans="1:9" x14ac:dyDescent="0.25">
      <c r="A14" t="s">
        <v>2</v>
      </c>
      <c r="B14" t="s">
        <v>613</v>
      </c>
      <c r="C14" t="s">
        <v>614</v>
      </c>
      <c r="D14" t="s">
        <v>615</v>
      </c>
      <c r="E14" t="s">
        <v>616</v>
      </c>
      <c r="F14" t="s">
        <v>617</v>
      </c>
    </row>
    <row r="15" spans="1:9" x14ac:dyDescent="0.25">
      <c r="A15" t="s">
        <v>227</v>
      </c>
      <c r="B15" t="s">
        <v>563</v>
      </c>
      <c r="C15">
        <v>1</v>
      </c>
      <c r="D15" s="1">
        <v>45498</v>
      </c>
      <c r="E15">
        <v>27329.4</v>
      </c>
      <c r="F15">
        <v>257515.12</v>
      </c>
      <c r="G15" t="str">
        <f>IFERROR(IF(VLOOKUP(LEFT(B15,10),[1]Лист1!$A:$A,1,0)&lt;&gt;"","КО"),"ОСК")</f>
        <v>ОСК</v>
      </c>
      <c r="H15">
        <f>_xlfn.RANK.EQ(F15,F:F,0)+COUNTIF(F15:$F$18,F15)-1</f>
        <v>7</v>
      </c>
      <c r="I15" t="str">
        <f ca="1">IF(C15+EOMONTH(TODAY(),0)-TODAY()&gt;=90,_xlfn.RANK.EQ(C15,C:C,1)+COUNTIF(C15:$C$18,C15)+1,"")</f>
        <v/>
      </c>
    </row>
    <row r="16" spans="1:9" x14ac:dyDescent="0.25">
      <c r="A16" t="s">
        <v>150</v>
      </c>
      <c r="B16" t="s">
        <v>599</v>
      </c>
      <c r="C16">
        <v>1</v>
      </c>
      <c r="D16" s="1">
        <v>45498</v>
      </c>
      <c r="E16">
        <v>9571.5400000000009</v>
      </c>
      <c r="F16">
        <v>168205.4</v>
      </c>
      <c r="G16" t="str">
        <f>IFERROR(IF(VLOOKUP(LEFT(B16,10),[1]Лист1!$A:$A,1,0)&lt;&gt;"","КО"),"ОСК")</f>
        <v>ОСК</v>
      </c>
      <c r="H16">
        <f>_xlfn.RANK.EQ(F16,F:F,0)+COUNTIF(F16:$F$18,F16)-1</f>
        <v>11</v>
      </c>
      <c r="I16" t="str">
        <f ca="1">IF(C16+EOMONTH(TODAY(),0)-TODAY()&gt;=90,_xlfn.RANK.EQ(C16,C:C,1)+COUNTIF(C16:$C$18,C16)+1,"")</f>
        <v/>
      </c>
    </row>
    <row r="17" spans="1:9" x14ac:dyDescent="0.25">
      <c r="A17" t="s">
        <v>167</v>
      </c>
      <c r="B17" t="s">
        <v>576</v>
      </c>
      <c r="C17">
        <v>2</v>
      </c>
      <c r="D17" s="1">
        <v>45497</v>
      </c>
      <c r="E17">
        <v>13233.77</v>
      </c>
      <c r="F17">
        <v>133467.01</v>
      </c>
      <c r="G17" t="str">
        <f>IFERROR(IF(VLOOKUP(LEFT(B17,10),[1]Лист1!$A:$A,1,0)&lt;&gt;"","КО"),"ОСК")</f>
        <v>ОСК</v>
      </c>
      <c r="H17">
        <f>_xlfn.RANK.EQ(F17,F:F,0)+COUNTIF(F17:$F$18,F17)-1</f>
        <v>13</v>
      </c>
      <c r="I17" t="str">
        <f ca="1">IF(C17+EOMONTH(TODAY(),0)-TODAY()&gt;=90,_xlfn.RANK.EQ(C17,C:C,1)+COUNTIF(C17:$C$18,C17)+1,"")</f>
        <v/>
      </c>
    </row>
    <row r="18" spans="1:9" x14ac:dyDescent="0.25">
      <c r="A18" t="s">
        <v>266</v>
      </c>
      <c r="B18" t="s">
        <v>583</v>
      </c>
      <c r="C18">
        <v>2</v>
      </c>
      <c r="D18" s="1">
        <v>45497</v>
      </c>
      <c r="E18">
        <v>9238.15</v>
      </c>
      <c r="F18">
        <v>110795.66</v>
      </c>
      <c r="G18" t="str">
        <f>IFERROR(IF(VLOOKUP(LEFT(B18,10),[1]Лист1!$A:$A,1,0)&lt;&gt;"","КО"),"ОСК")</f>
        <v>ОСК</v>
      </c>
      <c r="H18">
        <f>_xlfn.RANK.EQ(F18,F:F,0)+COUNTIF(F18:$F$18,F18)-1</f>
        <v>14</v>
      </c>
      <c r="I18" t="str">
        <f ca="1">IF(C18+EOMONTH(TODAY(),0)-TODAY()&gt;=90,_xlfn.RANK.EQ(C18,C:C,1)+COUNTIF(C18:$C$18,C18)+1,"")</f>
        <v/>
      </c>
    </row>
    <row r="19" spans="1:9" x14ac:dyDescent="0.25">
      <c r="A19" t="s">
        <v>145</v>
      </c>
      <c r="B19" t="s">
        <v>547</v>
      </c>
      <c r="C19">
        <v>2</v>
      </c>
      <c r="D19" s="1">
        <v>45497</v>
      </c>
      <c r="E19">
        <v>6550.94</v>
      </c>
      <c r="F19">
        <v>48585.51</v>
      </c>
      <c r="G19" t="str">
        <f>IFERROR(IF(VLOOKUP(LEFT(B19,10),[1]Лист1!$A:$A,1,0)&lt;&gt;"","КО"),"ОСК")</f>
        <v>ОСК</v>
      </c>
      <c r="H19">
        <f>_xlfn.RANK.EQ(F19,F:F,0)+COUNTIF(F$18:$F19,F19)-1</f>
        <v>20</v>
      </c>
      <c r="I19" t="str">
        <f ca="1">IF(C19+EOMONTH(TODAY(),0)-TODAY()&gt;=90,_xlfn.RANK.EQ(C19,C:C,1)+COUNTIF(C$18:$C19,C19)+1,"")</f>
        <v/>
      </c>
    </row>
    <row r="20" spans="1:9" x14ac:dyDescent="0.25">
      <c r="A20" t="s">
        <v>161</v>
      </c>
      <c r="B20" t="s">
        <v>601</v>
      </c>
      <c r="C20">
        <v>3</v>
      </c>
      <c r="D20" s="1">
        <v>45496</v>
      </c>
      <c r="E20">
        <v>58380.3</v>
      </c>
      <c r="F20">
        <v>601100.55000000005</v>
      </c>
      <c r="G20" t="str">
        <f>IFERROR(IF(VLOOKUP(LEFT(B20,10),[1]Лист1!$A:$A,1,0)&lt;&gt;"","КО"),"ОСК")</f>
        <v>ОСК</v>
      </c>
      <c r="H20">
        <f>_xlfn.RANK.EQ(F20,F:F,0)+COUNTIF(F$18:$F20,F20)-1</f>
        <v>2</v>
      </c>
      <c r="I20" t="str">
        <f ca="1">IF(C20+EOMONTH(TODAY(),0)-TODAY()&gt;=90,_xlfn.RANK.EQ(C20,C:C,1)+COUNTIF(C$18:$C20,C20)+1,"")</f>
        <v/>
      </c>
    </row>
    <row r="21" spans="1:9" x14ac:dyDescent="0.25">
      <c r="A21" t="s">
        <v>152</v>
      </c>
      <c r="B21" t="s">
        <v>554</v>
      </c>
      <c r="C21">
        <v>4</v>
      </c>
      <c r="D21" s="1">
        <v>45495</v>
      </c>
      <c r="E21">
        <v>18154.5</v>
      </c>
      <c r="F21">
        <v>149401</v>
      </c>
      <c r="G21" t="str">
        <f>IFERROR(IF(VLOOKUP(LEFT(B21,10),[1]Лист1!$A:$A,1,0)&lt;&gt;"","КО"),"ОСК")</f>
        <v>ОСК</v>
      </c>
      <c r="H21">
        <f>_xlfn.RANK.EQ(F21,F:F,0)+COUNTIF(F$18:$F21,F21)-1</f>
        <v>12</v>
      </c>
      <c r="I21" t="str">
        <f ca="1">IF(C21+EOMONTH(TODAY(),0)-TODAY()&gt;=90,_xlfn.RANK.EQ(C21,C:C,1)+COUNTIF(C$18:$C21,C21)+1,"")</f>
        <v/>
      </c>
    </row>
    <row r="22" spans="1:9" x14ac:dyDescent="0.25">
      <c r="A22" t="s">
        <v>88</v>
      </c>
      <c r="B22" t="s">
        <v>515</v>
      </c>
      <c r="C22">
        <v>6</v>
      </c>
      <c r="D22" s="1">
        <v>45493</v>
      </c>
      <c r="E22">
        <v>15002.13</v>
      </c>
      <c r="F22">
        <v>39140.76</v>
      </c>
      <c r="G22" t="str">
        <f>IFERROR(IF(VLOOKUP(LEFT(B22,10),[1]Лист1!$A:$A,1,0)&lt;&gt;"","КО"),"ОСК")</f>
        <v>ОСК</v>
      </c>
      <c r="H22">
        <f>_xlfn.RANK.EQ(F22,F:F,0)+COUNTIF(F$18:$F22,F22)-1</f>
        <v>21</v>
      </c>
      <c r="I22" t="str">
        <f ca="1">IF(C22+EOMONTH(TODAY(),0)-TODAY()&gt;=90,_xlfn.RANK.EQ(C22,C:C,1)+COUNTIF(C$18:$C22,C22)+1,"")</f>
        <v/>
      </c>
    </row>
    <row r="23" spans="1:9" x14ac:dyDescent="0.25">
      <c r="A23" t="s">
        <v>52</v>
      </c>
      <c r="B23" t="s">
        <v>512</v>
      </c>
      <c r="C23">
        <v>8</v>
      </c>
      <c r="D23" s="1">
        <v>45491</v>
      </c>
      <c r="E23">
        <v>8966.1</v>
      </c>
      <c r="F23">
        <v>82778.91</v>
      </c>
      <c r="G23" t="str">
        <f>IFERROR(IF(VLOOKUP(LEFT(B23,10),[1]Лист1!$A:$A,1,0)&lt;&gt;"","КО"),"ОСК")</f>
        <v>ОСК</v>
      </c>
      <c r="H23">
        <f>_xlfn.RANK.EQ(F23,F:F,0)+COUNTIF(F$18:$F23,F23)-1</f>
        <v>16</v>
      </c>
      <c r="I23" t="str">
        <f ca="1">IF(C23+EOMONTH(TODAY(),0)-TODAY()&gt;=90,_xlfn.RANK.EQ(C23,C:C,1)+COUNTIF(C$18:$C23,C23)+1,"")</f>
        <v/>
      </c>
    </row>
    <row r="24" spans="1:9" x14ac:dyDescent="0.25">
      <c r="A24" t="s">
        <v>335</v>
      </c>
      <c r="B24" t="s">
        <v>598</v>
      </c>
      <c r="C24">
        <v>9</v>
      </c>
      <c r="D24" s="1">
        <v>45490</v>
      </c>
      <c r="E24">
        <v>53845.99</v>
      </c>
      <c r="F24">
        <v>687800.96</v>
      </c>
      <c r="G24" t="str">
        <f>IFERROR(IF(VLOOKUP(LEFT(B24,10),[1]Лист1!$A:$A,1,0)&lt;&gt;"","КО"),"ОСК")</f>
        <v>ОСК</v>
      </c>
      <c r="H24">
        <f>_xlfn.RANK.EQ(F24,F:F,0)+COUNTIF(F$18:$F24,F24)-1</f>
        <v>1</v>
      </c>
      <c r="I24" t="str">
        <f ca="1">IF(C24+EOMONTH(TODAY(),0)-TODAY()&gt;=90,_xlfn.RANK.EQ(C24,C:C,1)+COUNTIF(C$18:$C24,C24)+1,"")</f>
        <v/>
      </c>
    </row>
    <row r="25" spans="1:9" x14ac:dyDescent="0.25">
      <c r="A25" t="s">
        <v>320</v>
      </c>
      <c r="B25" t="s">
        <v>595</v>
      </c>
      <c r="C25">
        <v>9</v>
      </c>
      <c r="D25" s="1">
        <v>45490</v>
      </c>
      <c r="E25">
        <v>13573.11</v>
      </c>
      <c r="F25">
        <v>347000.86</v>
      </c>
      <c r="G25" t="str">
        <f>IFERROR(IF(VLOOKUP(LEFT(B25,10),[1]Лист1!$A:$A,1,0)&lt;&gt;"","КО"),"ОСК")</f>
        <v>ОСК</v>
      </c>
      <c r="H25">
        <f>_xlfn.RANK.EQ(F25,F:F,0)+COUNTIF(F$18:$F25,F25)-1</f>
        <v>6</v>
      </c>
      <c r="I25" t="str">
        <f ca="1">IF(C25+EOMONTH(TODAY(),0)-TODAY()&gt;=90,_xlfn.RANK.EQ(C25,C:C,1)+COUNTIF(C$18:$C25,C25)+1,"")</f>
        <v/>
      </c>
    </row>
    <row r="26" spans="1:9" x14ac:dyDescent="0.25">
      <c r="A26" t="s">
        <v>279</v>
      </c>
      <c r="B26" t="s">
        <v>586</v>
      </c>
      <c r="C26">
        <v>12</v>
      </c>
      <c r="D26" s="1">
        <v>45487</v>
      </c>
      <c r="E26">
        <v>9928.4</v>
      </c>
      <c r="F26">
        <v>219628.41</v>
      </c>
      <c r="G26" t="str">
        <f>IFERROR(IF(VLOOKUP(LEFT(B26,10),[1]Лист1!$A:$A,1,0)&lt;&gt;"","КО"),"ОСК")</f>
        <v>ОСК</v>
      </c>
      <c r="H26">
        <f>_xlfn.RANK.EQ(F26,F:F,0)+COUNTIF(F$18:$F26,F26)-1</f>
        <v>10</v>
      </c>
      <c r="I26" t="str">
        <f ca="1">IF(C26+EOMONTH(TODAY(),0)-TODAY()&gt;=90,_xlfn.RANK.EQ(C26,C:C,1)+COUNTIF(C$18:$C26,C26)+1,"")</f>
        <v/>
      </c>
    </row>
    <row r="27" spans="1:9" x14ac:dyDescent="0.25">
      <c r="A27" t="s">
        <v>44</v>
      </c>
      <c r="B27" t="s">
        <v>491</v>
      </c>
      <c r="C27">
        <v>12</v>
      </c>
      <c r="D27" s="1">
        <v>45487</v>
      </c>
      <c r="E27">
        <v>2426.92</v>
      </c>
      <c r="F27">
        <v>59055.08</v>
      </c>
      <c r="G27" t="str">
        <f>IFERROR(IF(VLOOKUP(LEFT(B27,10),[1]Лист1!$A:$A,1,0)&lt;&gt;"","КО"),"ОСК")</f>
        <v>ОСК</v>
      </c>
      <c r="H27">
        <f>_xlfn.RANK.EQ(F27,F:F,0)+COUNTIF(F$18:$F27,F27)-1</f>
        <v>17</v>
      </c>
      <c r="I27" t="str">
        <f ca="1">IF(C27+EOMONTH(TODAY(),0)-TODAY()&gt;=90,_xlfn.RANK.EQ(C27,C:C,1)+COUNTIF(C$18:$C27,C27)+1,"")</f>
        <v/>
      </c>
    </row>
    <row r="28" spans="1:9" x14ac:dyDescent="0.25">
      <c r="A28" t="s">
        <v>262</v>
      </c>
      <c r="B28" t="s">
        <v>579</v>
      </c>
      <c r="C28">
        <v>13</v>
      </c>
      <c r="D28" s="1">
        <v>45486</v>
      </c>
      <c r="E28">
        <v>43839.4</v>
      </c>
      <c r="F28">
        <v>452267.28</v>
      </c>
      <c r="G28" t="str">
        <f>IFERROR(IF(VLOOKUP(LEFT(B28,10),[1]Лист1!$A:$A,1,0)&lt;&gt;"","КО"),"ОСК")</f>
        <v>ОСК</v>
      </c>
      <c r="H28">
        <f>_xlfn.RANK.EQ(F28,F:F,0)+COUNTIF(F$18:$F28,F28)-1</f>
        <v>4</v>
      </c>
      <c r="I28" t="str">
        <f ca="1">IF(C28+EOMONTH(TODAY(),0)-TODAY()&gt;=90,_xlfn.RANK.EQ(C28,C:C,1)+COUNTIF(C$18:$C28,C28)+1,"")</f>
        <v/>
      </c>
    </row>
    <row r="29" spans="1:9" x14ac:dyDescent="0.25">
      <c r="A29" t="s">
        <v>220</v>
      </c>
      <c r="B29" t="s">
        <v>558</v>
      </c>
      <c r="C29">
        <v>29</v>
      </c>
      <c r="D29" s="1">
        <v>45470</v>
      </c>
      <c r="E29">
        <v>12011.18</v>
      </c>
      <c r="F29">
        <v>244826.11</v>
      </c>
      <c r="G29" t="str">
        <f>IFERROR(IF(VLOOKUP(LEFT(B29,10),[1]Лист1!$A:$A,1,0)&lt;&gt;"","КО"),"ОСК")</f>
        <v>ОСК</v>
      </c>
      <c r="H29">
        <f>_xlfn.RANK.EQ(F29,F:F,0)+COUNTIF(F$18:$F29,F29)-1</f>
        <v>8</v>
      </c>
      <c r="I29" t="str">
        <f ca="1">IF(C29+EOMONTH(TODAY(),0)-TODAY()&gt;=90,_xlfn.RANK.EQ(C29,C:C,1)+COUNTIF(C$18:$C29,C29)+1,"")</f>
        <v/>
      </c>
    </row>
    <row r="30" spans="1:9" x14ac:dyDescent="0.25">
      <c r="A30" t="s">
        <v>140</v>
      </c>
      <c r="B30" t="s">
        <v>518</v>
      </c>
      <c r="C30">
        <v>32</v>
      </c>
      <c r="D30" s="1">
        <v>45467</v>
      </c>
      <c r="E30">
        <v>60955.86</v>
      </c>
      <c r="F30">
        <v>55322.09</v>
      </c>
      <c r="G30" t="str">
        <f>IFERROR(IF(VLOOKUP(LEFT(B30,10),[1]Лист1!$A:$A,1,0)&lt;&gt;"","КО"),"ОСК")</f>
        <v>ОСК</v>
      </c>
      <c r="H30">
        <f>_xlfn.RANK.EQ(F30,F:F,0)+COUNTIF(F$18:$F30,F30)-1</f>
        <v>18</v>
      </c>
      <c r="I30" t="str">
        <f ca="1">IF(C30+EOMONTH(TODAY(),0)-TODAY()&gt;=90,_xlfn.RANK.EQ(C30,C:C,1)+COUNTIF(C$18:$C30,C30)+1,"")</f>
        <v/>
      </c>
    </row>
    <row r="31" spans="1:9" x14ac:dyDescent="0.25">
      <c r="A31" t="s">
        <v>262</v>
      </c>
      <c r="B31" t="s">
        <v>580</v>
      </c>
      <c r="C31">
        <v>35</v>
      </c>
      <c r="D31" s="1">
        <v>45464</v>
      </c>
      <c r="E31">
        <v>6589.03</v>
      </c>
      <c r="F31">
        <v>107148.59</v>
      </c>
      <c r="G31" t="str">
        <f>IFERROR(IF(VLOOKUP(LEFT(B31,10),[1]Лист1!$A:$A,1,0)&lt;&gt;"","КО"),"ОСК")</f>
        <v>ОСК</v>
      </c>
      <c r="H31">
        <f>_xlfn.RANK.EQ(F31,F:F,0)+COUNTIF(F$18:$F31,F31)-1</f>
        <v>15</v>
      </c>
      <c r="I31" t="str">
        <f ca="1">IF(C31+EOMONTH(TODAY(),0)-TODAY()&gt;=90,_xlfn.RANK.EQ(C31,C:C,1)+COUNTIF(C$18:$C31,C31)+1,"")</f>
        <v/>
      </c>
    </row>
    <row r="32" spans="1:9" x14ac:dyDescent="0.25">
      <c r="A32" t="s">
        <v>282</v>
      </c>
      <c r="B32" t="s">
        <v>588</v>
      </c>
      <c r="C32">
        <v>46</v>
      </c>
      <c r="D32" s="1">
        <v>45453</v>
      </c>
      <c r="E32">
        <v>122088.15</v>
      </c>
      <c r="F32">
        <v>385341.82</v>
      </c>
      <c r="G32" t="str">
        <f>IFERROR(IF(VLOOKUP(LEFT(B32,10),[1]Лист1!$A:$A,1,0)&lt;&gt;"","КО"),"ОСК")</f>
        <v>ОСК</v>
      </c>
      <c r="H32">
        <f>_xlfn.RANK.EQ(F32,F:F,0)+COUNTIF(F$18:$F32,F32)-1</f>
        <v>5</v>
      </c>
      <c r="I32" t="str">
        <f ca="1">IF(C32+EOMONTH(TODAY(),0)-TODAY()&gt;=90,_xlfn.RANK.EQ(C32,C:C,1)+COUNTIF(C$18:$C32,C32)+1,"")</f>
        <v/>
      </c>
    </row>
    <row r="33" spans="1:9" x14ac:dyDescent="0.25">
      <c r="A33" t="s">
        <v>218</v>
      </c>
      <c r="B33" t="s">
        <v>556</v>
      </c>
      <c r="C33">
        <v>62</v>
      </c>
      <c r="D33" s="1">
        <v>45437</v>
      </c>
      <c r="E33">
        <v>17033.75</v>
      </c>
      <c r="F33">
        <v>55078.39</v>
      </c>
      <c r="G33" t="str">
        <f>IFERROR(IF(VLOOKUP(LEFT(B33,10),[1]Лист1!$A:$A,1,0)&lt;&gt;"","КО"),"ОСК")</f>
        <v>ОСК</v>
      </c>
      <c r="H33">
        <f>_xlfn.RANK.EQ(F33,F:F,0)+COUNTIF(F$18:$F33,F33)-1</f>
        <v>19</v>
      </c>
      <c r="I33" t="str">
        <f ca="1">IF(C33+EOMONTH(TODAY(),0)-TODAY()&gt;=90,_xlfn.RANK.EQ(C33,C:C,1)+COUNTIF(C$18:$C33,C33)+1,"")</f>
        <v/>
      </c>
    </row>
    <row r="34" spans="1:9" x14ac:dyDescent="0.25">
      <c r="A34" t="s">
        <v>218</v>
      </c>
      <c r="B34" t="s">
        <v>509</v>
      </c>
      <c r="C34">
        <v>75</v>
      </c>
      <c r="D34" s="1">
        <v>45424</v>
      </c>
      <c r="E34">
        <v>193278.02</v>
      </c>
      <c r="F34">
        <v>576927.80000000005</v>
      </c>
      <c r="G34" t="str">
        <f>IFERROR(IF(VLOOKUP(LEFT(B34,10),[1]Лист1!$A:$A,1,0)&lt;&gt;"","КО"),"ОСК")</f>
        <v>ОСК</v>
      </c>
      <c r="H34">
        <f>_xlfn.RANK.EQ(F34,F:F,0)+COUNTIF(F$18:$F34,F34)-1</f>
        <v>3</v>
      </c>
      <c r="I34" t="str">
        <f ca="1">IF(C34+EOMONTH(TODAY(),0)-TODAY()&gt;=90,_xlfn.RANK.EQ(C34,C:C,1)+COUNTIF(C$18:$C34,C34)+1,"")</f>
        <v/>
      </c>
    </row>
    <row r="35" spans="1:9" x14ac:dyDescent="0.25">
      <c r="A35" t="s">
        <v>256</v>
      </c>
      <c r="B35" t="s">
        <v>484</v>
      </c>
      <c r="C35">
        <v>92</v>
      </c>
      <c r="D35" s="1">
        <v>45407</v>
      </c>
      <c r="E35">
        <v>51274.85</v>
      </c>
      <c r="F35">
        <v>237796.4</v>
      </c>
      <c r="G35" t="str">
        <f>IFERROR(IF(VLOOKUP(LEFT(B35,10),[1]Лист1!$A:$A,1,0)&lt;&gt;"","КО"),"ОСК")</f>
        <v>ОСК</v>
      </c>
      <c r="H35">
        <f>_xlfn.RANK.EQ(F35,F:F,0)+COUNTIF(F$18:$F35,F35)-1</f>
        <v>9</v>
      </c>
      <c r="I35">
        <f ca="1">IF(C35+EOMONTH(TODAY(),0)-TODAY()&gt;=90,_xlfn.RANK.EQ(C35,C:C,1)+COUNTIF(C$18:$C35,C35)+1,"")</f>
        <v>23</v>
      </c>
    </row>
  </sheetData>
  <sortState xmlns:xlrd2="http://schemas.microsoft.com/office/spreadsheetml/2017/richdata2" ref="A15:F15">
    <sortCondition descending="1" ref="F15"/>
  </sortState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7D023-9858-4717-979F-9D802646DA5B}">
  <sheetPr codeName="Лист6"/>
  <dimension ref="A1:L1050"/>
  <sheetViews>
    <sheetView zoomScaleNormal="100" workbookViewId="0">
      <selection activeCell="D8" sqref="D8"/>
    </sheetView>
  </sheetViews>
  <sheetFormatPr defaultRowHeight="15" x14ac:dyDescent="0.25"/>
  <cols>
    <col min="1" max="1" width="53.28515625" bestFit="1" customWidth="1"/>
    <col min="2" max="2" width="66.42578125" bestFit="1" customWidth="1"/>
    <col min="3" max="3" width="7.42578125" bestFit="1" customWidth="1"/>
    <col min="4" max="4" width="14.85546875" bestFit="1" customWidth="1"/>
    <col min="5" max="5" width="15" bestFit="1" customWidth="1"/>
    <col min="6" max="6" width="34.7109375" bestFit="1" customWidth="1"/>
    <col min="7" max="10" width="15" bestFit="1" customWidth="1"/>
    <col min="11" max="11" width="40.42578125" customWidth="1"/>
    <col min="12" max="12" width="12.85546875" bestFit="1" customWidth="1"/>
    <col min="14" max="14" width="11.140625" bestFit="1" customWidth="1"/>
    <col min="15" max="15" width="27.28515625" bestFit="1" customWidth="1"/>
  </cols>
  <sheetData>
    <row r="1" spans="1:12" ht="15.75" customHeight="1" x14ac:dyDescent="0.25"/>
    <row r="2" spans="1:12" x14ac:dyDescent="0.25">
      <c r="A2" t="s">
        <v>605</v>
      </c>
    </row>
    <row r="4" spans="1:12" x14ac:dyDescent="0.25">
      <c r="A4" t="s">
        <v>0</v>
      </c>
      <c r="B4" t="s">
        <v>4269</v>
      </c>
    </row>
    <row r="5" spans="1:12" x14ac:dyDescent="0.25">
      <c r="B5" t="s">
        <v>624</v>
      </c>
    </row>
    <row r="6" spans="1:12" x14ac:dyDescent="0.25">
      <c r="B6" t="s">
        <v>607</v>
      </c>
    </row>
    <row r="7" spans="1:12" x14ac:dyDescent="0.25">
      <c r="B7" t="s">
        <v>608</v>
      </c>
    </row>
    <row r="8" spans="1:12" x14ac:dyDescent="0.25">
      <c r="A8" t="s">
        <v>1</v>
      </c>
      <c r="B8" t="s">
        <v>625</v>
      </c>
    </row>
    <row r="9" spans="1:12" x14ac:dyDescent="0.25">
      <c r="B9" t="s">
        <v>626</v>
      </c>
    </row>
    <row r="10" spans="1:12" x14ac:dyDescent="0.25">
      <c r="B10" t="s">
        <v>627</v>
      </c>
    </row>
    <row r="11" spans="1:12" x14ac:dyDescent="0.25">
      <c r="B11" t="s">
        <v>628</v>
      </c>
    </row>
    <row r="12" spans="1:12" x14ac:dyDescent="0.25">
      <c r="B12" t="s">
        <v>629</v>
      </c>
    </row>
    <row r="14" spans="1:12" x14ac:dyDescent="0.25">
      <c r="A14" t="s">
        <v>613</v>
      </c>
      <c r="B14" t="s">
        <v>2</v>
      </c>
      <c r="C14" t="s">
        <v>614</v>
      </c>
      <c r="D14" t="s">
        <v>615</v>
      </c>
      <c r="E14" t="s">
        <v>630</v>
      </c>
      <c r="G14" t="s">
        <v>9</v>
      </c>
      <c r="I14" t="s">
        <v>631</v>
      </c>
      <c r="K14" t="s">
        <v>10</v>
      </c>
      <c r="L14" t="s">
        <v>632</v>
      </c>
    </row>
    <row r="15" spans="1:12" ht="15.75" customHeight="1" x14ac:dyDescent="0.25">
      <c r="E15" t="s">
        <v>616</v>
      </c>
      <c r="F15" t="s">
        <v>617</v>
      </c>
      <c r="G15" t="s">
        <v>617</v>
      </c>
      <c r="H15" t="s">
        <v>616</v>
      </c>
      <c r="I15" t="s">
        <v>616</v>
      </c>
      <c r="J15" t="s">
        <v>617</v>
      </c>
      <c r="K15" t="s">
        <v>616</v>
      </c>
      <c r="L15" t="s">
        <v>617</v>
      </c>
    </row>
    <row r="16" spans="1:12" x14ac:dyDescent="0.25">
      <c r="A16" t="s">
        <v>633</v>
      </c>
      <c r="B16" t="s">
        <v>634</v>
      </c>
      <c r="C16" t="s">
        <v>4270</v>
      </c>
      <c r="D16" s="1">
        <v>41846</v>
      </c>
      <c r="E16">
        <v>50321.72</v>
      </c>
      <c r="F16">
        <v>50321.72</v>
      </c>
      <c r="G16">
        <v>50321.72</v>
      </c>
      <c r="H16">
        <v>50321.72</v>
      </c>
    </row>
    <row r="17" spans="1:12" x14ac:dyDescent="0.25">
      <c r="A17" t="s">
        <v>635</v>
      </c>
      <c r="B17" t="s">
        <v>636</v>
      </c>
      <c r="C17" t="s">
        <v>4271</v>
      </c>
      <c r="D17" s="1">
        <v>41933</v>
      </c>
      <c r="E17">
        <v>9105.8799999999992</v>
      </c>
      <c r="F17">
        <v>9105.8799999999992</v>
      </c>
      <c r="K17">
        <v>9105.8799999999992</v>
      </c>
    </row>
    <row r="18" spans="1:12" x14ac:dyDescent="0.25">
      <c r="A18" t="s">
        <v>637</v>
      </c>
      <c r="B18" t="s">
        <v>638</v>
      </c>
      <c r="C18" t="s">
        <v>4272</v>
      </c>
      <c r="D18" s="1">
        <v>41988</v>
      </c>
      <c r="E18">
        <v>34135.199999999997</v>
      </c>
      <c r="F18">
        <v>34135.199999999997</v>
      </c>
      <c r="K18">
        <v>34135.199999999997</v>
      </c>
    </row>
    <row r="19" spans="1:12" x14ac:dyDescent="0.25">
      <c r="A19" t="s">
        <v>639</v>
      </c>
      <c r="B19" t="s">
        <v>640</v>
      </c>
      <c r="C19" t="s">
        <v>4273</v>
      </c>
      <c r="D19" s="1">
        <v>42096</v>
      </c>
      <c r="E19">
        <v>54459.21</v>
      </c>
      <c r="F19">
        <v>54459.21</v>
      </c>
      <c r="K19">
        <v>54459.21</v>
      </c>
    </row>
    <row r="20" spans="1:12" x14ac:dyDescent="0.25">
      <c r="A20" t="s">
        <v>641</v>
      </c>
      <c r="B20" t="s">
        <v>642</v>
      </c>
      <c r="C20" t="s">
        <v>4274</v>
      </c>
      <c r="D20" s="1">
        <v>42235</v>
      </c>
      <c r="E20">
        <v>920090.91</v>
      </c>
      <c r="F20">
        <v>920090.91</v>
      </c>
      <c r="G20">
        <v>790065.38</v>
      </c>
      <c r="H20">
        <v>790065.38</v>
      </c>
      <c r="I20">
        <v>5191.51</v>
      </c>
      <c r="J20">
        <v>5191.51</v>
      </c>
      <c r="K20">
        <v>105300</v>
      </c>
      <c r="L20">
        <v>19534.02</v>
      </c>
    </row>
    <row r="21" spans="1:12" x14ac:dyDescent="0.25">
      <c r="A21" t="s">
        <v>643</v>
      </c>
      <c r="B21" t="s">
        <v>642</v>
      </c>
      <c r="C21" t="s">
        <v>4274</v>
      </c>
      <c r="D21" s="1">
        <v>42235</v>
      </c>
      <c r="E21">
        <v>400695.38</v>
      </c>
      <c r="F21">
        <v>400695.38</v>
      </c>
      <c r="G21">
        <v>338209.27</v>
      </c>
      <c r="H21">
        <v>338209.27</v>
      </c>
      <c r="I21">
        <v>7050.63</v>
      </c>
      <c r="J21">
        <v>7050.63</v>
      </c>
      <c r="K21">
        <v>42120</v>
      </c>
      <c r="L21">
        <v>13315.48</v>
      </c>
    </row>
    <row r="22" spans="1:12" x14ac:dyDescent="0.25">
      <c r="A22" t="s">
        <v>644</v>
      </c>
      <c r="B22" t="s">
        <v>645</v>
      </c>
      <c r="C22" t="s">
        <v>4275</v>
      </c>
      <c r="D22" s="1">
        <v>42325</v>
      </c>
      <c r="E22">
        <v>9260.08</v>
      </c>
      <c r="F22">
        <v>9260.08</v>
      </c>
      <c r="K22">
        <v>9260.08</v>
      </c>
    </row>
    <row r="23" spans="1:12" x14ac:dyDescent="0.25">
      <c r="A23" t="s">
        <v>646</v>
      </c>
      <c r="B23" t="s">
        <v>647</v>
      </c>
      <c r="C23" t="s">
        <v>4276</v>
      </c>
      <c r="D23" s="1">
        <v>42382</v>
      </c>
      <c r="E23">
        <v>3095.1</v>
      </c>
      <c r="F23">
        <v>3095.1</v>
      </c>
      <c r="K23">
        <v>3095.1</v>
      </c>
    </row>
    <row r="24" spans="1:12" x14ac:dyDescent="0.25">
      <c r="A24" t="s">
        <v>648</v>
      </c>
      <c r="B24" t="s">
        <v>649</v>
      </c>
      <c r="C24" t="s">
        <v>4277</v>
      </c>
      <c r="D24" s="1">
        <v>42395</v>
      </c>
      <c r="E24">
        <v>9591.57</v>
      </c>
      <c r="F24">
        <v>9591.57</v>
      </c>
      <c r="K24">
        <v>9591.57</v>
      </c>
    </row>
    <row r="25" spans="1:12" x14ac:dyDescent="0.25">
      <c r="A25" t="s">
        <v>650</v>
      </c>
      <c r="B25" t="s">
        <v>651</v>
      </c>
      <c r="C25" t="s">
        <v>4278</v>
      </c>
      <c r="D25" s="1">
        <v>42502</v>
      </c>
      <c r="E25">
        <v>5050.18</v>
      </c>
      <c r="F25">
        <v>5050.18</v>
      </c>
      <c r="K25">
        <v>5050.18</v>
      </c>
    </row>
    <row r="26" spans="1:12" x14ac:dyDescent="0.25">
      <c r="A26" t="s">
        <v>652</v>
      </c>
      <c r="B26" t="s">
        <v>653</v>
      </c>
      <c r="C26" t="s">
        <v>4279</v>
      </c>
      <c r="D26" s="1">
        <v>42646</v>
      </c>
      <c r="E26">
        <v>22575.49</v>
      </c>
      <c r="F26">
        <v>22575.49</v>
      </c>
      <c r="K26">
        <v>22575.49</v>
      </c>
    </row>
    <row r="27" spans="1:12" x14ac:dyDescent="0.25">
      <c r="A27" t="s">
        <v>654</v>
      </c>
      <c r="B27" t="s">
        <v>655</v>
      </c>
      <c r="C27" t="s">
        <v>4280</v>
      </c>
      <c r="D27" s="1">
        <v>42716</v>
      </c>
      <c r="E27">
        <v>15385.52</v>
      </c>
      <c r="F27">
        <v>15385.52</v>
      </c>
      <c r="K27">
        <v>13931.17</v>
      </c>
      <c r="L27">
        <v>1454.35</v>
      </c>
    </row>
    <row r="28" spans="1:12" x14ac:dyDescent="0.25">
      <c r="A28" t="s">
        <v>656</v>
      </c>
      <c r="B28" t="s">
        <v>657</v>
      </c>
      <c r="C28" t="s">
        <v>4281</v>
      </c>
      <c r="D28" s="1">
        <v>42778</v>
      </c>
      <c r="E28">
        <v>277410.13</v>
      </c>
      <c r="F28">
        <v>277410.13</v>
      </c>
      <c r="G28">
        <v>177377.81</v>
      </c>
      <c r="H28">
        <v>177377.81</v>
      </c>
      <c r="I28">
        <v>2787.43</v>
      </c>
      <c r="J28">
        <v>2787.43</v>
      </c>
      <c r="K28">
        <v>82788.850000000006</v>
      </c>
      <c r="L28">
        <v>14456.04</v>
      </c>
    </row>
    <row r="29" spans="1:12" x14ac:dyDescent="0.25">
      <c r="A29" t="s">
        <v>658</v>
      </c>
      <c r="B29" t="s">
        <v>659</v>
      </c>
      <c r="C29" t="s">
        <v>4282</v>
      </c>
      <c r="D29" s="1">
        <v>43124</v>
      </c>
      <c r="E29">
        <v>41982.73</v>
      </c>
      <c r="F29">
        <v>41982.73</v>
      </c>
      <c r="K29">
        <v>32482.73</v>
      </c>
    </row>
    <row r="30" spans="1:12" x14ac:dyDescent="0.25">
      <c r="A30" t="s">
        <v>660</v>
      </c>
      <c r="B30" t="s">
        <v>661</v>
      </c>
      <c r="C30" t="s">
        <v>4283</v>
      </c>
      <c r="D30" s="1">
        <v>43126</v>
      </c>
      <c r="E30">
        <v>13116.34</v>
      </c>
      <c r="F30">
        <v>13116.34</v>
      </c>
      <c r="L30">
        <v>13116.34</v>
      </c>
    </row>
    <row r="31" spans="1:12" x14ac:dyDescent="0.25">
      <c r="A31" t="s">
        <v>663</v>
      </c>
      <c r="B31" t="s">
        <v>664</v>
      </c>
      <c r="C31" t="s">
        <v>4284</v>
      </c>
      <c r="D31" s="1">
        <v>43224</v>
      </c>
      <c r="E31">
        <v>86765.440000000002</v>
      </c>
      <c r="F31">
        <v>86765.440000000002</v>
      </c>
      <c r="G31">
        <v>74064.639999999999</v>
      </c>
      <c r="H31">
        <v>74064.639999999999</v>
      </c>
      <c r="K31">
        <v>12700.8</v>
      </c>
    </row>
    <row r="32" spans="1:12" x14ac:dyDescent="0.25">
      <c r="A32" t="s">
        <v>665</v>
      </c>
      <c r="B32" t="s">
        <v>666</v>
      </c>
      <c r="C32" t="s">
        <v>4285</v>
      </c>
      <c r="D32" s="1">
        <v>43316</v>
      </c>
      <c r="E32">
        <v>265093.13</v>
      </c>
      <c r="F32">
        <v>265093.13</v>
      </c>
      <c r="G32">
        <v>237811.57</v>
      </c>
      <c r="H32">
        <v>237811.57</v>
      </c>
      <c r="K32">
        <v>14418.26</v>
      </c>
      <c r="L32">
        <v>12863.3</v>
      </c>
    </row>
    <row r="33" spans="1:12" x14ac:dyDescent="0.25">
      <c r="A33" t="s">
        <v>667</v>
      </c>
      <c r="B33" t="s">
        <v>668</v>
      </c>
      <c r="C33" t="s">
        <v>4286</v>
      </c>
      <c r="D33" s="1">
        <v>43335</v>
      </c>
      <c r="E33">
        <v>579940.81000000006</v>
      </c>
      <c r="F33">
        <v>579940.81000000006</v>
      </c>
      <c r="G33">
        <v>390307.52</v>
      </c>
      <c r="H33">
        <v>390307.52</v>
      </c>
      <c r="I33">
        <v>147339.82</v>
      </c>
      <c r="J33">
        <v>147339.82</v>
      </c>
      <c r="K33">
        <v>32616</v>
      </c>
      <c r="L33">
        <v>9677.4699999999993</v>
      </c>
    </row>
    <row r="34" spans="1:12" x14ac:dyDescent="0.25">
      <c r="A34" t="s">
        <v>669</v>
      </c>
      <c r="B34" t="s">
        <v>670</v>
      </c>
      <c r="C34" t="s">
        <v>4287</v>
      </c>
      <c r="D34" s="1">
        <v>43349</v>
      </c>
      <c r="E34">
        <v>87140.45</v>
      </c>
      <c r="F34">
        <v>87140.45</v>
      </c>
      <c r="G34">
        <v>23079.02</v>
      </c>
      <c r="H34">
        <v>23079.02</v>
      </c>
      <c r="I34">
        <v>47574.68</v>
      </c>
      <c r="J34">
        <v>47574.68</v>
      </c>
      <c r="K34">
        <v>15000</v>
      </c>
      <c r="L34">
        <v>1486.75</v>
      </c>
    </row>
    <row r="35" spans="1:12" x14ac:dyDescent="0.25">
      <c r="A35" t="s">
        <v>671</v>
      </c>
      <c r="B35" t="s">
        <v>672</v>
      </c>
      <c r="C35" t="s">
        <v>4288</v>
      </c>
      <c r="D35" s="1">
        <v>43357</v>
      </c>
      <c r="E35">
        <v>215017.79</v>
      </c>
      <c r="F35">
        <v>215017.79</v>
      </c>
      <c r="G35">
        <v>11487.64</v>
      </c>
      <c r="H35">
        <v>11487.64</v>
      </c>
      <c r="I35">
        <v>181954.93</v>
      </c>
      <c r="J35">
        <v>181954.93</v>
      </c>
      <c r="K35">
        <v>10206</v>
      </c>
      <c r="L35">
        <v>11369.22</v>
      </c>
    </row>
    <row r="36" spans="1:12" x14ac:dyDescent="0.25">
      <c r="A36" t="s">
        <v>673</v>
      </c>
      <c r="B36" t="s">
        <v>674</v>
      </c>
      <c r="C36" t="s">
        <v>4289</v>
      </c>
      <c r="D36" s="1">
        <v>43365</v>
      </c>
      <c r="E36">
        <v>9758.5499999999993</v>
      </c>
      <c r="F36">
        <v>9758.5499999999993</v>
      </c>
      <c r="G36">
        <v>6644.39</v>
      </c>
      <c r="H36">
        <v>6644.39</v>
      </c>
      <c r="K36">
        <v>1838.8</v>
      </c>
      <c r="L36">
        <v>1275.3599999999999</v>
      </c>
    </row>
    <row r="37" spans="1:12" x14ac:dyDescent="0.25">
      <c r="A37" t="s">
        <v>675</v>
      </c>
      <c r="B37" t="s">
        <v>676</v>
      </c>
      <c r="C37" t="s">
        <v>4289</v>
      </c>
      <c r="D37" s="1">
        <v>43365</v>
      </c>
      <c r="E37">
        <v>210281.48</v>
      </c>
      <c r="F37">
        <v>210281.48</v>
      </c>
      <c r="G37">
        <v>38603.040000000001</v>
      </c>
      <c r="H37">
        <v>38603.040000000001</v>
      </c>
      <c r="I37">
        <v>24129.54</v>
      </c>
      <c r="J37">
        <v>24129.54</v>
      </c>
      <c r="K37">
        <v>147548.9</v>
      </c>
    </row>
    <row r="38" spans="1:12" x14ac:dyDescent="0.25">
      <c r="A38" t="s">
        <v>677</v>
      </c>
      <c r="B38" t="s">
        <v>678</v>
      </c>
      <c r="C38" t="s">
        <v>4289</v>
      </c>
      <c r="D38" s="1">
        <v>43365</v>
      </c>
      <c r="E38">
        <v>4859627.88</v>
      </c>
      <c r="F38">
        <v>4859627.88</v>
      </c>
      <c r="G38">
        <v>103129.7</v>
      </c>
      <c r="H38">
        <v>103129.7</v>
      </c>
      <c r="I38">
        <v>181991.54</v>
      </c>
      <c r="J38">
        <v>181991.54</v>
      </c>
      <c r="K38">
        <v>4574506.6399999997</v>
      </c>
    </row>
    <row r="39" spans="1:12" x14ac:dyDescent="0.25">
      <c r="A39" t="s">
        <v>679</v>
      </c>
      <c r="B39" t="s">
        <v>680</v>
      </c>
      <c r="C39" t="s">
        <v>4290</v>
      </c>
      <c r="D39" s="1">
        <v>43372</v>
      </c>
      <c r="E39">
        <v>1095724.3799999999</v>
      </c>
      <c r="F39">
        <v>1095724.3799999999</v>
      </c>
      <c r="G39">
        <v>127003.01</v>
      </c>
      <c r="H39">
        <v>127003.01</v>
      </c>
      <c r="I39">
        <v>714274.69</v>
      </c>
      <c r="J39">
        <v>714274.69</v>
      </c>
      <c r="K39">
        <v>254446.68</v>
      </c>
    </row>
    <row r="40" spans="1:12" x14ac:dyDescent="0.25">
      <c r="A40" t="s">
        <v>681</v>
      </c>
      <c r="B40" t="s">
        <v>682</v>
      </c>
      <c r="C40" t="s">
        <v>4291</v>
      </c>
      <c r="D40" s="1">
        <v>43375</v>
      </c>
      <c r="E40">
        <v>192042.25</v>
      </c>
      <c r="F40">
        <v>192042.25</v>
      </c>
      <c r="G40">
        <v>40782.67</v>
      </c>
      <c r="H40">
        <v>40782.67</v>
      </c>
      <c r="I40">
        <v>124266.95</v>
      </c>
      <c r="J40">
        <v>124266.95</v>
      </c>
      <c r="K40">
        <v>15655.02</v>
      </c>
      <c r="L40">
        <v>11337.61</v>
      </c>
    </row>
    <row r="41" spans="1:12" x14ac:dyDescent="0.25">
      <c r="A41" t="s">
        <v>683</v>
      </c>
      <c r="B41" t="s">
        <v>684</v>
      </c>
      <c r="C41" t="s">
        <v>4292</v>
      </c>
      <c r="D41" s="1">
        <v>43388</v>
      </c>
      <c r="E41">
        <v>481708.97</v>
      </c>
      <c r="F41">
        <v>481708.97</v>
      </c>
      <c r="G41">
        <v>123912.42</v>
      </c>
      <c r="H41">
        <v>123912.42</v>
      </c>
      <c r="I41">
        <v>334162.94</v>
      </c>
      <c r="J41">
        <v>334162.94</v>
      </c>
      <c r="K41">
        <v>11776.72</v>
      </c>
      <c r="L41">
        <v>11856.89</v>
      </c>
    </row>
    <row r="42" spans="1:12" x14ac:dyDescent="0.25">
      <c r="A42" t="s">
        <v>685</v>
      </c>
      <c r="B42" t="s">
        <v>686</v>
      </c>
      <c r="C42" t="s">
        <v>4293</v>
      </c>
      <c r="D42" s="1">
        <v>43390</v>
      </c>
      <c r="E42">
        <v>1597121.3</v>
      </c>
      <c r="F42">
        <v>1597121.3</v>
      </c>
      <c r="G42">
        <v>250866.28</v>
      </c>
      <c r="H42">
        <v>250866.28</v>
      </c>
      <c r="I42">
        <v>1300398.07</v>
      </c>
      <c r="J42">
        <v>1300398.07</v>
      </c>
      <c r="K42">
        <v>30539.63</v>
      </c>
      <c r="L42">
        <v>15317.32</v>
      </c>
    </row>
    <row r="43" spans="1:12" x14ac:dyDescent="0.25">
      <c r="A43" t="s">
        <v>687</v>
      </c>
      <c r="B43" t="s">
        <v>688</v>
      </c>
      <c r="C43" t="s">
        <v>4138</v>
      </c>
      <c r="D43" s="1">
        <v>43401</v>
      </c>
      <c r="E43">
        <v>154281.26</v>
      </c>
      <c r="F43">
        <v>154281.26</v>
      </c>
      <c r="G43">
        <v>4761.99</v>
      </c>
      <c r="H43">
        <v>4761.99</v>
      </c>
      <c r="I43">
        <v>136934.9</v>
      </c>
      <c r="J43">
        <v>136934.9</v>
      </c>
      <c r="K43">
        <v>3722.21</v>
      </c>
      <c r="L43">
        <v>8862.16</v>
      </c>
    </row>
    <row r="44" spans="1:12" x14ac:dyDescent="0.25">
      <c r="A44" t="s">
        <v>689</v>
      </c>
      <c r="B44" t="s">
        <v>690</v>
      </c>
      <c r="C44" t="s">
        <v>4196</v>
      </c>
      <c r="D44" s="1">
        <v>43402</v>
      </c>
      <c r="E44">
        <v>590789.67000000004</v>
      </c>
      <c r="F44">
        <v>590789.67000000004</v>
      </c>
      <c r="G44">
        <v>150000</v>
      </c>
      <c r="H44">
        <v>150000</v>
      </c>
      <c r="I44">
        <v>428268.5</v>
      </c>
      <c r="J44">
        <v>428268.5</v>
      </c>
      <c r="K44">
        <v>9801</v>
      </c>
      <c r="L44">
        <v>2720.17</v>
      </c>
    </row>
    <row r="45" spans="1:12" x14ac:dyDescent="0.25">
      <c r="A45" t="s">
        <v>691</v>
      </c>
      <c r="B45" t="s">
        <v>692</v>
      </c>
      <c r="C45" t="s">
        <v>4294</v>
      </c>
      <c r="D45" s="1">
        <v>43427</v>
      </c>
      <c r="E45">
        <v>192036.84</v>
      </c>
      <c r="F45">
        <v>192036.84</v>
      </c>
      <c r="G45">
        <v>9307.7199999999993</v>
      </c>
      <c r="H45">
        <v>9307.7199999999993</v>
      </c>
      <c r="I45">
        <v>167269.64000000001</v>
      </c>
      <c r="J45">
        <v>167269.64000000001</v>
      </c>
      <c r="K45">
        <v>5508</v>
      </c>
      <c r="L45">
        <v>9951.48</v>
      </c>
    </row>
    <row r="46" spans="1:12" x14ac:dyDescent="0.25">
      <c r="A46" t="s">
        <v>693</v>
      </c>
      <c r="B46" t="s">
        <v>694</v>
      </c>
      <c r="C46" t="s">
        <v>4295</v>
      </c>
      <c r="D46" s="1">
        <v>43447</v>
      </c>
      <c r="E46">
        <v>173949.09</v>
      </c>
      <c r="F46">
        <v>173949.09</v>
      </c>
      <c r="G46">
        <v>62387.98</v>
      </c>
      <c r="H46">
        <v>62387.98</v>
      </c>
      <c r="I46">
        <v>18027.689999999999</v>
      </c>
      <c r="J46">
        <v>18027.689999999999</v>
      </c>
      <c r="K46">
        <v>79500</v>
      </c>
      <c r="L46">
        <v>14033.42</v>
      </c>
    </row>
    <row r="47" spans="1:12" x14ac:dyDescent="0.25">
      <c r="A47" t="s">
        <v>695</v>
      </c>
      <c r="B47" t="s">
        <v>696</v>
      </c>
      <c r="C47" t="s">
        <v>4296</v>
      </c>
      <c r="D47" s="1">
        <v>43474</v>
      </c>
      <c r="E47">
        <v>744592.76</v>
      </c>
      <c r="F47">
        <v>744592.76</v>
      </c>
      <c r="G47">
        <v>108860.81</v>
      </c>
      <c r="H47">
        <v>108860.81</v>
      </c>
      <c r="I47">
        <v>411820.55</v>
      </c>
      <c r="J47">
        <v>411820.55</v>
      </c>
      <c r="K47">
        <v>214996.29</v>
      </c>
      <c r="L47">
        <v>8915.11</v>
      </c>
    </row>
    <row r="48" spans="1:12" x14ac:dyDescent="0.25">
      <c r="A48" t="s">
        <v>697</v>
      </c>
      <c r="B48" t="s">
        <v>698</v>
      </c>
      <c r="C48" t="s">
        <v>4297</v>
      </c>
      <c r="D48" s="1">
        <v>43519</v>
      </c>
      <c r="E48">
        <v>1671033.78</v>
      </c>
      <c r="F48">
        <v>1671033.78</v>
      </c>
      <c r="G48">
        <v>487000</v>
      </c>
      <c r="H48">
        <v>487000</v>
      </c>
      <c r="I48">
        <v>1140033.7</v>
      </c>
      <c r="J48">
        <v>1140033.7</v>
      </c>
      <c r="K48">
        <v>28138.86</v>
      </c>
      <c r="L48">
        <v>15861.22</v>
      </c>
    </row>
    <row r="49" spans="1:12" x14ac:dyDescent="0.25">
      <c r="A49" t="s">
        <v>699</v>
      </c>
      <c r="B49" t="s">
        <v>700</v>
      </c>
      <c r="C49" t="s">
        <v>4298</v>
      </c>
      <c r="D49" s="1">
        <v>43522</v>
      </c>
      <c r="E49">
        <v>132.62</v>
      </c>
      <c r="F49">
        <v>132.62</v>
      </c>
      <c r="K49">
        <v>132.62</v>
      </c>
    </row>
    <row r="50" spans="1:12" x14ac:dyDescent="0.25">
      <c r="A50" t="s">
        <v>701</v>
      </c>
      <c r="B50" t="s">
        <v>702</v>
      </c>
      <c r="C50" t="s">
        <v>4299</v>
      </c>
      <c r="D50" s="1">
        <v>43524</v>
      </c>
      <c r="E50">
        <v>189035.9</v>
      </c>
      <c r="F50">
        <v>189035.9</v>
      </c>
      <c r="G50">
        <v>119588.77</v>
      </c>
      <c r="H50">
        <v>119588.77</v>
      </c>
      <c r="I50">
        <v>5573.62</v>
      </c>
      <c r="J50">
        <v>5573.62</v>
      </c>
      <c r="K50">
        <v>51423.17</v>
      </c>
      <c r="L50">
        <v>12450.34</v>
      </c>
    </row>
    <row r="51" spans="1:12" x14ac:dyDescent="0.25">
      <c r="A51" t="s">
        <v>703</v>
      </c>
      <c r="B51" t="s">
        <v>704</v>
      </c>
      <c r="C51" t="s">
        <v>4300</v>
      </c>
      <c r="D51" s="1">
        <v>43566</v>
      </c>
      <c r="E51">
        <v>18681.93</v>
      </c>
      <c r="F51">
        <v>18681.93</v>
      </c>
      <c r="K51">
        <v>18681.93</v>
      </c>
    </row>
    <row r="52" spans="1:12" x14ac:dyDescent="0.25">
      <c r="A52" t="s">
        <v>705</v>
      </c>
      <c r="B52" t="s">
        <v>706</v>
      </c>
      <c r="C52" t="s">
        <v>4301</v>
      </c>
      <c r="D52" s="1">
        <v>43575</v>
      </c>
      <c r="E52">
        <v>533220.43999999994</v>
      </c>
      <c r="F52">
        <v>533220.43999999994</v>
      </c>
      <c r="I52">
        <v>515530.87</v>
      </c>
      <c r="J52">
        <v>515530.87</v>
      </c>
      <c r="K52">
        <v>7939.57</v>
      </c>
      <c r="L52">
        <v>9750</v>
      </c>
    </row>
    <row r="53" spans="1:12" x14ac:dyDescent="0.25">
      <c r="A53" t="s">
        <v>707</v>
      </c>
      <c r="B53" t="s">
        <v>708</v>
      </c>
      <c r="C53" t="s">
        <v>4139</v>
      </c>
      <c r="D53" s="1">
        <v>43577</v>
      </c>
      <c r="E53">
        <v>1643984.38</v>
      </c>
      <c r="F53">
        <v>1643984.38</v>
      </c>
      <c r="G53">
        <v>500000</v>
      </c>
      <c r="H53">
        <v>500000</v>
      </c>
      <c r="I53">
        <v>1093916.32</v>
      </c>
      <c r="J53">
        <v>1093916.32</v>
      </c>
      <c r="K53">
        <v>39690</v>
      </c>
      <c r="L53">
        <v>10378.06</v>
      </c>
    </row>
    <row r="54" spans="1:12" x14ac:dyDescent="0.25">
      <c r="A54" t="s">
        <v>709</v>
      </c>
      <c r="B54" t="s">
        <v>710</v>
      </c>
      <c r="C54" t="s">
        <v>4302</v>
      </c>
      <c r="D54" s="1">
        <v>43591</v>
      </c>
      <c r="E54">
        <v>1621994.16</v>
      </c>
      <c r="F54">
        <v>1621994.16</v>
      </c>
      <c r="G54">
        <v>400000</v>
      </c>
      <c r="H54">
        <v>400000</v>
      </c>
      <c r="I54">
        <v>934487.71</v>
      </c>
      <c r="J54">
        <v>934487.71</v>
      </c>
      <c r="K54">
        <v>277560</v>
      </c>
      <c r="L54">
        <v>9946.4500000000007</v>
      </c>
    </row>
    <row r="55" spans="1:12" x14ac:dyDescent="0.25">
      <c r="A55" t="s">
        <v>711</v>
      </c>
      <c r="B55" t="s">
        <v>712</v>
      </c>
      <c r="C55" t="s">
        <v>4303</v>
      </c>
      <c r="D55" s="1">
        <v>43605</v>
      </c>
      <c r="E55">
        <v>916411.1</v>
      </c>
      <c r="F55">
        <v>916411.1</v>
      </c>
      <c r="G55">
        <v>306273.46999999997</v>
      </c>
      <c r="H55">
        <v>306273.46999999997</v>
      </c>
      <c r="I55">
        <v>575413.89</v>
      </c>
      <c r="J55">
        <v>575413.89</v>
      </c>
      <c r="K55">
        <v>21346.639999999999</v>
      </c>
      <c r="L55">
        <v>13377.1</v>
      </c>
    </row>
    <row r="56" spans="1:12" x14ac:dyDescent="0.25">
      <c r="A56" t="s">
        <v>713</v>
      </c>
      <c r="B56" t="s">
        <v>710</v>
      </c>
      <c r="C56" t="s">
        <v>4304</v>
      </c>
      <c r="D56" s="1">
        <v>43622</v>
      </c>
      <c r="E56">
        <v>1585897.61</v>
      </c>
      <c r="F56">
        <v>1585897.61</v>
      </c>
      <c r="G56">
        <v>400000</v>
      </c>
      <c r="H56">
        <v>400000</v>
      </c>
      <c r="I56">
        <v>905087.17</v>
      </c>
      <c r="J56">
        <v>905087.17</v>
      </c>
      <c r="K56">
        <v>270864</v>
      </c>
      <c r="L56">
        <v>9946.44</v>
      </c>
    </row>
    <row r="57" spans="1:12" x14ac:dyDescent="0.25">
      <c r="A57" t="s">
        <v>714</v>
      </c>
      <c r="B57" t="s">
        <v>715</v>
      </c>
      <c r="C57" t="s">
        <v>4197</v>
      </c>
      <c r="D57" s="1">
        <v>43623</v>
      </c>
      <c r="E57">
        <v>297126.71999999997</v>
      </c>
      <c r="F57">
        <v>297126.71999999997</v>
      </c>
      <c r="G57">
        <v>98658.21</v>
      </c>
      <c r="H57">
        <v>98658.21</v>
      </c>
      <c r="I57">
        <v>182971.98</v>
      </c>
      <c r="J57">
        <v>182971.98</v>
      </c>
      <c r="K57">
        <v>5593.92</v>
      </c>
      <c r="L57">
        <v>9902.61</v>
      </c>
    </row>
    <row r="58" spans="1:12" x14ac:dyDescent="0.25">
      <c r="A58" t="s">
        <v>716</v>
      </c>
      <c r="B58" t="s">
        <v>717</v>
      </c>
      <c r="C58" t="s">
        <v>4305</v>
      </c>
      <c r="D58" s="1">
        <v>43627</v>
      </c>
      <c r="E58">
        <v>746388.19</v>
      </c>
      <c r="F58">
        <v>746388.19</v>
      </c>
      <c r="G58">
        <v>252000</v>
      </c>
      <c r="H58">
        <v>252000</v>
      </c>
      <c r="I58">
        <v>468217.16</v>
      </c>
      <c r="J58">
        <v>468217.16</v>
      </c>
      <c r="K58">
        <v>13744.08</v>
      </c>
      <c r="L58">
        <v>12426.95</v>
      </c>
    </row>
    <row r="59" spans="1:12" x14ac:dyDescent="0.25">
      <c r="A59" t="s">
        <v>718</v>
      </c>
      <c r="B59" t="s">
        <v>706</v>
      </c>
      <c r="C59" t="s">
        <v>4306</v>
      </c>
      <c r="D59" s="1">
        <v>43636</v>
      </c>
      <c r="E59">
        <v>523164.26</v>
      </c>
      <c r="F59">
        <v>523164.26</v>
      </c>
      <c r="I59">
        <v>523164.26</v>
      </c>
      <c r="J59">
        <v>523164.26</v>
      </c>
    </row>
    <row r="60" spans="1:12" x14ac:dyDescent="0.25">
      <c r="A60" t="s">
        <v>719</v>
      </c>
      <c r="B60" t="s">
        <v>720</v>
      </c>
      <c r="C60" t="s">
        <v>4140</v>
      </c>
      <c r="D60" s="1">
        <v>43638</v>
      </c>
      <c r="E60">
        <v>5708.52</v>
      </c>
      <c r="F60">
        <v>5708.52</v>
      </c>
      <c r="K60">
        <v>5708.52</v>
      </c>
    </row>
    <row r="61" spans="1:12" x14ac:dyDescent="0.25">
      <c r="A61" t="s">
        <v>721</v>
      </c>
      <c r="B61" t="s">
        <v>722</v>
      </c>
      <c r="C61" t="s">
        <v>4140</v>
      </c>
      <c r="D61" s="1">
        <v>43638</v>
      </c>
      <c r="E61">
        <v>492005.82</v>
      </c>
      <c r="F61">
        <v>492005.82</v>
      </c>
      <c r="G61">
        <v>98185.21</v>
      </c>
      <c r="H61">
        <v>98185.21</v>
      </c>
      <c r="I61">
        <v>285306.96999999997</v>
      </c>
      <c r="J61">
        <v>285306.96999999997</v>
      </c>
      <c r="K61">
        <v>98670.24</v>
      </c>
      <c r="L61">
        <v>9843.4</v>
      </c>
    </row>
    <row r="62" spans="1:12" x14ac:dyDescent="0.25">
      <c r="A62" t="s">
        <v>723</v>
      </c>
      <c r="B62" t="s">
        <v>724</v>
      </c>
      <c r="C62" t="s">
        <v>4140</v>
      </c>
      <c r="D62" s="1">
        <v>43638</v>
      </c>
      <c r="E62">
        <v>1910618.45</v>
      </c>
      <c r="F62">
        <v>1910618.45</v>
      </c>
      <c r="G62">
        <v>520000</v>
      </c>
      <c r="H62">
        <v>520000</v>
      </c>
      <c r="I62">
        <v>1104565.48</v>
      </c>
      <c r="J62">
        <v>1104565.48</v>
      </c>
      <c r="K62">
        <v>269848.8</v>
      </c>
      <c r="L62">
        <v>16204.17</v>
      </c>
    </row>
    <row r="63" spans="1:12" x14ac:dyDescent="0.25">
      <c r="A63" t="s">
        <v>725</v>
      </c>
      <c r="B63" t="s">
        <v>726</v>
      </c>
      <c r="C63" t="s">
        <v>4307</v>
      </c>
      <c r="D63" s="1">
        <v>43640</v>
      </c>
      <c r="E63">
        <v>398862.34</v>
      </c>
      <c r="F63">
        <v>398862.34</v>
      </c>
      <c r="I63">
        <v>275541.23</v>
      </c>
      <c r="J63">
        <v>275541.23</v>
      </c>
      <c r="K63">
        <v>106633.8</v>
      </c>
      <c r="L63">
        <v>16687.310000000001</v>
      </c>
    </row>
    <row r="64" spans="1:12" x14ac:dyDescent="0.25">
      <c r="A64" t="s">
        <v>727</v>
      </c>
      <c r="B64" t="s">
        <v>728</v>
      </c>
      <c r="C64" t="s">
        <v>4308</v>
      </c>
      <c r="D64" s="1">
        <v>43642</v>
      </c>
      <c r="E64">
        <v>20737.650000000001</v>
      </c>
      <c r="F64">
        <v>20737.650000000001</v>
      </c>
      <c r="I64">
        <v>6512.24</v>
      </c>
      <c r="J64">
        <v>6512.24</v>
      </c>
      <c r="K64">
        <v>14225.41</v>
      </c>
    </row>
    <row r="65" spans="1:12" x14ac:dyDescent="0.25">
      <c r="A65" t="s">
        <v>729</v>
      </c>
      <c r="B65" t="s">
        <v>696</v>
      </c>
      <c r="C65" t="s">
        <v>4309</v>
      </c>
      <c r="D65" s="1">
        <v>43655</v>
      </c>
      <c r="E65">
        <v>609875.44999999995</v>
      </c>
      <c r="F65">
        <v>609875.44999999995</v>
      </c>
      <c r="G65">
        <v>97360.81</v>
      </c>
      <c r="H65">
        <v>97360.81</v>
      </c>
      <c r="I65">
        <v>483058.33</v>
      </c>
      <c r="J65">
        <v>483058.33</v>
      </c>
      <c r="K65">
        <v>20541.189999999999</v>
      </c>
      <c r="L65">
        <v>8915.1200000000008</v>
      </c>
    </row>
    <row r="66" spans="1:12" x14ac:dyDescent="0.25">
      <c r="A66" t="s">
        <v>730</v>
      </c>
      <c r="B66" t="s">
        <v>731</v>
      </c>
      <c r="C66" t="s">
        <v>4310</v>
      </c>
      <c r="D66" s="1">
        <v>43662</v>
      </c>
      <c r="E66">
        <v>2673979.81</v>
      </c>
      <c r="F66">
        <v>2673979.81</v>
      </c>
      <c r="G66">
        <v>577119.03</v>
      </c>
      <c r="H66">
        <v>577119.03</v>
      </c>
      <c r="I66">
        <v>1507245.19</v>
      </c>
      <c r="J66">
        <v>1507245.19</v>
      </c>
      <c r="K66">
        <v>572841.77</v>
      </c>
      <c r="L66">
        <v>16773.82</v>
      </c>
    </row>
    <row r="67" spans="1:12" x14ac:dyDescent="0.25">
      <c r="A67" t="s">
        <v>732</v>
      </c>
      <c r="B67" t="s">
        <v>733</v>
      </c>
      <c r="C67" t="s">
        <v>4198</v>
      </c>
      <c r="D67" s="1">
        <v>43663</v>
      </c>
      <c r="E67">
        <v>98496.61</v>
      </c>
      <c r="F67">
        <v>98496.61</v>
      </c>
      <c r="G67">
        <v>29873.82</v>
      </c>
      <c r="H67">
        <v>29873.82</v>
      </c>
      <c r="I67">
        <v>56026.55</v>
      </c>
      <c r="J67">
        <v>56026.55</v>
      </c>
      <c r="K67">
        <v>3607.16</v>
      </c>
      <c r="L67">
        <v>8989.08</v>
      </c>
    </row>
    <row r="68" spans="1:12" x14ac:dyDescent="0.25">
      <c r="A68" t="s">
        <v>734</v>
      </c>
      <c r="B68" t="s">
        <v>735</v>
      </c>
      <c r="C68" t="s">
        <v>4198</v>
      </c>
      <c r="D68" s="1">
        <v>43663</v>
      </c>
      <c r="E68">
        <v>910000</v>
      </c>
      <c r="F68">
        <v>910000</v>
      </c>
      <c r="G68">
        <v>260000</v>
      </c>
      <c r="H68">
        <v>260000</v>
      </c>
      <c r="I68">
        <v>529958</v>
      </c>
      <c r="J68">
        <v>529958</v>
      </c>
      <c r="K68">
        <v>120042</v>
      </c>
    </row>
    <row r="69" spans="1:12" x14ac:dyDescent="0.25">
      <c r="A69" t="s">
        <v>736</v>
      </c>
      <c r="B69" t="s">
        <v>735</v>
      </c>
      <c r="C69" t="s">
        <v>4198</v>
      </c>
      <c r="D69" s="1">
        <v>43663</v>
      </c>
      <c r="E69">
        <v>3500000</v>
      </c>
      <c r="F69">
        <v>3500000</v>
      </c>
      <c r="G69">
        <v>1000000</v>
      </c>
      <c r="H69">
        <v>1000000</v>
      </c>
      <c r="I69">
        <v>2038300</v>
      </c>
      <c r="J69">
        <v>2038300</v>
      </c>
      <c r="K69">
        <v>461700</v>
      </c>
    </row>
    <row r="70" spans="1:12" x14ac:dyDescent="0.25">
      <c r="A70" t="s">
        <v>737</v>
      </c>
      <c r="B70" t="s">
        <v>738</v>
      </c>
      <c r="C70" t="s">
        <v>4199</v>
      </c>
      <c r="D70" s="1">
        <v>43664</v>
      </c>
      <c r="E70">
        <v>121403.21</v>
      </c>
      <c r="F70">
        <v>121403.21</v>
      </c>
      <c r="G70">
        <v>31830.47</v>
      </c>
      <c r="H70">
        <v>31830.47</v>
      </c>
      <c r="K70">
        <v>75941.259999999995</v>
      </c>
      <c r="L70">
        <v>13631.48</v>
      </c>
    </row>
    <row r="71" spans="1:12" x14ac:dyDescent="0.25">
      <c r="A71" t="s">
        <v>739</v>
      </c>
      <c r="B71" t="s">
        <v>708</v>
      </c>
      <c r="C71" t="s">
        <v>4311</v>
      </c>
      <c r="D71" s="1">
        <v>43668</v>
      </c>
      <c r="E71">
        <v>1826668.22</v>
      </c>
      <c r="F71">
        <v>1826668.22</v>
      </c>
      <c r="G71">
        <v>490125.95</v>
      </c>
      <c r="H71">
        <v>490125.95</v>
      </c>
      <c r="I71">
        <v>1006141.33</v>
      </c>
      <c r="J71">
        <v>1006141.33</v>
      </c>
      <c r="K71">
        <v>320022.88</v>
      </c>
      <c r="L71">
        <v>10378.06</v>
      </c>
    </row>
    <row r="72" spans="1:12" x14ac:dyDescent="0.25">
      <c r="A72" t="s">
        <v>740</v>
      </c>
      <c r="B72" t="s">
        <v>741</v>
      </c>
      <c r="C72" t="s">
        <v>4312</v>
      </c>
      <c r="D72" s="1">
        <v>43680</v>
      </c>
      <c r="E72">
        <v>659884.5</v>
      </c>
      <c r="F72">
        <v>659884.5</v>
      </c>
      <c r="G72">
        <v>478000</v>
      </c>
      <c r="H72">
        <v>478000</v>
      </c>
      <c r="I72">
        <v>136197.26</v>
      </c>
      <c r="J72">
        <v>136197.26</v>
      </c>
      <c r="K72">
        <v>45687.24</v>
      </c>
    </row>
    <row r="73" spans="1:12" x14ac:dyDescent="0.25">
      <c r="A73" t="s">
        <v>742</v>
      </c>
      <c r="B73" t="s">
        <v>741</v>
      </c>
      <c r="C73" t="s">
        <v>4312</v>
      </c>
      <c r="D73" s="1">
        <v>43680</v>
      </c>
      <c r="E73">
        <v>217881.18</v>
      </c>
      <c r="F73">
        <v>217881.18</v>
      </c>
      <c r="G73">
        <v>142000</v>
      </c>
      <c r="H73">
        <v>142000</v>
      </c>
      <c r="I73">
        <v>62308.82</v>
      </c>
      <c r="J73">
        <v>62308.82</v>
      </c>
      <c r="K73">
        <v>13572.36</v>
      </c>
    </row>
    <row r="74" spans="1:12" x14ac:dyDescent="0.25">
      <c r="A74" t="s">
        <v>743</v>
      </c>
      <c r="B74" t="s">
        <v>741</v>
      </c>
      <c r="C74" t="s">
        <v>4312</v>
      </c>
      <c r="D74" s="1">
        <v>43680</v>
      </c>
      <c r="E74">
        <v>138051.17000000001</v>
      </c>
      <c r="F74">
        <v>138051.17000000001</v>
      </c>
      <c r="G74">
        <v>100000</v>
      </c>
      <c r="H74">
        <v>100000</v>
      </c>
      <c r="I74">
        <v>28493.17</v>
      </c>
      <c r="J74">
        <v>28493.17</v>
      </c>
      <c r="K74">
        <v>9558</v>
      </c>
    </row>
    <row r="75" spans="1:12" x14ac:dyDescent="0.25">
      <c r="A75" t="s">
        <v>744</v>
      </c>
      <c r="B75" t="s">
        <v>745</v>
      </c>
      <c r="C75" t="s">
        <v>4200</v>
      </c>
      <c r="D75" s="1">
        <v>43681</v>
      </c>
      <c r="E75">
        <v>215898.04</v>
      </c>
      <c r="F75">
        <v>215898.04</v>
      </c>
      <c r="I75">
        <v>195462.94</v>
      </c>
      <c r="J75">
        <v>195462.94</v>
      </c>
      <c r="K75">
        <v>8745.7099999999991</v>
      </c>
      <c r="L75">
        <v>11689.39</v>
      </c>
    </row>
    <row r="76" spans="1:12" x14ac:dyDescent="0.25">
      <c r="A76" t="s">
        <v>746</v>
      </c>
      <c r="B76" t="s">
        <v>747</v>
      </c>
      <c r="C76" t="s">
        <v>4313</v>
      </c>
      <c r="D76" s="1">
        <v>43701</v>
      </c>
      <c r="E76">
        <v>673.74</v>
      </c>
      <c r="F76">
        <v>673.74</v>
      </c>
      <c r="K76">
        <v>673.74</v>
      </c>
    </row>
    <row r="77" spans="1:12" x14ac:dyDescent="0.25">
      <c r="A77" t="s">
        <v>748</v>
      </c>
      <c r="B77" t="s">
        <v>749</v>
      </c>
      <c r="C77" t="s">
        <v>4314</v>
      </c>
      <c r="D77" s="1">
        <v>43703</v>
      </c>
      <c r="E77">
        <v>669785.31999999995</v>
      </c>
      <c r="F77">
        <v>669785.31999999995</v>
      </c>
      <c r="G77">
        <v>232871.46</v>
      </c>
      <c r="H77">
        <v>232871.46</v>
      </c>
      <c r="I77">
        <v>432214.57</v>
      </c>
      <c r="J77">
        <v>432214.57</v>
      </c>
      <c r="K77">
        <v>1886.26</v>
      </c>
      <c r="L77">
        <v>2813.03</v>
      </c>
    </row>
    <row r="78" spans="1:12" x14ac:dyDescent="0.25">
      <c r="A78" t="s">
        <v>750</v>
      </c>
      <c r="B78" t="s">
        <v>751</v>
      </c>
      <c r="C78" t="s">
        <v>4315</v>
      </c>
      <c r="D78" s="1">
        <v>43716</v>
      </c>
      <c r="E78">
        <v>139624.44</v>
      </c>
      <c r="F78">
        <v>139624.44</v>
      </c>
      <c r="G78">
        <v>66449.03</v>
      </c>
      <c r="H78">
        <v>66449.03</v>
      </c>
      <c r="I78">
        <v>19996.599999999999</v>
      </c>
      <c r="J78">
        <v>19996.599999999999</v>
      </c>
      <c r="K78">
        <v>47178.81</v>
      </c>
      <c r="L78">
        <v>6000</v>
      </c>
    </row>
    <row r="79" spans="1:12" x14ac:dyDescent="0.25">
      <c r="A79" t="s">
        <v>752</v>
      </c>
      <c r="B79" t="s">
        <v>753</v>
      </c>
      <c r="C79" t="s">
        <v>4316</v>
      </c>
      <c r="D79" s="1">
        <v>43731</v>
      </c>
      <c r="E79">
        <v>2325725.92</v>
      </c>
      <c r="F79">
        <v>2325725.92</v>
      </c>
      <c r="G79">
        <v>700000</v>
      </c>
      <c r="H79">
        <v>700000</v>
      </c>
      <c r="I79">
        <v>1279095.8799999999</v>
      </c>
      <c r="J79">
        <v>1279095.8799999999</v>
      </c>
      <c r="K79">
        <v>328104</v>
      </c>
      <c r="L79">
        <v>18526.04</v>
      </c>
    </row>
    <row r="80" spans="1:12" x14ac:dyDescent="0.25">
      <c r="A80" t="s">
        <v>754</v>
      </c>
      <c r="B80" t="s">
        <v>755</v>
      </c>
      <c r="C80" t="s">
        <v>4317</v>
      </c>
      <c r="D80" s="1">
        <v>43733</v>
      </c>
      <c r="E80">
        <v>261064.5</v>
      </c>
      <c r="F80">
        <v>261064.5</v>
      </c>
      <c r="G80">
        <v>84425.78</v>
      </c>
      <c r="H80">
        <v>84425.78</v>
      </c>
      <c r="I80">
        <v>114064.8</v>
      </c>
      <c r="J80">
        <v>114064.8</v>
      </c>
      <c r="K80">
        <v>58427.8</v>
      </c>
      <c r="L80">
        <v>4146.12</v>
      </c>
    </row>
    <row r="81" spans="1:12" x14ac:dyDescent="0.25">
      <c r="A81" t="s">
        <v>756</v>
      </c>
      <c r="B81" t="s">
        <v>751</v>
      </c>
      <c r="C81" t="s">
        <v>4318</v>
      </c>
      <c r="D81" s="1">
        <v>43735</v>
      </c>
      <c r="E81">
        <v>138326.04</v>
      </c>
      <c r="F81">
        <v>138326.04</v>
      </c>
      <c r="G81">
        <v>72954.47</v>
      </c>
      <c r="H81">
        <v>72954.47</v>
      </c>
      <c r="I81">
        <v>19487.849999999999</v>
      </c>
      <c r="J81">
        <v>19487.849999999999</v>
      </c>
      <c r="K81">
        <v>37936.32</v>
      </c>
      <c r="L81">
        <v>7947.4</v>
      </c>
    </row>
    <row r="82" spans="1:12" x14ac:dyDescent="0.25">
      <c r="A82" t="s">
        <v>757</v>
      </c>
      <c r="B82" t="s">
        <v>758</v>
      </c>
      <c r="C82" t="s">
        <v>4319</v>
      </c>
      <c r="D82" s="1">
        <v>43737</v>
      </c>
      <c r="E82">
        <v>1479300.26</v>
      </c>
      <c r="F82">
        <v>1479300.26</v>
      </c>
      <c r="G82">
        <v>400000</v>
      </c>
      <c r="H82">
        <v>400000</v>
      </c>
      <c r="I82">
        <v>751762.59</v>
      </c>
      <c r="J82">
        <v>751762.59</v>
      </c>
      <c r="K82">
        <v>312768</v>
      </c>
      <c r="L82">
        <v>14769.67</v>
      </c>
    </row>
    <row r="83" spans="1:12" x14ac:dyDescent="0.25">
      <c r="A83" t="s">
        <v>759</v>
      </c>
      <c r="B83" t="s">
        <v>760</v>
      </c>
      <c r="C83" t="s">
        <v>4201</v>
      </c>
      <c r="D83" s="1">
        <v>43738</v>
      </c>
      <c r="E83">
        <v>14692.95</v>
      </c>
      <c r="F83">
        <v>14692.95</v>
      </c>
      <c r="K83">
        <v>14692.95</v>
      </c>
    </row>
    <row r="84" spans="1:12" x14ac:dyDescent="0.25">
      <c r="A84" t="s">
        <v>761</v>
      </c>
      <c r="B84" t="s">
        <v>762</v>
      </c>
      <c r="C84" t="s">
        <v>4320</v>
      </c>
      <c r="D84" s="1">
        <v>43741</v>
      </c>
      <c r="E84">
        <v>953.73</v>
      </c>
      <c r="F84">
        <v>953.73</v>
      </c>
      <c r="K84">
        <v>953.73</v>
      </c>
    </row>
    <row r="85" spans="1:12" x14ac:dyDescent="0.25">
      <c r="A85" t="s">
        <v>763</v>
      </c>
      <c r="B85" t="s">
        <v>764</v>
      </c>
      <c r="C85" t="s">
        <v>4141</v>
      </c>
      <c r="D85" s="1">
        <v>43744</v>
      </c>
      <c r="E85">
        <v>124538.53</v>
      </c>
      <c r="F85">
        <v>124538.53</v>
      </c>
      <c r="G85">
        <v>57325.65</v>
      </c>
      <c r="H85">
        <v>57325.65</v>
      </c>
      <c r="I85">
        <v>18042.09</v>
      </c>
      <c r="J85">
        <v>18042.09</v>
      </c>
      <c r="K85">
        <v>38981.440000000002</v>
      </c>
      <c r="L85">
        <v>10189.35</v>
      </c>
    </row>
    <row r="86" spans="1:12" x14ac:dyDescent="0.25">
      <c r="A86" t="s">
        <v>765</v>
      </c>
      <c r="B86" t="s">
        <v>766</v>
      </c>
      <c r="C86" t="s">
        <v>4142</v>
      </c>
      <c r="D86" s="1">
        <v>43748</v>
      </c>
      <c r="E86">
        <v>1382037.35</v>
      </c>
      <c r="F86">
        <v>1382037.35</v>
      </c>
      <c r="G86">
        <v>360000</v>
      </c>
      <c r="H86">
        <v>360000</v>
      </c>
      <c r="I86">
        <v>667469.57999999996</v>
      </c>
      <c r="J86">
        <v>667469.57999999996</v>
      </c>
      <c r="K86">
        <v>340394.4</v>
      </c>
      <c r="L86">
        <v>14173.37</v>
      </c>
    </row>
    <row r="87" spans="1:12" x14ac:dyDescent="0.25">
      <c r="A87" t="s">
        <v>767</v>
      </c>
      <c r="B87" t="s">
        <v>768</v>
      </c>
      <c r="C87" t="s">
        <v>4115</v>
      </c>
      <c r="D87" s="1">
        <v>43749</v>
      </c>
      <c r="E87">
        <v>967102</v>
      </c>
      <c r="F87">
        <v>967102</v>
      </c>
      <c r="G87">
        <v>230936.52</v>
      </c>
      <c r="H87">
        <v>230936.52</v>
      </c>
      <c r="I87">
        <v>501012.95</v>
      </c>
      <c r="J87">
        <v>501012.95</v>
      </c>
      <c r="K87">
        <v>223330.31</v>
      </c>
      <c r="L87">
        <v>11822.22</v>
      </c>
    </row>
    <row r="88" spans="1:12" x14ac:dyDescent="0.25">
      <c r="A88" t="s">
        <v>769</v>
      </c>
      <c r="B88" t="s">
        <v>770</v>
      </c>
      <c r="C88" t="s">
        <v>4110</v>
      </c>
      <c r="D88" s="1">
        <v>43752</v>
      </c>
      <c r="E88">
        <v>83845.87</v>
      </c>
      <c r="F88">
        <v>83845.87</v>
      </c>
      <c r="G88">
        <v>39486.800000000003</v>
      </c>
      <c r="H88">
        <v>39486.800000000003</v>
      </c>
      <c r="I88">
        <v>7160.01</v>
      </c>
      <c r="J88">
        <v>7160.01</v>
      </c>
      <c r="K88">
        <v>37199.06</v>
      </c>
    </row>
    <row r="89" spans="1:12" x14ac:dyDescent="0.25">
      <c r="A89" t="s">
        <v>771</v>
      </c>
      <c r="B89" t="s">
        <v>772</v>
      </c>
      <c r="C89" t="s">
        <v>4321</v>
      </c>
      <c r="D89" s="1">
        <v>43757</v>
      </c>
      <c r="E89">
        <v>1613441.18</v>
      </c>
      <c r="F89">
        <v>1613441.18</v>
      </c>
      <c r="G89">
        <v>439671.01</v>
      </c>
      <c r="H89">
        <v>439671.01</v>
      </c>
      <c r="I89">
        <v>744802.69</v>
      </c>
      <c r="J89">
        <v>744802.69</v>
      </c>
      <c r="K89">
        <v>413589.73</v>
      </c>
      <c r="L89">
        <v>15377.75</v>
      </c>
    </row>
    <row r="90" spans="1:12" x14ac:dyDescent="0.25">
      <c r="A90" t="s">
        <v>773</v>
      </c>
      <c r="B90" t="s">
        <v>774</v>
      </c>
      <c r="C90" t="s">
        <v>4202</v>
      </c>
      <c r="D90" s="1">
        <v>43758</v>
      </c>
      <c r="E90">
        <v>1444425.91</v>
      </c>
      <c r="F90">
        <v>1444425.91</v>
      </c>
      <c r="G90">
        <v>444998.76</v>
      </c>
      <c r="H90">
        <v>444998.76</v>
      </c>
      <c r="I90">
        <v>832177.9</v>
      </c>
      <c r="J90">
        <v>832177.9</v>
      </c>
      <c r="K90">
        <v>167249.25</v>
      </c>
    </row>
    <row r="91" spans="1:12" x14ac:dyDescent="0.25">
      <c r="A91" t="s">
        <v>775</v>
      </c>
      <c r="B91" t="s">
        <v>776</v>
      </c>
      <c r="C91" t="s">
        <v>4143</v>
      </c>
      <c r="D91" s="1">
        <v>43759</v>
      </c>
      <c r="E91">
        <v>618321.75</v>
      </c>
      <c r="F91">
        <v>618321.75</v>
      </c>
      <c r="G91">
        <v>173191.3</v>
      </c>
      <c r="H91">
        <v>173191.3</v>
      </c>
      <c r="I91">
        <v>282399.90000000002</v>
      </c>
      <c r="J91">
        <v>282399.90000000002</v>
      </c>
      <c r="K91">
        <v>162730.54999999999</v>
      </c>
    </row>
    <row r="92" spans="1:12" x14ac:dyDescent="0.25">
      <c r="A92" t="s">
        <v>777</v>
      </c>
      <c r="B92" t="s">
        <v>778</v>
      </c>
      <c r="C92" t="s">
        <v>4322</v>
      </c>
      <c r="D92" s="1">
        <v>43762</v>
      </c>
      <c r="E92">
        <v>883014.18</v>
      </c>
      <c r="F92">
        <v>883014.18</v>
      </c>
      <c r="G92">
        <v>283014.18</v>
      </c>
      <c r="H92">
        <v>283014.18</v>
      </c>
      <c r="I92">
        <v>476045.78</v>
      </c>
      <c r="J92">
        <v>476045.78</v>
      </c>
      <c r="K92">
        <v>123954.22</v>
      </c>
    </row>
    <row r="93" spans="1:12" x14ac:dyDescent="0.25">
      <c r="A93" t="s">
        <v>779</v>
      </c>
      <c r="B93" t="s">
        <v>780</v>
      </c>
      <c r="C93" t="s">
        <v>4322</v>
      </c>
      <c r="D93" s="1">
        <v>43762</v>
      </c>
      <c r="E93">
        <v>443693.61</v>
      </c>
      <c r="F93">
        <v>443693.61</v>
      </c>
      <c r="G93">
        <v>160000</v>
      </c>
      <c r="H93">
        <v>160000</v>
      </c>
      <c r="I93">
        <v>258858.09</v>
      </c>
      <c r="J93">
        <v>258858.09</v>
      </c>
      <c r="K93">
        <v>13305.6</v>
      </c>
      <c r="L93">
        <v>11529.92</v>
      </c>
    </row>
    <row r="94" spans="1:12" x14ac:dyDescent="0.25">
      <c r="A94" t="s">
        <v>781</v>
      </c>
      <c r="B94" t="s">
        <v>782</v>
      </c>
      <c r="C94" t="s">
        <v>4323</v>
      </c>
      <c r="D94" s="1">
        <v>43767</v>
      </c>
      <c r="E94">
        <v>998972.38</v>
      </c>
      <c r="F94">
        <v>998972.38</v>
      </c>
      <c r="G94">
        <v>272000</v>
      </c>
      <c r="H94">
        <v>272000</v>
      </c>
      <c r="I94">
        <v>455029.94</v>
      </c>
      <c r="J94">
        <v>455029.94</v>
      </c>
      <c r="K94">
        <v>258949.44</v>
      </c>
      <c r="L94">
        <v>12993</v>
      </c>
    </row>
    <row r="95" spans="1:12" x14ac:dyDescent="0.25">
      <c r="A95" t="s">
        <v>783</v>
      </c>
      <c r="B95" t="s">
        <v>784</v>
      </c>
      <c r="C95" t="s">
        <v>4107</v>
      </c>
      <c r="D95" s="1">
        <v>43773</v>
      </c>
      <c r="E95">
        <v>2222035.9300000002</v>
      </c>
      <c r="F95">
        <v>2222035.9300000002</v>
      </c>
      <c r="G95">
        <v>80174.179999999993</v>
      </c>
      <c r="H95">
        <v>80174.179999999993</v>
      </c>
      <c r="I95">
        <v>61821.98</v>
      </c>
      <c r="J95">
        <v>61821.98</v>
      </c>
      <c r="K95">
        <v>2080039.77</v>
      </c>
    </row>
    <row r="96" spans="1:12" x14ac:dyDescent="0.25">
      <c r="A96" t="s">
        <v>785</v>
      </c>
      <c r="B96" t="s">
        <v>786</v>
      </c>
      <c r="C96" t="s">
        <v>4203</v>
      </c>
      <c r="D96" s="1">
        <v>43774</v>
      </c>
      <c r="E96">
        <v>1771148.25</v>
      </c>
      <c r="F96">
        <v>1771148.25</v>
      </c>
      <c r="G96">
        <v>488679.8</v>
      </c>
      <c r="H96">
        <v>488679.8</v>
      </c>
      <c r="I96">
        <v>811328.97</v>
      </c>
      <c r="J96">
        <v>811328.97</v>
      </c>
      <c r="K96">
        <v>455205.23</v>
      </c>
      <c r="L96">
        <v>15934.25</v>
      </c>
    </row>
    <row r="97" spans="1:12" x14ac:dyDescent="0.25">
      <c r="A97" t="s">
        <v>787</v>
      </c>
      <c r="B97" t="s">
        <v>788</v>
      </c>
      <c r="C97" t="s">
        <v>4324</v>
      </c>
      <c r="D97" s="1">
        <v>43776</v>
      </c>
      <c r="E97">
        <v>1830507.62</v>
      </c>
      <c r="F97">
        <v>1830507.62</v>
      </c>
      <c r="G97">
        <v>493291</v>
      </c>
      <c r="H97">
        <v>493291</v>
      </c>
      <c r="I97">
        <v>861162.65</v>
      </c>
      <c r="J97">
        <v>861162.65</v>
      </c>
      <c r="K97">
        <v>458967.82</v>
      </c>
      <c r="L97">
        <v>17086.150000000001</v>
      </c>
    </row>
    <row r="98" spans="1:12" x14ac:dyDescent="0.25">
      <c r="A98" t="s">
        <v>789</v>
      </c>
      <c r="B98" t="s">
        <v>790</v>
      </c>
      <c r="C98" t="s">
        <v>4144</v>
      </c>
      <c r="D98" s="1">
        <v>43778</v>
      </c>
      <c r="E98">
        <v>201077.58</v>
      </c>
      <c r="F98">
        <v>201077.58</v>
      </c>
      <c r="I98">
        <v>122539.74</v>
      </c>
      <c r="J98">
        <v>122539.74</v>
      </c>
      <c r="K98">
        <v>67805.23</v>
      </c>
      <c r="L98">
        <v>10732.61</v>
      </c>
    </row>
    <row r="99" spans="1:12" x14ac:dyDescent="0.25">
      <c r="A99" t="s">
        <v>791</v>
      </c>
      <c r="B99" t="s">
        <v>792</v>
      </c>
      <c r="C99" t="s">
        <v>4144</v>
      </c>
      <c r="D99" s="1">
        <v>43778</v>
      </c>
      <c r="E99">
        <v>757316.77</v>
      </c>
      <c r="F99">
        <v>757316.77</v>
      </c>
      <c r="G99">
        <v>210000</v>
      </c>
      <c r="H99">
        <v>210000</v>
      </c>
      <c r="I99">
        <v>378414.25</v>
      </c>
      <c r="J99">
        <v>378414.25</v>
      </c>
      <c r="K99">
        <v>156605.4</v>
      </c>
      <c r="L99">
        <v>12297.12</v>
      </c>
    </row>
    <row r="100" spans="1:12" x14ac:dyDescent="0.25">
      <c r="A100" t="s">
        <v>793</v>
      </c>
      <c r="B100" t="s">
        <v>794</v>
      </c>
      <c r="C100" t="s">
        <v>4325</v>
      </c>
      <c r="D100" s="1">
        <v>43782</v>
      </c>
      <c r="E100">
        <v>468673.96</v>
      </c>
      <c r="F100">
        <v>468673.96</v>
      </c>
      <c r="G100">
        <v>248066.47</v>
      </c>
      <c r="H100">
        <v>248066.47</v>
      </c>
      <c r="I100">
        <v>144014.49</v>
      </c>
      <c r="J100">
        <v>144014.49</v>
      </c>
      <c r="K100">
        <v>60000</v>
      </c>
      <c r="L100">
        <v>16593</v>
      </c>
    </row>
    <row r="101" spans="1:12" x14ac:dyDescent="0.25">
      <c r="A101" t="s">
        <v>795</v>
      </c>
      <c r="B101" t="s">
        <v>796</v>
      </c>
      <c r="C101" t="s">
        <v>4326</v>
      </c>
      <c r="D101" s="1">
        <v>43792</v>
      </c>
      <c r="E101">
        <v>710908.63</v>
      </c>
      <c r="F101">
        <v>710908.63</v>
      </c>
      <c r="G101">
        <v>146321.1</v>
      </c>
      <c r="H101">
        <v>146321.1</v>
      </c>
      <c r="I101">
        <v>358841.1</v>
      </c>
      <c r="J101">
        <v>358841.1</v>
      </c>
      <c r="K101">
        <v>205746.43</v>
      </c>
    </row>
    <row r="102" spans="1:12" x14ac:dyDescent="0.25">
      <c r="A102" t="s">
        <v>797</v>
      </c>
      <c r="B102" t="s">
        <v>798</v>
      </c>
      <c r="C102" t="s">
        <v>4326</v>
      </c>
      <c r="D102" s="1">
        <v>43792</v>
      </c>
      <c r="E102">
        <v>352041.46</v>
      </c>
      <c r="F102">
        <v>352041.46</v>
      </c>
      <c r="G102">
        <v>100000</v>
      </c>
      <c r="H102">
        <v>100000</v>
      </c>
      <c r="I102">
        <v>167975.37</v>
      </c>
      <c r="J102">
        <v>167975.37</v>
      </c>
      <c r="K102">
        <v>73818</v>
      </c>
      <c r="L102">
        <v>10248.09</v>
      </c>
    </row>
    <row r="103" spans="1:12" x14ac:dyDescent="0.25">
      <c r="A103" t="s">
        <v>799</v>
      </c>
      <c r="B103" t="s">
        <v>800</v>
      </c>
      <c r="C103" t="s">
        <v>4327</v>
      </c>
      <c r="D103" s="1">
        <v>43798</v>
      </c>
      <c r="E103">
        <v>1984050.34</v>
      </c>
      <c r="F103">
        <v>1984050.34</v>
      </c>
      <c r="G103">
        <v>539654.49</v>
      </c>
      <c r="H103">
        <v>539654.49</v>
      </c>
      <c r="I103">
        <v>930587.81</v>
      </c>
      <c r="J103">
        <v>930587.81</v>
      </c>
      <c r="K103">
        <v>496296.45</v>
      </c>
      <c r="L103">
        <v>17511.59</v>
      </c>
    </row>
    <row r="104" spans="1:12" x14ac:dyDescent="0.25">
      <c r="A104" t="s">
        <v>801</v>
      </c>
      <c r="B104" t="s">
        <v>802</v>
      </c>
      <c r="C104" t="s">
        <v>4327</v>
      </c>
      <c r="D104" s="1">
        <v>43798</v>
      </c>
      <c r="E104">
        <v>674038.24</v>
      </c>
      <c r="F104">
        <v>674038.24</v>
      </c>
      <c r="G104">
        <v>203000</v>
      </c>
      <c r="H104">
        <v>203000</v>
      </c>
      <c r="I104">
        <v>309778</v>
      </c>
      <c r="J104">
        <v>309778</v>
      </c>
      <c r="K104">
        <v>149192.82</v>
      </c>
      <c r="L104">
        <v>12067.42</v>
      </c>
    </row>
    <row r="105" spans="1:12" x14ac:dyDescent="0.25">
      <c r="A105" t="s">
        <v>803</v>
      </c>
      <c r="B105" t="s">
        <v>804</v>
      </c>
      <c r="C105" t="s">
        <v>4328</v>
      </c>
      <c r="D105" s="1">
        <v>43805</v>
      </c>
      <c r="E105">
        <v>3226721.93</v>
      </c>
      <c r="F105">
        <v>3226721.93</v>
      </c>
      <c r="I105">
        <v>102094.24</v>
      </c>
      <c r="J105">
        <v>102094.24</v>
      </c>
      <c r="K105">
        <v>3124627.69</v>
      </c>
    </row>
    <row r="106" spans="1:12" x14ac:dyDescent="0.25">
      <c r="A106" t="s">
        <v>805</v>
      </c>
      <c r="B106" t="s">
        <v>806</v>
      </c>
      <c r="C106" t="s">
        <v>4329</v>
      </c>
      <c r="D106" s="1">
        <v>43811</v>
      </c>
      <c r="E106">
        <v>281699.93</v>
      </c>
      <c r="F106">
        <v>281699.93</v>
      </c>
      <c r="I106">
        <v>199202.12</v>
      </c>
      <c r="J106">
        <v>199202.12</v>
      </c>
      <c r="K106">
        <v>70353.36</v>
      </c>
      <c r="L106">
        <v>12144.45</v>
      </c>
    </row>
    <row r="107" spans="1:12" x14ac:dyDescent="0.25">
      <c r="A107" t="s">
        <v>807</v>
      </c>
      <c r="B107" t="s">
        <v>808</v>
      </c>
      <c r="C107" t="s">
        <v>4330</v>
      </c>
      <c r="D107" s="1">
        <v>43814</v>
      </c>
      <c r="E107">
        <v>351596.88</v>
      </c>
      <c r="F107">
        <v>351596.88</v>
      </c>
      <c r="G107">
        <v>210366.49</v>
      </c>
      <c r="H107">
        <v>210366.49</v>
      </c>
      <c r="I107">
        <v>117147.63</v>
      </c>
      <c r="J107">
        <v>117147.63</v>
      </c>
      <c r="K107">
        <v>24082.76</v>
      </c>
    </row>
    <row r="108" spans="1:12" x14ac:dyDescent="0.25">
      <c r="A108" t="s">
        <v>809</v>
      </c>
      <c r="B108" t="s">
        <v>810</v>
      </c>
      <c r="C108" t="s">
        <v>4204</v>
      </c>
      <c r="D108" s="1">
        <v>43815</v>
      </c>
      <c r="E108">
        <v>202923.56</v>
      </c>
      <c r="F108">
        <v>202923.56</v>
      </c>
      <c r="G108">
        <v>85124.79</v>
      </c>
      <c r="H108">
        <v>85124.79</v>
      </c>
      <c r="I108">
        <v>75341.27</v>
      </c>
      <c r="J108">
        <v>75341.27</v>
      </c>
      <c r="K108">
        <v>25586</v>
      </c>
      <c r="L108">
        <v>16871.5</v>
      </c>
    </row>
    <row r="109" spans="1:12" x14ac:dyDescent="0.25">
      <c r="A109" t="s">
        <v>811</v>
      </c>
      <c r="B109" t="s">
        <v>812</v>
      </c>
      <c r="C109" t="s">
        <v>4331</v>
      </c>
      <c r="D109" s="1">
        <v>43817</v>
      </c>
      <c r="E109">
        <v>338761.07</v>
      </c>
      <c r="F109">
        <v>338761.07</v>
      </c>
      <c r="G109">
        <v>145652.06</v>
      </c>
      <c r="H109">
        <v>145652.06</v>
      </c>
      <c r="I109">
        <v>66492.75</v>
      </c>
      <c r="J109">
        <v>66492.75</v>
      </c>
      <c r="K109">
        <v>126616.26</v>
      </c>
    </row>
    <row r="110" spans="1:12" x14ac:dyDescent="0.25">
      <c r="A110" t="s">
        <v>813</v>
      </c>
      <c r="B110" t="s">
        <v>814</v>
      </c>
      <c r="C110" t="s">
        <v>4205</v>
      </c>
      <c r="D110" s="1">
        <v>43818</v>
      </c>
      <c r="E110">
        <v>249061.5</v>
      </c>
      <c r="F110">
        <v>249061.5</v>
      </c>
      <c r="G110">
        <v>83008.06</v>
      </c>
      <c r="H110">
        <v>83008.06</v>
      </c>
      <c r="I110">
        <v>87668.47</v>
      </c>
      <c r="J110">
        <v>87668.47</v>
      </c>
      <c r="K110">
        <v>68313.960000000006</v>
      </c>
      <c r="L110">
        <v>10071.01</v>
      </c>
    </row>
    <row r="111" spans="1:12" x14ac:dyDescent="0.25">
      <c r="A111" t="s">
        <v>815</v>
      </c>
      <c r="B111" t="s">
        <v>816</v>
      </c>
      <c r="C111" t="s">
        <v>4332</v>
      </c>
      <c r="D111" s="1">
        <v>43820</v>
      </c>
      <c r="E111">
        <v>1498268.57</v>
      </c>
      <c r="F111">
        <v>1498268.57</v>
      </c>
      <c r="G111">
        <v>741347.48</v>
      </c>
      <c r="H111">
        <v>741347.48</v>
      </c>
      <c r="I111">
        <v>600130.78</v>
      </c>
      <c r="J111">
        <v>600130.78</v>
      </c>
      <c r="K111">
        <v>136111.4</v>
      </c>
      <c r="L111">
        <v>20678.91</v>
      </c>
    </row>
    <row r="112" spans="1:12" x14ac:dyDescent="0.25">
      <c r="A112" t="s">
        <v>817</v>
      </c>
      <c r="B112" t="s">
        <v>818</v>
      </c>
      <c r="C112" t="s">
        <v>4145</v>
      </c>
      <c r="D112" s="1">
        <v>43826</v>
      </c>
      <c r="E112">
        <v>82798.570000000007</v>
      </c>
      <c r="F112">
        <v>82798.570000000007</v>
      </c>
      <c r="I112">
        <v>17899.7</v>
      </c>
      <c r="J112">
        <v>17899.7</v>
      </c>
      <c r="K112">
        <v>64898.87</v>
      </c>
    </row>
    <row r="113" spans="1:12" x14ac:dyDescent="0.25">
      <c r="A113" t="s">
        <v>819</v>
      </c>
      <c r="B113" t="s">
        <v>820</v>
      </c>
      <c r="C113" t="s">
        <v>4145</v>
      </c>
      <c r="D113" s="1">
        <v>43826</v>
      </c>
      <c r="E113">
        <v>335161.88</v>
      </c>
      <c r="F113">
        <v>335161.88</v>
      </c>
      <c r="G113">
        <v>85410.54</v>
      </c>
      <c r="H113">
        <v>85410.54</v>
      </c>
      <c r="I113">
        <v>162787.34</v>
      </c>
      <c r="J113">
        <v>162787.34</v>
      </c>
      <c r="K113">
        <v>80964</v>
      </c>
      <c r="L113">
        <v>6000</v>
      </c>
    </row>
    <row r="114" spans="1:12" x14ac:dyDescent="0.25">
      <c r="A114" t="s">
        <v>821</v>
      </c>
      <c r="B114" t="s">
        <v>820</v>
      </c>
      <c r="C114" t="s">
        <v>4145</v>
      </c>
      <c r="D114" s="1">
        <v>43826</v>
      </c>
      <c r="E114">
        <v>1072818.08</v>
      </c>
      <c r="F114">
        <v>1072818.08</v>
      </c>
      <c r="I114">
        <v>364972.72</v>
      </c>
      <c r="J114">
        <v>364972.72</v>
      </c>
      <c r="K114">
        <v>690892.75</v>
      </c>
      <c r="L114">
        <v>16952.61</v>
      </c>
    </row>
    <row r="115" spans="1:12" x14ac:dyDescent="0.25">
      <c r="A115" t="s">
        <v>822</v>
      </c>
      <c r="B115" t="s">
        <v>812</v>
      </c>
      <c r="C115" t="s">
        <v>4206</v>
      </c>
      <c r="D115" s="1">
        <v>43827</v>
      </c>
      <c r="E115">
        <v>239318.89</v>
      </c>
      <c r="F115">
        <v>239318.89</v>
      </c>
      <c r="G115">
        <v>114053.82</v>
      </c>
      <c r="H115">
        <v>114053.82</v>
      </c>
      <c r="I115">
        <v>51996.07</v>
      </c>
      <c r="J115">
        <v>51996.07</v>
      </c>
      <c r="K115">
        <v>60000</v>
      </c>
      <c r="L115">
        <v>13269</v>
      </c>
    </row>
    <row r="116" spans="1:12" x14ac:dyDescent="0.25">
      <c r="A116" t="s">
        <v>823</v>
      </c>
      <c r="B116" t="s">
        <v>824</v>
      </c>
      <c r="C116" t="s">
        <v>4206</v>
      </c>
      <c r="D116" s="1">
        <v>43827</v>
      </c>
      <c r="E116">
        <v>433663.74</v>
      </c>
      <c r="F116">
        <v>433663.74</v>
      </c>
      <c r="G116">
        <v>379699.27</v>
      </c>
      <c r="H116">
        <v>379699.27</v>
      </c>
      <c r="I116">
        <v>6361.5</v>
      </c>
      <c r="J116">
        <v>6361.5</v>
      </c>
      <c r="K116">
        <v>33222.589999999997</v>
      </c>
      <c r="L116">
        <v>14380.38</v>
      </c>
    </row>
    <row r="117" spans="1:12" x14ac:dyDescent="0.25">
      <c r="A117" t="s">
        <v>825</v>
      </c>
      <c r="B117" t="s">
        <v>826</v>
      </c>
      <c r="C117" t="s">
        <v>4206</v>
      </c>
      <c r="D117" s="1">
        <v>43827</v>
      </c>
      <c r="E117">
        <v>1339945.97</v>
      </c>
      <c r="F117">
        <v>1339945.97</v>
      </c>
      <c r="I117">
        <v>852039.39</v>
      </c>
      <c r="J117">
        <v>852039.39</v>
      </c>
      <c r="K117">
        <v>468481.78</v>
      </c>
      <c r="L117">
        <v>19424.8</v>
      </c>
    </row>
    <row r="118" spans="1:12" x14ac:dyDescent="0.25">
      <c r="A118" t="s">
        <v>827</v>
      </c>
      <c r="B118" t="s">
        <v>828</v>
      </c>
      <c r="C118" t="s">
        <v>4116</v>
      </c>
      <c r="D118" s="1">
        <v>43828</v>
      </c>
      <c r="E118">
        <v>629017.78</v>
      </c>
      <c r="F118">
        <v>629017.78</v>
      </c>
      <c r="G118">
        <v>210743.64</v>
      </c>
      <c r="H118">
        <v>210743.64</v>
      </c>
      <c r="I118">
        <v>240421.97</v>
      </c>
      <c r="J118">
        <v>240421.97</v>
      </c>
      <c r="K118">
        <v>177852.17</v>
      </c>
    </row>
    <row r="119" spans="1:12" x14ac:dyDescent="0.25">
      <c r="A119" t="s">
        <v>829</v>
      </c>
      <c r="B119" t="s">
        <v>830</v>
      </c>
      <c r="C119" t="s">
        <v>4117</v>
      </c>
      <c r="D119" s="1">
        <v>43831</v>
      </c>
      <c r="E119">
        <v>2322364.2799999998</v>
      </c>
      <c r="F119">
        <v>2322364.2799999998</v>
      </c>
      <c r="G119">
        <v>690483.81</v>
      </c>
      <c r="H119">
        <v>690483.81</v>
      </c>
      <c r="I119">
        <v>996993.76</v>
      </c>
      <c r="J119">
        <v>996993.76</v>
      </c>
      <c r="K119">
        <v>615624.37</v>
      </c>
      <c r="L119">
        <v>19262.34</v>
      </c>
    </row>
    <row r="120" spans="1:12" x14ac:dyDescent="0.25">
      <c r="A120" t="s">
        <v>831</v>
      </c>
      <c r="B120" t="s">
        <v>832</v>
      </c>
      <c r="C120" t="s">
        <v>4333</v>
      </c>
      <c r="D120" s="1">
        <v>43836</v>
      </c>
      <c r="E120">
        <v>2517476.0699999998</v>
      </c>
      <c r="F120">
        <v>2517476.0699999998</v>
      </c>
      <c r="G120">
        <v>728728.05</v>
      </c>
      <c r="H120">
        <v>728728.05</v>
      </c>
      <c r="I120">
        <v>1114554.6100000001</v>
      </c>
      <c r="J120">
        <v>1114554.6100000001</v>
      </c>
      <c r="K120">
        <v>654412.36</v>
      </c>
      <c r="L120">
        <v>19781.05</v>
      </c>
    </row>
    <row r="121" spans="1:12" x14ac:dyDescent="0.25">
      <c r="A121" t="s">
        <v>833</v>
      </c>
      <c r="B121" t="s">
        <v>834</v>
      </c>
      <c r="C121" t="s">
        <v>4146</v>
      </c>
      <c r="D121" s="1">
        <v>43847</v>
      </c>
      <c r="E121">
        <v>474203.59</v>
      </c>
      <c r="F121">
        <v>474203.59</v>
      </c>
      <c r="I121">
        <v>311163.2</v>
      </c>
      <c r="J121">
        <v>311163.2</v>
      </c>
      <c r="K121">
        <v>150313.59</v>
      </c>
      <c r="L121">
        <v>12726.8</v>
      </c>
    </row>
    <row r="122" spans="1:12" x14ac:dyDescent="0.25">
      <c r="A122" t="s">
        <v>835</v>
      </c>
      <c r="B122" t="s">
        <v>836</v>
      </c>
      <c r="C122" t="s">
        <v>4334</v>
      </c>
      <c r="D122" s="1">
        <v>43849</v>
      </c>
      <c r="E122">
        <v>277611.03000000003</v>
      </c>
      <c r="F122">
        <v>277611.03000000003</v>
      </c>
      <c r="G122">
        <v>78920.72</v>
      </c>
      <c r="H122">
        <v>78920.72</v>
      </c>
      <c r="I122">
        <v>129549.08</v>
      </c>
      <c r="J122">
        <v>129549.08</v>
      </c>
      <c r="K122">
        <v>69141.23</v>
      </c>
    </row>
    <row r="123" spans="1:12" x14ac:dyDescent="0.25">
      <c r="A123" t="s">
        <v>837</v>
      </c>
      <c r="B123" t="s">
        <v>838</v>
      </c>
      <c r="C123" t="s">
        <v>4334</v>
      </c>
      <c r="D123" s="1">
        <v>43849</v>
      </c>
      <c r="E123">
        <v>461334.02</v>
      </c>
      <c r="F123">
        <v>461334.02</v>
      </c>
      <c r="G123">
        <v>150000</v>
      </c>
      <c r="H123">
        <v>150000</v>
      </c>
      <c r="I123">
        <v>213600</v>
      </c>
      <c r="J123">
        <v>213600</v>
      </c>
      <c r="K123">
        <v>86400</v>
      </c>
      <c r="L123">
        <v>11334.02</v>
      </c>
    </row>
    <row r="124" spans="1:12" x14ac:dyDescent="0.25">
      <c r="A124" t="s">
        <v>839</v>
      </c>
      <c r="B124" t="s">
        <v>840</v>
      </c>
      <c r="C124" t="s">
        <v>4335</v>
      </c>
      <c r="D124" s="1">
        <v>43852</v>
      </c>
      <c r="E124">
        <v>632756.14</v>
      </c>
      <c r="F124">
        <v>632756.14</v>
      </c>
      <c r="G124">
        <v>224017</v>
      </c>
      <c r="H124">
        <v>224017</v>
      </c>
      <c r="I124">
        <v>292185.13</v>
      </c>
      <c r="J124">
        <v>292185.13</v>
      </c>
      <c r="K124">
        <v>104142.85</v>
      </c>
      <c r="L124">
        <v>12411.16</v>
      </c>
    </row>
    <row r="125" spans="1:12" x14ac:dyDescent="0.25">
      <c r="A125" t="s">
        <v>841</v>
      </c>
      <c r="B125" t="s">
        <v>842</v>
      </c>
      <c r="C125" t="s">
        <v>4336</v>
      </c>
      <c r="D125" s="1">
        <v>43856</v>
      </c>
      <c r="E125">
        <v>375166.02</v>
      </c>
      <c r="F125">
        <v>375166.02</v>
      </c>
      <c r="G125">
        <v>93799.11</v>
      </c>
      <c r="H125">
        <v>93799.11</v>
      </c>
      <c r="I125">
        <v>197952.66</v>
      </c>
      <c r="J125">
        <v>197952.66</v>
      </c>
      <c r="K125">
        <v>83414.25</v>
      </c>
    </row>
    <row r="126" spans="1:12" x14ac:dyDescent="0.25">
      <c r="A126" t="s">
        <v>843</v>
      </c>
      <c r="B126" t="s">
        <v>844</v>
      </c>
      <c r="C126" t="s">
        <v>4118</v>
      </c>
      <c r="D126" s="1">
        <v>43863</v>
      </c>
      <c r="E126">
        <v>297142.8</v>
      </c>
      <c r="F126">
        <v>297142.8</v>
      </c>
      <c r="G126">
        <v>86908.13</v>
      </c>
      <c r="H126">
        <v>86908.13</v>
      </c>
      <c r="I126">
        <v>139604.97</v>
      </c>
      <c r="J126">
        <v>139604.97</v>
      </c>
      <c r="K126">
        <v>60821.79</v>
      </c>
      <c r="L126">
        <v>9807.91</v>
      </c>
    </row>
    <row r="127" spans="1:12" x14ac:dyDescent="0.25">
      <c r="A127" t="s">
        <v>845</v>
      </c>
      <c r="B127" t="s">
        <v>846</v>
      </c>
      <c r="C127" t="s">
        <v>4337</v>
      </c>
      <c r="D127" s="1">
        <v>43865</v>
      </c>
      <c r="E127">
        <v>9609.5300000000007</v>
      </c>
      <c r="F127">
        <v>9609.5300000000007</v>
      </c>
      <c r="K127">
        <v>9609.5300000000007</v>
      </c>
    </row>
    <row r="128" spans="1:12" x14ac:dyDescent="0.25">
      <c r="A128" t="s">
        <v>847</v>
      </c>
      <c r="B128" t="s">
        <v>848</v>
      </c>
      <c r="C128" t="s">
        <v>4338</v>
      </c>
      <c r="D128" s="1">
        <v>43877</v>
      </c>
      <c r="E128">
        <v>954056.82</v>
      </c>
      <c r="F128">
        <v>954056.82</v>
      </c>
      <c r="G128">
        <v>300000</v>
      </c>
      <c r="H128">
        <v>300000</v>
      </c>
      <c r="I128">
        <v>432887.65</v>
      </c>
      <c r="J128">
        <v>432887.65</v>
      </c>
      <c r="K128">
        <v>207684</v>
      </c>
      <c r="L128">
        <v>13485.17</v>
      </c>
    </row>
    <row r="129" spans="1:12" x14ac:dyDescent="0.25">
      <c r="A129" t="s">
        <v>849</v>
      </c>
      <c r="B129" t="s">
        <v>850</v>
      </c>
      <c r="C129" t="s">
        <v>4339</v>
      </c>
      <c r="D129" s="1">
        <v>43879</v>
      </c>
      <c r="E129">
        <v>407566.77</v>
      </c>
      <c r="F129">
        <v>407566.77</v>
      </c>
      <c r="G129">
        <v>307111.43</v>
      </c>
      <c r="H129">
        <v>307111.43</v>
      </c>
      <c r="K129">
        <v>83077.39</v>
      </c>
      <c r="L129">
        <v>17377.95</v>
      </c>
    </row>
    <row r="130" spans="1:12" x14ac:dyDescent="0.25">
      <c r="A130" t="s">
        <v>851</v>
      </c>
      <c r="B130" t="s">
        <v>852</v>
      </c>
      <c r="C130" t="s">
        <v>4340</v>
      </c>
      <c r="D130" s="1">
        <v>43881</v>
      </c>
      <c r="E130">
        <v>1524530.49</v>
      </c>
      <c r="F130">
        <v>1524530.49</v>
      </c>
      <c r="G130">
        <v>525000</v>
      </c>
      <c r="H130">
        <v>525000</v>
      </c>
      <c r="I130">
        <v>630408.81000000006</v>
      </c>
      <c r="J130">
        <v>630408.81000000006</v>
      </c>
      <c r="K130">
        <v>362313</v>
      </c>
      <c r="L130">
        <v>6808.68</v>
      </c>
    </row>
    <row r="131" spans="1:12" x14ac:dyDescent="0.25">
      <c r="A131" t="s">
        <v>853</v>
      </c>
      <c r="B131" t="s">
        <v>852</v>
      </c>
      <c r="C131" t="s">
        <v>4340</v>
      </c>
      <c r="D131" s="1">
        <v>43881</v>
      </c>
      <c r="E131">
        <v>885148.6</v>
      </c>
      <c r="F131">
        <v>885148.6</v>
      </c>
      <c r="G131">
        <v>282000</v>
      </c>
      <c r="H131">
        <v>282000</v>
      </c>
      <c r="I131">
        <v>404534.76</v>
      </c>
      <c r="J131">
        <v>404534.76</v>
      </c>
      <c r="K131">
        <v>194613.84</v>
      </c>
      <c r="L131">
        <v>4000</v>
      </c>
    </row>
    <row r="132" spans="1:12" x14ac:dyDescent="0.25">
      <c r="A132" t="s">
        <v>854</v>
      </c>
      <c r="B132" t="s">
        <v>855</v>
      </c>
      <c r="C132" t="s">
        <v>4207</v>
      </c>
      <c r="D132" s="1">
        <v>43882</v>
      </c>
      <c r="E132">
        <v>723220.69</v>
      </c>
      <c r="F132">
        <v>723220.69</v>
      </c>
      <c r="I132">
        <v>455671.22</v>
      </c>
      <c r="J132">
        <v>455671.22</v>
      </c>
      <c r="K132">
        <v>267549.46999999997</v>
      </c>
    </row>
    <row r="133" spans="1:12" x14ac:dyDescent="0.25">
      <c r="A133" t="s">
        <v>856</v>
      </c>
      <c r="B133" t="s">
        <v>857</v>
      </c>
      <c r="C133" t="s">
        <v>4207</v>
      </c>
      <c r="D133" s="1">
        <v>43882</v>
      </c>
      <c r="E133">
        <v>612089.34</v>
      </c>
      <c r="F133">
        <v>612089.34</v>
      </c>
      <c r="G133">
        <v>174750.36</v>
      </c>
      <c r="H133">
        <v>174750.36</v>
      </c>
      <c r="I133">
        <v>272968.28000000003</v>
      </c>
      <c r="J133">
        <v>272968.28000000003</v>
      </c>
      <c r="K133">
        <v>152588.51999999999</v>
      </c>
      <c r="L133">
        <v>11782.18</v>
      </c>
    </row>
    <row r="134" spans="1:12" x14ac:dyDescent="0.25">
      <c r="A134" t="s">
        <v>858</v>
      </c>
      <c r="B134" t="s">
        <v>855</v>
      </c>
      <c r="C134" t="s">
        <v>4207</v>
      </c>
      <c r="D134" s="1">
        <v>43882</v>
      </c>
      <c r="E134">
        <v>1039409.01</v>
      </c>
      <c r="F134">
        <v>1039409.01</v>
      </c>
      <c r="I134">
        <v>514309.75</v>
      </c>
      <c r="J134">
        <v>514309.75</v>
      </c>
      <c r="K134">
        <v>525099.26</v>
      </c>
    </row>
    <row r="135" spans="1:12" x14ac:dyDescent="0.25">
      <c r="A135" t="s">
        <v>859</v>
      </c>
      <c r="B135" t="s">
        <v>855</v>
      </c>
      <c r="C135" t="s">
        <v>4207</v>
      </c>
      <c r="D135" s="1">
        <v>43882</v>
      </c>
      <c r="E135">
        <v>723220.85</v>
      </c>
      <c r="F135">
        <v>723220.85</v>
      </c>
      <c r="I135">
        <v>455671.22</v>
      </c>
      <c r="J135">
        <v>455671.22</v>
      </c>
      <c r="K135">
        <v>267549.63</v>
      </c>
    </row>
    <row r="136" spans="1:12" x14ac:dyDescent="0.25">
      <c r="A136" t="s">
        <v>860</v>
      </c>
      <c r="B136" t="s">
        <v>861</v>
      </c>
      <c r="C136" t="s">
        <v>4208</v>
      </c>
      <c r="D136" s="1">
        <v>43883</v>
      </c>
      <c r="E136">
        <v>10243750.609999999</v>
      </c>
      <c r="F136">
        <v>10243750.609999999</v>
      </c>
      <c r="G136">
        <v>300000</v>
      </c>
      <c r="H136">
        <v>300000</v>
      </c>
      <c r="I136">
        <v>362219.17</v>
      </c>
      <c r="J136">
        <v>362219.17</v>
      </c>
      <c r="K136">
        <v>9581531.4399999995</v>
      </c>
    </row>
    <row r="137" spans="1:12" x14ac:dyDescent="0.25">
      <c r="A137" t="s">
        <v>862</v>
      </c>
      <c r="B137" t="s">
        <v>863</v>
      </c>
      <c r="C137" t="s">
        <v>4209</v>
      </c>
      <c r="D137" s="1">
        <v>43884</v>
      </c>
      <c r="E137">
        <v>304433.81</v>
      </c>
      <c r="F137">
        <v>304433.81</v>
      </c>
      <c r="I137">
        <v>179238.2</v>
      </c>
      <c r="J137">
        <v>179238.2</v>
      </c>
      <c r="K137">
        <v>125195.61</v>
      </c>
    </row>
    <row r="138" spans="1:12" x14ac:dyDescent="0.25">
      <c r="A138" t="s">
        <v>864</v>
      </c>
      <c r="B138" t="s">
        <v>865</v>
      </c>
      <c r="C138" t="s">
        <v>4210</v>
      </c>
      <c r="D138" s="1">
        <v>43885</v>
      </c>
      <c r="E138">
        <v>214282.23999999999</v>
      </c>
      <c r="F138">
        <v>214282.23999999999</v>
      </c>
      <c r="G138">
        <v>100000</v>
      </c>
      <c r="H138">
        <v>100000</v>
      </c>
      <c r="I138">
        <v>41665.24</v>
      </c>
      <c r="J138">
        <v>41665.24</v>
      </c>
      <c r="K138">
        <v>60000</v>
      </c>
      <c r="L138">
        <v>12617</v>
      </c>
    </row>
    <row r="139" spans="1:12" x14ac:dyDescent="0.25">
      <c r="A139" t="s">
        <v>866</v>
      </c>
      <c r="B139" t="s">
        <v>867</v>
      </c>
      <c r="C139" t="s">
        <v>4147</v>
      </c>
      <c r="D139" s="1">
        <v>43890</v>
      </c>
      <c r="E139">
        <v>274829.12</v>
      </c>
      <c r="F139">
        <v>274829.12</v>
      </c>
      <c r="G139">
        <v>140108.21</v>
      </c>
      <c r="H139">
        <v>140108.21</v>
      </c>
      <c r="I139">
        <v>60879.91</v>
      </c>
      <c r="J139">
        <v>60879.91</v>
      </c>
      <c r="K139">
        <v>60000</v>
      </c>
      <c r="L139">
        <v>13841</v>
      </c>
    </row>
    <row r="140" spans="1:12" x14ac:dyDescent="0.25">
      <c r="A140" t="s">
        <v>868</v>
      </c>
      <c r="B140" t="s">
        <v>869</v>
      </c>
      <c r="C140" t="s">
        <v>4341</v>
      </c>
      <c r="D140" s="1">
        <v>43897</v>
      </c>
      <c r="E140">
        <v>267088.77</v>
      </c>
      <c r="F140">
        <v>267088.77</v>
      </c>
      <c r="I140">
        <v>217813.77</v>
      </c>
      <c r="J140">
        <v>217813.77</v>
      </c>
      <c r="K140">
        <v>49275</v>
      </c>
    </row>
    <row r="141" spans="1:12" x14ac:dyDescent="0.25">
      <c r="A141" t="s">
        <v>870</v>
      </c>
      <c r="B141" t="s">
        <v>871</v>
      </c>
      <c r="C141" t="s">
        <v>4342</v>
      </c>
      <c r="D141" s="1">
        <v>43904</v>
      </c>
      <c r="E141">
        <v>4402.75</v>
      </c>
      <c r="F141">
        <v>4402.75</v>
      </c>
      <c r="K141">
        <v>4402.75</v>
      </c>
    </row>
    <row r="142" spans="1:12" x14ac:dyDescent="0.25">
      <c r="A142" t="s">
        <v>872</v>
      </c>
      <c r="B142" t="s">
        <v>873</v>
      </c>
      <c r="C142" t="s">
        <v>4211</v>
      </c>
      <c r="D142" s="1">
        <v>43905</v>
      </c>
      <c r="E142">
        <v>1916722.09</v>
      </c>
      <c r="F142">
        <v>1916722.09</v>
      </c>
      <c r="G142">
        <v>586228.01</v>
      </c>
      <c r="H142">
        <v>586228.01</v>
      </c>
      <c r="I142">
        <v>808778.71</v>
      </c>
      <c r="J142">
        <v>808778.71</v>
      </c>
      <c r="K142">
        <v>504601.62</v>
      </c>
      <c r="L142">
        <v>17113.75</v>
      </c>
    </row>
    <row r="143" spans="1:12" x14ac:dyDescent="0.25">
      <c r="A143" t="s">
        <v>874</v>
      </c>
      <c r="B143" t="s">
        <v>875</v>
      </c>
      <c r="C143" t="s">
        <v>4212</v>
      </c>
      <c r="D143" s="1">
        <v>43906</v>
      </c>
      <c r="E143">
        <v>733133.25</v>
      </c>
      <c r="F143">
        <v>733133.25</v>
      </c>
      <c r="G143">
        <v>237942.86</v>
      </c>
      <c r="H143">
        <v>237942.86</v>
      </c>
      <c r="I143">
        <v>310753.37</v>
      </c>
      <c r="J143">
        <v>310753.37</v>
      </c>
      <c r="K143">
        <v>172066.86</v>
      </c>
      <c r="L143">
        <v>12370.16</v>
      </c>
    </row>
    <row r="144" spans="1:12" x14ac:dyDescent="0.25">
      <c r="A144" t="s">
        <v>876</v>
      </c>
      <c r="B144" t="s">
        <v>877</v>
      </c>
      <c r="C144" t="s">
        <v>4212</v>
      </c>
      <c r="D144" s="1">
        <v>43906</v>
      </c>
      <c r="E144">
        <v>311765.32</v>
      </c>
      <c r="F144">
        <v>311765.32</v>
      </c>
      <c r="G144">
        <v>29278.63</v>
      </c>
      <c r="H144">
        <v>29278.63</v>
      </c>
      <c r="I144">
        <v>161776.98000000001</v>
      </c>
      <c r="J144">
        <v>161776.98000000001</v>
      </c>
      <c r="K144">
        <v>108463.96</v>
      </c>
      <c r="L144">
        <v>12245.75</v>
      </c>
    </row>
    <row r="145" spans="1:12" x14ac:dyDescent="0.25">
      <c r="A145" t="s">
        <v>878</v>
      </c>
      <c r="B145" t="s">
        <v>879</v>
      </c>
      <c r="C145" t="s">
        <v>4343</v>
      </c>
      <c r="D145" s="1">
        <v>43909</v>
      </c>
      <c r="E145">
        <v>676311.9</v>
      </c>
      <c r="F145">
        <v>676311.9</v>
      </c>
      <c r="G145">
        <v>232136.69</v>
      </c>
      <c r="H145">
        <v>232136.69</v>
      </c>
      <c r="I145">
        <v>264543.2</v>
      </c>
      <c r="J145">
        <v>264543.2</v>
      </c>
      <c r="K145">
        <v>179632.01</v>
      </c>
    </row>
    <row r="146" spans="1:12" x14ac:dyDescent="0.25">
      <c r="A146" t="s">
        <v>880</v>
      </c>
      <c r="B146" t="s">
        <v>881</v>
      </c>
      <c r="C146" t="s">
        <v>4213</v>
      </c>
      <c r="D146" s="1">
        <v>43910</v>
      </c>
      <c r="E146">
        <v>566317.68000000005</v>
      </c>
      <c r="F146">
        <v>566317.68000000005</v>
      </c>
      <c r="G146">
        <v>224000</v>
      </c>
      <c r="H146">
        <v>224000</v>
      </c>
      <c r="I146">
        <v>241238.81</v>
      </c>
      <c r="J146">
        <v>241238.81</v>
      </c>
      <c r="K146">
        <v>88724.38</v>
      </c>
      <c r="L146">
        <v>12354.49</v>
      </c>
    </row>
    <row r="147" spans="1:12" x14ac:dyDescent="0.25">
      <c r="A147" t="s">
        <v>882</v>
      </c>
      <c r="B147" t="s">
        <v>881</v>
      </c>
      <c r="C147" t="s">
        <v>4213</v>
      </c>
      <c r="D147" s="1">
        <v>43910</v>
      </c>
      <c r="E147">
        <v>646805.14</v>
      </c>
      <c r="F147">
        <v>646805.14</v>
      </c>
      <c r="G147">
        <v>256000</v>
      </c>
      <c r="H147">
        <v>256000</v>
      </c>
      <c r="I147">
        <v>294214.36</v>
      </c>
      <c r="J147">
        <v>294214.36</v>
      </c>
      <c r="K147">
        <v>83785.64</v>
      </c>
      <c r="L147">
        <v>12805.14</v>
      </c>
    </row>
    <row r="148" spans="1:12" x14ac:dyDescent="0.25">
      <c r="A148" t="s">
        <v>883</v>
      </c>
      <c r="B148" t="s">
        <v>881</v>
      </c>
      <c r="C148" t="s">
        <v>4213</v>
      </c>
      <c r="D148" s="1">
        <v>43910</v>
      </c>
      <c r="E148">
        <v>434774.74</v>
      </c>
      <c r="F148">
        <v>434774.74</v>
      </c>
      <c r="G148">
        <v>126447.41</v>
      </c>
      <c r="H148">
        <v>126447.41</v>
      </c>
      <c r="I148">
        <v>209295.78</v>
      </c>
      <c r="J148">
        <v>209295.78</v>
      </c>
      <c r="K148">
        <v>86226.41</v>
      </c>
      <c r="L148">
        <v>12805.14</v>
      </c>
    </row>
    <row r="149" spans="1:12" x14ac:dyDescent="0.25">
      <c r="A149" t="s">
        <v>884</v>
      </c>
      <c r="B149" t="s">
        <v>885</v>
      </c>
      <c r="C149" t="s">
        <v>4214</v>
      </c>
      <c r="D149" s="1">
        <v>43911</v>
      </c>
      <c r="E149">
        <v>1612647.4</v>
      </c>
      <c r="F149">
        <v>1612647.4</v>
      </c>
      <c r="G149">
        <v>540000</v>
      </c>
      <c r="H149">
        <v>540000</v>
      </c>
      <c r="I149">
        <v>691840</v>
      </c>
      <c r="J149">
        <v>691840</v>
      </c>
      <c r="K149">
        <v>363916.79999999999</v>
      </c>
      <c r="L149">
        <v>16890.599999999999</v>
      </c>
    </row>
    <row r="150" spans="1:12" x14ac:dyDescent="0.25">
      <c r="A150" t="s">
        <v>886</v>
      </c>
      <c r="B150" t="s">
        <v>887</v>
      </c>
      <c r="C150" t="s">
        <v>4214</v>
      </c>
      <c r="D150" s="1">
        <v>43911</v>
      </c>
      <c r="E150">
        <v>888855.9</v>
      </c>
      <c r="F150">
        <v>888855.9</v>
      </c>
      <c r="G150">
        <v>349399.79</v>
      </c>
      <c r="H150">
        <v>349399.79</v>
      </c>
      <c r="I150">
        <v>390060.72</v>
      </c>
      <c r="J150">
        <v>390060.72</v>
      </c>
      <c r="K150">
        <v>134939.28</v>
      </c>
      <c r="L150">
        <v>14456.11</v>
      </c>
    </row>
    <row r="151" spans="1:12" x14ac:dyDescent="0.25">
      <c r="A151" t="s">
        <v>888</v>
      </c>
      <c r="B151" t="s">
        <v>889</v>
      </c>
      <c r="C151" t="s">
        <v>4344</v>
      </c>
      <c r="D151" s="1">
        <v>43914</v>
      </c>
      <c r="E151">
        <v>154476.09</v>
      </c>
      <c r="F151">
        <v>154476.09</v>
      </c>
      <c r="G151">
        <v>73950.33</v>
      </c>
      <c r="H151">
        <v>73950.33</v>
      </c>
      <c r="K151">
        <v>67631.649999999994</v>
      </c>
      <c r="L151">
        <v>12894.11</v>
      </c>
    </row>
    <row r="152" spans="1:12" x14ac:dyDescent="0.25">
      <c r="A152" t="s">
        <v>890</v>
      </c>
      <c r="B152" t="s">
        <v>891</v>
      </c>
      <c r="C152" t="s">
        <v>4148</v>
      </c>
      <c r="D152" s="1">
        <v>43916</v>
      </c>
      <c r="E152">
        <v>332141.59000000003</v>
      </c>
      <c r="F152">
        <v>332141.59000000003</v>
      </c>
      <c r="G152">
        <v>87127.76</v>
      </c>
      <c r="H152">
        <v>87127.76</v>
      </c>
      <c r="I152">
        <v>42962.21</v>
      </c>
      <c r="J152">
        <v>42962.21</v>
      </c>
      <c r="K152">
        <v>202051.62</v>
      </c>
    </row>
    <row r="153" spans="1:12" x14ac:dyDescent="0.25">
      <c r="A153" t="s">
        <v>892</v>
      </c>
      <c r="B153" t="s">
        <v>893</v>
      </c>
      <c r="C153" t="s">
        <v>4149</v>
      </c>
      <c r="D153" s="1">
        <v>43917</v>
      </c>
      <c r="E153">
        <v>75978.009999999995</v>
      </c>
      <c r="F153">
        <v>75978.009999999995</v>
      </c>
      <c r="G153">
        <v>39922.54</v>
      </c>
      <c r="H153">
        <v>39922.54</v>
      </c>
      <c r="I153">
        <v>6232.29</v>
      </c>
      <c r="J153">
        <v>6232.29</v>
      </c>
      <c r="K153">
        <v>29823.18</v>
      </c>
    </row>
    <row r="154" spans="1:12" x14ac:dyDescent="0.25">
      <c r="A154" t="s">
        <v>894</v>
      </c>
      <c r="B154" t="s">
        <v>895</v>
      </c>
      <c r="C154" t="s">
        <v>4150</v>
      </c>
      <c r="D154" s="1">
        <v>43927</v>
      </c>
      <c r="E154">
        <v>810500</v>
      </c>
      <c r="F154">
        <v>810500</v>
      </c>
      <c r="G154">
        <v>271721.53999999998</v>
      </c>
      <c r="H154">
        <v>271721.53999999998</v>
      </c>
      <c r="I154">
        <v>468167.22</v>
      </c>
      <c r="J154">
        <v>468167.22</v>
      </c>
      <c r="K154">
        <v>70611.240000000005</v>
      </c>
    </row>
    <row r="155" spans="1:12" x14ac:dyDescent="0.25">
      <c r="A155" t="s">
        <v>896</v>
      </c>
      <c r="B155" t="s">
        <v>897</v>
      </c>
      <c r="C155" t="s">
        <v>4150</v>
      </c>
      <c r="D155" s="1">
        <v>43927</v>
      </c>
      <c r="E155">
        <v>719219.24</v>
      </c>
      <c r="F155">
        <v>719219.24</v>
      </c>
      <c r="G155">
        <v>240000</v>
      </c>
      <c r="H155">
        <v>240000</v>
      </c>
      <c r="I155">
        <v>307200.01</v>
      </c>
      <c r="J155">
        <v>307200.01</v>
      </c>
      <c r="K155">
        <v>159667.20000000001</v>
      </c>
      <c r="L155">
        <v>12352.03</v>
      </c>
    </row>
    <row r="156" spans="1:12" x14ac:dyDescent="0.25">
      <c r="A156" t="s">
        <v>898</v>
      </c>
      <c r="B156" t="s">
        <v>899</v>
      </c>
      <c r="C156" t="s">
        <v>4345</v>
      </c>
      <c r="D156" s="1">
        <v>43930</v>
      </c>
      <c r="E156">
        <v>578471.02</v>
      </c>
      <c r="F156">
        <v>578471.02</v>
      </c>
      <c r="G156">
        <v>218322.43</v>
      </c>
      <c r="H156">
        <v>218322.43</v>
      </c>
      <c r="I156">
        <v>203193.74</v>
      </c>
      <c r="J156">
        <v>203193.74</v>
      </c>
      <c r="K156">
        <v>144891.85999999999</v>
      </c>
      <c r="L156">
        <v>12062.99</v>
      </c>
    </row>
    <row r="157" spans="1:12" x14ac:dyDescent="0.25">
      <c r="A157" t="s">
        <v>900</v>
      </c>
      <c r="B157" t="s">
        <v>901</v>
      </c>
      <c r="C157" t="s">
        <v>4215</v>
      </c>
      <c r="D157" s="1">
        <v>43931</v>
      </c>
      <c r="E157">
        <v>774335.54</v>
      </c>
      <c r="F157">
        <v>774335.54</v>
      </c>
      <c r="G157">
        <v>315000</v>
      </c>
      <c r="H157">
        <v>315000</v>
      </c>
      <c r="I157">
        <v>179281.27</v>
      </c>
      <c r="J157">
        <v>179281.27</v>
      </c>
      <c r="K157">
        <v>266716.79999999999</v>
      </c>
      <c r="L157">
        <v>13337.47</v>
      </c>
    </row>
    <row r="158" spans="1:12" x14ac:dyDescent="0.25">
      <c r="A158" t="s">
        <v>902</v>
      </c>
      <c r="B158" t="s">
        <v>903</v>
      </c>
      <c r="C158" t="s">
        <v>4216</v>
      </c>
      <c r="D158" s="1">
        <v>43932</v>
      </c>
      <c r="E158">
        <v>392862.92</v>
      </c>
      <c r="F158">
        <v>392862.92</v>
      </c>
      <c r="G158">
        <v>163104.26999999999</v>
      </c>
      <c r="H158">
        <v>163104.26999999999</v>
      </c>
      <c r="I158">
        <v>91743.08</v>
      </c>
      <c r="J158">
        <v>91743.08</v>
      </c>
      <c r="K158">
        <v>138015.57</v>
      </c>
    </row>
    <row r="159" spans="1:12" x14ac:dyDescent="0.25">
      <c r="A159" t="s">
        <v>904</v>
      </c>
      <c r="B159" t="s">
        <v>905</v>
      </c>
      <c r="C159" t="s">
        <v>4346</v>
      </c>
      <c r="D159" s="1">
        <v>43934</v>
      </c>
      <c r="E159">
        <v>318553.51</v>
      </c>
      <c r="F159">
        <v>318553.51</v>
      </c>
      <c r="G159">
        <v>121329.29</v>
      </c>
      <c r="H159">
        <v>121329.29</v>
      </c>
      <c r="I159">
        <v>63333.89</v>
      </c>
      <c r="J159">
        <v>63333.89</v>
      </c>
      <c r="K159">
        <v>119686.81</v>
      </c>
      <c r="L159">
        <v>14203.52</v>
      </c>
    </row>
    <row r="160" spans="1:12" x14ac:dyDescent="0.25">
      <c r="A160" t="s">
        <v>906</v>
      </c>
      <c r="B160" t="s">
        <v>907</v>
      </c>
      <c r="C160" t="s">
        <v>4347</v>
      </c>
      <c r="D160" s="1">
        <v>43936</v>
      </c>
      <c r="E160">
        <v>138714.65</v>
      </c>
      <c r="F160">
        <v>138714.65</v>
      </c>
      <c r="G160">
        <v>42950.01</v>
      </c>
      <c r="H160">
        <v>42950.01</v>
      </c>
      <c r="I160">
        <v>63318.91</v>
      </c>
      <c r="J160">
        <v>63318.91</v>
      </c>
      <c r="K160">
        <v>28457.82</v>
      </c>
      <c r="L160">
        <v>3987.91</v>
      </c>
    </row>
    <row r="161" spans="1:12" x14ac:dyDescent="0.25">
      <c r="A161" t="s">
        <v>908</v>
      </c>
      <c r="B161" t="s">
        <v>907</v>
      </c>
      <c r="C161" t="s">
        <v>4347</v>
      </c>
      <c r="D161" s="1">
        <v>43936</v>
      </c>
      <c r="E161">
        <v>253129.46</v>
      </c>
      <c r="F161">
        <v>253129.46</v>
      </c>
      <c r="G161">
        <v>81639.67</v>
      </c>
      <c r="H161">
        <v>81639.67</v>
      </c>
      <c r="I161">
        <v>110396.98</v>
      </c>
      <c r="J161">
        <v>110396.98</v>
      </c>
      <c r="K161">
        <v>54092.81</v>
      </c>
      <c r="L161">
        <v>7000</v>
      </c>
    </row>
    <row r="162" spans="1:12" x14ac:dyDescent="0.25">
      <c r="A162" t="s">
        <v>909</v>
      </c>
      <c r="B162" t="s">
        <v>910</v>
      </c>
      <c r="C162" t="s">
        <v>4217</v>
      </c>
      <c r="D162" s="1">
        <v>43937</v>
      </c>
      <c r="E162">
        <v>245524.58</v>
      </c>
      <c r="F162">
        <v>245524.58</v>
      </c>
      <c r="I162">
        <v>143638.79</v>
      </c>
      <c r="J162">
        <v>143638.79</v>
      </c>
      <c r="K162">
        <v>89090.58</v>
      </c>
      <c r="L162">
        <v>12795.21</v>
      </c>
    </row>
    <row r="163" spans="1:12" x14ac:dyDescent="0.25">
      <c r="A163" t="s">
        <v>911</v>
      </c>
      <c r="B163" t="s">
        <v>812</v>
      </c>
      <c r="C163" t="s">
        <v>4151</v>
      </c>
      <c r="D163" s="1">
        <v>43938</v>
      </c>
      <c r="E163">
        <v>265892.27</v>
      </c>
      <c r="F163">
        <v>265892.27</v>
      </c>
      <c r="G163">
        <v>146409.89000000001</v>
      </c>
      <c r="H163">
        <v>146409.89000000001</v>
      </c>
      <c r="I163">
        <v>18876.38</v>
      </c>
      <c r="J163">
        <v>18876.38</v>
      </c>
      <c r="K163">
        <v>90000</v>
      </c>
      <c r="L163">
        <v>10606</v>
      </c>
    </row>
    <row r="164" spans="1:12" x14ac:dyDescent="0.25">
      <c r="A164" t="s">
        <v>912</v>
      </c>
      <c r="B164" t="s">
        <v>913</v>
      </c>
      <c r="C164" t="s">
        <v>4348</v>
      </c>
      <c r="D164" s="1">
        <v>43940</v>
      </c>
      <c r="E164">
        <v>257556.52</v>
      </c>
      <c r="F164">
        <v>257556.52</v>
      </c>
      <c r="G164">
        <v>96993.36</v>
      </c>
      <c r="H164">
        <v>96993.36</v>
      </c>
      <c r="I164">
        <v>123114.57</v>
      </c>
      <c r="J164">
        <v>123114.57</v>
      </c>
      <c r="K164">
        <v>26885.43</v>
      </c>
      <c r="L164">
        <v>10563.16</v>
      </c>
    </row>
    <row r="165" spans="1:12" x14ac:dyDescent="0.25">
      <c r="A165" t="s">
        <v>914</v>
      </c>
      <c r="B165" t="s">
        <v>915</v>
      </c>
      <c r="C165" t="s">
        <v>4119</v>
      </c>
      <c r="D165" s="1">
        <v>43941</v>
      </c>
      <c r="E165">
        <v>488806.3</v>
      </c>
      <c r="F165">
        <v>488806.3</v>
      </c>
      <c r="I165">
        <v>263098.32</v>
      </c>
      <c r="J165">
        <v>263098.32</v>
      </c>
      <c r="K165">
        <v>215862.7</v>
      </c>
      <c r="L165">
        <v>9845.2800000000007</v>
      </c>
    </row>
    <row r="166" spans="1:12" x14ac:dyDescent="0.25">
      <c r="A166" t="s">
        <v>916</v>
      </c>
      <c r="B166" t="s">
        <v>917</v>
      </c>
      <c r="C166" t="s">
        <v>4349</v>
      </c>
      <c r="D166" s="1">
        <v>43946</v>
      </c>
      <c r="E166">
        <v>604879.22</v>
      </c>
      <c r="F166">
        <v>604879.22</v>
      </c>
      <c r="G166">
        <v>197376.26</v>
      </c>
      <c r="H166">
        <v>197376.26</v>
      </c>
      <c r="I166">
        <v>266052.38</v>
      </c>
      <c r="J166">
        <v>266052.38</v>
      </c>
      <c r="K166">
        <v>129285.4</v>
      </c>
      <c r="L166">
        <v>12165.18</v>
      </c>
    </row>
    <row r="167" spans="1:12" x14ac:dyDescent="0.25">
      <c r="A167" t="s">
        <v>918</v>
      </c>
      <c r="B167" t="s">
        <v>919</v>
      </c>
      <c r="C167" t="s">
        <v>4120</v>
      </c>
      <c r="D167" s="1">
        <v>43948</v>
      </c>
      <c r="E167">
        <v>901994.74</v>
      </c>
      <c r="F167">
        <v>901994.74</v>
      </c>
      <c r="G167">
        <v>16348.71</v>
      </c>
      <c r="H167">
        <v>16348.71</v>
      </c>
      <c r="I167">
        <v>27715.05</v>
      </c>
      <c r="J167">
        <v>27715.05</v>
      </c>
      <c r="K167">
        <v>857930.98</v>
      </c>
    </row>
    <row r="168" spans="1:12" x14ac:dyDescent="0.25">
      <c r="A168" t="s">
        <v>920</v>
      </c>
      <c r="B168" t="s">
        <v>915</v>
      </c>
      <c r="C168" t="s">
        <v>4120</v>
      </c>
      <c r="D168" s="1">
        <v>43948</v>
      </c>
      <c r="E168">
        <v>213846.49</v>
      </c>
      <c r="F168">
        <v>213846.49</v>
      </c>
      <c r="G168">
        <v>22577.07</v>
      </c>
      <c r="H168">
        <v>22577.07</v>
      </c>
      <c r="I168">
        <v>108105.7</v>
      </c>
      <c r="J168">
        <v>108105.7</v>
      </c>
      <c r="K168">
        <v>77163.72</v>
      </c>
      <c r="L168">
        <v>6000</v>
      </c>
    </row>
    <row r="169" spans="1:12" x14ac:dyDescent="0.25">
      <c r="A169" t="s">
        <v>921</v>
      </c>
      <c r="B169" t="s">
        <v>922</v>
      </c>
      <c r="C169" t="s">
        <v>4152</v>
      </c>
      <c r="D169" s="1">
        <v>43949</v>
      </c>
      <c r="E169">
        <v>416.33</v>
      </c>
      <c r="F169">
        <v>416.33</v>
      </c>
      <c r="K169">
        <v>416.33</v>
      </c>
    </row>
    <row r="170" spans="1:12" x14ac:dyDescent="0.25">
      <c r="A170" t="s">
        <v>923</v>
      </c>
      <c r="B170" t="s">
        <v>924</v>
      </c>
      <c r="C170" t="s">
        <v>4218</v>
      </c>
      <c r="D170" s="1">
        <v>43950</v>
      </c>
      <c r="E170">
        <v>39428.5</v>
      </c>
      <c r="F170">
        <v>39428.5</v>
      </c>
      <c r="G170">
        <v>24415.11</v>
      </c>
      <c r="H170">
        <v>24415.11</v>
      </c>
      <c r="I170">
        <v>1909.11</v>
      </c>
      <c r="J170">
        <v>1909.11</v>
      </c>
      <c r="K170">
        <v>13104.28</v>
      </c>
    </row>
    <row r="171" spans="1:12" x14ac:dyDescent="0.25">
      <c r="A171" t="s">
        <v>925</v>
      </c>
      <c r="B171" t="s">
        <v>922</v>
      </c>
      <c r="C171" t="s">
        <v>4350</v>
      </c>
      <c r="D171" s="1">
        <v>43956</v>
      </c>
      <c r="E171">
        <v>2073830.48</v>
      </c>
      <c r="F171">
        <v>2073830.48</v>
      </c>
      <c r="G171">
        <v>84314.02</v>
      </c>
      <c r="H171">
        <v>84314.02</v>
      </c>
      <c r="I171">
        <v>70488.42</v>
      </c>
      <c r="J171">
        <v>70488.42</v>
      </c>
      <c r="K171">
        <v>1919028.04</v>
      </c>
    </row>
    <row r="172" spans="1:12" x14ac:dyDescent="0.25">
      <c r="A172" t="s">
        <v>926</v>
      </c>
      <c r="B172" t="s">
        <v>927</v>
      </c>
      <c r="C172" t="s">
        <v>4153</v>
      </c>
      <c r="D172" s="1">
        <v>43957</v>
      </c>
      <c r="E172">
        <v>8026791.2999999998</v>
      </c>
      <c r="F172">
        <v>8026791.2999999998</v>
      </c>
      <c r="G172">
        <v>352385.37</v>
      </c>
      <c r="H172">
        <v>352385.37</v>
      </c>
      <c r="I172">
        <v>185663.69</v>
      </c>
      <c r="J172">
        <v>185663.69</v>
      </c>
      <c r="K172">
        <v>7488742.2400000002</v>
      </c>
    </row>
    <row r="173" spans="1:12" x14ac:dyDescent="0.25">
      <c r="A173" t="s">
        <v>928</v>
      </c>
      <c r="B173" t="s">
        <v>929</v>
      </c>
      <c r="C173" t="s">
        <v>4153</v>
      </c>
      <c r="D173" s="1">
        <v>43957</v>
      </c>
      <c r="E173">
        <v>395972.29</v>
      </c>
      <c r="F173">
        <v>395972.29</v>
      </c>
      <c r="G173">
        <v>117805.84</v>
      </c>
      <c r="H173">
        <v>117805.84</v>
      </c>
      <c r="I173">
        <v>180071.88</v>
      </c>
      <c r="J173">
        <v>180071.88</v>
      </c>
      <c r="K173">
        <v>98094.57</v>
      </c>
    </row>
    <row r="174" spans="1:12" x14ac:dyDescent="0.25">
      <c r="A174" t="s">
        <v>930</v>
      </c>
      <c r="B174" t="s">
        <v>931</v>
      </c>
      <c r="C174" t="s">
        <v>4219</v>
      </c>
      <c r="D174" s="1">
        <v>43958</v>
      </c>
      <c r="E174">
        <v>200759.89</v>
      </c>
      <c r="F174">
        <v>200759.89</v>
      </c>
      <c r="G174">
        <v>87235.27</v>
      </c>
      <c r="H174">
        <v>87235.27</v>
      </c>
      <c r="I174">
        <v>40932.660000000003</v>
      </c>
      <c r="J174">
        <v>40932.660000000003</v>
      </c>
      <c r="K174">
        <v>72591.960000000006</v>
      </c>
    </row>
    <row r="175" spans="1:12" x14ac:dyDescent="0.25">
      <c r="A175" t="s">
        <v>932</v>
      </c>
      <c r="B175" t="s">
        <v>933</v>
      </c>
      <c r="C175" t="s">
        <v>4154</v>
      </c>
      <c r="D175" s="1">
        <v>43967</v>
      </c>
      <c r="E175">
        <v>216429.22</v>
      </c>
      <c r="F175">
        <v>216429.22</v>
      </c>
      <c r="G175">
        <v>68737.990000000005</v>
      </c>
      <c r="H175">
        <v>68737.990000000005</v>
      </c>
      <c r="I175">
        <v>93807.55</v>
      </c>
      <c r="J175">
        <v>93807.55</v>
      </c>
      <c r="K175">
        <v>44245.27</v>
      </c>
      <c r="L175">
        <v>9638.41</v>
      </c>
    </row>
    <row r="176" spans="1:12" x14ac:dyDescent="0.25">
      <c r="A176" t="s">
        <v>934</v>
      </c>
      <c r="B176" t="s">
        <v>881</v>
      </c>
      <c r="C176" t="s">
        <v>4351</v>
      </c>
      <c r="D176" s="1">
        <v>43971</v>
      </c>
      <c r="E176">
        <v>435633.69</v>
      </c>
      <c r="F176">
        <v>435633.69</v>
      </c>
      <c r="G176">
        <v>129718.58</v>
      </c>
      <c r="H176">
        <v>129718.58</v>
      </c>
      <c r="I176">
        <v>173134.12</v>
      </c>
      <c r="J176">
        <v>173134.12</v>
      </c>
      <c r="K176">
        <v>119947.3</v>
      </c>
      <c r="L176">
        <v>12833.69</v>
      </c>
    </row>
    <row r="177" spans="1:12" x14ac:dyDescent="0.25">
      <c r="A177" t="s">
        <v>935</v>
      </c>
      <c r="B177" t="s">
        <v>936</v>
      </c>
      <c r="C177" t="s">
        <v>4220</v>
      </c>
      <c r="D177" s="1">
        <v>43972</v>
      </c>
      <c r="E177">
        <v>164110.19</v>
      </c>
      <c r="F177">
        <v>164110.19</v>
      </c>
      <c r="G177">
        <v>78391.5</v>
      </c>
      <c r="H177">
        <v>78391.5</v>
      </c>
      <c r="I177">
        <v>30338.94</v>
      </c>
      <c r="J177">
        <v>30338.94</v>
      </c>
      <c r="K177">
        <v>55379.75</v>
      </c>
    </row>
    <row r="178" spans="1:12" x14ac:dyDescent="0.25">
      <c r="A178" t="s">
        <v>937</v>
      </c>
      <c r="B178" t="s">
        <v>938</v>
      </c>
      <c r="C178" t="s">
        <v>4220</v>
      </c>
      <c r="D178" s="1">
        <v>43972</v>
      </c>
      <c r="E178">
        <v>151237.82</v>
      </c>
      <c r="F178">
        <v>151237.82</v>
      </c>
      <c r="I178">
        <v>16373.16</v>
      </c>
      <c r="J178">
        <v>16373.16</v>
      </c>
      <c r="K178">
        <v>134864.66</v>
      </c>
    </row>
    <row r="179" spans="1:12" x14ac:dyDescent="0.25">
      <c r="A179" t="s">
        <v>939</v>
      </c>
      <c r="B179" t="s">
        <v>936</v>
      </c>
      <c r="C179" t="s">
        <v>4220</v>
      </c>
      <c r="D179" s="1">
        <v>43972</v>
      </c>
      <c r="E179">
        <v>348103.88</v>
      </c>
      <c r="F179">
        <v>348103.88</v>
      </c>
      <c r="G179">
        <v>215861.99</v>
      </c>
      <c r="H179">
        <v>215861.99</v>
      </c>
      <c r="I179">
        <v>76862.14</v>
      </c>
      <c r="J179">
        <v>76862.14</v>
      </c>
      <c r="K179">
        <v>55379.75</v>
      </c>
    </row>
    <row r="180" spans="1:12" x14ac:dyDescent="0.25">
      <c r="A180" t="s">
        <v>940</v>
      </c>
      <c r="B180" t="s">
        <v>941</v>
      </c>
      <c r="C180" t="s">
        <v>4221</v>
      </c>
      <c r="D180" s="1">
        <v>43973</v>
      </c>
      <c r="E180">
        <v>962935.54</v>
      </c>
      <c r="F180">
        <v>962935.54</v>
      </c>
      <c r="G180">
        <v>341241.24</v>
      </c>
      <c r="H180">
        <v>341241.24</v>
      </c>
      <c r="I180">
        <v>388571.59</v>
      </c>
      <c r="J180">
        <v>388571.59</v>
      </c>
      <c r="K180">
        <v>218544.54</v>
      </c>
      <c r="L180">
        <v>14578.17</v>
      </c>
    </row>
    <row r="181" spans="1:12" x14ac:dyDescent="0.25">
      <c r="A181" t="s">
        <v>942</v>
      </c>
      <c r="B181" t="s">
        <v>943</v>
      </c>
      <c r="C181" t="s">
        <v>4352</v>
      </c>
      <c r="D181" s="1">
        <v>43981</v>
      </c>
      <c r="E181">
        <v>692675.99</v>
      </c>
      <c r="F181">
        <v>692675.99</v>
      </c>
      <c r="G181">
        <v>240890.38</v>
      </c>
      <c r="H181">
        <v>240890.38</v>
      </c>
      <c r="I181">
        <v>281728.81</v>
      </c>
      <c r="J181">
        <v>281728.81</v>
      </c>
      <c r="K181">
        <v>157137.60999999999</v>
      </c>
      <c r="L181">
        <v>12919.19</v>
      </c>
    </row>
    <row r="182" spans="1:12" x14ac:dyDescent="0.25">
      <c r="A182" t="s">
        <v>944</v>
      </c>
      <c r="B182" t="s">
        <v>945</v>
      </c>
      <c r="C182" t="s">
        <v>4353</v>
      </c>
      <c r="D182" s="1">
        <v>43987</v>
      </c>
      <c r="E182">
        <v>361624.98</v>
      </c>
      <c r="F182">
        <v>361624.98</v>
      </c>
      <c r="G182">
        <v>120000</v>
      </c>
      <c r="H182">
        <v>120000</v>
      </c>
      <c r="I182">
        <v>147383.44</v>
      </c>
      <c r="J182">
        <v>147383.44</v>
      </c>
      <c r="K182">
        <v>87855.75</v>
      </c>
      <c r="L182">
        <v>6385.79</v>
      </c>
    </row>
    <row r="183" spans="1:12" x14ac:dyDescent="0.25">
      <c r="A183" t="s">
        <v>946</v>
      </c>
      <c r="B183" t="s">
        <v>947</v>
      </c>
      <c r="C183" t="s">
        <v>4354</v>
      </c>
      <c r="D183" s="1">
        <v>44006</v>
      </c>
      <c r="E183">
        <v>1598801.94</v>
      </c>
      <c r="F183">
        <v>1598801.94</v>
      </c>
      <c r="G183">
        <v>285524.37</v>
      </c>
      <c r="H183">
        <v>285524.37</v>
      </c>
      <c r="I183">
        <v>1069724.33</v>
      </c>
      <c r="J183">
        <v>1069724.33</v>
      </c>
      <c r="K183">
        <v>230195.45</v>
      </c>
      <c r="L183">
        <v>13357.79</v>
      </c>
    </row>
    <row r="184" spans="1:12" x14ac:dyDescent="0.25">
      <c r="A184" t="s">
        <v>948</v>
      </c>
      <c r="B184" t="s">
        <v>949</v>
      </c>
      <c r="C184" t="s">
        <v>4355</v>
      </c>
      <c r="D184" s="1">
        <v>44009</v>
      </c>
      <c r="E184">
        <v>312404.90000000002</v>
      </c>
      <c r="F184">
        <v>312404.90000000002</v>
      </c>
      <c r="G184">
        <v>112952.52</v>
      </c>
      <c r="H184">
        <v>112952.52</v>
      </c>
      <c r="I184">
        <v>118748.68</v>
      </c>
      <c r="J184">
        <v>118748.68</v>
      </c>
      <c r="K184">
        <v>70143.509999999995</v>
      </c>
      <c r="L184">
        <v>10560.19</v>
      </c>
    </row>
    <row r="185" spans="1:12" x14ac:dyDescent="0.25">
      <c r="A185" t="s">
        <v>950</v>
      </c>
      <c r="B185" t="s">
        <v>951</v>
      </c>
      <c r="C185" t="s">
        <v>4356</v>
      </c>
      <c r="D185" s="1">
        <v>44013</v>
      </c>
      <c r="E185">
        <v>912211.8</v>
      </c>
      <c r="F185">
        <v>912211.8</v>
      </c>
      <c r="G185">
        <v>428339.42</v>
      </c>
      <c r="H185">
        <v>428339.42</v>
      </c>
      <c r="I185">
        <v>214369.36</v>
      </c>
      <c r="J185">
        <v>214369.36</v>
      </c>
      <c r="K185">
        <v>253651.91</v>
      </c>
      <c r="L185">
        <v>15851.11</v>
      </c>
    </row>
    <row r="186" spans="1:12" x14ac:dyDescent="0.25">
      <c r="A186" t="s">
        <v>952</v>
      </c>
      <c r="B186" t="s">
        <v>953</v>
      </c>
      <c r="C186" t="s">
        <v>4357</v>
      </c>
      <c r="D186" s="1">
        <v>44015</v>
      </c>
      <c r="E186">
        <v>1022553.13</v>
      </c>
      <c r="F186">
        <v>1022553.13</v>
      </c>
      <c r="G186">
        <v>456454.36</v>
      </c>
      <c r="H186">
        <v>456454.36</v>
      </c>
      <c r="I186">
        <v>212705.58</v>
      </c>
      <c r="J186">
        <v>212705.58</v>
      </c>
      <c r="K186">
        <v>336945.48</v>
      </c>
      <c r="L186">
        <v>16447.71</v>
      </c>
    </row>
    <row r="187" spans="1:12" x14ac:dyDescent="0.25">
      <c r="A187" t="s">
        <v>954</v>
      </c>
      <c r="B187" t="s">
        <v>955</v>
      </c>
      <c r="C187" t="s">
        <v>4358</v>
      </c>
      <c r="D187" s="1">
        <v>44018</v>
      </c>
      <c r="E187">
        <v>1744675.02</v>
      </c>
      <c r="F187">
        <v>1744675.02</v>
      </c>
      <c r="G187">
        <v>981181.77</v>
      </c>
      <c r="H187">
        <v>981181.77</v>
      </c>
      <c r="I187">
        <v>361773.78</v>
      </c>
      <c r="J187">
        <v>361773.78</v>
      </c>
      <c r="K187">
        <v>380375.52</v>
      </c>
      <c r="L187">
        <v>21343.95</v>
      </c>
    </row>
    <row r="188" spans="1:12" x14ac:dyDescent="0.25">
      <c r="A188" t="s">
        <v>956</v>
      </c>
      <c r="B188" t="s">
        <v>957</v>
      </c>
      <c r="C188" t="s">
        <v>4359</v>
      </c>
      <c r="D188" s="1">
        <v>44021</v>
      </c>
      <c r="E188">
        <v>101820.7</v>
      </c>
      <c r="F188">
        <v>101820.7</v>
      </c>
      <c r="G188">
        <v>65820.7</v>
      </c>
      <c r="H188">
        <v>65820.7</v>
      </c>
      <c r="K188">
        <v>30000</v>
      </c>
      <c r="L188">
        <v>6000</v>
      </c>
    </row>
    <row r="189" spans="1:12" x14ac:dyDescent="0.25">
      <c r="A189" t="s">
        <v>958</v>
      </c>
      <c r="B189" t="s">
        <v>959</v>
      </c>
      <c r="C189" t="s">
        <v>4155</v>
      </c>
      <c r="D189" s="1">
        <v>44024</v>
      </c>
      <c r="E189">
        <v>635866.04</v>
      </c>
      <c r="F189">
        <v>635866.04</v>
      </c>
      <c r="G189">
        <v>221949.58</v>
      </c>
      <c r="H189">
        <v>221949.58</v>
      </c>
      <c r="I189">
        <v>248782.4</v>
      </c>
      <c r="J189">
        <v>248782.4</v>
      </c>
      <c r="K189">
        <v>156217.60000000001</v>
      </c>
      <c r="L189">
        <v>8916.4599999999991</v>
      </c>
    </row>
    <row r="190" spans="1:12" x14ac:dyDescent="0.25">
      <c r="A190" t="s">
        <v>960</v>
      </c>
      <c r="B190" t="s">
        <v>961</v>
      </c>
      <c r="C190" t="s">
        <v>4360</v>
      </c>
      <c r="D190" s="1">
        <v>44027</v>
      </c>
      <c r="E190">
        <v>156620.44</v>
      </c>
      <c r="F190">
        <v>156620.44</v>
      </c>
      <c r="G190">
        <v>68837.509999999995</v>
      </c>
      <c r="H190">
        <v>68837.509999999995</v>
      </c>
      <c r="I190">
        <v>47743.65</v>
      </c>
      <c r="J190">
        <v>47743.65</v>
      </c>
      <c r="K190">
        <v>40039.279999999999</v>
      </c>
    </row>
    <row r="191" spans="1:12" x14ac:dyDescent="0.25">
      <c r="A191" t="s">
        <v>962</v>
      </c>
      <c r="B191" t="s">
        <v>963</v>
      </c>
      <c r="C191" t="s">
        <v>4121</v>
      </c>
      <c r="D191" s="1">
        <v>44029</v>
      </c>
      <c r="E191">
        <v>343966.59</v>
      </c>
      <c r="F191">
        <v>343966.59</v>
      </c>
      <c r="G191">
        <v>119184.95</v>
      </c>
      <c r="H191">
        <v>119184.95</v>
      </c>
      <c r="I191">
        <v>145647.29</v>
      </c>
      <c r="J191">
        <v>145647.29</v>
      </c>
      <c r="K191">
        <v>72726.66</v>
      </c>
      <c r="L191">
        <v>6407.69</v>
      </c>
    </row>
    <row r="192" spans="1:12" x14ac:dyDescent="0.25">
      <c r="A192" t="s">
        <v>964</v>
      </c>
      <c r="B192" t="s">
        <v>965</v>
      </c>
      <c r="C192" t="s">
        <v>4222</v>
      </c>
      <c r="D192" s="1">
        <v>44030</v>
      </c>
      <c r="E192">
        <v>985563.41</v>
      </c>
      <c r="F192">
        <v>985563.41</v>
      </c>
      <c r="G192">
        <v>357064.12</v>
      </c>
      <c r="H192">
        <v>357064.12</v>
      </c>
      <c r="I192">
        <v>399226.93</v>
      </c>
      <c r="J192">
        <v>399226.93</v>
      </c>
      <c r="K192">
        <v>217687.71</v>
      </c>
      <c r="L192">
        <v>11584.65</v>
      </c>
    </row>
    <row r="193" spans="1:12" x14ac:dyDescent="0.25">
      <c r="A193" t="s">
        <v>966</v>
      </c>
      <c r="B193" t="s">
        <v>967</v>
      </c>
      <c r="C193" t="s">
        <v>4122</v>
      </c>
      <c r="D193" s="1">
        <v>44032</v>
      </c>
      <c r="E193">
        <v>130260.4</v>
      </c>
      <c r="F193">
        <v>130260.4</v>
      </c>
      <c r="G193">
        <v>67010.84</v>
      </c>
      <c r="H193">
        <v>67010.84</v>
      </c>
      <c r="I193">
        <v>20255.84</v>
      </c>
      <c r="J193">
        <v>20255.84</v>
      </c>
      <c r="K193">
        <v>34050.879999999997</v>
      </c>
      <c r="L193">
        <v>8942.84</v>
      </c>
    </row>
    <row r="194" spans="1:12" x14ac:dyDescent="0.25">
      <c r="A194" t="s">
        <v>968</v>
      </c>
      <c r="B194" t="s">
        <v>963</v>
      </c>
      <c r="C194" t="s">
        <v>4223</v>
      </c>
      <c r="D194" s="1">
        <v>44033</v>
      </c>
      <c r="E194">
        <v>238944.61</v>
      </c>
      <c r="F194">
        <v>238944.61</v>
      </c>
      <c r="G194">
        <v>82579.23</v>
      </c>
      <c r="H194">
        <v>82579.23</v>
      </c>
      <c r="I194">
        <v>100153.9</v>
      </c>
      <c r="J194">
        <v>100153.9</v>
      </c>
      <c r="K194">
        <v>50211.48</v>
      </c>
      <c r="L194">
        <v>6000</v>
      </c>
    </row>
    <row r="195" spans="1:12" x14ac:dyDescent="0.25">
      <c r="A195" t="s">
        <v>969</v>
      </c>
      <c r="B195" t="s">
        <v>970</v>
      </c>
      <c r="C195" t="s">
        <v>4224</v>
      </c>
      <c r="D195" s="1">
        <v>44034</v>
      </c>
      <c r="E195">
        <v>627972.19999999995</v>
      </c>
      <c r="F195">
        <v>627972.19999999995</v>
      </c>
      <c r="G195">
        <v>216486.61</v>
      </c>
      <c r="H195">
        <v>216486.61</v>
      </c>
      <c r="I195">
        <v>240223.04</v>
      </c>
      <c r="J195">
        <v>240223.04</v>
      </c>
      <c r="K195">
        <v>171262.55</v>
      </c>
    </row>
    <row r="196" spans="1:12" x14ac:dyDescent="0.25">
      <c r="A196" t="s">
        <v>971</v>
      </c>
      <c r="B196" t="s">
        <v>972</v>
      </c>
      <c r="C196" t="s">
        <v>4123</v>
      </c>
      <c r="D196" s="1">
        <v>44038</v>
      </c>
      <c r="E196">
        <v>548064.86</v>
      </c>
      <c r="F196">
        <v>548064.86</v>
      </c>
      <c r="G196">
        <v>190899.14</v>
      </c>
      <c r="H196">
        <v>190899.14</v>
      </c>
      <c r="I196">
        <v>229330.03</v>
      </c>
      <c r="J196">
        <v>229330.03</v>
      </c>
      <c r="K196">
        <v>115558.89</v>
      </c>
      <c r="L196">
        <v>12276.8</v>
      </c>
    </row>
    <row r="197" spans="1:12" x14ac:dyDescent="0.25">
      <c r="A197" t="s">
        <v>973</v>
      </c>
      <c r="B197" t="s">
        <v>974</v>
      </c>
      <c r="C197" t="s">
        <v>4124</v>
      </c>
      <c r="D197" s="1">
        <v>44041</v>
      </c>
      <c r="E197">
        <v>281700.32</v>
      </c>
      <c r="F197">
        <v>281700.32</v>
      </c>
      <c r="G197">
        <v>152841.37</v>
      </c>
      <c r="H197">
        <v>152841.37</v>
      </c>
      <c r="K197">
        <v>116047.82</v>
      </c>
      <c r="L197">
        <v>12811.13</v>
      </c>
    </row>
    <row r="198" spans="1:12" x14ac:dyDescent="0.25">
      <c r="A198" t="s">
        <v>975</v>
      </c>
      <c r="B198" t="s">
        <v>976</v>
      </c>
      <c r="C198" t="s">
        <v>4225</v>
      </c>
      <c r="D198" s="1">
        <v>44042</v>
      </c>
      <c r="E198">
        <v>4001310.58</v>
      </c>
      <c r="F198">
        <v>4001310.58</v>
      </c>
      <c r="G198">
        <v>150000</v>
      </c>
      <c r="H198">
        <v>150000</v>
      </c>
      <c r="I198">
        <v>130355.5</v>
      </c>
      <c r="J198">
        <v>130355.5</v>
      </c>
      <c r="K198">
        <v>3720955.08</v>
      </c>
    </row>
    <row r="199" spans="1:12" x14ac:dyDescent="0.25">
      <c r="A199" t="s">
        <v>977</v>
      </c>
      <c r="B199" t="s">
        <v>957</v>
      </c>
      <c r="C199" t="s">
        <v>4361</v>
      </c>
      <c r="D199" s="1">
        <v>44050</v>
      </c>
      <c r="E199">
        <v>187064.37</v>
      </c>
      <c r="F199">
        <v>187064.37</v>
      </c>
      <c r="G199">
        <v>110000</v>
      </c>
      <c r="H199">
        <v>110000</v>
      </c>
      <c r="I199">
        <v>25064.37</v>
      </c>
      <c r="J199">
        <v>25064.37</v>
      </c>
      <c r="K199">
        <v>45000</v>
      </c>
      <c r="L199">
        <v>7000</v>
      </c>
    </row>
    <row r="200" spans="1:12" x14ac:dyDescent="0.25">
      <c r="A200" t="s">
        <v>978</v>
      </c>
      <c r="B200" t="s">
        <v>976</v>
      </c>
      <c r="C200" t="s">
        <v>4125</v>
      </c>
      <c r="D200" s="1">
        <v>44052</v>
      </c>
      <c r="E200">
        <v>7048953.21</v>
      </c>
      <c r="F200">
        <v>7048953.21</v>
      </c>
      <c r="G200">
        <v>289226.32</v>
      </c>
      <c r="H200">
        <v>289226.32</v>
      </c>
      <c r="I200">
        <v>201661.2</v>
      </c>
      <c r="J200">
        <v>201661.2</v>
      </c>
      <c r="K200">
        <v>6558065.6900000004</v>
      </c>
    </row>
    <row r="201" spans="1:12" x14ac:dyDescent="0.25">
      <c r="A201" t="s">
        <v>979</v>
      </c>
      <c r="B201" t="s">
        <v>980</v>
      </c>
      <c r="C201" t="s">
        <v>4156</v>
      </c>
      <c r="D201" s="1">
        <v>44053</v>
      </c>
      <c r="E201">
        <v>946482.04</v>
      </c>
      <c r="F201">
        <v>946482.04</v>
      </c>
      <c r="G201">
        <v>539180.56999999995</v>
      </c>
      <c r="H201">
        <v>539180.56999999995</v>
      </c>
      <c r="I201">
        <v>121426.43</v>
      </c>
      <c r="J201">
        <v>121426.43</v>
      </c>
      <c r="K201">
        <v>285875.03999999998</v>
      </c>
    </row>
    <row r="202" spans="1:12" x14ac:dyDescent="0.25">
      <c r="A202" t="s">
        <v>981</v>
      </c>
      <c r="B202" t="s">
        <v>982</v>
      </c>
      <c r="C202" t="s">
        <v>4226</v>
      </c>
      <c r="D202" s="1">
        <v>44054</v>
      </c>
      <c r="E202">
        <v>1468728.48</v>
      </c>
      <c r="F202">
        <v>1468728.48</v>
      </c>
      <c r="G202">
        <v>597267.06999999995</v>
      </c>
      <c r="H202">
        <v>597267.06999999995</v>
      </c>
      <c r="I202">
        <v>492728</v>
      </c>
      <c r="J202">
        <v>492728</v>
      </c>
      <c r="K202">
        <v>365412.54</v>
      </c>
      <c r="L202">
        <v>13320.87</v>
      </c>
    </row>
    <row r="203" spans="1:12" x14ac:dyDescent="0.25">
      <c r="A203" t="s">
        <v>983</v>
      </c>
      <c r="B203" t="s">
        <v>984</v>
      </c>
      <c r="C203" t="s">
        <v>4227</v>
      </c>
      <c r="D203" s="1">
        <v>44055</v>
      </c>
      <c r="E203">
        <v>1250000</v>
      </c>
      <c r="F203">
        <v>1250000</v>
      </c>
      <c r="G203">
        <v>500000</v>
      </c>
      <c r="H203">
        <v>500000</v>
      </c>
      <c r="I203">
        <v>441145.84</v>
      </c>
      <c r="J203">
        <v>441145.84</v>
      </c>
      <c r="K203">
        <v>308854.15999999997</v>
      </c>
    </row>
    <row r="204" spans="1:12" x14ac:dyDescent="0.25">
      <c r="A204" t="s">
        <v>985</v>
      </c>
      <c r="B204" t="s">
        <v>986</v>
      </c>
      <c r="C204" t="s">
        <v>4228</v>
      </c>
      <c r="D204" s="1">
        <v>44056</v>
      </c>
      <c r="E204">
        <v>3399185.61</v>
      </c>
      <c r="F204">
        <v>3399185.61</v>
      </c>
      <c r="G204">
        <v>150000</v>
      </c>
      <c r="H204">
        <v>150000</v>
      </c>
      <c r="I204">
        <v>133566.89000000001</v>
      </c>
      <c r="J204">
        <v>133566.89000000001</v>
      </c>
      <c r="K204">
        <v>3115618.72</v>
      </c>
    </row>
    <row r="205" spans="1:12" x14ac:dyDescent="0.25">
      <c r="A205" t="s">
        <v>987</v>
      </c>
      <c r="B205" t="s">
        <v>988</v>
      </c>
      <c r="C205" t="s">
        <v>4229</v>
      </c>
      <c r="D205" s="1">
        <v>44057</v>
      </c>
      <c r="E205">
        <v>725592.74</v>
      </c>
      <c r="F205">
        <v>725592.74</v>
      </c>
      <c r="G205">
        <v>420910.34</v>
      </c>
      <c r="H205">
        <v>420910.34</v>
      </c>
      <c r="I205">
        <v>46351.29</v>
      </c>
      <c r="J205">
        <v>46351.29</v>
      </c>
      <c r="K205">
        <v>248331.11</v>
      </c>
      <c r="L205">
        <v>10000</v>
      </c>
    </row>
    <row r="206" spans="1:12" x14ac:dyDescent="0.25">
      <c r="A206" t="s">
        <v>989</v>
      </c>
      <c r="B206" t="s">
        <v>936</v>
      </c>
      <c r="C206" t="s">
        <v>4362</v>
      </c>
      <c r="D206" s="1">
        <v>44059</v>
      </c>
      <c r="E206">
        <v>255670.01</v>
      </c>
      <c r="F206">
        <v>255670.01</v>
      </c>
      <c r="G206">
        <v>131027.51</v>
      </c>
      <c r="H206">
        <v>131027.51</v>
      </c>
      <c r="I206">
        <v>96494.16</v>
      </c>
      <c r="J206">
        <v>96494.16</v>
      </c>
      <c r="K206">
        <v>28148.34</v>
      </c>
    </row>
    <row r="207" spans="1:12" x14ac:dyDescent="0.25">
      <c r="A207" t="s">
        <v>990</v>
      </c>
      <c r="B207" t="s">
        <v>991</v>
      </c>
      <c r="C207" t="s">
        <v>4362</v>
      </c>
      <c r="D207" s="1">
        <v>44059</v>
      </c>
      <c r="E207">
        <v>67041.100000000006</v>
      </c>
      <c r="F207">
        <v>67041.100000000006</v>
      </c>
      <c r="I207">
        <v>35821.22</v>
      </c>
      <c r="J207">
        <v>35821.22</v>
      </c>
      <c r="K207">
        <v>31219.88</v>
      </c>
    </row>
    <row r="208" spans="1:12" x14ac:dyDescent="0.25">
      <c r="A208" t="s">
        <v>992</v>
      </c>
      <c r="B208" t="s">
        <v>976</v>
      </c>
      <c r="C208" t="s">
        <v>4157</v>
      </c>
      <c r="D208" s="1">
        <v>44061</v>
      </c>
      <c r="E208">
        <v>3771410.93</v>
      </c>
      <c r="F208">
        <v>3771410.93</v>
      </c>
      <c r="G208">
        <v>170071.42</v>
      </c>
      <c r="H208">
        <v>170071.42</v>
      </c>
      <c r="I208">
        <v>116487.27</v>
      </c>
      <c r="J208">
        <v>116487.27</v>
      </c>
      <c r="K208">
        <v>3484852.24</v>
      </c>
    </row>
    <row r="209" spans="1:12" x14ac:dyDescent="0.25">
      <c r="A209" t="s">
        <v>993</v>
      </c>
      <c r="B209" t="s">
        <v>982</v>
      </c>
      <c r="C209" t="s">
        <v>4158</v>
      </c>
      <c r="D209" s="1">
        <v>44063</v>
      </c>
      <c r="E209">
        <v>541617.34</v>
      </c>
      <c r="F209">
        <v>541617.34</v>
      </c>
      <c r="G209">
        <v>200000</v>
      </c>
      <c r="H209">
        <v>200000</v>
      </c>
      <c r="I209">
        <v>223249.34</v>
      </c>
      <c r="J209">
        <v>223249.34</v>
      </c>
      <c r="K209">
        <v>118368</v>
      </c>
    </row>
    <row r="210" spans="1:12" x14ac:dyDescent="0.25">
      <c r="A210" t="s">
        <v>994</v>
      </c>
      <c r="B210" t="s">
        <v>995</v>
      </c>
      <c r="C210" t="s">
        <v>4159</v>
      </c>
      <c r="D210" s="1">
        <v>44072</v>
      </c>
      <c r="E210">
        <v>53619.1</v>
      </c>
      <c r="F210">
        <v>53619.1</v>
      </c>
      <c r="G210">
        <v>20033.48</v>
      </c>
      <c r="H210">
        <v>20033.48</v>
      </c>
      <c r="K210">
        <v>33585.620000000003</v>
      </c>
    </row>
    <row r="211" spans="1:12" x14ac:dyDescent="0.25">
      <c r="A211" t="s">
        <v>996</v>
      </c>
      <c r="B211" t="s">
        <v>959</v>
      </c>
      <c r="C211" t="s">
        <v>4159</v>
      </c>
      <c r="D211" s="1">
        <v>44072</v>
      </c>
      <c r="E211">
        <v>483428.86</v>
      </c>
      <c r="F211">
        <v>483428.86</v>
      </c>
      <c r="G211">
        <v>167386.20000000001</v>
      </c>
      <c r="H211">
        <v>167386.20000000001</v>
      </c>
      <c r="I211">
        <v>181058.21</v>
      </c>
      <c r="J211">
        <v>181058.21</v>
      </c>
      <c r="K211">
        <v>128984.45</v>
      </c>
      <c r="L211">
        <v>6000</v>
      </c>
    </row>
    <row r="212" spans="1:12" x14ac:dyDescent="0.25">
      <c r="A212" t="s">
        <v>997</v>
      </c>
      <c r="B212" t="s">
        <v>998</v>
      </c>
      <c r="C212" t="s">
        <v>4160</v>
      </c>
      <c r="D212" s="1">
        <v>44074</v>
      </c>
      <c r="E212">
        <v>443.58</v>
      </c>
      <c r="F212">
        <v>443.58</v>
      </c>
      <c r="K212">
        <v>443.58</v>
      </c>
    </row>
    <row r="213" spans="1:12" x14ac:dyDescent="0.25">
      <c r="A213" t="s">
        <v>999</v>
      </c>
      <c r="B213" t="s">
        <v>1000</v>
      </c>
      <c r="C213" t="s">
        <v>4363</v>
      </c>
      <c r="D213" s="1">
        <v>44076</v>
      </c>
      <c r="E213">
        <v>425397.33</v>
      </c>
      <c r="F213">
        <v>425397.33</v>
      </c>
      <c r="G213">
        <v>149849.26</v>
      </c>
      <c r="H213">
        <v>149849.26</v>
      </c>
      <c r="I213">
        <v>167256.41</v>
      </c>
      <c r="J213">
        <v>167256.41</v>
      </c>
      <c r="K213">
        <v>102291.66</v>
      </c>
      <c r="L213">
        <v>6000</v>
      </c>
    </row>
    <row r="214" spans="1:12" x14ac:dyDescent="0.25">
      <c r="A214" t="s">
        <v>1001</v>
      </c>
      <c r="B214" t="s">
        <v>965</v>
      </c>
      <c r="C214" t="s">
        <v>4364</v>
      </c>
      <c r="D214" s="1">
        <v>44081</v>
      </c>
      <c r="E214">
        <v>452289.59</v>
      </c>
      <c r="F214">
        <v>452289.59</v>
      </c>
      <c r="G214">
        <v>175558.02</v>
      </c>
      <c r="H214">
        <v>175558.02</v>
      </c>
      <c r="I214">
        <v>168535.74</v>
      </c>
      <c r="J214">
        <v>168535.74</v>
      </c>
      <c r="K214">
        <v>102195.83</v>
      </c>
      <c r="L214">
        <v>6000</v>
      </c>
    </row>
    <row r="215" spans="1:12" x14ac:dyDescent="0.25">
      <c r="A215" t="s">
        <v>1002</v>
      </c>
      <c r="B215" t="s">
        <v>1003</v>
      </c>
      <c r="C215" t="s">
        <v>4365</v>
      </c>
      <c r="D215" s="1">
        <v>44088</v>
      </c>
      <c r="E215">
        <v>1378655.79</v>
      </c>
      <c r="F215">
        <v>1378655.79</v>
      </c>
      <c r="G215">
        <v>556489.29</v>
      </c>
      <c r="H215">
        <v>556489.29</v>
      </c>
      <c r="I215">
        <v>482069.89</v>
      </c>
      <c r="J215">
        <v>482069.89</v>
      </c>
      <c r="K215">
        <v>321840.02</v>
      </c>
      <c r="L215">
        <v>18256.59</v>
      </c>
    </row>
    <row r="216" spans="1:12" x14ac:dyDescent="0.25">
      <c r="A216" t="s">
        <v>1004</v>
      </c>
      <c r="B216" t="s">
        <v>1005</v>
      </c>
      <c r="C216" t="s">
        <v>4365</v>
      </c>
      <c r="D216" s="1">
        <v>44088</v>
      </c>
      <c r="E216">
        <v>101723.4</v>
      </c>
      <c r="F216">
        <v>101723.4</v>
      </c>
      <c r="I216">
        <v>48253.24</v>
      </c>
      <c r="J216">
        <v>48253.24</v>
      </c>
      <c r="K216">
        <v>43200</v>
      </c>
      <c r="L216">
        <v>10270.16</v>
      </c>
    </row>
    <row r="217" spans="1:12" x14ac:dyDescent="0.25">
      <c r="A217" t="s">
        <v>1006</v>
      </c>
      <c r="B217" t="s">
        <v>1007</v>
      </c>
      <c r="C217" t="s">
        <v>4230</v>
      </c>
      <c r="D217" s="1">
        <v>44089</v>
      </c>
      <c r="E217">
        <v>102275.65</v>
      </c>
      <c r="F217">
        <v>102275.65</v>
      </c>
      <c r="I217">
        <v>43463.9</v>
      </c>
      <c r="J217">
        <v>43463.9</v>
      </c>
      <c r="K217">
        <v>58811.75</v>
      </c>
    </row>
    <row r="218" spans="1:12" x14ac:dyDescent="0.25">
      <c r="A218" t="s">
        <v>1008</v>
      </c>
      <c r="B218" t="s">
        <v>1009</v>
      </c>
      <c r="C218" t="s">
        <v>4366</v>
      </c>
      <c r="D218" s="1">
        <v>44095</v>
      </c>
      <c r="E218">
        <v>1103568.75</v>
      </c>
      <c r="F218">
        <v>1103568.75</v>
      </c>
      <c r="G218">
        <v>450000</v>
      </c>
      <c r="H218">
        <v>450000</v>
      </c>
      <c r="I218">
        <v>379183.58</v>
      </c>
      <c r="J218">
        <v>379183.58</v>
      </c>
      <c r="K218">
        <v>258552</v>
      </c>
      <c r="L218">
        <v>15833.17</v>
      </c>
    </row>
    <row r="219" spans="1:12" x14ac:dyDescent="0.25">
      <c r="A219" t="s">
        <v>1010</v>
      </c>
      <c r="B219" t="s">
        <v>1011</v>
      </c>
      <c r="C219" t="s">
        <v>4161</v>
      </c>
      <c r="D219" s="1">
        <v>44099</v>
      </c>
      <c r="E219">
        <v>442441.3</v>
      </c>
      <c r="F219">
        <v>442441.3</v>
      </c>
      <c r="G219">
        <v>187562.77</v>
      </c>
      <c r="H219">
        <v>187562.77</v>
      </c>
      <c r="I219">
        <v>140070.87</v>
      </c>
      <c r="J219">
        <v>140070.87</v>
      </c>
      <c r="K219">
        <v>107360.93</v>
      </c>
      <c r="L219">
        <v>7446.73</v>
      </c>
    </row>
    <row r="220" spans="1:12" x14ac:dyDescent="0.25">
      <c r="A220" t="s">
        <v>1012</v>
      </c>
      <c r="B220" t="s">
        <v>1013</v>
      </c>
      <c r="C220" t="s">
        <v>4162</v>
      </c>
      <c r="D220" s="1">
        <v>44106</v>
      </c>
      <c r="E220">
        <v>496240.02</v>
      </c>
      <c r="F220">
        <v>496240.02</v>
      </c>
      <c r="G220">
        <v>193846.7</v>
      </c>
      <c r="H220">
        <v>193846.7</v>
      </c>
      <c r="I220">
        <v>176012.79999999999</v>
      </c>
      <c r="J220">
        <v>176012.79999999999</v>
      </c>
      <c r="K220">
        <v>114593.99</v>
      </c>
      <c r="L220">
        <v>11786.53</v>
      </c>
    </row>
    <row r="221" spans="1:12" x14ac:dyDescent="0.25">
      <c r="A221" t="s">
        <v>1014</v>
      </c>
      <c r="B221" t="s">
        <v>1000</v>
      </c>
      <c r="C221" t="s">
        <v>4367</v>
      </c>
      <c r="D221" s="1">
        <v>44109</v>
      </c>
      <c r="E221">
        <v>1403865.85</v>
      </c>
      <c r="F221">
        <v>1403865.85</v>
      </c>
      <c r="G221">
        <v>511436.55</v>
      </c>
      <c r="H221">
        <v>511436.55</v>
      </c>
      <c r="I221">
        <v>588754.54</v>
      </c>
      <c r="J221">
        <v>588754.54</v>
      </c>
      <c r="K221">
        <v>289984.52</v>
      </c>
      <c r="L221">
        <v>13690.24</v>
      </c>
    </row>
    <row r="222" spans="1:12" x14ac:dyDescent="0.25">
      <c r="A222" t="s">
        <v>1015</v>
      </c>
      <c r="B222" t="s">
        <v>1016</v>
      </c>
      <c r="C222" t="s">
        <v>4367</v>
      </c>
      <c r="D222" s="1">
        <v>44109</v>
      </c>
      <c r="E222">
        <v>116921.18</v>
      </c>
      <c r="F222">
        <v>116921.18</v>
      </c>
      <c r="G222">
        <v>82976.45</v>
      </c>
      <c r="H222">
        <v>82976.45</v>
      </c>
      <c r="K222">
        <v>22140.36</v>
      </c>
      <c r="L222">
        <v>11804.37</v>
      </c>
    </row>
    <row r="223" spans="1:12" x14ac:dyDescent="0.25">
      <c r="A223" t="s">
        <v>1017</v>
      </c>
      <c r="B223" t="s">
        <v>1018</v>
      </c>
      <c r="C223" t="s">
        <v>4368</v>
      </c>
      <c r="D223" s="1">
        <v>44112</v>
      </c>
      <c r="E223">
        <v>203546.29</v>
      </c>
      <c r="F223">
        <v>203546.29</v>
      </c>
      <c r="G223">
        <v>100000</v>
      </c>
      <c r="H223">
        <v>100000</v>
      </c>
      <c r="I223">
        <v>71461.61</v>
      </c>
      <c r="J223">
        <v>71461.61</v>
      </c>
      <c r="K223">
        <v>25486.59</v>
      </c>
      <c r="L223">
        <v>6598.09</v>
      </c>
    </row>
    <row r="224" spans="1:12" x14ac:dyDescent="0.25">
      <c r="A224" t="s">
        <v>1019</v>
      </c>
      <c r="B224" t="s">
        <v>1020</v>
      </c>
      <c r="C224" t="s">
        <v>4369</v>
      </c>
      <c r="D224" s="1">
        <v>44118</v>
      </c>
      <c r="E224">
        <v>159954.31</v>
      </c>
      <c r="F224">
        <v>159954.31</v>
      </c>
      <c r="G224">
        <v>8494.57</v>
      </c>
      <c r="H224">
        <v>8494.57</v>
      </c>
      <c r="I224">
        <v>3085.97</v>
      </c>
      <c r="J224">
        <v>3085.97</v>
      </c>
      <c r="K224">
        <v>148373.76999999999</v>
      </c>
    </row>
    <row r="225" spans="1:12" x14ac:dyDescent="0.25">
      <c r="A225" t="s">
        <v>1021</v>
      </c>
      <c r="B225" t="s">
        <v>1018</v>
      </c>
      <c r="C225" t="s">
        <v>4369</v>
      </c>
      <c r="D225" s="1">
        <v>44118</v>
      </c>
      <c r="E225">
        <v>313290.65000000002</v>
      </c>
      <c r="F225">
        <v>313290.65000000002</v>
      </c>
      <c r="G225">
        <v>132678.44</v>
      </c>
      <c r="H225">
        <v>132678.44</v>
      </c>
      <c r="I225">
        <v>92032.35</v>
      </c>
      <c r="J225">
        <v>92032.35</v>
      </c>
      <c r="K225">
        <v>82579.86</v>
      </c>
      <c r="L225">
        <v>6000</v>
      </c>
    </row>
    <row r="226" spans="1:12" x14ac:dyDescent="0.25">
      <c r="A226" t="s">
        <v>1022</v>
      </c>
      <c r="B226" t="s">
        <v>1011</v>
      </c>
      <c r="C226" t="s">
        <v>4126</v>
      </c>
      <c r="D226" s="1">
        <v>44120</v>
      </c>
      <c r="E226">
        <v>241667.66</v>
      </c>
      <c r="F226">
        <v>241667.66</v>
      </c>
      <c r="G226">
        <v>100000</v>
      </c>
      <c r="H226">
        <v>100000</v>
      </c>
      <c r="I226">
        <v>79561.66</v>
      </c>
      <c r="J226">
        <v>79561.66</v>
      </c>
      <c r="K226">
        <v>56106</v>
      </c>
      <c r="L226">
        <v>6000</v>
      </c>
    </row>
    <row r="227" spans="1:12" x14ac:dyDescent="0.25">
      <c r="A227" t="s">
        <v>1023</v>
      </c>
      <c r="B227" t="s">
        <v>1024</v>
      </c>
      <c r="C227" t="s">
        <v>4231</v>
      </c>
      <c r="D227" s="1">
        <v>44121</v>
      </c>
      <c r="E227">
        <v>1932036.91</v>
      </c>
      <c r="F227">
        <v>1932036.91</v>
      </c>
      <c r="G227">
        <v>300000</v>
      </c>
      <c r="H227">
        <v>300000</v>
      </c>
      <c r="I227">
        <v>201410.96</v>
      </c>
      <c r="J227">
        <v>201410.96</v>
      </c>
      <c r="K227">
        <v>1417328.69</v>
      </c>
      <c r="L227">
        <v>13297.26</v>
      </c>
    </row>
    <row r="228" spans="1:12" x14ac:dyDescent="0.25">
      <c r="A228" t="s">
        <v>1025</v>
      </c>
      <c r="B228" t="s">
        <v>1026</v>
      </c>
      <c r="C228" t="s">
        <v>4127</v>
      </c>
      <c r="D228" s="1">
        <v>44123</v>
      </c>
      <c r="E228">
        <v>4680208.55</v>
      </c>
      <c r="F228">
        <v>4680208.55</v>
      </c>
      <c r="G228">
        <v>201747.18</v>
      </c>
      <c r="H228">
        <v>201747.18</v>
      </c>
      <c r="I228">
        <v>154124.6</v>
      </c>
      <c r="J228">
        <v>154124.6</v>
      </c>
      <c r="K228">
        <v>4324336.7699999996</v>
      </c>
    </row>
    <row r="229" spans="1:12" x14ac:dyDescent="0.25">
      <c r="A229" t="s">
        <v>1027</v>
      </c>
      <c r="B229" t="s">
        <v>1028</v>
      </c>
      <c r="C229" t="s">
        <v>4127</v>
      </c>
      <c r="D229" s="1">
        <v>44123</v>
      </c>
      <c r="E229">
        <v>66657.11</v>
      </c>
      <c r="F229">
        <v>66657.11</v>
      </c>
      <c r="G229">
        <v>34377.370000000003</v>
      </c>
      <c r="H229">
        <v>34377.370000000003</v>
      </c>
      <c r="K229">
        <v>20189.240000000002</v>
      </c>
      <c r="L229">
        <v>12090.5</v>
      </c>
    </row>
    <row r="230" spans="1:12" x14ac:dyDescent="0.25">
      <c r="A230" t="s">
        <v>1029</v>
      </c>
      <c r="B230" t="s">
        <v>1030</v>
      </c>
      <c r="C230" t="s">
        <v>4127</v>
      </c>
      <c r="D230" s="1">
        <v>44123</v>
      </c>
      <c r="E230">
        <v>667151.41</v>
      </c>
      <c r="F230">
        <v>667151.41</v>
      </c>
      <c r="G230">
        <v>250000</v>
      </c>
      <c r="H230">
        <v>250000</v>
      </c>
      <c r="I230">
        <v>218500.01</v>
      </c>
      <c r="J230">
        <v>218500.01</v>
      </c>
      <c r="K230">
        <v>185760</v>
      </c>
      <c r="L230">
        <v>12891.4</v>
      </c>
    </row>
    <row r="231" spans="1:12" x14ac:dyDescent="0.25">
      <c r="A231" t="s">
        <v>1031</v>
      </c>
      <c r="B231" t="s">
        <v>1020</v>
      </c>
      <c r="C231" t="s">
        <v>4370</v>
      </c>
      <c r="D231" s="1">
        <v>44130</v>
      </c>
      <c r="E231">
        <v>2124.21</v>
      </c>
      <c r="F231">
        <v>2124.21</v>
      </c>
      <c r="K231">
        <v>2124.21</v>
      </c>
    </row>
    <row r="232" spans="1:12" x14ac:dyDescent="0.25">
      <c r="A232" t="s">
        <v>1032</v>
      </c>
      <c r="B232" t="s">
        <v>1033</v>
      </c>
      <c r="C232" t="s">
        <v>4128</v>
      </c>
      <c r="D232" s="1">
        <v>44132</v>
      </c>
      <c r="E232">
        <v>297433.15000000002</v>
      </c>
      <c r="F232">
        <v>297433.15000000002</v>
      </c>
      <c r="G232">
        <v>17353.419999999998</v>
      </c>
      <c r="H232">
        <v>17353.419999999998</v>
      </c>
      <c r="I232">
        <v>128767.15</v>
      </c>
      <c r="J232">
        <v>128767.15</v>
      </c>
      <c r="K232">
        <v>138645</v>
      </c>
      <c r="L232">
        <v>12667.58</v>
      </c>
    </row>
    <row r="233" spans="1:12" x14ac:dyDescent="0.25">
      <c r="A233" t="s">
        <v>1034</v>
      </c>
      <c r="B233" t="s">
        <v>1035</v>
      </c>
      <c r="C233" t="s">
        <v>4371</v>
      </c>
      <c r="D233" s="1">
        <v>44137</v>
      </c>
      <c r="E233">
        <v>49456.52</v>
      </c>
      <c r="F233">
        <v>49456.52</v>
      </c>
      <c r="I233">
        <v>13112.43</v>
      </c>
      <c r="J233">
        <v>13112.43</v>
      </c>
      <c r="K233">
        <v>27803.46</v>
      </c>
      <c r="L233">
        <v>8540.6299999999992</v>
      </c>
    </row>
    <row r="234" spans="1:12" x14ac:dyDescent="0.25">
      <c r="A234" t="s">
        <v>1036</v>
      </c>
      <c r="B234" t="s">
        <v>1026</v>
      </c>
      <c r="C234" t="s">
        <v>4232</v>
      </c>
      <c r="D234" s="1">
        <v>44138</v>
      </c>
      <c r="E234">
        <v>3867364.73</v>
      </c>
      <c r="F234">
        <v>3867364.73</v>
      </c>
      <c r="G234">
        <v>164256.62</v>
      </c>
      <c r="H234">
        <v>164256.62</v>
      </c>
      <c r="I234">
        <v>122944.19</v>
      </c>
      <c r="J234">
        <v>122944.19</v>
      </c>
      <c r="K234">
        <v>3580163.92</v>
      </c>
    </row>
    <row r="235" spans="1:12" x14ac:dyDescent="0.25">
      <c r="A235" t="s">
        <v>1037</v>
      </c>
      <c r="B235" t="s">
        <v>1038</v>
      </c>
      <c r="C235" t="s">
        <v>4372</v>
      </c>
      <c r="D235" s="1">
        <v>44142</v>
      </c>
      <c r="E235">
        <v>630799.71</v>
      </c>
      <c r="F235">
        <v>630799.71</v>
      </c>
      <c r="G235">
        <v>250564.83</v>
      </c>
      <c r="H235">
        <v>250564.83</v>
      </c>
      <c r="I235">
        <v>231562.05</v>
      </c>
      <c r="J235">
        <v>231562.05</v>
      </c>
      <c r="K235">
        <v>141799.65</v>
      </c>
      <c r="L235">
        <v>6873.18</v>
      </c>
    </row>
    <row r="236" spans="1:12" x14ac:dyDescent="0.25">
      <c r="A236" t="s">
        <v>1039</v>
      </c>
      <c r="B236" t="s">
        <v>1040</v>
      </c>
      <c r="C236" t="s">
        <v>4373</v>
      </c>
      <c r="D236" s="1">
        <v>44145</v>
      </c>
      <c r="E236">
        <v>4328501.1100000003</v>
      </c>
      <c r="F236">
        <v>4328501.1100000003</v>
      </c>
      <c r="G236">
        <v>196372.36</v>
      </c>
      <c r="H236">
        <v>196372.36</v>
      </c>
      <c r="I236">
        <v>144883.64000000001</v>
      </c>
      <c r="J236">
        <v>144883.64000000001</v>
      </c>
      <c r="K236">
        <v>3987245.11</v>
      </c>
    </row>
    <row r="237" spans="1:12" x14ac:dyDescent="0.25">
      <c r="A237" t="s">
        <v>1041</v>
      </c>
      <c r="B237" t="s">
        <v>1042</v>
      </c>
      <c r="C237" t="s">
        <v>4163</v>
      </c>
      <c r="D237" s="1">
        <v>44148</v>
      </c>
      <c r="E237">
        <v>442314.23999999999</v>
      </c>
      <c r="F237">
        <v>442314.23999999999</v>
      </c>
      <c r="G237">
        <v>198184.95999999999</v>
      </c>
      <c r="H237">
        <v>198184.95999999999</v>
      </c>
      <c r="I237">
        <v>123872.37</v>
      </c>
      <c r="J237">
        <v>123872.37</v>
      </c>
      <c r="K237">
        <v>108197.1</v>
      </c>
      <c r="L237">
        <v>12059.81</v>
      </c>
    </row>
    <row r="238" spans="1:12" x14ac:dyDescent="0.25">
      <c r="A238" t="s">
        <v>1043</v>
      </c>
      <c r="B238" t="s">
        <v>1044</v>
      </c>
      <c r="C238" t="s">
        <v>4374</v>
      </c>
      <c r="D238" s="1">
        <v>44152</v>
      </c>
      <c r="E238">
        <v>500676.34</v>
      </c>
      <c r="F238">
        <v>500676.34</v>
      </c>
      <c r="G238">
        <v>78202.25</v>
      </c>
      <c r="H238">
        <v>78202.25</v>
      </c>
      <c r="I238">
        <v>4214.3</v>
      </c>
      <c r="J238">
        <v>4214.3</v>
      </c>
      <c r="K238">
        <v>418259.79</v>
      </c>
    </row>
    <row r="239" spans="1:12" x14ac:dyDescent="0.25">
      <c r="A239" t="s">
        <v>1045</v>
      </c>
      <c r="B239" t="s">
        <v>1046</v>
      </c>
      <c r="C239" t="s">
        <v>4374</v>
      </c>
      <c r="D239" s="1">
        <v>44152</v>
      </c>
      <c r="E239">
        <v>740713.62</v>
      </c>
      <c r="F239">
        <v>740713.62</v>
      </c>
      <c r="G239">
        <v>287003.11</v>
      </c>
      <c r="H239">
        <v>287003.11</v>
      </c>
      <c r="I239">
        <v>115839.73</v>
      </c>
      <c r="J239">
        <v>115839.73</v>
      </c>
      <c r="K239">
        <v>337870.78</v>
      </c>
    </row>
    <row r="240" spans="1:12" x14ac:dyDescent="0.25">
      <c r="A240" t="s">
        <v>1047</v>
      </c>
      <c r="B240" t="s">
        <v>1048</v>
      </c>
      <c r="C240" t="s">
        <v>4375</v>
      </c>
      <c r="D240" s="1">
        <v>44160</v>
      </c>
      <c r="E240">
        <v>22809.17</v>
      </c>
      <c r="F240">
        <v>22809.17</v>
      </c>
      <c r="K240">
        <v>22809.17</v>
      </c>
    </row>
    <row r="241" spans="1:12" x14ac:dyDescent="0.25">
      <c r="A241" t="s">
        <v>1049</v>
      </c>
      <c r="B241" t="s">
        <v>1050</v>
      </c>
      <c r="C241" t="s">
        <v>4376</v>
      </c>
      <c r="D241" s="1">
        <v>44162</v>
      </c>
      <c r="E241">
        <v>1.83</v>
      </c>
      <c r="F241">
        <v>1.83</v>
      </c>
      <c r="K241">
        <v>1.83</v>
      </c>
    </row>
    <row r="242" spans="1:12" x14ac:dyDescent="0.25">
      <c r="A242" t="s">
        <v>1051</v>
      </c>
      <c r="B242" t="s">
        <v>1052</v>
      </c>
      <c r="C242" t="s">
        <v>4376</v>
      </c>
      <c r="D242" s="1">
        <v>44162</v>
      </c>
      <c r="E242">
        <v>273940.15999999997</v>
      </c>
      <c r="F242">
        <v>273940.15999999997</v>
      </c>
      <c r="G242">
        <v>112418.39</v>
      </c>
      <c r="H242">
        <v>112418.39</v>
      </c>
      <c r="I242">
        <v>89459.61</v>
      </c>
      <c r="J242">
        <v>89459.61</v>
      </c>
      <c r="K242">
        <v>61622.77</v>
      </c>
      <c r="L242">
        <v>10439.39</v>
      </c>
    </row>
    <row r="243" spans="1:12" x14ac:dyDescent="0.25">
      <c r="A243" t="s">
        <v>1053</v>
      </c>
      <c r="B243" t="s">
        <v>1054</v>
      </c>
      <c r="C243" t="s">
        <v>4164</v>
      </c>
      <c r="D243" s="1">
        <v>44163</v>
      </c>
      <c r="E243">
        <v>920520.63</v>
      </c>
      <c r="F243">
        <v>920520.63</v>
      </c>
      <c r="G243">
        <v>380000</v>
      </c>
      <c r="H243">
        <v>380000</v>
      </c>
      <c r="I243">
        <v>321539.76</v>
      </c>
      <c r="J243">
        <v>321539.76</v>
      </c>
      <c r="K243">
        <v>204379.2</v>
      </c>
      <c r="L243">
        <v>14601.67</v>
      </c>
    </row>
    <row r="244" spans="1:12" x14ac:dyDescent="0.25">
      <c r="A244" t="s">
        <v>1055</v>
      </c>
      <c r="B244" t="s">
        <v>1056</v>
      </c>
      <c r="C244" t="s">
        <v>4233</v>
      </c>
      <c r="D244" s="1">
        <v>44164</v>
      </c>
      <c r="E244">
        <v>3181.83</v>
      </c>
      <c r="F244">
        <v>3181.83</v>
      </c>
      <c r="K244">
        <v>3181.83</v>
      </c>
    </row>
    <row r="245" spans="1:12" x14ac:dyDescent="0.25">
      <c r="A245" t="s">
        <v>1057</v>
      </c>
      <c r="B245" t="s">
        <v>1058</v>
      </c>
      <c r="C245" t="s">
        <v>4234</v>
      </c>
      <c r="D245" s="1">
        <v>44165</v>
      </c>
      <c r="E245">
        <v>191876.73</v>
      </c>
      <c r="F245">
        <v>191876.73</v>
      </c>
      <c r="G245">
        <v>21676.78</v>
      </c>
      <c r="H245">
        <v>21676.78</v>
      </c>
      <c r="I245">
        <v>97366.01</v>
      </c>
      <c r="J245">
        <v>97366.01</v>
      </c>
      <c r="K245">
        <v>61331.97</v>
      </c>
      <c r="L245">
        <v>11501.97</v>
      </c>
    </row>
    <row r="246" spans="1:12" x14ac:dyDescent="0.25">
      <c r="A246" t="s">
        <v>1059</v>
      </c>
      <c r="B246" t="s">
        <v>1060</v>
      </c>
      <c r="C246" t="s">
        <v>4377</v>
      </c>
      <c r="D246" s="1">
        <v>44167</v>
      </c>
      <c r="E246">
        <v>529085.30000000005</v>
      </c>
      <c r="F246">
        <v>529085.30000000005</v>
      </c>
      <c r="G246">
        <v>299175.76</v>
      </c>
      <c r="H246">
        <v>299175.76</v>
      </c>
      <c r="I246">
        <v>46595.4</v>
      </c>
      <c r="J246">
        <v>46595.4</v>
      </c>
      <c r="K246">
        <v>176566.56</v>
      </c>
      <c r="L246">
        <v>6747.58</v>
      </c>
    </row>
    <row r="247" spans="1:12" x14ac:dyDescent="0.25">
      <c r="A247" t="s">
        <v>1061</v>
      </c>
      <c r="B247" t="s">
        <v>957</v>
      </c>
      <c r="C247" t="s">
        <v>4378</v>
      </c>
      <c r="D247" s="1">
        <v>44169</v>
      </c>
      <c r="E247">
        <v>98520</v>
      </c>
      <c r="F247">
        <v>98520</v>
      </c>
      <c r="K247">
        <v>90000</v>
      </c>
      <c r="L247">
        <v>8520</v>
      </c>
    </row>
    <row r="248" spans="1:12" x14ac:dyDescent="0.25">
      <c r="A248" t="s">
        <v>1062</v>
      </c>
      <c r="B248" t="s">
        <v>1063</v>
      </c>
      <c r="C248" t="s">
        <v>4378</v>
      </c>
      <c r="D248" s="1">
        <v>44169</v>
      </c>
      <c r="E248">
        <v>182087.85</v>
      </c>
      <c r="F248">
        <v>182087.85</v>
      </c>
      <c r="G248">
        <v>75124.52</v>
      </c>
      <c r="H248">
        <v>75124.52</v>
      </c>
      <c r="I248">
        <v>60801.760000000002</v>
      </c>
      <c r="J248">
        <v>60801.760000000002</v>
      </c>
      <c r="K248">
        <v>40161.57</v>
      </c>
      <c r="L248">
        <v>6000</v>
      </c>
    </row>
    <row r="249" spans="1:12" x14ac:dyDescent="0.25">
      <c r="A249" t="s">
        <v>1064</v>
      </c>
      <c r="B249" t="s">
        <v>1063</v>
      </c>
      <c r="C249" t="s">
        <v>4129</v>
      </c>
      <c r="D249" s="1">
        <v>44174</v>
      </c>
      <c r="E249">
        <v>237560.99</v>
      </c>
      <c r="F249">
        <v>237560.99</v>
      </c>
      <c r="G249">
        <v>99404.02</v>
      </c>
      <c r="H249">
        <v>99404.02</v>
      </c>
      <c r="I249">
        <v>84316.42</v>
      </c>
      <c r="J249">
        <v>84316.42</v>
      </c>
      <c r="K249">
        <v>52873</v>
      </c>
      <c r="L249">
        <v>967.55</v>
      </c>
    </row>
    <row r="250" spans="1:12" x14ac:dyDescent="0.25">
      <c r="A250" t="s">
        <v>1065</v>
      </c>
      <c r="B250" t="s">
        <v>1066</v>
      </c>
      <c r="C250" t="s">
        <v>4379</v>
      </c>
      <c r="D250" s="1">
        <v>44186</v>
      </c>
      <c r="E250">
        <v>1140755.8500000001</v>
      </c>
      <c r="F250">
        <v>1140755.8500000001</v>
      </c>
      <c r="G250">
        <v>494746.63</v>
      </c>
      <c r="H250">
        <v>494746.63</v>
      </c>
      <c r="I250">
        <v>370069.46</v>
      </c>
      <c r="J250">
        <v>370069.46</v>
      </c>
      <c r="K250">
        <v>259949.77</v>
      </c>
      <c r="L250">
        <v>15989.99</v>
      </c>
    </row>
    <row r="251" spans="1:12" x14ac:dyDescent="0.25">
      <c r="A251" t="s">
        <v>1067</v>
      </c>
      <c r="B251" t="s">
        <v>1068</v>
      </c>
      <c r="C251" t="s">
        <v>4380</v>
      </c>
      <c r="D251" s="1">
        <v>44189</v>
      </c>
      <c r="E251">
        <v>1658770.7</v>
      </c>
      <c r="F251">
        <v>1658770.7</v>
      </c>
      <c r="G251">
        <v>937868.61</v>
      </c>
      <c r="H251">
        <v>937868.61</v>
      </c>
      <c r="I251">
        <v>579602.81000000006</v>
      </c>
      <c r="J251">
        <v>579602.81000000006</v>
      </c>
      <c r="K251">
        <v>141299.28</v>
      </c>
    </row>
    <row r="252" spans="1:12" x14ac:dyDescent="0.25">
      <c r="A252" t="s">
        <v>1069</v>
      </c>
      <c r="B252" t="s">
        <v>1070</v>
      </c>
      <c r="C252" t="s">
        <v>4380</v>
      </c>
      <c r="D252" s="1">
        <v>44189</v>
      </c>
      <c r="E252">
        <v>4297001.82</v>
      </c>
      <c r="F252">
        <v>4297001.82</v>
      </c>
      <c r="G252">
        <v>386153.29</v>
      </c>
      <c r="H252">
        <v>386153.29</v>
      </c>
      <c r="I252">
        <v>429207.26</v>
      </c>
      <c r="J252">
        <v>429207.26</v>
      </c>
      <c r="K252">
        <v>3466918.62</v>
      </c>
      <c r="L252">
        <v>14722.65</v>
      </c>
    </row>
    <row r="253" spans="1:12" x14ac:dyDescent="0.25">
      <c r="A253" t="s">
        <v>1071</v>
      </c>
      <c r="B253" t="s">
        <v>1063</v>
      </c>
      <c r="C253" t="s">
        <v>4235</v>
      </c>
      <c r="D253" s="1">
        <v>44190</v>
      </c>
      <c r="E253">
        <v>226578.32</v>
      </c>
      <c r="F253">
        <v>226578.32</v>
      </c>
      <c r="G253">
        <v>94409.06</v>
      </c>
      <c r="H253">
        <v>94409.06</v>
      </c>
      <c r="I253">
        <v>76768.78</v>
      </c>
      <c r="J253">
        <v>76768.78</v>
      </c>
      <c r="K253">
        <v>49400.480000000003</v>
      </c>
      <c r="L253">
        <v>6000</v>
      </c>
    </row>
    <row r="254" spans="1:12" x14ac:dyDescent="0.25">
      <c r="A254" t="s">
        <v>1072</v>
      </c>
      <c r="B254" t="s">
        <v>1073</v>
      </c>
      <c r="C254" t="s">
        <v>4381</v>
      </c>
      <c r="D254" s="1">
        <v>44192</v>
      </c>
      <c r="E254">
        <v>116693.56</v>
      </c>
      <c r="F254">
        <v>116693.56</v>
      </c>
      <c r="G254">
        <v>80979.48</v>
      </c>
      <c r="H254">
        <v>80979.48</v>
      </c>
      <c r="I254">
        <v>11706.9</v>
      </c>
      <c r="J254">
        <v>11706.9</v>
      </c>
      <c r="K254">
        <v>24007.18</v>
      </c>
    </row>
    <row r="255" spans="1:12" x14ac:dyDescent="0.25">
      <c r="A255" t="s">
        <v>1074</v>
      </c>
      <c r="B255" t="s">
        <v>1075</v>
      </c>
      <c r="C255" t="s">
        <v>4382</v>
      </c>
      <c r="D255" s="1">
        <v>44195</v>
      </c>
      <c r="E255">
        <v>203092.79</v>
      </c>
      <c r="F255">
        <v>203092.79</v>
      </c>
      <c r="I255">
        <v>96330.06</v>
      </c>
      <c r="J255">
        <v>96330.06</v>
      </c>
      <c r="K255">
        <v>106762.73</v>
      </c>
    </row>
    <row r="256" spans="1:12" x14ac:dyDescent="0.25">
      <c r="A256" t="s">
        <v>1076</v>
      </c>
      <c r="B256" t="s">
        <v>1077</v>
      </c>
      <c r="C256" t="s">
        <v>4383</v>
      </c>
      <c r="D256" s="1">
        <v>44198</v>
      </c>
      <c r="E256">
        <v>1317905</v>
      </c>
      <c r="F256">
        <v>1317905</v>
      </c>
      <c r="G256">
        <v>582013.02</v>
      </c>
      <c r="H256">
        <v>582013.02</v>
      </c>
      <c r="I256">
        <v>422938.41</v>
      </c>
      <c r="J256">
        <v>422938.41</v>
      </c>
      <c r="K256">
        <v>302194.96000000002</v>
      </c>
      <c r="L256">
        <v>10758.61</v>
      </c>
    </row>
    <row r="257" spans="1:12" x14ac:dyDescent="0.25">
      <c r="A257" t="s">
        <v>1078</v>
      </c>
      <c r="B257" t="s">
        <v>1079</v>
      </c>
      <c r="C257" t="s">
        <v>4165</v>
      </c>
      <c r="D257" s="1">
        <v>44201</v>
      </c>
      <c r="E257">
        <v>7235.9</v>
      </c>
      <c r="F257">
        <v>7235.9</v>
      </c>
      <c r="K257">
        <v>7235.9</v>
      </c>
    </row>
    <row r="258" spans="1:12" x14ac:dyDescent="0.25">
      <c r="A258" t="s">
        <v>1080</v>
      </c>
      <c r="B258" t="s">
        <v>1081</v>
      </c>
      <c r="C258" t="s">
        <v>4236</v>
      </c>
      <c r="D258" s="1">
        <v>44202</v>
      </c>
      <c r="E258">
        <v>865652.03</v>
      </c>
      <c r="F258">
        <v>865652.03</v>
      </c>
      <c r="G258">
        <v>355797.7</v>
      </c>
      <c r="H258">
        <v>355797.7</v>
      </c>
      <c r="I258">
        <v>246452.83</v>
      </c>
      <c r="J258">
        <v>246452.83</v>
      </c>
      <c r="K258">
        <v>249193.59</v>
      </c>
      <c r="L258">
        <v>14207.91</v>
      </c>
    </row>
    <row r="259" spans="1:12" x14ac:dyDescent="0.25">
      <c r="A259" t="s">
        <v>1082</v>
      </c>
      <c r="B259" t="s">
        <v>1083</v>
      </c>
      <c r="C259" t="s">
        <v>4236</v>
      </c>
      <c r="D259" s="1">
        <v>44202</v>
      </c>
      <c r="E259">
        <v>407245.79</v>
      </c>
      <c r="F259">
        <v>407245.79</v>
      </c>
      <c r="G259">
        <v>245941.85</v>
      </c>
      <c r="H259">
        <v>245941.85</v>
      </c>
      <c r="I259">
        <v>23673.67</v>
      </c>
      <c r="J259">
        <v>23673.67</v>
      </c>
      <c r="K259">
        <v>125215.03999999999</v>
      </c>
      <c r="L259">
        <v>12415.23</v>
      </c>
    </row>
    <row r="260" spans="1:12" x14ac:dyDescent="0.25">
      <c r="A260" t="s">
        <v>1084</v>
      </c>
      <c r="B260" t="s">
        <v>1085</v>
      </c>
      <c r="C260" t="s">
        <v>4384</v>
      </c>
      <c r="D260" s="1">
        <v>44205</v>
      </c>
      <c r="E260">
        <v>1544759.73</v>
      </c>
      <c r="F260">
        <v>1544759.73</v>
      </c>
      <c r="G260">
        <v>1000000</v>
      </c>
      <c r="H260">
        <v>1000000</v>
      </c>
      <c r="I260">
        <v>402739.73</v>
      </c>
      <c r="J260">
        <v>402739.73</v>
      </c>
      <c r="K260">
        <v>142020</v>
      </c>
    </row>
    <row r="261" spans="1:12" x14ac:dyDescent="0.25">
      <c r="A261" t="s">
        <v>1086</v>
      </c>
      <c r="B261" t="s">
        <v>1087</v>
      </c>
      <c r="C261" t="s">
        <v>4385</v>
      </c>
      <c r="D261" s="1">
        <v>44207</v>
      </c>
      <c r="E261">
        <v>225416.98</v>
      </c>
      <c r="F261">
        <v>225416.98</v>
      </c>
      <c r="G261">
        <v>94178.15</v>
      </c>
      <c r="H261">
        <v>94178.15</v>
      </c>
      <c r="I261">
        <v>73071.91</v>
      </c>
      <c r="J261">
        <v>73071.91</v>
      </c>
      <c r="K261">
        <v>48415.1</v>
      </c>
      <c r="L261">
        <v>9751.82</v>
      </c>
    </row>
    <row r="262" spans="1:12" x14ac:dyDescent="0.25">
      <c r="A262" t="s">
        <v>1088</v>
      </c>
      <c r="B262" t="s">
        <v>1089</v>
      </c>
      <c r="C262" t="s">
        <v>4385</v>
      </c>
      <c r="D262" s="1">
        <v>44207</v>
      </c>
      <c r="E262">
        <v>463030.37</v>
      </c>
      <c r="F262">
        <v>463030.37</v>
      </c>
      <c r="G262">
        <v>98780.09</v>
      </c>
      <c r="H262">
        <v>98780.09</v>
      </c>
      <c r="I262">
        <v>64109.56</v>
      </c>
      <c r="J262">
        <v>64109.56</v>
      </c>
      <c r="K262">
        <v>300140.71999999997</v>
      </c>
    </row>
    <row r="263" spans="1:12" x14ac:dyDescent="0.25">
      <c r="A263" t="s">
        <v>1090</v>
      </c>
      <c r="B263" t="s">
        <v>1077</v>
      </c>
      <c r="C263" t="s">
        <v>4385</v>
      </c>
      <c r="D263" s="1">
        <v>44207</v>
      </c>
      <c r="E263">
        <v>462994.09</v>
      </c>
      <c r="F263">
        <v>462994.09</v>
      </c>
      <c r="G263">
        <v>200000</v>
      </c>
      <c r="H263">
        <v>200000</v>
      </c>
      <c r="I263">
        <v>155178.09</v>
      </c>
      <c r="J263">
        <v>155178.09</v>
      </c>
      <c r="K263">
        <v>102816</v>
      </c>
      <c r="L263">
        <v>5000</v>
      </c>
    </row>
    <row r="264" spans="1:12" x14ac:dyDescent="0.25">
      <c r="A264" t="s">
        <v>1091</v>
      </c>
      <c r="B264" t="s">
        <v>1077</v>
      </c>
      <c r="C264" t="s">
        <v>4130</v>
      </c>
      <c r="D264" s="1">
        <v>44209</v>
      </c>
      <c r="E264">
        <v>461901.37</v>
      </c>
      <c r="F264">
        <v>461901.37</v>
      </c>
      <c r="G264">
        <v>200000</v>
      </c>
      <c r="H264">
        <v>200000</v>
      </c>
      <c r="I264">
        <v>154301.37</v>
      </c>
      <c r="J264">
        <v>154301.37</v>
      </c>
      <c r="K264">
        <v>102600</v>
      </c>
      <c r="L264">
        <v>5000</v>
      </c>
    </row>
    <row r="265" spans="1:12" x14ac:dyDescent="0.25">
      <c r="A265" t="s">
        <v>1092</v>
      </c>
      <c r="B265" t="s">
        <v>1093</v>
      </c>
      <c r="C265" t="s">
        <v>4166</v>
      </c>
      <c r="D265" s="1">
        <v>44218</v>
      </c>
      <c r="E265">
        <v>179091.93</v>
      </c>
      <c r="F265">
        <v>179091.93</v>
      </c>
      <c r="G265">
        <v>86377.65</v>
      </c>
      <c r="H265">
        <v>86377.65</v>
      </c>
      <c r="I265">
        <v>39478.9</v>
      </c>
      <c r="J265">
        <v>39478.9</v>
      </c>
      <c r="K265">
        <v>43928.27</v>
      </c>
      <c r="L265">
        <v>9307.11</v>
      </c>
    </row>
    <row r="266" spans="1:12" x14ac:dyDescent="0.25">
      <c r="A266" t="s">
        <v>1094</v>
      </c>
      <c r="B266" t="s">
        <v>1095</v>
      </c>
      <c r="C266" t="s">
        <v>4237</v>
      </c>
      <c r="D266" s="1">
        <v>44219</v>
      </c>
      <c r="E266">
        <v>111132.07</v>
      </c>
      <c r="F266">
        <v>111132.07</v>
      </c>
      <c r="I266">
        <v>82804.77</v>
      </c>
      <c r="J266">
        <v>82804.77</v>
      </c>
      <c r="K266">
        <v>28327.3</v>
      </c>
    </row>
    <row r="267" spans="1:12" x14ac:dyDescent="0.25">
      <c r="A267" t="s">
        <v>1096</v>
      </c>
      <c r="B267" t="s">
        <v>1097</v>
      </c>
      <c r="C267" t="s">
        <v>4237</v>
      </c>
      <c r="D267" s="1">
        <v>44219</v>
      </c>
      <c r="E267">
        <v>450454.71</v>
      </c>
      <c r="F267">
        <v>450454.71</v>
      </c>
      <c r="G267">
        <v>188784.43</v>
      </c>
      <c r="H267">
        <v>188784.43</v>
      </c>
      <c r="I267">
        <v>153892.94</v>
      </c>
      <c r="J267">
        <v>153892.94</v>
      </c>
      <c r="K267">
        <v>95826.98</v>
      </c>
      <c r="L267">
        <v>11950.36</v>
      </c>
    </row>
    <row r="268" spans="1:12" x14ac:dyDescent="0.25">
      <c r="A268" t="s">
        <v>1098</v>
      </c>
      <c r="B268" t="s">
        <v>1060</v>
      </c>
      <c r="C268" t="s">
        <v>4167</v>
      </c>
      <c r="D268" s="1">
        <v>44229</v>
      </c>
      <c r="E268">
        <v>502638.64</v>
      </c>
      <c r="F268">
        <v>502638.64</v>
      </c>
      <c r="G268">
        <v>298017.05</v>
      </c>
      <c r="H268">
        <v>298017.05</v>
      </c>
      <c r="I268">
        <v>38733.79</v>
      </c>
      <c r="J268">
        <v>38733.79</v>
      </c>
      <c r="K268">
        <v>155887.79999999999</v>
      </c>
      <c r="L268">
        <v>10000</v>
      </c>
    </row>
    <row r="269" spans="1:12" x14ac:dyDescent="0.25">
      <c r="A269" t="s">
        <v>1099</v>
      </c>
      <c r="B269" t="s">
        <v>1100</v>
      </c>
      <c r="C269" t="s">
        <v>4386</v>
      </c>
      <c r="D269" s="1">
        <v>44234</v>
      </c>
      <c r="E269">
        <v>179145.82</v>
      </c>
      <c r="F269">
        <v>179145.82</v>
      </c>
      <c r="K269">
        <v>164408.14000000001</v>
      </c>
      <c r="L269">
        <v>14737.68</v>
      </c>
    </row>
    <row r="270" spans="1:12" x14ac:dyDescent="0.25">
      <c r="A270" t="s">
        <v>1101</v>
      </c>
      <c r="B270" t="s">
        <v>1102</v>
      </c>
      <c r="C270" t="s">
        <v>4238</v>
      </c>
      <c r="D270" s="1">
        <v>44235</v>
      </c>
      <c r="E270">
        <v>533268.54</v>
      </c>
      <c r="F270">
        <v>533268.54</v>
      </c>
      <c r="G270">
        <v>130238.97</v>
      </c>
      <c r="H270">
        <v>130238.97</v>
      </c>
      <c r="I270">
        <v>52416.71</v>
      </c>
      <c r="J270">
        <v>52416.71</v>
      </c>
      <c r="K270">
        <v>350612.86</v>
      </c>
    </row>
    <row r="271" spans="1:12" x14ac:dyDescent="0.25">
      <c r="A271" t="s">
        <v>1103</v>
      </c>
      <c r="B271" t="s">
        <v>1104</v>
      </c>
      <c r="C271" t="s">
        <v>4239</v>
      </c>
      <c r="D271" s="1">
        <v>44236</v>
      </c>
      <c r="E271">
        <v>512574.71999999997</v>
      </c>
      <c r="F271">
        <v>512574.71999999997</v>
      </c>
      <c r="G271">
        <v>235006.39</v>
      </c>
      <c r="H271">
        <v>235006.39</v>
      </c>
      <c r="I271">
        <v>138106.46</v>
      </c>
      <c r="J271">
        <v>138106.46</v>
      </c>
      <c r="K271">
        <v>129461.87</v>
      </c>
      <c r="L271">
        <v>10000</v>
      </c>
    </row>
    <row r="272" spans="1:12" x14ac:dyDescent="0.25">
      <c r="A272" t="s">
        <v>1105</v>
      </c>
      <c r="B272" t="s">
        <v>1106</v>
      </c>
      <c r="C272" t="s">
        <v>4240</v>
      </c>
      <c r="D272" s="1">
        <v>44237</v>
      </c>
      <c r="E272">
        <v>400419.53</v>
      </c>
      <c r="F272">
        <v>400419.53</v>
      </c>
      <c r="G272">
        <v>197796.4</v>
      </c>
      <c r="H272">
        <v>197796.4</v>
      </c>
      <c r="I272">
        <v>89781.6</v>
      </c>
      <c r="J272">
        <v>89781.6</v>
      </c>
      <c r="K272">
        <v>101451.79</v>
      </c>
      <c r="L272">
        <v>11389.74</v>
      </c>
    </row>
    <row r="273" spans="1:12" x14ac:dyDescent="0.25">
      <c r="A273" t="s">
        <v>1107</v>
      </c>
      <c r="B273" t="s">
        <v>1108</v>
      </c>
      <c r="C273" t="s">
        <v>4240</v>
      </c>
      <c r="D273" s="1">
        <v>44237</v>
      </c>
      <c r="E273">
        <v>181963.63</v>
      </c>
      <c r="F273">
        <v>181963.63</v>
      </c>
      <c r="I273">
        <v>63463.16</v>
      </c>
      <c r="J273">
        <v>63463.16</v>
      </c>
      <c r="K273">
        <v>107101.35</v>
      </c>
      <c r="L273">
        <v>11399.12</v>
      </c>
    </row>
    <row r="274" spans="1:12" x14ac:dyDescent="0.25">
      <c r="A274" t="s">
        <v>1109</v>
      </c>
      <c r="B274" t="s">
        <v>1110</v>
      </c>
      <c r="C274" t="s">
        <v>4168</v>
      </c>
      <c r="D274" s="1">
        <v>44240</v>
      </c>
      <c r="E274">
        <v>139094.67000000001</v>
      </c>
      <c r="F274">
        <v>139094.67000000001</v>
      </c>
      <c r="G274">
        <v>59337.89</v>
      </c>
      <c r="H274">
        <v>59337.89</v>
      </c>
      <c r="I274">
        <v>39348.959999999999</v>
      </c>
      <c r="J274">
        <v>39348.959999999999</v>
      </c>
      <c r="K274">
        <v>40407.82</v>
      </c>
    </row>
    <row r="275" spans="1:12" x14ac:dyDescent="0.25">
      <c r="A275" t="s">
        <v>1111</v>
      </c>
      <c r="B275" t="s">
        <v>1112</v>
      </c>
      <c r="C275" t="s">
        <v>4169</v>
      </c>
      <c r="D275" s="1">
        <v>44245</v>
      </c>
      <c r="E275">
        <v>56010.3</v>
      </c>
      <c r="F275">
        <v>56010.3</v>
      </c>
      <c r="I275">
        <v>21296.58</v>
      </c>
      <c r="J275">
        <v>21296.58</v>
      </c>
      <c r="K275">
        <v>32713.72</v>
      </c>
      <c r="L275">
        <v>2000</v>
      </c>
    </row>
    <row r="276" spans="1:12" x14ac:dyDescent="0.25">
      <c r="A276" t="s">
        <v>1113</v>
      </c>
      <c r="B276" t="s">
        <v>1104</v>
      </c>
      <c r="C276" t="s">
        <v>4131</v>
      </c>
      <c r="D276" s="1">
        <v>44248</v>
      </c>
      <c r="E276">
        <v>1599428.42</v>
      </c>
      <c r="F276">
        <v>1599428.42</v>
      </c>
      <c r="G276">
        <v>709729.29</v>
      </c>
      <c r="H276">
        <v>709729.29</v>
      </c>
      <c r="I276">
        <v>529496.94999999995</v>
      </c>
      <c r="J276">
        <v>529496.94999999995</v>
      </c>
      <c r="K276">
        <v>349144.23</v>
      </c>
      <c r="L276">
        <v>11057.95</v>
      </c>
    </row>
    <row r="277" spans="1:12" x14ac:dyDescent="0.25">
      <c r="A277" t="s">
        <v>1114</v>
      </c>
      <c r="B277" t="s">
        <v>1115</v>
      </c>
      <c r="C277" t="s">
        <v>4131</v>
      </c>
      <c r="D277" s="1">
        <v>44248</v>
      </c>
      <c r="E277">
        <v>316389.78000000003</v>
      </c>
      <c r="F277">
        <v>316389.78000000003</v>
      </c>
      <c r="G277">
        <v>126823.45</v>
      </c>
      <c r="H277">
        <v>126823.45</v>
      </c>
      <c r="I277">
        <v>75207.360000000001</v>
      </c>
      <c r="J277">
        <v>75207.360000000001</v>
      </c>
      <c r="K277">
        <v>114358.97</v>
      </c>
    </row>
    <row r="278" spans="1:12" x14ac:dyDescent="0.25">
      <c r="A278" t="s">
        <v>1116</v>
      </c>
      <c r="B278" t="s">
        <v>1117</v>
      </c>
      <c r="C278" t="s">
        <v>4241</v>
      </c>
      <c r="D278" s="1">
        <v>44249</v>
      </c>
      <c r="E278">
        <v>323675.59000000003</v>
      </c>
      <c r="F278">
        <v>323675.59000000003</v>
      </c>
      <c r="G278">
        <v>161059.79</v>
      </c>
      <c r="H278">
        <v>161059.79</v>
      </c>
      <c r="I278">
        <v>72146</v>
      </c>
      <c r="J278">
        <v>72146</v>
      </c>
      <c r="K278">
        <v>79144.78</v>
      </c>
      <c r="L278">
        <v>11325.02</v>
      </c>
    </row>
    <row r="279" spans="1:12" x14ac:dyDescent="0.25">
      <c r="A279" t="s">
        <v>470</v>
      </c>
      <c r="B279" t="s">
        <v>139</v>
      </c>
      <c r="C279" t="s">
        <v>4242</v>
      </c>
      <c r="D279" s="1">
        <v>44250</v>
      </c>
      <c r="E279">
        <v>10493.17</v>
      </c>
      <c r="F279">
        <v>39647.760000000002</v>
      </c>
      <c r="G279">
        <v>29035.27</v>
      </c>
      <c r="J279">
        <v>119.32</v>
      </c>
      <c r="K279">
        <v>10493.17</v>
      </c>
    </row>
    <row r="280" spans="1:12" x14ac:dyDescent="0.25">
      <c r="A280" t="s">
        <v>1118</v>
      </c>
      <c r="B280" t="s">
        <v>1119</v>
      </c>
      <c r="C280" t="s">
        <v>4242</v>
      </c>
      <c r="D280" s="1">
        <v>44250</v>
      </c>
      <c r="E280">
        <v>389589.87</v>
      </c>
      <c r="F280">
        <v>389589.87</v>
      </c>
      <c r="G280">
        <v>127352.03</v>
      </c>
      <c r="H280">
        <v>127352.03</v>
      </c>
      <c r="I280">
        <v>105019.01</v>
      </c>
      <c r="J280">
        <v>105019.01</v>
      </c>
      <c r="K280">
        <v>144013.85</v>
      </c>
      <c r="L280">
        <v>13204.98</v>
      </c>
    </row>
    <row r="281" spans="1:12" x14ac:dyDescent="0.25">
      <c r="A281" t="s">
        <v>1120</v>
      </c>
      <c r="B281" t="s">
        <v>1121</v>
      </c>
      <c r="C281" t="s">
        <v>4104</v>
      </c>
      <c r="D281" s="1">
        <v>44251</v>
      </c>
      <c r="E281">
        <v>1003422.87</v>
      </c>
      <c r="F281">
        <v>1003422.87</v>
      </c>
      <c r="G281">
        <v>283795.51</v>
      </c>
      <c r="H281">
        <v>283795.51</v>
      </c>
      <c r="I281">
        <v>553266.93999999994</v>
      </c>
      <c r="J281">
        <v>553266.93999999994</v>
      </c>
      <c r="K281">
        <v>153423.84</v>
      </c>
      <c r="L281">
        <v>12936.58</v>
      </c>
    </row>
    <row r="282" spans="1:12" x14ac:dyDescent="0.25">
      <c r="A282" t="s">
        <v>1122</v>
      </c>
      <c r="B282" t="s">
        <v>1123</v>
      </c>
      <c r="C282" t="s">
        <v>4104</v>
      </c>
      <c r="D282" s="1">
        <v>44251</v>
      </c>
      <c r="E282">
        <v>1448111.24</v>
      </c>
      <c r="F282">
        <v>1448111.24</v>
      </c>
      <c r="G282">
        <v>993963.4</v>
      </c>
      <c r="H282">
        <v>993963.4</v>
      </c>
      <c r="I282">
        <v>337675.21</v>
      </c>
      <c r="J282">
        <v>337675.21</v>
      </c>
      <c r="K282">
        <v>116472.63</v>
      </c>
    </row>
    <row r="283" spans="1:12" x14ac:dyDescent="0.25">
      <c r="A283" t="s">
        <v>1124</v>
      </c>
      <c r="B283" t="s">
        <v>1125</v>
      </c>
      <c r="C283" t="s">
        <v>4387</v>
      </c>
      <c r="D283" s="1">
        <v>44263</v>
      </c>
      <c r="E283">
        <v>352617.53</v>
      </c>
      <c r="F283">
        <v>352617.53</v>
      </c>
      <c r="G283">
        <v>216649.33</v>
      </c>
      <c r="H283">
        <v>216649.33</v>
      </c>
      <c r="I283">
        <v>39174.94</v>
      </c>
      <c r="J283">
        <v>39174.94</v>
      </c>
      <c r="K283">
        <v>96793.26</v>
      </c>
    </row>
    <row r="284" spans="1:12" x14ac:dyDescent="0.25">
      <c r="A284" t="s">
        <v>1126</v>
      </c>
      <c r="B284" t="s">
        <v>1095</v>
      </c>
      <c r="C284" t="s">
        <v>4243</v>
      </c>
      <c r="D284" s="1">
        <v>44264</v>
      </c>
      <c r="E284">
        <v>71804.039999999994</v>
      </c>
      <c r="F284">
        <v>71804.039999999994</v>
      </c>
      <c r="I284">
        <v>58541.38</v>
      </c>
      <c r="J284">
        <v>58541.38</v>
      </c>
      <c r="K284">
        <v>13262.66</v>
      </c>
    </row>
    <row r="285" spans="1:12" x14ac:dyDescent="0.25">
      <c r="A285" t="s">
        <v>1127</v>
      </c>
      <c r="B285" t="s">
        <v>1112</v>
      </c>
      <c r="C285" t="s">
        <v>4244</v>
      </c>
      <c r="D285" s="1">
        <v>44265</v>
      </c>
      <c r="E285">
        <v>52493.59</v>
      </c>
      <c r="F285">
        <v>52493.59</v>
      </c>
      <c r="I285">
        <v>21387.59</v>
      </c>
      <c r="J285">
        <v>21387.59</v>
      </c>
      <c r="K285">
        <v>29106</v>
      </c>
      <c r="L285">
        <v>2000</v>
      </c>
    </row>
    <row r="286" spans="1:12" x14ac:dyDescent="0.25">
      <c r="A286" t="s">
        <v>1128</v>
      </c>
      <c r="B286" t="s">
        <v>1129</v>
      </c>
      <c r="C286" t="s">
        <v>4388</v>
      </c>
      <c r="D286" s="1">
        <v>44269</v>
      </c>
      <c r="E286">
        <v>157336.73000000001</v>
      </c>
      <c r="F286">
        <v>157336.73000000001</v>
      </c>
      <c r="G286">
        <v>65666.039999999994</v>
      </c>
      <c r="H286">
        <v>65666.039999999994</v>
      </c>
      <c r="I286">
        <v>49059.97</v>
      </c>
      <c r="J286">
        <v>49059.97</v>
      </c>
      <c r="K286">
        <v>32875.07</v>
      </c>
      <c r="L286">
        <v>9735.65</v>
      </c>
    </row>
    <row r="287" spans="1:12" x14ac:dyDescent="0.25">
      <c r="A287" t="s">
        <v>1130</v>
      </c>
      <c r="B287" t="s">
        <v>1112</v>
      </c>
      <c r="C287" t="s">
        <v>4245</v>
      </c>
      <c r="D287" s="1">
        <v>44270</v>
      </c>
      <c r="E287">
        <v>54613.56</v>
      </c>
      <c r="F287">
        <v>54613.56</v>
      </c>
      <c r="I287">
        <v>23777.56</v>
      </c>
      <c r="J287">
        <v>23777.56</v>
      </c>
      <c r="K287">
        <v>28836</v>
      </c>
      <c r="L287">
        <v>2000</v>
      </c>
    </row>
    <row r="288" spans="1:12" x14ac:dyDescent="0.25">
      <c r="A288" t="s">
        <v>1131</v>
      </c>
      <c r="B288" t="s">
        <v>1132</v>
      </c>
      <c r="C288" t="s">
        <v>4389</v>
      </c>
      <c r="D288" s="1">
        <v>44273</v>
      </c>
      <c r="E288">
        <v>18195.78</v>
      </c>
      <c r="F288">
        <v>18195.78</v>
      </c>
      <c r="G288">
        <v>2319.38</v>
      </c>
      <c r="H288">
        <v>2319.38</v>
      </c>
      <c r="K288">
        <v>15876.4</v>
      </c>
    </row>
    <row r="289" spans="1:12" x14ac:dyDescent="0.25">
      <c r="A289" t="s">
        <v>1133</v>
      </c>
      <c r="B289" t="s">
        <v>1134</v>
      </c>
      <c r="C289" t="s">
        <v>4170</v>
      </c>
      <c r="D289" s="1">
        <v>44274</v>
      </c>
      <c r="E289">
        <v>25407.8</v>
      </c>
      <c r="F289">
        <v>25407.8</v>
      </c>
      <c r="K289">
        <v>25407.8</v>
      </c>
    </row>
    <row r="290" spans="1:12" x14ac:dyDescent="0.25">
      <c r="A290" t="s">
        <v>1135</v>
      </c>
      <c r="B290" t="s">
        <v>1136</v>
      </c>
      <c r="C290" t="s">
        <v>4170</v>
      </c>
      <c r="D290" s="1">
        <v>44274</v>
      </c>
      <c r="E290">
        <v>473072.27</v>
      </c>
      <c r="F290">
        <v>473072.27</v>
      </c>
      <c r="G290">
        <v>246917.61</v>
      </c>
      <c r="H290">
        <v>246917.61</v>
      </c>
      <c r="I290">
        <v>95860.68</v>
      </c>
      <c r="J290">
        <v>95860.68</v>
      </c>
      <c r="K290">
        <v>118001.93</v>
      </c>
      <c r="L290">
        <v>12292.05</v>
      </c>
    </row>
    <row r="291" spans="1:12" x14ac:dyDescent="0.25">
      <c r="A291" t="s">
        <v>1137</v>
      </c>
      <c r="B291" t="s">
        <v>1138</v>
      </c>
      <c r="C291" t="s">
        <v>4171</v>
      </c>
      <c r="D291" s="1">
        <v>44275</v>
      </c>
      <c r="E291">
        <v>371205.56</v>
      </c>
      <c r="F291">
        <v>371205.56</v>
      </c>
      <c r="G291">
        <v>176667.54</v>
      </c>
      <c r="H291">
        <v>176667.54</v>
      </c>
      <c r="I291">
        <v>98740.23</v>
      </c>
      <c r="J291">
        <v>98740.23</v>
      </c>
      <c r="K291">
        <v>84334.02</v>
      </c>
      <c r="L291">
        <v>11463.77</v>
      </c>
    </row>
    <row r="292" spans="1:12" x14ac:dyDescent="0.25">
      <c r="A292" t="s">
        <v>1139</v>
      </c>
      <c r="B292" t="s">
        <v>1140</v>
      </c>
      <c r="C292" t="s">
        <v>4171</v>
      </c>
      <c r="D292" s="1">
        <v>44275</v>
      </c>
      <c r="E292">
        <v>340332.25</v>
      </c>
      <c r="F292">
        <v>340332.25</v>
      </c>
      <c r="G292">
        <v>184919.38</v>
      </c>
      <c r="H292">
        <v>184919.38</v>
      </c>
      <c r="I292">
        <v>55510.89</v>
      </c>
      <c r="J292">
        <v>55510.89</v>
      </c>
      <c r="K292">
        <v>88273.12</v>
      </c>
      <c r="L292">
        <v>11628.86</v>
      </c>
    </row>
    <row r="293" spans="1:12" x14ac:dyDescent="0.25">
      <c r="A293" t="s">
        <v>1141</v>
      </c>
      <c r="B293" t="s">
        <v>1142</v>
      </c>
      <c r="C293" t="s">
        <v>4390</v>
      </c>
      <c r="D293" s="1">
        <v>44279</v>
      </c>
      <c r="E293">
        <v>3569585.82</v>
      </c>
      <c r="F293">
        <v>3569585.82</v>
      </c>
      <c r="G293">
        <v>375337.6</v>
      </c>
      <c r="H293">
        <v>375337.6</v>
      </c>
      <c r="I293">
        <v>345779.48</v>
      </c>
      <c r="J293">
        <v>345779.48</v>
      </c>
      <c r="K293">
        <v>2848468.74</v>
      </c>
    </row>
    <row r="294" spans="1:12" x14ac:dyDescent="0.25">
      <c r="A294" t="s">
        <v>1143</v>
      </c>
      <c r="B294" t="s">
        <v>373</v>
      </c>
      <c r="C294" t="s">
        <v>4391</v>
      </c>
      <c r="D294" s="1">
        <v>44283</v>
      </c>
      <c r="E294">
        <v>479752.35</v>
      </c>
      <c r="F294">
        <v>479752.35</v>
      </c>
      <c r="G294">
        <v>256763.61</v>
      </c>
      <c r="H294">
        <v>256763.61</v>
      </c>
      <c r="I294">
        <v>94046.02</v>
      </c>
      <c r="J294">
        <v>94046.02</v>
      </c>
      <c r="K294">
        <v>121459.46</v>
      </c>
      <c r="L294">
        <v>7483.26</v>
      </c>
    </row>
    <row r="295" spans="1:12" x14ac:dyDescent="0.25">
      <c r="A295" t="s">
        <v>1144</v>
      </c>
      <c r="B295" t="s">
        <v>1145</v>
      </c>
      <c r="C295" t="s">
        <v>4391</v>
      </c>
      <c r="D295" s="1">
        <v>44283</v>
      </c>
      <c r="E295">
        <v>1310858.8899999999</v>
      </c>
      <c r="F295">
        <v>1310858.8899999999</v>
      </c>
      <c r="G295">
        <v>1000000</v>
      </c>
      <c r="H295">
        <v>1000000</v>
      </c>
      <c r="I295">
        <v>210958.89</v>
      </c>
      <c r="J295">
        <v>210958.89</v>
      </c>
      <c r="K295">
        <v>99900</v>
      </c>
    </row>
    <row r="296" spans="1:12" x14ac:dyDescent="0.25">
      <c r="A296" t="s">
        <v>1146</v>
      </c>
      <c r="B296" t="s">
        <v>1147</v>
      </c>
      <c r="C296" t="s">
        <v>4392</v>
      </c>
      <c r="D296" s="1">
        <v>44287</v>
      </c>
      <c r="E296">
        <v>217930.86</v>
      </c>
      <c r="F296">
        <v>217930.86</v>
      </c>
      <c r="G296">
        <v>113049.44</v>
      </c>
      <c r="H296">
        <v>113049.44</v>
      </c>
      <c r="I296">
        <v>38066.17</v>
      </c>
      <c r="J296">
        <v>38066.17</v>
      </c>
      <c r="K296">
        <v>56439.1</v>
      </c>
      <c r="L296">
        <v>10376.15</v>
      </c>
    </row>
    <row r="297" spans="1:12" x14ac:dyDescent="0.25">
      <c r="A297" t="s">
        <v>1148</v>
      </c>
      <c r="B297" t="s">
        <v>1149</v>
      </c>
      <c r="C297" t="s">
        <v>4246</v>
      </c>
      <c r="D297" s="1">
        <v>44288</v>
      </c>
      <c r="E297">
        <v>448683.54</v>
      </c>
      <c r="F297">
        <v>448683.54</v>
      </c>
      <c r="G297">
        <v>146164.03</v>
      </c>
      <c r="H297">
        <v>146164.03</v>
      </c>
      <c r="I297">
        <v>52579.02</v>
      </c>
      <c r="J297">
        <v>52579.02</v>
      </c>
      <c r="K297">
        <v>249940.49</v>
      </c>
    </row>
    <row r="298" spans="1:12" x14ac:dyDescent="0.25">
      <c r="A298" t="s">
        <v>1150</v>
      </c>
      <c r="B298" t="s">
        <v>1151</v>
      </c>
      <c r="C298" t="s">
        <v>4247</v>
      </c>
      <c r="D298" s="1">
        <v>44289</v>
      </c>
      <c r="E298">
        <v>157958.89000000001</v>
      </c>
      <c r="F298">
        <v>157958.89000000001</v>
      </c>
      <c r="G298">
        <v>76378.320000000007</v>
      </c>
      <c r="H298">
        <v>76378.320000000007</v>
      </c>
      <c r="I298">
        <v>17157.939999999999</v>
      </c>
      <c r="J298">
        <v>17157.939999999999</v>
      </c>
      <c r="K298">
        <v>55232.18</v>
      </c>
      <c r="L298">
        <v>9190.4500000000007</v>
      </c>
    </row>
    <row r="299" spans="1:12" x14ac:dyDescent="0.25">
      <c r="A299" t="s">
        <v>1152</v>
      </c>
      <c r="B299" t="s">
        <v>1153</v>
      </c>
      <c r="C299" t="s">
        <v>4393</v>
      </c>
      <c r="D299" s="1">
        <v>44296</v>
      </c>
      <c r="E299">
        <v>404568.26</v>
      </c>
      <c r="F299">
        <v>404568.26</v>
      </c>
      <c r="G299">
        <v>197192.25</v>
      </c>
      <c r="H299">
        <v>197192.25</v>
      </c>
      <c r="I299">
        <v>103722.45</v>
      </c>
      <c r="J299">
        <v>103722.45</v>
      </c>
      <c r="K299">
        <v>91895.53</v>
      </c>
      <c r="L299">
        <v>11758.03</v>
      </c>
    </row>
    <row r="300" spans="1:12" x14ac:dyDescent="0.25">
      <c r="A300" t="s">
        <v>1154</v>
      </c>
      <c r="B300" t="s">
        <v>1155</v>
      </c>
      <c r="C300" t="s">
        <v>4172</v>
      </c>
      <c r="D300" s="1">
        <v>44298</v>
      </c>
      <c r="E300">
        <v>178900.43</v>
      </c>
      <c r="F300">
        <v>178900.43</v>
      </c>
      <c r="G300">
        <v>100000</v>
      </c>
      <c r="H300">
        <v>100000</v>
      </c>
      <c r="I300">
        <v>4657.17</v>
      </c>
      <c r="J300">
        <v>4657.17</v>
      </c>
      <c r="K300">
        <v>64854</v>
      </c>
      <c r="L300">
        <v>9389.26</v>
      </c>
    </row>
    <row r="301" spans="1:12" x14ac:dyDescent="0.25">
      <c r="A301" t="s">
        <v>1156</v>
      </c>
      <c r="B301" t="s">
        <v>1157</v>
      </c>
      <c r="C301" t="s">
        <v>4173</v>
      </c>
      <c r="D301" s="1">
        <v>44299</v>
      </c>
      <c r="E301">
        <v>756013.65</v>
      </c>
      <c r="F301">
        <v>756013.65</v>
      </c>
      <c r="G301">
        <v>350969.69</v>
      </c>
      <c r="H301">
        <v>350969.69</v>
      </c>
      <c r="I301">
        <v>163968.25</v>
      </c>
      <c r="J301">
        <v>163968.25</v>
      </c>
      <c r="K301">
        <v>227428.36</v>
      </c>
      <c r="L301">
        <v>13647.35</v>
      </c>
    </row>
    <row r="302" spans="1:12" x14ac:dyDescent="0.25">
      <c r="A302" t="s">
        <v>1158</v>
      </c>
      <c r="B302" t="s">
        <v>1159</v>
      </c>
      <c r="C302" t="s">
        <v>4173</v>
      </c>
      <c r="D302" s="1">
        <v>44299</v>
      </c>
      <c r="E302">
        <v>323581.53000000003</v>
      </c>
      <c r="F302">
        <v>323581.53000000003</v>
      </c>
      <c r="G302">
        <v>163668.96</v>
      </c>
      <c r="H302">
        <v>163668.96</v>
      </c>
      <c r="I302">
        <v>39086.28</v>
      </c>
      <c r="J302">
        <v>39086.28</v>
      </c>
      <c r="K302">
        <v>109494.45</v>
      </c>
      <c r="L302">
        <v>11331.84</v>
      </c>
    </row>
    <row r="303" spans="1:12" x14ac:dyDescent="0.25">
      <c r="A303" t="s">
        <v>1160</v>
      </c>
      <c r="B303" t="s">
        <v>1161</v>
      </c>
      <c r="C303" t="s">
        <v>4174</v>
      </c>
      <c r="D303" s="1">
        <v>44300</v>
      </c>
      <c r="E303">
        <v>1227804.1599999999</v>
      </c>
      <c r="F303">
        <v>1227804.1599999999</v>
      </c>
      <c r="G303">
        <v>900000</v>
      </c>
      <c r="H303">
        <v>900000</v>
      </c>
      <c r="I303">
        <v>246156.16</v>
      </c>
      <c r="J303">
        <v>246156.16</v>
      </c>
      <c r="K303">
        <v>81648</v>
      </c>
    </row>
    <row r="304" spans="1:12" x14ac:dyDescent="0.25">
      <c r="A304" t="s">
        <v>1162</v>
      </c>
      <c r="B304" t="s">
        <v>1163</v>
      </c>
      <c r="C304" t="s">
        <v>4394</v>
      </c>
      <c r="D304" s="1">
        <v>44303</v>
      </c>
      <c r="E304">
        <v>158266.6</v>
      </c>
      <c r="F304">
        <v>158266.6</v>
      </c>
      <c r="G304">
        <v>74526.33</v>
      </c>
      <c r="H304">
        <v>74526.33</v>
      </c>
      <c r="I304">
        <v>26287.279999999999</v>
      </c>
      <c r="J304">
        <v>26287.279999999999</v>
      </c>
      <c r="K304">
        <v>48132.08</v>
      </c>
      <c r="L304">
        <v>9320.91</v>
      </c>
    </row>
    <row r="305" spans="1:12" x14ac:dyDescent="0.25">
      <c r="A305" t="s">
        <v>1165</v>
      </c>
      <c r="B305" t="s">
        <v>1166</v>
      </c>
      <c r="C305" t="s">
        <v>4248</v>
      </c>
      <c r="D305" s="1">
        <v>44304</v>
      </c>
      <c r="E305">
        <v>212754.31</v>
      </c>
      <c r="F305">
        <v>212754.31</v>
      </c>
      <c r="G305">
        <v>103180</v>
      </c>
      <c r="H305">
        <v>103180</v>
      </c>
      <c r="I305">
        <v>74150.31</v>
      </c>
      <c r="J305">
        <v>74150.31</v>
      </c>
      <c r="K305">
        <v>35424</v>
      </c>
    </row>
    <row r="306" spans="1:12" x14ac:dyDescent="0.25">
      <c r="A306" t="s">
        <v>471</v>
      </c>
      <c r="B306" t="s">
        <v>373</v>
      </c>
      <c r="C306" t="s">
        <v>4249</v>
      </c>
      <c r="D306" s="1">
        <v>44305</v>
      </c>
      <c r="E306">
        <v>312809.65999999997</v>
      </c>
      <c r="F306">
        <v>343133.31</v>
      </c>
      <c r="G306">
        <v>99070.9</v>
      </c>
      <c r="H306">
        <v>68747.25</v>
      </c>
      <c r="I306">
        <v>180444.75</v>
      </c>
      <c r="J306">
        <v>180444.75</v>
      </c>
      <c r="K306">
        <v>57617.66</v>
      </c>
      <c r="L306">
        <v>6000</v>
      </c>
    </row>
    <row r="307" spans="1:12" x14ac:dyDescent="0.25">
      <c r="A307" t="s">
        <v>1167</v>
      </c>
      <c r="B307" t="s">
        <v>998</v>
      </c>
      <c r="C307" t="s">
        <v>4175</v>
      </c>
      <c r="D307" s="1">
        <v>44309</v>
      </c>
      <c r="E307">
        <v>611257.09</v>
      </c>
      <c r="F307">
        <v>611257.09</v>
      </c>
      <c r="G307">
        <v>395657.83</v>
      </c>
      <c r="H307">
        <v>395657.83</v>
      </c>
      <c r="I307">
        <v>106944.72</v>
      </c>
      <c r="J307">
        <v>106944.72</v>
      </c>
      <c r="K307">
        <v>108654.54</v>
      </c>
    </row>
    <row r="308" spans="1:12" x14ac:dyDescent="0.25">
      <c r="A308" t="s">
        <v>1168</v>
      </c>
      <c r="B308" t="s">
        <v>1169</v>
      </c>
      <c r="C308" t="s">
        <v>4175</v>
      </c>
      <c r="D308" s="1">
        <v>44309</v>
      </c>
      <c r="E308">
        <v>188814.2</v>
      </c>
      <c r="F308">
        <v>188814.2</v>
      </c>
      <c r="G308">
        <v>97845.22</v>
      </c>
      <c r="H308">
        <v>97845.22</v>
      </c>
      <c r="I308">
        <v>28093.64</v>
      </c>
      <c r="J308">
        <v>28093.64</v>
      </c>
      <c r="K308">
        <v>62875.34</v>
      </c>
    </row>
    <row r="309" spans="1:12" x14ac:dyDescent="0.25">
      <c r="A309" t="s">
        <v>133</v>
      </c>
      <c r="B309" t="s">
        <v>29</v>
      </c>
      <c r="C309" t="s">
        <v>4108</v>
      </c>
      <c r="D309" s="1">
        <v>44314</v>
      </c>
      <c r="E309">
        <v>379746.08</v>
      </c>
      <c r="F309">
        <v>445644.26</v>
      </c>
      <c r="G309">
        <v>65898.179999999993</v>
      </c>
      <c r="I309">
        <v>272198.55</v>
      </c>
      <c r="J309">
        <v>272198.55</v>
      </c>
      <c r="K309">
        <v>107547.53</v>
      </c>
    </row>
    <row r="310" spans="1:12" x14ac:dyDescent="0.25">
      <c r="A310" t="s">
        <v>1170</v>
      </c>
      <c r="B310" t="s">
        <v>1171</v>
      </c>
      <c r="C310" t="s">
        <v>4176</v>
      </c>
      <c r="D310" s="1">
        <v>44316</v>
      </c>
      <c r="E310">
        <v>177808.5</v>
      </c>
      <c r="F310">
        <v>177808.5</v>
      </c>
      <c r="G310">
        <v>93309.37</v>
      </c>
      <c r="H310">
        <v>93309.37</v>
      </c>
      <c r="K310">
        <v>73445.97</v>
      </c>
      <c r="L310">
        <v>11053.16</v>
      </c>
    </row>
    <row r="311" spans="1:12" x14ac:dyDescent="0.25">
      <c r="A311" t="s">
        <v>1172</v>
      </c>
      <c r="B311" t="s">
        <v>1173</v>
      </c>
      <c r="C311" t="s">
        <v>4176</v>
      </c>
      <c r="D311" s="1">
        <v>44316</v>
      </c>
      <c r="E311">
        <v>183930.89</v>
      </c>
      <c r="F311">
        <v>183930.89</v>
      </c>
      <c r="G311">
        <v>170687.58</v>
      </c>
      <c r="H311">
        <v>170687.58</v>
      </c>
      <c r="I311">
        <v>10353.49</v>
      </c>
      <c r="J311">
        <v>10353.49</v>
      </c>
      <c r="K311">
        <v>2889.82</v>
      </c>
    </row>
    <row r="312" spans="1:12" x14ac:dyDescent="0.25">
      <c r="A312" t="s">
        <v>1174</v>
      </c>
      <c r="B312" t="s">
        <v>1175</v>
      </c>
      <c r="C312" t="s">
        <v>4395</v>
      </c>
      <c r="D312" s="1">
        <v>44319</v>
      </c>
      <c r="E312">
        <v>530778.36</v>
      </c>
      <c r="F312">
        <v>530778.36</v>
      </c>
      <c r="G312">
        <v>284090.90000000002</v>
      </c>
      <c r="H312">
        <v>284090.90000000002</v>
      </c>
      <c r="I312">
        <v>52926.53</v>
      </c>
      <c r="J312">
        <v>52926.53</v>
      </c>
      <c r="K312">
        <v>181022.72</v>
      </c>
      <c r="L312">
        <v>12738.21</v>
      </c>
    </row>
    <row r="313" spans="1:12" x14ac:dyDescent="0.25">
      <c r="A313" t="s">
        <v>1176</v>
      </c>
      <c r="B313" t="s">
        <v>1177</v>
      </c>
      <c r="C313" t="s">
        <v>4396</v>
      </c>
      <c r="D313" s="1">
        <v>44321</v>
      </c>
      <c r="E313">
        <v>579.04</v>
      </c>
      <c r="F313">
        <v>579.04</v>
      </c>
      <c r="K313">
        <v>579.04</v>
      </c>
    </row>
    <row r="314" spans="1:12" x14ac:dyDescent="0.25">
      <c r="A314" t="s">
        <v>1178</v>
      </c>
      <c r="B314" t="s">
        <v>1179</v>
      </c>
      <c r="C314" t="s">
        <v>4397</v>
      </c>
      <c r="D314" s="1">
        <v>44323</v>
      </c>
      <c r="E314">
        <v>619510.84</v>
      </c>
      <c r="F314">
        <v>619510.84</v>
      </c>
      <c r="G314">
        <v>340909.1</v>
      </c>
      <c r="H314">
        <v>340909.1</v>
      </c>
      <c r="I314">
        <v>62110.82</v>
      </c>
      <c r="J314">
        <v>62110.82</v>
      </c>
      <c r="K314">
        <v>216490.92</v>
      </c>
    </row>
    <row r="315" spans="1:12" x14ac:dyDescent="0.25">
      <c r="A315" t="s">
        <v>1180</v>
      </c>
      <c r="B315" t="s">
        <v>1181</v>
      </c>
      <c r="C315" t="s">
        <v>4177</v>
      </c>
      <c r="D315" s="1">
        <v>44327</v>
      </c>
      <c r="E315">
        <v>49853.5</v>
      </c>
      <c r="F315">
        <v>49853.5</v>
      </c>
      <c r="K315">
        <v>47853.5</v>
      </c>
      <c r="L315">
        <v>2000</v>
      </c>
    </row>
    <row r="316" spans="1:12" x14ac:dyDescent="0.25">
      <c r="A316" t="s">
        <v>1182</v>
      </c>
      <c r="B316" t="s">
        <v>1183</v>
      </c>
      <c r="C316" t="s">
        <v>4398</v>
      </c>
      <c r="D316" s="1">
        <v>44329</v>
      </c>
      <c r="E316">
        <v>215188.65</v>
      </c>
      <c r="F316">
        <v>215188.65</v>
      </c>
      <c r="G316">
        <v>113636.4</v>
      </c>
      <c r="H316">
        <v>113636.4</v>
      </c>
      <c r="I316">
        <v>19769.61</v>
      </c>
      <c r="J316">
        <v>19769.61</v>
      </c>
      <c r="K316">
        <v>71795.47</v>
      </c>
      <c r="L316">
        <v>9987.17</v>
      </c>
    </row>
    <row r="317" spans="1:12" x14ac:dyDescent="0.25">
      <c r="A317" t="s">
        <v>1184</v>
      </c>
      <c r="B317" t="s">
        <v>1185</v>
      </c>
      <c r="C317" t="s">
        <v>4399</v>
      </c>
      <c r="D317" s="1">
        <v>44331</v>
      </c>
      <c r="E317">
        <v>614302.14</v>
      </c>
      <c r="F317">
        <v>614302.14</v>
      </c>
      <c r="G317">
        <v>340909.1</v>
      </c>
      <c r="H317">
        <v>340909.1</v>
      </c>
      <c r="I317">
        <v>58374.85</v>
      </c>
      <c r="J317">
        <v>58374.85</v>
      </c>
      <c r="K317">
        <v>215018.19</v>
      </c>
    </row>
    <row r="318" spans="1:12" x14ac:dyDescent="0.25">
      <c r="A318" t="s">
        <v>1186</v>
      </c>
      <c r="B318" t="s">
        <v>1181</v>
      </c>
      <c r="C318" t="s">
        <v>4178</v>
      </c>
      <c r="D318" s="1">
        <v>44332</v>
      </c>
      <c r="E318">
        <v>118030.06</v>
      </c>
      <c r="F318">
        <v>118030.06</v>
      </c>
      <c r="G318">
        <v>57218.29</v>
      </c>
      <c r="H318">
        <v>57218.29</v>
      </c>
      <c r="K318">
        <v>58811.77</v>
      </c>
      <c r="L318">
        <v>2000</v>
      </c>
    </row>
    <row r="319" spans="1:12" x14ac:dyDescent="0.25">
      <c r="A319" t="s">
        <v>1187</v>
      </c>
      <c r="B319" t="s">
        <v>1181</v>
      </c>
      <c r="C319" t="s">
        <v>4400</v>
      </c>
      <c r="D319" s="1">
        <v>44339</v>
      </c>
      <c r="E319">
        <v>35194.410000000003</v>
      </c>
      <c r="F319">
        <v>35194.410000000003</v>
      </c>
      <c r="K319">
        <v>27412.65</v>
      </c>
      <c r="L319">
        <v>7781.76</v>
      </c>
    </row>
    <row r="320" spans="1:12" x14ac:dyDescent="0.25">
      <c r="A320" t="s">
        <v>1188</v>
      </c>
      <c r="B320" t="s">
        <v>1189</v>
      </c>
      <c r="C320" t="s">
        <v>4401</v>
      </c>
      <c r="D320" s="1">
        <v>44344</v>
      </c>
      <c r="E320">
        <v>236104.18</v>
      </c>
      <c r="F320">
        <v>236104.18</v>
      </c>
      <c r="G320">
        <v>141050.5</v>
      </c>
      <c r="H320">
        <v>141050.5</v>
      </c>
      <c r="I320">
        <v>22364.34</v>
      </c>
      <c r="J320">
        <v>22364.34</v>
      </c>
      <c r="K320">
        <v>62076.33</v>
      </c>
      <c r="L320">
        <v>10613.01</v>
      </c>
    </row>
    <row r="321" spans="1:12" x14ac:dyDescent="0.25">
      <c r="A321" t="s">
        <v>1190</v>
      </c>
      <c r="B321" t="s">
        <v>1191</v>
      </c>
      <c r="C321" t="s">
        <v>4250</v>
      </c>
      <c r="D321" s="1">
        <v>44345</v>
      </c>
      <c r="E321">
        <v>712935.01</v>
      </c>
      <c r="F321">
        <v>712935.01</v>
      </c>
      <c r="G321">
        <v>400000</v>
      </c>
      <c r="H321">
        <v>400000</v>
      </c>
      <c r="I321">
        <v>122476.72</v>
      </c>
      <c r="J321">
        <v>122476.72</v>
      </c>
      <c r="K321">
        <v>175824</v>
      </c>
      <c r="L321">
        <v>14634.29</v>
      </c>
    </row>
    <row r="322" spans="1:12" x14ac:dyDescent="0.25">
      <c r="A322" t="s">
        <v>1192</v>
      </c>
      <c r="B322" t="s">
        <v>1193</v>
      </c>
      <c r="C322" t="s">
        <v>4251</v>
      </c>
      <c r="D322" s="1">
        <v>44346</v>
      </c>
      <c r="E322">
        <v>192378.36</v>
      </c>
      <c r="F322">
        <v>192378.36</v>
      </c>
      <c r="G322">
        <v>98193.9</v>
      </c>
      <c r="H322">
        <v>98193.9</v>
      </c>
      <c r="I322">
        <v>33046.97</v>
      </c>
      <c r="J322">
        <v>33046.97</v>
      </c>
      <c r="K322">
        <v>61137.49</v>
      </c>
    </row>
    <row r="323" spans="1:12" x14ac:dyDescent="0.25">
      <c r="A323" t="s">
        <v>1194</v>
      </c>
      <c r="B323" t="s">
        <v>1195</v>
      </c>
      <c r="C323" t="s">
        <v>4251</v>
      </c>
      <c r="D323" s="1">
        <v>44346</v>
      </c>
      <c r="E323">
        <v>1902236.44</v>
      </c>
      <c r="F323">
        <v>1902236.44</v>
      </c>
      <c r="G323">
        <v>1000000</v>
      </c>
      <c r="H323">
        <v>1000000</v>
      </c>
      <c r="I323">
        <v>279616.44</v>
      </c>
      <c r="J323">
        <v>279616.44</v>
      </c>
      <c r="K323">
        <v>622620</v>
      </c>
    </row>
    <row r="324" spans="1:12" x14ac:dyDescent="0.25">
      <c r="A324" t="s">
        <v>1196</v>
      </c>
      <c r="B324" t="s">
        <v>1197</v>
      </c>
      <c r="C324" t="s">
        <v>4402</v>
      </c>
      <c r="D324" s="1">
        <v>44349</v>
      </c>
      <c r="E324">
        <v>859611.56</v>
      </c>
      <c r="F324">
        <v>859611.56</v>
      </c>
      <c r="G324">
        <v>491867.54</v>
      </c>
      <c r="H324">
        <v>491867.54</v>
      </c>
      <c r="I324">
        <v>142601.16</v>
      </c>
      <c r="J324">
        <v>142601.16</v>
      </c>
      <c r="K324">
        <v>215142.86</v>
      </c>
      <c r="L324">
        <v>10000</v>
      </c>
    </row>
    <row r="325" spans="1:12" x14ac:dyDescent="0.25">
      <c r="A325" t="s">
        <v>1198</v>
      </c>
      <c r="B325" t="s">
        <v>1199</v>
      </c>
      <c r="C325" t="s">
        <v>4179</v>
      </c>
      <c r="D325" s="1">
        <v>44350</v>
      </c>
      <c r="E325">
        <v>110337.52</v>
      </c>
      <c r="F325">
        <v>110337.52</v>
      </c>
      <c r="G325">
        <v>56007.23</v>
      </c>
      <c r="H325">
        <v>56007.23</v>
      </c>
      <c r="I325">
        <v>9336.26</v>
      </c>
      <c r="J325">
        <v>9336.26</v>
      </c>
      <c r="K325">
        <v>36750.25</v>
      </c>
      <c r="L325">
        <v>8243.7800000000007</v>
      </c>
    </row>
    <row r="326" spans="1:12" x14ac:dyDescent="0.25">
      <c r="A326" t="s">
        <v>1200</v>
      </c>
      <c r="B326" t="s">
        <v>1112</v>
      </c>
      <c r="C326" t="s">
        <v>4403</v>
      </c>
      <c r="D326" s="1">
        <v>44352</v>
      </c>
      <c r="E326">
        <v>43625.5</v>
      </c>
      <c r="F326">
        <v>43625.5</v>
      </c>
      <c r="I326">
        <v>15100.52</v>
      </c>
      <c r="J326">
        <v>15100.52</v>
      </c>
      <c r="K326">
        <v>20166.11</v>
      </c>
      <c r="L326">
        <v>8358.8700000000008</v>
      </c>
    </row>
    <row r="327" spans="1:12" x14ac:dyDescent="0.25">
      <c r="A327" t="s">
        <v>1201</v>
      </c>
      <c r="B327" t="s">
        <v>1202</v>
      </c>
      <c r="C327" t="s">
        <v>4404</v>
      </c>
      <c r="D327" s="1">
        <v>44354</v>
      </c>
      <c r="E327">
        <v>155604.37</v>
      </c>
      <c r="F327">
        <v>155604.37</v>
      </c>
      <c r="G327">
        <v>78274.16</v>
      </c>
      <c r="H327">
        <v>78274.16</v>
      </c>
      <c r="I327">
        <v>20095.25</v>
      </c>
      <c r="J327">
        <v>20095.25</v>
      </c>
      <c r="K327">
        <v>48417.67</v>
      </c>
      <c r="L327">
        <v>8817.2900000000009</v>
      </c>
    </row>
    <row r="328" spans="1:12" x14ac:dyDescent="0.25">
      <c r="A328" t="s">
        <v>1203</v>
      </c>
      <c r="B328" t="s">
        <v>1193</v>
      </c>
      <c r="C328" t="s">
        <v>4180</v>
      </c>
      <c r="D328" s="1">
        <v>44356</v>
      </c>
      <c r="E328">
        <v>186431.37</v>
      </c>
      <c r="F328">
        <v>186431.37</v>
      </c>
      <c r="G328">
        <v>97843.09</v>
      </c>
      <c r="H328">
        <v>97843.09</v>
      </c>
      <c r="I328">
        <v>28197.57</v>
      </c>
      <c r="J328">
        <v>28197.57</v>
      </c>
      <c r="K328">
        <v>60390.71</v>
      </c>
    </row>
    <row r="329" spans="1:12" x14ac:dyDescent="0.25">
      <c r="A329" t="s">
        <v>1204</v>
      </c>
      <c r="B329" t="s">
        <v>1181</v>
      </c>
      <c r="C329" t="s">
        <v>4181</v>
      </c>
      <c r="D329" s="1">
        <v>44357</v>
      </c>
      <c r="E329">
        <v>176200.98</v>
      </c>
      <c r="F329">
        <v>176200.98</v>
      </c>
      <c r="G329">
        <v>97032.62</v>
      </c>
      <c r="H329">
        <v>97032.62</v>
      </c>
      <c r="I329">
        <v>17330.29</v>
      </c>
      <c r="J329">
        <v>17330.29</v>
      </c>
      <c r="K329">
        <v>59838.07</v>
      </c>
      <c r="L329">
        <v>2000</v>
      </c>
    </row>
    <row r="330" spans="1:12" x14ac:dyDescent="0.25">
      <c r="A330" t="s">
        <v>1205</v>
      </c>
      <c r="B330" t="s">
        <v>1193</v>
      </c>
      <c r="C330" t="s">
        <v>4181</v>
      </c>
      <c r="D330" s="1">
        <v>44357</v>
      </c>
      <c r="E330">
        <v>190303.61</v>
      </c>
      <c r="F330">
        <v>190303.61</v>
      </c>
      <c r="G330">
        <v>100000</v>
      </c>
      <c r="H330">
        <v>100000</v>
      </c>
      <c r="I330">
        <v>28635.61</v>
      </c>
      <c r="J330">
        <v>28635.61</v>
      </c>
      <c r="K330">
        <v>61668</v>
      </c>
    </row>
    <row r="331" spans="1:12" x14ac:dyDescent="0.25">
      <c r="A331" t="s">
        <v>1206</v>
      </c>
      <c r="B331" t="s">
        <v>1207</v>
      </c>
      <c r="C331" t="s">
        <v>4405</v>
      </c>
      <c r="D331" s="1">
        <v>44359</v>
      </c>
      <c r="E331">
        <v>95479.38</v>
      </c>
      <c r="F331">
        <v>95479.38</v>
      </c>
      <c r="G331">
        <v>34474.03</v>
      </c>
      <c r="H331">
        <v>34474.03</v>
      </c>
      <c r="K331">
        <v>50872.5</v>
      </c>
      <c r="L331">
        <v>10132.85</v>
      </c>
    </row>
    <row r="332" spans="1:12" x14ac:dyDescent="0.25">
      <c r="A332" t="s">
        <v>1208</v>
      </c>
      <c r="B332" t="s">
        <v>1209</v>
      </c>
      <c r="C332" t="s">
        <v>4406</v>
      </c>
      <c r="D332" s="1">
        <v>44364</v>
      </c>
      <c r="E332">
        <v>1699510</v>
      </c>
      <c r="F332">
        <v>1699510</v>
      </c>
      <c r="G332">
        <v>940452.63</v>
      </c>
      <c r="H332">
        <v>940452.63</v>
      </c>
      <c r="I332">
        <v>182653.96</v>
      </c>
      <c r="J332">
        <v>182653.96</v>
      </c>
      <c r="K332">
        <v>576403.41</v>
      </c>
    </row>
    <row r="333" spans="1:12" x14ac:dyDescent="0.25">
      <c r="A333" t="s">
        <v>1210</v>
      </c>
      <c r="B333" t="s">
        <v>998</v>
      </c>
      <c r="C333" t="s">
        <v>4182</v>
      </c>
      <c r="D333" s="1">
        <v>44365</v>
      </c>
      <c r="E333">
        <v>328009.43</v>
      </c>
      <c r="F333">
        <v>328009.43</v>
      </c>
      <c r="G333">
        <v>200489.60000000001</v>
      </c>
      <c r="H333">
        <v>200489.60000000001</v>
      </c>
      <c r="I333">
        <v>43100.63</v>
      </c>
      <c r="J333">
        <v>43100.63</v>
      </c>
      <c r="K333">
        <v>84419.199999999997</v>
      </c>
    </row>
    <row r="334" spans="1:12" x14ac:dyDescent="0.25">
      <c r="A334" t="s">
        <v>1211</v>
      </c>
      <c r="B334" t="s">
        <v>1212</v>
      </c>
      <c r="C334" t="s">
        <v>4252</v>
      </c>
      <c r="D334" s="1">
        <v>44366</v>
      </c>
      <c r="E334">
        <v>264514.83</v>
      </c>
      <c r="F334">
        <v>264514.83</v>
      </c>
      <c r="G334">
        <v>148111.51</v>
      </c>
      <c r="H334">
        <v>148111.51</v>
      </c>
      <c r="I334">
        <v>34640.480000000003</v>
      </c>
      <c r="J334">
        <v>34640.480000000003</v>
      </c>
      <c r="K334">
        <v>81762.84</v>
      </c>
    </row>
    <row r="335" spans="1:12" x14ac:dyDescent="0.25">
      <c r="A335" t="s">
        <v>1213</v>
      </c>
      <c r="B335" t="s">
        <v>1214</v>
      </c>
      <c r="C335" t="s">
        <v>4252</v>
      </c>
      <c r="D335" s="1">
        <v>44366</v>
      </c>
      <c r="E335">
        <v>1202644.78</v>
      </c>
      <c r="F335">
        <v>1202644.78</v>
      </c>
      <c r="G335">
        <v>612100.54</v>
      </c>
      <c r="H335">
        <v>612100.54</v>
      </c>
      <c r="I335">
        <v>306050.28000000003</v>
      </c>
      <c r="J335">
        <v>306050.28000000003</v>
      </c>
      <c r="K335">
        <v>265151.21000000002</v>
      </c>
      <c r="L335">
        <v>19342.75</v>
      </c>
    </row>
    <row r="336" spans="1:12" x14ac:dyDescent="0.25">
      <c r="A336" t="s">
        <v>1215</v>
      </c>
      <c r="B336" t="s">
        <v>1216</v>
      </c>
      <c r="C336" t="s">
        <v>4183</v>
      </c>
      <c r="D336" s="1">
        <v>44367</v>
      </c>
      <c r="E336">
        <v>337030.31</v>
      </c>
      <c r="F336">
        <v>337030.31</v>
      </c>
      <c r="G336">
        <v>181818.2</v>
      </c>
      <c r="H336">
        <v>181818.2</v>
      </c>
      <c r="I336">
        <v>32627.64</v>
      </c>
      <c r="J336">
        <v>32627.64</v>
      </c>
      <c r="K336">
        <v>111141.83</v>
      </c>
      <c r="L336">
        <v>11442.64</v>
      </c>
    </row>
    <row r="337" spans="1:12" x14ac:dyDescent="0.25">
      <c r="A337" t="s">
        <v>1217</v>
      </c>
      <c r="B337" t="s">
        <v>1218</v>
      </c>
      <c r="C337" t="s">
        <v>4132</v>
      </c>
      <c r="D337" s="1">
        <v>44368</v>
      </c>
      <c r="E337">
        <v>918246.14</v>
      </c>
      <c r="F337">
        <v>918246.14</v>
      </c>
      <c r="G337">
        <v>504706.65</v>
      </c>
      <c r="H337">
        <v>504706.65</v>
      </c>
      <c r="I337">
        <v>89879.27</v>
      </c>
      <c r="J337">
        <v>89879.27</v>
      </c>
      <c r="K337">
        <v>308244.53999999998</v>
      </c>
      <c r="L337">
        <v>15415.68</v>
      </c>
    </row>
    <row r="338" spans="1:12" x14ac:dyDescent="0.25">
      <c r="A338" t="s">
        <v>1219</v>
      </c>
      <c r="B338" t="s">
        <v>1220</v>
      </c>
      <c r="C338" t="s">
        <v>4132</v>
      </c>
      <c r="D338" s="1">
        <v>44368</v>
      </c>
      <c r="E338">
        <v>158650.53</v>
      </c>
      <c r="F338">
        <v>158650.53</v>
      </c>
      <c r="G338">
        <v>91093.14</v>
      </c>
      <c r="H338">
        <v>91093.14</v>
      </c>
      <c r="K338">
        <v>57726.45</v>
      </c>
      <c r="L338">
        <v>9830.94</v>
      </c>
    </row>
    <row r="339" spans="1:12" x14ac:dyDescent="0.25">
      <c r="A339" t="s">
        <v>1221</v>
      </c>
      <c r="B339" t="s">
        <v>1222</v>
      </c>
      <c r="C339" t="s">
        <v>4253</v>
      </c>
      <c r="D339" s="1">
        <v>44369</v>
      </c>
      <c r="E339">
        <v>54.22</v>
      </c>
      <c r="F339">
        <v>54.22</v>
      </c>
      <c r="K339">
        <v>54.22</v>
      </c>
    </row>
    <row r="340" spans="1:12" x14ac:dyDescent="0.25">
      <c r="A340" t="s">
        <v>1223</v>
      </c>
      <c r="B340" t="s">
        <v>1197</v>
      </c>
      <c r="C340" t="s">
        <v>4253</v>
      </c>
      <c r="D340" s="1">
        <v>44369</v>
      </c>
      <c r="E340">
        <v>722172.23</v>
      </c>
      <c r="F340">
        <v>722172.23</v>
      </c>
      <c r="G340">
        <v>450073.9</v>
      </c>
      <c r="H340">
        <v>450073.9</v>
      </c>
      <c r="I340">
        <v>75834.38</v>
      </c>
      <c r="J340">
        <v>75834.38</v>
      </c>
      <c r="K340">
        <v>192001.53</v>
      </c>
      <c r="L340">
        <v>4262.42</v>
      </c>
    </row>
    <row r="341" spans="1:12" x14ac:dyDescent="0.25">
      <c r="A341" t="s">
        <v>1224</v>
      </c>
      <c r="B341" t="s">
        <v>1193</v>
      </c>
      <c r="C341" t="s">
        <v>4253</v>
      </c>
      <c r="D341" s="1">
        <v>44369</v>
      </c>
      <c r="E341">
        <v>183409.68</v>
      </c>
      <c r="F341">
        <v>183409.68</v>
      </c>
      <c r="G341">
        <v>97843.09</v>
      </c>
      <c r="H341">
        <v>97843.09</v>
      </c>
      <c r="I341">
        <v>25862.74</v>
      </c>
      <c r="J341">
        <v>25862.74</v>
      </c>
      <c r="K341">
        <v>59703.85</v>
      </c>
    </row>
    <row r="342" spans="1:12" x14ac:dyDescent="0.25">
      <c r="A342" t="s">
        <v>1225</v>
      </c>
      <c r="B342" t="s">
        <v>1226</v>
      </c>
      <c r="C342" t="s">
        <v>4253</v>
      </c>
      <c r="D342" s="1">
        <v>44369</v>
      </c>
      <c r="E342">
        <v>551031.59</v>
      </c>
      <c r="F342">
        <v>551031.59</v>
      </c>
      <c r="G342">
        <v>282703.67</v>
      </c>
      <c r="H342">
        <v>282703.67</v>
      </c>
      <c r="I342">
        <v>82812.800000000003</v>
      </c>
      <c r="J342">
        <v>82812.800000000003</v>
      </c>
      <c r="K342">
        <v>172505.77</v>
      </c>
      <c r="L342">
        <v>13009.35</v>
      </c>
    </row>
    <row r="343" spans="1:12" x14ac:dyDescent="0.25">
      <c r="A343" t="s">
        <v>1227</v>
      </c>
      <c r="B343" t="s">
        <v>1228</v>
      </c>
      <c r="C343" t="s">
        <v>4133</v>
      </c>
      <c r="D343" s="1">
        <v>44370</v>
      </c>
      <c r="E343">
        <v>198026.13</v>
      </c>
      <c r="F343">
        <v>198026.13</v>
      </c>
      <c r="G343">
        <v>44089.13</v>
      </c>
      <c r="H343">
        <v>44089.13</v>
      </c>
      <c r="K343">
        <v>140119.18</v>
      </c>
      <c r="L343">
        <v>13817.82</v>
      </c>
    </row>
    <row r="344" spans="1:12" x14ac:dyDescent="0.25">
      <c r="A344" t="s">
        <v>1229</v>
      </c>
      <c r="B344" t="s">
        <v>1230</v>
      </c>
      <c r="C344" t="s">
        <v>4407</v>
      </c>
      <c r="D344" s="1">
        <v>44372</v>
      </c>
      <c r="E344">
        <v>191751.84</v>
      </c>
      <c r="F344">
        <v>191751.84</v>
      </c>
      <c r="G344">
        <v>97642.22</v>
      </c>
      <c r="H344">
        <v>97642.22</v>
      </c>
      <c r="I344">
        <v>24931.48</v>
      </c>
      <c r="J344">
        <v>24931.48</v>
      </c>
      <c r="K344">
        <v>59423.1</v>
      </c>
      <c r="L344">
        <v>9755.0400000000009</v>
      </c>
    </row>
    <row r="345" spans="1:12" x14ac:dyDescent="0.25">
      <c r="A345" t="s">
        <v>1231</v>
      </c>
      <c r="B345" t="s">
        <v>1232</v>
      </c>
      <c r="C345" t="s">
        <v>4408</v>
      </c>
      <c r="D345" s="1">
        <v>44374</v>
      </c>
      <c r="E345">
        <v>101241.39</v>
      </c>
      <c r="F345">
        <v>101241.39</v>
      </c>
      <c r="K345">
        <v>101241.39</v>
      </c>
    </row>
    <row r="346" spans="1:12" x14ac:dyDescent="0.25">
      <c r="A346" t="s">
        <v>1233</v>
      </c>
      <c r="B346" t="s">
        <v>1234</v>
      </c>
      <c r="C346" t="s">
        <v>4408</v>
      </c>
      <c r="D346" s="1">
        <v>44374</v>
      </c>
      <c r="E346">
        <v>65919.72</v>
      </c>
      <c r="F346">
        <v>65919.72</v>
      </c>
      <c r="G346">
        <v>49167.83</v>
      </c>
      <c r="H346">
        <v>49167.83</v>
      </c>
      <c r="I346">
        <v>10470.92</v>
      </c>
      <c r="J346">
        <v>10470.92</v>
      </c>
      <c r="K346">
        <v>6280.97</v>
      </c>
    </row>
    <row r="347" spans="1:12" x14ac:dyDescent="0.25">
      <c r="A347" t="s">
        <v>1235</v>
      </c>
      <c r="B347" t="s">
        <v>1236</v>
      </c>
      <c r="C347" t="s">
        <v>4408</v>
      </c>
      <c r="D347" s="1">
        <v>44374</v>
      </c>
      <c r="E347">
        <v>509600.19</v>
      </c>
      <c r="F347">
        <v>509600.19</v>
      </c>
      <c r="G347">
        <v>297351.01</v>
      </c>
      <c r="H347">
        <v>297351.01</v>
      </c>
      <c r="I347">
        <v>73131.87</v>
      </c>
      <c r="J347">
        <v>73131.87</v>
      </c>
      <c r="K347">
        <v>126047.09</v>
      </c>
      <c r="L347">
        <v>13070.22</v>
      </c>
    </row>
    <row r="348" spans="1:12" x14ac:dyDescent="0.25">
      <c r="A348" t="s">
        <v>1237</v>
      </c>
      <c r="B348" t="s">
        <v>1238</v>
      </c>
      <c r="C348" t="s">
        <v>4184</v>
      </c>
      <c r="D348" s="1">
        <v>44377</v>
      </c>
      <c r="E348">
        <v>179091.71</v>
      </c>
      <c r="F348">
        <v>179091.71</v>
      </c>
      <c r="G348">
        <v>97417.05</v>
      </c>
      <c r="H348">
        <v>97417.05</v>
      </c>
      <c r="I348">
        <v>33913.54</v>
      </c>
      <c r="J348">
        <v>33913.54</v>
      </c>
      <c r="K348">
        <v>41137.269999999997</v>
      </c>
      <c r="L348">
        <v>6623.85</v>
      </c>
    </row>
    <row r="349" spans="1:12" x14ac:dyDescent="0.25">
      <c r="A349" t="s">
        <v>1239</v>
      </c>
      <c r="B349" t="s">
        <v>1240</v>
      </c>
      <c r="C349" t="s">
        <v>4109</v>
      </c>
      <c r="D349" s="1">
        <v>44380</v>
      </c>
      <c r="E349">
        <v>398797.04</v>
      </c>
      <c r="F349">
        <v>398797.04</v>
      </c>
      <c r="G349">
        <v>154334.04999999999</v>
      </c>
      <c r="H349">
        <v>154334.04999999999</v>
      </c>
      <c r="I349">
        <v>151205.1</v>
      </c>
      <c r="J349">
        <v>151205.1</v>
      </c>
      <c r="K349">
        <v>93257.89</v>
      </c>
    </row>
    <row r="350" spans="1:12" x14ac:dyDescent="0.25">
      <c r="A350" t="s">
        <v>1241</v>
      </c>
      <c r="B350" t="s">
        <v>1193</v>
      </c>
      <c r="C350" t="s">
        <v>4109</v>
      </c>
      <c r="D350" s="1">
        <v>44380</v>
      </c>
      <c r="E350">
        <v>181012.23</v>
      </c>
      <c r="F350">
        <v>181012.23</v>
      </c>
      <c r="G350">
        <v>98026.65</v>
      </c>
      <c r="H350">
        <v>98026.65</v>
      </c>
      <c r="I350">
        <v>23751.99</v>
      </c>
      <c r="J350">
        <v>23751.99</v>
      </c>
      <c r="K350">
        <v>59233.59</v>
      </c>
    </row>
    <row r="351" spans="1:12" x14ac:dyDescent="0.25">
      <c r="A351" t="s">
        <v>1242</v>
      </c>
      <c r="B351" t="s">
        <v>1240</v>
      </c>
      <c r="C351" t="s">
        <v>4109</v>
      </c>
      <c r="D351" s="1">
        <v>44380</v>
      </c>
      <c r="E351">
        <v>398797.05</v>
      </c>
      <c r="F351">
        <v>398797.05</v>
      </c>
      <c r="G351">
        <v>154334.04999999999</v>
      </c>
      <c r="H351">
        <v>154334.04999999999</v>
      </c>
      <c r="I351">
        <v>151205.1</v>
      </c>
      <c r="J351">
        <v>151205.1</v>
      </c>
      <c r="K351">
        <v>93257.9</v>
      </c>
    </row>
    <row r="352" spans="1:12" x14ac:dyDescent="0.25">
      <c r="A352" t="s">
        <v>1243</v>
      </c>
      <c r="B352" t="s">
        <v>1244</v>
      </c>
      <c r="C352" t="s">
        <v>4105</v>
      </c>
      <c r="D352" s="1">
        <v>44381</v>
      </c>
      <c r="E352">
        <v>1878726.71</v>
      </c>
      <c r="F352">
        <v>1878726.71</v>
      </c>
      <c r="G352">
        <v>994190.24</v>
      </c>
      <c r="H352">
        <v>994190.24</v>
      </c>
      <c r="I352">
        <v>284323.94</v>
      </c>
      <c r="J352">
        <v>284323.94</v>
      </c>
      <c r="K352">
        <v>600212.53</v>
      </c>
    </row>
    <row r="353" spans="1:12" x14ac:dyDescent="0.25">
      <c r="A353" t="s">
        <v>1245</v>
      </c>
      <c r="B353" t="s">
        <v>1246</v>
      </c>
      <c r="C353" t="s">
        <v>4105</v>
      </c>
      <c r="D353" s="1">
        <v>44381</v>
      </c>
      <c r="E353">
        <v>355191.52</v>
      </c>
      <c r="F353">
        <v>355191.52</v>
      </c>
      <c r="G353">
        <v>180000</v>
      </c>
      <c r="H353">
        <v>180000</v>
      </c>
      <c r="I353">
        <v>87438.92</v>
      </c>
      <c r="J353">
        <v>87438.92</v>
      </c>
      <c r="K353">
        <v>75621.600000000006</v>
      </c>
      <c r="L353">
        <v>12131</v>
      </c>
    </row>
    <row r="354" spans="1:12" x14ac:dyDescent="0.25">
      <c r="A354" t="s">
        <v>1247</v>
      </c>
      <c r="B354" t="s">
        <v>1248</v>
      </c>
      <c r="C354" t="s">
        <v>4409</v>
      </c>
      <c r="D354" s="1">
        <v>44386</v>
      </c>
      <c r="E354">
        <v>244333.6</v>
      </c>
      <c r="F354">
        <v>244333.6</v>
      </c>
      <c r="G354">
        <v>140364.92000000001</v>
      </c>
      <c r="H354">
        <v>140364.92000000001</v>
      </c>
      <c r="I354">
        <v>27634.57</v>
      </c>
      <c r="J354">
        <v>27634.57</v>
      </c>
      <c r="K354">
        <v>65353.85</v>
      </c>
      <c r="L354">
        <v>10980.26</v>
      </c>
    </row>
    <row r="355" spans="1:12" x14ac:dyDescent="0.25">
      <c r="A355" t="s">
        <v>1249</v>
      </c>
      <c r="B355" t="s">
        <v>1250</v>
      </c>
      <c r="C355" t="s">
        <v>4254</v>
      </c>
      <c r="D355" s="1">
        <v>44387</v>
      </c>
      <c r="E355">
        <v>687298.06</v>
      </c>
      <c r="F355">
        <v>687298.06</v>
      </c>
      <c r="G355">
        <v>365325.76</v>
      </c>
      <c r="H355">
        <v>365325.76</v>
      </c>
      <c r="I355">
        <v>102601.49</v>
      </c>
      <c r="J355">
        <v>102601.49</v>
      </c>
      <c r="K355">
        <v>219370.81</v>
      </c>
    </row>
    <row r="356" spans="1:12" x14ac:dyDescent="0.25">
      <c r="A356" t="s">
        <v>1251</v>
      </c>
      <c r="B356" t="s">
        <v>1252</v>
      </c>
      <c r="C356" t="s">
        <v>4254</v>
      </c>
      <c r="D356" s="1">
        <v>44387</v>
      </c>
      <c r="E356">
        <v>197645.11</v>
      </c>
      <c r="F356">
        <v>197645.11</v>
      </c>
      <c r="G356">
        <v>100000</v>
      </c>
      <c r="H356">
        <v>100000</v>
      </c>
      <c r="I356">
        <v>27739.72</v>
      </c>
      <c r="J356">
        <v>27739.72</v>
      </c>
      <c r="K356">
        <v>60048</v>
      </c>
      <c r="L356">
        <v>9857.39</v>
      </c>
    </row>
    <row r="357" spans="1:12" x14ac:dyDescent="0.25">
      <c r="A357" t="s">
        <v>1253</v>
      </c>
      <c r="B357" t="s">
        <v>1254</v>
      </c>
      <c r="C357" t="s">
        <v>4134</v>
      </c>
      <c r="D357" s="1">
        <v>44388</v>
      </c>
      <c r="E357">
        <v>61753.7</v>
      </c>
      <c r="F357">
        <v>61753.7</v>
      </c>
      <c r="K357">
        <v>61753.7</v>
      </c>
    </row>
    <row r="358" spans="1:12" x14ac:dyDescent="0.25">
      <c r="A358" t="s">
        <v>1255</v>
      </c>
      <c r="B358" t="s">
        <v>1256</v>
      </c>
      <c r="C358" t="s">
        <v>4255</v>
      </c>
      <c r="D358" s="1">
        <v>44389</v>
      </c>
      <c r="E358">
        <v>175507.66</v>
      </c>
      <c r="F358">
        <v>175507.66</v>
      </c>
      <c r="G358">
        <v>95203.01</v>
      </c>
      <c r="H358">
        <v>95203.01</v>
      </c>
      <c r="I358">
        <v>23239.97</v>
      </c>
      <c r="J358">
        <v>23239.97</v>
      </c>
      <c r="K358">
        <v>57064.68</v>
      </c>
    </row>
    <row r="359" spans="1:12" x14ac:dyDescent="0.25">
      <c r="A359" t="s">
        <v>1257</v>
      </c>
      <c r="B359" t="s">
        <v>1258</v>
      </c>
      <c r="C359" t="s">
        <v>4410</v>
      </c>
      <c r="D359" s="1">
        <v>44394</v>
      </c>
      <c r="E359">
        <v>1786630.66</v>
      </c>
      <c r="F359">
        <v>1786630.66</v>
      </c>
      <c r="G359">
        <v>997815.8</v>
      </c>
      <c r="H359">
        <v>997815.8</v>
      </c>
      <c r="I359">
        <v>193418.17</v>
      </c>
      <c r="J359">
        <v>193418.17</v>
      </c>
      <c r="K359">
        <v>595396.68999999994</v>
      </c>
    </row>
    <row r="360" spans="1:12" x14ac:dyDescent="0.25">
      <c r="A360" t="s">
        <v>1259</v>
      </c>
      <c r="B360" t="s">
        <v>1238</v>
      </c>
      <c r="C360" t="s">
        <v>4410</v>
      </c>
      <c r="D360" s="1">
        <v>44394</v>
      </c>
      <c r="E360">
        <v>133179.59</v>
      </c>
      <c r="F360">
        <v>133179.59</v>
      </c>
      <c r="G360">
        <v>72492.850000000006</v>
      </c>
      <c r="H360">
        <v>72492.850000000006</v>
      </c>
      <c r="I360">
        <v>25739.94</v>
      </c>
      <c r="J360">
        <v>25739.94</v>
      </c>
      <c r="K360">
        <v>29946.799999999999</v>
      </c>
      <c r="L360">
        <v>5000</v>
      </c>
    </row>
    <row r="361" spans="1:12" x14ac:dyDescent="0.25">
      <c r="A361" t="s">
        <v>1260</v>
      </c>
      <c r="B361" t="s">
        <v>1261</v>
      </c>
      <c r="C361" t="s">
        <v>4410</v>
      </c>
      <c r="D361" s="1">
        <v>44394</v>
      </c>
      <c r="E361">
        <v>848336.91</v>
      </c>
      <c r="F361">
        <v>848336.91</v>
      </c>
      <c r="G361">
        <v>450000</v>
      </c>
      <c r="H361">
        <v>450000</v>
      </c>
      <c r="I361">
        <v>129821.91</v>
      </c>
      <c r="J361">
        <v>129821.91</v>
      </c>
      <c r="K361">
        <v>268515</v>
      </c>
    </row>
    <row r="362" spans="1:12" x14ac:dyDescent="0.25">
      <c r="A362" t="s">
        <v>1262</v>
      </c>
      <c r="B362" t="s">
        <v>1263</v>
      </c>
      <c r="C362" t="s">
        <v>4256</v>
      </c>
      <c r="D362" s="1">
        <v>44395</v>
      </c>
      <c r="E362">
        <v>597538.85</v>
      </c>
      <c r="F362">
        <v>597538.85</v>
      </c>
      <c r="G362">
        <v>218227.75</v>
      </c>
      <c r="H362">
        <v>218227.75</v>
      </c>
      <c r="I362">
        <v>324501.44</v>
      </c>
      <c r="J362">
        <v>324501.44</v>
      </c>
      <c r="K362">
        <v>45725.120000000003</v>
      </c>
      <c r="L362">
        <v>9084.5400000000009</v>
      </c>
    </row>
    <row r="363" spans="1:12" x14ac:dyDescent="0.25">
      <c r="A363" t="s">
        <v>1264</v>
      </c>
      <c r="B363" t="s">
        <v>1265</v>
      </c>
      <c r="C363" t="s">
        <v>4185</v>
      </c>
      <c r="D363" s="1">
        <v>44397</v>
      </c>
      <c r="E363">
        <v>74574.850000000006</v>
      </c>
      <c r="F363">
        <v>74574.850000000006</v>
      </c>
      <c r="G363">
        <v>17715.04</v>
      </c>
      <c r="H363">
        <v>17715.04</v>
      </c>
      <c r="K363">
        <v>56859.81</v>
      </c>
    </row>
    <row r="364" spans="1:12" x14ac:dyDescent="0.25">
      <c r="A364" t="s">
        <v>1266</v>
      </c>
      <c r="B364" t="s">
        <v>1267</v>
      </c>
      <c r="C364" t="s">
        <v>4411</v>
      </c>
      <c r="D364" s="1">
        <v>44402</v>
      </c>
      <c r="E364">
        <v>68071.03</v>
      </c>
      <c r="F364">
        <v>68071.03</v>
      </c>
      <c r="K364">
        <v>68071.03</v>
      </c>
    </row>
    <row r="365" spans="1:12" x14ac:dyDescent="0.25">
      <c r="A365" t="s">
        <v>1268</v>
      </c>
      <c r="B365" t="s">
        <v>1269</v>
      </c>
      <c r="C365" t="s">
        <v>4186</v>
      </c>
      <c r="D365" s="1">
        <v>44405</v>
      </c>
      <c r="E365">
        <v>457122.68</v>
      </c>
      <c r="F365">
        <v>457122.68</v>
      </c>
      <c r="G365">
        <v>236141.18</v>
      </c>
      <c r="H365">
        <v>236141.18</v>
      </c>
      <c r="I365">
        <v>81478.73</v>
      </c>
      <c r="J365">
        <v>81478.73</v>
      </c>
      <c r="K365">
        <v>139502.76999999999</v>
      </c>
    </row>
    <row r="366" spans="1:12" x14ac:dyDescent="0.25">
      <c r="A366" t="s">
        <v>1270</v>
      </c>
      <c r="B366" t="s">
        <v>1271</v>
      </c>
      <c r="C366" t="s">
        <v>4412</v>
      </c>
      <c r="D366" s="1">
        <v>44410</v>
      </c>
      <c r="E366">
        <v>631162.09</v>
      </c>
      <c r="F366">
        <v>631162.09</v>
      </c>
      <c r="G366">
        <v>350000</v>
      </c>
      <c r="H366">
        <v>350000</v>
      </c>
      <c r="I366">
        <v>75341.09</v>
      </c>
      <c r="J366">
        <v>75341.09</v>
      </c>
      <c r="K366">
        <v>205821</v>
      </c>
    </row>
    <row r="367" spans="1:12" x14ac:dyDescent="0.25">
      <c r="A367" t="s">
        <v>1272</v>
      </c>
      <c r="B367" t="s">
        <v>1273</v>
      </c>
      <c r="C367" t="s">
        <v>4257</v>
      </c>
      <c r="D367" s="1">
        <v>44411</v>
      </c>
      <c r="E367">
        <v>206075.7</v>
      </c>
      <c r="F367">
        <v>206075.7</v>
      </c>
      <c r="G367">
        <v>113636.4</v>
      </c>
      <c r="H367">
        <v>113636.4</v>
      </c>
      <c r="I367">
        <v>21637.62</v>
      </c>
      <c r="J367">
        <v>21637.62</v>
      </c>
      <c r="K367">
        <v>66763.649999999994</v>
      </c>
      <c r="L367">
        <v>4038.03</v>
      </c>
    </row>
    <row r="368" spans="1:12" x14ac:dyDescent="0.25">
      <c r="A368" t="s">
        <v>1274</v>
      </c>
      <c r="B368" t="s">
        <v>1275</v>
      </c>
      <c r="C368" t="s">
        <v>4413</v>
      </c>
      <c r="D368" s="1">
        <v>44414</v>
      </c>
      <c r="E368">
        <v>1256109.45</v>
      </c>
      <c r="F368">
        <v>1256109.45</v>
      </c>
      <c r="G368">
        <v>687025.26</v>
      </c>
      <c r="H368">
        <v>687025.26</v>
      </c>
      <c r="I368">
        <v>166556.09</v>
      </c>
      <c r="J368">
        <v>166556.09</v>
      </c>
      <c r="K368">
        <v>402528.1</v>
      </c>
    </row>
    <row r="369" spans="1:12" x14ac:dyDescent="0.25">
      <c r="A369" t="s">
        <v>1276</v>
      </c>
      <c r="B369" t="s">
        <v>1277</v>
      </c>
      <c r="C369" t="s">
        <v>4258</v>
      </c>
      <c r="D369" s="1">
        <v>44415</v>
      </c>
      <c r="E369">
        <v>97908.24</v>
      </c>
      <c r="F369">
        <v>97908.24</v>
      </c>
      <c r="K369">
        <v>97908.24</v>
      </c>
    </row>
    <row r="370" spans="1:12" x14ac:dyDescent="0.25">
      <c r="A370" t="s">
        <v>1278</v>
      </c>
      <c r="B370" t="s">
        <v>1279</v>
      </c>
      <c r="C370" t="s">
        <v>4414</v>
      </c>
      <c r="D370" s="1">
        <v>44418</v>
      </c>
      <c r="E370">
        <v>129078.12</v>
      </c>
      <c r="F370">
        <v>129078.12</v>
      </c>
      <c r="G370">
        <v>79498.23</v>
      </c>
      <c r="H370">
        <v>79498.23</v>
      </c>
      <c r="K370">
        <v>39228.730000000003</v>
      </c>
      <c r="L370">
        <v>10351.16</v>
      </c>
    </row>
    <row r="371" spans="1:12" x14ac:dyDescent="0.25">
      <c r="A371" t="s">
        <v>1280</v>
      </c>
      <c r="B371" t="s">
        <v>1281</v>
      </c>
      <c r="C371" t="s">
        <v>4414</v>
      </c>
      <c r="D371" s="1">
        <v>44418</v>
      </c>
      <c r="E371">
        <v>476515.72</v>
      </c>
      <c r="F371">
        <v>476515.72</v>
      </c>
      <c r="G371">
        <v>230589.93</v>
      </c>
      <c r="H371">
        <v>230589.93</v>
      </c>
      <c r="I371">
        <v>111321.22</v>
      </c>
      <c r="J371">
        <v>111321.22</v>
      </c>
      <c r="K371">
        <v>134604.57</v>
      </c>
    </row>
    <row r="372" spans="1:12" x14ac:dyDescent="0.25">
      <c r="A372" t="s">
        <v>1282</v>
      </c>
      <c r="B372" t="s">
        <v>1283</v>
      </c>
      <c r="C372" t="s">
        <v>4415</v>
      </c>
      <c r="D372" s="1">
        <v>44420</v>
      </c>
      <c r="E372">
        <v>716723.01</v>
      </c>
      <c r="F372">
        <v>716723.01</v>
      </c>
      <c r="G372">
        <v>472339.68</v>
      </c>
      <c r="H372">
        <v>472339.68</v>
      </c>
      <c r="I372">
        <v>40762.019999999997</v>
      </c>
      <c r="J372">
        <v>40762.019999999997</v>
      </c>
      <c r="K372">
        <v>188491.87</v>
      </c>
      <c r="L372">
        <v>15129.44</v>
      </c>
    </row>
    <row r="373" spans="1:12" x14ac:dyDescent="0.25">
      <c r="A373" t="s">
        <v>1284</v>
      </c>
      <c r="B373" t="s">
        <v>1285</v>
      </c>
      <c r="C373" t="s">
        <v>4187</v>
      </c>
      <c r="D373" s="1">
        <v>44421</v>
      </c>
      <c r="E373">
        <v>862448.82</v>
      </c>
      <c r="F373">
        <v>862448.82</v>
      </c>
      <c r="G373">
        <v>513677.81</v>
      </c>
      <c r="H373">
        <v>513677.81</v>
      </c>
      <c r="I373">
        <v>116840.21</v>
      </c>
      <c r="J373">
        <v>116840.21</v>
      </c>
      <c r="K373">
        <v>216134.36</v>
      </c>
      <c r="L373">
        <v>15796.44</v>
      </c>
    </row>
    <row r="374" spans="1:12" x14ac:dyDescent="0.25">
      <c r="A374" t="s">
        <v>1286</v>
      </c>
      <c r="B374" t="s">
        <v>1287</v>
      </c>
      <c r="C374" t="s">
        <v>4188</v>
      </c>
      <c r="D374" s="1">
        <v>44422</v>
      </c>
      <c r="E374">
        <v>505082.8</v>
      </c>
      <c r="F374">
        <v>505082.8</v>
      </c>
      <c r="G374">
        <v>286339.36</v>
      </c>
      <c r="H374">
        <v>286339.36</v>
      </c>
      <c r="I374">
        <v>91628.6</v>
      </c>
      <c r="J374">
        <v>91628.6</v>
      </c>
      <c r="K374">
        <v>113957.34</v>
      </c>
      <c r="L374">
        <v>13157.5</v>
      </c>
    </row>
    <row r="375" spans="1:12" x14ac:dyDescent="0.25">
      <c r="A375" t="s">
        <v>1288</v>
      </c>
      <c r="B375" t="s">
        <v>1289</v>
      </c>
      <c r="C375" t="s">
        <v>4188</v>
      </c>
      <c r="D375" s="1">
        <v>44422</v>
      </c>
      <c r="E375">
        <v>156264.91</v>
      </c>
      <c r="F375">
        <v>156264.91</v>
      </c>
      <c r="G375">
        <v>90892.45</v>
      </c>
      <c r="H375">
        <v>90892.45</v>
      </c>
      <c r="K375">
        <v>55363.02</v>
      </c>
      <c r="L375">
        <v>10009.44</v>
      </c>
    </row>
    <row r="376" spans="1:12" x14ac:dyDescent="0.25">
      <c r="A376" t="s">
        <v>1290</v>
      </c>
      <c r="B376" t="s">
        <v>1202</v>
      </c>
      <c r="C376" t="s">
        <v>4416</v>
      </c>
      <c r="D376" s="1">
        <v>44424</v>
      </c>
      <c r="E376">
        <v>164863.81</v>
      </c>
      <c r="F376">
        <v>164863.81</v>
      </c>
      <c r="G376">
        <v>85285.8</v>
      </c>
      <c r="H376">
        <v>85285.8</v>
      </c>
      <c r="I376">
        <v>29069.599999999999</v>
      </c>
      <c r="J376">
        <v>29069.599999999999</v>
      </c>
      <c r="K376">
        <v>49508.41</v>
      </c>
      <c r="L376">
        <v>1000</v>
      </c>
    </row>
    <row r="377" spans="1:12" x14ac:dyDescent="0.25">
      <c r="A377" t="s">
        <v>1291</v>
      </c>
      <c r="B377" t="s">
        <v>1292</v>
      </c>
      <c r="C377" t="s">
        <v>4417</v>
      </c>
      <c r="D377" s="1">
        <v>44427</v>
      </c>
      <c r="E377">
        <v>1813842.29</v>
      </c>
      <c r="F377">
        <v>1813842.29</v>
      </c>
      <c r="G377">
        <v>124655.15</v>
      </c>
      <c r="H377">
        <v>124655.15</v>
      </c>
      <c r="I377">
        <v>56382.22</v>
      </c>
      <c r="J377">
        <v>56382.22</v>
      </c>
      <c r="K377">
        <v>1632804.92</v>
      </c>
    </row>
    <row r="378" spans="1:12" x14ac:dyDescent="0.25">
      <c r="A378" t="s">
        <v>1293</v>
      </c>
      <c r="B378" t="s">
        <v>1294</v>
      </c>
      <c r="C378" t="s">
        <v>4417</v>
      </c>
      <c r="D378" s="1">
        <v>44427</v>
      </c>
      <c r="E378">
        <v>426773.91</v>
      </c>
      <c r="F378">
        <v>426773.91</v>
      </c>
      <c r="G378">
        <v>248141.8</v>
      </c>
      <c r="H378">
        <v>248141.8</v>
      </c>
      <c r="I378">
        <v>68052.03</v>
      </c>
      <c r="J378">
        <v>68052.03</v>
      </c>
      <c r="K378">
        <v>98085.49</v>
      </c>
      <c r="L378">
        <v>12494.59</v>
      </c>
    </row>
    <row r="379" spans="1:12" x14ac:dyDescent="0.25">
      <c r="A379" t="s">
        <v>1295</v>
      </c>
      <c r="B379" t="s">
        <v>1296</v>
      </c>
      <c r="C379" t="s">
        <v>4417</v>
      </c>
      <c r="D379" s="1">
        <v>44427</v>
      </c>
      <c r="E379">
        <v>192701.07</v>
      </c>
      <c r="F379">
        <v>192701.07</v>
      </c>
      <c r="G379">
        <v>100000</v>
      </c>
      <c r="H379">
        <v>100000</v>
      </c>
      <c r="I379">
        <v>34813.07</v>
      </c>
      <c r="J379">
        <v>34813.07</v>
      </c>
      <c r="K379">
        <v>57888</v>
      </c>
    </row>
    <row r="380" spans="1:12" x14ac:dyDescent="0.25">
      <c r="A380" t="s">
        <v>1297</v>
      </c>
      <c r="B380" t="s">
        <v>1298</v>
      </c>
      <c r="C380" t="s">
        <v>4259</v>
      </c>
      <c r="D380" s="1">
        <v>44428</v>
      </c>
      <c r="E380">
        <v>234814.09</v>
      </c>
      <c r="F380">
        <v>234814.09</v>
      </c>
      <c r="G380">
        <v>156148.01</v>
      </c>
      <c r="H380">
        <v>156148.01</v>
      </c>
      <c r="K380">
        <v>67696.710000000006</v>
      </c>
      <c r="L380">
        <v>10969.37</v>
      </c>
    </row>
    <row r="381" spans="1:12" x14ac:dyDescent="0.25">
      <c r="A381" t="s">
        <v>1299</v>
      </c>
      <c r="B381" t="s">
        <v>1300</v>
      </c>
      <c r="C381" t="s">
        <v>4259</v>
      </c>
      <c r="D381" s="1">
        <v>44428</v>
      </c>
      <c r="E381">
        <v>228843.96</v>
      </c>
      <c r="F381">
        <v>228843.96</v>
      </c>
      <c r="G381">
        <v>144017.03</v>
      </c>
      <c r="H381">
        <v>144017.03</v>
      </c>
      <c r="I381">
        <v>8392.0300000000007</v>
      </c>
      <c r="J381">
        <v>8392.0300000000007</v>
      </c>
      <c r="K381">
        <v>76434.899999999994</v>
      </c>
    </row>
    <row r="382" spans="1:12" x14ac:dyDescent="0.25">
      <c r="A382" t="s">
        <v>1301</v>
      </c>
      <c r="B382" t="s">
        <v>1202</v>
      </c>
      <c r="C382" t="s">
        <v>4111</v>
      </c>
      <c r="D382" s="1">
        <v>44429</v>
      </c>
      <c r="E382">
        <v>141964.4</v>
      </c>
      <c r="F382">
        <v>141964.4</v>
      </c>
      <c r="G382">
        <v>73405.399999999994</v>
      </c>
      <c r="H382">
        <v>73405.399999999994</v>
      </c>
      <c r="I382">
        <v>24145.360000000001</v>
      </c>
      <c r="J382">
        <v>24145.360000000001</v>
      </c>
      <c r="K382">
        <v>42413.64</v>
      </c>
      <c r="L382">
        <v>2000</v>
      </c>
    </row>
    <row r="383" spans="1:12" x14ac:dyDescent="0.25">
      <c r="A383" t="s">
        <v>1302</v>
      </c>
      <c r="B383" t="s">
        <v>1303</v>
      </c>
      <c r="C383" t="s">
        <v>4111</v>
      </c>
      <c r="D383" s="1">
        <v>44429</v>
      </c>
      <c r="E383">
        <v>141123.21</v>
      </c>
      <c r="F383">
        <v>141123.21</v>
      </c>
      <c r="G383">
        <v>85725.07</v>
      </c>
      <c r="H383">
        <v>85725.07</v>
      </c>
      <c r="K383">
        <v>55398.14</v>
      </c>
    </row>
    <row r="384" spans="1:12" x14ac:dyDescent="0.25">
      <c r="A384" t="s">
        <v>1304</v>
      </c>
      <c r="B384" t="s">
        <v>1305</v>
      </c>
      <c r="C384" t="s">
        <v>4189</v>
      </c>
      <c r="D384" s="1">
        <v>44431</v>
      </c>
      <c r="E384">
        <v>297868.19</v>
      </c>
      <c r="F384">
        <v>297868.19</v>
      </c>
      <c r="G384">
        <v>166750.64000000001</v>
      </c>
      <c r="H384">
        <v>166750.64000000001</v>
      </c>
      <c r="I384">
        <v>34949.120000000003</v>
      </c>
      <c r="J384">
        <v>34949.120000000003</v>
      </c>
      <c r="K384">
        <v>96168.43</v>
      </c>
    </row>
    <row r="385" spans="1:12" x14ac:dyDescent="0.25">
      <c r="A385" t="s">
        <v>1306</v>
      </c>
      <c r="B385" t="s">
        <v>1307</v>
      </c>
      <c r="C385" t="s">
        <v>4190</v>
      </c>
      <c r="D385" s="1">
        <v>44433</v>
      </c>
      <c r="E385">
        <v>523573.16</v>
      </c>
      <c r="F385">
        <v>523573.16</v>
      </c>
      <c r="G385">
        <v>283787.75</v>
      </c>
      <c r="H385">
        <v>283787.75</v>
      </c>
      <c r="I385">
        <v>82104.08</v>
      </c>
      <c r="J385">
        <v>82104.08</v>
      </c>
      <c r="K385">
        <v>157681.32999999999</v>
      </c>
    </row>
    <row r="386" spans="1:12" x14ac:dyDescent="0.25">
      <c r="A386" t="s">
        <v>1308</v>
      </c>
      <c r="B386" t="s">
        <v>1309</v>
      </c>
      <c r="C386" t="s">
        <v>4260</v>
      </c>
      <c r="D386" s="1">
        <v>44434</v>
      </c>
      <c r="E386">
        <v>589421.25</v>
      </c>
      <c r="F386">
        <v>589421.25</v>
      </c>
      <c r="G386">
        <v>411284.2</v>
      </c>
      <c r="H386">
        <v>411284.2</v>
      </c>
      <c r="K386">
        <v>163353.31</v>
      </c>
      <c r="L386">
        <v>14783.74</v>
      </c>
    </row>
    <row r="387" spans="1:12" x14ac:dyDescent="0.25">
      <c r="A387" t="s">
        <v>1310</v>
      </c>
      <c r="B387" t="s">
        <v>1311</v>
      </c>
      <c r="C387" t="s">
        <v>4112</v>
      </c>
      <c r="D387" s="1">
        <v>44435</v>
      </c>
      <c r="E387">
        <v>1024848.47</v>
      </c>
      <c r="F387">
        <v>1024848.47</v>
      </c>
      <c r="G387">
        <v>568181.80000000005</v>
      </c>
      <c r="H387">
        <v>568181.80000000005</v>
      </c>
      <c r="I387">
        <v>130212.13</v>
      </c>
      <c r="J387">
        <v>130212.13</v>
      </c>
      <c r="K387">
        <v>326454.53999999998</v>
      </c>
    </row>
    <row r="388" spans="1:12" x14ac:dyDescent="0.25">
      <c r="A388" t="s">
        <v>1312</v>
      </c>
      <c r="B388" t="s">
        <v>1313</v>
      </c>
      <c r="C388" t="s">
        <v>4261</v>
      </c>
      <c r="D388" s="1">
        <v>44436</v>
      </c>
      <c r="E388">
        <v>304270.71999999997</v>
      </c>
      <c r="F388">
        <v>304270.71999999997</v>
      </c>
      <c r="G388">
        <v>166750.64000000001</v>
      </c>
      <c r="H388">
        <v>166750.64000000001</v>
      </c>
      <c r="I388">
        <v>41801.879999999997</v>
      </c>
      <c r="J388">
        <v>41801.879999999997</v>
      </c>
      <c r="K388">
        <v>95718.2</v>
      </c>
    </row>
    <row r="389" spans="1:12" x14ac:dyDescent="0.25">
      <c r="A389" t="s">
        <v>1314</v>
      </c>
      <c r="B389" t="s">
        <v>1315</v>
      </c>
      <c r="C389" t="s">
        <v>4191</v>
      </c>
      <c r="D389" s="1">
        <v>44439</v>
      </c>
      <c r="E389">
        <v>179591.77</v>
      </c>
      <c r="F389">
        <v>179591.77</v>
      </c>
      <c r="K389">
        <v>179591.77</v>
      </c>
    </row>
    <row r="390" spans="1:12" x14ac:dyDescent="0.25">
      <c r="A390" t="s">
        <v>1316</v>
      </c>
      <c r="B390" t="s">
        <v>1317</v>
      </c>
      <c r="C390" t="s">
        <v>4192</v>
      </c>
      <c r="D390" s="1">
        <v>44440</v>
      </c>
      <c r="E390">
        <v>29357.919999999998</v>
      </c>
      <c r="F390">
        <v>29357.919999999998</v>
      </c>
      <c r="K390">
        <v>29357.919999999998</v>
      </c>
    </row>
    <row r="391" spans="1:12" x14ac:dyDescent="0.25">
      <c r="A391" t="s">
        <v>1318</v>
      </c>
      <c r="B391" t="s">
        <v>1319</v>
      </c>
      <c r="C391" t="s">
        <v>4113</v>
      </c>
      <c r="D391" s="1">
        <v>44442</v>
      </c>
      <c r="E391">
        <v>1346464.09</v>
      </c>
      <c r="F391">
        <v>1346464.09</v>
      </c>
      <c r="G391">
        <v>795454.5</v>
      </c>
      <c r="H391">
        <v>795454.5</v>
      </c>
      <c r="I391">
        <v>96980.07</v>
      </c>
      <c r="J391">
        <v>96980.07</v>
      </c>
      <c r="K391">
        <v>454029.52</v>
      </c>
    </row>
    <row r="392" spans="1:12" x14ac:dyDescent="0.25">
      <c r="A392" t="s">
        <v>1320</v>
      </c>
      <c r="B392" t="s">
        <v>1202</v>
      </c>
      <c r="C392" t="s">
        <v>4262</v>
      </c>
      <c r="D392" s="1">
        <v>44443</v>
      </c>
      <c r="E392">
        <v>168934.96</v>
      </c>
      <c r="F392">
        <v>168934.96</v>
      </c>
      <c r="G392">
        <v>90159.83</v>
      </c>
      <c r="H392">
        <v>90159.83</v>
      </c>
      <c r="I392">
        <v>26362.39</v>
      </c>
      <c r="J392">
        <v>26362.39</v>
      </c>
      <c r="K392">
        <v>51412.74</v>
      </c>
      <c r="L392">
        <v>1000</v>
      </c>
    </row>
    <row r="393" spans="1:12" x14ac:dyDescent="0.25">
      <c r="A393" t="s">
        <v>1321</v>
      </c>
      <c r="B393" t="s">
        <v>1202</v>
      </c>
      <c r="C393" t="s">
        <v>4135</v>
      </c>
      <c r="D393" s="1">
        <v>44445</v>
      </c>
      <c r="E393">
        <v>164788.85</v>
      </c>
      <c r="F393">
        <v>164788.85</v>
      </c>
      <c r="G393">
        <v>87667.83</v>
      </c>
      <c r="H393">
        <v>87667.83</v>
      </c>
      <c r="I393">
        <v>25224</v>
      </c>
      <c r="J393">
        <v>25224</v>
      </c>
      <c r="K393">
        <v>49897.02</v>
      </c>
      <c r="L393">
        <v>2000</v>
      </c>
    </row>
    <row r="394" spans="1:12" x14ac:dyDescent="0.25">
      <c r="A394" t="s">
        <v>1322</v>
      </c>
      <c r="B394" t="s">
        <v>1323</v>
      </c>
      <c r="C394" t="s">
        <v>4418</v>
      </c>
      <c r="D394" s="1">
        <v>44448</v>
      </c>
      <c r="E394">
        <v>287721.87</v>
      </c>
      <c r="F394">
        <v>287721.87</v>
      </c>
      <c r="G394">
        <v>159795.87</v>
      </c>
      <c r="H394">
        <v>159795.87</v>
      </c>
      <c r="I394">
        <v>55089.43</v>
      </c>
      <c r="J394">
        <v>55089.43</v>
      </c>
      <c r="K394">
        <v>61352.03</v>
      </c>
      <c r="L394">
        <v>11484.54</v>
      </c>
    </row>
    <row r="395" spans="1:12" x14ac:dyDescent="0.25">
      <c r="A395" t="s">
        <v>1324</v>
      </c>
      <c r="B395" t="s">
        <v>1325</v>
      </c>
      <c r="C395" t="s">
        <v>4263</v>
      </c>
      <c r="D395" s="1">
        <v>44449</v>
      </c>
      <c r="E395">
        <v>206150.92</v>
      </c>
      <c r="F395">
        <v>206150.92</v>
      </c>
      <c r="G395">
        <v>157126.31</v>
      </c>
      <c r="H395">
        <v>157126.31</v>
      </c>
      <c r="I395">
        <v>24149.73</v>
      </c>
      <c r="J395">
        <v>24149.73</v>
      </c>
      <c r="K395">
        <v>24874.880000000001</v>
      </c>
    </row>
    <row r="396" spans="1:12" x14ac:dyDescent="0.25">
      <c r="A396" t="s">
        <v>1326</v>
      </c>
      <c r="B396" t="s">
        <v>1327</v>
      </c>
      <c r="C396" t="s">
        <v>4106</v>
      </c>
      <c r="D396" s="1">
        <v>44450</v>
      </c>
      <c r="E396">
        <v>126678.03</v>
      </c>
      <c r="F396">
        <v>126678.03</v>
      </c>
      <c r="G396">
        <v>78817.759999999995</v>
      </c>
      <c r="H396">
        <v>78817.759999999995</v>
      </c>
      <c r="K396">
        <v>47860.27</v>
      </c>
    </row>
    <row r="397" spans="1:12" x14ac:dyDescent="0.25">
      <c r="A397" t="s">
        <v>1328</v>
      </c>
      <c r="B397" t="s">
        <v>1329</v>
      </c>
      <c r="C397" t="s">
        <v>4419</v>
      </c>
      <c r="D397" s="1">
        <v>44452</v>
      </c>
      <c r="E397">
        <v>399249.84</v>
      </c>
      <c r="F397">
        <v>399249.84</v>
      </c>
      <c r="G397">
        <v>149631.57</v>
      </c>
      <c r="H397">
        <v>149631.57</v>
      </c>
      <c r="I397">
        <v>165019.57</v>
      </c>
      <c r="J397">
        <v>165019.57</v>
      </c>
      <c r="K397">
        <v>84598.7</v>
      </c>
    </row>
    <row r="398" spans="1:12" x14ac:dyDescent="0.25">
      <c r="A398" t="s">
        <v>1330</v>
      </c>
      <c r="B398" t="s">
        <v>1331</v>
      </c>
      <c r="C398" t="s">
        <v>4114</v>
      </c>
      <c r="D398" s="1">
        <v>44454</v>
      </c>
      <c r="E398">
        <v>6239.69</v>
      </c>
      <c r="F398">
        <v>6239.69</v>
      </c>
      <c r="K398">
        <v>6239.69</v>
      </c>
    </row>
    <row r="399" spans="1:12" x14ac:dyDescent="0.25">
      <c r="A399" t="s">
        <v>1332</v>
      </c>
      <c r="B399" t="s">
        <v>1333</v>
      </c>
      <c r="C399" t="s">
        <v>4264</v>
      </c>
      <c r="D399" s="1">
        <v>44455</v>
      </c>
      <c r="E399">
        <v>109088.57</v>
      </c>
      <c r="F399">
        <v>109088.57</v>
      </c>
      <c r="G399">
        <v>52139.58</v>
      </c>
      <c r="H399">
        <v>52139.58</v>
      </c>
      <c r="K399">
        <v>46554.91</v>
      </c>
      <c r="L399">
        <v>10394.08</v>
      </c>
    </row>
    <row r="400" spans="1:12" x14ac:dyDescent="0.25">
      <c r="A400" t="s">
        <v>1334</v>
      </c>
      <c r="B400" t="s">
        <v>1335</v>
      </c>
      <c r="C400" t="s">
        <v>4264</v>
      </c>
      <c r="D400" s="1">
        <v>44455</v>
      </c>
      <c r="E400">
        <v>366110.57</v>
      </c>
      <c r="F400">
        <v>366110.57</v>
      </c>
      <c r="G400">
        <v>188912.94</v>
      </c>
      <c r="H400">
        <v>188912.94</v>
      </c>
      <c r="I400">
        <v>70696.070000000007</v>
      </c>
      <c r="J400">
        <v>70696.070000000007</v>
      </c>
      <c r="K400">
        <v>106501.56</v>
      </c>
    </row>
    <row r="401" spans="1:12" x14ac:dyDescent="0.25">
      <c r="A401" t="s">
        <v>1336</v>
      </c>
      <c r="B401" t="s">
        <v>1337</v>
      </c>
      <c r="C401" t="s">
        <v>4420</v>
      </c>
      <c r="D401" s="1">
        <v>44457</v>
      </c>
      <c r="E401">
        <v>170698.03</v>
      </c>
      <c r="F401">
        <v>170698.03</v>
      </c>
      <c r="G401">
        <v>88294.39</v>
      </c>
      <c r="H401">
        <v>88294.39</v>
      </c>
      <c r="I401">
        <v>32722.15</v>
      </c>
      <c r="J401">
        <v>32722.15</v>
      </c>
      <c r="K401">
        <v>49681.49</v>
      </c>
    </row>
    <row r="402" spans="1:12" x14ac:dyDescent="0.25">
      <c r="A402" t="s">
        <v>1338</v>
      </c>
      <c r="B402" t="s">
        <v>1339</v>
      </c>
      <c r="C402" t="s">
        <v>4193</v>
      </c>
      <c r="D402" s="1">
        <v>44460</v>
      </c>
      <c r="E402">
        <v>242524.23</v>
      </c>
      <c r="F402">
        <v>242524.23</v>
      </c>
      <c r="G402">
        <v>174287.07</v>
      </c>
      <c r="H402">
        <v>174287.07</v>
      </c>
      <c r="I402">
        <v>44268.33</v>
      </c>
      <c r="J402">
        <v>44268.33</v>
      </c>
      <c r="K402">
        <v>23968.83</v>
      </c>
    </row>
    <row r="403" spans="1:12" x14ac:dyDescent="0.25">
      <c r="A403" t="s">
        <v>1340</v>
      </c>
      <c r="B403" t="s">
        <v>1341</v>
      </c>
      <c r="C403" t="s">
        <v>4194</v>
      </c>
      <c r="D403" s="1">
        <v>44461</v>
      </c>
      <c r="E403">
        <v>1326048.3400000001</v>
      </c>
      <c r="F403">
        <v>1326048.3400000001</v>
      </c>
      <c r="G403">
        <v>849321.77</v>
      </c>
      <c r="H403">
        <v>849321.77</v>
      </c>
      <c r="I403">
        <v>2458.21</v>
      </c>
      <c r="J403">
        <v>2458.21</v>
      </c>
      <c r="K403">
        <v>474268.36</v>
      </c>
    </row>
    <row r="404" spans="1:12" x14ac:dyDescent="0.25">
      <c r="A404" t="s">
        <v>1342</v>
      </c>
      <c r="B404" t="s">
        <v>1343</v>
      </c>
      <c r="C404" t="s">
        <v>4265</v>
      </c>
      <c r="D404" s="1">
        <v>44462</v>
      </c>
      <c r="E404">
        <v>273952.02</v>
      </c>
      <c r="F404">
        <v>273952.02</v>
      </c>
      <c r="G404">
        <v>168483.97</v>
      </c>
      <c r="H404">
        <v>168483.97</v>
      </c>
      <c r="I404">
        <v>11120.4</v>
      </c>
      <c r="J404">
        <v>11120.4</v>
      </c>
      <c r="K404">
        <v>94347.65</v>
      </c>
    </row>
    <row r="405" spans="1:12" x14ac:dyDescent="0.25">
      <c r="A405" t="s">
        <v>1344</v>
      </c>
      <c r="B405" t="s">
        <v>1325</v>
      </c>
      <c r="C405" t="s">
        <v>4136</v>
      </c>
      <c r="D405" s="1">
        <v>44466</v>
      </c>
      <c r="E405">
        <v>20176.63</v>
      </c>
      <c r="F405">
        <v>20176.63</v>
      </c>
      <c r="G405">
        <v>16376.92</v>
      </c>
      <c r="H405">
        <v>16376.92</v>
      </c>
      <c r="K405">
        <v>3799.71</v>
      </c>
    </row>
    <row r="406" spans="1:12" x14ac:dyDescent="0.25">
      <c r="A406" t="s">
        <v>1345</v>
      </c>
      <c r="B406" t="s">
        <v>1346</v>
      </c>
      <c r="C406" t="s">
        <v>4266</v>
      </c>
      <c r="D406" s="1">
        <v>44467</v>
      </c>
      <c r="E406">
        <v>73738.259999999995</v>
      </c>
      <c r="F406">
        <v>73738.259999999995</v>
      </c>
      <c r="K406">
        <v>73738.259999999995</v>
      </c>
    </row>
    <row r="407" spans="1:12" x14ac:dyDescent="0.25">
      <c r="A407" t="s">
        <v>1347</v>
      </c>
      <c r="B407" t="s">
        <v>1348</v>
      </c>
      <c r="C407" t="s">
        <v>4266</v>
      </c>
      <c r="D407" s="1">
        <v>44467</v>
      </c>
      <c r="E407">
        <v>441299.75</v>
      </c>
      <c r="F407">
        <v>441299.75</v>
      </c>
      <c r="G407">
        <v>217155.4</v>
      </c>
      <c r="H407">
        <v>217155.4</v>
      </c>
      <c r="I407">
        <v>103127.99</v>
      </c>
      <c r="J407">
        <v>103127.99</v>
      </c>
      <c r="K407">
        <v>121016.36</v>
      </c>
    </row>
    <row r="408" spans="1:12" x14ac:dyDescent="0.25">
      <c r="A408" t="s">
        <v>1349</v>
      </c>
      <c r="B408" t="s">
        <v>1350</v>
      </c>
      <c r="C408" t="s">
        <v>4421</v>
      </c>
      <c r="D408" s="1">
        <v>44469</v>
      </c>
      <c r="E408">
        <v>502812.11</v>
      </c>
      <c r="F408">
        <v>502812.11</v>
      </c>
      <c r="G408">
        <v>284090.90000000002</v>
      </c>
      <c r="H408">
        <v>284090.90000000002</v>
      </c>
      <c r="I408">
        <v>60709.86</v>
      </c>
      <c r="J408">
        <v>60709.86</v>
      </c>
      <c r="K408">
        <v>158011.35</v>
      </c>
    </row>
    <row r="409" spans="1:12" x14ac:dyDescent="0.25">
      <c r="A409" t="s">
        <v>1351</v>
      </c>
      <c r="B409" t="s">
        <v>1352</v>
      </c>
      <c r="C409" t="s">
        <v>4195</v>
      </c>
      <c r="D409" s="1">
        <v>44473</v>
      </c>
      <c r="E409">
        <v>148655.57999999999</v>
      </c>
      <c r="F409">
        <v>148655.57999999999</v>
      </c>
      <c r="G409">
        <v>81433.66</v>
      </c>
      <c r="H409">
        <v>81433.66</v>
      </c>
      <c r="I409">
        <v>27568.29</v>
      </c>
      <c r="J409">
        <v>27568.29</v>
      </c>
      <c r="K409">
        <v>30166.29</v>
      </c>
      <c r="L409">
        <v>9487.34</v>
      </c>
    </row>
    <row r="410" spans="1:12" x14ac:dyDescent="0.25">
      <c r="A410" t="s">
        <v>1353</v>
      </c>
      <c r="B410" t="s">
        <v>1354</v>
      </c>
      <c r="C410" t="s">
        <v>4422</v>
      </c>
      <c r="D410" s="1">
        <v>44479</v>
      </c>
      <c r="E410">
        <v>823097.24</v>
      </c>
      <c r="F410">
        <v>1800663.01</v>
      </c>
      <c r="G410">
        <v>1000000</v>
      </c>
      <c r="H410">
        <v>22434.23</v>
      </c>
      <c r="I410">
        <v>249863.01</v>
      </c>
      <c r="J410">
        <v>249863.01</v>
      </c>
      <c r="K410">
        <v>550800</v>
      </c>
    </row>
    <row r="411" spans="1:12" x14ac:dyDescent="0.25">
      <c r="A411" t="s">
        <v>1355</v>
      </c>
      <c r="B411" t="s">
        <v>1356</v>
      </c>
      <c r="C411" t="s">
        <v>4422</v>
      </c>
      <c r="D411" s="1">
        <v>44479</v>
      </c>
      <c r="E411">
        <v>186572.91</v>
      </c>
      <c r="F411">
        <v>186572.91</v>
      </c>
      <c r="G411">
        <v>100000</v>
      </c>
      <c r="H411">
        <v>100000</v>
      </c>
      <c r="I411">
        <v>27901.37</v>
      </c>
      <c r="J411">
        <v>27901.37</v>
      </c>
      <c r="K411">
        <v>58671.54</v>
      </c>
    </row>
    <row r="412" spans="1:12" x14ac:dyDescent="0.25">
      <c r="A412" t="s">
        <v>1357</v>
      </c>
      <c r="B412" t="s">
        <v>1358</v>
      </c>
      <c r="C412" t="s">
        <v>4423</v>
      </c>
      <c r="D412" s="1">
        <v>44481</v>
      </c>
      <c r="E412">
        <v>128832.27</v>
      </c>
      <c r="F412">
        <v>128832.27</v>
      </c>
      <c r="G412">
        <v>99738.09</v>
      </c>
      <c r="H412">
        <v>99738.09</v>
      </c>
      <c r="K412">
        <v>16517.919999999998</v>
      </c>
      <c r="L412">
        <v>12576.26</v>
      </c>
    </row>
    <row r="413" spans="1:12" x14ac:dyDescent="0.25">
      <c r="A413" t="s">
        <v>1359</v>
      </c>
      <c r="B413" t="s">
        <v>1360</v>
      </c>
      <c r="C413" t="s">
        <v>4424</v>
      </c>
      <c r="D413" s="1">
        <v>44485</v>
      </c>
      <c r="E413">
        <v>348893.45</v>
      </c>
      <c r="F413">
        <v>348893.45</v>
      </c>
      <c r="G413">
        <v>187978.77</v>
      </c>
      <c r="H413">
        <v>187978.77</v>
      </c>
      <c r="I413">
        <v>57985.02</v>
      </c>
      <c r="J413">
        <v>57985.02</v>
      </c>
      <c r="K413">
        <v>102929.66</v>
      </c>
    </row>
    <row r="414" spans="1:12" x14ac:dyDescent="0.25">
      <c r="A414" t="s">
        <v>1361</v>
      </c>
      <c r="B414" t="s">
        <v>1362</v>
      </c>
      <c r="C414" t="s">
        <v>4267</v>
      </c>
      <c r="D414" s="1">
        <v>44486</v>
      </c>
      <c r="E414">
        <v>42169.4</v>
      </c>
      <c r="F414">
        <v>42169.4</v>
      </c>
      <c r="G414">
        <v>17119.16</v>
      </c>
      <c r="H414">
        <v>17119.16</v>
      </c>
      <c r="K414">
        <v>25050.240000000002</v>
      </c>
    </row>
    <row r="415" spans="1:12" x14ac:dyDescent="0.25">
      <c r="A415" t="s">
        <v>1363</v>
      </c>
      <c r="B415" t="s">
        <v>1364</v>
      </c>
      <c r="C415" t="s">
        <v>4267</v>
      </c>
      <c r="D415" s="1">
        <v>44486</v>
      </c>
      <c r="E415">
        <v>152432.13</v>
      </c>
      <c r="F415">
        <v>152432.13</v>
      </c>
      <c r="G415">
        <v>80315.05</v>
      </c>
      <c r="H415">
        <v>80315.05</v>
      </c>
      <c r="K415">
        <v>72117.08</v>
      </c>
    </row>
    <row r="416" spans="1:12" x14ac:dyDescent="0.25">
      <c r="A416" t="s">
        <v>1365</v>
      </c>
      <c r="B416" t="s">
        <v>1366</v>
      </c>
      <c r="C416" t="s">
        <v>4425</v>
      </c>
      <c r="D416" s="1">
        <v>44488</v>
      </c>
      <c r="E416">
        <v>13544186.52</v>
      </c>
      <c r="F416">
        <v>13544186.52</v>
      </c>
      <c r="G416">
        <v>1547256.3</v>
      </c>
      <c r="H416">
        <v>1547256.3</v>
      </c>
      <c r="I416">
        <v>1326060.97</v>
      </c>
      <c r="J416">
        <v>1326060.97</v>
      </c>
      <c r="K416">
        <v>10670869.25</v>
      </c>
    </row>
    <row r="417" spans="1:12" x14ac:dyDescent="0.25">
      <c r="A417" t="s">
        <v>1367</v>
      </c>
      <c r="B417" t="s">
        <v>1368</v>
      </c>
      <c r="C417" t="s">
        <v>4425</v>
      </c>
      <c r="D417" s="1">
        <v>44488</v>
      </c>
      <c r="E417">
        <v>287352.8</v>
      </c>
      <c r="F417">
        <v>626007.24</v>
      </c>
      <c r="G417">
        <v>346911.57</v>
      </c>
      <c r="H417">
        <v>8257.1299999999992</v>
      </c>
      <c r="I417">
        <v>89702.77</v>
      </c>
      <c r="J417">
        <v>89702.77</v>
      </c>
      <c r="K417">
        <v>189392.9</v>
      </c>
    </row>
    <row r="418" spans="1:12" x14ac:dyDescent="0.25">
      <c r="A418" t="s">
        <v>1369</v>
      </c>
      <c r="B418" t="s">
        <v>1370</v>
      </c>
      <c r="C418" t="s">
        <v>4425</v>
      </c>
      <c r="D418" s="1">
        <v>44488</v>
      </c>
      <c r="E418">
        <v>19275.68</v>
      </c>
      <c r="F418">
        <v>19275.68</v>
      </c>
      <c r="G418">
        <v>8054.83</v>
      </c>
      <c r="H418">
        <v>8054.83</v>
      </c>
      <c r="I418">
        <v>1325.41</v>
      </c>
      <c r="J418">
        <v>1325.41</v>
      </c>
      <c r="K418">
        <v>4559.29</v>
      </c>
      <c r="L418">
        <v>5336.15</v>
      </c>
    </row>
    <row r="419" spans="1:12" x14ac:dyDescent="0.25">
      <c r="A419" t="s">
        <v>1371</v>
      </c>
      <c r="B419" t="s">
        <v>1372</v>
      </c>
      <c r="C419" t="s">
        <v>4425</v>
      </c>
      <c r="D419" s="1">
        <v>44488</v>
      </c>
      <c r="E419">
        <v>171937.37</v>
      </c>
      <c r="F419">
        <v>171937.37</v>
      </c>
      <c r="G419">
        <v>92553.21</v>
      </c>
      <c r="H419">
        <v>92553.21</v>
      </c>
      <c r="I419">
        <v>31961.1</v>
      </c>
      <c r="J419">
        <v>31961.1</v>
      </c>
      <c r="K419">
        <v>37590.83</v>
      </c>
      <c r="L419">
        <v>9832.23</v>
      </c>
    </row>
    <row r="420" spans="1:12" x14ac:dyDescent="0.25">
      <c r="A420" t="s">
        <v>1373</v>
      </c>
      <c r="B420" t="s">
        <v>1317</v>
      </c>
      <c r="C420" t="s">
        <v>4268</v>
      </c>
      <c r="D420" s="1">
        <v>44489</v>
      </c>
      <c r="E420">
        <v>36741.15</v>
      </c>
      <c r="F420">
        <v>36741.15</v>
      </c>
      <c r="K420">
        <v>36741.15</v>
      </c>
    </row>
    <row r="421" spans="1:12" x14ac:dyDescent="0.25">
      <c r="A421" t="s">
        <v>1374</v>
      </c>
      <c r="B421" t="s">
        <v>1317</v>
      </c>
      <c r="C421" t="s">
        <v>4426</v>
      </c>
      <c r="D421" s="1">
        <v>44498</v>
      </c>
      <c r="E421">
        <v>27323.59</v>
      </c>
      <c r="F421">
        <v>27323.59</v>
      </c>
      <c r="K421">
        <v>27323.59</v>
      </c>
    </row>
    <row r="422" spans="1:12" x14ac:dyDescent="0.25">
      <c r="A422" t="s">
        <v>1375</v>
      </c>
      <c r="B422" t="s">
        <v>1376</v>
      </c>
      <c r="C422" t="s">
        <v>4137</v>
      </c>
      <c r="D422" s="1">
        <v>44499</v>
      </c>
      <c r="E422">
        <v>320388.21999999997</v>
      </c>
      <c r="F422">
        <v>320388.21999999997</v>
      </c>
      <c r="G422">
        <v>198304.02</v>
      </c>
      <c r="H422">
        <v>198304.02</v>
      </c>
      <c r="K422">
        <v>108955.2</v>
      </c>
      <c r="L422">
        <v>13129</v>
      </c>
    </row>
    <row r="423" spans="1:12" x14ac:dyDescent="0.25">
      <c r="A423" t="s">
        <v>1377</v>
      </c>
      <c r="B423" t="s">
        <v>1378</v>
      </c>
      <c r="C423">
        <v>999</v>
      </c>
      <c r="D423" s="1">
        <v>44500</v>
      </c>
      <c r="E423">
        <v>994757.71</v>
      </c>
      <c r="F423">
        <v>994757.71</v>
      </c>
      <c r="G423">
        <v>560402.75</v>
      </c>
      <c r="H423">
        <v>560402.75</v>
      </c>
      <c r="I423">
        <v>132040.1</v>
      </c>
      <c r="J423">
        <v>132040.1</v>
      </c>
      <c r="K423">
        <v>302314.86</v>
      </c>
    </row>
    <row r="424" spans="1:12" x14ac:dyDescent="0.25">
      <c r="A424" t="s">
        <v>1379</v>
      </c>
      <c r="B424" t="s">
        <v>1380</v>
      </c>
      <c r="C424">
        <v>993</v>
      </c>
      <c r="D424" s="1">
        <v>44506</v>
      </c>
      <c r="E424">
        <v>1648989.66</v>
      </c>
      <c r="F424">
        <v>1648989.66</v>
      </c>
      <c r="G424">
        <v>970000</v>
      </c>
      <c r="H424">
        <v>970000</v>
      </c>
      <c r="I424">
        <v>127684.94</v>
      </c>
      <c r="J424">
        <v>127684.94</v>
      </c>
      <c r="K424">
        <v>551304.72</v>
      </c>
    </row>
    <row r="425" spans="1:12" x14ac:dyDescent="0.25">
      <c r="A425" t="s">
        <v>1381</v>
      </c>
      <c r="B425" t="s">
        <v>1382</v>
      </c>
      <c r="C425">
        <v>993</v>
      </c>
      <c r="D425" s="1">
        <v>44506</v>
      </c>
      <c r="E425">
        <v>433126.91</v>
      </c>
      <c r="F425">
        <v>433126.91</v>
      </c>
      <c r="G425">
        <v>265226.84999999998</v>
      </c>
      <c r="H425">
        <v>265226.84999999998</v>
      </c>
      <c r="K425">
        <v>167900.06</v>
      </c>
    </row>
    <row r="426" spans="1:12" x14ac:dyDescent="0.25">
      <c r="A426" t="s">
        <v>1383</v>
      </c>
      <c r="B426" t="s">
        <v>1370</v>
      </c>
      <c r="C426">
        <v>991</v>
      </c>
      <c r="D426" s="1">
        <v>44508</v>
      </c>
      <c r="E426">
        <v>22841.5</v>
      </c>
      <c r="F426">
        <v>22841.5</v>
      </c>
      <c r="G426">
        <v>11701.75</v>
      </c>
      <c r="H426">
        <v>11701.75</v>
      </c>
      <c r="I426">
        <v>2877.67</v>
      </c>
      <c r="J426">
        <v>2877.67</v>
      </c>
      <c r="K426">
        <v>6262.08</v>
      </c>
      <c r="L426">
        <v>2000</v>
      </c>
    </row>
    <row r="427" spans="1:12" x14ac:dyDescent="0.25">
      <c r="A427" t="s">
        <v>1384</v>
      </c>
      <c r="B427" t="s">
        <v>1370</v>
      </c>
      <c r="C427">
        <v>990</v>
      </c>
      <c r="D427" s="1">
        <v>44509</v>
      </c>
      <c r="E427">
        <v>40052.31</v>
      </c>
      <c r="F427">
        <v>40052.31</v>
      </c>
      <c r="G427">
        <v>22517.63</v>
      </c>
      <c r="H427">
        <v>22517.63</v>
      </c>
      <c r="I427">
        <v>5496.76</v>
      </c>
      <c r="J427">
        <v>5496.76</v>
      </c>
      <c r="K427">
        <v>12037.92</v>
      </c>
    </row>
    <row r="428" spans="1:12" x14ac:dyDescent="0.25">
      <c r="A428" t="s">
        <v>1385</v>
      </c>
      <c r="B428" t="s">
        <v>1370</v>
      </c>
      <c r="C428">
        <v>989</v>
      </c>
      <c r="D428" s="1">
        <v>44510</v>
      </c>
      <c r="E428">
        <v>100380.85</v>
      </c>
      <c r="F428">
        <v>100380.85</v>
      </c>
      <c r="G428">
        <v>57780.17</v>
      </c>
      <c r="H428">
        <v>57780.17</v>
      </c>
      <c r="I428">
        <v>11242.6</v>
      </c>
      <c r="J428">
        <v>11242.6</v>
      </c>
      <c r="K428">
        <v>30858.080000000002</v>
      </c>
      <c r="L428">
        <v>500</v>
      </c>
    </row>
    <row r="429" spans="1:12" x14ac:dyDescent="0.25">
      <c r="A429" t="s">
        <v>1386</v>
      </c>
      <c r="B429" t="s">
        <v>1325</v>
      </c>
      <c r="C429">
        <v>988</v>
      </c>
      <c r="D429" s="1">
        <v>44511</v>
      </c>
      <c r="E429">
        <v>21148.25</v>
      </c>
      <c r="F429">
        <v>21148.25</v>
      </c>
      <c r="G429">
        <v>17598.169999999998</v>
      </c>
      <c r="H429">
        <v>17598.169999999998</v>
      </c>
      <c r="K429">
        <v>3550.08</v>
      </c>
    </row>
    <row r="430" spans="1:12" x14ac:dyDescent="0.25">
      <c r="A430" t="s">
        <v>1387</v>
      </c>
      <c r="B430" t="s">
        <v>1388</v>
      </c>
      <c r="C430">
        <v>984</v>
      </c>
      <c r="D430" s="1">
        <v>44515</v>
      </c>
      <c r="E430">
        <v>409245.91</v>
      </c>
      <c r="F430">
        <v>409245.91</v>
      </c>
      <c r="K430">
        <v>409245.91</v>
      </c>
    </row>
    <row r="431" spans="1:12" x14ac:dyDescent="0.25">
      <c r="A431" t="s">
        <v>1389</v>
      </c>
      <c r="B431" t="s">
        <v>1390</v>
      </c>
      <c r="C431">
        <v>982</v>
      </c>
      <c r="D431" s="1">
        <v>44517</v>
      </c>
      <c r="E431">
        <v>78200.149999999994</v>
      </c>
      <c r="F431">
        <v>78200.149999999994</v>
      </c>
      <c r="G431">
        <v>46812.73</v>
      </c>
      <c r="H431">
        <v>46812.73</v>
      </c>
      <c r="K431">
        <v>31387.42</v>
      </c>
    </row>
    <row r="432" spans="1:12" x14ac:dyDescent="0.25">
      <c r="A432" t="s">
        <v>1391</v>
      </c>
      <c r="B432" t="s">
        <v>1370</v>
      </c>
      <c r="C432">
        <v>980</v>
      </c>
      <c r="D432" s="1">
        <v>44519</v>
      </c>
      <c r="E432">
        <v>67680.09</v>
      </c>
      <c r="F432">
        <v>67680.09</v>
      </c>
      <c r="G432">
        <v>39270.370000000003</v>
      </c>
      <c r="H432">
        <v>39270.370000000003</v>
      </c>
      <c r="I432">
        <v>7127.84</v>
      </c>
      <c r="J432">
        <v>7127.84</v>
      </c>
      <c r="K432">
        <v>20781.88</v>
      </c>
      <c r="L432">
        <v>500</v>
      </c>
    </row>
    <row r="433" spans="1:12" x14ac:dyDescent="0.25">
      <c r="A433" t="s">
        <v>1392</v>
      </c>
      <c r="B433" t="s">
        <v>1329</v>
      </c>
      <c r="C433">
        <v>980</v>
      </c>
      <c r="D433" s="1">
        <v>44519</v>
      </c>
      <c r="E433">
        <v>161272.4</v>
      </c>
      <c r="F433">
        <v>161272.4</v>
      </c>
      <c r="G433">
        <v>62098.65</v>
      </c>
      <c r="H433">
        <v>62098.65</v>
      </c>
      <c r="I433">
        <v>66311.149999999994</v>
      </c>
      <c r="J433">
        <v>66311.149999999994</v>
      </c>
      <c r="K433">
        <v>32862.6</v>
      </c>
    </row>
    <row r="434" spans="1:12" x14ac:dyDescent="0.25">
      <c r="A434" t="s">
        <v>1393</v>
      </c>
      <c r="B434" t="s">
        <v>1370</v>
      </c>
      <c r="C434">
        <v>974</v>
      </c>
      <c r="D434" s="1">
        <v>44525</v>
      </c>
      <c r="E434">
        <v>54154.26</v>
      </c>
      <c r="F434">
        <v>54154.26</v>
      </c>
      <c r="G434">
        <v>30875.34</v>
      </c>
      <c r="H434">
        <v>30875.34</v>
      </c>
      <c r="I434">
        <v>6039.73</v>
      </c>
      <c r="J434">
        <v>6039.73</v>
      </c>
      <c r="K434">
        <v>16239.19</v>
      </c>
      <c r="L434">
        <v>1000</v>
      </c>
    </row>
    <row r="435" spans="1:12" x14ac:dyDescent="0.25">
      <c r="A435" t="s">
        <v>1394</v>
      </c>
      <c r="B435" t="s">
        <v>359</v>
      </c>
      <c r="C435">
        <v>973</v>
      </c>
      <c r="D435" s="1">
        <v>44526</v>
      </c>
      <c r="E435">
        <v>1476339.74</v>
      </c>
      <c r="F435">
        <v>1476339.74</v>
      </c>
      <c r="G435">
        <v>849570.3</v>
      </c>
      <c r="H435">
        <v>849570.3</v>
      </c>
      <c r="I435">
        <v>180388.21</v>
      </c>
      <c r="J435">
        <v>180388.21</v>
      </c>
      <c r="K435">
        <v>446381.23</v>
      </c>
    </row>
    <row r="436" spans="1:12" x14ac:dyDescent="0.25">
      <c r="A436" t="s">
        <v>374</v>
      </c>
      <c r="B436" t="s">
        <v>359</v>
      </c>
      <c r="C436">
        <v>973</v>
      </c>
      <c r="D436" s="1">
        <v>44526</v>
      </c>
      <c r="E436">
        <v>369660.36</v>
      </c>
      <c r="F436">
        <v>369660.36</v>
      </c>
      <c r="G436">
        <v>127435.59</v>
      </c>
      <c r="H436">
        <v>127435.59</v>
      </c>
      <c r="I436">
        <v>175267.56</v>
      </c>
      <c r="J436">
        <v>175267.56</v>
      </c>
      <c r="K436">
        <v>66957.210000000006</v>
      </c>
    </row>
    <row r="437" spans="1:12" x14ac:dyDescent="0.25">
      <c r="A437" t="s">
        <v>1395</v>
      </c>
      <c r="B437" t="s">
        <v>1396</v>
      </c>
      <c r="C437">
        <v>972</v>
      </c>
      <c r="D437" s="1">
        <v>44527</v>
      </c>
      <c r="E437">
        <v>309525.64</v>
      </c>
      <c r="F437">
        <v>309525.64</v>
      </c>
      <c r="G437">
        <v>170000</v>
      </c>
      <c r="H437">
        <v>170000</v>
      </c>
      <c r="I437">
        <v>47697.8</v>
      </c>
      <c r="J437">
        <v>47697.8</v>
      </c>
      <c r="K437">
        <v>91827.839999999997</v>
      </c>
    </row>
    <row r="438" spans="1:12" x14ac:dyDescent="0.25">
      <c r="A438" t="s">
        <v>1397</v>
      </c>
      <c r="B438" t="s">
        <v>1398</v>
      </c>
      <c r="C438">
        <v>971</v>
      </c>
      <c r="D438" s="1">
        <v>44528</v>
      </c>
      <c r="E438">
        <v>174499.20000000001</v>
      </c>
      <c r="F438">
        <v>348129.57</v>
      </c>
      <c r="G438">
        <v>204166.39</v>
      </c>
      <c r="H438">
        <v>30536.02</v>
      </c>
      <c r="I438">
        <v>36910.58</v>
      </c>
      <c r="J438">
        <v>36910.58</v>
      </c>
      <c r="K438">
        <v>107052.6</v>
      </c>
    </row>
    <row r="439" spans="1:12" x14ac:dyDescent="0.25">
      <c r="A439" t="s">
        <v>1399</v>
      </c>
      <c r="B439" t="s">
        <v>1400</v>
      </c>
      <c r="C439">
        <v>970</v>
      </c>
      <c r="D439" s="1">
        <v>44529</v>
      </c>
      <c r="E439">
        <v>98644.64</v>
      </c>
      <c r="F439">
        <v>98644.64</v>
      </c>
      <c r="G439">
        <v>39475.85</v>
      </c>
      <c r="H439">
        <v>39475.85</v>
      </c>
      <c r="I439">
        <v>38349.120000000003</v>
      </c>
      <c r="J439">
        <v>38349.120000000003</v>
      </c>
      <c r="K439">
        <v>20819.669999999998</v>
      </c>
    </row>
    <row r="440" spans="1:12" x14ac:dyDescent="0.25">
      <c r="A440" t="s">
        <v>1401</v>
      </c>
      <c r="B440" t="s">
        <v>1402</v>
      </c>
      <c r="C440">
        <v>970</v>
      </c>
      <c r="D440" s="1">
        <v>44529</v>
      </c>
      <c r="E440">
        <v>231504.82</v>
      </c>
      <c r="F440">
        <v>231504.82</v>
      </c>
      <c r="G440">
        <v>142516.70000000001</v>
      </c>
      <c r="H440">
        <v>142516.70000000001</v>
      </c>
      <c r="I440">
        <v>29673.89</v>
      </c>
      <c r="J440">
        <v>29673.89</v>
      </c>
      <c r="K440">
        <v>48484.18</v>
      </c>
      <c r="L440">
        <v>10830.05</v>
      </c>
    </row>
    <row r="441" spans="1:12" x14ac:dyDescent="0.25">
      <c r="A441" t="s">
        <v>1403</v>
      </c>
      <c r="B441" t="s">
        <v>1404</v>
      </c>
      <c r="C441">
        <v>968</v>
      </c>
      <c r="D441" s="1">
        <v>44531</v>
      </c>
      <c r="E441">
        <v>395345.11</v>
      </c>
      <c r="F441">
        <v>395345.11</v>
      </c>
      <c r="G441">
        <v>258693.73</v>
      </c>
      <c r="H441">
        <v>258693.73</v>
      </c>
      <c r="K441">
        <v>136651.38</v>
      </c>
    </row>
    <row r="442" spans="1:12" x14ac:dyDescent="0.25">
      <c r="A442" t="s">
        <v>1405</v>
      </c>
      <c r="B442" t="s">
        <v>1406</v>
      </c>
      <c r="C442">
        <v>963</v>
      </c>
      <c r="D442" s="1">
        <v>44536</v>
      </c>
      <c r="E442">
        <v>398904.84</v>
      </c>
      <c r="F442">
        <v>398904.84</v>
      </c>
      <c r="G442">
        <v>225088.84</v>
      </c>
      <c r="H442">
        <v>225088.84</v>
      </c>
      <c r="I442">
        <v>56833.38</v>
      </c>
      <c r="J442">
        <v>56833.38</v>
      </c>
      <c r="K442">
        <v>116982.62</v>
      </c>
    </row>
    <row r="443" spans="1:12" x14ac:dyDescent="0.25">
      <c r="A443" t="s">
        <v>1407</v>
      </c>
      <c r="B443" t="s">
        <v>1408</v>
      </c>
      <c r="C443">
        <v>962</v>
      </c>
      <c r="D443" s="1">
        <v>44537</v>
      </c>
      <c r="E443">
        <v>443084.52</v>
      </c>
      <c r="F443">
        <v>443084.52</v>
      </c>
      <c r="G443">
        <v>257341.17</v>
      </c>
      <c r="H443">
        <v>257341.17</v>
      </c>
      <c r="I443">
        <v>86233.96</v>
      </c>
      <c r="J443">
        <v>86233.96</v>
      </c>
      <c r="K443">
        <v>86705.49</v>
      </c>
      <c r="L443">
        <v>12803.9</v>
      </c>
    </row>
    <row r="444" spans="1:12" x14ac:dyDescent="0.25">
      <c r="A444" t="s">
        <v>1409</v>
      </c>
      <c r="B444" t="s">
        <v>1410</v>
      </c>
      <c r="C444">
        <v>958</v>
      </c>
      <c r="D444" s="1">
        <v>44541</v>
      </c>
      <c r="E444">
        <v>183595.06</v>
      </c>
      <c r="F444">
        <v>183595.06</v>
      </c>
      <c r="G444">
        <v>108586.85</v>
      </c>
      <c r="H444">
        <v>108586.85</v>
      </c>
      <c r="I444">
        <v>7383.91</v>
      </c>
      <c r="J444">
        <v>7383.91</v>
      </c>
      <c r="K444">
        <v>57950.9</v>
      </c>
      <c r="L444">
        <v>9673.4</v>
      </c>
    </row>
    <row r="445" spans="1:12" x14ac:dyDescent="0.25">
      <c r="A445" t="s">
        <v>1411</v>
      </c>
      <c r="B445" t="s">
        <v>1412</v>
      </c>
      <c r="C445">
        <v>957</v>
      </c>
      <c r="D445" s="1">
        <v>44542</v>
      </c>
      <c r="E445">
        <v>356076.1</v>
      </c>
      <c r="F445">
        <v>356076.1</v>
      </c>
      <c r="G445">
        <v>215672.81</v>
      </c>
      <c r="H445">
        <v>215672.81</v>
      </c>
      <c r="I445">
        <v>28947.89</v>
      </c>
      <c r="J445">
        <v>28947.89</v>
      </c>
      <c r="K445">
        <v>111455.4</v>
      </c>
    </row>
    <row r="446" spans="1:12" x14ac:dyDescent="0.25">
      <c r="A446" t="s">
        <v>1413</v>
      </c>
      <c r="B446" t="s">
        <v>1414</v>
      </c>
      <c r="C446">
        <v>956</v>
      </c>
      <c r="D446" s="1">
        <v>44543</v>
      </c>
      <c r="E446">
        <v>1476618.15</v>
      </c>
      <c r="F446">
        <v>1476618.15</v>
      </c>
      <c r="G446">
        <v>19789.57</v>
      </c>
      <c r="H446">
        <v>19789.57</v>
      </c>
      <c r="K446">
        <v>1456828.58</v>
      </c>
    </row>
    <row r="447" spans="1:12" x14ac:dyDescent="0.25">
      <c r="A447" t="s">
        <v>1415</v>
      </c>
      <c r="B447" t="s">
        <v>1416</v>
      </c>
      <c r="C447">
        <v>955</v>
      </c>
      <c r="D447" s="1">
        <v>44544</v>
      </c>
      <c r="E447">
        <v>114550.33</v>
      </c>
      <c r="F447">
        <v>114550.33</v>
      </c>
      <c r="I447">
        <v>42855.39</v>
      </c>
      <c r="J447">
        <v>42855.39</v>
      </c>
      <c r="K447">
        <v>50000</v>
      </c>
      <c r="L447">
        <v>21694.94</v>
      </c>
    </row>
    <row r="448" spans="1:12" x14ac:dyDescent="0.25">
      <c r="A448" t="s">
        <v>1417</v>
      </c>
      <c r="B448" t="s">
        <v>1418</v>
      </c>
      <c r="C448">
        <v>955</v>
      </c>
      <c r="D448" s="1">
        <v>44544</v>
      </c>
      <c r="E448">
        <v>102455.16</v>
      </c>
      <c r="F448">
        <v>102455.16</v>
      </c>
      <c r="K448">
        <v>102455.16</v>
      </c>
    </row>
    <row r="449" spans="1:12" x14ac:dyDescent="0.25">
      <c r="A449" t="s">
        <v>1419</v>
      </c>
      <c r="B449" t="s">
        <v>1331</v>
      </c>
      <c r="C449">
        <v>953</v>
      </c>
      <c r="D449" s="1">
        <v>44546</v>
      </c>
      <c r="E449">
        <v>90112.09</v>
      </c>
      <c r="F449">
        <v>90112.09</v>
      </c>
      <c r="G449">
        <v>77448.45</v>
      </c>
      <c r="H449">
        <v>77448.45</v>
      </c>
      <c r="I449">
        <v>10948.93</v>
      </c>
      <c r="J449">
        <v>10948.93</v>
      </c>
      <c r="K449">
        <v>1714.71</v>
      </c>
    </row>
    <row r="450" spans="1:12" x14ac:dyDescent="0.25">
      <c r="A450" t="s">
        <v>1420</v>
      </c>
      <c r="B450" t="s">
        <v>1421</v>
      </c>
      <c r="C450">
        <v>950</v>
      </c>
      <c r="D450" s="1">
        <v>44549</v>
      </c>
      <c r="E450">
        <v>552073.1</v>
      </c>
      <c r="F450">
        <v>552073.1</v>
      </c>
      <c r="G450">
        <v>311027.09000000003</v>
      </c>
      <c r="H450">
        <v>311027.09000000003</v>
      </c>
      <c r="I450">
        <v>81489.11</v>
      </c>
      <c r="J450">
        <v>81489.11</v>
      </c>
      <c r="K450">
        <v>159556.9</v>
      </c>
    </row>
    <row r="451" spans="1:12" x14ac:dyDescent="0.25">
      <c r="A451" t="s">
        <v>375</v>
      </c>
      <c r="B451" t="s">
        <v>376</v>
      </c>
      <c r="C451">
        <v>950</v>
      </c>
      <c r="D451" s="1">
        <v>44549</v>
      </c>
      <c r="E451">
        <v>2844661.04</v>
      </c>
      <c r="F451">
        <v>3499849.32</v>
      </c>
      <c r="G451">
        <v>1000000</v>
      </c>
      <c r="H451">
        <v>353979.9</v>
      </c>
      <c r="I451">
        <v>1977681.14</v>
      </c>
      <c r="J451">
        <v>1986849.32</v>
      </c>
      <c r="K451">
        <v>513000</v>
      </c>
    </row>
    <row r="452" spans="1:12" x14ac:dyDescent="0.25">
      <c r="A452" t="s">
        <v>1422</v>
      </c>
      <c r="B452" t="s">
        <v>1423</v>
      </c>
      <c r="C452">
        <v>948</v>
      </c>
      <c r="D452" s="1">
        <v>44551</v>
      </c>
      <c r="E452">
        <v>375697.33</v>
      </c>
      <c r="F452">
        <v>375697.33</v>
      </c>
      <c r="I452">
        <v>129376.78</v>
      </c>
      <c r="J452">
        <v>129376.78</v>
      </c>
      <c r="K452">
        <v>246320.55</v>
      </c>
    </row>
    <row r="453" spans="1:12" x14ac:dyDescent="0.25">
      <c r="A453" t="s">
        <v>1424</v>
      </c>
      <c r="B453" t="s">
        <v>1425</v>
      </c>
      <c r="C453">
        <v>947</v>
      </c>
      <c r="D453" s="1">
        <v>44552</v>
      </c>
      <c r="E453">
        <v>136353.34</v>
      </c>
      <c r="F453">
        <v>136353.34</v>
      </c>
      <c r="G453">
        <v>74464.7</v>
      </c>
      <c r="H453">
        <v>74464.7</v>
      </c>
      <c r="I453">
        <v>20808.88</v>
      </c>
      <c r="J453">
        <v>20808.88</v>
      </c>
      <c r="K453">
        <v>38079.760000000002</v>
      </c>
      <c r="L453">
        <v>3000</v>
      </c>
    </row>
    <row r="454" spans="1:12" x14ac:dyDescent="0.25">
      <c r="A454" t="s">
        <v>1426</v>
      </c>
      <c r="B454" t="s">
        <v>1427</v>
      </c>
      <c r="C454">
        <v>947</v>
      </c>
      <c r="D454" s="1">
        <v>44552</v>
      </c>
      <c r="E454">
        <v>169224.28</v>
      </c>
      <c r="F454">
        <v>169224.28</v>
      </c>
      <c r="G454">
        <v>81956.56</v>
      </c>
      <c r="H454">
        <v>81956.56</v>
      </c>
      <c r="I454">
        <v>45356.77</v>
      </c>
      <c r="J454">
        <v>45356.77</v>
      </c>
      <c r="K454">
        <v>41910.949999999997</v>
      </c>
    </row>
    <row r="455" spans="1:12" x14ac:dyDescent="0.25">
      <c r="A455" t="s">
        <v>1428</v>
      </c>
      <c r="B455" t="s">
        <v>1429</v>
      </c>
      <c r="C455">
        <v>945</v>
      </c>
      <c r="D455" s="1">
        <v>44554</v>
      </c>
      <c r="E455">
        <v>1200290.8</v>
      </c>
      <c r="F455">
        <v>1200290.8</v>
      </c>
      <c r="G455">
        <v>710064.12</v>
      </c>
      <c r="H455">
        <v>710064.12</v>
      </c>
      <c r="I455">
        <v>134018.64000000001</v>
      </c>
      <c r="J455">
        <v>134018.64000000001</v>
      </c>
      <c r="K455">
        <v>356208.04</v>
      </c>
    </row>
    <row r="456" spans="1:12" x14ac:dyDescent="0.25">
      <c r="A456" t="s">
        <v>1430</v>
      </c>
      <c r="B456" t="s">
        <v>1425</v>
      </c>
      <c r="C456">
        <v>945</v>
      </c>
      <c r="D456" s="1">
        <v>44554</v>
      </c>
      <c r="E456">
        <v>274483.36</v>
      </c>
      <c r="F456">
        <v>274483.36</v>
      </c>
      <c r="G456">
        <v>150000</v>
      </c>
      <c r="H456">
        <v>150000</v>
      </c>
      <c r="I456">
        <v>44938.36</v>
      </c>
      <c r="J456">
        <v>44938.36</v>
      </c>
      <c r="K456">
        <v>76545</v>
      </c>
      <c r="L456">
        <v>3000</v>
      </c>
    </row>
    <row r="457" spans="1:12" x14ac:dyDescent="0.25">
      <c r="A457" t="s">
        <v>1431</v>
      </c>
      <c r="B457" t="s">
        <v>1432</v>
      </c>
      <c r="C457">
        <v>942</v>
      </c>
      <c r="D457" s="1">
        <v>44557</v>
      </c>
      <c r="E457">
        <v>53079.83</v>
      </c>
      <c r="F457">
        <v>53079.83</v>
      </c>
      <c r="G457">
        <v>46351.839999999997</v>
      </c>
      <c r="H457">
        <v>46351.839999999997</v>
      </c>
      <c r="K457">
        <v>6727.99</v>
      </c>
    </row>
    <row r="458" spans="1:12" x14ac:dyDescent="0.25">
      <c r="A458" t="s">
        <v>1433</v>
      </c>
      <c r="B458" t="s">
        <v>1434</v>
      </c>
      <c r="C458">
        <v>940</v>
      </c>
      <c r="D458" s="1">
        <v>44559</v>
      </c>
      <c r="E458">
        <v>6843.48</v>
      </c>
      <c r="F458">
        <v>6843.48</v>
      </c>
      <c r="K458">
        <v>6843.48</v>
      </c>
    </row>
    <row r="459" spans="1:12" x14ac:dyDescent="0.25">
      <c r="A459" t="s">
        <v>1435</v>
      </c>
      <c r="B459" t="s">
        <v>1436</v>
      </c>
      <c r="C459">
        <v>940</v>
      </c>
      <c r="D459" s="1">
        <v>44559</v>
      </c>
      <c r="E459">
        <v>329387.52000000002</v>
      </c>
      <c r="F459">
        <v>329387.52000000002</v>
      </c>
      <c r="G459">
        <v>203416.39</v>
      </c>
      <c r="H459">
        <v>203416.39</v>
      </c>
      <c r="I459">
        <v>22716.97</v>
      </c>
      <c r="J459">
        <v>22716.97</v>
      </c>
      <c r="K459">
        <v>103254.16</v>
      </c>
    </row>
    <row r="460" spans="1:12" x14ac:dyDescent="0.25">
      <c r="A460" t="s">
        <v>1437</v>
      </c>
      <c r="B460" t="s">
        <v>1438</v>
      </c>
      <c r="C460">
        <v>939</v>
      </c>
      <c r="D460" s="1">
        <v>44560</v>
      </c>
      <c r="E460">
        <v>163268.35</v>
      </c>
      <c r="F460">
        <v>163268.35</v>
      </c>
      <c r="G460">
        <v>106660.18</v>
      </c>
      <c r="H460">
        <v>106660.18</v>
      </c>
      <c r="I460">
        <v>4310.13</v>
      </c>
      <c r="J460">
        <v>4310.13</v>
      </c>
      <c r="K460">
        <v>52298.04</v>
      </c>
    </row>
    <row r="461" spans="1:12" x14ac:dyDescent="0.25">
      <c r="A461" t="s">
        <v>1439</v>
      </c>
      <c r="B461" t="s">
        <v>1364</v>
      </c>
      <c r="C461">
        <v>936</v>
      </c>
      <c r="D461" s="1">
        <v>44563</v>
      </c>
      <c r="E461">
        <v>2647.59</v>
      </c>
      <c r="F461">
        <v>2647.59</v>
      </c>
      <c r="K461">
        <v>2647.59</v>
      </c>
    </row>
    <row r="462" spans="1:12" x14ac:dyDescent="0.25">
      <c r="A462" t="s">
        <v>1440</v>
      </c>
      <c r="B462" t="s">
        <v>1441</v>
      </c>
      <c r="C462">
        <v>936</v>
      </c>
      <c r="D462" s="1">
        <v>44563</v>
      </c>
      <c r="E462">
        <v>181392.17</v>
      </c>
      <c r="F462">
        <v>181392.17</v>
      </c>
      <c r="G462">
        <v>119920.36</v>
      </c>
      <c r="H462">
        <v>119920.36</v>
      </c>
      <c r="K462">
        <v>61471.81</v>
      </c>
    </row>
    <row r="463" spans="1:12" x14ac:dyDescent="0.25">
      <c r="A463" t="s">
        <v>1442</v>
      </c>
      <c r="B463" t="s">
        <v>1443</v>
      </c>
      <c r="C463">
        <v>933</v>
      </c>
      <c r="D463" s="1">
        <v>44566</v>
      </c>
      <c r="E463">
        <v>1405501.99</v>
      </c>
      <c r="F463">
        <v>1405501.99</v>
      </c>
      <c r="G463">
        <v>883318.18</v>
      </c>
      <c r="H463">
        <v>883318.18</v>
      </c>
      <c r="I463">
        <v>74150.45</v>
      </c>
      <c r="J463">
        <v>74150.45</v>
      </c>
      <c r="K463">
        <v>445033.36</v>
      </c>
      <c r="L463">
        <v>3000</v>
      </c>
    </row>
    <row r="464" spans="1:12" x14ac:dyDescent="0.25">
      <c r="A464" t="s">
        <v>1444</v>
      </c>
      <c r="B464" t="s">
        <v>1445</v>
      </c>
      <c r="C464">
        <v>932</v>
      </c>
      <c r="D464" s="1">
        <v>44567</v>
      </c>
      <c r="E464">
        <v>148970.97</v>
      </c>
      <c r="F464">
        <v>148970.97</v>
      </c>
      <c r="G464">
        <v>87729.919999999998</v>
      </c>
      <c r="H464">
        <v>87729.919999999998</v>
      </c>
      <c r="I464">
        <v>17088.330000000002</v>
      </c>
      <c r="J464">
        <v>17088.330000000002</v>
      </c>
      <c r="K464">
        <v>44152.72</v>
      </c>
    </row>
    <row r="465" spans="1:12" x14ac:dyDescent="0.25">
      <c r="A465" t="s">
        <v>1446</v>
      </c>
      <c r="B465" t="s">
        <v>1447</v>
      </c>
      <c r="C465">
        <v>932</v>
      </c>
      <c r="D465" s="1">
        <v>44567</v>
      </c>
      <c r="E465">
        <v>458473.16</v>
      </c>
      <c r="F465">
        <v>458473.16</v>
      </c>
      <c r="G465">
        <v>245424.3</v>
      </c>
      <c r="H465">
        <v>245424.3</v>
      </c>
      <c r="K465">
        <v>213048.86</v>
      </c>
    </row>
    <row r="466" spans="1:12" x14ac:dyDescent="0.25">
      <c r="A466" t="s">
        <v>1448</v>
      </c>
      <c r="B466" t="s">
        <v>1449</v>
      </c>
      <c r="C466">
        <v>932</v>
      </c>
      <c r="D466" s="1">
        <v>44567</v>
      </c>
      <c r="E466">
        <v>1614040.44</v>
      </c>
      <c r="F466">
        <v>1614040.44</v>
      </c>
      <c r="G466">
        <v>139831.44</v>
      </c>
      <c r="H466">
        <v>139831.44</v>
      </c>
      <c r="I466">
        <v>28387.69</v>
      </c>
      <c r="J466">
        <v>28387.69</v>
      </c>
      <c r="K466">
        <v>1445821.31</v>
      </c>
    </row>
    <row r="467" spans="1:12" x14ac:dyDescent="0.25">
      <c r="A467" t="s">
        <v>1450</v>
      </c>
      <c r="B467" t="s">
        <v>1404</v>
      </c>
      <c r="C467">
        <v>930</v>
      </c>
      <c r="D467" s="1">
        <v>44569</v>
      </c>
      <c r="E467">
        <v>38601.43</v>
      </c>
      <c r="F467">
        <v>38601.43</v>
      </c>
      <c r="K467">
        <v>38601.43</v>
      </c>
    </row>
    <row r="468" spans="1:12" x14ac:dyDescent="0.25">
      <c r="A468" t="s">
        <v>1451</v>
      </c>
      <c r="B468" t="s">
        <v>1452</v>
      </c>
      <c r="C468">
        <v>930</v>
      </c>
      <c r="D468" s="1">
        <v>44569</v>
      </c>
      <c r="E468">
        <v>1178355.21</v>
      </c>
      <c r="F468">
        <v>1178355.21</v>
      </c>
      <c r="G468">
        <v>665000</v>
      </c>
      <c r="H468">
        <v>665000</v>
      </c>
      <c r="I468">
        <v>179568.23</v>
      </c>
      <c r="J468">
        <v>179568.23</v>
      </c>
      <c r="K468">
        <v>333786.98</v>
      </c>
    </row>
    <row r="469" spans="1:12" x14ac:dyDescent="0.25">
      <c r="A469" t="s">
        <v>1453</v>
      </c>
      <c r="B469" t="s">
        <v>1434</v>
      </c>
      <c r="C469">
        <v>928</v>
      </c>
      <c r="D469" s="1">
        <v>44571</v>
      </c>
      <c r="E469">
        <v>56337.599999999999</v>
      </c>
      <c r="F469">
        <v>56337.599999999999</v>
      </c>
      <c r="K469">
        <v>54312.35</v>
      </c>
      <c r="L469">
        <v>2025.25</v>
      </c>
    </row>
    <row r="470" spans="1:12" x14ac:dyDescent="0.25">
      <c r="A470" t="s">
        <v>1454</v>
      </c>
      <c r="B470" t="s">
        <v>1455</v>
      </c>
      <c r="C470">
        <v>927</v>
      </c>
      <c r="D470" s="1">
        <v>44572</v>
      </c>
      <c r="E470">
        <v>53429.46</v>
      </c>
      <c r="F470">
        <v>53429.46</v>
      </c>
      <c r="K470">
        <v>53429.46</v>
      </c>
    </row>
    <row r="471" spans="1:12" x14ac:dyDescent="0.25">
      <c r="A471" t="s">
        <v>1456</v>
      </c>
      <c r="B471" t="s">
        <v>1412</v>
      </c>
      <c r="C471">
        <v>927</v>
      </c>
      <c r="D471" s="1">
        <v>44572</v>
      </c>
      <c r="E471">
        <v>247443.89</v>
      </c>
      <c r="F471">
        <v>247443.89</v>
      </c>
      <c r="G471">
        <v>153915.17000000001</v>
      </c>
      <c r="H471">
        <v>153915.17000000001</v>
      </c>
      <c r="I471">
        <v>16481.86</v>
      </c>
      <c r="J471">
        <v>16481.86</v>
      </c>
      <c r="K471">
        <v>77046.86</v>
      </c>
    </row>
    <row r="472" spans="1:12" x14ac:dyDescent="0.25">
      <c r="A472" t="s">
        <v>1457</v>
      </c>
      <c r="B472" t="s">
        <v>1445</v>
      </c>
      <c r="C472">
        <v>926</v>
      </c>
      <c r="D472" s="1">
        <v>44573</v>
      </c>
      <c r="E472">
        <v>147168.85</v>
      </c>
      <c r="F472">
        <v>147168.85</v>
      </c>
      <c r="G472">
        <v>85760.74</v>
      </c>
      <c r="H472">
        <v>85760.74</v>
      </c>
      <c r="I472">
        <v>18524.310000000001</v>
      </c>
      <c r="J472">
        <v>18524.310000000001</v>
      </c>
      <c r="K472">
        <v>42883.8</v>
      </c>
    </row>
    <row r="473" spans="1:12" x14ac:dyDescent="0.25">
      <c r="A473" t="s">
        <v>1458</v>
      </c>
      <c r="B473" t="s">
        <v>1438</v>
      </c>
      <c r="C473">
        <v>926</v>
      </c>
      <c r="D473" s="1">
        <v>44573</v>
      </c>
      <c r="E473">
        <v>179607.39</v>
      </c>
      <c r="F473">
        <v>179607.39</v>
      </c>
      <c r="G473">
        <v>108644.45</v>
      </c>
      <c r="H473">
        <v>108644.45</v>
      </c>
      <c r="I473">
        <v>18454.669999999998</v>
      </c>
      <c r="J473">
        <v>18454.669999999998</v>
      </c>
      <c r="K473">
        <v>52508.27</v>
      </c>
    </row>
    <row r="474" spans="1:12" x14ac:dyDescent="0.25">
      <c r="A474" t="s">
        <v>1459</v>
      </c>
      <c r="B474" t="s">
        <v>1460</v>
      </c>
      <c r="C474">
        <v>924</v>
      </c>
      <c r="D474" s="1">
        <v>44575</v>
      </c>
      <c r="E474">
        <v>123839.21</v>
      </c>
      <c r="F474">
        <v>123839.21</v>
      </c>
      <c r="G474">
        <v>34686.21</v>
      </c>
      <c r="H474">
        <v>34686.21</v>
      </c>
      <c r="I474">
        <v>5892.09</v>
      </c>
      <c r="J474">
        <v>5892.09</v>
      </c>
      <c r="K474">
        <v>83260.91</v>
      </c>
    </row>
    <row r="475" spans="1:12" x14ac:dyDescent="0.25">
      <c r="A475" t="s">
        <v>1461</v>
      </c>
      <c r="B475" t="s">
        <v>1462</v>
      </c>
      <c r="C475">
        <v>921</v>
      </c>
      <c r="D475" s="1">
        <v>44578</v>
      </c>
      <c r="E475">
        <v>46930.6</v>
      </c>
      <c r="F475">
        <v>46930.6</v>
      </c>
      <c r="K475">
        <v>46930.6</v>
      </c>
    </row>
    <row r="476" spans="1:12" x14ac:dyDescent="0.25">
      <c r="A476" t="s">
        <v>1463</v>
      </c>
      <c r="B476" t="s">
        <v>1464</v>
      </c>
      <c r="C476">
        <v>920</v>
      </c>
      <c r="D476" s="1">
        <v>44579</v>
      </c>
      <c r="E476">
        <v>234219.94</v>
      </c>
      <c r="F476">
        <v>234219.94</v>
      </c>
      <c r="G476">
        <v>187087.25</v>
      </c>
      <c r="H476">
        <v>187087.25</v>
      </c>
      <c r="I476">
        <v>32548.04</v>
      </c>
      <c r="J476">
        <v>32548.04</v>
      </c>
      <c r="K476">
        <v>14584.65</v>
      </c>
    </row>
    <row r="477" spans="1:12" x14ac:dyDescent="0.25">
      <c r="A477" t="s">
        <v>380</v>
      </c>
      <c r="B477" t="s">
        <v>381</v>
      </c>
      <c r="C477">
        <v>918</v>
      </c>
      <c r="D477" s="1">
        <v>44581</v>
      </c>
      <c r="E477">
        <v>485538.94</v>
      </c>
      <c r="F477">
        <v>485538.94</v>
      </c>
      <c r="G477">
        <v>265431.03000000003</v>
      </c>
      <c r="H477">
        <v>265431.03000000003</v>
      </c>
      <c r="I477">
        <v>88253.99</v>
      </c>
      <c r="J477">
        <v>88253.99</v>
      </c>
      <c r="K477">
        <v>117911.05</v>
      </c>
      <c r="L477">
        <v>13942.87</v>
      </c>
    </row>
    <row r="478" spans="1:12" x14ac:dyDescent="0.25">
      <c r="A478" t="s">
        <v>1465</v>
      </c>
      <c r="B478" t="s">
        <v>1462</v>
      </c>
      <c r="C478">
        <v>918</v>
      </c>
      <c r="D478" s="1">
        <v>44581</v>
      </c>
      <c r="E478">
        <v>209389.36</v>
      </c>
      <c r="F478">
        <v>209389.36</v>
      </c>
      <c r="G478">
        <v>134481.29999999999</v>
      </c>
      <c r="H478">
        <v>134481.29999999999</v>
      </c>
      <c r="I478">
        <v>9550.15</v>
      </c>
      <c r="J478">
        <v>9550.15</v>
      </c>
      <c r="K478">
        <v>65357.91</v>
      </c>
    </row>
    <row r="479" spans="1:12" x14ac:dyDescent="0.25">
      <c r="A479" t="s">
        <v>1466</v>
      </c>
      <c r="B479" t="s">
        <v>1467</v>
      </c>
      <c r="C479">
        <v>917</v>
      </c>
      <c r="D479" s="1">
        <v>44582</v>
      </c>
      <c r="E479">
        <v>1385805.97</v>
      </c>
      <c r="F479">
        <v>1385805.97</v>
      </c>
      <c r="G479">
        <v>750000</v>
      </c>
      <c r="H479">
        <v>750000</v>
      </c>
      <c r="I479">
        <v>263999.99</v>
      </c>
      <c r="J479">
        <v>263999.99</v>
      </c>
      <c r="K479">
        <v>371805.98</v>
      </c>
    </row>
    <row r="480" spans="1:12" x14ac:dyDescent="0.25">
      <c r="A480" t="s">
        <v>1468</v>
      </c>
      <c r="B480" t="s">
        <v>1469</v>
      </c>
      <c r="C480">
        <v>916</v>
      </c>
      <c r="D480" s="1">
        <v>44583</v>
      </c>
      <c r="E480">
        <v>17478.41</v>
      </c>
      <c r="F480">
        <v>17478.41</v>
      </c>
      <c r="K480">
        <v>17478.41</v>
      </c>
    </row>
    <row r="481" spans="1:12" x14ac:dyDescent="0.25">
      <c r="A481" t="s">
        <v>1470</v>
      </c>
      <c r="B481" t="s">
        <v>1471</v>
      </c>
      <c r="C481">
        <v>913</v>
      </c>
      <c r="D481" s="1">
        <v>44586</v>
      </c>
      <c r="E481">
        <v>232468.97</v>
      </c>
      <c r="F481">
        <v>232468.97</v>
      </c>
      <c r="G481">
        <v>152936.34</v>
      </c>
      <c r="H481">
        <v>152936.34</v>
      </c>
      <c r="K481">
        <v>79532.63</v>
      </c>
    </row>
    <row r="482" spans="1:12" x14ac:dyDescent="0.25">
      <c r="A482" t="s">
        <v>1472</v>
      </c>
      <c r="B482" t="s">
        <v>1447</v>
      </c>
      <c r="C482">
        <v>913</v>
      </c>
      <c r="D482" s="1">
        <v>44586</v>
      </c>
      <c r="E482">
        <v>42253.18</v>
      </c>
      <c r="F482">
        <v>42253.18</v>
      </c>
      <c r="K482">
        <v>42253.18</v>
      </c>
    </row>
    <row r="483" spans="1:12" x14ac:dyDescent="0.25">
      <c r="A483" t="s">
        <v>1473</v>
      </c>
      <c r="B483" t="s">
        <v>1474</v>
      </c>
      <c r="C483">
        <v>913</v>
      </c>
      <c r="D483" s="1">
        <v>44586</v>
      </c>
      <c r="E483">
        <v>19795.330000000002</v>
      </c>
      <c r="F483">
        <v>19795.330000000002</v>
      </c>
      <c r="K483">
        <v>19795.330000000002</v>
      </c>
    </row>
    <row r="484" spans="1:12" x14ac:dyDescent="0.25">
      <c r="A484" t="s">
        <v>1475</v>
      </c>
      <c r="B484" t="s">
        <v>1476</v>
      </c>
      <c r="C484">
        <v>913</v>
      </c>
      <c r="D484" s="1">
        <v>44586</v>
      </c>
      <c r="E484">
        <v>120069.83</v>
      </c>
      <c r="F484">
        <v>120069.83</v>
      </c>
      <c r="K484">
        <v>120069.83</v>
      </c>
    </row>
    <row r="485" spans="1:12" x14ac:dyDescent="0.25">
      <c r="A485" t="s">
        <v>1477</v>
      </c>
      <c r="B485" t="s">
        <v>1478</v>
      </c>
      <c r="C485">
        <v>913</v>
      </c>
      <c r="D485" s="1">
        <v>44586</v>
      </c>
      <c r="E485">
        <v>138396.38</v>
      </c>
      <c r="F485">
        <v>138396.38</v>
      </c>
      <c r="G485">
        <v>35976.559999999998</v>
      </c>
      <c r="H485">
        <v>35976.559999999998</v>
      </c>
      <c r="I485">
        <v>2131.48</v>
      </c>
      <c r="J485">
        <v>2131.48</v>
      </c>
      <c r="K485">
        <v>100288.34</v>
      </c>
    </row>
    <row r="486" spans="1:12" x14ac:dyDescent="0.25">
      <c r="A486" t="s">
        <v>1479</v>
      </c>
      <c r="B486" t="s">
        <v>1480</v>
      </c>
      <c r="C486">
        <v>912</v>
      </c>
      <c r="D486" s="1">
        <v>44587</v>
      </c>
      <c r="E486">
        <v>148956.49</v>
      </c>
      <c r="F486">
        <v>148956.49</v>
      </c>
      <c r="G486">
        <v>125658</v>
      </c>
      <c r="H486">
        <v>125658</v>
      </c>
      <c r="I486">
        <v>20380.71</v>
      </c>
      <c r="J486">
        <v>20380.71</v>
      </c>
      <c r="K486">
        <v>2917.78</v>
      </c>
    </row>
    <row r="487" spans="1:12" x14ac:dyDescent="0.25">
      <c r="A487" t="s">
        <v>1481</v>
      </c>
      <c r="B487" t="s">
        <v>1480</v>
      </c>
      <c r="C487">
        <v>910</v>
      </c>
      <c r="D487" s="1">
        <v>44589</v>
      </c>
      <c r="E487">
        <v>191121.34</v>
      </c>
      <c r="F487">
        <v>191121.34</v>
      </c>
      <c r="G487">
        <v>165572.75</v>
      </c>
      <c r="H487">
        <v>165572.75</v>
      </c>
      <c r="I487">
        <v>21882.81</v>
      </c>
      <c r="J487">
        <v>21882.81</v>
      </c>
      <c r="K487">
        <v>3665.78</v>
      </c>
    </row>
    <row r="488" spans="1:12" x14ac:dyDescent="0.25">
      <c r="A488" t="s">
        <v>1482</v>
      </c>
      <c r="B488" t="s">
        <v>1483</v>
      </c>
      <c r="C488">
        <v>909</v>
      </c>
      <c r="D488" s="1">
        <v>44590</v>
      </c>
      <c r="E488">
        <v>2146151.21</v>
      </c>
      <c r="F488">
        <v>2146151.21</v>
      </c>
      <c r="G488">
        <v>195756.47</v>
      </c>
      <c r="H488">
        <v>195756.47</v>
      </c>
      <c r="I488">
        <v>28383.58</v>
      </c>
      <c r="J488">
        <v>28383.58</v>
      </c>
      <c r="K488">
        <v>1922011.16</v>
      </c>
    </row>
    <row r="489" spans="1:12" x14ac:dyDescent="0.25">
      <c r="A489" t="s">
        <v>1484</v>
      </c>
      <c r="B489" t="s">
        <v>1485</v>
      </c>
      <c r="C489">
        <v>909</v>
      </c>
      <c r="D489" s="1">
        <v>44590</v>
      </c>
      <c r="E489">
        <v>1817663.37</v>
      </c>
      <c r="F489">
        <v>1817663.37</v>
      </c>
      <c r="G489">
        <v>996455.47</v>
      </c>
      <c r="H489">
        <v>996455.47</v>
      </c>
      <c r="I489">
        <v>331532.99</v>
      </c>
      <c r="J489">
        <v>331532.99</v>
      </c>
      <c r="K489">
        <v>489674.91</v>
      </c>
    </row>
    <row r="490" spans="1:12" x14ac:dyDescent="0.25">
      <c r="A490" t="s">
        <v>1486</v>
      </c>
      <c r="B490" t="s">
        <v>1434</v>
      </c>
      <c r="C490">
        <v>908</v>
      </c>
      <c r="D490" s="1">
        <v>44591</v>
      </c>
      <c r="E490">
        <v>33672</v>
      </c>
      <c r="F490">
        <v>33672</v>
      </c>
      <c r="K490">
        <v>30672</v>
      </c>
      <c r="L490">
        <v>3000</v>
      </c>
    </row>
    <row r="491" spans="1:12" x14ac:dyDescent="0.25">
      <c r="A491" t="s">
        <v>1487</v>
      </c>
      <c r="B491" t="s">
        <v>1488</v>
      </c>
      <c r="C491">
        <v>905</v>
      </c>
      <c r="D491" s="1">
        <v>44594</v>
      </c>
      <c r="E491">
        <v>32937.47</v>
      </c>
      <c r="F491">
        <v>32937.47</v>
      </c>
      <c r="K491">
        <v>32937.47</v>
      </c>
    </row>
    <row r="492" spans="1:12" x14ac:dyDescent="0.25">
      <c r="A492" t="s">
        <v>1489</v>
      </c>
      <c r="B492" t="s">
        <v>1462</v>
      </c>
      <c r="C492">
        <v>897</v>
      </c>
      <c r="D492" s="1">
        <v>44602</v>
      </c>
      <c r="E492">
        <v>67788.05</v>
      </c>
      <c r="F492">
        <v>67788.05</v>
      </c>
      <c r="K492">
        <v>67788.05</v>
      </c>
    </row>
    <row r="493" spans="1:12" x14ac:dyDescent="0.25">
      <c r="A493" t="s">
        <v>1490</v>
      </c>
      <c r="B493" t="s">
        <v>1491</v>
      </c>
      <c r="C493">
        <v>897</v>
      </c>
      <c r="D493" s="1">
        <v>44602</v>
      </c>
      <c r="E493">
        <v>295450.19</v>
      </c>
      <c r="F493">
        <v>295450.19</v>
      </c>
      <c r="G493">
        <v>225509.31</v>
      </c>
      <c r="H493">
        <v>225509.31</v>
      </c>
      <c r="I493">
        <v>54962.49</v>
      </c>
      <c r="J493">
        <v>54962.49</v>
      </c>
      <c r="K493">
        <v>14978.39</v>
      </c>
    </row>
    <row r="494" spans="1:12" x14ac:dyDescent="0.25">
      <c r="A494" t="s">
        <v>1492</v>
      </c>
      <c r="B494" t="s">
        <v>1493</v>
      </c>
      <c r="C494">
        <v>896</v>
      </c>
      <c r="D494" s="1">
        <v>44603</v>
      </c>
      <c r="E494">
        <v>307981.92</v>
      </c>
      <c r="F494">
        <v>307981.92</v>
      </c>
      <c r="G494">
        <v>277060.77</v>
      </c>
      <c r="H494">
        <v>277060.77</v>
      </c>
      <c r="I494">
        <v>14375.86</v>
      </c>
      <c r="J494">
        <v>14375.86</v>
      </c>
      <c r="K494">
        <v>16545.29</v>
      </c>
    </row>
    <row r="495" spans="1:12" x14ac:dyDescent="0.25">
      <c r="A495" t="s">
        <v>1494</v>
      </c>
      <c r="B495" t="s">
        <v>1412</v>
      </c>
      <c r="C495">
        <v>895</v>
      </c>
      <c r="D495" s="1">
        <v>44604</v>
      </c>
      <c r="E495">
        <v>177623.95</v>
      </c>
      <c r="F495">
        <v>177623.95</v>
      </c>
      <c r="G495">
        <v>111799</v>
      </c>
      <c r="H495">
        <v>111799</v>
      </c>
      <c r="I495">
        <v>11792.49</v>
      </c>
      <c r="J495">
        <v>11792.49</v>
      </c>
      <c r="K495">
        <v>54032.46</v>
      </c>
    </row>
    <row r="496" spans="1:12" x14ac:dyDescent="0.25">
      <c r="A496" t="s">
        <v>1495</v>
      </c>
      <c r="B496" t="s">
        <v>1496</v>
      </c>
      <c r="C496">
        <v>892</v>
      </c>
      <c r="D496" s="1">
        <v>44607</v>
      </c>
      <c r="E496">
        <v>94447.35</v>
      </c>
      <c r="F496">
        <v>94447.35</v>
      </c>
      <c r="G496">
        <v>70754.86</v>
      </c>
      <c r="H496">
        <v>70754.86</v>
      </c>
      <c r="I496">
        <v>18572.669999999998</v>
      </c>
      <c r="J496">
        <v>18572.669999999998</v>
      </c>
      <c r="K496">
        <v>5119.82</v>
      </c>
    </row>
    <row r="497" spans="1:12" x14ac:dyDescent="0.25">
      <c r="A497" t="s">
        <v>1497</v>
      </c>
      <c r="B497" t="s">
        <v>1498</v>
      </c>
      <c r="C497">
        <v>892</v>
      </c>
      <c r="D497" s="1">
        <v>44607</v>
      </c>
      <c r="E497">
        <v>167500</v>
      </c>
      <c r="F497">
        <v>167500</v>
      </c>
      <c r="G497">
        <v>151175.47</v>
      </c>
      <c r="H497">
        <v>151175.47</v>
      </c>
      <c r="K497">
        <v>16324.53</v>
      </c>
    </row>
    <row r="498" spans="1:12" x14ac:dyDescent="0.25">
      <c r="A498" t="s">
        <v>1499</v>
      </c>
      <c r="B498" t="s">
        <v>1500</v>
      </c>
      <c r="C498">
        <v>891</v>
      </c>
      <c r="D498" s="1">
        <v>44608</v>
      </c>
      <c r="E498">
        <v>137065.20000000001</v>
      </c>
      <c r="F498">
        <v>137065.20000000001</v>
      </c>
      <c r="G498">
        <v>116694.96</v>
      </c>
      <c r="H498">
        <v>116694.96</v>
      </c>
      <c r="I498">
        <v>11989.21</v>
      </c>
      <c r="J498">
        <v>11989.21</v>
      </c>
      <c r="K498">
        <v>8381.0300000000007</v>
      </c>
    </row>
    <row r="499" spans="1:12" x14ac:dyDescent="0.25">
      <c r="A499" t="s">
        <v>1501</v>
      </c>
      <c r="B499" t="s">
        <v>1500</v>
      </c>
      <c r="C499">
        <v>891</v>
      </c>
      <c r="D499" s="1">
        <v>44608</v>
      </c>
      <c r="E499">
        <v>197891.23</v>
      </c>
      <c r="F499">
        <v>197891.23</v>
      </c>
      <c r="G499">
        <v>163263.93</v>
      </c>
      <c r="H499">
        <v>163263.93</v>
      </c>
      <c r="I499">
        <v>22901.68</v>
      </c>
      <c r="J499">
        <v>22901.68</v>
      </c>
      <c r="K499">
        <v>11725.62</v>
      </c>
    </row>
    <row r="500" spans="1:12" x14ac:dyDescent="0.25">
      <c r="A500" t="s">
        <v>1502</v>
      </c>
      <c r="B500" t="s">
        <v>1503</v>
      </c>
      <c r="C500">
        <v>891</v>
      </c>
      <c r="D500" s="1">
        <v>44608</v>
      </c>
      <c r="E500">
        <v>345922.99</v>
      </c>
      <c r="F500">
        <v>345922.99</v>
      </c>
      <c r="G500">
        <v>221017.86</v>
      </c>
      <c r="H500">
        <v>221017.86</v>
      </c>
      <c r="I500">
        <v>45293.53</v>
      </c>
      <c r="J500">
        <v>45293.53</v>
      </c>
      <c r="K500">
        <v>67623.17</v>
      </c>
      <c r="L500">
        <v>11988.43</v>
      </c>
    </row>
    <row r="501" spans="1:12" x14ac:dyDescent="0.25">
      <c r="A501" t="s">
        <v>1504</v>
      </c>
      <c r="B501" t="s">
        <v>1505</v>
      </c>
      <c r="C501">
        <v>891</v>
      </c>
      <c r="D501" s="1">
        <v>44608</v>
      </c>
      <c r="E501">
        <v>345124.76</v>
      </c>
      <c r="F501">
        <v>345124.76</v>
      </c>
      <c r="G501">
        <v>283080.28000000003</v>
      </c>
      <c r="H501">
        <v>283080.28000000003</v>
      </c>
      <c r="I501">
        <v>41713.65</v>
      </c>
      <c r="J501">
        <v>41713.65</v>
      </c>
      <c r="K501">
        <v>20330.830000000002</v>
      </c>
    </row>
    <row r="502" spans="1:12" x14ac:dyDescent="0.25">
      <c r="A502" t="s">
        <v>473</v>
      </c>
      <c r="B502" t="s">
        <v>60</v>
      </c>
      <c r="C502">
        <v>890</v>
      </c>
      <c r="D502" s="1">
        <v>44609</v>
      </c>
      <c r="E502">
        <v>128807.51</v>
      </c>
      <c r="F502">
        <v>187322.57</v>
      </c>
      <c r="G502">
        <v>84770.39</v>
      </c>
      <c r="H502">
        <v>27373.39</v>
      </c>
      <c r="I502">
        <v>72785.73</v>
      </c>
      <c r="J502">
        <v>73903.789999999994</v>
      </c>
      <c r="K502">
        <v>28648.39</v>
      </c>
    </row>
    <row r="503" spans="1:12" x14ac:dyDescent="0.25">
      <c r="A503" t="s">
        <v>1506</v>
      </c>
      <c r="B503" t="s">
        <v>1507</v>
      </c>
      <c r="C503">
        <v>889</v>
      </c>
      <c r="D503" s="1">
        <v>44610</v>
      </c>
      <c r="E503">
        <v>234195.41</v>
      </c>
      <c r="F503">
        <v>234195.41</v>
      </c>
      <c r="G503">
        <v>148567.23000000001</v>
      </c>
      <c r="H503">
        <v>148567.23000000001</v>
      </c>
      <c r="I503">
        <v>41583.94</v>
      </c>
      <c r="J503">
        <v>41583.94</v>
      </c>
      <c r="K503">
        <v>44044.24</v>
      </c>
    </row>
    <row r="504" spans="1:12" x14ac:dyDescent="0.25">
      <c r="A504" t="s">
        <v>1508</v>
      </c>
      <c r="B504" t="s">
        <v>1509</v>
      </c>
      <c r="C504">
        <v>888</v>
      </c>
      <c r="D504" s="1">
        <v>44611</v>
      </c>
      <c r="E504">
        <v>578361.67000000004</v>
      </c>
      <c r="F504">
        <v>578361.67000000004</v>
      </c>
      <c r="G504">
        <v>449305.93</v>
      </c>
      <c r="H504">
        <v>449305.93</v>
      </c>
      <c r="I504">
        <v>97514.46</v>
      </c>
      <c r="J504">
        <v>97514.46</v>
      </c>
      <c r="K504">
        <v>31541.279999999999</v>
      </c>
    </row>
    <row r="505" spans="1:12" x14ac:dyDescent="0.25">
      <c r="A505" t="s">
        <v>1510</v>
      </c>
      <c r="B505" t="s">
        <v>1511</v>
      </c>
      <c r="C505">
        <v>887</v>
      </c>
      <c r="D505" s="1">
        <v>44612</v>
      </c>
      <c r="E505">
        <v>253711.37</v>
      </c>
      <c r="F505">
        <v>253711.37</v>
      </c>
      <c r="G505">
        <v>188012.23</v>
      </c>
      <c r="H505">
        <v>188012.23</v>
      </c>
      <c r="I505">
        <v>52602.21</v>
      </c>
      <c r="J505">
        <v>52602.21</v>
      </c>
      <c r="K505">
        <v>13096.93</v>
      </c>
    </row>
    <row r="506" spans="1:12" x14ac:dyDescent="0.25">
      <c r="A506" t="s">
        <v>1512</v>
      </c>
      <c r="B506" t="s">
        <v>1513</v>
      </c>
      <c r="C506">
        <v>885</v>
      </c>
      <c r="D506" s="1">
        <v>44614</v>
      </c>
      <c r="E506">
        <v>269323.46999999997</v>
      </c>
      <c r="F506">
        <v>269323.46999999997</v>
      </c>
      <c r="G506">
        <v>195543.37</v>
      </c>
      <c r="H506">
        <v>195543.37</v>
      </c>
      <c r="I506">
        <v>21816.34</v>
      </c>
      <c r="J506">
        <v>21816.34</v>
      </c>
      <c r="K506">
        <v>51963.76</v>
      </c>
    </row>
    <row r="507" spans="1:12" x14ac:dyDescent="0.25">
      <c r="A507" t="s">
        <v>1514</v>
      </c>
      <c r="B507" t="s">
        <v>1515</v>
      </c>
      <c r="C507">
        <v>885</v>
      </c>
      <c r="D507" s="1">
        <v>44614</v>
      </c>
      <c r="E507">
        <v>84643.06</v>
      </c>
      <c r="F507">
        <v>84643.06</v>
      </c>
      <c r="G507">
        <v>67895.75</v>
      </c>
      <c r="H507">
        <v>67895.75</v>
      </c>
      <c r="I507">
        <v>12091.02</v>
      </c>
      <c r="J507">
        <v>12091.02</v>
      </c>
      <c r="K507">
        <v>4656.29</v>
      </c>
    </row>
    <row r="508" spans="1:12" x14ac:dyDescent="0.25">
      <c r="A508" t="s">
        <v>1516</v>
      </c>
      <c r="B508" t="s">
        <v>1517</v>
      </c>
      <c r="C508">
        <v>885</v>
      </c>
      <c r="D508" s="1">
        <v>44614</v>
      </c>
      <c r="E508">
        <v>220947.03</v>
      </c>
      <c r="F508">
        <v>220947.03</v>
      </c>
      <c r="G508">
        <v>168816.6</v>
      </c>
      <c r="H508">
        <v>168816.6</v>
      </c>
      <c r="I508">
        <v>40552.99</v>
      </c>
      <c r="J508">
        <v>40552.99</v>
      </c>
      <c r="K508">
        <v>11577.44</v>
      </c>
    </row>
    <row r="509" spans="1:12" x14ac:dyDescent="0.25">
      <c r="A509" t="s">
        <v>1518</v>
      </c>
      <c r="B509" t="s">
        <v>1519</v>
      </c>
      <c r="C509">
        <v>884</v>
      </c>
      <c r="D509" s="1">
        <v>44615</v>
      </c>
      <c r="E509">
        <v>480230.01</v>
      </c>
      <c r="F509">
        <v>480230.01</v>
      </c>
      <c r="G509">
        <v>260536.4</v>
      </c>
      <c r="H509">
        <v>260536.4</v>
      </c>
      <c r="K509">
        <v>219693.61</v>
      </c>
    </row>
    <row r="510" spans="1:12" x14ac:dyDescent="0.25">
      <c r="A510" t="s">
        <v>1520</v>
      </c>
      <c r="B510" t="s">
        <v>80</v>
      </c>
      <c r="C510">
        <v>883</v>
      </c>
      <c r="D510" s="1">
        <v>44616</v>
      </c>
      <c r="E510">
        <v>18357.53</v>
      </c>
      <c r="F510">
        <v>18357.53</v>
      </c>
      <c r="G510">
        <v>13559.44</v>
      </c>
      <c r="H510">
        <v>13559.44</v>
      </c>
      <c r="I510">
        <v>3882.83</v>
      </c>
      <c r="J510">
        <v>3882.83</v>
      </c>
      <c r="K510">
        <v>915.26</v>
      </c>
    </row>
    <row r="511" spans="1:12" x14ac:dyDescent="0.25">
      <c r="A511" t="s">
        <v>1521</v>
      </c>
      <c r="B511" t="s">
        <v>1522</v>
      </c>
      <c r="C511">
        <v>883</v>
      </c>
      <c r="D511" s="1">
        <v>44616</v>
      </c>
      <c r="E511">
        <v>510602.23999999999</v>
      </c>
      <c r="F511">
        <v>510602.23999999999</v>
      </c>
      <c r="G511">
        <v>290917.65000000002</v>
      </c>
      <c r="H511">
        <v>290917.65000000002</v>
      </c>
      <c r="K511">
        <v>201753.7</v>
      </c>
      <c r="L511">
        <v>17930.89</v>
      </c>
    </row>
    <row r="512" spans="1:12" x14ac:dyDescent="0.25">
      <c r="A512" t="s">
        <v>1523</v>
      </c>
      <c r="B512" t="s">
        <v>1511</v>
      </c>
      <c r="C512">
        <v>882</v>
      </c>
      <c r="D512" s="1">
        <v>44617</v>
      </c>
      <c r="E512">
        <v>287904.3</v>
      </c>
      <c r="F512">
        <v>287904.3</v>
      </c>
      <c r="G512">
        <v>230479.84</v>
      </c>
      <c r="H512">
        <v>230479.84</v>
      </c>
      <c r="I512">
        <v>41991.53</v>
      </c>
      <c r="J512">
        <v>41991.53</v>
      </c>
      <c r="K512">
        <v>15432.93</v>
      </c>
    </row>
    <row r="513" spans="1:11" x14ac:dyDescent="0.25">
      <c r="A513" t="s">
        <v>1524</v>
      </c>
      <c r="B513" t="s">
        <v>78</v>
      </c>
      <c r="C513">
        <v>882</v>
      </c>
      <c r="D513" s="1">
        <v>44617</v>
      </c>
      <c r="E513">
        <v>221601.18</v>
      </c>
      <c r="F513">
        <v>221601.18</v>
      </c>
      <c r="G513">
        <v>169768.2</v>
      </c>
      <c r="H513">
        <v>169768.2</v>
      </c>
      <c r="I513">
        <v>40465.300000000003</v>
      </c>
      <c r="J513">
        <v>40465.300000000003</v>
      </c>
      <c r="K513">
        <v>11367.68</v>
      </c>
    </row>
    <row r="514" spans="1:11" x14ac:dyDescent="0.25">
      <c r="A514" t="s">
        <v>1525</v>
      </c>
      <c r="B514" t="s">
        <v>78</v>
      </c>
      <c r="C514">
        <v>882</v>
      </c>
      <c r="D514" s="1">
        <v>44617</v>
      </c>
      <c r="E514">
        <v>173544.82</v>
      </c>
      <c r="F514">
        <v>173544.82</v>
      </c>
      <c r="G514">
        <v>130000</v>
      </c>
      <c r="H514">
        <v>130000</v>
      </c>
      <c r="I514">
        <v>34840.019999999997</v>
      </c>
      <c r="J514">
        <v>34840.019999999997</v>
      </c>
      <c r="K514">
        <v>8704.7999999999993</v>
      </c>
    </row>
    <row r="515" spans="1:11" x14ac:dyDescent="0.25">
      <c r="A515" t="s">
        <v>1526</v>
      </c>
      <c r="B515" t="s">
        <v>1527</v>
      </c>
      <c r="C515">
        <v>882</v>
      </c>
      <c r="D515" s="1">
        <v>44617</v>
      </c>
      <c r="E515">
        <v>210348.02</v>
      </c>
      <c r="F515">
        <v>210348.02</v>
      </c>
      <c r="G515">
        <v>157374.98000000001</v>
      </c>
      <c r="H515">
        <v>157374.98000000001</v>
      </c>
      <c r="I515">
        <v>42435.21</v>
      </c>
      <c r="J515">
        <v>42435.21</v>
      </c>
      <c r="K515">
        <v>10537.83</v>
      </c>
    </row>
    <row r="516" spans="1:11" x14ac:dyDescent="0.25">
      <c r="A516" t="s">
        <v>1528</v>
      </c>
      <c r="B516" t="s">
        <v>132</v>
      </c>
      <c r="C516">
        <v>882</v>
      </c>
      <c r="D516" s="1">
        <v>44617</v>
      </c>
      <c r="E516">
        <v>280487.65999999997</v>
      </c>
      <c r="F516">
        <v>280487.65999999997</v>
      </c>
      <c r="G516">
        <v>269513.53000000003</v>
      </c>
      <c r="H516">
        <v>269513.53000000003</v>
      </c>
      <c r="K516">
        <v>10974.13</v>
      </c>
    </row>
    <row r="517" spans="1:11" x14ac:dyDescent="0.25">
      <c r="A517" t="s">
        <v>1529</v>
      </c>
      <c r="B517" t="s">
        <v>1530</v>
      </c>
      <c r="C517">
        <v>881</v>
      </c>
      <c r="D517" s="1">
        <v>44618</v>
      </c>
      <c r="E517">
        <v>906904.04</v>
      </c>
      <c r="F517">
        <v>906904.04</v>
      </c>
      <c r="G517">
        <v>485590.5</v>
      </c>
      <c r="H517">
        <v>485590.5</v>
      </c>
      <c r="I517">
        <v>192586.54</v>
      </c>
      <c r="J517">
        <v>192586.54</v>
      </c>
      <c r="K517">
        <v>228727</v>
      </c>
    </row>
    <row r="518" spans="1:11" x14ac:dyDescent="0.25">
      <c r="A518" t="s">
        <v>1531</v>
      </c>
      <c r="B518" t="s">
        <v>1532</v>
      </c>
      <c r="C518">
        <v>879</v>
      </c>
      <c r="D518" s="1">
        <v>44620</v>
      </c>
      <c r="E518">
        <v>2839103.4</v>
      </c>
      <c r="F518">
        <v>2839103.4</v>
      </c>
      <c r="G518">
        <v>255257.44</v>
      </c>
      <c r="H518">
        <v>255257.44</v>
      </c>
      <c r="I518">
        <v>48184.22</v>
      </c>
      <c r="J518">
        <v>48184.22</v>
      </c>
      <c r="K518">
        <v>2535661.7400000002</v>
      </c>
    </row>
    <row r="519" spans="1:11" x14ac:dyDescent="0.25">
      <c r="A519" t="s">
        <v>1533</v>
      </c>
      <c r="B519" t="s">
        <v>1500</v>
      </c>
      <c r="C519">
        <v>879</v>
      </c>
      <c r="D519" s="1">
        <v>44620</v>
      </c>
      <c r="E519">
        <v>134489.06</v>
      </c>
      <c r="F519">
        <v>134489.06</v>
      </c>
      <c r="G519">
        <v>117058.82</v>
      </c>
      <c r="H519">
        <v>117058.82</v>
      </c>
      <c r="I519">
        <v>9781.6200000000008</v>
      </c>
      <c r="J519">
        <v>9781.6200000000008</v>
      </c>
      <c r="K519">
        <v>7648.62</v>
      </c>
    </row>
    <row r="520" spans="1:11" x14ac:dyDescent="0.25">
      <c r="A520" t="s">
        <v>1534</v>
      </c>
      <c r="B520" t="s">
        <v>1527</v>
      </c>
      <c r="C520">
        <v>879</v>
      </c>
      <c r="D520" s="1">
        <v>44620</v>
      </c>
      <c r="E520">
        <v>724410.15</v>
      </c>
      <c r="F520">
        <v>724410.15</v>
      </c>
      <c r="G520">
        <v>583556.47</v>
      </c>
      <c r="H520">
        <v>583556.47</v>
      </c>
      <c r="I520">
        <v>102724.1</v>
      </c>
      <c r="J520">
        <v>102724.1</v>
      </c>
      <c r="K520">
        <v>38129.58</v>
      </c>
    </row>
    <row r="521" spans="1:11" x14ac:dyDescent="0.25">
      <c r="A521" t="s">
        <v>1535</v>
      </c>
      <c r="B521" t="s">
        <v>1536</v>
      </c>
      <c r="C521">
        <v>879</v>
      </c>
      <c r="D521" s="1">
        <v>44620</v>
      </c>
      <c r="E521">
        <v>1291563.54</v>
      </c>
      <c r="F521">
        <v>1291563.54</v>
      </c>
      <c r="G521">
        <v>992657.44</v>
      </c>
      <c r="H521">
        <v>992657.44</v>
      </c>
      <c r="I521">
        <v>234045.86</v>
      </c>
      <c r="J521">
        <v>234045.86</v>
      </c>
      <c r="K521">
        <v>64860.24</v>
      </c>
    </row>
    <row r="522" spans="1:11" x14ac:dyDescent="0.25">
      <c r="A522" t="s">
        <v>1537</v>
      </c>
      <c r="B522" t="s">
        <v>1538</v>
      </c>
      <c r="C522">
        <v>879</v>
      </c>
      <c r="D522" s="1">
        <v>44620</v>
      </c>
      <c r="E522">
        <v>1085577.21</v>
      </c>
      <c r="F522">
        <v>1085577.21</v>
      </c>
      <c r="G522">
        <v>894567.06</v>
      </c>
      <c r="H522">
        <v>894567.06</v>
      </c>
      <c r="I522">
        <v>183815.15</v>
      </c>
      <c r="J522">
        <v>183815.15</v>
      </c>
      <c r="K522">
        <v>7195</v>
      </c>
    </row>
    <row r="523" spans="1:11" x14ac:dyDescent="0.25">
      <c r="A523" t="s">
        <v>1539</v>
      </c>
      <c r="B523" t="s">
        <v>136</v>
      </c>
      <c r="C523">
        <v>879</v>
      </c>
      <c r="D523" s="1">
        <v>44620</v>
      </c>
      <c r="E523">
        <v>145625.62</v>
      </c>
      <c r="F523">
        <v>145625.62</v>
      </c>
      <c r="G523">
        <v>110000</v>
      </c>
      <c r="H523">
        <v>110000</v>
      </c>
      <c r="I523">
        <v>32909.58</v>
      </c>
      <c r="J523">
        <v>32909.58</v>
      </c>
      <c r="K523">
        <v>2716.04</v>
      </c>
    </row>
    <row r="524" spans="1:11" x14ac:dyDescent="0.25">
      <c r="A524" t="s">
        <v>1540</v>
      </c>
      <c r="B524" t="s">
        <v>1541</v>
      </c>
      <c r="C524">
        <v>877</v>
      </c>
      <c r="D524" s="1">
        <v>44622</v>
      </c>
      <c r="E524">
        <v>2125341.7400000002</v>
      </c>
      <c r="F524">
        <v>2125341.7400000002</v>
      </c>
      <c r="G524">
        <v>189983.15</v>
      </c>
      <c r="H524">
        <v>189983.15</v>
      </c>
      <c r="I524">
        <v>34847.599999999999</v>
      </c>
      <c r="J524">
        <v>34847.599999999999</v>
      </c>
      <c r="K524">
        <v>1900510.99</v>
      </c>
    </row>
    <row r="525" spans="1:11" x14ac:dyDescent="0.25">
      <c r="A525" t="s">
        <v>1542</v>
      </c>
      <c r="B525" t="s">
        <v>1543</v>
      </c>
      <c r="C525">
        <v>877</v>
      </c>
      <c r="D525" s="1">
        <v>44622</v>
      </c>
      <c r="E525">
        <v>109698.3</v>
      </c>
      <c r="F525">
        <v>109698.3</v>
      </c>
      <c r="G525">
        <v>86699.6</v>
      </c>
      <c r="H525">
        <v>86699.6</v>
      </c>
      <c r="I525">
        <v>17427.38</v>
      </c>
      <c r="J525">
        <v>17427.38</v>
      </c>
      <c r="K525">
        <v>5571.32</v>
      </c>
    </row>
    <row r="526" spans="1:11" x14ac:dyDescent="0.25">
      <c r="A526" t="s">
        <v>474</v>
      </c>
      <c r="B526" t="s">
        <v>377</v>
      </c>
      <c r="C526">
        <v>873</v>
      </c>
      <c r="D526" s="1">
        <v>44626</v>
      </c>
      <c r="E526">
        <v>228728.87</v>
      </c>
      <c r="F526">
        <v>228728.87</v>
      </c>
      <c r="G526">
        <v>81525.179999999993</v>
      </c>
      <c r="H526">
        <v>81525.179999999993</v>
      </c>
      <c r="I526">
        <v>108819.35</v>
      </c>
      <c r="J526">
        <v>108819.35</v>
      </c>
      <c r="K526">
        <v>38384.339999999997</v>
      </c>
    </row>
    <row r="527" spans="1:11" x14ac:dyDescent="0.25">
      <c r="A527" t="s">
        <v>1544</v>
      </c>
      <c r="B527" t="s">
        <v>360</v>
      </c>
      <c r="C527">
        <v>869</v>
      </c>
      <c r="D527" s="1">
        <v>44630</v>
      </c>
      <c r="E527">
        <v>107285.25</v>
      </c>
      <c r="F527">
        <v>107285.25</v>
      </c>
      <c r="I527">
        <v>10511.96</v>
      </c>
      <c r="J527">
        <v>10511.96</v>
      </c>
      <c r="K527">
        <v>96773.29</v>
      </c>
    </row>
    <row r="528" spans="1:11" x14ac:dyDescent="0.25">
      <c r="A528" t="s">
        <v>1545</v>
      </c>
      <c r="B528" t="s">
        <v>80</v>
      </c>
      <c r="C528">
        <v>867</v>
      </c>
      <c r="D528" s="1">
        <v>44632</v>
      </c>
      <c r="E528">
        <v>782720.84</v>
      </c>
      <c r="F528">
        <v>782720.84</v>
      </c>
      <c r="G528">
        <v>585600</v>
      </c>
      <c r="H528">
        <v>585600</v>
      </c>
      <c r="I528">
        <v>162652.42000000001</v>
      </c>
      <c r="J528">
        <v>162652.42000000001</v>
      </c>
      <c r="K528">
        <v>34468.42</v>
      </c>
    </row>
    <row r="529" spans="1:12" x14ac:dyDescent="0.25">
      <c r="A529" t="s">
        <v>1546</v>
      </c>
      <c r="B529" t="s">
        <v>1547</v>
      </c>
      <c r="C529">
        <v>867</v>
      </c>
      <c r="D529" s="1">
        <v>44632</v>
      </c>
      <c r="E529">
        <v>369867.04</v>
      </c>
      <c r="F529">
        <v>369867.04</v>
      </c>
      <c r="G529">
        <v>296850.77</v>
      </c>
      <c r="H529">
        <v>296850.77</v>
      </c>
      <c r="I529">
        <v>55543.63</v>
      </c>
      <c r="J529">
        <v>55543.63</v>
      </c>
      <c r="K529">
        <v>17472.64</v>
      </c>
    </row>
    <row r="530" spans="1:12" x14ac:dyDescent="0.25">
      <c r="A530" t="s">
        <v>1548</v>
      </c>
      <c r="B530" t="s">
        <v>131</v>
      </c>
      <c r="C530">
        <v>867</v>
      </c>
      <c r="D530" s="1">
        <v>44632</v>
      </c>
      <c r="E530">
        <v>536324.46</v>
      </c>
      <c r="F530">
        <v>536324.46</v>
      </c>
      <c r="G530">
        <v>413095.75</v>
      </c>
      <c r="H530">
        <v>413095.75</v>
      </c>
      <c r="I530">
        <v>119390.32</v>
      </c>
      <c r="J530">
        <v>119390.32</v>
      </c>
      <c r="K530">
        <v>3838.39</v>
      </c>
    </row>
    <row r="531" spans="1:12" x14ac:dyDescent="0.25">
      <c r="A531" t="s">
        <v>1549</v>
      </c>
      <c r="B531" t="s">
        <v>1547</v>
      </c>
      <c r="C531">
        <v>863</v>
      </c>
      <c r="D531" s="1">
        <v>44636</v>
      </c>
      <c r="E531">
        <v>135442.16</v>
      </c>
      <c r="F531">
        <v>135442.16</v>
      </c>
      <c r="G531">
        <v>109325.25</v>
      </c>
      <c r="H531">
        <v>109325.25</v>
      </c>
      <c r="I531">
        <v>19918.169999999998</v>
      </c>
      <c r="J531">
        <v>19918.169999999998</v>
      </c>
      <c r="K531">
        <v>6198.74</v>
      </c>
    </row>
    <row r="532" spans="1:12" x14ac:dyDescent="0.25">
      <c r="A532" t="s">
        <v>1550</v>
      </c>
      <c r="B532" t="s">
        <v>1551</v>
      </c>
      <c r="C532">
        <v>862</v>
      </c>
      <c r="D532" s="1">
        <v>44637</v>
      </c>
      <c r="E532">
        <v>117663.15</v>
      </c>
      <c r="F532">
        <v>117663.15</v>
      </c>
      <c r="G532">
        <v>92548.6</v>
      </c>
      <c r="H532">
        <v>92548.6</v>
      </c>
      <c r="I532">
        <v>19917.02</v>
      </c>
      <c r="J532">
        <v>19917.02</v>
      </c>
      <c r="K532">
        <v>5197.53</v>
      </c>
    </row>
    <row r="533" spans="1:12" x14ac:dyDescent="0.25">
      <c r="A533" t="s">
        <v>475</v>
      </c>
      <c r="B533" t="s">
        <v>377</v>
      </c>
      <c r="C533">
        <v>861</v>
      </c>
      <c r="D533" s="1">
        <v>44638</v>
      </c>
      <c r="E533">
        <v>241029.79</v>
      </c>
      <c r="F533">
        <v>241029.79</v>
      </c>
      <c r="G533">
        <v>86951.96</v>
      </c>
      <c r="H533">
        <v>86951.96</v>
      </c>
      <c r="I533">
        <v>114347.78</v>
      </c>
      <c r="J533">
        <v>114347.78</v>
      </c>
      <c r="K533">
        <v>39730.050000000003</v>
      </c>
    </row>
    <row r="534" spans="1:12" x14ac:dyDescent="0.25">
      <c r="A534" t="s">
        <v>1552</v>
      </c>
      <c r="B534" t="s">
        <v>1553</v>
      </c>
      <c r="C534">
        <v>859</v>
      </c>
      <c r="D534" s="1">
        <v>44640</v>
      </c>
      <c r="E534">
        <v>318985.53000000003</v>
      </c>
      <c r="F534">
        <v>318985.53000000003</v>
      </c>
      <c r="G534">
        <v>153752.76</v>
      </c>
      <c r="H534">
        <v>153752.76</v>
      </c>
      <c r="I534">
        <v>133131.68</v>
      </c>
      <c r="J534">
        <v>133131.68</v>
      </c>
      <c r="K534">
        <v>32101.09</v>
      </c>
    </row>
    <row r="535" spans="1:12" x14ac:dyDescent="0.25">
      <c r="A535" t="s">
        <v>476</v>
      </c>
      <c r="B535" t="s">
        <v>377</v>
      </c>
      <c r="C535">
        <v>858</v>
      </c>
      <c r="D535" s="1">
        <v>44641</v>
      </c>
      <c r="E535">
        <v>170147.76</v>
      </c>
      <c r="F535">
        <v>170147.76</v>
      </c>
      <c r="G535">
        <v>61346.76</v>
      </c>
      <c r="H535">
        <v>61346.76</v>
      </c>
      <c r="I535">
        <v>80372.67</v>
      </c>
      <c r="J535">
        <v>80372.67</v>
      </c>
      <c r="K535">
        <v>28428.33</v>
      </c>
    </row>
    <row r="536" spans="1:12" x14ac:dyDescent="0.25">
      <c r="A536" t="s">
        <v>1554</v>
      </c>
      <c r="B536" t="s">
        <v>148</v>
      </c>
      <c r="C536">
        <v>858</v>
      </c>
      <c r="D536" s="1">
        <v>44641</v>
      </c>
      <c r="E536">
        <v>290545.06</v>
      </c>
      <c r="F536">
        <v>290545.06</v>
      </c>
      <c r="G536">
        <v>42862.02</v>
      </c>
      <c r="H536">
        <v>42862.02</v>
      </c>
      <c r="I536">
        <v>238801.5</v>
      </c>
      <c r="J536">
        <v>238801.5</v>
      </c>
      <c r="K536">
        <v>8881.5400000000009</v>
      </c>
    </row>
    <row r="537" spans="1:12" x14ac:dyDescent="0.25">
      <c r="A537" t="s">
        <v>1555</v>
      </c>
      <c r="B537" t="s">
        <v>1556</v>
      </c>
      <c r="C537">
        <v>856</v>
      </c>
      <c r="D537" s="1">
        <v>44643</v>
      </c>
      <c r="E537">
        <v>2838617.95</v>
      </c>
      <c r="F537">
        <v>2838617.95</v>
      </c>
      <c r="G537">
        <v>1382886.78</v>
      </c>
      <c r="H537">
        <v>1382886.78</v>
      </c>
      <c r="I537">
        <v>187542.18</v>
      </c>
      <c r="J537">
        <v>187542.18</v>
      </c>
      <c r="K537">
        <v>1268188.99</v>
      </c>
    </row>
    <row r="538" spans="1:12" x14ac:dyDescent="0.25">
      <c r="A538" t="s">
        <v>1557</v>
      </c>
      <c r="B538" t="s">
        <v>1543</v>
      </c>
      <c r="C538">
        <v>856</v>
      </c>
      <c r="D538" s="1">
        <v>44643</v>
      </c>
      <c r="E538">
        <v>106252.33</v>
      </c>
      <c r="F538">
        <v>106252.33</v>
      </c>
      <c r="G538">
        <v>86699.6</v>
      </c>
      <c r="H538">
        <v>86699.6</v>
      </c>
      <c r="I538">
        <v>14964.59</v>
      </c>
      <c r="J538">
        <v>14964.59</v>
      </c>
      <c r="K538">
        <v>4588.1400000000003</v>
      </c>
    </row>
    <row r="539" spans="1:12" x14ac:dyDescent="0.25">
      <c r="A539" t="s">
        <v>1558</v>
      </c>
      <c r="B539" t="s">
        <v>1559</v>
      </c>
      <c r="C539">
        <v>856</v>
      </c>
      <c r="D539" s="1">
        <v>44643</v>
      </c>
      <c r="E539">
        <v>118180.95</v>
      </c>
      <c r="F539">
        <v>118180.95</v>
      </c>
      <c r="G539">
        <v>105093.83</v>
      </c>
      <c r="H539">
        <v>105093.83</v>
      </c>
      <c r="I539">
        <v>7525.55</v>
      </c>
      <c r="J539">
        <v>7525.55</v>
      </c>
      <c r="K539">
        <v>5561.57</v>
      </c>
    </row>
    <row r="540" spans="1:12" x14ac:dyDescent="0.25">
      <c r="A540" t="s">
        <v>1560</v>
      </c>
      <c r="B540" t="s">
        <v>1561</v>
      </c>
      <c r="C540">
        <v>854</v>
      </c>
      <c r="D540" s="1">
        <v>44645</v>
      </c>
      <c r="E540">
        <v>15676.99</v>
      </c>
      <c r="F540">
        <v>15676.99</v>
      </c>
      <c r="I540">
        <v>9829.1299999999992</v>
      </c>
      <c r="J540">
        <v>9829.1299999999992</v>
      </c>
      <c r="K540">
        <v>5847.86</v>
      </c>
    </row>
    <row r="541" spans="1:12" x14ac:dyDescent="0.25">
      <c r="A541" t="s">
        <v>1562</v>
      </c>
      <c r="B541" t="s">
        <v>1563</v>
      </c>
      <c r="C541">
        <v>853</v>
      </c>
      <c r="D541" s="1">
        <v>44646</v>
      </c>
      <c r="E541">
        <v>1409982.28</v>
      </c>
      <c r="F541">
        <v>1409982.28</v>
      </c>
      <c r="G541">
        <v>868613.88</v>
      </c>
      <c r="H541">
        <v>868613.88</v>
      </c>
      <c r="I541">
        <v>152490.42000000001</v>
      </c>
      <c r="J541">
        <v>152490.42000000001</v>
      </c>
      <c r="K541">
        <v>388877.98</v>
      </c>
    </row>
    <row r="542" spans="1:12" x14ac:dyDescent="0.25">
      <c r="A542" t="s">
        <v>1564</v>
      </c>
      <c r="B542" t="s">
        <v>1565</v>
      </c>
      <c r="C542">
        <v>850</v>
      </c>
      <c r="D542" s="1">
        <v>44649</v>
      </c>
      <c r="E542">
        <v>985790.77</v>
      </c>
      <c r="F542">
        <v>985790.77</v>
      </c>
      <c r="G542">
        <v>729903.21</v>
      </c>
      <c r="H542">
        <v>729903.21</v>
      </c>
      <c r="I542">
        <v>54867.68</v>
      </c>
      <c r="J542">
        <v>54867.68</v>
      </c>
      <c r="K542">
        <v>201019.88</v>
      </c>
    </row>
    <row r="543" spans="1:12" x14ac:dyDescent="0.25">
      <c r="A543" t="s">
        <v>1566</v>
      </c>
      <c r="B543" t="s">
        <v>1567</v>
      </c>
      <c r="C543">
        <v>849</v>
      </c>
      <c r="D543" s="1">
        <v>44650</v>
      </c>
      <c r="E543">
        <v>297426.24</v>
      </c>
      <c r="F543">
        <v>297426.24</v>
      </c>
      <c r="G543">
        <v>186575.46</v>
      </c>
      <c r="H543">
        <v>186575.46</v>
      </c>
      <c r="I543">
        <v>15140.28</v>
      </c>
      <c r="J543">
        <v>15140.28</v>
      </c>
      <c r="K543">
        <v>83540.490000000005</v>
      </c>
      <c r="L543">
        <v>12170.01</v>
      </c>
    </row>
    <row r="544" spans="1:12" x14ac:dyDescent="0.25">
      <c r="A544" t="s">
        <v>1568</v>
      </c>
      <c r="B544" t="s">
        <v>1569</v>
      </c>
      <c r="C544">
        <v>846</v>
      </c>
      <c r="D544" s="1">
        <v>44653</v>
      </c>
      <c r="E544">
        <v>287707.90999999997</v>
      </c>
      <c r="F544">
        <v>287707.90999999997</v>
      </c>
      <c r="G544">
        <v>245619.82</v>
      </c>
      <c r="H544">
        <v>245619.82</v>
      </c>
      <c r="I544">
        <v>33083.839999999997</v>
      </c>
      <c r="J544">
        <v>33083.839999999997</v>
      </c>
      <c r="K544">
        <v>9004.25</v>
      </c>
    </row>
    <row r="545" spans="1:12" x14ac:dyDescent="0.25">
      <c r="A545" t="s">
        <v>1570</v>
      </c>
      <c r="B545" t="s">
        <v>1571</v>
      </c>
      <c r="C545">
        <v>846</v>
      </c>
      <c r="D545" s="1">
        <v>44653</v>
      </c>
      <c r="E545">
        <v>53312.89</v>
      </c>
      <c r="F545">
        <v>53312.89</v>
      </c>
      <c r="K545">
        <v>47998.19</v>
      </c>
      <c r="L545">
        <v>5314.7</v>
      </c>
    </row>
    <row r="546" spans="1:12" x14ac:dyDescent="0.25">
      <c r="A546" t="s">
        <v>1572</v>
      </c>
      <c r="B546" t="s">
        <v>1573</v>
      </c>
      <c r="C546">
        <v>845</v>
      </c>
      <c r="D546" s="1">
        <v>44654</v>
      </c>
      <c r="E546">
        <v>669486.55000000005</v>
      </c>
      <c r="F546">
        <v>669486.55000000005</v>
      </c>
      <c r="G546">
        <v>463654.9</v>
      </c>
      <c r="H546">
        <v>463654.9</v>
      </c>
      <c r="I546">
        <v>79392.960000000006</v>
      </c>
      <c r="J546">
        <v>79392.960000000006</v>
      </c>
      <c r="K546">
        <v>126438.69</v>
      </c>
    </row>
    <row r="547" spans="1:12" x14ac:dyDescent="0.25">
      <c r="A547" t="s">
        <v>1574</v>
      </c>
      <c r="B547" t="s">
        <v>1575</v>
      </c>
      <c r="C547">
        <v>845</v>
      </c>
      <c r="D547" s="1">
        <v>44654</v>
      </c>
      <c r="E547">
        <v>262606.06</v>
      </c>
      <c r="F547">
        <v>262606.06</v>
      </c>
      <c r="G547">
        <v>180657.57</v>
      </c>
      <c r="H547">
        <v>180657.57</v>
      </c>
      <c r="I547">
        <v>19181.98</v>
      </c>
      <c r="J547">
        <v>19181.98</v>
      </c>
      <c r="K547">
        <v>51475.44</v>
      </c>
      <c r="L547">
        <v>11291.07</v>
      </c>
    </row>
    <row r="548" spans="1:12" x14ac:dyDescent="0.25">
      <c r="A548" t="s">
        <v>1576</v>
      </c>
      <c r="B548" t="s">
        <v>1561</v>
      </c>
      <c r="C548">
        <v>844</v>
      </c>
      <c r="D548" s="1">
        <v>44655</v>
      </c>
      <c r="E548">
        <v>8454.2999999999993</v>
      </c>
      <c r="F548">
        <v>8454.2999999999993</v>
      </c>
      <c r="I548">
        <v>4218.54</v>
      </c>
      <c r="J548">
        <v>4218.54</v>
      </c>
      <c r="K548">
        <v>4235.76</v>
      </c>
    </row>
    <row r="549" spans="1:12" x14ac:dyDescent="0.25">
      <c r="A549" t="s">
        <v>1577</v>
      </c>
      <c r="B549" t="s">
        <v>1571</v>
      </c>
      <c r="C549">
        <v>843</v>
      </c>
      <c r="D549" s="1">
        <v>44656</v>
      </c>
      <c r="E549">
        <v>156180.94</v>
      </c>
      <c r="F549">
        <v>156180.94</v>
      </c>
      <c r="G549">
        <v>101424</v>
      </c>
      <c r="H549">
        <v>101424</v>
      </c>
      <c r="K549">
        <v>49756.94</v>
      </c>
      <c r="L549">
        <v>5000</v>
      </c>
    </row>
    <row r="550" spans="1:12" x14ac:dyDescent="0.25">
      <c r="A550" t="s">
        <v>1578</v>
      </c>
      <c r="B550" t="s">
        <v>1579</v>
      </c>
      <c r="C550">
        <v>842</v>
      </c>
      <c r="D550" s="1">
        <v>44657</v>
      </c>
      <c r="E550">
        <v>230786.31</v>
      </c>
      <c r="F550">
        <v>230786.31</v>
      </c>
      <c r="G550">
        <v>143102.51</v>
      </c>
      <c r="H550">
        <v>143102.51</v>
      </c>
      <c r="I550">
        <v>22617.95</v>
      </c>
      <c r="J550">
        <v>22617.95</v>
      </c>
      <c r="K550">
        <v>65065.85</v>
      </c>
    </row>
    <row r="551" spans="1:12" x14ac:dyDescent="0.25">
      <c r="A551" t="s">
        <v>1580</v>
      </c>
      <c r="B551" t="s">
        <v>355</v>
      </c>
      <c r="C551">
        <v>841</v>
      </c>
      <c r="D551" s="1">
        <v>44658</v>
      </c>
      <c r="E551">
        <v>62185.65</v>
      </c>
      <c r="F551">
        <v>62185.65</v>
      </c>
      <c r="G551">
        <v>28964.38</v>
      </c>
      <c r="H551">
        <v>28964.38</v>
      </c>
      <c r="K551">
        <v>33221.269999999997</v>
      </c>
    </row>
    <row r="552" spans="1:12" x14ac:dyDescent="0.25">
      <c r="A552" t="s">
        <v>1581</v>
      </c>
      <c r="B552" t="s">
        <v>1582</v>
      </c>
      <c r="C552">
        <v>840</v>
      </c>
      <c r="D552" s="1">
        <v>44659</v>
      </c>
      <c r="E552">
        <v>135576.74</v>
      </c>
      <c r="F552">
        <v>135576.74</v>
      </c>
      <c r="G552">
        <v>78719.33</v>
      </c>
      <c r="H552">
        <v>78719.33</v>
      </c>
      <c r="I552">
        <v>15636.04</v>
      </c>
      <c r="J552">
        <v>15636.04</v>
      </c>
      <c r="K552">
        <v>31535.200000000001</v>
      </c>
      <c r="L552">
        <v>9686.17</v>
      </c>
    </row>
    <row r="553" spans="1:12" x14ac:dyDescent="0.25">
      <c r="A553" t="s">
        <v>1583</v>
      </c>
      <c r="B553" t="s">
        <v>1579</v>
      </c>
      <c r="C553">
        <v>835</v>
      </c>
      <c r="D553" s="1">
        <v>44664</v>
      </c>
      <c r="E553">
        <v>75613.75</v>
      </c>
      <c r="F553">
        <v>75613.75</v>
      </c>
      <c r="K553">
        <v>75613.75</v>
      </c>
    </row>
    <row r="554" spans="1:12" x14ac:dyDescent="0.25">
      <c r="A554" t="s">
        <v>1584</v>
      </c>
      <c r="B554" t="s">
        <v>1585</v>
      </c>
      <c r="C554">
        <v>833</v>
      </c>
      <c r="D554" s="1">
        <v>44666</v>
      </c>
      <c r="E554">
        <v>323465.65999999997</v>
      </c>
      <c r="F554">
        <v>323465.65999999997</v>
      </c>
      <c r="G554">
        <v>204887.45</v>
      </c>
      <c r="H554">
        <v>204887.45</v>
      </c>
      <c r="K554">
        <v>118578.21</v>
      </c>
    </row>
    <row r="555" spans="1:12" x14ac:dyDescent="0.25">
      <c r="A555" t="s">
        <v>1586</v>
      </c>
      <c r="B555" t="s">
        <v>1571</v>
      </c>
      <c r="C555">
        <v>833</v>
      </c>
      <c r="D555" s="1">
        <v>44666</v>
      </c>
      <c r="E555">
        <v>353587.87</v>
      </c>
      <c r="F555">
        <v>353587.87</v>
      </c>
      <c r="G555">
        <v>226198.69</v>
      </c>
      <c r="H555">
        <v>226198.69</v>
      </c>
      <c r="I555">
        <v>62170.559999999998</v>
      </c>
      <c r="J555">
        <v>62170.559999999998</v>
      </c>
      <c r="K555">
        <v>60218.62</v>
      </c>
      <c r="L555">
        <v>5000</v>
      </c>
    </row>
    <row r="556" spans="1:12" x14ac:dyDescent="0.25">
      <c r="A556" t="s">
        <v>1587</v>
      </c>
      <c r="B556" t="s">
        <v>1588</v>
      </c>
      <c r="C556">
        <v>831</v>
      </c>
      <c r="D556" s="1">
        <v>44668</v>
      </c>
      <c r="E556">
        <v>706908.32</v>
      </c>
      <c r="F556">
        <v>706908.32</v>
      </c>
      <c r="G556">
        <v>429470.36</v>
      </c>
      <c r="H556">
        <v>429470.36</v>
      </c>
      <c r="I556">
        <v>84717.43</v>
      </c>
      <c r="J556">
        <v>84717.43</v>
      </c>
      <c r="K556">
        <v>192720.53</v>
      </c>
    </row>
    <row r="557" spans="1:12" x14ac:dyDescent="0.25">
      <c r="A557" t="s">
        <v>1589</v>
      </c>
      <c r="B557" t="s">
        <v>339</v>
      </c>
      <c r="C557">
        <v>831</v>
      </c>
      <c r="D557" s="1">
        <v>44668</v>
      </c>
      <c r="E557">
        <v>558383.43999999994</v>
      </c>
      <c r="F557">
        <v>558383.43999999994</v>
      </c>
      <c r="G557">
        <v>363376.74</v>
      </c>
      <c r="H557">
        <v>363376.74</v>
      </c>
      <c r="K557">
        <v>195006.7</v>
      </c>
    </row>
    <row r="558" spans="1:12" x14ac:dyDescent="0.25">
      <c r="A558" t="s">
        <v>1590</v>
      </c>
      <c r="B558" t="s">
        <v>1571</v>
      </c>
      <c r="C558">
        <v>830</v>
      </c>
      <c r="D558" s="1">
        <v>44669</v>
      </c>
      <c r="E558">
        <v>282767.19</v>
      </c>
      <c r="F558">
        <v>282767.19</v>
      </c>
      <c r="G558">
        <v>183838.7</v>
      </c>
      <c r="H558">
        <v>183838.7</v>
      </c>
      <c r="I558">
        <v>45284.77</v>
      </c>
      <c r="J558">
        <v>45284.77</v>
      </c>
      <c r="K558">
        <v>48643.72</v>
      </c>
      <c r="L558">
        <v>5000</v>
      </c>
    </row>
    <row r="559" spans="1:12" x14ac:dyDescent="0.25">
      <c r="A559" t="s">
        <v>1591</v>
      </c>
      <c r="B559" t="s">
        <v>1592</v>
      </c>
      <c r="C559">
        <v>829</v>
      </c>
      <c r="D559" s="1">
        <v>44670</v>
      </c>
      <c r="E559">
        <v>51458.83</v>
      </c>
      <c r="F559">
        <v>51458.83</v>
      </c>
      <c r="G559">
        <v>30048.27</v>
      </c>
      <c r="H559">
        <v>30048.27</v>
      </c>
      <c r="I559">
        <v>6133.13</v>
      </c>
      <c r="J559">
        <v>6133.13</v>
      </c>
      <c r="K559">
        <v>7934.55</v>
      </c>
      <c r="L559">
        <v>7342.88</v>
      </c>
    </row>
    <row r="560" spans="1:12" x14ac:dyDescent="0.25">
      <c r="A560" t="s">
        <v>1593</v>
      </c>
      <c r="B560" t="s">
        <v>1594</v>
      </c>
      <c r="C560">
        <v>827</v>
      </c>
      <c r="D560" s="1">
        <v>44672</v>
      </c>
      <c r="E560">
        <v>65704.97</v>
      </c>
      <c r="F560">
        <v>65704.97</v>
      </c>
      <c r="G560">
        <v>31692.12</v>
      </c>
      <c r="H560">
        <v>31692.12</v>
      </c>
      <c r="I560">
        <v>6889.97</v>
      </c>
      <c r="J560">
        <v>6889.97</v>
      </c>
      <c r="K560">
        <v>27122.880000000001</v>
      </c>
    </row>
    <row r="561" spans="1:12" x14ac:dyDescent="0.25">
      <c r="A561" t="s">
        <v>1595</v>
      </c>
      <c r="B561" t="s">
        <v>173</v>
      </c>
      <c r="C561">
        <v>824</v>
      </c>
      <c r="D561" s="1">
        <v>44675</v>
      </c>
      <c r="E561">
        <v>305611.34000000003</v>
      </c>
      <c r="F561">
        <v>305611.34000000003</v>
      </c>
      <c r="G561">
        <v>70912.97</v>
      </c>
      <c r="H561">
        <v>70912.97</v>
      </c>
      <c r="I561">
        <v>128890.64</v>
      </c>
      <c r="J561">
        <v>128890.64</v>
      </c>
      <c r="K561">
        <v>92763.03</v>
      </c>
      <c r="L561">
        <v>13044.7</v>
      </c>
    </row>
    <row r="562" spans="1:12" x14ac:dyDescent="0.25">
      <c r="A562" t="s">
        <v>1596</v>
      </c>
      <c r="B562" t="s">
        <v>1597</v>
      </c>
      <c r="C562">
        <v>823</v>
      </c>
      <c r="D562" s="1">
        <v>44676</v>
      </c>
      <c r="E562">
        <v>40696.42</v>
      </c>
      <c r="F562">
        <v>40696.42</v>
      </c>
      <c r="G562">
        <v>22869.38</v>
      </c>
      <c r="H562">
        <v>22869.38</v>
      </c>
      <c r="I562">
        <v>7663.43</v>
      </c>
      <c r="J562">
        <v>7663.43</v>
      </c>
      <c r="K562">
        <v>10163.61</v>
      </c>
    </row>
    <row r="563" spans="1:12" x14ac:dyDescent="0.25">
      <c r="A563" t="s">
        <v>1598</v>
      </c>
      <c r="B563" t="s">
        <v>1530</v>
      </c>
      <c r="C563">
        <v>822</v>
      </c>
      <c r="D563" s="1">
        <v>44677</v>
      </c>
      <c r="E563">
        <v>659758.81999999995</v>
      </c>
      <c r="F563">
        <v>659758.81999999995</v>
      </c>
      <c r="G563">
        <v>386298.82</v>
      </c>
      <c r="H563">
        <v>386298.82</v>
      </c>
      <c r="I563">
        <v>100894.46</v>
      </c>
      <c r="J563">
        <v>100894.46</v>
      </c>
      <c r="K563">
        <v>172565.54</v>
      </c>
    </row>
    <row r="564" spans="1:12" x14ac:dyDescent="0.25">
      <c r="A564" t="s">
        <v>1599</v>
      </c>
      <c r="B564" t="s">
        <v>1600</v>
      </c>
      <c r="C564">
        <v>821</v>
      </c>
      <c r="D564" s="1">
        <v>44678</v>
      </c>
      <c r="E564">
        <v>1281139.1399999999</v>
      </c>
      <c r="F564">
        <v>1281139.1399999999</v>
      </c>
      <c r="G564">
        <v>849727.94</v>
      </c>
      <c r="H564">
        <v>849727.94</v>
      </c>
      <c r="I564">
        <v>75998.45</v>
      </c>
      <c r="J564">
        <v>75998.45</v>
      </c>
      <c r="K564">
        <v>355412.75</v>
      </c>
    </row>
    <row r="565" spans="1:12" x14ac:dyDescent="0.25">
      <c r="A565" t="s">
        <v>1601</v>
      </c>
      <c r="B565" t="s">
        <v>1602</v>
      </c>
      <c r="C565">
        <v>819</v>
      </c>
      <c r="D565" s="1">
        <v>44680</v>
      </c>
      <c r="E565">
        <v>550270.18000000005</v>
      </c>
      <c r="F565">
        <v>550270.18000000005</v>
      </c>
      <c r="G565">
        <v>227921.22</v>
      </c>
      <c r="H565">
        <v>227921.22</v>
      </c>
      <c r="K565">
        <v>322348.96000000002</v>
      </c>
    </row>
    <row r="566" spans="1:12" x14ac:dyDescent="0.25">
      <c r="A566" t="s">
        <v>1603</v>
      </c>
      <c r="B566" t="s">
        <v>1604</v>
      </c>
      <c r="C566">
        <v>819</v>
      </c>
      <c r="D566" s="1">
        <v>44680</v>
      </c>
      <c r="E566">
        <v>866720.75</v>
      </c>
      <c r="F566">
        <v>866720.75</v>
      </c>
      <c r="G566">
        <v>520512.45</v>
      </c>
      <c r="H566">
        <v>520512.45</v>
      </c>
      <c r="K566">
        <v>346208.3</v>
      </c>
    </row>
    <row r="567" spans="1:12" x14ac:dyDescent="0.25">
      <c r="A567" t="s">
        <v>1605</v>
      </c>
      <c r="B567" t="s">
        <v>1606</v>
      </c>
      <c r="C567">
        <v>817</v>
      </c>
      <c r="D567" s="1">
        <v>44682</v>
      </c>
      <c r="E567">
        <v>474790.65</v>
      </c>
      <c r="F567">
        <v>474790.65</v>
      </c>
      <c r="G567">
        <v>317000.24</v>
      </c>
      <c r="H567">
        <v>317000.24</v>
      </c>
      <c r="I567">
        <v>17936.240000000002</v>
      </c>
      <c r="J567">
        <v>17936.240000000002</v>
      </c>
      <c r="K567">
        <v>139854.17000000001</v>
      </c>
    </row>
    <row r="568" spans="1:12" x14ac:dyDescent="0.25">
      <c r="A568" t="s">
        <v>477</v>
      </c>
      <c r="B568" t="s">
        <v>379</v>
      </c>
      <c r="C568">
        <v>811</v>
      </c>
      <c r="D568" s="1">
        <v>44688</v>
      </c>
      <c r="E568">
        <v>1278110.01</v>
      </c>
      <c r="F568">
        <v>1401128.21</v>
      </c>
      <c r="G568">
        <v>475359.11</v>
      </c>
      <c r="H568">
        <v>356785</v>
      </c>
      <c r="I568">
        <v>713146.24</v>
      </c>
      <c r="J568">
        <v>717590.33</v>
      </c>
      <c r="K568">
        <v>208178.77</v>
      </c>
    </row>
    <row r="569" spans="1:12" x14ac:dyDescent="0.25">
      <c r="A569" t="s">
        <v>1607</v>
      </c>
      <c r="B569" t="s">
        <v>1608</v>
      </c>
      <c r="C569">
        <v>807</v>
      </c>
      <c r="D569" s="1">
        <v>44692</v>
      </c>
      <c r="E569">
        <v>501324.77</v>
      </c>
      <c r="F569">
        <v>501324.77</v>
      </c>
      <c r="G569">
        <v>301632.03000000003</v>
      </c>
      <c r="H569">
        <v>301632.03000000003</v>
      </c>
      <c r="I569">
        <v>120702.39999999999</v>
      </c>
      <c r="J569">
        <v>120702.39999999999</v>
      </c>
      <c r="K569">
        <v>78990.34</v>
      </c>
    </row>
    <row r="570" spans="1:12" x14ac:dyDescent="0.25">
      <c r="A570" t="s">
        <v>1609</v>
      </c>
      <c r="B570" t="s">
        <v>1610</v>
      </c>
      <c r="C570">
        <v>807</v>
      </c>
      <c r="D570" s="1">
        <v>44692</v>
      </c>
      <c r="E570">
        <v>795727.8</v>
      </c>
      <c r="F570">
        <v>795727.8</v>
      </c>
      <c r="G570">
        <v>464844.35</v>
      </c>
      <c r="H570">
        <v>464844.35</v>
      </c>
      <c r="I570">
        <v>110090.02</v>
      </c>
      <c r="J570">
        <v>110090.02</v>
      </c>
      <c r="K570">
        <v>202318.86</v>
      </c>
      <c r="L570">
        <v>18474.57</v>
      </c>
    </row>
    <row r="571" spans="1:12" x14ac:dyDescent="0.25">
      <c r="A571" t="s">
        <v>1611</v>
      </c>
      <c r="B571" t="s">
        <v>1612</v>
      </c>
      <c r="C571">
        <v>804</v>
      </c>
      <c r="D571" s="1">
        <v>44695</v>
      </c>
      <c r="E571">
        <v>525567.43999999994</v>
      </c>
      <c r="F571">
        <v>525567.43999999994</v>
      </c>
      <c r="G571">
        <v>291242.32</v>
      </c>
      <c r="H571">
        <v>291242.32</v>
      </c>
      <c r="I571">
        <v>107879.35</v>
      </c>
      <c r="J571">
        <v>107879.35</v>
      </c>
      <c r="K571">
        <v>126445.77</v>
      </c>
    </row>
    <row r="572" spans="1:12" x14ac:dyDescent="0.25">
      <c r="A572" t="s">
        <v>1613</v>
      </c>
      <c r="B572" t="s">
        <v>1614</v>
      </c>
      <c r="C572">
        <v>803</v>
      </c>
      <c r="D572" s="1">
        <v>44696</v>
      </c>
      <c r="E572">
        <v>169591.67999999999</v>
      </c>
      <c r="F572">
        <v>169591.67999999999</v>
      </c>
      <c r="G572">
        <v>102269.77</v>
      </c>
      <c r="H572">
        <v>102269.77</v>
      </c>
      <c r="I572">
        <v>22975.7</v>
      </c>
      <c r="J572">
        <v>22975.7</v>
      </c>
      <c r="K572">
        <v>44346.21</v>
      </c>
    </row>
    <row r="573" spans="1:12" x14ac:dyDescent="0.25">
      <c r="A573" t="s">
        <v>382</v>
      </c>
      <c r="B573" t="s">
        <v>383</v>
      </c>
      <c r="C573">
        <v>802</v>
      </c>
      <c r="D573" s="1">
        <v>44697</v>
      </c>
      <c r="E573">
        <v>405078.12</v>
      </c>
      <c r="F573">
        <v>405078.12</v>
      </c>
      <c r="G573">
        <v>281706.62</v>
      </c>
      <c r="H573">
        <v>281706.62</v>
      </c>
      <c r="K573">
        <v>123371.5</v>
      </c>
    </row>
    <row r="574" spans="1:12" x14ac:dyDescent="0.25">
      <c r="A574" t="s">
        <v>1615</v>
      </c>
      <c r="B574" t="s">
        <v>1513</v>
      </c>
      <c r="C574">
        <v>800</v>
      </c>
      <c r="D574" s="1">
        <v>44699</v>
      </c>
      <c r="E574">
        <v>276865.57</v>
      </c>
      <c r="F574">
        <v>276865.57</v>
      </c>
      <c r="G574">
        <v>182060.65</v>
      </c>
      <c r="H574">
        <v>182060.65</v>
      </c>
      <c r="I574">
        <v>49581.05</v>
      </c>
      <c r="J574">
        <v>49581.05</v>
      </c>
      <c r="K574">
        <v>45223.87</v>
      </c>
    </row>
    <row r="575" spans="1:12" x14ac:dyDescent="0.25">
      <c r="A575" t="s">
        <v>1616</v>
      </c>
      <c r="B575" t="s">
        <v>1617</v>
      </c>
      <c r="C575">
        <v>793</v>
      </c>
      <c r="D575" s="1">
        <v>44706</v>
      </c>
      <c r="E575">
        <v>232727.95</v>
      </c>
      <c r="F575">
        <v>232727.95</v>
      </c>
      <c r="I575">
        <v>154486.75</v>
      </c>
      <c r="J575">
        <v>154486.75</v>
      </c>
      <c r="K575">
        <v>65275.46</v>
      </c>
      <c r="L575">
        <v>12965.74</v>
      </c>
    </row>
    <row r="576" spans="1:12" x14ac:dyDescent="0.25">
      <c r="A576" t="s">
        <v>1618</v>
      </c>
      <c r="B576" t="s">
        <v>1614</v>
      </c>
      <c r="C576">
        <v>793</v>
      </c>
      <c r="D576" s="1">
        <v>44706</v>
      </c>
      <c r="E576">
        <v>161748.26999999999</v>
      </c>
      <c r="F576">
        <v>161748.26999999999</v>
      </c>
      <c r="G576">
        <v>98676.39</v>
      </c>
      <c r="H576">
        <v>98676.39</v>
      </c>
      <c r="I576">
        <v>20816.68</v>
      </c>
      <c r="J576">
        <v>20816.68</v>
      </c>
      <c r="K576">
        <v>42255.199999999997</v>
      </c>
    </row>
    <row r="577" spans="1:12" x14ac:dyDescent="0.25">
      <c r="A577" t="s">
        <v>1619</v>
      </c>
      <c r="B577" t="s">
        <v>174</v>
      </c>
      <c r="C577">
        <v>793</v>
      </c>
      <c r="D577" s="1">
        <v>44706</v>
      </c>
      <c r="E577">
        <v>598824.53</v>
      </c>
      <c r="F577">
        <v>598824.53</v>
      </c>
      <c r="G577">
        <v>328244.65000000002</v>
      </c>
      <c r="H577">
        <v>328244.65000000002</v>
      </c>
      <c r="I577">
        <v>237338.23</v>
      </c>
      <c r="J577">
        <v>237338.23</v>
      </c>
      <c r="K577">
        <v>18205.41</v>
      </c>
      <c r="L577">
        <v>15036.24</v>
      </c>
    </row>
    <row r="578" spans="1:12" x14ac:dyDescent="0.25">
      <c r="A578" t="s">
        <v>1620</v>
      </c>
      <c r="B578" t="s">
        <v>1612</v>
      </c>
      <c r="C578">
        <v>792</v>
      </c>
      <c r="D578" s="1">
        <v>44707</v>
      </c>
      <c r="E578">
        <v>272987.63</v>
      </c>
      <c r="F578">
        <v>272987.63</v>
      </c>
      <c r="G578">
        <v>153701.38</v>
      </c>
      <c r="H578">
        <v>153701.38</v>
      </c>
      <c r="I578">
        <v>53551.24</v>
      </c>
      <c r="J578">
        <v>53551.24</v>
      </c>
      <c r="K578">
        <v>65735.009999999995</v>
      </c>
    </row>
    <row r="579" spans="1:12" x14ac:dyDescent="0.25">
      <c r="A579" t="s">
        <v>1621</v>
      </c>
      <c r="B579" t="s">
        <v>1622</v>
      </c>
      <c r="C579">
        <v>792</v>
      </c>
      <c r="D579" s="1">
        <v>44707</v>
      </c>
      <c r="E579">
        <v>622395.14</v>
      </c>
      <c r="F579">
        <v>622395.14</v>
      </c>
      <c r="G579">
        <v>227762.38</v>
      </c>
      <c r="H579">
        <v>227762.38</v>
      </c>
      <c r="I579">
        <v>282113.34999999998</v>
      </c>
      <c r="J579">
        <v>282113.34999999998</v>
      </c>
      <c r="K579">
        <v>97409.41</v>
      </c>
      <c r="L579">
        <v>15110</v>
      </c>
    </row>
    <row r="580" spans="1:12" x14ac:dyDescent="0.25">
      <c r="A580" t="s">
        <v>1623</v>
      </c>
      <c r="B580" t="s">
        <v>1614</v>
      </c>
      <c r="C580">
        <v>791</v>
      </c>
      <c r="D580" s="1">
        <v>44708</v>
      </c>
      <c r="E580">
        <v>157876.91</v>
      </c>
      <c r="F580">
        <v>157876.91</v>
      </c>
      <c r="G580">
        <v>96539.59</v>
      </c>
      <c r="H580">
        <v>96539.59</v>
      </c>
      <c r="I580">
        <v>20101.400000000001</v>
      </c>
      <c r="J580">
        <v>20101.400000000001</v>
      </c>
      <c r="K580">
        <v>41235.919999999998</v>
      </c>
    </row>
    <row r="581" spans="1:12" x14ac:dyDescent="0.25">
      <c r="A581" t="s">
        <v>1624</v>
      </c>
      <c r="B581" t="s">
        <v>1614</v>
      </c>
      <c r="C581">
        <v>790</v>
      </c>
      <c r="D581" s="1">
        <v>44709</v>
      </c>
      <c r="E581">
        <v>164178.68</v>
      </c>
      <c r="F581">
        <v>164178.68</v>
      </c>
      <c r="G581">
        <v>100510.42</v>
      </c>
      <c r="H581">
        <v>100510.42</v>
      </c>
      <c r="I581">
        <v>20790.52</v>
      </c>
      <c r="J581">
        <v>20790.52</v>
      </c>
      <c r="K581">
        <v>42877.74</v>
      </c>
    </row>
    <row r="582" spans="1:12" x14ac:dyDescent="0.25">
      <c r="A582" t="s">
        <v>1625</v>
      </c>
      <c r="B582" t="s">
        <v>1626</v>
      </c>
      <c r="C582">
        <v>788</v>
      </c>
      <c r="D582" s="1">
        <v>44711</v>
      </c>
      <c r="E582">
        <v>1096197.1000000001</v>
      </c>
      <c r="F582">
        <v>1096197.1000000001</v>
      </c>
      <c r="G582">
        <v>750359.09</v>
      </c>
      <c r="H582">
        <v>750359.09</v>
      </c>
      <c r="I582">
        <v>266825.2</v>
      </c>
      <c r="J582">
        <v>266825.2</v>
      </c>
      <c r="K582">
        <v>79012.81</v>
      </c>
    </row>
    <row r="583" spans="1:12" x14ac:dyDescent="0.25">
      <c r="A583" t="s">
        <v>1627</v>
      </c>
      <c r="B583" t="s">
        <v>305</v>
      </c>
      <c r="C583">
        <v>786</v>
      </c>
      <c r="D583" s="1">
        <v>44713</v>
      </c>
      <c r="E583">
        <v>77593.789999999994</v>
      </c>
      <c r="F583">
        <v>77593.789999999994</v>
      </c>
      <c r="G583">
        <v>25248.14</v>
      </c>
      <c r="H583">
        <v>25248.14</v>
      </c>
      <c r="K583">
        <v>37558.49</v>
      </c>
      <c r="L583">
        <v>14787.16</v>
      </c>
    </row>
    <row r="584" spans="1:12" x14ac:dyDescent="0.25">
      <c r="A584" t="s">
        <v>1628</v>
      </c>
      <c r="B584" t="s">
        <v>1629</v>
      </c>
      <c r="C584">
        <v>784</v>
      </c>
      <c r="D584" s="1">
        <v>44715</v>
      </c>
      <c r="E584">
        <v>115879.9</v>
      </c>
      <c r="F584">
        <v>115879.9</v>
      </c>
      <c r="G584">
        <v>77027.12</v>
      </c>
      <c r="H584">
        <v>77027.12</v>
      </c>
      <c r="I584">
        <v>6241.28</v>
      </c>
      <c r="J584">
        <v>6241.28</v>
      </c>
      <c r="K584">
        <v>32611.5</v>
      </c>
    </row>
    <row r="585" spans="1:12" x14ac:dyDescent="0.25">
      <c r="A585" t="s">
        <v>1630</v>
      </c>
      <c r="B585" t="s">
        <v>1614</v>
      </c>
      <c r="C585">
        <v>782</v>
      </c>
      <c r="D585" s="1">
        <v>44717</v>
      </c>
      <c r="E585">
        <v>165662.06</v>
      </c>
      <c r="F585">
        <v>165662.06</v>
      </c>
      <c r="G585">
        <v>102289.56</v>
      </c>
      <c r="H585">
        <v>102289.56</v>
      </c>
      <c r="I585">
        <v>20177.669999999998</v>
      </c>
      <c r="J585">
        <v>20177.669999999998</v>
      </c>
      <c r="K585">
        <v>43194.83</v>
      </c>
    </row>
    <row r="586" spans="1:12" x14ac:dyDescent="0.25">
      <c r="A586" t="s">
        <v>1631</v>
      </c>
      <c r="B586" t="s">
        <v>1632</v>
      </c>
      <c r="C586">
        <v>779</v>
      </c>
      <c r="D586" s="1">
        <v>44720</v>
      </c>
      <c r="E586">
        <v>158499.9</v>
      </c>
      <c r="F586">
        <v>158499.9</v>
      </c>
      <c r="G586">
        <v>95538.49</v>
      </c>
      <c r="H586">
        <v>95538.49</v>
      </c>
      <c r="I586">
        <v>22772.19</v>
      </c>
      <c r="J586">
        <v>22772.19</v>
      </c>
      <c r="K586">
        <v>40189.22</v>
      </c>
    </row>
    <row r="587" spans="1:12" x14ac:dyDescent="0.25">
      <c r="A587" t="s">
        <v>1633</v>
      </c>
      <c r="B587" t="s">
        <v>1632</v>
      </c>
      <c r="C587">
        <v>776</v>
      </c>
      <c r="D587" s="1">
        <v>44723</v>
      </c>
      <c r="E587">
        <v>156375.43</v>
      </c>
      <c r="F587">
        <v>156375.43</v>
      </c>
      <c r="G587">
        <v>93530.64</v>
      </c>
      <c r="H587">
        <v>93530.64</v>
      </c>
      <c r="I587">
        <v>23651.71</v>
      </c>
      <c r="J587">
        <v>23651.71</v>
      </c>
      <c r="K587">
        <v>39193.08</v>
      </c>
    </row>
    <row r="588" spans="1:12" x14ac:dyDescent="0.25">
      <c r="A588" t="s">
        <v>1634</v>
      </c>
      <c r="B588" t="s">
        <v>1635</v>
      </c>
      <c r="C588">
        <v>775</v>
      </c>
      <c r="D588" s="1">
        <v>44724</v>
      </c>
      <c r="E588">
        <v>246993.59</v>
      </c>
      <c r="F588">
        <v>246993.59</v>
      </c>
      <c r="G588">
        <v>136126.84</v>
      </c>
      <c r="H588">
        <v>136126.84</v>
      </c>
      <c r="I588">
        <v>42068.800000000003</v>
      </c>
      <c r="J588">
        <v>42068.800000000003</v>
      </c>
      <c r="K588">
        <v>56969.08</v>
      </c>
      <c r="L588">
        <v>11828.87</v>
      </c>
    </row>
    <row r="589" spans="1:12" x14ac:dyDescent="0.25">
      <c r="A589" t="s">
        <v>1636</v>
      </c>
      <c r="B589" t="s">
        <v>1614</v>
      </c>
      <c r="C589">
        <v>775</v>
      </c>
      <c r="D589" s="1">
        <v>44724</v>
      </c>
      <c r="E589">
        <v>370565.01</v>
      </c>
      <c r="F589">
        <v>370565.01</v>
      </c>
      <c r="G589">
        <v>230713.27</v>
      </c>
      <c r="H589">
        <v>230713.27</v>
      </c>
      <c r="I589">
        <v>43298.23</v>
      </c>
      <c r="J589">
        <v>43298.23</v>
      </c>
      <c r="K589">
        <v>96553.51</v>
      </c>
    </row>
    <row r="590" spans="1:12" x14ac:dyDescent="0.25">
      <c r="A590" t="s">
        <v>1637</v>
      </c>
      <c r="B590" t="s">
        <v>1614</v>
      </c>
      <c r="C590">
        <v>775</v>
      </c>
      <c r="D590" s="1">
        <v>44724</v>
      </c>
      <c r="E590">
        <v>151554.54999999999</v>
      </c>
      <c r="F590">
        <v>151554.54999999999</v>
      </c>
      <c r="G590">
        <v>94357.66</v>
      </c>
      <c r="H590">
        <v>94357.66</v>
      </c>
      <c r="I590">
        <v>17708.2</v>
      </c>
      <c r="J590">
        <v>17708.2</v>
      </c>
      <c r="K590">
        <v>39488.69</v>
      </c>
    </row>
    <row r="591" spans="1:12" x14ac:dyDescent="0.25">
      <c r="A591" t="s">
        <v>384</v>
      </c>
      <c r="B591" t="s">
        <v>303</v>
      </c>
      <c r="C591">
        <v>775</v>
      </c>
      <c r="D591" s="1">
        <v>44724</v>
      </c>
      <c r="E591">
        <v>829034.78</v>
      </c>
      <c r="F591">
        <v>829034.78</v>
      </c>
      <c r="G591">
        <v>443666.24</v>
      </c>
      <c r="H591">
        <v>443666.24</v>
      </c>
      <c r="I591">
        <v>180956.57</v>
      </c>
      <c r="J591">
        <v>180956.57</v>
      </c>
      <c r="K591">
        <v>204411.97</v>
      </c>
    </row>
    <row r="592" spans="1:12" x14ac:dyDescent="0.25">
      <c r="A592" t="s">
        <v>1638</v>
      </c>
      <c r="B592" t="s">
        <v>1612</v>
      </c>
      <c r="C592">
        <v>774</v>
      </c>
      <c r="D592" s="1">
        <v>44725</v>
      </c>
      <c r="E592">
        <v>254332.13</v>
      </c>
      <c r="F592">
        <v>254332.13</v>
      </c>
      <c r="G592">
        <v>147455.22</v>
      </c>
      <c r="H592">
        <v>147455.22</v>
      </c>
      <c r="I592">
        <v>45246.53</v>
      </c>
      <c r="J592">
        <v>45246.53</v>
      </c>
      <c r="K592">
        <v>61630.38</v>
      </c>
    </row>
    <row r="593" spans="1:12" x14ac:dyDescent="0.25">
      <c r="A593" t="s">
        <v>1639</v>
      </c>
      <c r="B593" t="s">
        <v>1629</v>
      </c>
      <c r="C593">
        <v>774</v>
      </c>
      <c r="D593" s="1">
        <v>44725</v>
      </c>
      <c r="E593">
        <v>154512.35999999999</v>
      </c>
      <c r="F593">
        <v>154512.35999999999</v>
      </c>
      <c r="G593">
        <v>88583.72</v>
      </c>
      <c r="H593">
        <v>88583.72</v>
      </c>
      <c r="I593">
        <v>16988.66</v>
      </c>
      <c r="J593">
        <v>16988.66</v>
      </c>
      <c r="K593">
        <v>37024.449999999997</v>
      </c>
      <c r="L593">
        <v>11915.53</v>
      </c>
    </row>
    <row r="594" spans="1:12" x14ac:dyDescent="0.25">
      <c r="A594" t="s">
        <v>1640</v>
      </c>
      <c r="B594" t="s">
        <v>1632</v>
      </c>
      <c r="C594">
        <v>765</v>
      </c>
      <c r="D594" s="1">
        <v>44734</v>
      </c>
      <c r="E594">
        <v>154205.32999999999</v>
      </c>
      <c r="F594">
        <v>154205.32999999999</v>
      </c>
      <c r="G594">
        <v>94694.98</v>
      </c>
      <c r="H594">
        <v>94694.98</v>
      </c>
      <c r="I594">
        <v>20391.849999999999</v>
      </c>
      <c r="J594">
        <v>20391.849999999999</v>
      </c>
      <c r="K594">
        <v>39118.5</v>
      </c>
    </row>
    <row r="595" spans="1:12" x14ac:dyDescent="0.25">
      <c r="A595" t="s">
        <v>1641</v>
      </c>
      <c r="B595" t="s">
        <v>1642</v>
      </c>
      <c r="C595">
        <v>757</v>
      </c>
      <c r="D595" s="1">
        <v>44742</v>
      </c>
      <c r="E595">
        <v>805099.76</v>
      </c>
      <c r="F595">
        <v>805099.76</v>
      </c>
      <c r="G595">
        <v>478102.78</v>
      </c>
      <c r="H595">
        <v>478102.78</v>
      </c>
      <c r="I595">
        <v>131558.12</v>
      </c>
      <c r="J595">
        <v>131558.12</v>
      </c>
      <c r="K595">
        <v>195438.86</v>
      </c>
    </row>
    <row r="596" spans="1:12" x14ac:dyDescent="0.25">
      <c r="A596" t="s">
        <v>1643</v>
      </c>
      <c r="B596" t="s">
        <v>105</v>
      </c>
      <c r="C596">
        <v>756</v>
      </c>
      <c r="D596" s="1">
        <v>44743</v>
      </c>
      <c r="E596">
        <v>570998.38</v>
      </c>
      <c r="F596">
        <v>570998.38</v>
      </c>
      <c r="G596">
        <v>341433.95</v>
      </c>
      <c r="H596">
        <v>341433.95</v>
      </c>
      <c r="I596">
        <v>69605.179999999993</v>
      </c>
      <c r="J596">
        <v>69605.179999999993</v>
      </c>
      <c r="K596">
        <v>139386.99</v>
      </c>
      <c r="L596">
        <v>20572.259999999998</v>
      </c>
    </row>
    <row r="597" spans="1:12" x14ac:dyDescent="0.25">
      <c r="A597" t="s">
        <v>604</v>
      </c>
      <c r="B597" t="s">
        <v>192</v>
      </c>
      <c r="C597">
        <v>755</v>
      </c>
      <c r="D597" s="1">
        <v>44744</v>
      </c>
      <c r="E597">
        <v>121346.89</v>
      </c>
      <c r="F597">
        <v>132065.60000000001</v>
      </c>
      <c r="G597">
        <v>68963.759999999995</v>
      </c>
      <c r="H597">
        <v>58245.05</v>
      </c>
      <c r="I597">
        <v>40274.839999999997</v>
      </c>
      <c r="J597">
        <v>40274.839999999997</v>
      </c>
      <c r="K597">
        <v>13247.83</v>
      </c>
      <c r="L597">
        <v>9579.17</v>
      </c>
    </row>
    <row r="598" spans="1:12" x14ac:dyDescent="0.25">
      <c r="A598" t="s">
        <v>1644</v>
      </c>
      <c r="B598" t="s">
        <v>321</v>
      </c>
      <c r="C598">
        <v>755</v>
      </c>
      <c r="D598" s="1">
        <v>44744</v>
      </c>
      <c r="E598">
        <v>1050697.98</v>
      </c>
      <c r="F598">
        <v>1050697.98</v>
      </c>
      <c r="G598">
        <v>695054.08</v>
      </c>
      <c r="H598">
        <v>695054.08</v>
      </c>
      <c r="I598">
        <v>60070.19</v>
      </c>
      <c r="J598">
        <v>60070.19</v>
      </c>
      <c r="K598">
        <v>275464.15999999997</v>
      </c>
      <c r="L598">
        <v>20109.55</v>
      </c>
    </row>
    <row r="599" spans="1:12" x14ac:dyDescent="0.25">
      <c r="A599" t="s">
        <v>387</v>
      </c>
      <c r="B599" t="s">
        <v>388</v>
      </c>
      <c r="C599">
        <v>754</v>
      </c>
      <c r="D599" s="1">
        <v>44745</v>
      </c>
      <c r="E599">
        <v>944817.61</v>
      </c>
      <c r="F599">
        <v>944817.61</v>
      </c>
      <c r="G599">
        <v>234354.87</v>
      </c>
      <c r="H599">
        <v>234354.87</v>
      </c>
      <c r="I599">
        <v>372250.38</v>
      </c>
      <c r="J599">
        <v>372250.38</v>
      </c>
      <c r="K599">
        <v>315974.02</v>
      </c>
      <c r="L599">
        <v>22238.34</v>
      </c>
    </row>
    <row r="600" spans="1:12" x14ac:dyDescent="0.25">
      <c r="A600" t="s">
        <v>1645</v>
      </c>
      <c r="B600" t="s">
        <v>1632</v>
      </c>
      <c r="C600">
        <v>750</v>
      </c>
      <c r="D600" s="1">
        <v>44749</v>
      </c>
      <c r="E600">
        <v>129398.63</v>
      </c>
      <c r="F600">
        <v>129398.63</v>
      </c>
      <c r="G600">
        <v>92760.7</v>
      </c>
      <c r="H600">
        <v>92760.7</v>
      </c>
      <c r="K600">
        <v>34637.93</v>
      </c>
      <c r="L600">
        <v>2000</v>
      </c>
    </row>
    <row r="601" spans="1:12" x14ac:dyDescent="0.25">
      <c r="A601" t="s">
        <v>1646</v>
      </c>
      <c r="B601" t="s">
        <v>280</v>
      </c>
      <c r="C601">
        <v>748</v>
      </c>
      <c r="D601" s="1">
        <v>44751</v>
      </c>
      <c r="E601">
        <v>1347902.58</v>
      </c>
      <c r="F601">
        <v>1347902.58</v>
      </c>
      <c r="G601">
        <v>700000</v>
      </c>
      <c r="H601">
        <v>700000</v>
      </c>
      <c r="I601">
        <v>343535.99</v>
      </c>
      <c r="J601">
        <v>343535.99</v>
      </c>
      <c r="K601">
        <v>282744</v>
      </c>
      <c r="L601">
        <v>21622.59</v>
      </c>
    </row>
    <row r="602" spans="1:12" x14ac:dyDescent="0.25">
      <c r="A602" t="s">
        <v>1647</v>
      </c>
      <c r="B602" t="s">
        <v>1606</v>
      </c>
      <c r="C602">
        <v>746</v>
      </c>
      <c r="D602" s="1">
        <v>44753</v>
      </c>
      <c r="E602">
        <v>165428.14000000001</v>
      </c>
      <c r="F602">
        <v>165428.14000000001</v>
      </c>
      <c r="G602">
        <v>106391.85</v>
      </c>
      <c r="H602">
        <v>106391.85</v>
      </c>
      <c r="I602">
        <v>16177.4</v>
      </c>
      <c r="J602">
        <v>16177.4</v>
      </c>
      <c r="K602">
        <v>42858.89</v>
      </c>
    </row>
    <row r="603" spans="1:12" x14ac:dyDescent="0.25">
      <c r="A603" t="s">
        <v>389</v>
      </c>
      <c r="B603" t="s">
        <v>390</v>
      </c>
      <c r="C603">
        <v>742</v>
      </c>
      <c r="D603" s="1">
        <v>44757</v>
      </c>
      <c r="E603">
        <v>259952.2</v>
      </c>
      <c r="F603">
        <v>259952.2</v>
      </c>
      <c r="G603">
        <v>147031.49</v>
      </c>
      <c r="H603">
        <v>147031.49</v>
      </c>
      <c r="I603">
        <v>42251.49</v>
      </c>
      <c r="J603">
        <v>42251.49</v>
      </c>
      <c r="K603">
        <v>58824.99</v>
      </c>
      <c r="L603">
        <v>11844.23</v>
      </c>
    </row>
    <row r="604" spans="1:12" x14ac:dyDescent="0.25">
      <c r="A604" t="s">
        <v>391</v>
      </c>
      <c r="B604" t="s">
        <v>336</v>
      </c>
      <c r="C604">
        <v>729</v>
      </c>
      <c r="D604" s="1">
        <v>44770</v>
      </c>
      <c r="E604">
        <v>312424.83</v>
      </c>
      <c r="F604">
        <v>387933.34</v>
      </c>
      <c r="G604">
        <v>137796.93</v>
      </c>
      <c r="H604">
        <v>104872.69</v>
      </c>
      <c r="I604">
        <v>172535.74</v>
      </c>
      <c r="J604">
        <v>215120.01</v>
      </c>
      <c r="K604">
        <v>35016.400000000001</v>
      </c>
    </row>
    <row r="605" spans="1:12" x14ac:dyDescent="0.25">
      <c r="A605" t="s">
        <v>392</v>
      </c>
      <c r="B605" t="s">
        <v>393</v>
      </c>
      <c r="C605">
        <v>728</v>
      </c>
      <c r="D605" s="1">
        <v>44771</v>
      </c>
      <c r="E605">
        <v>832650.35</v>
      </c>
      <c r="F605">
        <v>832650.35</v>
      </c>
      <c r="G605">
        <v>494147.5</v>
      </c>
      <c r="H605">
        <v>494147.5</v>
      </c>
      <c r="I605">
        <v>122323.12</v>
      </c>
      <c r="J605">
        <v>122323.12</v>
      </c>
      <c r="K605">
        <v>194259.27</v>
      </c>
      <c r="L605">
        <v>21920.46</v>
      </c>
    </row>
    <row r="606" spans="1:12" x14ac:dyDescent="0.25">
      <c r="A606" t="s">
        <v>1648</v>
      </c>
      <c r="B606" t="s">
        <v>349</v>
      </c>
      <c r="C606">
        <v>725</v>
      </c>
      <c r="D606" s="1">
        <v>44774</v>
      </c>
      <c r="E606">
        <v>1226565.21</v>
      </c>
      <c r="F606">
        <v>1226565.21</v>
      </c>
      <c r="G606">
        <v>750876.09</v>
      </c>
      <c r="H606">
        <v>750876.09</v>
      </c>
      <c r="I606">
        <v>149259.60999999999</v>
      </c>
      <c r="J606">
        <v>149259.60999999999</v>
      </c>
      <c r="K606">
        <v>326429.51</v>
      </c>
    </row>
    <row r="607" spans="1:12" x14ac:dyDescent="0.25">
      <c r="A607" t="s">
        <v>1649</v>
      </c>
      <c r="B607" t="s">
        <v>1650</v>
      </c>
      <c r="C607">
        <v>724</v>
      </c>
      <c r="D607" s="1">
        <v>44775</v>
      </c>
      <c r="E607">
        <v>135890.53</v>
      </c>
      <c r="F607">
        <v>135890.53</v>
      </c>
      <c r="G607">
        <v>107594.14</v>
      </c>
      <c r="H607">
        <v>107594.14</v>
      </c>
      <c r="I607">
        <v>16920.29</v>
      </c>
      <c r="J607">
        <v>16920.29</v>
      </c>
      <c r="K607">
        <v>11376.1</v>
      </c>
    </row>
    <row r="608" spans="1:12" x14ac:dyDescent="0.25">
      <c r="A608" t="s">
        <v>1651</v>
      </c>
      <c r="B608" t="s">
        <v>1652</v>
      </c>
      <c r="C608">
        <v>721</v>
      </c>
      <c r="D608" s="1">
        <v>44778</v>
      </c>
      <c r="E608">
        <v>546466.88</v>
      </c>
      <c r="F608">
        <v>546466.88</v>
      </c>
      <c r="G608">
        <v>62617.29</v>
      </c>
      <c r="H608">
        <v>62617.29</v>
      </c>
      <c r="I608">
        <v>3701.38</v>
      </c>
      <c r="J608">
        <v>3701.38</v>
      </c>
      <c r="K608">
        <v>462975.47</v>
      </c>
      <c r="L608">
        <v>17172.740000000002</v>
      </c>
    </row>
    <row r="609" spans="1:12" x14ac:dyDescent="0.25">
      <c r="A609" t="s">
        <v>1653</v>
      </c>
      <c r="B609" t="s">
        <v>1650</v>
      </c>
      <c r="C609">
        <v>720</v>
      </c>
      <c r="D609" s="1">
        <v>44779</v>
      </c>
      <c r="E609">
        <v>120632.76</v>
      </c>
      <c r="F609">
        <v>120632.76</v>
      </c>
      <c r="G609">
        <v>96312.13</v>
      </c>
      <c r="H609">
        <v>96312.13</v>
      </c>
      <c r="I609">
        <v>14407.23</v>
      </c>
      <c r="J609">
        <v>14407.23</v>
      </c>
      <c r="K609">
        <v>9913.4</v>
      </c>
    </row>
    <row r="610" spans="1:12" x14ac:dyDescent="0.25">
      <c r="A610" t="s">
        <v>1654</v>
      </c>
      <c r="B610" t="s">
        <v>175</v>
      </c>
      <c r="C610">
        <v>718</v>
      </c>
      <c r="D610" s="1">
        <v>44781</v>
      </c>
      <c r="E610">
        <v>2266838.06</v>
      </c>
      <c r="F610">
        <v>2266838.06</v>
      </c>
      <c r="G610">
        <v>254579.72</v>
      </c>
      <c r="H610">
        <v>254579.72</v>
      </c>
      <c r="I610">
        <v>38082.36</v>
      </c>
      <c r="J610">
        <v>38082.36</v>
      </c>
      <c r="K610">
        <v>1974175.98</v>
      </c>
    </row>
    <row r="611" spans="1:12" x14ac:dyDescent="0.25">
      <c r="A611" t="s">
        <v>394</v>
      </c>
      <c r="B611" t="s">
        <v>395</v>
      </c>
      <c r="C611">
        <v>718</v>
      </c>
      <c r="D611" s="1">
        <v>44781</v>
      </c>
      <c r="E611">
        <v>178703.15</v>
      </c>
      <c r="F611">
        <v>178703.15</v>
      </c>
      <c r="G611">
        <v>118573.92</v>
      </c>
      <c r="H611">
        <v>118573.92</v>
      </c>
      <c r="I611">
        <v>3512.36</v>
      </c>
      <c r="J611">
        <v>3512.36</v>
      </c>
      <c r="K611">
        <v>46151.54</v>
      </c>
      <c r="L611">
        <v>10465.33</v>
      </c>
    </row>
    <row r="612" spans="1:12" x14ac:dyDescent="0.25">
      <c r="A612" t="s">
        <v>396</v>
      </c>
      <c r="B612" t="s">
        <v>393</v>
      </c>
      <c r="C612">
        <v>717</v>
      </c>
      <c r="D612" s="1">
        <v>44782</v>
      </c>
      <c r="E612">
        <v>760498.75</v>
      </c>
      <c r="F612">
        <v>760498.75</v>
      </c>
      <c r="G612">
        <v>422614.63</v>
      </c>
      <c r="H612">
        <v>422614.63</v>
      </c>
      <c r="I612">
        <v>174256.19</v>
      </c>
      <c r="J612">
        <v>174256.19</v>
      </c>
      <c r="K612">
        <v>163627.93</v>
      </c>
    </row>
    <row r="613" spans="1:12" x14ac:dyDescent="0.25">
      <c r="A613" t="s">
        <v>397</v>
      </c>
      <c r="B613" t="s">
        <v>398</v>
      </c>
      <c r="C613">
        <v>716</v>
      </c>
      <c r="D613" s="1">
        <v>44783</v>
      </c>
      <c r="E613">
        <v>567690.42000000004</v>
      </c>
      <c r="F613">
        <v>567690.42000000004</v>
      </c>
      <c r="G613">
        <v>344945.56</v>
      </c>
      <c r="H613">
        <v>344945.56</v>
      </c>
      <c r="I613">
        <v>89375.1</v>
      </c>
      <c r="J613">
        <v>89375.1</v>
      </c>
      <c r="K613">
        <v>133369.76</v>
      </c>
    </row>
    <row r="614" spans="1:12" x14ac:dyDescent="0.25">
      <c r="A614" t="s">
        <v>1655</v>
      </c>
      <c r="B614" t="s">
        <v>1656</v>
      </c>
      <c r="C614">
        <v>716</v>
      </c>
      <c r="D614" s="1">
        <v>44783</v>
      </c>
      <c r="E614">
        <v>342800.77</v>
      </c>
      <c r="F614">
        <v>342800.77</v>
      </c>
      <c r="G614">
        <v>200335.03</v>
      </c>
      <c r="H614">
        <v>200335.03</v>
      </c>
      <c r="I614">
        <v>52526.22</v>
      </c>
      <c r="J614">
        <v>52526.22</v>
      </c>
      <c r="K614">
        <v>77457.53</v>
      </c>
      <c r="L614">
        <v>12481.99</v>
      </c>
    </row>
    <row r="615" spans="1:12" x14ac:dyDescent="0.25">
      <c r="A615" t="s">
        <v>1657</v>
      </c>
      <c r="B615" t="s">
        <v>175</v>
      </c>
      <c r="C615">
        <v>715</v>
      </c>
      <c r="D615" s="1">
        <v>44784</v>
      </c>
      <c r="E615">
        <v>762543.12</v>
      </c>
      <c r="F615">
        <v>762543.12</v>
      </c>
      <c r="G615">
        <v>86356.46</v>
      </c>
      <c r="H615">
        <v>86356.46</v>
      </c>
      <c r="I615">
        <v>12456.62</v>
      </c>
      <c r="J615">
        <v>12456.62</v>
      </c>
      <c r="K615">
        <v>663730.04</v>
      </c>
    </row>
    <row r="616" spans="1:12" x14ac:dyDescent="0.25">
      <c r="A616" t="s">
        <v>1658</v>
      </c>
      <c r="B616" t="s">
        <v>175</v>
      </c>
      <c r="C616">
        <v>712</v>
      </c>
      <c r="D616" s="1">
        <v>44787</v>
      </c>
      <c r="E616">
        <v>1998980.92</v>
      </c>
      <c r="F616">
        <v>1998980.92</v>
      </c>
      <c r="G616">
        <v>227999.63</v>
      </c>
      <c r="H616">
        <v>227999.63</v>
      </c>
      <c r="I616">
        <v>31670.09</v>
      </c>
      <c r="J616">
        <v>31670.09</v>
      </c>
      <c r="K616">
        <v>1739311.2</v>
      </c>
    </row>
    <row r="617" spans="1:12" x14ac:dyDescent="0.25">
      <c r="A617" t="s">
        <v>399</v>
      </c>
      <c r="B617" t="s">
        <v>400</v>
      </c>
      <c r="C617">
        <v>709</v>
      </c>
      <c r="D617" s="1">
        <v>44790</v>
      </c>
      <c r="E617">
        <v>316517.14</v>
      </c>
      <c r="F617">
        <v>316517.14</v>
      </c>
      <c r="G617">
        <v>188883.75</v>
      </c>
      <c r="H617">
        <v>188883.75</v>
      </c>
      <c r="I617">
        <v>43210.38</v>
      </c>
      <c r="J617">
        <v>43210.38</v>
      </c>
      <c r="K617">
        <v>72316.03</v>
      </c>
      <c r="L617">
        <v>12106.98</v>
      </c>
    </row>
    <row r="618" spans="1:12" x14ac:dyDescent="0.25">
      <c r="A618" t="s">
        <v>1659</v>
      </c>
      <c r="B618" t="s">
        <v>340</v>
      </c>
      <c r="C618">
        <v>709</v>
      </c>
      <c r="D618" s="1">
        <v>44790</v>
      </c>
      <c r="E618">
        <v>5614.92</v>
      </c>
      <c r="F618">
        <v>5614.92</v>
      </c>
      <c r="K618">
        <v>5614.92</v>
      </c>
    </row>
    <row r="619" spans="1:12" x14ac:dyDescent="0.25">
      <c r="A619" t="s">
        <v>401</v>
      </c>
      <c r="B619" t="s">
        <v>402</v>
      </c>
      <c r="C619">
        <v>705</v>
      </c>
      <c r="D619" s="1">
        <v>44794</v>
      </c>
      <c r="E619">
        <v>575881.4</v>
      </c>
      <c r="F619">
        <v>575881.4</v>
      </c>
      <c r="G619">
        <v>340495.15</v>
      </c>
      <c r="H619">
        <v>340495.15</v>
      </c>
      <c r="I619">
        <v>91152.88</v>
      </c>
      <c r="J619">
        <v>91152.88</v>
      </c>
      <c r="K619">
        <v>129626.5</v>
      </c>
      <c r="L619">
        <v>14606.87</v>
      </c>
    </row>
    <row r="620" spans="1:12" x14ac:dyDescent="0.25">
      <c r="A620" t="s">
        <v>403</v>
      </c>
      <c r="B620" t="s">
        <v>404</v>
      </c>
      <c r="C620">
        <v>702</v>
      </c>
      <c r="D620" s="1">
        <v>44797</v>
      </c>
      <c r="E620">
        <v>1570429.4</v>
      </c>
      <c r="F620">
        <v>1570429.4</v>
      </c>
      <c r="G620">
        <v>966941.07</v>
      </c>
      <c r="H620">
        <v>966941.07</v>
      </c>
      <c r="I620">
        <v>211932.29</v>
      </c>
      <c r="J620">
        <v>211932.29</v>
      </c>
      <c r="K620">
        <v>366548.02</v>
      </c>
      <c r="L620">
        <v>25008.02</v>
      </c>
    </row>
    <row r="621" spans="1:12" x14ac:dyDescent="0.25">
      <c r="A621" t="s">
        <v>1660</v>
      </c>
      <c r="B621" t="s">
        <v>175</v>
      </c>
      <c r="C621">
        <v>696</v>
      </c>
      <c r="D621" s="1">
        <v>44803</v>
      </c>
      <c r="E621">
        <v>457217.01</v>
      </c>
      <c r="F621">
        <v>457217.01</v>
      </c>
      <c r="G621">
        <v>50650.14</v>
      </c>
      <c r="H621">
        <v>50650.14</v>
      </c>
      <c r="I621">
        <v>5592.33</v>
      </c>
      <c r="J621">
        <v>5592.33</v>
      </c>
      <c r="K621">
        <v>379991.75</v>
      </c>
      <c r="L621">
        <v>20982.79</v>
      </c>
    </row>
    <row r="622" spans="1:12" x14ac:dyDescent="0.25">
      <c r="A622" t="s">
        <v>405</v>
      </c>
      <c r="B622" t="s">
        <v>406</v>
      </c>
      <c r="C622">
        <v>696</v>
      </c>
      <c r="D622" s="1">
        <v>44803</v>
      </c>
      <c r="E622">
        <v>306546.11</v>
      </c>
      <c r="F622">
        <v>306546.11</v>
      </c>
      <c r="G622">
        <v>161018.21</v>
      </c>
      <c r="H622">
        <v>161018.21</v>
      </c>
      <c r="K622">
        <v>130471.01</v>
      </c>
      <c r="L622">
        <v>15056.89</v>
      </c>
    </row>
    <row r="623" spans="1:12" x14ac:dyDescent="0.25">
      <c r="A623" t="s">
        <v>1661</v>
      </c>
      <c r="B623" t="s">
        <v>176</v>
      </c>
      <c r="C623">
        <v>692</v>
      </c>
      <c r="D623" s="1">
        <v>44807</v>
      </c>
      <c r="E623">
        <v>1918435.13</v>
      </c>
      <c r="F623">
        <v>1918435.13</v>
      </c>
      <c r="G623">
        <v>252337.44</v>
      </c>
      <c r="H623">
        <v>252337.44</v>
      </c>
      <c r="I623">
        <v>25841.279999999999</v>
      </c>
      <c r="J623">
        <v>25841.279999999999</v>
      </c>
      <c r="K623">
        <v>1633868.16</v>
      </c>
      <c r="L623">
        <v>6388.25</v>
      </c>
    </row>
    <row r="624" spans="1:12" x14ac:dyDescent="0.25">
      <c r="A624" t="s">
        <v>407</v>
      </c>
      <c r="B624" t="s">
        <v>280</v>
      </c>
      <c r="C624">
        <v>686</v>
      </c>
      <c r="D624" s="1">
        <v>44813</v>
      </c>
      <c r="E624">
        <v>57815.47</v>
      </c>
      <c r="F624">
        <v>57815.47</v>
      </c>
      <c r="G624">
        <v>32041.16</v>
      </c>
      <c r="H624">
        <v>32041.16</v>
      </c>
      <c r="I624">
        <v>13904.98</v>
      </c>
      <c r="J624">
        <v>13904.98</v>
      </c>
      <c r="K624">
        <v>11869.33</v>
      </c>
    </row>
    <row r="625" spans="1:12" x14ac:dyDescent="0.25">
      <c r="A625" t="s">
        <v>408</v>
      </c>
      <c r="B625" t="s">
        <v>329</v>
      </c>
      <c r="C625">
        <v>686</v>
      </c>
      <c r="D625" s="1">
        <v>44813</v>
      </c>
      <c r="E625">
        <v>1468833.86</v>
      </c>
      <c r="F625">
        <v>1468833.86</v>
      </c>
      <c r="G625">
        <v>915534.29</v>
      </c>
      <c r="H625">
        <v>915534.29</v>
      </c>
      <c r="I625">
        <v>184032.38</v>
      </c>
      <c r="J625">
        <v>184032.38</v>
      </c>
      <c r="K625">
        <v>348332.27</v>
      </c>
      <c r="L625">
        <v>20934.919999999998</v>
      </c>
    </row>
    <row r="626" spans="1:12" x14ac:dyDescent="0.25">
      <c r="A626" t="s">
        <v>1662</v>
      </c>
      <c r="B626" t="s">
        <v>193</v>
      </c>
      <c r="C626">
        <v>681</v>
      </c>
      <c r="D626" s="1">
        <v>44818</v>
      </c>
      <c r="E626">
        <v>2175708.09</v>
      </c>
      <c r="F626">
        <v>2175708.09</v>
      </c>
      <c r="G626">
        <v>254968.95</v>
      </c>
      <c r="H626">
        <v>254968.95</v>
      </c>
      <c r="I626">
        <v>60113.55</v>
      </c>
      <c r="J626">
        <v>60113.55</v>
      </c>
      <c r="K626">
        <v>1860625.59</v>
      </c>
    </row>
    <row r="627" spans="1:12" x14ac:dyDescent="0.25">
      <c r="A627" t="s">
        <v>409</v>
      </c>
      <c r="B627" t="s">
        <v>410</v>
      </c>
      <c r="C627">
        <v>681</v>
      </c>
      <c r="D627" s="1">
        <v>44818</v>
      </c>
      <c r="E627">
        <v>114370.68</v>
      </c>
      <c r="F627">
        <v>114370.68</v>
      </c>
      <c r="I627">
        <v>35010.160000000003</v>
      </c>
      <c r="J627">
        <v>35010.160000000003</v>
      </c>
      <c r="K627">
        <v>79360.52</v>
      </c>
    </row>
    <row r="628" spans="1:12" x14ac:dyDescent="0.25">
      <c r="A628" t="s">
        <v>1663</v>
      </c>
      <c r="B628" t="s">
        <v>1664</v>
      </c>
      <c r="C628">
        <v>678</v>
      </c>
      <c r="D628" s="1">
        <v>44821</v>
      </c>
      <c r="E628">
        <v>149404.14000000001</v>
      </c>
      <c r="F628">
        <v>149404.14000000001</v>
      </c>
      <c r="G628">
        <v>84396.97</v>
      </c>
      <c r="H628">
        <v>84396.97</v>
      </c>
      <c r="I628">
        <v>14465.75</v>
      </c>
      <c r="J628">
        <v>14465.75</v>
      </c>
      <c r="K628">
        <v>30899.42</v>
      </c>
      <c r="L628">
        <v>19642</v>
      </c>
    </row>
    <row r="629" spans="1:12" x14ac:dyDescent="0.25">
      <c r="A629" t="s">
        <v>1665</v>
      </c>
      <c r="B629" t="s">
        <v>105</v>
      </c>
      <c r="C629">
        <v>673</v>
      </c>
      <c r="D629" s="1">
        <v>44826</v>
      </c>
      <c r="E629">
        <v>605018.87</v>
      </c>
      <c r="F629">
        <v>605018.87</v>
      </c>
      <c r="G629">
        <v>422557.17</v>
      </c>
      <c r="H629">
        <v>422557.17</v>
      </c>
      <c r="I629">
        <v>28895.97</v>
      </c>
      <c r="J629">
        <v>28895.97</v>
      </c>
      <c r="K629">
        <v>153565.73000000001</v>
      </c>
    </row>
    <row r="630" spans="1:12" x14ac:dyDescent="0.25">
      <c r="A630" t="s">
        <v>1666</v>
      </c>
      <c r="B630" t="s">
        <v>1667</v>
      </c>
      <c r="C630">
        <v>672</v>
      </c>
      <c r="D630" s="1">
        <v>44827</v>
      </c>
      <c r="E630">
        <v>195888.9</v>
      </c>
      <c r="F630">
        <v>195888.9</v>
      </c>
      <c r="G630">
        <v>98003.53</v>
      </c>
      <c r="H630">
        <v>98003.53</v>
      </c>
      <c r="I630">
        <v>51675.77</v>
      </c>
      <c r="J630">
        <v>51675.77</v>
      </c>
      <c r="K630">
        <v>35733.79</v>
      </c>
      <c r="L630">
        <v>10475.81</v>
      </c>
    </row>
    <row r="631" spans="1:12" x14ac:dyDescent="0.25">
      <c r="A631" t="s">
        <v>411</v>
      </c>
      <c r="B631" t="s">
        <v>19</v>
      </c>
      <c r="C631">
        <v>671</v>
      </c>
      <c r="D631" s="1">
        <v>44828</v>
      </c>
      <c r="E631">
        <v>849897.29</v>
      </c>
      <c r="F631">
        <v>849897.29</v>
      </c>
      <c r="G631">
        <v>510538.93</v>
      </c>
      <c r="H631">
        <v>510538.93</v>
      </c>
      <c r="I631">
        <v>144269.68</v>
      </c>
      <c r="J631">
        <v>144269.68</v>
      </c>
      <c r="K631">
        <v>184988.68</v>
      </c>
      <c r="L631">
        <v>10100</v>
      </c>
    </row>
    <row r="632" spans="1:12" x14ac:dyDescent="0.25">
      <c r="A632" t="s">
        <v>412</v>
      </c>
      <c r="B632" t="s">
        <v>413</v>
      </c>
      <c r="C632">
        <v>671</v>
      </c>
      <c r="D632" s="1">
        <v>44828</v>
      </c>
      <c r="E632">
        <v>884213.67</v>
      </c>
      <c r="F632">
        <v>884213.67</v>
      </c>
      <c r="G632">
        <v>575064.78</v>
      </c>
      <c r="H632">
        <v>575064.78</v>
      </c>
      <c r="I632">
        <v>100779.92</v>
      </c>
      <c r="J632">
        <v>100779.92</v>
      </c>
      <c r="K632">
        <v>208368.97</v>
      </c>
    </row>
    <row r="633" spans="1:12" x14ac:dyDescent="0.25">
      <c r="A633" t="s">
        <v>1668</v>
      </c>
      <c r="B633" t="s">
        <v>1650</v>
      </c>
      <c r="C633">
        <v>670</v>
      </c>
      <c r="D633" s="1">
        <v>44829</v>
      </c>
      <c r="E633">
        <v>100983.26</v>
      </c>
      <c r="F633">
        <v>100983.26</v>
      </c>
      <c r="G633">
        <v>79192.86</v>
      </c>
      <c r="H633">
        <v>79192.86</v>
      </c>
      <c r="I633">
        <v>14157.07</v>
      </c>
      <c r="J633">
        <v>14157.07</v>
      </c>
      <c r="K633">
        <v>7633.33</v>
      </c>
    </row>
    <row r="634" spans="1:12" x14ac:dyDescent="0.25">
      <c r="A634" t="s">
        <v>1669</v>
      </c>
      <c r="B634" t="s">
        <v>19</v>
      </c>
      <c r="C634">
        <v>667</v>
      </c>
      <c r="D634" s="1">
        <v>44832</v>
      </c>
      <c r="E634">
        <v>252883.82</v>
      </c>
      <c r="F634">
        <v>252883.82</v>
      </c>
      <c r="G634">
        <v>146529.69</v>
      </c>
      <c r="H634">
        <v>146529.69</v>
      </c>
      <c r="I634">
        <v>43657.81</v>
      </c>
      <c r="J634">
        <v>43657.81</v>
      </c>
      <c r="K634">
        <v>52777.07</v>
      </c>
      <c r="L634">
        <v>9919.25</v>
      </c>
    </row>
    <row r="635" spans="1:12" x14ac:dyDescent="0.25">
      <c r="A635" t="s">
        <v>1670</v>
      </c>
      <c r="B635" t="s">
        <v>1650</v>
      </c>
      <c r="C635">
        <v>665</v>
      </c>
      <c r="D635" s="1">
        <v>44834</v>
      </c>
      <c r="E635">
        <v>125995.57</v>
      </c>
      <c r="F635">
        <v>125995.57</v>
      </c>
      <c r="G635">
        <v>98821.17</v>
      </c>
      <c r="H635">
        <v>98821.17</v>
      </c>
      <c r="I635">
        <v>17056.8</v>
      </c>
      <c r="J635">
        <v>17056.8</v>
      </c>
      <c r="K635">
        <v>10117.6</v>
      </c>
    </row>
    <row r="636" spans="1:12" x14ac:dyDescent="0.25">
      <c r="A636" t="s">
        <v>1671</v>
      </c>
      <c r="B636" t="s">
        <v>1672</v>
      </c>
      <c r="C636">
        <v>664</v>
      </c>
      <c r="D636" s="1">
        <v>44835</v>
      </c>
      <c r="E636">
        <v>6094708.0800000001</v>
      </c>
      <c r="F636">
        <v>6094708.0800000001</v>
      </c>
      <c r="G636">
        <v>761323.76</v>
      </c>
      <c r="H636">
        <v>761323.76</v>
      </c>
      <c r="I636">
        <v>126049.61</v>
      </c>
      <c r="J636">
        <v>126049.61</v>
      </c>
      <c r="K636">
        <v>5192455.66</v>
      </c>
      <c r="L636">
        <v>14879.05</v>
      </c>
    </row>
    <row r="637" spans="1:12" x14ac:dyDescent="0.25">
      <c r="A637" t="s">
        <v>619</v>
      </c>
      <c r="B637" t="s">
        <v>277</v>
      </c>
      <c r="C637">
        <v>658</v>
      </c>
      <c r="D637" s="1">
        <v>44841</v>
      </c>
      <c r="E637">
        <v>118802.73</v>
      </c>
      <c r="F637">
        <v>252834.19</v>
      </c>
      <c r="G637">
        <v>107547.4</v>
      </c>
      <c r="H637">
        <v>12047.83</v>
      </c>
      <c r="I637">
        <v>79517.440000000002</v>
      </c>
      <c r="J637">
        <v>118049.33</v>
      </c>
      <c r="K637">
        <v>27237.46</v>
      </c>
    </row>
    <row r="638" spans="1:12" x14ac:dyDescent="0.25">
      <c r="A638" t="s">
        <v>1673</v>
      </c>
      <c r="B638" t="s">
        <v>1674</v>
      </c>
      <c r="C638">
        <v>651</v>
      </c>
      <c r="D638" s="1">
        <v>44848</v>
      </c>
      <c r="E638">
        <v>47011.95</v>
      </c>
      <c r="F638">
        <v>47011.95</v>
      </c>
      <c r="G638">
        <v>35828.65</v>
      </c>
      <c r="H638">
        <v>35828.65</v>
      </c>
      <c r="K638">
        <v>11183.3</v>
      </c>
    </row>
    <row r="639" spans="1:12" x14ac:dyDescent="0.25">
      <c r="A639" t="s">
        <v>480</v>
      </c>
      <c r="B639" t="s">
        <v>196</v>
      </c>
      <c r="C639">
        <v>650</v>
      </c>
      <c r="D639" s="1">
        <v>44849</v>
      </c>
      <c r="E639">
        <v>21830.799999999999</v>
      </c>
      <c r="F639">
        <v>185173.93</v>
      </c>
      <c r="G639">
        <v>159779.82</v>
      </c>
      <c r="J639">
        <v>3563.31</v>
      </c>
      <c r="K639">
        <v>21830.799999999999</v>
      </c>
    </row>
    <row r="640" spans="1:12" x14ac:dyDescent="0.25">
      <c r="A640" t="s">
        <v>620</v>
      </c>
      <c r="B640" t="s">
        <v>277</v>
      </c>
      <c r="C640">
        <v>648</v>
      </c>
      <c r="D640" s="1">
        <v>44851</v>
      </c>
      <c r="E640">
        <v>126994.87</v>
      </c>
      <c r="F640">
        <v>295120.40000000002</v>
      </c>
      <c r="G640">
        <v>130577.68</v>
      </c>
      <c r="H640">
        <v>13207.17</v>
      </c>
      <c r="I640">
        <v>83538.080000000002</v>
      </c>
      <c r="J640">
        <v>134293.1</v>
      </c>
      <c r="K640">
        <v>30249.62</v>
      </c>
    </row>
    <row r="641" spans="1:12" x14ac:dyDescent="0.25">
      <c r="A641" t="s">
        <v>1675</v>
      </c>
      <c r="B641" t="s">
        <v>1676</v>
      </c>
      <c r="C641">
        <v>639</v>
      </c>
      <c r="D641" s="1">
        <v>44860</v>
      </c>
      <c r="E641">
        <v>376453.92</v>
      </c>
      <c r="F641">
        <v>376453.92</v>
      </c>
      <c r="G641">
        <v>243347.98</v>
      </c>
      <c r="H641">
        <v>243347.98</v>
      </c>
      <c r="I641">
        <v>49136.29</v>
      </c>
      <c r="J641">
        <v>49136.29</v>
      </c>
      <c r="K641">
        <v>83969.65</v>
      </c>
    </row>
    <row r="642" spans="1:12" x14ac:dyDescent="0.25">
      <c r="A642" t="s">
        <v>414</v>
      </c>
      <c r="B642" t="s">
        <v>291</v>
      </c>
      <c r="C642">
        <v>637</v>
      </c>
      <c r="D642" s="1">
        <v>44862</v>
      </c>
      <c r="E642">
        <v>1471888.13</v>
      </c>
      <c r="F642">
        <v>1471888.13</v>
      </c>
      <c r="G642">
        <v>937688.28</v>
      </c>
      <c r="H642">
        <v>937688.28</v>
      </c>
      <c r="I642">
        <v>190774.61</v>
      </c>
      <c r="J642">
        <v>190774.61</v>
      </c>
      <c r="K642">
        <v>322546.02</v>
      </c>
      <c r="L642">
        <v>20879.22</v>
      </c>
    </row>
    <row r="643" spans="1:12" x14ac:dyDescent="0.25">
      <c r="A643" t="s">
        <v>415</v>
      </c>
      <c r="B643" t="s">
        <v>416</v>
      </c>
      <c r="C643">
        <v>637</v>
      </c>
      <c r="D643" s="1">
        <v>44862</v>
      </c>
      <c r="E643">
        <v>1165684.8500000001</v>
      </c>
      <c r="F643">
        <v>1165684.8500000001</v>
      </c>
      <c r="G643">
        <v>746957.49</v>
      </c>
      <c r="H643">
        <v>746957.49</v>
      </c>
      <c r="I643">
        <v>142351.67999999999</v>
      </c>
      <c r="J643">
        <v>142351.67999999999</v>
      </c>
      <c r="K643">
        <v>256938.44</v>
      </c>
      <c r="L643">
        <v>19437.240000000002</v>
      </c>
    </row>
    <row r="644" spans="1:12" x14ac:dyDescent="0.25">
      <c r="A644" t="s">
        <v>1677</v>
      </c>
      <c r="B644" t="s">
        <v>245</v>
      </c>
      <c r="C644">
        <v>633</v>
      </c>
      <c r="D644" s="1">
        <v>44866</v>
      </c>
      <c r="E644">
        <v>157407.25</v>
      </c>
      <c r="F644">
        <v>157407.25</v>
      </c>
      <c r="G644">
        <v>123900.97</v>
      </c>
      <c r="H644">
        <v>123900.97</v>
      </c>
      <c r="I644">
        <v>15888.03</v>
      </c>
      <c r="J644">
        <v>15888.03</v>
      </c>
      <c r="K644">
        <v>17618.25</v>
      </c>
    </row>
    <row r="645" spans="1:12" x14ac:dyDescent="0.25">
      <c r="A645" t="s">
        <v>1678</v>
      </c>
      <c r="B645" t="s">
        <v>1679</v>
      </c>
      <c r="C645">
        <v>630</v>
      </c>
      <c r="D645" s="1">
        <v>44869</v>
      </c>
      <c r="E645">
        <v>71039.78</v>
      </c>
      <c r="F645">
        <v>71039.78</v>
      </c>
      <c r="G645">
        <v>41869.35</v>
      </c>
      <c r="H645">
        <v>41869.35</v>
      </c>
      <c r="I645">
        <v>6763.34</v>
      </c>
      <c r="J645">
        <v>6763.34</v>
      </c>
      <c r="K645">
        <v>14243.95</v>
      </c>
      <c r="L645">
        <v>8163.14</v>
      </c>
    </row>
    <row r="646" spans="1:12" x14ac:dyDescent="0.25">
      <c r="A646" t="s">
        <v>1680</v>
      </c>
      <c r="B646" t="s">
        <v>1650</v>
      </c>
      <c r="C646">
        <v>627</v>
      </c>
      <c r="D646" s="1">
        <v>44872</v>
      </c>
      <c r="E646">
        <v>56486.47</v>
      </c>
      <c r="F646">
        <v>56486.47</v>
      </c>
      <c r="G646">
        <v>43697.18</v>
      </c>
      <c r="H646">
        <v>43697.18</v>
      </c>
      <c r="I646">
        <v>8749.02</v>
      </c>
      <c r="J646">
        <v>8749.02</v>
      </c>
      <c r="K646">
        <v>4040.27</v>
      </c>
    </row>
    <row r="647" spans="1:12" x14ac:dyDescent="0.25">
      <c r="A647" t="s">
        <v>417</v>
      </c>
      <c r="B647" t="s">
        <v>330</v>
      </c>
      <c r="C647">
        <v>622</v>
      </c>
      <c r="D647" s="1">
        <v>44877</v>
      </c>
      <c r="E647">
        <v>450235.22</v>
      </c>
      <c r="F647">
        <v>450235.22</v>
      </c>
      <c r="G647">
        <v>285560.12</v>
      </c>
      <c r="H647">
        <v>285560.12</v>
      </c>
      <c r="K647">
        <v>147718.16</v>
      </c>
      <c r="L647">
        <v>16956.939999999999</v>
      </c>
    </row>
    <row r="648" spans="1:12" x14ac:dyDescent="0.25">
      <c r="A648" t="s">
        <v>1681</v>
      </c>
      <c r="B648" t="s">
        <v>1682</v>
      </c>
      <c r="C648">
        <v>615</v>
      </c>
      <c r="D648" s="1">
        <v>44884</v>
      </c>
      <c r="E648">
        <v>2129960.14</v>
      </c>
      <c r="F648">
        <v>2129960.14</v>
      </c>
      <c r="G648">
        <v>244671.35999999999</v>
      </c>
      <c r="H648">
        <v>244671.35999999999</v>
      </c>
      <c r="K648">
        <v>1885288.78</v>
      </c>
    </row>
    <row r="649" spans="1:12" x14ac:dyDescent="0.25">
      <c r="A649" t="s">
        <v>1683</v>
      </c>
      <c r="B649" t="s">
        <v>154</v>
      </c>
      <c r="C649">
        <v>612</v>
      </c>
      <c r="D649" s="1">
        <v>44887</v>
      </c>
      <c r="E649">
        <v>514525.83</v>
      </c>
      <c r="F649">
        <v>514525.83</v>
      </c>
      <c r="G649">
        <v>353990.13</v>
      </c>
      <c r="H649">
        <v>353990.13</v>
      </c>
      <c r="I649">
        <v>118940.68</v>
      </c>
      <c r="J649">
        <v>118940.68</v>
      </c>
      <c r="K649">
        <v>27304.43</v>
      </c>
      <c r="L649">
        <v>14290.59</v>
      </c>
    </row>
    <row r="650" spans="1:12" x14ac:dyDescent="0.25">
      <c r="A650" t="s">
        <v>1684</v>
      </c>
      <c r="B650" t="s">
        <v>333</v>
      </c>
      <c r="C650">
        <v>611</v>
      </c>
      <c r="D650" s="1">
        <v>44888</v>
      </c>
      <c r="E650">
        <v>303361.96999999997</v>
      </c>
      <c r="F650">
        <v>303361.96999999997</v>
      </c>
      <c r="G650">
        <v>185069.57</v>
      </c>
      <c r="H650">
        <v>185069.57</v>
      </c>
      <c r="I650">
        <v>83626.080000000002</v>
      </c>
      <c r="J650">
        <v>83626.080000000002</v>
      </c>
      <c r="K650">
        <v>22623.46</v>
      </c>
      <c r="L650">
        <v>12042.86</v>
      </c>
    </row>
    <row r="651" spans="1:12" x14ac:dyDescent="0.25">
      <c r="A651" t="s">
        <v>1685</v>
      </c>
      <c r="B651" t="s">
        <v>268</v>
      </c>
      <c r="C651">
        <v>609</v>
      </c>
      <c r="D651" s="1">
        <v>44890</v>
      </c>
      <c r="E651">
        <v>605122.38</v>
      </c>
      <c r="F651">
        <v>605122.38</v>
      </c>
      <c r="G651">
        <v>400799.7</v>
      </c>
      <c r="H651">
        <v>400799.7</v>
      </c>
      <c r="I651">
        <v>133811.82999999999</v>
      </c>
      <c r="J651">
        <v>133811.82999999999</v>
      </c>
      <c r="K651">
        <v>55642.25</v>
      </c>
      <c r="L651">
        <v>14868.6</v>
      </c>
    </row>
    <row r="652" spans="1:12" x14ac:dyDescent="0.25">
      <c r="A652" t="s">
        <v>1686</v>
      </c>
      <c r="B652" t="s">
        <v>187</v>
      </c>
      <c r="C652">
        <v>605</v>
      </c>
      <c r="D652" s="1">
        <v>44894</v>
      </c>
      <c r="E652">
        <v>692959.79</v>
      </c>
      <c r="F652">
        <v>692959.79</v>
      </c>
      <c r="G652">
        <v>417428.36</v>
      </c>
      <c r="H652">
        <v>417428.36</v>
      </c>
      <c r="I652">
        <v>212225.15</v>
      </c>
      <c r="J652">
        <v>212225.15</v>
      </c>
      <c r="K652">
        <v>47336.38</v>
      </c>
      <c r="L652">
        <v>15969.9</v>
      </c>
    </row>
    <row r="653" spans="1:12" x14ac:dyDescent="0.25">
      <c r="A653" t="s">
        <v>1687</v>
      </c>
      <c r="B653" t="s">
        <v>1688</v>
      </c>
      <c r="C653">
        <v>603</v>
      </c>
      <c r="D653" s="1">
        <v>44896</v>
      </c>
      <c r="E653">
        <v>307942.86</v>
      </c>
      <c r="F653">
        <v>307942.86</v>
      </c>
      <c r="G653">
        <v>109431.76</v>
      </c>
      <c r="H653">
        <v>109431.76</v>
      </c>
      <c r="I653">
        <v>163035.32999999999</v>
      </c>
      <c r="J653">
        <v>163035.32999999999</v>
      </c>
      <c r="K653">
        <v>35475.769999999997</v>
      </c>
    </row>
    <row r="654" spans="1:12" x14ac:dyDescent="0.25">
      <c r="A654" t="s">
        <v>1689</v>
      </c>
      <c r="B654" t="s">
        <v>225</v>
      </c>
      <c r="C654">
        <v>592</v>
      </c>
      <c r="D654" s="1">
        <v>44907</v>
      </c>
      <c r="E654">
        <v>150271.29</v>
      </c>
      <c r="F654">
        <v>150271.29</v>
      </c>
      <c r="G654">
        <v>101855.26</v>
      </c>
      <c r="H654">
        <v>101855.26</v>
      </c>
      <c r="I654">
        <v>34555.57</v>
      </c>
      <c r="J654">
        <v>34555.57</v>
      </c>
      <c r="K654">
        <v>13860.46</v>
      </c>
    </row>
    <row r="655" spans="1:12" x14ac:dyDescent="0.25">
      <c r="A655" t="s">
        <v>1690</v>
      </c>
      <c r="B655" t="s">
        <v>225</v>
      </c>
      <c r="C655">
        <v>585</v>
      </c>
      <c r="D655" s="1">
        <v>44914</v>
      </c>
      <c r="E655">
        <v>268103.32</v>
      </c>
      <c r="F655">
        <v>268103.32</v>
      </c>
      <c r="G655">
        <v>182301.85</v>
      </c>
      <c r="H655">
        <v>182301.85</v>
      </c>
      <c r="I655">
        <v>61682.94</v>
      </c>
      <c r="J655">
        <v>61682.94</v>
      </c>
      <c r="K655">
        <v>24118.53</v>
      </c>
    </row>
    <row r="656" spans="1:12" x14ac:dyDescent="0.25">
      <c r="A656" t="s">
        <v>1691</v>
      </c>
      <c r="B656" t="s">
        <v>1692</v>
      </c>
      <c r="C656">
        <v>584</v>
      </c>
      <c r="D656" s="1">
        <v>44915</v>
      </c>
      <c r="E656">
        <v>390145.48</v>
      </c>
      <c r="F656">
        <v>390145.48</v>
      </c>
      <c r="G656">
        <v>39349.879999999997</v>
      </c>
      <c r="H656">
        <v>39349.879999999997</v>
      </c>
      <c r="I656">
        <v>36323.449999999997</v>
      </c>
      <c r="J656">
        <v>36323.449999999997</v>
      </c>
      <c r="K656">
        <v>312984.34000000003</v>
      </c>
      <c r="L656">
        <v>1487.81</v>
      </c>
    </row>
    <row r="657" spans="1:12" x14ac:dyDescent="0.25">
      <c r="A657" t="s">
        <v>1693</v>
      </c>
      <c r="B657" t="s">
        <v>1694</v>
      </c>
      <c r="C657">
        <v>584</v>
      </c>
      <c r="D657" s="1">
        <v>44915</v>
      </c>
      <c r="E657">
        <v>314791.89</v>
      </c>
      <c r="F657">
        <v>314791.89</v>
      </c>
      <c r="G657">
        <v>212357.23</v>
      </c>
      <c r="H657">
        <v>212357.23</v>
      </c>
      <c r="I657">
        <v>62288.98</v>
      </c>
      <c r="J657">
        <v>62288.98</v>
      </c>
      <c r="K657">
        <v>27980.19</v>
      </c>
      <c r="L657">
        <v>12165.49</v>
      </c>
    </row>
    <row r="658" spans="1:12" x14ac:dyDescent="0.25">
      <c r="A658" t="s">
        <v>1695</v>
      </c>
      <c r="B658" t="s">
        <v>1696</v>
      </c>
      <c r="C658">
        <v>584</v>
      </c>
      <c r="D658" s="1">
        <v>44915</v>
      </c>
      <c r="E658">
        <v>456509.88</v>
      </c>
      <c r="F658">
        <v>456509.88</v>
      </c>
      <c r="G658">
        <v>304765.15000000002</v>
      </c>
      <c r="H658">
        <v>304765.15000000002</v>
      </c>
      <c r="I658">
        <v>107669.88</v>
      </c>
      <c r="J658">
        <v>107669.88</v>
      </c>
      <c r="K658">
        <v>30446.04</v>
      </c>
      <c r="L658">
        <v>13628.81</v>
      </c>
    </row>
    <row r="659" spans="1:12" x14ac:dyDescent="0.25">
      <c r="A659" t="s">
        <v>1697</v>
      </c>
      <c r="B659" t="s">
        <v>1698</v>
      </c>
      <c r="C659">
        <v>581</v>
      </c>
      <c r="D659" s="1">
        <v>44918</v>
      </c>
      <c r="E659">
        <v>321997.18</v>
      </c>
      <c r="F659">
        <v>321997.18</v>
      </c>
      <c r="G659">
        <v>180436.57</v>
      </c>
      <c r="H659">
        <v>180436.57</v>
      </c>
      <c r="I659">
        <v>93700.32</v>
      </c>
      <c r="J659">
        <v>93700.32</v>
      </c>
      <c r="K659">
        <v>47860.29</v>
      </c>
    </row>
    <row r="660" spans="1:12" x14ac:dyDescent="0.25">
      <c r="A660" t="s">
        <v>1699</v>
      </c>
      <c r="B660" t="s">
        <v>163</v>
      </c>
      <c r="C660">
        <v>580</v>
      </c>
      <c r="D660" s="1">
        <v>44919</v>
      </c>
      <c r="E660">
        <v>77755.509999999995</v>
      </c>
      <c r="F660">
        <v>77755.509999999995</v>
      </c>
      <c r="G660">
        <v>50616.45</v>
      </c>
      <c r="H660">
        <v>50616.45</v>
      </c>
      <c r="K660">
        <v>16692.87</v>
      </c>
      <c r="L660">
        <v>10446.19</v>
      </c>
    </row>
    <row r="661" spans="1:12" x14ac:dyDescent="0.25">
      <c r="A661" t="s">
        <v>1700</v>
      </c>
      <c r="B661" t="s">
        <v>318</v>
      </c>
      <c r="C661">
        <v>579</v>
      </c>
      <c r="D661" s="1">
        <v>44920</v>
      </c>
      <c r="E661">
        <v>311232.8</v>
      </c>
      <c r="F661">
        <v>311232.8</v>
      </c>
      <c r="G661">
        <v>201867.89</v>
      </c>
      <c r="H661">
        <v>201867.89</v>
      </c>
      <c r="I661">
        <v>93842.94</v>
      </c>
      <c r="J661">
        <v>93842.94</v>
      </c>
      <c r="K661">
        <v>15521.97</v>
      </c>
    </row>
    <row r="662" spans="1:12" x14ac:dyDescent="0.25">
      <c r="A662" t="s">
        <v>1701</v>
      </c>
      <c r="B662" t="s">
        <v>1702</v>
      </c>
      <c r="C662">
        <v>576</v>
      </c>
      <c r="D662" s="1">
        <v>44923</v>
      </c>
      <c r="E662">
        <v>351355.26</v>
      </c>
      <c r="F662">
        <v>351355.26</v>
      </c>
      <c r="G662">
        <v>237825.37</v>
      </c>
      <c r="H662">
        <v>237825.37</v>
      </c>
      <c r="I662">
        <v>70696.05</v>
      </c>
      <c r="J662">
        <v>70696.05</v>
      </c>
      <c r="K662">
        <v>30308.47</v>
      </c>
      <c r="L662">
        <v>12525.37</v>
      </c>
    </row>
    <row r="663" spans="1:12" x14ac:dyDescent="0.25">
      <c r="A663" t="s">
        <v>481</v>
      </c>
      <c r="B663" t="s">
        <v>120</v>
      </c>
      <c r="C663">
        <v>563</v>
      </c>
      <c r="D663" s="1">
        <v>44936</v>
      </c>
      <c r="E663">
        <v>1095214.57</v>
      </c>
      <c r="F663">
        <v>1795182.1</v>
      </c>
      <c r="G663">
        <v>908272.7</v>
      </c>
      <c r="H663">
        <v>208305.17</v>
      </c>
      <c r="I663">
        <v>712294.41</v>
      </c>
      <c r="J663">
        <v>712294.41</v>
      </c>
      <c r="K663">
        <v>151554.38</v>
      </c>
      <c r="L663">
        <v>23060.61</v>
      </c>
    </row>
    <row r="664" spans="1:12" x14ac:dyDescent="0.25">
      <c r="A664" t="s">
        <v>1703</v>
      </c>
      <c r="B664" t="s">
        <v>1704</v>
      </c>
      <c r="C664">
        <v>562</v>
      </c>
      <c r="D664" s="1">
        <v>44937</v>
      </c>
      <c r="E664">
        <v>791579.9</v>
      </c>
      <c r="F664">
        <v>791579.9</v>
      </c>
      <c r="G664">
        <v>523728.74</v>
      </c>
      <c r="H664">
        <v>523728.74</v>
      </c>
      <c r="I664">
        <v>188254.63</v>
      </c>
      <c r="J664">
        <v>188254.63</v>
      </c>
      <c r="K664">
        <v>62784.6</v>
      </c>
      <c r="L664">
        <v>16811.93</v>
      </c>
    </row>
    <row r="665" spans="1:12" x14ac:dyDescent="0.25">
      <c r="A665" t="s">
        <v>485</v>
      </c>
      <c r="B665" t="s">
        <v>293</v>
      </c>
      <c r="C665">
        <v>545</v>
      </c>
      <c r="D665" s="1">
        <v>44954</v>
      </c>
      <c r="E665">
        <v>150923.49</v>
      </c>
      <c r="F665">
        <v>301305.65000000002</v>
      </c>
      <c r="G665">
        <v>207666.7</v>
      </c>
      <c r="H665">
        <v>57284.54</v>
      </c>
      <c r="I665">
        <v>44881.21</v>
      </c>
      <c r="J665">
        <v>44881.21</v>
      </c>
      <c r="K665">
        <v>36700.33</v>
      </c>
      <c r="L665">
        <v>12057.41</v>
      </c>
    </row>
    <row r="666" spans="1:12" x14ac:dyDescent="0.25">
      <c r="A666" t="s">
        <v>486</v>
      </c>
      <c r="B666" t="s">
        <v>181</v>
      </c>
      <c r="C666">
        <v>544</v>
      </c>
      <c r="D666" s="1">
        <v>44955</v>
      </c>
      <c r="E666">
        <v>495711.26</v>
      </c>
      <c r="F666">
        <v>514580.02</v>
      </c>
      <c r="G666">
        <v>241206.49</v>
      </c>
      <c r="H666">
        <v>223010.72</v>
      </c>
      <c r="I666">
        <v>189318.44</v>
      </c>
      <c r="J666">
        <v>189991.43</v>
      </c>
      <c r="K666">
        <v>70856.820000000007</v>
      </c>
      <c r="L666">
        <v>12525.28</v>
      </c>
    </row>
    <row r="667" spans="1:12" x14ac:dyDescent="0.25">
      <c r="A667" t="s">
        <v>1705</v>
      </c>
      <c r="B667" t="s">
        <v>1706</v>
      </c>
      <c r="C667">
        <v>525</v>
      </c>
      <c r="D667" s="1">
        <v>44974</v>
      </c>
      <c r="E667">
        <v>149685.63</v>
      </c>
      <c r="F667">
        <v>149685.63</v>
      </c>
      <c r="G667">
        <v>129004.89</v>
      </c>
      <c r="H667">
        <v>129004.89</v>
      </c>
      <c r="K667">
        <v>20680.740000000002</v>
      </c>
    </row>
    <row r="668" spans="1:12" x14ac:dyDescent="0.25">
      <c r="A668" t="s">
        <v>1707</v>
      </c>
      <c r="B668" t="s">
        <v>1232</v>
      </c>
      <c r="C668">
        <v>519</v>
      </c>
      <c r="D668" s="1">
        <v>44980</v>
      </c>
      <c r="E668">
        <v>20488.990000000002</v>
      </c>
      <c r="F668">
        <v>20488.990000000002</v>
      </c>
      <c r="K668">
        <v>20488.990000000002</v>
      </c>
    </row>
    <row r="669" spans="1:12" x14ac:dyDescent="0.25">
      <c r="A669" t="s">
        <v>488</v>
      </c>
      <c r="B669" t="s">
        <v>60</v>
      </c>
      <c r="C669">
        <v>519</v>
      </c>
      <c r="D669" s="1">
        <v>44980</v>
      </c>
      <c r="E669">
        <v>123519.46</v>
      </c>
      <c r="F669">
        <v>180582.42</v>
      </c>
      <c r="G669">
        <v>85616.51</v>
      </c>
      <c r="H669">
        <v>28889.25</v>
      </c>
      <c r="I669">
        <v>74424.97</v>
      </c>
      <c r="J669">
        <v>74760.67</v>
      </c>
      <c r="K669">
        <v>20205.240000000002</v>
      </c>
    </row>
    <row r="670" spans="1:12" x14ac:dyDescent="0.25">
      <c r="A670" t="s">
        <v>484</v>
      </c>
      <c r="B670" t="s">
        <v>256</v>
      </c>
      <c r="C670">
        <v>517</v>
      </c>
      <c r="D670" s="1">
        <v>44982</v>
      </c>
      <c r="E670">
        <v>91816.6</v>
      </c>
      <c r="F670">
        <v>291161.40000000002</v>
      </c>
      <c r="G670">
        <v>237796.4</v>
      </c>
      <c r="H670">
        <v>38800.519999999997</v>
      </c>
      <c r="I670">
        <v>12474.33</v>
      </c>
      <c r="J670">
        <v>12823.25</v>
      </c>
      <c r="K670">
        <v>40541.75</v>
      </c>
    </row>
    <row r="671" spans="1:12" x14ac:dyDescent="0.25">
      <c r="A671" t="s">
        <v>489</v>
      </c>
      <c r="B671" t="s">
        <v>74</v>
      </c>
      <c r="C671">
        <v>507</v>
      </c>
      <c r="D671" s="1">
        <v>44992</v>
      </c>
      <c r="E671">
        <v>380361.28</v>
      </c>
      <c r="F671">
        <v>380361.28</v>
      </c>
      <c r="G671">
        <v>189695.68</v>
      </c>
      <c r="H671">
        <v>189695.68</v>
      </c>
      <c r="I671">
        <v>138730.71</v>
      </c>
      <c r="J671">
        <v>138730.71</v>
      </c>
      <c r="K671">
        <v>51934.89</v>
      </c>
    </row>
    <row r="672" spans="1:12" x14ac:dyDescent="0.25">
      <c r="A672" t="s">
        <v>1708</v>
      </c>
      <c r="B672" t="s">
        <v>1709</v>
      </c>
      <c r="C672">
        <v>503</v>
      </c>
      <c r="D672" s="1">
        <v>44996</v>
      </c>
      <c r="E672">
        <v>6484.24</v>
      </c>
      <c r="F672">
        <v>6484.24</v>
      </c>
      <c r="K672">
        <v>6484.24</v>
      </c>
    </row>
    <row r="673" spans="1:12" x14ac:dyDescent="0.25">
      <c r="A673" t="s">
        <v>490</v>
      </c>
      <c r="B673" t="s">
        <v>211</v>
      </c>
      <c r="C673">
        <v>498</v>
      </c>
      <c r="D673" s="1">
        <v>45001</v>
      </c>
      <c r="E673">
        <v>5582.34</v>
      </c>
      <c r="F673">
        <v>107480.87</v>
      </c>
      <c r="G673">
        <v>99873.69</v>
      </c>
      <c r="J673">
        <v>2024.84</v>
      </c>
      <c r="K673">
        <v>5582.34</v>
      </c>
    </row>
    <row r="674" spans="1:12" x14ac:dyDescent="0.25">
      <c r="A674" t="s">
        <v>492</v>
      </c>
      <c r="B674" t="s">
        <v>60</v>
      </c>
      <c r="C674">
        <v>483</v>
      </c>
      <c r="D674" s="1">
        <v>45016</v>
      </c>
      <c r="E674">
        <v>115176.47</v>
      </c>
      <c r="F674">
        <v>177941.43</v>
      </c>
      <c r="G674">
        <v>85748.58</v>
      </c>
      <c r="H674">
        <v>26126.44</v>
      </c>
      <c r="I674">
        <v>70394.23</v>
      </c>
      <c r="J674">
        <v>73537.05</v>
      </c>
      <c r="K674">
        <v>18655.8</v>
      </c>
    </row>
    <row r="675" spans="1:12" x14ac:dyDescent="0.25">
      <c r="A675" t="s">
        <v>1710</v>
      </c>
      <c r="B675" t="s">
        <v>1711</v>
      </c>
      <c r="C675">
        <v>479</v>
      </c>
      <c r="D675" s="1">
        <v>45020</v>
      </c>
      <c r="E675">
        <v>904257.53</v>
      </c>
      <c r="F675">
        <v>904257.53</v>
      </c>
      <c r="G675">
        <v>763161.64</v>
      </c>
      <c r="H675">
        <v>763161.64</v>
      </c>
      <c r="I675">
        <v>108951.52</v>
      </c>
      <c r="J675">
        <v>108951.52</v>
      </c>
      <c r="K675">
        <v>32144.37</v>
      </c>
    </row>
    <row r="676" spans="1:12" x14ac:dyDescent="0.25">
      <c r="A676" t="s">
        <v>1712</v>
      </c>
      <c r="B676" t="s">
        <v>1713</v>
      </c>
      <c r="C676">
        <v>470</v>
      </c>
      <c r="D676" s="1">
        <v>45029</v>
      </c>
      <c r="E676">
        <v>169521.03</v>
      </c>
      <c r="F676">
        <v>169521.03</v>
      </c>
      <c r="G676">
        <v>102744.52</v>
      </c>
      <c r="H676">
        <v>102744.52</v>
      </c>
      <c r="I676">
        <v>43743.83</v>
      </c>
      <c r="J676">
        <v>43743.83</v>
      </c>
      <c r="K676">
        <v>12649.91</v>
      </c>
      <c r="L676">
        <v>10382.77</v>
      </c>
    </row>
    <row r="677" spans="1:12" x14ac:dyDescent="0.25">
      <c r="A677" t="s">
        <v>493</v>
      </c>
      <c r="B677" t="s">
        <v>285</v>
      </c>
      <c r="C677">
        <v>466</v>
      </c>
      <c r="D677" s="1">
        <v>45033</v>
      </c>
      <c r="E677">
        <v>392748.22</v>
      </c>
      <c r="F677">
        <v>468859.74</v>
      </c>
      <c r="G677">
        <v>214781.62</v>
      </c>
      <c r="H677">
        <v>139852.54</v>
      </c>
      <c r="I677">
        <v>185989.45</v>
      </c>
      <c r="J677">
        <v>187171.89</v>
      </c>
      <c r="K677">
        <v>54047.65</v>
      </c>
      <c r="L677">
        <v>12858.58</v>
      </c>
    </row>
    <row r="678" spans="1:12" x14ac:dyDescent="0.25">
      <c r="A678" t="s">
        <v>1714</v>
      </c>
      <c r="B678" t="s">
        <v>1715</v>
      </c>
      <c r="C678">
        <v>459</v>
      </c>
      <c r="D678" s="1">
        <v>45040</v>
      </c>
      <c r="E678">
        <v>295338.03999999998</v>
      </c>
      <c r="F678">
        <v>295338.03999999998</v>
      </c>
      <c r="G678">
        <v>200305.09</v>
      </c>
      <c r="H678">
        <v>200305.09</v>
      </c>
      <c r="I678">
        <v>56615.13</v>
      </c>
      <c r="J678">
        <v>56615.13</v>
      </c>
      <c r="K678">
        <v>26384.77</v>
      </c>
      <c r="L678">
        <v>12033.05</v>
      </c>
    </row>
    <row r="679" spans="1:12" x14ac:dyDescent="0.25">
      <c r="A679" t="s">
        <v>494</v>
      </c>
      <c r="B679" t="s">
        <v>156</v>
      </c>
      <c r="C679">
        <v>453</v>
      </c>
      <c r="D679" s="1">
        <v>45046</v>
      </c>
      <c r="E679">
        <v>297900.90000000002</v>
      </c>
      <c r="F679">
        <v>456614.08</v>
      </c>
      <c r="G679">
        <v>302836.65000000002</v>
      </c>
      <c r="H679">
        <v>144123.47</v>
      </c>
      <c r="I679">
        <v>131099.24</v>
      </c>
      <c r="J679">
        <v>131099.24</v>
      </c>
      <c r="K679">
        <v>8813.4</v>
      </c>
      <c r="L679">
        <v>13864.79</v>
      </c>
    </row>
    <row r="680" spans="1:12" x14ac:dyDescent="0.25">
      <c r="A680" t="s">
        <v>1716</v>
      </c>
      <c r="B680" t="s">
        <v>1717</v>
      </c>
      <c r="C680">
        <v>450</v>
      </c>
      <c r="D680" s="1">
        <v>45049</v>
      </c>
      <c r="E680">
        <v>744699.41</v>
      </c>
      <c r="F680">
        <v>744699.41</v>
      </c>
      <c r="G680">
        <v>96264.45</v>
      </c>
      <c r="H680">
        <v>96264.45</v>
      </c>
      <c r="I680">
        <v>82285.89</v>
      </c>
      <c r="J680">
        <v>82285.89</v>
      </c>
      <c r="K680">
        <v>566149.06999999995</v>
      </c>
    </row>
    <row r="681" spans="1:12" x14ac:dyDescent="0.25">
      <c r="A681" t="s">
        <v>495</v>
      </c>
      <c r="B681" t="s">
        <v>323</v>
      </c>
      <c r="C681">
        <v>449</v>
      </c>
      <c r="D681" s="1">
        <v>45050</v>
      </c>
      <c r="E681">
        <v>122930.47</v>
      </c>
      <c r="F681">
        <v>237698.62</v>
      </c>
      <c r="G681">
        <v>153054.64000000001</v>
      </c>
      <c r="H681">
        <v>38286.49</v>
      </c>
      <c r="I681">
        <v>67946.14</v>
      </c>
      <c r="J681">
        <v>67946.14</v>
      </c>
      <c r="K681">
        <v>5102.7</v>
      </c>
      <c r="L681">
        <v>11595.14</v>
      </c>
    </row>
    <row r="682" spans="1:12" x14ac:dyDescent="0.25">
      <c r="A682" t="s">
        <v>496</v>
      </c>
      <c r="B682" t="s">
        <v>49</v>
      </c>
      <c r="C682">
        <v>431</v>
      </c>
      <c r="D682" s="1">
        <v>45068</v>
      </c>
      <c r="E682">
        <v>345882.21</v>
      </c>
      <c r="F682">
        <v>535775.51</v>
      </c>
      <c r="G682">
        <v>323475.14</v>
      </c>
      <c r="H682">
        <v>133581.84</v>
      </c>
      <c r="I682">
        <v>161728.70000000001</v>
      </c>
      <c r="J682">
        <v>161728.70000000001</v>
      </c>
      <c r="K682">
        <v>36158.050000000003</v>
      </c>
      <c r="L682">
        <v>14413.62</v>
      </c>
    </row>
    <row r="683" spans="1:12" x14ac:dyDescent="0.25">
      <c r="A683" t="s">
        <v>497</v>
      </c>
      <c r="B683" t="s">
        <v>342</v>
      </c>
      <c r="C683">
        <v>421</v>
      </c>
      <c r="D683" s="1">
        <v>45078</v>
      </c>
      <c r="E683">
        <v>294684.94</v>
      </c>
      <c r="F683">
        <v>633970.35</v>
      </c>
      <c r="G683">
        <v>418557.53</v>
      </c>
      <c r="H683">
        <v>79272.12</v>
      </c>
      <c r="I683">
        <v>188958.66</v>
      </c>
      <c r="J683">
        <v>188958.66</v>
      </c>
      <c r="K683">
        <v>10765.38</v>
      </c>
      <c r="L683">
        <v>15688.78</v>
      </c>
    </row>
    <row r="684" spans="1:12" x14ac:dyDescent="0.25">
      <c r="A684" t="s">
        <v>498</v>
      </c>
      <c r="B684" t="s">
        <v>290</v>
      </c>
      <c r="C684">
        <v>408</v>
      </c>
      <c r="D684" s="1">
        <v>45091</v>
      </c>
      <c r="E684">
        <v>371486.25</v>
      </c>
      <c r="F684">
        <v>800023.35</v>
      </c>
      <c r="G684">
        <v>540292.54</v>
      </c>
      <c r="H684">
        <v>111755.44</v>
      </c>
      <c r="I684">
        <v>196661.44</v>
      </c>
      <c r="J684">
        <v>196661.44</v>
      </c>
      <c r="K684">
        <v>46059.28</v>
      </c>
      <c r="L684">
        <v>17010.09</v>
      </c>
    </row>
    <row r="685" spans="1:12" x14ac:dyDescent="0.25">
      <c r="A685" t="s">
        <v>500</v>
      </c>
      <c r="B685" t="s">
        <v>251</v>
      </c>
      <c r="C685">
        <v>405</v>
      </c>
      <c r="D685" s="1">
        <v>45094</v>
      </c>
      <c r="E685">
        <v>205377.13</v>
      </c>
      <c r="F685">
        <v>321559.90000000002</v>
      </c>
      <c r="G685">
        <v>176315.99</v>
      </c>
      <c r="H685">
        <v>61548.17</v>
      </c>
      <c r="I685">
        <v>96404.18</v>
      </c>
      <c r="J685">
        <v>97819.13</v>
      </c>
      <c r="K685">
        <v>35793.129999999997</v>
      </c>
      <c r="L685">
        <v>11631.65</v>
      </c>
    </row>
    <row r="686" spans="1:12" x14ac:dyDescent="0.25">
      <c r="A686" t="s">
        <v>1718</v>
      </c>
      <c r="B686" t="s">
        <v>1719</v>
      </c>
      <c r="C686">
        <v>400</v>
      </c>
      <c r="D686" s="1">
        <v>45099</v>
      </c>
      <c r="E686">
        <v>8024.32</v>
      </c>
      <c r="F686">
        <v>8024.32</v>
      </c>
      <c r="L686">
        <v>8024.32</v>
      </c>
    </row>
    <row r="687" spans="1:12" x14ac:dyDescent="0.25">
      <c r="A687" t="s">
        <v>501</v>
      </c>
      <c r="B687" t="s">
        <v>353</v>
      </c>
      <c r="C687">
        <v>389</v>
      </c>
      <c r="D687" s="1">
        <v>45110</v>
      </c>
      <c r="E687">
        <v>151607.34</v>
      </c>
      <c r="F687">
        <v>334993.07</v>
      </c>
      <c r="G687">
        <v>214297.59</v>
      </c>
      <c r="H687">
        <v>30911.86</v>
      </c>
      <c r="I687">
        <v>103038.97</v>
      </c>
      <c r="J687">
        <v>103038.97</v>
      </c>
      <c r="K687">
        <v>5092.21</v>
      </c>
      <c r="L687">
        <v>12564.3</v>
      </c>
    </row>
    <row r="688" spans="1:12" x14ac:dyDescent="0.25">
      <c r="A688" t="s">
        <v>502</v>
      </c>
      <c r="B688" t="s">
        <v>144</v>
      </c>
      <c r="C688">
        <v>371</v>
      </c>
      <c r="D688" s="1">
        <v>45128</v>
      </c>
      <c r="E688">
        <v>51659.47</v>
      </c>
      <c r="F688">
        <v>81366.880000000005</v>
      </c>
      <c r="G688">
        <v>43756.97</v>
      </c>
      <c r="H688">
        <v>14291.74</v>
      </c>
      <c r="I688">
        <v>28601.46</v>
      </c>
      <c r="J688">
        <v>28843.64</v>
      </c>
      <c r="K688">
        <v>8766.27</v>
      </c>
    </row>
    <row r="689" spans="1:12" x14ac:dyDescent="0.25">
      <c r="A689" t="s">
        <v>511</v>
      </c>
      <c r="B689" t="s">
        <v>25</v>
      </c>
      <c r="C689">
        <v>344</v>
      </c>
      <c r="D689" s="1">
        <v>45155</v>
      </c>
      <c r="E689">
        <v>89759.28</v>
      </c>
      <c r="F689">
        <v>111386.08</v>
      </c>
      <c r="G689">
        <v>58089.47</v>
      </c>
      <c r="H689">
        <v>36726.050000000003</v>
      </c>
      <c r="I689">
        <v>29577.09</v>
      </c>
      <c r="J689">
        <v>29840.47</v>
      </c>
      <c r="K689">
        <v>10790.7</v>
      </c>
      <c r="L689">
        <v>12665.44</v>
      </c>
    </row>
    <row r="690" spans="1:12" x14ac:dyDescent="0.25">
      <c r="A690" t="s">
        <v>513</v>
      </c>
      <c r="B690" t="s">
        <v>25</v>
      </c>
      <c r="C690">
        <v>342</v>
      </c>
      <c r="D690" s="1">
        <v>45157</v>
      </c>
      <c r="E690">
        <v>94756.56</v>
      </c>
      <c r="F690">
        <v>137705.24</v>
      </c>
      <c r="G690">
        <v>73664.179999999993</v>
      </c>
      <c r="H690">
        <v>31260.36</v>
      </c>
      <c r="I690">
        <v>49891.9</v>
      </c>
      <c r="J690">
        <v>50436.76</v>
      </c>
      <c r="K690">
        <v>13604.3</v>
      </c>
    </row>
    <row r="691" spans="1:12" x14ac:dyDescent="0.25">
      <c r="A691" t="s">
        <v>516</v>
      </c>
      <c r="B691" t="s">
        <v>250</v>
      </c>
      <c r="C691">
        <v>341</v>
      </c>
      <c r="D691" s="1">
        <v>45158</v>
      </c>
      <c r="E691">
        <v>296222.18</v>
      </c>
      <c r="F691">
        <v>330309.96000000002</v>
      </c>
      <c r="G691">
        <v>173551.16</v>
      </c>
      <c r="H691">
        <v>139818.26999999999</v>
      </c>
      <c r="I691">
        <v>112847.18</v>
      </c>
      <c r="J691">
        <v>113202.07</v>
      </c>
      <c r="K691">
        <v>31957.71</v>
      </c>
      <c r="L691">
        <v>11599.02</v>
      </c>
    </row>
    <row r="692" spans="1:12" x14ac:dyDescent="0.25">
      <c r="A692" t="s">
        <v>537</v>
      </c>
      <c r="B692" t="s">
        <v>26</v>
      </c>
      <c r="C692">
        <v>340</v>
      </c>
      <c r="D692" s="1">
        <v>45159</v>
      </c>
      <c r="E692">
        <v>212474.16</v>
      </c>
      <c r="F692">
        <v>267647.45</v>
      </c>
      <c r="G692">
        <v>129429.49</v>
      </c>
      <c r="H692">
        <v>74906</v>
      </c>
      <c r="I692">
        <v>113804.91</v>
      </c>
      <c r="J692">
        <v>114454.71</v>
      </c>
      <c r="K692">
        <v>23763.25</v>
      </c>
    </row>
    <row r="693" spans="1:12" x14ac:dyDescent="0.25">
      <c r="A693" t="s">
        <v>541</v>
      </c>
      <c r="B693" t="s">
        <v>25</v>
      </c>
      <c r="C693">
        <v>335</v>
      </c>
      <c r="D693" s="1">
        <v>45164</v>
      </c>
      <c r="E693">
        <v>94462.8</v>
      </c>
      <c r="F693">
        <v>126239.27</v>
      </c>
      <c r="G693">
        <v>68136.69</v>
      </c>
      <c r="H693">
        <v>36360.22</v>
      </c>
      <c r="I693">
        <v>45776.65</v>
      </c>
      <c r="J693">
        <v>45776.65</v>
      </c>
      <c r="K693">
        <v>12325.93</v>
      </c>
    </row>
    <row r="694" spans="1:12" x14ac:dyDescent="0.25">
      <c r="A694" t="s">
        <v>582</v>
      </c>
      <c r="B694" t="s">
        <v>153</v>
      </c>
      <c r="C694">
        <v>329</v>
      </c>
      <c r="D694" s="1">
        <v>45170</v>
      </c>
      <c r="E694">
        <v>288675.77</v>
      </c>
      <c r="F694">
        <v>491625.81</v>
      </c>
      <c r="G694">
        <v>251065.36</v>
      </c>
      <c r="H694">
        <v>57905.61</v>
      </c>
      <c r="I694">
        <v>173453.04</v>
      </c>
      <c r="J694">
        <v>183243.33</v>
      </c>
      <c r="K694">
        <v>44604.27</v>
      </c>
      <c r="L694">
        <v>12712.85</v>
      </c>
    </row>
    <row r="695" spans="1:12" x14ac:dyDescent="0.25">
      <c r="A695" t="s">
        <v>503</v>
      </c>
      <c r="B695" t="s">
        <v>309</v>
      </c>
      <c r="C695">
        <v>328</v>
      </c>
      <c r="D695" s="1">
        <v>45171</v>
      </c>
      <c r="E695">
        <v>138768.99</v>
      </c>
      <c r="F695">
        <v>479976.66</v>
      </c>
      <c r="G695">
        <v>386511.69</v>
      </c>
      <c r="H695">
        <v>59082.94</v>
      </c>
      <c r="I695">
        <v>70114.31</v>
      </c>
      <c r="J695">
        <v>83893.23</v>
      </c>
      <c r="K695">
        <v>9571.74</v>
      </c>
    </row>
    <row r="696" spans="1:12" x14ac:dyDescent="0.25">
      <c r="A696" t="s">
        <v>1720</v>
      </c>
      <c r="B696" t="s">
        <v>296</v>
      </c>
      <c r="C696">
        <v>319</v>
      </c>
      <c r="D696" s="1">
        <v>45180</v>
      </c>
      <c r="E696">
        <v>457942.96</v>
      </c>
      <c r="F696">
        <v>457942.96</v>
      </c>
      <c r="G696">
        <v>257945.25</v>
      </c>
      <c r="H696">
        <v>257945.25</v>
      </c>
      <c r="I696">
        <v>142025.35999999999</v>
      </c>
      <c r="J696">
        <v>142025.35999999999</v>
      </c>
      <c r="K696">
        <v>45615.08</v>
      </c>
      <c r="L696">
        <v>12357.27</v>
      </c>
    </row>
    <row r="697" spans="1:12" x14ac:dyDescent="0.25">
      <c r="A697" t="s">
        <v>1721</v>
      </c>
      <c r="B697" t="s">
        <v>302</v>
      </c>
      <c r="C697">
        <v>310</v>
      </c>
      <c r="D697" s="1">
        <v>45189</v>
      </c>
      <c r="E697">
        <v>569908.54</v>
      </c>
      <c r="F697">
        <v>569908.54</v>
      </c>
      <c r="G697">
        <v>280388.82</v>
      </c>
      <c r="H697">
        <v>280388.82</v>
      </c>
      <c r="I697">
        <v>219448.17</v>
      </c>
      <c r="J697">
        <v>219448.17</v>
      </c>
      <c r="K697">
        <v>56941.42</v>
      </c>
      <c r="L697">
        <v>13130.13</v>
      </c>
    </row>
    <row r="698" spans="1:12" x14ac:dyDescent="0.25">
      <c r="A698" t="s">
        <v>506</v>
      </c>
      <c r="B698" t="s">
        <v>346</v>
      </c>
      <c r="C698">
        <v>260</v>
      </c>
      <c r="D698" s="1">
        <v>45239</v>
      </c>
      <c r="E698">
        <v>53359.29</v>
      </c>
      <c r="F698">
        <v>53359.29</v>
      </c>
      <c r="G698">
        <v>32487.77</v>
      </c>
      <c r="H698">
        <v>32487.77</v>
      </c>
      <c r="I698">
        <v>16259.39</v>
      </c>
      <c r="J698">
        <v>16259.39</v>
      </c>
      <c r="K698">
        <v>4612.13</v>
      </c>
    </row>
    <row r="699" spans="1:12" x14ac:dyDescent="0.25">
      <c r="A699" t="s">
        <v>600</v>
      </c>
      <c r="B699" t="s">
        <v>346</v>
      </c>
      <c r="C699">
        <v>248</v>
      </c>
      <c r="D699" s="1">
        <v>45251</v>
      </c>
      <c r="E699">
        <v>101455.16</v>
      </c>
      <c r="F699">
        <v>244144.67</v>
      </c>
      <c r="G699">
        <v>177462.1</v>
      </c>
      <c r="H699">
        <v>35839.61</v>
      </c>
      <c r="I699">
        <v>59539.6</v>
      </c>
      <c r="J699">
        <v>60606.62</v>
      </c>
      <c r="K699">
        <v>6075.95</v>
      </c>
    </row>
    <row r="700" spans="1:12" x14ac:dyDescent="0.25">
      <c r="A700" t="s">
        <v>583</v>
      </c>
      <c r="B700" t="s">
        <v>266</v>
      </c>
      <c r="C700">
        <v>215</v>
      </c>
      <c r="D700" s="1">
        <v>45284</v>
      </c>
      <c r="E700">
        <v>16512.3</v>
      </c>
      <c r="F700">
        <v>122926.61</v>
      </c>
      <c r="G700">
        <v>110795.66</v>
      </c>
      <c r="H700">
        <v>4672.1000000000004</v>
      </c>
      <c r="I700">
        <v>4566.05</v>
      </c>
      <c r="J700">
        <v>4856.8</v>
      </c>
      <c r="K700">
        <v>7274.15</v>
      </c>
    </row>
    <row r="701" spans="1:12" x14ac:dyDescent="0.25">
      <c r="A701" t="s">
        <v>478</v>
      </c>
      <c r="B701" t="s">
        <v>83</v>
      </c>
      <c r="C701">
        <v>203</v>
      </c>
      <c r="D701" s="1">
        <v>45296</v>
      </c>
      <c r="E701">
        <v>24153.27</v>
      </c>
      <c r="F701">
        <v>277671.8</v>
      </c>
      <c r="G701">
        <v>246429.46</v>
      </c>
      <c r="J701">
        <v>7089.07</v>
      </c>
      <c r="K701">
        <v>24153.27</v>
      </c>
    </row>
    <row r="702" spans="1:12" x14ac:dyDescent="0.25">
      <c r="A702" t="s">
        <v>482</v>
      </c>
      <c r="B702" t="s">
        <v>51</v>
      </c>
      <c r="C702">
        <v>193</v>
      </c>
      <c r="D702" s="1">
        <v>45306</v>
      </c>
      <c r="E702">
        <v>67678.48</v>
      </c>
      <c r="F702">
        <v>67678.48</v>
      </c>
      <c r="G702">
        <v>42264.29</v>
      </c>
      <c r="H702">
        <v>42264.29</v>
      </c>
      <c r="I702">
        <v>21009.41</v>
      </c>
      <c r="J702">
        <v>21009.41</v>
      </c>
      <c r="K702">
        <v>4404.78</v>
      </c>
    </row>
    <row r="703" spans="1:12" x14ac:dyDescent="0.25">
      <c r="A703" t="s">
        <v>586</v>
      </c>
      <c r="B703" t="s">
        <v>279</v>
      </c>
      <c r="C703">
        <v>163</v>
      </c>
      <c r="D703" s="1">
        <v>45336</v>
      </c>
      <c r="E703">
        <v>12312.8</v>
      </c>
      <c r="F703">
        <v>235912.57</v>
      </c>
      <c r="G703">
        <v>219628.41</v>
      </c>
      <c r="I703">
        <v>9928.4</v>
      </c>
      <c r="J703">
        <v>13899.76</v>
      </c>
      <c r="K703">
        <v>2384.4</v>
      </c>
    </row>
    <row r="704" spans="1:12" x14ac:dyDescent="0.25">
      <c r="A704" t="s">
        <v>524</v>
      </c>
      <c r="B704" t="s">
        <v>21</v>
      </c>
      <c r="C704">
        <v>159</v>
      </c>
      <c r="D704" s="1">
        <v>45340</v>
      </c>
      <c r="E704">
        <v>32854.57</v>
      </c>
      <c r="F704">
        <v>41741.800000000003</v>
      </c>
      <c r="G704">
        <v>32183.25</v>
      </c>
      <c r="H704">
        <v>23392.36</v>
      </c>
      <c r="I704">
        <v>6698.96</v>
      </c>
      <c r="J704">
        <v>6795.3</v>
      </c>
      <c r="K704">
        <v>2763.25</v>
      </c>
    </row>
    <row r="705" spans="1:11" x14ac:dyDescent="0.25">
      <c r="A705" t="s">
        <v>483</v>
      </c>
      <c r="B705" t="s">
        <v>166</v>
      </c>
      <c r="C705">
        <v>140</v>
      </c>
      <c r="D705" s="1">
        <v>45359</v>
      </c>
      <c r="E705">
        <v>452902.34</v>
      </c>
      <c r="F705">
        <v>1077285.83</v>
      </c>
      <c r="G705">
        <v>742627.39</v>
      </c>
      <c r="H705">
        <v>142227.01999999999</v>
      </c>
      <c r="I705">
        <v>254532.69</v>
      </c>
      <c r="J705">
        <v>278515.81</v>
      </c>
      <c r="K705">
        <v>56142.63</v>
      </c>
    </row>
    <row r="706" spans="1:11" x14ac:dyDescent="0.25">
      <c r="A706" t="s">
        <v>531</v>
      </c>
      <c r="B706" t="s">
        <v>195</v>
      </c>
      <c r="C706">
        <v>132</v>
      </c>
      <c r="D706" s="1">
        <v>45367</v>
      </c>
      <c r="E706">
        <v>77693.39</v>
      </c>
      <c r="F706">
        <v>157695.37</v>
      </c>
      <c r="G706">
        <v>143205.79999999999</v>
      </c>
      <c r="H706">
        <v>63203.82</v>
      </c>
      <c r="I706">
        <v>13174.94</v>
      </c>
      <c r="J706">
        <v>13174.94</v>
      </c>
      <c r="K706">
        <v>1314.63</v>
      </c>
    </row>
    <row r="707" spans="1:11" x14ac:dyDescent="0.25">
      <c r="A707" t="s">
        <v>593</v>
      </c>
      <c r="B707" t="s">
        <v>298</v>
      </c>
      <c r="C707">
        <v>125</v>
      </c>
      <c r="D707" s="1">
        <v>45374</v>
      </c>
      <c r="E707">
        <v>63306.9</v>
      </c>
      <c r="F707">
        <v>171517.59</v>
      </c>
      <c r="G707">
        <v>122063.51</v>
      </c>
      <c r="H707">
        <v>14594.8</v>
      </c>
      <c r="I707">
        <v>46451.03</v>
      </c>
      <c r="J707">
        <v>47193.01</v>
      </c>
      <c r="K707">
        <v>2261.0700000000002</v>
      </c>
    </row>
    <row r="708" spans="1:11" x14ac:dyDescent="0.25">
      <c r="A708" t="s">
        <v>509</v>
      </c>
      <c r="B708" t="s">
        <v>218</v>
      </c>
      <c r="C708">
        <v>75</v>
      </c>
      <c r="D708" s="1">
        <v>45424</v>
      </c>
      <c r="E708">
        <v>216643.6</v>
      </c>
      <c r="F708">
        <v>705958.43</v>
      </c>
      <c r="G708">
        <v>576927.80000000005</v>
      </c>
      <c r="H708">
        <v>99872.63</v>
      </c>
      <c r="I708">
        <v>93405.39</v>
      </c>
      <c r="J708">
        <v>105665.05</v>
      </c>
      <c r="K708">
        <v>23365.58</v>
      </c>
    </row>
    <row r="709" spans="1:11" x14ac:dyDescent="0.25">
      <c r="A709" t="s">
        <v>556</v>
      </c>
      <c r="B709" t="s">
        <v>218</v>
      </c>
      <c r="C709">
        <v>62</v>
      </c>
      <c r="D709" s="1">
        <v>45437</v>
      </c>
      <c r="E709">
        <v>18877.77</v>
      </c>
      <c r="F709">
        <v>65252.07</v>
      </c>
      <c r="G709">
        <v>55078.39</v>
      </c>
      <c r="H709">
        <v>8780.2000000000007</v>
      </c>
      <c r="I709">
        <v>8253.5499999999993</v>
      </c>
      <c r="J709">
        <v>8329.66</v>
      </c>
      <c r="K709">
        <v>1844.02</v>
      </c>
    </row>
    <row r="710" spans="1:11" x14ac:dyDescent="0.25">
      <c r="A710" t="s">
        <v>595</v>
      </c>
      <c r="B710" t="s">
        <v>320</v>
      </c>
      <c r="C710">
        <v>53</v>
      </c>
      <c r="D710" s="1">
        <v>45446</v>
      </c>
      <c r="E710">
        <v>14114.07</v>
      </c>
      <c r="F710">
        <v>352851.76</v>
      </c>
      <c r="G710">
        <v>347000.86</v>
      </c>
      <c r="H710">
        <v>13525.68</v>
      </c>
      <c r="I710">
        <v>47.43</v>
      </c>
      <c r="J710">
        <v>5309.94</v>
      </c>
      <c r="K710">
        <v>540.96</v>
      </c>
    </row>
    <row r="711" spans="1:11" x14ac:dyDescent="0.25">
      <c r="A711" t="s">
        <v>588</v>
      </c>
      <c r="B711" t="s">
        <v>282</v>
      </c>
      <c r="C711">
        <v>46</v>
      </c>
      <c r="D711" s="1">
        <v>45453</v>
      </c>
      <c r="E711">
        <v>131660.04</v>
      </c>
      <c r="F711">
        <v>431801.99</v>
      </c>
      <c r="G711">
        <v>385341.82</v>
      </c>
      <c r="H711">
        <v>94630.080000000002</v>
      </c>
      <c r="I711">
        <v>27458.07</v>
      </c>
      <c r="J711">
        <v>36888.28</v>
      </c>
      <c r="K711">
        <v>9571.89</v>
      </c>
    </row>
    <row r="712" spans="1:11" x14ac:dyDescent="0.25">
      <c r="A712" t="s">
        <v>598</v>
      </c>
      <c r="B712" t="s">
        <v>335</v>
      </c>
      <c r="C712">
        <v>39</v>
      </c>
      <c r="D712" s="1">
        <v>45460</v>
      </c>
      <c r="E712">
        <v>54335.59</v>
      </c>
      <c r="F712">
        <v>730180.46</v>
      </c>
      <c r="G712">
        <v>687800.96</v>
      </c>
      <c r="H712">
        <v>21323.3</v>
      </c>
      <c r="I712">
        <v>32522.69</v>
      </c>
      <c r="J712">
        <v>41889.9</v>
      </c>
      <c r="K712">
        <v>489.6</v>
      </c>
    </row>
    <row r="713" spans="1:11" x14ac:dyDescent="0.25">
      <c r="A713" t="s">
        <v>580</v>
      </c>
      <c r="B713" t="s">
        <v>262</v>
      </c>
      <c r="C713">
        <v>35</v>
      </c>
      <c r="D713" s="1">
        <v>45464</v>
      </c>
      <c r="E713">
        <v>8614.14</v>
      </c>
      <c r="F713">
        <v>110023.59</v>
      </c>
      <c r="G713">
        <v>107148.59</v>
      </c>
      <c r="H713">
        <v>6511.15</v>
      </c>
      <c r="I713">
        <v>77.88</v>
      </c>
      <c r="J713">
        <v>849.89</v>
      </c>
      <c r="K713">
        <v>2025.11</v>
      </c>
    </row>
    <row r="714" spans="1:11" x14ac:dyDescent="0.25">
      <c r="A714" t="s">
        <v>518</v>
      </c>
      <c r="B714" t="s">
        <v>140</v>
      </c>
      <c r="C714">
        <v>32</v>
      </c>
      <c r="D714" s="1">
        <v>45467</v>
      </c>
      <c r="E714">
        <v>61911.83</v>
      </c>
      <c r="F714">
        <v>61911.83</v>
      </c>
      <c r="G714">
        <v>55322.09</v>
      </c>
      <c r="H714">
        <v>55322.09</v>
      </c>
      <c r="I714">
        <v>5633.77</v>
      </c>
      <c r="J714">
        <v>5633.77</v>
      </c>
      <c r="K714">
        <v>955.97</v>
      </c>
    </row>
    <row r="715" spans="1:11" x14ac:dyDescent="0.25">
      <c r="A715" t="s">
        <v>558</v>
      </c>
      <c r="B715" t="s">
        <v>220</v>
      </c>
      <c r="C715">
        <v>29</v>
      </c>
      <c r="D715" s="1">
        <v>45470</v>
      </c>
      <c r="E715">
        <v>15898.42</v>
      </c>
      <c r="F715">
        <v>258030.22</v>
      </c>
      <c r="G715">
        <v>244826.11</v>
      </c>
      <c r="H715">
        <v>11945.72</v>
      </c>
      <c r="I715">
        <v>65.459999999999994</v>
      </c>
      <c r="J715">
        <v>9316.8700000000008</v>
      </c>
      <c r="K715">
        <v>3887.24</v>
      </c>
    </row>
    <row r="716" spans="1:11" x14ac:dyDescent="0.25">
      <c r="A716" t="s">
        <v>579</v>
      </c>
      <c r="B716" t="s">
        <v>262</v>
      </c>
      <c r="C716">
        <v>13</v>
      </c>
      <c r="D716" s="1">
        <v>45486</v>
      </c>
      <c r="E716">
        <v>47014.32</v>
      </c>
      <c r="F716">
        <v>491140.35</v>
      </c>
      <c r="G716">
        <v>452267.28</v>
      </c>
      <c r="H716">
        <v>18492.43</v>
      </c>
      <c r="I716">
        <v>25346.97</v>
      </c>
      <c r="J716">
        <v>35698.15</v>
      </c>
      <c r="K716">
        <v>3174.92</v>
      </c>
    </row>
    <row r="717" spans="1:11" x14ac:dyDescent="0.25">
      <c r="A717" t="s">
        <v>491</v>
      </c>
      <c r="B717" t="s">
        <v>44</v>
      </c>
      <c r="C717">
        <v>12</v>
      </c>
      <c r="D717" s="1">
        <v>45487</v>
      </c>
      <c r="E717">
        <v>2809.6</v>
      </c>
      <c r="F717">
        <v>62835.45</v>
      </c>
      <c r="G717">
        <v>59055.08</v>
      </c>
      <c r="I717">
        <v>2426.92</v>
      </c>
      <c r="J717">
        <v>3397.69</v>
      </c>
      <c r="K717">
        <v>382.68</v>
      </c>
    </row>
    <row r="718" spans="1:11" x14ac:dyDescent="0.25">
      <c r="A718" t="s">
        <v>512</v>
      </c>
      <c r="B718" t="s">
        <v>52</v>
      </c>
      <c r="C718">
        <v>8</v>
      </c>
      <c r="D718" s="1">
        <v>45491</v>
      </c>
      <c r="E718">
        <v>9323.7000000000007</v>
      </c>
      <c r="F718">
        <v>87445.55</v>
      </c>
      <c r="G718">
        <v>82778.91</v>
      </c>
      <c r="H718">
        <v>5503.91</v>
      </c>
      <c r="I718">
        <v>3462.19</v>
      </c>
      <c r="J718">
        <v>4309.04</v>
      </c>
      <c r="K718">
        <v>357.6</v>
      </c>
    </row>
    <row r="719" spans="1:11" x14ac:dyDescent="0.25">
      <c r="A719" t="s">
        <v>515</v>
      </c>
      <c r="B719" t="s">
        <v>88</v>
      </c>
      <c r="C719">
        <v>6</v>
      </c>
      <c r="D719" s="1">
        <v>45493</v>
      </c>
      <c r="E719">
        <v>15128.95</v>
      </c>
      <c r="F719">
        <v>42394.55</v>
      </c>
      <c r="G719">
        <v>39140.76</v>
      </c>
      <c r="H719">
        <v>12233.43</v>
      </c>
      <c r="I719">
        <v>2768.7</v>
      </c>
      <c r="J719">
        <v>3126.97</v>
      </c>
      <c r="K719">
        <v>126.82</v>
      </c>
    </row>
    <row r="720" spans="1:11" x14ac:dyDescent="0.25">
      <c r="A720" t="s">
        <v>554</v>
      </c>
      <c r="B720" t="s">
        <v>152</v>
      </c>
      <c r="C720">
        <v>4</v>
      </c>
      <c r="D720" s="1">
        <v>45495</v>
      </c>
      <c r="E720">
        <v>18477.21</v>
      </c>
      <c r="F720">
        <v>159047.57</v>
      </c>
      <c r="G720">
        <v>149401</v>
      </c>
      <c r="H720">
        <v>9855.25</v>
      </c>
      <c r="I720">
        <v>8299.25</v>
      </c>
      <c r="J720">
        <v>9323.86</v>
      </c>
      <c r="K720">
        <v>322.70999999999998</v>
      </c>
    </row>
    <row r="721" spans="1:11" x14ac:dyDescent="0.25">
      <c r="A721" t="s">
        <v>601</v>
      </c>
      <c r="B721" t="s">
        <v>161</v>
      </c>
      <c r="C721">
        <v>3</v>
      </c>
      <c r="D721" s="1">
        <v>45496</v>
      </c>
      <c r="E721">
        <v>58474.74</v>
      </c>
      <c r="F721">
        <v>646845.68999999994</v>
      </c>
      <c r="G721">
        <v>601100.55000000005</v>
      </c>
      <c r="H721">
        <v>16763.919999999998</v>
      </c>
      <c r="I721">
        <v>41616.379999999997</v>
      </c>
      <c r="J721">
        <v>45650.7</v>
      </c>
      <c r="K721">
        <v>94.44</v>
      </c>
    </row>
    <row r="722" spans="1:11" x14ac:dyDescent="0.25">
      <c r="A722" t="s">
        <v>547</v>
      </c>
      <c r="B722" t="s">
        <v>145</v>
      </c>
      <c r="C722">
        <v>2</v>
      </c>
      <c r="D722" s="1">
        <v>45497</v>
      </c>
      <c r="E722">
        <v>6603.41</v>
      </c>
      <c r="F722">
        <v>51790.04</v>
      </c>
      <c r="G722">
        <v>48585.51</v>
      </c>
      <c r="H722">
        <v>3581.36</v>
      </c>
      <c r="I722">
        <v>2969.58</v>
      </c>
      <c r="J722">
        <v>3152.06</v>
      </c>
      <c r="K722">
        <v>52.47</v>
      </c>
    </row>
    <row r="723" spans="1:11" x14ac:dyDescent="0.25">
      <c r="A723" t="s">
        <v>576</v>
      </c>
      <c r="B723" t="s">
        <v>167</v>
      </c>
      <c r="C723">
        <v>2</v>
      </c>
      <c r="D723" s="1">
        <v>45497</v>
      </c>
      <c r="E723">
        <v>13377.91</v>
      </c>
      <c r="F723">
        <v>141099.79999999999</v>
      </c>
      <c r="G723">
        <v>133467.01</v>
      </c>
      <c r="H723">
        <v>6191.46</v>
      </c>
      <c r="I723">
        <v>7042.31</v>
      </c>
      <c r="J723">
        <v>7488.65</v>
      </c>
      <c r="K723">
        <v>144.13999999999999</v>
      </c>
    </row>
    <row r="724" spans="1:11" x14ac:dyDescent="0.25">
      <c r="A724" t="s">
        <v>1722</v>
      </c>
      <c r="B724" t="s">
        <v>1723</v>
      </c>
      <c r="C724">
        <v>1</v>
      </c>
      <c r="D724" s="1">
        <v>45498</v>
      </c>
      <c r="E724">
        <v>5281.34</v>
      </c>
      <c r="F724">
        <v>5281.34</v>
      </c>
      <c r="K724">
        <v>5281.34</v>
      </c>
    </row>
    <row r="725" spans="1:11" x14ac:dyDescent="0.25">
      <c r="A725" t="s">
        <v>563</v>
      </c>
      <c r="B725" t="s">
        <v>227</v>
      </c>
      <c r="C725">
        <v>1</v>
      </c>
      <c r="D725" s="1">
        <v>45498</v>
      </c>
      <c r="E725">
        <v>27468.46</v>
      </c>
      <c r="F725">
        <v>268337.74</v>
      </c>
      <c r="G725">
        <v>257515.12</v>
      </c>
      <c r="H725">
        <v>16975.349999999999</v>
      </c>
      <c r="I725">
        <v>10354.049999999999</v>
      </c>
      <c r="J725">
        <v>10683.56</v>
      </c>
      <c r="K725">
        <v>139.06</v>
      </c>
    </row>
    <row r="726" spans="1:11" x14ac:dyDescent="0.25">
      <c r="A726" t="s">
        <v>599</v>
      </c>
      <c r="B726" t="s">
        <v>150</v>
      </c>
      <c r="C726">
        <v>1</v>
      </c>
      <c r="D726" s="1">
        <v>45498</v>
      </c>
      <c r="E726">
        <v>9576.7000000000007</v>
      </c>
      <c r="F726">
        <v>172982.81</v>
      </c>
      <c r="G726">
        <v>168205.4</v>
      </c>
      <c r="H726">
        <v>5080.8500000000004</v>
      </c>
      <c r="I726">
        <v>4490.6899999999996</v>
      </c>
      <c r="J726">
        <v>4772.25</v>
      </c>
      <c r="K726">
        <v>5.16</v>
      </c>
    </row>
    <row r="727" spans="1:11" x14ac:dyDescent="0.25">
      <c r="A727" t="s">
        <v>1724</v>
      </c>
      <c r="B727" t="s">
        <v>1725</v>
      </c>
    </row>
    <row r="728" spans="1:11" x14ac:dyDescent="0.25">
      <c r="A728" t="s">
        <v>1726</v>
      </c>
      <c r="B728" t="s">
        <v>1727</v>
      </c>
    </row>
    <row r="729" spans="1:11" x14ac:dyDescent="0.25">
      <c r="A729" t="s">
        <v>1728</v>
      </c>
      <c r="B729" t="s">
        <v>1717</v>
      </c>
    </row>
    <row r="730" spans="1:11" x14ac:dyDescent="0.25">
      <c r="A730" t="s">
        <v>1729</v>
      </c>
      <c r="B730" t="s">
        <v>1730</v>
      </c>
    </row>
    <row r="731" spans="1:11" x14ac:dyDescent="0.25">
      <c r="A731" t="s">
        <v>1731</v>
      </c>
      <c r="B731" t="s">
        <v>1732</v>
      </c>
    </row>
    <row r="732" spans="1:11" x14ac:dyDescent="0.25">
      <c r="A732" t="s">
        <v>1733</v>
      </c>
      <c r="B732" t="s">
        <v>1734</v>
      </c>
    </row>
    <row r="733" spans="1:11" x14ac:dyDescent="0.25">
      <c r="A733" t="s">
        <v>1735</v>
      </c>
      <c r="B733" t="s">
        <v>180</v>
      </c>
    </row>
    <row r="734" spans="1:11" x14ac:dyDescent="0.25">
      <c r="A734" t="s">
        <v>1736</v>
      </c>
      <c r="B734" t="s">
        <v>140</v>
      </c>
    </row>
    <row r="735" spans="1:11" x14ac:dyDescent="0.25">
      <c r="A735" t="s">
        <v>1737</v>
      </c>
      <c r="B735" t="s">
        <v>181</v>
      </c>
    </row>
    <row r="736" spans="1:11" x14ac:dyDescent="0.25">
      <c r="A736" t="s">
        <v>1738</v>
      </c>
      <c r="B736" t="s">
        <v>182</v>
      </c>
    </row>
    <row r="737" spans="1:10" x14ac:dyDescent="0.25">
      <c r="A737" t="s">
        <v>1739</v>
      </c>
      <c r="B737" t="s">
        <v>183</v>
      </c>
    </row>
    <row r="738" spans="1:10" x14ac:dyDescent="0.25">
      <c r="A738" t="s">
        <v>1740</v>
      </c>
      <c r="B738" t="s">
        <v>184</v>
      </c>
    </row>
    <row r="739" spans="1:10" x14ac:dyDescent="0.25">
      <c r="A739" t="s">
        <v>1741</v>
      </c>
      <c r="B739" t="s">
        <v>72</v>
      </c>
    </row>
    <row r="740" spans="1:10" x14ac:dyDescent="0.25">
      <c r="A740" t="s">
        <v>507</v>
      </c>
      <c r="B740" t="s">
        <v>72</v>
      </c>
      <c r="F740">
        <v>214399.06</v>
      </c>
      <c r="G740">
        <v>208559.4</v>
      </c>
      <c r="J740">
        <v>5839.66</v>
      </c>
    </row>
    <row r="741" spans="1:10" x14ac:dyDescent="0.25">
      <c r="A741" t="s">
        <v>1742</v>
      </c>
      <c r="B741" t="s">
        <v>73</v>
      </c>
    </row>
    <row r="742" spans="1:10" x14ac:dyDescent="0.25">
      <c r="A742" t="s">
        <v>508</v>
      </c>
      <c r="B742" t="s">
        <v>73</v>
      </c>
      <c r="F742">
        <v>224121.05</v>
      </c>
      <c r="G742">
        <v>217448.65</v>
      </c>
      <c r="J742">
        <v>6672.4</v>
      </c>
    </row>
    <row r="743" spans="1:10" x14ac:dyDescent="0.25">
      <c r="A743" t="s">
        <v>1743</v>
      </c>
      <c r="B743" t="s">
        <v>185</v>
      </c>
    </row>
    <row r="744" spans="1:10" x14ac:dyDescent="0.25">
      <c r="A744" t="s">
        <v>1744</v>
      </c>
      <c r="B744" t="s">
        <v>373</v>
      </c>
    </row>
    <row r="745" spans="1:10" x14ac:dyDescent="0.25">
      <c r="A745" t="s">
        <v>1745</v>
      </c>
      <c r="B745" t="s">
        <v>74</v>
      </c>
    </row>
    <row r="746" spans="1:10" x14ac:dyDescent="0.25">
      <c r="A746" t="s">
        <v>1746</v>
      </c>
      <c r="B746" t="s">
        <v>1747</v>
      </c>
    </row>
    <row r="747" spans="1:10" x14ac:dyDescent="0.25">
      <c r="A747" t="s">
        <v>1748</v>
      </c>
      <c r="B747" t="s">
        <v>49</v>
      </c>
    </row>
    <row r="748" spans="1:10" x14ac:dyDescent="0.25">
      <c r="A748" t="s">
        <v>1749</v>
      </c>
      <c r="B748" t="s">
        <v>1750</v>
      </c>
    </row>
    <row r="749" spans="1:10" x14ac:dyDescent="0.25">
      <c r="A749" t="s">
        <v>1751</v>
      </c>
      <c r="B749" t="s">
        <v>51</v>
      </c>
    </row>
    <row r="750" spans="1:10" x14ac:dyDescent="0.25">
      <c r="A750" t="s">
        <v>1752</v>
      </c>
      <c r="B750" t="s">
        <v>1753</v>
      </c>
    </row>
    <row r="751" spans="1:10" x14ac:dyDescent="0.25">
      <c r="A751" t="s">
        <v>1754</v>
      </c>
      <c r="B751" t="s">
        <v>188</v>
      </c>
    </row>
    <row r="752" spans="1:10" x14ac:dyDescent="0.25">
      <c r="A752" t="s">
        <v>189</v>
      </c>
      <c r="B752" t="s">
        <v>188</v>
      </c>
    </row>
    <row r="753" spans="1:10" x14ac:dyDescent="0.25">
      <c r="A753" t="s">
        <v>520</v>
      </c>
      <c r="B753" t="s">
        <v>188</v>
      </c>
      <c r="F753">
        <v>55421.26</v>
      </c>
      <c r="G753">
        <v>53256</v>
      </c>
      <c r="J753">
        <v>2165.2600000000002</v>
      </c>
    </row>
    <row r="754" spans="1:10" x14ac:dyDescent="0.25">
      <c r="A754" t="s">
        <v>1755</v>
      </c>
      <c r="B754" t="s">
        <v>188</v>
      </c>
    </row>
    <row r="755" spans="1:10" x14ac:dyDescent="0.25">
      <c r="A755" t="s">
        <v>521</v>
      </c>
      <c r="B755" t="s">
        <v>188</v>
      </c>
      <c r="F755">
        <v>45462.65</v>
      </c>
      <c r="G755">
        <v>44250.31</v>
      </c>
      <c r="J755">
        <v>1212.3399999999999</v>
      </c>
    </row>
    <row r="756" spans="1:10" x14ac:dyDescent="0.25">
      <c r="A756" t="s">
        <v>1756</v>
      </c>
      <c r="B756" t="s">
        <v>1757</v>
      </c>
    </row>
    <row r="757" spans="1:10" x14ac:dyDescent="0.25">
      <c r="A757" t="s">
        <v>603</v>
      </c>
      <c r="B757" t="s">
        <v>378</v>
      </c>
      <c r="F757">
        <v>113856.96000000001</v>
      </c>
      <c r="G757">
        <v>48912.9</v>
      </c>
      <c r="J757">
        <v>50816.36</v>
      </c>
    </row>
    <row r="758" spans="1:10" x14ac:dyDescent="0.25">
      <c r="A758" t="s">
        <v>1758</v>
      </c>
      <c r="B758" t="s">
        <v>1759</v>
      </c>
    </row>
    <row r="759" spans="1:10" x14ac:dyDescent="0.25">
      <c r="A759" t="s">
        <v>1760</v>
      </c>
      <c r="B759" t="s">
        <v>1761</v>
      </c>
    </row>
    <row r="760" spans="1:10" x14ac:dyDescent="0.25">
      <c r="A760" t="s">
        <v>1762</v>
      </c>
      <c r="B760" t="s">
        <v>143</v>
      </c>
    </row>
    <row r="761" spans="1:10" x14ac:dyDescent="0.25">
      <c r="A761" t="s">
        <v>1763</v>
      </c>
      <c r="B761" t="s">
        <v>1764</v>
      </c>
    </row>
    <row r="762" spans="1:10" x14ac:dyDescent="0.25">
      <c r="A762" t="s">
        <v>1765</v>
      </c>
      <c r="B762" t="s">
        <v>164</v>
      </c>
    </row>
    <row r="763" spans="1:10" x14ac:dyDescent="0.25">
      <c r="A763" t="s">
        <v>1766</v>
      </c>
      <c r="B763" t="s">
        <v>164</v>
      </c>
    </row>
    <row r="764" spans="1:10" x14ac:dyDescent="0.25">
      <c r="A764" t="s">
        <v>1767</v>
      </c>
      <c r="B764" t="s">
        <v>377</v>
      </c>
    </row>
    <row r="765" spans="1:10" x14ac:dyDescent="0.25">
      <c r="A765" t="s">
        <v>1768</v>
      </c>
      <c r="B765" t="s">
        <v>377</v>
      </c>
    </row>
    <row r="766" spans="1:10" x14ac:dyDescent="0.25">
      <c r="A766" t="s">
        <v>1769</v>
      </c>
      <c r="B766" t="s">
        <v>377</v>
      </c>
    </row>
    <row r="767" spans="1:10" x14ac:dyDescent="0.25">
      <c r="A767" t="s">
        <v>1770</v>
      </c>
      <c r="B767" t="s">
        <v>191</v>
      </c>
    </row>
    <row r="768" spans="1:10" x14ac:dyDescent="0.25">
      <c r="A768" t="s">
        <v>522</v>
      </c>
      <c r="B768" t="s">
        <v>191</v>
      </c>
      <c r="D768" s="1">
        <v>45499</v>
      </c>
      <c r="E768">
        <v>9628.57</v>
      </c>
      <c r="F768">
        <v>18922.45</v>
      </c>
      <c r="G768">
        <v>18175.509999999998</v>
      </c>
      <c r="H768">
        <v>8881.6299999999992</v>
      </c>
      <c r="I768">
        <v>746.94</v>
      </c>
      <c r="J768">
        <v>746.94</v>
      </c>
    </row>
    <row r="769" spans="1:10" x14ac:dyDescent="0.25">
      <c r="A769" t="s">
        <v>1771</v>
      </c>
      <c r="B769" t="s">
        <v>144</v>
      </c>
    </row>
    <row r="770" spans="1:10" x14ac:dyDescent="0.25">
      <c r="A770" t="s">
        <v>1772</v>
      </c>
      <c r="B770" t="s">
        <v>1773</v>
      </c>
    </row>
    <row r="771" spans="1:10" x14ac:dyDescent="0.25">
      <c r="A771" t="s">
        <v>75</v>
      </c>
      <c r="B771" t="s">
        <v>76</v>
      </c>
    </row>
    <row r="772" spans="1:10" x14ac:dyDescent="0.25">
      <c r="A772" t="s">
        <v>523</v>
      </c>
      <c r="B772" t="s">
        <v>76</v>
      </c>
      <c r="F772">
        <v>6298.75</v>
      </c>
      <c r="G772">
        <v>5995.21</v>
      </c>
      <c r="J772">
        <v>303.54000000000002</v>
      </c>
    </row>
    <row r="773" spans="1:10" x14ac:dyDescent="0.25">
      <c r="A773" t="s">
        <v>1774</v>
      </c>
      <c r="B773" t="s">
        <v>192</v>
      </c>
    </row>
    <row r="774" spans="1:10" x14ac:dyDescent="0.25">
      <c r="A774" t="s">
        <v>1775</v>
      </c>
      <c r="B774" t="s">
        <v>1776</v>
      </c>
    </row>
    <row r="775" spans="1:10" x14ac:dyDescent="0.25">
      <c r="A775" t="s">
        <v>1777</v>
      </c>
      <c r="B775" t="s">
        <v>1776</v>
      </c>
    </row>
    <row r="776" spans="1:10" x14ac:dyDescent="0.25">
      <c r="A776" t="s">
        <v>1778</v>
      </c>
      <c r="B776" t="s">
        <v>1776</v>
      </c>
    </row>
    <row r="777" spans="1:10" x14ac:dyDescent="0.25">
      <c r="A777" t="s">
        <v>1779</v>
      </c>
      <c r="B777" t="s">
        <v>21</v>
      </c>
    </row>
    <row r="778" spans="1:10" x14ac:dyDescent="0.25">
      <c r="A778" t="s">
        <v>1780</v>
      </c>
      <c r="B778" t="s">
        <v>157</v>
      </c>
    </row>
    <row r="779" spans="1:10" x14ac:dyDescent="0.25">
      <c r="A779" t="s">
        <v>525</v>
      </c>
      <c r="B779" t="s">
        <v>157</v>
      </c>
      <c r="F779">
        <v>15890.16</v>
      </c>
      <c r="G779">
        <v>15825.13</v>
      </c>
      <c r="J779">
        <v>65.03</v>
      </c>
    </row>
    <row r="780" spans="1:10" x14ac:dyDescent="0.25">
      <c r="A780" t="s">
        <v>1781</v>
      </c>
      <c r="B780" t="s">
        <v>1232</v>
      </c>
    </row>
    <row r="781" spans="1:10" x14ac:dyDescent="0.25">
      <c r="A781" t="s">
        <v>1782</v>
      </c>
      <c r="B781" t="s">
        <v>1783</v>
      </c>
    </row>
    <row r="782" spans="1:10" x14ac:dyDescent="0.25">
      <c r="A782" t="s">
        <v>1784</v>
      </c>
      <c r="B782" t="s">
        <v>194</v>
      </c>
    </row>
    <row r="783" spans="1:10" x14ac:dyDescent="0.25">
      <c r="A783" t="s">
        <v>526</v>
      </c>
      <c r="B783" t="s">
        <v>194</v>
      </c>
      <c r="F783">
        <v>21359.29</v>
      </c>
      <c r="G783">
        <v>21042.22</v>
      </c>
      <c r="J783">
        <v>317.07</v>
      </c>
    </row>
    <row r="784" spans="1:10" x14ac:dyDescent="0.25">
      <c r="A784" t="s">
        <v>1785</v>
      </c>
      <c r="B784" t="s">
        <v>151</v>
      </c>
    </row>
    <row r="785" spans="1:10" x14ac:dyDescent="0.25">
      <c r="A785" t="s">
        <v>527</v>
      </c>
      <c r="B785" t="s">
        <v>151</v>
      </c>
      <c r="F785">
        <v>55890.03</v>
      </c>
      <c r="G785">
        <v>55440.43</v>
      </c>
      <c r="J785">
        <v>449.6</v>
      </c>
    </row>
    <row r="786" spans="1:10" x14ac:dyDescent="0.25">
      <c r="A786" t="s">
        <v>1786</v>
      </c>
      <c r="B786" t="s">
        <v>151</v>
      </c>
    </row>
    <row r="787" spans="1:10" x14ac:dyDescent="0.25">
      <c r="A787" t="s">
        <v>528</v>
      </c>
      <c r="B787" t="s">
        <v>151</v>
      </c>
      <c r="F787">
        <v>113179.03</v>
      </c>
      <c r="G787">
        <v>110632.96000000001</v>
      </c>
      <c r="J787">
        <v>2546.0700000000002</v>
      </c>
    </row>
    <row r="788" spans="1:10" x14ac:dyDescent="0.25">
      <c r="A788" t="s">
        <v>1787</v>
      </c>
      <c r="B788" t="s">
        <v>151</v>
      </c>
    </row>
    <row r="789" spans="1:10" x14ac:dyDescent="0.25">
      <c r="A789" t="s">
        <v>529</v>
      </c>
      <c r="B789" t="s">
        <v>151</v>
      </c>
      <c r="F789">
        <v>103435.58</v>
      </c>
      <c r="G789">
        <v>99509.72</v>
      </c>
      <c r="J789">
        <v>3925.86</v>
      </c>
    </row>
    <row r="790" spans="1:10" x14ac:dyDescent="0.25">
      <c r="A790" t="s">
        <v>1788</v>
      </c>
      <c r="B790" t="s">
        <v>151</v>
      </c>
    </row>
    <row r="791" spans="1:10" x14ac:dyDescent="0.25">
      <c r="A791" t="s">
        <v>530</v>
      </c>
      <c r="B791" t="s">
        <v>151</v>
      </c>
      <c r="F791">
        <v>41112.97</v>
      </c>
      <c r="G791">
        <v>39804.33</v>
      </c>
      <c r="J791">
        <v>1308.6400000000001</v>
      </c>
    </row>
    <row r="792" spans="1:10" x14ac:dyDescent="0.25">
      <c r="A792" t="s">
        <v>1789</v>
      </c>
      <c r="B792" t="s">
        <v>139</v>
      </c>
    </row>
    <row r="793" spans="1:10" x14ac:dyDescent="0.25">
      <c r="A793" t="s">
        <v>1790</v>
      </c>
      <c r="B793" t="s">
        <v>1791</v>
      </c>
    </row>
    <row r="794" spans="1:10" x14ac:dyDescent="0.25">
      <c r="A794" t="s">
        <v>1792</v>
      </c>
      <c r="B794" t="s">
        <v>1793</v>
      </c>
    </row>
    <row r="795" spans="1:10" x14ac:dyDescent="0.25">
      <c r="A795" t="s">
        <v>1794</v>
      </c>
      <c r="B795" t="s">
        <v>1795</v>
      </c>
    </row>
    <row r="796" spans="1:10" x14ac:dyDescent="0.25">
      <c r="A796" t="s">
        <v>1796</v>
      </c>
      <c r="B796" t="s">
        <v>195</v>
      </c>
    </row>
    <row r="797" spans="1:10" x14ac:dyDescent="0.25">
      <c r="A797" t="s">
        <v>1797</v>
      </c>
      <c r="B797" t="s">
        <v>196</v>
      </c>
    </row>
    <row r="798" spans="1:10" x14ac:dyDescent="0.25">
      <c r="A798" t="s">
        <v>1798</v>
      </c>
      <c r="B798" t="s">
        <v>1799</v>
      </c>
    </row>
    <row r="799" spans="1:10" x14ac:dyDescent="0.25">
      <c r="A799" t="s">
        <v>1800</v>
      </c>
      <c r="B799" t="s">
        <v>1799</v>
      </c>
      <c r="F799">
        <v>284181.90000000002</v>
      </c>
      <c r="G799">
        <v>149392.56</v>
      </c>
      <c r="J799">
        <v>134789.34</v>
      </c>
    </row>
    <row r="800" spans="1:10" x14ac:dyDescent="0.25">
      <c r="A800" t="s">
        <v>1801</v>
      </c>
      <c r="B800" t="s">
        <v>1802</v>
      </c>
    </row>
    <row r="801" spans="1:10" x14ac:dyDescent="0.25">
      <c r="A801" t="s">
        <v>1803</v>
      </c>
      <c r="B801" t="s">
        <v>197</v>
      </c>
    </row>
    <row r="802" spans="1:10" x14ac:dyDescent="0.25">
      <c r="A802" t="s">
        <v>532</v>
      </c>
      <c r="B802" t="s">
        <v>197</v>
      </c>
      <c r="F802">
        <v>27215.759999999998</v>
      </c>
      <c r="G802">
        <v>25772.5</v>
      </c>
      <c r="J802">
        <v>1443.26</v>
      </c>
    </row>
    <row r="803" spans="1:10" x14ac:dyDescent="0.25">
      <c r="A803" t="s">
        <v>1804</v>
      </c>
      <c r="B803" t="s">
        <v>1805</v>
      </c>
    </row>
    <row r="804" spans="1:10" x14ac:dyDescent="0.25">
      <c r="A804" t="s">
        <v>1806</v>
      </c>
      <c r="B804" t="s">
        <v>1807</v>
      </c>
    </row>
    <row r="805" spans="1:10" x14ac:dyDescent="0.25">
      <c r="A805" t="s">
        <v>1808</v>
      </c>
      <c r="B805" t="s">
        <v>22</v>
      </c>
    </row>
    <row r="806" spans="1:10" x14ac:dyDescent="0.25">
      <c r="A806" t="s">
        <v>533</v>
      </c>
      <c r="B806" t="s">
        <v>22</v>
      </c>
      <c r="F806">
        <v>29152.33</v>
      </c>
      <c r="G806">
        <v>29152.33</v>
      </c>
    </row>
    <row r="807" spans="1:10" x14ac:dyDescent="0.25">
      <c r="A807" t="s">
        <v>1809</v>
      </c>
      <c r="B807" t="s">
        <v>200</v>
      </c>
    </row>
    <row r="808" spans="1:10" x14ac:dyDescent="0.25">
      <c r="A808" t="s">
        <v>534</v>
      </c>
      <c r="B808" t="s">
        <v>200</v>
      </c>
      <c r="F808">
        <v>28586.69</v>
      </c>
      <c r="G808">
        <v>27637.18</v>
      </c>
      <c r="J808">
        <v>949.51</v>
      </c>
    </row>
    <row r="809" spans="1:10" x14ac:dyDescent="0.25">
      <c r="A809" t="s">
        <v>1810</v>
      </c>
      <c r="B809" t="s">
        <v>201</v>
      </c>
    </row>
    <row r="810" spans="1:10" x14ac:dyDescent="0.25">
      <c r="A810" t="s">
        <v>535</v>
      </c>
      <c r="B810" t="s">
        <v>201</v>
      </c>
      <c r="F810">
        <v>155108.85</v>
      </c>
      <c r="G810">
        <v>150747.5</v>
      </c>
      <c r="J810">
        <v>4361.3500000000004</v>
      </c>
    </row>
    <row r="811" spans="1:10" x14ac:dyDescent="0.25">
      <c r="A811" t="s">
        <v>1811</v>
      </c>
      <c r="B811" t="s">
        <v>201</v>
      </c>
    </row>
    <row r="812" spans="1:10" x14ac:dyDescent="0.25">
      <c r="A812" t="s">
        <v>536</v>
      </c>
      <c r="B812" t="s">
        <v>201</v>
      </c>
      <c r="F812">
        <v>68648.3</v>
      </c>
      <c r="G812">
        <v>66231.31</v>
      </c>
      <c r="J812">
        <v>2416.9899999999998</v>
      </c>
    </row>
    <row r="813" spans="1:10" x14ac:dyDescent="0.25">
      <c r="A813" t="s">
        <v>1812</v>
      </c>
      <c r="B813" t="s">
        <v>67</v>
      </c>
    </row>
    <row r="814" spans="1:10" x14ac:dyDescent="0.25">
      <c r="A814" t="s">
        <v>1813</v>
      </c>
      <c r="B814" t="s">
        <v>26</v>
      </c>
    </row>
    <row r="815" spans="1:10" x14ac:dyDescent="0.25">
      <c r="A815" t="s">
        <v>1814</v>
      </c>
      <c r="B815" t="s">
        <v>202</v>
      </c>
    </row>
    <row r="816" spans="1:10" x14ac:dyDescent="0.25">
      <c r="A816" t="s">
        <v>538</v>
      </c>
      <c r="B816" t="s">
        <v>202</v>
      </c>
      <c r="D816" s="1">
        <v>45499</v>
      </c>
      <c r="E816">
        <v>2425.66</v>
      </c>
      <c r="F816">
        <v>13171.72</v>
      </c>
      <c r="G816">
        <v>12651.78</v>
      </c>
      <c r="H816">
        <v>1905.72</v>
      </c>
      <c r="I816">
        <v>519.94000000000005</v>
      </c>
      <c r="J816">
        <v>519.94000000000005</v>
      </c>
    </row>
    <row r="817" spans="1:10" x14ac:dyDescent="0.25">
      <c r="A817" t="s">
        <v>1815</v>
      </c>
      <c r="B817" t="s">
        <v>203</v>
      </c>
    </row>
    <row r="818" spans="1:10" x14ac:dyDescent="0.25">
      <c r="A818" t="s">
        <v>539</v>
      </c>
      <c r="B818" t="s">
        <v>203</v>
      </c>
      <c r="F818">
        <v>203634.64</v>
      </c>
      <c r="G818">
        <v>193811.33</v>
      </c>
      <c r="J818">
        <v>9823.31</v>
      </c>
    </row>
    <row r="819" spans="1:10" x14ac:dyDescent="0.25">
      <c r="A819" t="s">
        <v>1816</v>
      </c>
      <c r="B819" t="s">
        <v>204</v>
      </c>
    </row>
    <row r="820" spans="1:10" x14ac:dyDescent="0.25">
      <c r="A820" t="s">
        <v>540</v>
      </c>
      <c r="B820" t="s">
        <v>204</v>
      </c>
      <c r="D820" s="1">
        <v>45499</v>
      </c>
      <c r="E820">
        <v>16149.73</v>
      </c>
      <c r="F820">
        <v>84256.56</v>
      </c>
      <c r="G820">
        <v>79487.320000000007</v>
      </c>
      <c r="H820">
        <v>11380.49</v>
      </c>
      <c r="I820">
        <v>4769.24</v>
      </c>
      <c r="J820">
        <v>4769.24</v>
      </c>
    </row>
    <row r="821" spans="1:10" x14ac:dyDescent="0.25">
      <c r="A821" t="s">
        <v>1817</v>
      </c>
      <c r="B821" t="s">
        <v>25</v>
      </c>
    </row>
    <row r="822" spans="1:10" x14ac:dyDescent="0.25">
      <c r="A822" t="s">
        <v>77</v>
      </c>
      <c r="B822" t="s">
        <v>25</v>
      </c>
    </row>
    <row r="823" spans="1:10" x14ac:dyDescent="0.25">
      <c r="A823" t="s">
        <v>1818</v>
      </c>
      <c r="B823" t="s">
        <v>25</v>
      </c>
    </row>
    <row r="824" spans="1:10" x14ac:dyDescent="0.25">
      <c r="A824" t="s">
        <v>1819</v>
      </c>
      <c r="B824" t="s">
        <v>205</v>
      </c>
    </row>
    <row r="825" spans="1:10" x14ac:dyDescent="0.25">
      <c r="A825" t="s">
        <v>542</v>
      </c>
      <c r="B825" t="s">
        <v>205</v>
      </c>
      <c r="F825">
        <v>18531.8</v>
      </c>
      <c r="G825">
        <v>18239.96</v>
      </c>
      <c r="J825">
        <v>291.83999999999997</v>
      </c>
    </row>
    <row r="826" spans="1:10" x14ac:dyDescent="0.25">
      <c r="A826" t="s">
        <v>1820</v>
      </c>
      <c r="B826" t="s">
        <v>1821</v>
      </c>
    </row>
    <row r="827" spans="1:10" x14ac:dyDescent="0.25">
      <c r="A827" t="s">
        <v>1822</v>
      </c>
      <c r="B827" t="s">
        <v>1823</v>
      </c>
    </row>
    <row r="828" spans="1:10" x14ac:dyDescent="0.25">
      <c r="A828" t="s">
        <v>68</v>
      </c>
      <c r="B828" t="s">
        <v>65</v>
      </c>
    </row>
    <row r="829" spans="1:10" x14ac:dyDescent="0.25">
      <c r="A829" t="s">
        <v>1824</v>
      </c>
      <c r="B829" t="s">
        <v>165</v>
      </c>
    </row>
    <row r="830" spans="1:10" x14ac:dyDescent="0.25">
      <c r="A830" t="s">
        <v>543</v>
      </c>
      <c r="B830" t="s">
        <v>165</v>
      </c>
      <c r="F830">
        <v>126077.94</v>
      </c>
      <c r="G830">
        <v>125623.63</v>
      </c>
      <c r="J830">
        <v>454.31</v>
      </c>
    </row>
    <row r="831" spans="1:10" x14ac:dyDescent="0.25">
      <c r="A831" t="s">
        <v>1825</v>
      </c>
      <c r="B831" t="s">
        <v>1698</v>
      </c>
    </row>
    <row r="832" spans="1:10" x14ac:dyDescent="0.25">
      <c r="A832" t="s">
        <v>207</v>
      </c>
      <c r="B832" t="s">
        <v>206</v>
      </c>
    </row>
    <row r="833" spans="1:10" x14ac:dyDescent="0.25">
      <c r="A833" t="s">
        <v>1826</v>
      </c>
      <c r="B833" t="s">
        <v>30</v>
      </c>
    </row>
    <row r="834" spans="1:10" x14ac:dyDescent="0.25">
      <c r="A834" t="s">
        <v>544</v>
      </c>
      <c r="B834" t="s">
        <v>30</v>
      </c>
      <c r="F834">
        <v>34458.93</v>
      </c>
      <c r="G834">
        <v>32533.65</v>
      </c>
      <c r="J834">
        <v>1925.28</v>
      </c>
    </row>
    <row r="835" spans="1:10" x14ac:dyDescent="0.25">
      <c r="A835" t="s">
        <v>1827</v>
      </c>
      <c r="B835" t="s">
        <v>1828</v>
      </c>
    </row>
    <row r="836" spans="1:10" x14ac:dyDescent="0.25">
      <c r="A836" t="s">
        <v>1829</v>
      </c>
      <c r="B836" t="s">
        <v>208</v>
      </c>
    </row>
    <row r="837" spans="1:10" x14ac:dyDescent="0.25">
      <c r="A837" t="s">
        <v>545</v>
      </c>
      <c r="B837" t="s">
        <v>208</v>
      </c>
      <c r="F837">
        <v>31083.7</v>
      </c>
      <c r="G837">
        <v>30048.07</v>
      </c>
      <c r="J837">
        <v>1035.6300000000001</v>
      </c>
    </row>
    <row r="838" spans="1:10" x14ac:dyDescent="0.25">
      <c r="A838" t="s">
        <v>1830</v>
      </c>
      <c r="B838" t="s">
        <v>1831</v>
      </c>
    </row>
    <row r="839" spans="1:10" x14ac:dyDescent="0.25">
      <c r="A839" t="s">
        <v>1832</v>
      </c>
      <c r="B839" t="s">
        <v>1833</v>
      </c>
    </row>
    <row r="840" spans="1:10" x14ac:dyDescent="0.25">
      <c r="A840" t="s">
        <v>1834</v>
      </c>
      <c r="B840" t="s">
        <v>1833</v>
      </c>
    </row>
    <row r="841" spans="1:10" x14ac:dyDescent="0.25">
      <c r="A841" t="s">
        <v>210</v>
      </c>
      <c r="B841" t="s">
        <v>209</v>
      </c>
    </row>
    <row r="842" spans="1:10" x14ac:dyDescent="0.25">
      <c r="A842" t="s">
        <v>1835</v>
      </c>
      <c r="B842" t="s">
        <v>211</v>
      </c>
    </row>
    <row r="843" spans="1:10" x14ac:dyDescent="0.25">
      <c r="A843" t="s">
        <v>1836</v>
      </c>
      <c r="B843" t="s">
        <v>145</v>
      </c>
    </row>
    <row r="844" spans="1:10" x14ac:dyDescent="0.25">
      <c r="A844" t="s">
        <v>1837</v>
      </c>
      <c r="B844" t="s">
        <v>145</v>
      </c>
    </row>
    <row r="845" spans="1:10" x14ac:dyDescent="0.25">
      <c r="A845" t="s">
        <v>546</v>
      </c>
      <c r="B845" t="s">
        <v>145</v>
      </c>
      <c r="F845">
        <v>39634.89</v>
      </c>
      <c r="G845">
        <v>39061.279999999999</v>
      </c>
      <c r="J845">
        <v>573.61</v>
      </c>
    </row>
    <row r="846" spans="1:10" x14ac:dyDescent="0.25">
      <c r="A846" t="s">
        <v>1838</v>
      </c>
      <c r="B846" t="s">
        <v>145</v>
      </c>
    </row>
    <row r="847" spans="1:10" x14ac:dyDescent="0.25">
      <c r="A847" t="s">
        <v>1839</v>
      </c>
      <c r="B847" t="s">
        <v>145</v>
      </c>
    </row>
    <row r="848" spans="1:10" x14ac:dyDescent="0.25">
      <c r="A848" t="s">
        <v>548</v>
      </c>
      <c r="B848" t="s">
        <v>145</v>
      </c>
      <c r="F848">
        <v>56219.72</v>
      </c>
      <c r="G848">
        <v>55655.54</v>
      </c>
      <c r="J848">
        <v>564.17999999999995</v>
      </c>
    </row>
    <row r="849" spans="1:10" x14ac:dyDescent="0.25">
      <c r="A849" t="s">
        <v>1840</v>
      </c>
      <c r="B849" t="s">
        <v>212</v>
      </c>
    </row>
    <row r="850" spans="1:10" x14ac:dyDescent="0.25">
      <c r="A850" t="s">
        <v>214</v>
      </c>
      <c r="B850" t="s">
        <v>213</v>
      </c>
    </row>
    <row r="851" spans="1:10" x14ac:dyDescent="0.25">
      <c r="A851" t="s">
        <v>1841</v>
      </c>
      <c r="B851" t="s">
        <v>79</v>
      </c>
    </row>
    <row r="852" spans="1:10" x14ac:dyDescent="0.25">
      <c r="A852" t="s">
        <v>550</v>
      </c>
      <c r="B852" t="s">
        <v>79</v>
      </c>
      <c r="F852">
        <v>11840.17</v>
      </c>
      <c r="G852">
        <v>11721.35</v>
      </c>
      <c r="J852">
        <v>118.82</v>
      </c>
    </row>
    <row r="853" spans="1:10" x14ac:dyDescent="0.25">
      <c r="A853" t="s">
        <v>1842</v>
      </c>
      <c r="B853" t="s">
        <v>79</v>
      </c>
    </row>
    <row r="854" spans="1:10" x14ac:dyDescent="0.25">
      <c r="A854" t="s">
        <v>1843</v>
      </c>
      <c r="B854" t="s">
        <v>79</v>
      </c>
    </row>
    <row r="855" spans="1:10" x14ac:dyDescent="0.25">
      <c r="A855" t="s">
        <v>1844</v>
      </c>
      <c r="B855" t="s">
        <v>79</v>
      </c>
    </row>
    <row r="856" spans="1:10" x14ac:dyDescent="0.25">
      <c r="A856" t="s">
        <v>1845</v>
      </c>
      <c r="B856" t="s">
        <v>81</v>
      </c>
    </row>
    <row r="857" spans="1:10" x14ac:dyDescent="0.25">
      <c r="A857" t="s">
        <v>1846</v>
      </c>
      <c r="B857" t="s">
        <v>215</v>
      </c>
    </row>
    <row r="858" spans="1:10" x14ac:dyDescent="0.25">
      <c r="A858" t="s">
        <v>551</v>
      </c>
      <c r="B858" t="s">
        <v>215</v>
      </c>
      <c r="F858">
        <v>63345.34</v>
      </c>
      <c r="G858">
        <v>60672.43</v>
      </c>
      <c r="J858">
        <v>2672.91</v>
      </c>
    </row>
    <row r="859" spans="1:10" x14ac:dyDescent="0.25">
      <c r="A859" t="s">
        <v>1847</v>
      </c>
      <c r="B859" t="s">
        <v>31</v>
      </c>
    </row>
    <row r="860" spans="1:10" x14ac:dyDescent="0.25">
      <c r="A860" t="s">
        <v>1848</v>
      </c>
      <c r="B860" t="s">
        <v>158</v>
      </c>
    </row>
    <row r="861" spans="1:10" x14ac:dyDescent="0.25">
      <c r="A861" t="s">
        <v>552</v>
      </c>
      <c r="B861" t="s">
        <v>158</v>
      </c>
      <c r="F861">
        <v>222357.16</v>
      </c>
      <c r="G861">
        <v>221265.99</v>
      </c>
      <c r="J861">
        <v>1091.17</v>
      </c>
    </row>
    <row r="862" spans="1:10" x14ac:dyDescent="0.25">
      <c r="A862" t="s">
        <v>216</v>
      </c>
      <c r="B862" t="s">
        <v>82</v>
      </c>
    </row>
    <row r="863" spans="1:10" x14ac:dyDescent="0.25">
      <c r="A863" t="s">
        <v>553</v>
      </c>
      <c r="B863" t="s">
        <v>82</v>
      </c>
      <c r="F863">
        <v>151696.42000000001</v>
      </c>
      <c r="G863">
        <v>148642.13</v>
      </c>
      <c r="J863">
        <v>3054.29</v>
      </c>
    </row>
    <row r="864" spans="1:10" x14ac:dyDescent="0.25">
      <c r="A864" t="s">
        <v>1849</v>
      </c>
      <c r="B864" t="s">
        <v>44</v>
      </c>
    </row>
    <row r="865" spans="1:10" x14ac:dyDescent="0.25">
      <c r="A865" t="s">
        <v>1850</v>
      </c>
      <c r="B865" t="s">
        <v>152</v>
      </c>
    </row>
    <row r="866" spans="1:10" x14ac:dyDescent="0.25">
      <c r="A866" t="s">
        <v>1851</v>
      </c>
      <c r="B866" t="s">
        <v>217</v>
      </c>
    </row>
    <row r="867" spans="1:10" x14ac:dyDescent="0.25">
      <c r="A867" t="s">
        <v>555</v>
      </c>
      <c r="B867" t="s">
        <v>217</v>
      </c>
      <c r="F867">
        <v>105506.91</v>
      </c>
      <c r="G867">
        <v>102556.65</v>
      </c>
      <c r="J867">
        <v>2950.26</v>
      </c>
    </row>
    <row r="868" spans="1:10" x14ac:dyDescent="0.25">
      <c r="A868" t="s">
        <v>1852</v>
      </c>
      <c r="B868" t="s">
        <v>47</v>
      </c>
    </row>
    <row r="869" spans="1:10" x14ac:dyDescent="0.25">
      <c r="A869" t="s">
        <v>1853</v>
      </c>
      <c r="B869" t="s">
        <v>47</v>
      </c>
    </row>
    <row r="870" spans="1:10" x14ac:dyDescent="0.25">
      <c r="A870" t="s">
        <v>69</v>
      </c>
      <c r="B870" t="s">
        <v>66</v>
      </c>
    </row>
    <row r="871" spans="1:10" x14ac:dyDescent="0.25">
      <c r="A871" t="s">
        <v>1854</v>
      </c>
      <c r="B871" t="s">
        <v>218</v>
      </c>
    </row>
    <row r="872" spans="1:10" x14ac:dyDescent="0.25">
      <c r="A872" t="s">
        <v>1855</v>
      </c>
      <c r="B872" t="s">
        <v>218</v>
      </c>
    </row>
    <row r="873" spans="1:10" x14ac:dyDescent="0.25">
      <c r="A873" t="s">
        <v>1856</v>
      </c>
      <c r="B873" t="s">
        <v>219</v>
      </c>
    </row>
    <row r="874" spans="1:10" x14ac:dyDescent="0.25">
      <c r="A874" t="s">
        <v>557</v>
      </c>
      <c r="B874" t="s">
        <v>219</v>
      </c>
      <c r="F874">
        <v>91630.84</v>
      </c>
      <c r="G874">
        <v>88129.79</v>
      </c>
      <c r="J874">
        <v>3501.05</v>
      </c>
    </row>
    <row r="875" spans="1:10" x14ac:dyDescent="0.25">
      <c r="A875" t="s">
        <v>1857</v>
      </c>
      <c r="B875" t="s">
        <v>220</v>
      </c>
    </row>
    <row r="876" spans="1:10" x14ac:dyDescent="0.25">
      <c r="A876" t="s">
        <v>1858</v>
      </c>
      <c r="B876" t="s">
        <v>50</v>
      </c>
    </row>
    <row r="877" spans="1:10" x14ac:dyDescent="0.25">
      <c r="A877" t="s">
        <v>1859</v>
      </c>
      <c r="B877" t="s">
        <v>221</v>
      </c>
    </row>
    <row r="878" spans="1:10" x14ac:dyDescent="0.25">
      <c r="A878" t="s">
        <v>560</v>
      </c>
      <c r="B878" t="s">
        <v>221</v>
      </c>
      <c r="F878">
        <v>110830.92</v>
      </c>
      <c r="G878">
        <v>106736.9</v>
      </c>
      <c r="J878">
        <v>4094.02</v>
      </c>
    </row>
    <row r="879" spans="1:10" x14ac:dyDescent="0.25">
      <c r="A879" t="s">
        <v>1860</v>
      </c>
      <c r="B879" t="s">
        <v>1861</v>
      </c>
    </row>
    <row r="880" spans="1:10" x14ac:dyDescent="0.25">
      <c r="A880" t="s">
        <v>1862</v>
      </c>
      <c r="B880" t="s">
        <v>159</v>
      </c>
    </row>
    <row r="881" spans="1:10" x14ac:dyDescent="0.25">
      <c r="A881" t="s">
        <v>561</v>
      </c>
      <c r="B881" t="s">
        <v>159</v>
      </c>
      <c r="F881">
        <v>120763.73</v>
      </c>
      <c r="G881">
        <v>120269.47</v>
      </c>
      <c r="J881">
        <v>494.26</v>
      </c>
    </row>
    <row r="882" spans="1:10" x14ac:dyDescent="0.25">
      <c r="A882" t="s">
        <v>1863</v>
      </c>
      <c r="B882" t="s">
        <v>166</v>
      </c>
    </row>
    <row r="883" spans="1:10" x14ac:dyDescent="0.25">
      <c r="A883" t="s">
        <v>1864</v>
      </c>
      <c r="B883" t="s">
        <v>222</v>
      </c>
    </row>
    <row r="884" spans="1:10" x14ac:dyDescent="0.25">
      <c r="A884" t="s">
        <v>224</v>
      </c>
      <c r="B884" t="s">
        <v>223</v>
      </c>
    </row>
    <row r="885" spans="1:10" x14ac:dyDescent="0.25">
      <c r="A885" t="s">
        <v>1865</v>
      </c>
      <c r="B885" t="s">
        <v>83</v>
      </c>
    </row>
    <row r="886" spans="1:10" x14ac:dyDescent="0.25">
      <c r="A886" t="s">
        <v>1866</v>
      </c>
      <c r="B886" t="s">
        <v>84</v>
      </c>
    </row>
    <row r="887" spans="1:10" x14ac:dyDescent="0.25">
      <c r="A887" t="s">
        <v>1867</v>
      </c>
      <c r="B887" t="s">
        <v>52</v>
      </c>
    </row>
    <row r="888" spans="1:10" x14ac:dyDescent="0.25">
      <c r="A888" t="s">
        <v>226</v>
      </c>
      <c r="B888" t="s">
        <v>227</v>
      </c>
    </row>
    <row r="889" spans="1:10" x14ac:dyDescent="0.25">
      <c r="A889" t="s">
        <v>85</v>
      </c>
      <c r="B889" t="s">
        <v>53</v>
      </c>
    </row>
    <row r="890" spans="1:10" x14ac:dyDescent="0.25">
      <c r="A890" t="s">
        <v>1868</v>
      </c>
      <c r="B890" t="s">
        <v>228</v>
      </c>
    </row>
    <row r="891" spans="1:10" x14ac:dyDescent="0.25">
      <c r="A891" t="s">
        <v>1869</v>
      </c>
      <c r="B891" t="s">
        <v>229</v>
      </c>
    </row>
    <row r="892" spans="1:10" x14ac:dyDescent="0.25">
      <c r="A892" t="s">
        <v>230</v>
      </c>
      <c r="B892" t="s">
        <v>231</v>
      </c>
    </row>
    <row r="893" spans="1:10" x14ac:dyDescent="0.25">
      <c r="A893" t="s">
        <v>504</v>
      </c>
      <c r="B893" t="s">
        <v>231</v>
      </c>
      <c r="F893">
        <v>154762</v>
      </c>
      <c r="G893">
        <v>150635.01</v>
      </c>
      <c r="J893">
        <v>4126.99</v>
      </c>
    </row>
    <row r="894" spans="1:10" x14ac:dyDescent="0.25">
      <c r="A894" t="s">
        <v>232</v>
      </c>
      <c r="B894" t="s">
        <v>231</v>
      </c>
    </row>
    <row r="895" spans="1:10" x14ac:dyDescent="0.25">
      <c r="A895" t="s">
        <v>505</v>
      </c>
      <c r="B895" t="s">
        <v>231</v>
      </c>
      <c r="F895">
        <v>184971.44</v>
      </c>
      <c r="G895">
        <v>180761.92</v>
      </c>
      <c r="J895">
        <v>4209.5200000000004</v>
      </c>
    </row>
    <row r="896" spans="1:10" x14ac:dyDescent="0.25">
      <c r="A896" t="s">
        <v>233</v>
      </c>
      <c r="B896" t="s">
        <v>231</v>
      </c>
    </row>
    <row r="897" spans="1:10" x14ac:dyDescent="0.25">
      <c r="A897" t="s">
        <v>510</v>
      </c>
      <c r="B897" t="s">
        <v>231</v>
      </c>
      <c r="F897">
        <v>73394.5</v>
      </c>
      <c r="G897">
        <v>72304.97</v>
      </c>
      <c r="J897">
        <v>1089.53</v>
      </c>
    </row>
    <row r="898" spans="1:10" x14ac:dyDescent="0.25">
      <c r="A898" t="s">
        <v>234</v>
      </c>
      <c r="B898" t="s">
        <v>231</v>
      </c>
    </row>
    <row r="899" spans="1:10" x14ac:dyDescent="0.25">
      <c r="A899" t="s">
        <v>566</v>
      </c>
      <c r="B899" t="s">
        <v>231</v>
      </c>
      <c r="F899">
        <v>105924.48</v>
      </c>
      <c r="G899">
        <v>105779.58</v>
      </c>
      <c r="J899">
        <v>144.9</v>
      </c>
    </row>
    <row r="900" spans="1:10" x14ac:dyDescent="0.25">
      <c r="A900" t="s">
        <v>1870</v>
      </c>
      <c r="B900" t="s">
        <v>1871</v>
      </c>
    </row>
    <row r="901" spans="1:10" x14ac:dyDescent="0.25">
      <c r="A901" t="s">
        <v>1872</v>
      </c>
      <c r="B901" t="s">
        <v>235</v>
      </c>
    </row>
    <row r="902" spans="1:10" x14ac:dyDescent="0.25">
      <c r="A902" t="s">
        <v>567</v>
      </c>
      <c r="B902" t="s">
        <v>235</v>
      </c>
      <c r="F902">
        <v>26621.98</v>
      </c>
      <c r="G902">
        <v>25797.86</v>
      </c>
      <c r="J902">
        <v>824.12</v>
      </c>
    </row>
    <row r="903" spans="1:10" x14ac:dyDescent="0.25">
      <c r="A903" t="s">
        <v>1873</v>
      </c>
      <c r="B903" t="s">
        <v>235</v>
      </c>
    </row>
    <row r="904" spans="1:10" x14ac:dyDescent="0.25">
      <c r="A904" t="s">
        <v>1874</v>
      </c>
      <c r="B904" t="s">
        <v>235</v>
      </c>
    </row>
    <row r="905" spans="1:10" x14ac:dyDescent="0.25">
      <c r="A905" t="s">
        <v>1875</v>
      </c>
      <c r="B905" t="s">
        <v>236</v>
      </c>
    </row>
    <row r="906" spans="1:10" x14ac:dyDescent="0.25">
      <c r="A906" t="s">
        <v>569</v>
      </c>
      <c r="B906" t="s">
        <v>236</v>
      </c>
      <c r="F906">
        <v>5289.26</v>
      </c>
      <c r="G906">
        <v>5053.74</v>
      </c>
      <c r="J906">
        <v>235.52</v>
      </c>
    </row>
    <row r="907" spans="1:10" x14ac:dyDescent="0.25">
      <c r="A907" t="s">
        <v>1876</v>
      </c>
      <c r="B907" t="s">
        <v>237</v>
      </c>
    </row>
    <row r="908" spans="1:10" x14ac:dyDescent="0.25">
      <c r="A908" t="s">
        <v>570</v>
      </c>
      <c r="B908" t="s">
        <v>237</v>
      </c>
      <c r="F908">
        <v>104967.86</v>
      </c>
      <c r="G908">
        <v>102854.41</v>
      </c>
      <c r="J908">
        <v>2113.4499999999998</v>
      </c>
    </row>
    <row r="909" spans="1:10" x14ac:dyDescent="0.25">
      <c r="A909" t="s">
        <v>1877</v>
      </c>
      <c r="B909" t="s">
        <v>56</v>
      </c>
    </row>
    <row r="910" spans="1:10" x14ac:dyDescent="0.25">
      <c r="A910" t="s">
        <v>1878</v>
      </c>
      <c r="B910" t="s">
        <v>238</v>
      </c>
    </row>
    <row r="911" spans="1:10" x14ac:dyDescent="0.25">
      <c r="A911" t="s">
        <v>1879</v>
      </c>
      <c r="B911" t="s">
        <v>1880</v>
      </c>
    </row>
    <row r="912" spans="1:10" x14ac:dyDescent="0.25">
      <c r="A912" t="s">
        <v>1881</v>
      </c>
      <c r="B912" t="s">
        <v>60</v>
      </c>
    </row>
    <row r="913" spans="1:10" x14ac:dyDescent="0.25">
      <c r="A913" t="s">
        <v>1882</v>
      </c>
      <c r="B913" t="s">
        <v>60</v>
      </c>
    </row>
    <row r="914" spans="1:10" x14ac:dyDescent="0.25">
      <c r="A914" t="s">
        <v>1883</v>
      </c>
      <c r="B914" t="s">
        <v>60</v>
      </c>
    </row>
    <row r="915" spans="1:10" x14ac:dyDescent="0.25">
      <c r="A915" t="s">
        <v>1884</v>
      </c>
      <c r="B915" t="s">
        <v>241</v>
      </c>
    </row>
    <row r="916" spans="1:10" x14ac:dyDescent="0.25">
      <c r="A916" t="s">
        <v>242</v>
      </c>
      <c r="B916" t="s">
        <v>241</v>
      </c>
    </row>
    <row r="917" spans="1:10" x14ac:dyDescent="0.25">
      <c r="A917" t="s">
        <v>1885</v>
      </c>
      <c r="B917" t="s">
        <v>243</v>
      </c>
    </row>
    <row r="918" spans="1:10" x14ac:dyDescent="0.25">
      <c r="A918" t="s">
        <v>571</v>
      </c>
      <c r="B918" t="s">
        <v>243</v>
      </c>
      <c r="F918">
        <v>56282.97</v>
      </c>
      <c r="G918">
        <v>54636.39</v>
      </c>
      <c r="J918">
        <v>1646.58</v>
      </c>
    </row>
    <row r="919" spans="1:10" x14ac:dyDescent="0.25">
      <c r="A919" t="s">
        <v>1886</v>
      </c>
      <c r="B919" t="s">
        <v>244</v>
      </c>
    </row>
    <row r="920" spans="1:10" x14ac:dyDescent="0.25">
      <c r="A920" t="s">
        <v>572</v>
      </c>
      <c r="B920" t="s">
        <v>244</v>
      </c>
      <c r="F920">
        <v>96662.5</v>
      </c>
      <c r="G920">
        <v>95227.56</v>
      </c>
      <c r="J920">
        <v>1434.94</v>
      </c>
    </row>
    <row r="921" spans="1:10" x14ac:dyDescent="0.25">
      <c r="A921" t="s">
        <v>1887</v>
      </c>
      <c r="B921" t="s">
        <v>1709</v>
      </c>
    </row>
    <row r="922" spans="1:10" x14ac:dyDescent="0.25">
      <c r="A922" t="s">
        <v>1888</v>
      </c>
      <c r="B922" t="s">
        <v>88</v>
      </c>
    </row>
    <row r="923" spans="1:10" x14ac:dyDescent="0.25">
      <c r="A923" t="s">
        <v>1889</v>
      </c>
      <c r="B923" t="s">
        <v>1715</v>
      </c>
    </row>
    <row r="924" spans="1:10" x14ac:dyDescent="0.25">
      <c r="A924" t="s">
        <v>1890</v>
      </c>
      <c r="B924" t="s">
        <v>246</v>
      </c>
    </row>
    <row r="925" spans="1:10" x14ac:dyDescent="0.25">
      <c r="A925" t="s">
        <v>467</v>
      </c>
      <c r="B925" t="s">
        <v>246</v>
      </c>
      <c r="F925">
        <v>326194.07</v>
      </c>
      <c r="G925">
        <v>313730.78999999998</v>
      </c>
      <c r="J925">
        <v>12463.28</v>
      </c>
    </row>
    <row r="926" spans="1:10" x14ac:dyDescent="0.25">
      <c r="A926" t="s">
        <v>1891</v>
      </c>
      <c r="B926" t="s">
        <v>1892</v>
      </c>
    </row>
    <row r="927" spans="1:10" x14ac:dyDescent="0.25">
      <c r="A927" t="s">
        <v>1893</v>
      </c>
      <c r="B927" t="s">
        <v>1892</v>
      </c>
    </row>
    <row r="928" spans="1:10" x14ac:dyDescent="0.25">
      <c r="A928" t="s">
        <v>1894</v>
      </c>
      <c r="B928" t="s">
        <v>89</v>
      </c>
    </row>
    <row r="929" spans="1:10" x14ac:dyDescent="0.25">
      <c r="A929" t="s">
        <v>247</v>
      </c>
      <c r="B929" t="s">
        <v>89</v>
      </c>
    </row>
    <row r="930" spans="1:10" x14ac:dyDescent="0.25">
      <c r="A930" t="s">
        <v>1895</v>
      </c>
      <c r="B930" t="s">
        <v>248</v>
      </c>
    </row>
    <row r="931" spans="1:10" x14ac:dyDescent="0.25">
      <c r="A931" t="s">
        <v>573</v>
      </c>
      <c r="B931" t="s">
        <v>248</v>
      </c>
      <c r="F931">
        <v>208632.19</v>
      </c>
      <c r="G931">
        <v>201991.38</v>
      </c>
      <c r="J931">
        <v>6640.81</v>
      </c>
    </row>
    <row r="932" spans="1:10" x14ac:dyDescent="0.25">
      <c r="A932" t="s">
        <v>1896</v>
      </c>
      <c r="B932" t="s">
        <v>248</v>
      </c>
    </row>
    <row r="933" spans="1:10" x14ac:dyDescent="0.25">
      <c r="A933" t="s">
        <v>574</v>
      </c>
      <c r="B933" t="s">
        <v>248</v>
      </c>
      <c r="F933">
        <v>45027.42</v>
      </c>
      <c r="G933">
        <v>43742.7</v>
      </c>
      <c r="J933">
        <v>1284.72</v>
      </c>
    </row>
    <row r="934" spans="1:10" x14ac:dyDescent="0.25">
      <c r="A934" t="s">
        <v>1897</v>
      </c>
      <c r="B934" t="s">
        <v>1898</v>
      </c>
    </row>
    <row r="935" spans="1:10" x14ac:dyDescent="0.25">
      <c r="A935" t="s">
        <v>1899</v>
      </c>
      <c r="B935" t="s">
        <v>249</v>
      </c>
    </row>
    <row r="936" spans="1:10" x14ac:dyDescent="0.25">
      <c r="A936" t="s">
        <v>575</v>
      </c>
      <c r="B936" t="s">
        <v>249</v>
      </c>
      <c r="F936">
        <v>27853.58</v>
      </c>
      <c r="G936">
        <v>27122.39</v>
      </c>
      <c r="J936">
        <v>731.19</v>
      </c>
    </row>
    <row r="937" spans="1:10" x14ac:dyDescent="0.25">
      <c r="A937" t="s">
        <v>1900</v>
      </c>
      <c r="B937" t="s">
        <v>250</v>
      </c>
    </row>
    <row r="938" spans="1:10" x14ac:dyDescent="0.25">
      <c r="A938" t="s">
        <v>1901</v>
      </c>
      <c r="B938" t="s">
        <v>90</v>
      </c>
    </row>
    <row r="939" spans="1:10" x14ac:dyDescent="0.25">
      <c r="A939" t="s">
        <v>469</v>
      </c>
      <c r="B939" t="s">
        <v>90</v>
      </c>
      <c r="F939">
        <v>140671.48000000001</v>
      </c>
      <c r="G939">
        <v>140141.63</v>
      </c>
      <c r="J939">
        <v>529.85</v>
      </c>
    </row>
    <row r="940" spans="1:10" x14ac:dyDescent="0.25">
      <c r="A940" t="s">
        <v>1902</v>
      </c>
      <c r="B940" t="s">
        <v>251</v>
      </c>
    </row>
    <row r="941" spans="1:10" x14ac:dyDescent="0.25">
      <c r="A941" t="s">
        <v>1903</v>
      </c>
      <c r="B941" t="s">
        <v>252</v>
      </c>
    </row>
    <row r="942" spans="1:10" x14ac:dyDescent="0.25">
      <c r="A942" t="s">
        <v>1904</v>
      </c>
      <c r="B942" t="s">
        <v>253</v>
      </c>
    </row>
    <row r="943" spans="1:10" x14ac:dyDescent="0.25">
      <c r="A943" t="s">
        <v>514</v>
      </c>
      <c r="B943" t="s">
        <v>253</v>
      </c>
      <c r="F943">
        <v>1060.02</v>
      </c>
      <c r="G943">
        <v>1047.17</v>
      </c>
      <c r="J943">
        <v>12.85</v>
      </c>
    </row>
    <row r="944" spans="1:10" x14ac:dyDescent="0.25">
      <c r="A944" t="s">
        <v>1905</v>
      </c>
      <c r="B944" t="s">
        <v>254</v>
      </c>
    </row>
    <row r="945" spans="1:10" x14ac:dyDescent="0.25">
      <c r="A945" t="s">
        <v>1906</v>
      </c>
      <c r="B945" t="s">
        <v>167</v>
      </c>
    </row>
    <row r="946" spans="1:10" x14ac:dyDescent="0.25">
      <c r="A946" t="s">
        <v>1907</v>
      </c>
      <c r="B946" t="s">
        <v>167</v>
      </c>
    </row>
    <row r="947" spans="1:10" x14ac:dyDescent="0.25">
      <c r="A947" t="s">
        <v>577</v>
      </c>
      <c r="B947" t="s">
        <v>167</v>
      </c>
      <c r="F947">
        <v>59556.26</v>
      </c>
      <c r="G947">
        <v>58200.9</v>
      </c>
      <c r="J947">
        <v>1355.36</v>
      </c>
    </row>
    <row r="948" spans="1:10" x14ac:dyDescent="0.25">
      <c r="A948" t="s">
        <v>255</v>
      </c>
      <c r="B948" t="s">
        <v>256</v>
      </c>
    </row>
    <row r="949" spans="1:10" x14ac:dyDescent="0.25">
      <c r="A949" t="s">
        <v>1908</v>
      </c>
      <c r="B949" t="s">
        <v>257</v>
      </c>
    </row>
    <row r="950" spans="1:10" x14ac:dyDescent="0.25">
      <c r="A950" t="s">
        <v>578</v>
      </c>
      <c r="B950" t="s">
        <v>257</v>
      </c>
      <c r="F950">
        <v>135597.35999999999</v>
      </c>
      <c r="G950">
        <v>130533.38</v>
      </c>
      <c r="J950">
        <v>5063.9799999999996</v>
      </c>
    </row>
    <row r="951" spans="1:10" x14ac:dyDescent="0.25">
      <c r="A951" t="s">
        <v>1909</v>
      </c>
      <c r="B951" t="s">
        <v>1910</v>
      </c>
    </row>
    <row r="952" spans="1:10" x14ac:dyDescent="0.25">
      <c r="A952" t="s">
        <v>1911</v>
      </c>
      <c r="B952" t="s">
        <v>1910</v>
      </c>
    </row>
    <row r="953" spans="1:10" x14ac:dyDescent="0.25">
      <c r="A953" t="s">
        <v>1912</v>
      </c>
      <c r="B953" t="s">
        <v>258</v>
      </c>
    </row>
    <row r="954" spans="1:10" x14ac:dyDescent="0.25">
      <c r="A954" t="s">
        <v>259</v>
      </c>
      <c r="B954" t="s">
        <v>258</v>
      </c>
    </row>
    <row r="955" spans="1:10" x14ac:dyDescent="0.25">
      <c r="A955" t="s">
        <v>479</v>
      </c>
      <c r="B955" t="s">
        <v>258</v>
      </c>
      <c r="F955">
        <v>75010.95</v>
      </c>
      <c r="G955">
        <v>74879.649999999994</v>
      </c>
      <c r="J955">
        <v>131.30000000000001</v>
      </c>
    </row>
    <row r="956" spans="1:10" x14ac:dyDescent="0.25">
      <c r="A956" t="s">
        <v>1913</v>
      </c>
      <c r="B956" t="s">
        <v>1914</v>
      </c>
    </row>
    <row r="957" spans="1:10" x14ac:dyDescent="0.25">
      <c r="A957" t="s">
        <v>1915</v>
      </c>
      <c r="B957" t="s">
        <v>260</v>
      </c>
    </row>
    <row r="958" spans="1:10" x14ac:dyDescent="0.25">
      <c r="A958" t="s">
        <v>261</v>
      </c>
      <c r="B958" t="s">
        <v>260</v>
      </c>
    </row>
    <row r="959" spans="1:10" x14ac:dyDescent="0.25">
      <c r="A959" t="s">
        <v>1916</v>
      </c>
      <c r="B959" t="s">
        <v>262</v>
      </c>
    </row>
    <row r="960" spans="1:10" x14ac:dyDescent="0.25">
      <c r="A960" t="s">
        <v>263</v>
      </c>
      <c r="B960" t="s">
        <v>262</v>
      </c>
    </row>
    <row r="961" spans="1:10" x14ac:dyDescent="0.25">
      <c r="A961" t="s">
        <v>1917</v>
      </c>
      <c r="B961" t="s">
        <v>146</v>
      </c>
    </row>
    <row r="962" spans="1:10" x14ac:dyDescent="0.25">
      <c r="A962" t="s">
        <v>581</v>
      </c>
      <c r="B962" t="s">
        <v>146</v>
      </c>
      <c r="F962">
        <v>270876.44</v>
      </c>
      <c r="G962">
        <v>268522.27</v>
      </c>
      <c r="J962">
        <v>2354.17</v>
      </c>
    </row>
    <row r="963" spans="1:10" x14ac:dyDescent="0.25">
      <c r="A963" t="s">
        <v>1918</v>
      </c>
      <c r="B963" t="s">
        <v>379</v>
      </c>
    </row>
    <row r="964" spans="1:10" x14ac:dyDescent="0.25">
      <c r="A964" t="s">
        <v>1919</v>
      </c>
      <c r="B964" t="s">
        <v>153</v>
      </c>
    </row>
    <row r="965" spans="1:10" x14ac:dyDescent="0.25">
      <c r="A965" t="s">
        <v>1920</v>
      </c>
      <c r="B965" t="s">
        <v>1921</v>
      </c>
    </row>
    <row r="966" spans="1:10" x14ac:dyDescent="0.25">
      <c r="A966" t="s">
        <v>101</v>
      </c>
      <c r="B966" t="s">
        <v>102</v>
      </c>
    </row>
    <row r="967" spans="1:10" x14ac:dyDescent="0.25">
      <c r="A967" t="s">
        <v>1922</v>
      </c>
      <c r="B967" t="s">
        <v>1923</v>
      </c>
    </row>
    <row r="968" spans="1:10" x14ac:dyDescent="0.25">
      <c r="A968" t="s">
        <v>1924</v>
      </c>
      <c r="B968" t="s">
        <v>388</v>
      </c>
      <c r="F968">
        <v>-726750</v>
      </c>
      <c r="G968">
        <v>-726750</v>
      </c>
    </row>
    <row r="969" spans="1:10" x14ac:dyDescent="0.25">
      <c r="A969" t="s">
        <v>1925</v>
      </c>
      <c r="B969" t="s">
        <v>1926</v>
      </c>
    </row>
    <row r="970" spans="1:10" x14ac:dyDescent="0.25">
      <c r="A970" t="s">
        <v>1927</v>
      </c>
      <c r="B970" t="s">
        <v>1928</v>
      </c>
    </row>
    <row r="971" spans="1:10" x14ac:dyDescent="0.25">
      <c r="A971" t="s">
        <v>1929</v>
      </c>
      <c r="B971" t="s">
        <v>266</v>
      </c>
    </row>
    <row r="972" spans="1:10" x14ac:dyDescent="0.25">
      <c r="A972" t="s">
        <v>1930</v>
      </c>
      <c r="B972" t="s">
        <v>1931</v>
      </c>
    </row>
    <row r="973" spans="1:10" x14ac:dyDescent="0.25">
      <c r="A973" t="s">
        <v>1932</v>
      </c>
      <c r="B973" t="s">
        <v>179</v>
      </c>
    </row>
    <row r="974" spans="1:10" x14ac:dyDescent="0.25">
      <c r="A974" t="s">
        <v>1933</v>
      </c>
      <c r="B974" t="s">
        <v>1934</v>
      </c>
    </row>
    <row r="975" spans="1:10" x14ac:dyDescent="0.25">
      <c r="A975" t="s">
        <v>1935</v>
      </c>
      <c r="B975" t="s">
        <v>1936</v>
      </c>
    </row>
    <row r="976" spans="1:10" x14ac:dyDescent="0.25">
      <c r="A976" t="s">
        <v>1937</v>
      </c>
      <c r="B976" t="s">
        <v>1938</v>
      </c>
    </row>
    <row r="977" spans="1:10" x14ac:dyDescent="0.25">
      <c r="A977" t="s">
        <v>1939</v>
      </c>
      <c r="B977" t="s">
        <v>1938</v>
      </c>
      <c r="F977">
        <v>237777.35</v>
      </c>
      <c r="G977">
        <v>117198.48</v>
      </c>
      <c r="J977">
        <v>120578.87</v>
      </c>
    </row>
    <row r="978" spans="1:10" x14ac:dyDescent="0.25">
      <c r="A978" t="s">
        <v>1940</v>
      </c>
      <c r="B978" t="s">
        <v>1522</v>
      </c>
      <c r="F978">
        <v>-355725</v>
      </c>
      <c r="G978">
        <v>-159260.13</v>
      </c>
      <c r="J978">
        <v>-196464.87</v>
      </c>
    </row>
    <row r="979" spans="1:10" x14ac:dyDescent="0.25">
      <c r="A979" t="s">
        <v>1941</v>
      </c>
      <c r="B979" t="s">
        <v>170</v>
      </c>
    </row>
    <row r="980" spans="1:10" x14ac:dyDescent="0.25">
      <c r="A980" t="s">
        <v>270</v>
      </c>
      <c r="B980" t="s">
        <v>170</v>
      </c>
    </row>
    <row r="981" spans="1:10" x14ac:dyDescent="0.25">
      <c r="A981" t="s">
        <v>119</v>
      </c>
      <c r="B981" t="s">
        <v>120</v>
      </c>
    </row>
    <row r="982" spans="1:10" x14ac:dyDescent="0.25">
      <c r="A982" t="s">
        <v>1942</v>
      </c>
      <c r="B982" t="s">
        <v>1943</v>
      </c>
    </row>
    <row r="983" spans="1:10" x14ac:dyDescent="0.25">
      <c r="A983" t="s">
        <v>1944</v>
      </c>
      <c r="B983" t="s">
        <v>1945</v>
      </c>
    </row>
    <row r="984" spans="1:10" x14ac:dyDescent="0.25">
      <c r="A984" t="s">
        <v>1946</v>
      </c>
      <c r="B984" t="s">
        <v>179</v>
      </c>
    </row>
    <row r="985" spans="1:10" x14ac:dyDescent="0.25">
      <c r="A985" t="s">
        <v>1947</v>
      </c>
      <c r="B985" t="s">
        <v>1948</v>
      </c>
    </row>
    <row r="986" spans="1:10" x14ac:dyDescent="0.25">
      <c r="A986" t="s">
        <v>1949</v>
      </c>
      <c r="B986" t="s">
        <v>1950</v>
      </c>
    </row>
    <row r="987" spans="1:10" x14ac:dyDescent="0.25">
      <c r="A987" t="s">
        <v>1951</v>
      </c>
      <c r="B987" t="s">
        <v>273</v>
      </c>
    </row>
    <row r="988" spans="1:10" x14ac:dyDescent="0.25">
      <c r="A988" t="s">
        <v>584</v>
      </c>
      <c r="B988" t="s">
        <v>273</v>
      </c>
      <c r="F988">
        <v>158637.04</v>
      </c>
      <c r="G988">
        <v>153003.17000000001</v>
      </c>
      <c r="J988">
        <v>5633.87</v>
      </c>
    </row>
    <row r="989" spans="1:10" x14ac:dyDescent="0.25">
      <c r="A989" t="s">
        <v>1952</v>
      </c>
      <c r="B989" t="s">
        <v>274</v>
      </c>
    </row>
    <row r="990" spans="1:10" x14ac:dyDescent="0.25">
      <c r="A990" t="s">
        <v>275</v>
      </c>
      <c r="B990" t="s">
        <v>274</v>
      </c>
    </row>
    <row r="991" spans="1:10" x14ac:dyDescent="0.25">
      <c r="A991" t="s">
        <v>1953</v>
      </c>
      <c r="B991" t="s">
        <v>276</v>
      </c>
    </row>
    <row r="992" spans="1:10" x14ac:dyDescent="0.25">
      <c r="A992" t="s">
        <v>585</v>
      </c>
      <c r="B992" t="s">
        <v>276</v>
      </c>
      <c r="F992">
        <v>591750.88</v>
      </c>
      <c r="G992">
        <v>575970.86</v>
      </c>
      <c r="J992">
        <v>15780.02</v>
      </c>
    </row>
    <row r="993" spans="1:10" x14ac:dyDescent="0.25">
      <c r="A993" t="s">
        <v>1954</v>
      </c>
      <c r="B993" t="s">
        <v>278</v>
      </c>
    </row>
    <row r="994" spans="1:10" x14ac:dyDescent="0.25">
      <c r="A994" t="s">
        <v>1955</v>
      </c>
      <c r="B994" t="s">
        <v>279</v>
      </c>
    </row>
    <row r="995" spans="1:10" x14ac:dyDescent="0.25">
      <c r="A995" t="s">
        <v>1956</v>
      </c>
      <c r="B995" t="s">
        <v>281</v>
      </c>
    </row>
    <row r="996" spans="1:10" x14ac:dyDescent="0.25">
      <c r="A996" t="s">
        <v>587</v>
      </c>
      <c r="B996" t="s">
        <v>281</v>
      </c>
      <c r="F996">
        <v>245342.52</v>
      </c>
      <c r="G996">
        <v>237634.06</v>
      </c>
      <c r="J996">
        <v>7708.46</v>
      </c>
    </row>
    <row r="997" spans="1:10" x14ac:dyDescent="0.25">
      <c r="A997" t="s">
        <v>1957</v>
      </c>
      <c r="B997" t="s">
        <v>282</v>
      </c>
    </row>
    <row r="998" spans="1:10" x14ac:dyDescent="0.25">
      <c r="A998" t="s">
        <v>1958</v>
      </c>
      <c r="B998" t="s">
        <v>1713</v>
      </c>
    </row>
    <row r="999" spans="1:10" x14ac:dyDescent="0.25">
      <c r="A999" t="s">
        <v>1959</v>
      </c>
      <c r="B999" t="s">
        <v>1960</v>
      </c>
    </row>
    <row r="1000" spans="1:10" x14ac:dyDescent="0.25">
      <c r="A1000" t="s">
        <v>1961</v>
      </c>
      <c r="B1000" t="s">
        <v>283</v>
      </c>
    </row>
    <row r="1001" spans="1:10" x14ac:dyDescent="0.25">
      <c r="A1001" t="s">
        <v>589</v>
      </c>
      <c r="B1001" t="s">
        <v>283</v>
      </c>
      <c r="F1001">
        <v>88856.63</v>
      </c>
      <c r="G1001">
        <v>87301.94</v>
      </c>
      <c r="J1001">
        <v>1554.69</v>
      </c>
    </row>
    <row r="1002" spans="1:10" x14ac:dyDescent="0.25">
      <c r="A1002" t="s">
        <v>284</v>
      </c>
      <c r="B1002" t="s">
        <v>283</v>
      </c>
    </row>
    <row r="1003" spans="1:10" x14ac:dyDescent="0.25">
      <c r="A1003" t="s">
        <v>590</v>
      </c>
      <c r="B1003" t="s">
        <v>283</v>
      </c>
      <c r="F1003">
        <v>130079.69</v>
      </c>
      <c r="G1003">
        <v>125672.54</v>
      </c>
      <c r="J1003">
        <v>4407.1499999999996</v>
      </c>
    </row>
    <row r="1004" spans="1:10" x14ac:dyDescent="0.25">
      <c r="A1004" t="s">
        <v>1962</v>
      </c>
      <c r="B1004" t="s">
        <v>1963</v>
      </c>
    </row>
    <row r="1005" spans="1:10" x14ac:dyDescent="0.25">
      <c r="A1005" t="s">
        <v>1964</v>
      </c>
      <c r="B1005" t="s">
        <v>1965</v>
      </c>
    </row>
    <row r="1006" spans="1:10" x14ac:dyDescent="0.25">
      <c r="A1006" t="s">
        <v>1966</v>
      </c>
      <c r="B1006" t="s">
        <v>285</v>
      </c>
    </row>
    <row r="1007" spans="1:10" x14ac:dyDescent="0.25">
      <c r="A1007" t="s">
        <v>1967</v>
      </c>
      <c r="B1007" t="s">
        <v>286</v>
      </c>
    </row>
    <row r="1008" spans="1:10" x14ac:dyDescent="0.25">
      <c r="A1008" t="s">
        <v>1968</v>
      </c>
      <c r="B1008" t="s">
        <v>287</v>
      </c>
    </row>
    <row r="1009" spans="1:10" x14ac:dyDescent="0.25">
      <c r="A1009" t="s">
        <v>1969</v>
      </c>
      <c r="B1009" t="s">
        <v>288</v>
      </c>
    </row>
    <row r="1010" spans="1:10" x14ac:dyDescent="0.25">
      <c r="A1010" t="s">
        <v>289</v>
      </c>
      <c r="B1010" t="s">
        <v>288</v>
      </c>
    </row>
    <row r="1011" spans="1:10" x14ac:dyDescent="0.25">
      <c r="A1011" t="s">
        <v>1970</v>
      </c>
      <c r="B1011" t="s">
        <v>1971</v>
      </c>
    </row>
    <row r="1012" spans="1:10" x14ac:dyDescent="0.25">
      <c r="A1012" t="s">
        <v>1972</v>
      </c>
      <c r="B1012" t="s">
        <v>290</v>
      </c>
    </row>
    <row r="1013" spans="1:10" x14ac:dyDescent="0.25">
      <c r="A1013" t="s">
        <v>1973</v>
      </c>
      <c r="B1013" t="s">
        <v>185</v>
      </c>
    </row>
    <row r="1014" spans="1:10" x14ac:dyDescent="0.25">
      <c r="A1014" t="s">
        <v>128</v>
      </c>
      <c r="B1014" t="s">
        <v>129</v>
      </c>
    </row>
    <row r="1015" spans="1:10" x14ac:dyDescent="0.25">
      <c r="A1015" t="s">
        <v>292</v>
      </c>
      <c r="B1015" t="s">
        <v>293</v>
      </c>
    </row>
    <row r="1016" spans="1:10" x14ac:dyDescent="0.25">
      <c r="A1016" t="s">
        <v>1974</v>
      </c>
      <c r="B1016" t="s">
        <v>294</v>
      </c>
    </row>
    <row r="1017" spans="1:10" x14ac:dyDescent="0.25">
      <c r="A1017" t="s">
        <v>592</v>
      </c>
      <c r="B1017" t="s">
        <v>294</v>
      </c>
      <c r="F1017">
        <v>188312.16</v>
      </c>
      <c r="G1017">
        <v>181595.61</v>
      </c>
      <c r="J1017">
        <v>6716.55</v>
      </c>
    </row>
    <row r="1018" spans="1:10" x14ac:dyDescent="0.25">
      <c r="A1018" t="s">
        <v>1975</v>
      </c>
      <c r="B1018" t="s">
        <v>1976</v>
      </c>
    </row>
    <row r="1019" spans="1:10" x14ac:dyDescent="0.25">
      <c r="A1019" t="s">
        <v>1977</v>
      </c>
      <c r="B1019" t="s">
        <v>1978</v>
      </c>
    </row>
    <row r="1020" spans="1:10" x14ac:dyDescent="0.25">
      <c r="A1020" t="s">
        <v>295</v>
      </c>
      <c r="B1020" t="s">
        <v>296</v>
      </c>
    </row>
    <row r="1021" spans="1:10" x14ac:dyDescent="0.25">
      <c r="A1021" t="s">
        <v>297</v>
      </c>
      <c r="B1021" t="s">
        <v>298</v>
      </c>
    </row>
    <row r="1022" spans="1:10" x14ac:dyDescent="0.25">
      <c r="A1022" t="s">
        <v>299</v>
      </c>
      <c r="B1022" t="s">
        <v>179</v>
      </c>
    </row>
    <row r="1023" spans="1:10" x14ac:dyDescent="0.25">
      <c r="A1023" t="s">
        <v>301</v>
      </c>
      <c r="B1023" t="s">
        <v>302</v>
      </c>
    </row>
    <row r="1024" spans="1:10" x14ac:dyDescent="0.25">
      <c r="A1024" t="s">
        <v>304</v>
      </c>
      <c r="B1024" t="s">
        <v>172</v>
      </c>
    </row>
    <row r="1025" spans="1:10" x14ac:dyDescent="0.25">
      <c r="A1025" t="s">
        <v>171</v>
      </c>
      <c r="B1025" t="s">
        <v>172</v>
      </c>
    </row>
    <row r="1026" spans="1:10" x14ac:dyDescent="0.25">
      <c r="A1026" t="s">
        <v>306</v>
      </c>
      <c r="B1026" t="s">
        <v>307</v>
      </c>
    </row>
    <row r="1027" spans="1:10" x14ac:dyDescent="0.25">
      <c r="A1027" t="s">
        <v>308</v>
      </c>
      <c r="B1027" t="s">
        <v>309</v>
      </c>
    </row>
    <row r="1028" spans="1:10" x14ac:dyDescent="0.25">
      <c r="A1028" t="s">
        <v>135</v>
      </c>
      <c r="B1028" t="s">
        <v>134</v>
      </c>
    </row>
    <row r="1029" spans="1:10" x14ac:dyDescent="0.25">
      <c r="A1029" t="s">
        <v>594</v>
      </c>
      <c r="B1029" t="s">
        <v>134</v>
      </c>
      <c r="F1029">
        <v>311742.05</v>
      </c>
      <c r="G1029">
        <v>295539.98</v>
      </c>
      <c r="J1029">
        <v>16202.07</v>
      </c>
    </row>
    <row r="1030" spans="1:10" x14ac:dyDescent="0.25">
      <c r="A1030" t="s">
        <v>313</v>
      </c>
      <c r="B1030" t="s">
        <v>314</v>
      </c>
    </row>
    <row r="1031" spans="1:10" x14ac:dyDescent="0.25">
      <c r="A1031" t="s">
        <v>319</v>
      </c>
      <c r="B1031" t="s">
        <v>320</v>
      </c>
    </row>
    <row r="1032" spans="1:10" x14ac:dyDescent="0.25">
      <c r="A1032" t="s">
        <v>322</v>
      </c>
      <c r="B1032" t="s">
        <v>323</v>
      </c>
    </row>
    <row r="1033" spans="1:10" x14ac:dyDescent="0.25">
      <c r="A1033" t="s">
        <v>324</v>
      </c>
      <c r="B1033" t="s">
        <v>325</v>
      </c>
    </row>
    <row r="1034" spans="1:10" x14ac:dyDescent="0.25">
      <c r="A1034" t="s">
        <v>596</v>
      </c>
      <c r="B1034" t="s">
        <v>325</v>
      </c>
      <c r="F1034">
        <v>119195.37</v>
      </c>
      <c r="G1034">
        <v>114768.15</v>
      </c>
      <c r="J1034">
        <v>4427.22</v>
      </c>
    </row>
    <row r="1035" spans="1:10" x14ac:dyDescent="0.25">
      <c r="A1035" t="s">
        <v>326</v>
      </c>
      <c r="B1035" t="s">
        <v>327</v>
      </c>
    </row>
    <row r="1036" spans="1:10" x14ac:dyDescent="0.25">
      <c r="A1036" t="s">
        <v>331</v>
      </c>
      <c r="B1036" t="s">
        <v>332</v>
      </c>
    </row>
    <row r="1037" spans="1:10" x14ac:dyDescent="0.25">
      <c r="A1037" t="s">
        <v>597</v>
      </c>
      <c r="B1037" t="s">
        <v>332</v>
      </c>
      <c r="F1037">
        <v>142372.60999999999</v>
      </c>
      <c r="G1037">
        <v>138572.31</v>
      </c>
      <c r="J1037">
        <v>3800.3</v>
      </c>
    </row>
    <row r="1038" spans="1:10" x14ac:dyDescent="0.25">
      <c r="A1038" t="s">
        <v>334</v>
      </c>
      <c r="B1038" t="s">
        <v>335</v>
      </c>
    </row>
    <row r="1039" spans="1:10" x14ac:dyDescent="0.25">
      <c r="A1039" t="s">
        <v>337</v>
      </c>
      <c r="B1039" t="s">
        <v>338</v>
      </c>
    </row>
    <row r="1040" spans="1:10" x14ac:dyDescent="0.25">
      <c r="A1040" t="s">
        <v>341</v>
      </c>
      <c r="B1040" t="s">
        <v>342</v>
      </c>
    </row>
    <row r="1041" spans="1:12" x14ac:dyDescent="0.25">
      <c r="A1041" t="s">
        <v>343</v>
      </c>
      <c r="B1041" t="s">
        <v>344</v>
      </c>
    </row>
    <row r="1042" spans="1:12" x14ac:dyDescent="0.25">
      <c r="A1042" t="s">
        <v>149</v>
      </c>
      <c r="B1042" t="s">
        <v>150</v>
      </c>
    </row>
    <row r="1043" spans="1:12" x14ac:dyDescent="0.25">
      <c r="A1043" t="s">
        <v>345</v>
      </c>
      <c r="B1043" t="s">
        <v>346</v>
      </c>
    </row>
    <row r="1044" spans="1:12" x14ac:dyDescent="0.25">
      <c r="A1044" t="s">
        <v>155</v>
      </c>
      <c r="B1044" t="s">
        <v>156</v>
      </c>
    </row>
    <row r="1045" spans="1:12" x14ac:dyDescent="0.25">
      <c r="A1045" t="s">
        <v>160</v>
      </c>
      <c r="B1045" t="s">
        <v>161</v>
      </c>
    </row>
    <row r="1046" spans="1:12" x14ac:dyDescent="0.25">
      <c r="A1046" t="s">
        <v>350</v>
      </c>
      <c r="B1046" t="s">
        <v>351</v>
      </c>
    </row>
    <row r="1047" spans="1:12" x14ac:dyDescent="0.25">
      <c r="A1047" t="s">
        <v>602</v>
      </c>
      <c r="B1047" t="s">
        <v>351</v>
      </c>
      <c r="F1047">
        <v>97118.52</v>
      </c>
      <c r="G1047">
        <v>91692.34</v>
      </c>
      <c r="J1047">
        <v>5426.18</v>
      </c>
    </row>
    <row r="1048" spans="1:12" x14ac:dyDescent="0.25">
      <c r="A1048" t="s">
        <v>352</v>
      </c>
      <c r="B1048" t="s">
        <v>353</v>
      </c>
    </row>
    <row r="1049" spans="1:12" x14ac:dyDescent="0.25">
      <c r="A1049" t="s">
        <v>354</v>
      </c>
      <c r="B1049" t="s">
        <v>346</v>
      </c>
    </row>
    <row r="1050" spans="1:12" x14ac:dyDescent="0.25">
      <c r="A1050" t="s">
        <v>3</v>
      </c>
      <c r="C1050" t="s">
        <v>4427</v>
      </c>
      <c r="E1050">
        <v>409330825.68000001</v>
      </c>
      <c r="F1050">
        <v>428055618.58999997</v>
      </c>
      <c r="G1050">
        <v>156241071.50999999</v>
      </c>
      <c r="H1050">
        <v>138112312.86000001</v>
      </c>
      <c r="I1050">
        <v>93355026.780000001</v>
      </c>
      <c r="J1050">
        <v>93936933.340000004</v>
      </c>
      <c r="K1050">
        <v>174260051.71000001</v>
      </c>
      <c r="L1050">
        <v>3593934.33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BDB89-7F2B-4F45-905D-151B295A231B}">
  <sheetPr codeName="Лист8"/>
  <dimension ref="A1:H54"/>
  <sheetViews>
    <sheetView workbookViewId="0">
      <selection activeCell="B32" sqref="B32"/>
    </sheetView>
  </sheetViews>
  <sheetFormatPr defaultRowHeight="15" x14ac:dyDescent="0.25"/>
  <cols>
    <col min="1" max="1" width="35.140625" bestFit="1" customWidth="1"/>
    <col min="2" max="2" width="34.140625" bestFit="1" customWidth="1"/>
    <col min="3" max="3" width="12.7109375" bestFit="1" customWidth="1"/>
    <col min="4" max="4" width="20.42578125" bestFit="1" customWidth="1"/>
    <col min="6" max="6" width="35.140625" bestFit="1" customWidth="1"/>
    <col min="7" max="7" width="34.140625" bestFit="1" customWidth="1"/>
  </cols>
  <sheetData>
    <row r="1" spans="1:8" x14ac:dyDescent="0.25">
      <c r="A1" s="86" t="s">
        <v>39</v>
      </c>
      <c r="B1" s="87"/>
      <c r="C1" s="87"/>
      <c r="D1" s="88"/>
      <c r="F1" s="89" t="s">
        <v>464</v>
      </c>
      <c r="G1" s="90"/>
      <c r="H1" s="91"/>
    </row>
    <row r="2" spans="1:8" ht="15.75" thickBot="1" x14ac:dyDescent="0.3">
      <c r="A2" s="82" t="s">
        <v>2</v>
      </c>
      <c r="B2" s="83" t="s">
        <v>17</v>
      </c>
      <c r="C2" s="84" t="s">
        <v>465</v>
      </c>
      <c r="D2" s="85" t="s">
        <v>466</v>
      </c>
      <c r="F2" s="77" t="s">
        <v>462</v>
      </c>
      <c r="G2" s="78" t="s">
        <v>17</v>
      </c>
      <c r="H2" s="79" t="s">
        <v>463</v>
      </c>
    </row>
    <row r="3" spans="1:8" x14ac:dyDescent="0.25">
      <c r="A3" t="s">
        <v>76</v>
      </c>
      <c r="B3" t="s">
        <v>523</v>
      </c>
      <c r="C3" s="1" t="e">
        <f>VLOOKUP(B3,'реестр просрочников'!B:D,3,0)+1</f>
        <v>#N/A</v>
      </c>
      <c r="D3" t="str">
        <f t="shared" ref="D3:D32" si="0">IFERROR(IF(B3="","",IF(VLOOKUP(B3,G:G,1,0)&gt;"","есть")),"добавить")</f>
        <v>есть</v>
      </c>
      <c r="F3" t="s">
        <v>4088</v>
      </c>
      <c r="G3" t="s">
        <v>512</v>
      </c>
      <c r="H3" t="str">
        <f t="shared" ref="H3:H33" si="1">IFERROR(IF(G3="","",IF(VLOOKUP(G3,B:B,1,0)&gt;"","актуально")),"поставить дату погашения")</f>
        <v>актуально</v>
      </c>
    </row>
    <row r="4" spans="1:8" x14ac:dyDescent="0.25">
      <c r="A4" t="s">
        <v>134</v>
      </c>
      <c r="B4" t="s">
        <v>594</v>
      </c>
      <c r="C4" s="1" t="e">
        <f>VLOOKUP(B4,'реестр просрочников'!B:D,3,0)+1</f>
        <v>#N/A</v>
      </c>
      <c r="D4" t="str">
        <f t="shared" ref="D4:D31" si="2">IFERROR(IF(B4="","",IF(VLOOKUP(B4,G:G,1,0)&gt;"","есть")),"добавить")</f>
        <v>есть</v>
      </c>
      <c r="F4" t="s">
        <v>4090</v>
      </c>
      <c r="G4" t="s">
        <v>484</v>
      </c>
      <c r="H4" t="str">
        <f t="shared" si="1"/>
        <v>актуально</v>
      </c>
    </row>
    <row r="5" spans="1:8" x14ac:dyDescent="0.25">
      <c r="A5" t="s">
        <v>220</v>
      </c>
      <c r="B5" t="s">
        <v>558</v>
      </c>
      <c r="C5" s="1">
        <f>VLOOKUP(B5,'реестр просрочников'!B:D,3,0)+1</f>
        <v>45471</v>
      </c>
      <c r="D5" t="str">
        <f t="shared" si="2"/>
        <v>есть</v>
      </c>
      <c r="F5" t="s">
        <v>4092</v>
      </c>
      <c r="G5" t="s">
        <v>509</v>
      </c>
      <c r="H5" t="str">
        <f t="shared" si="1"/>
        <v>актуально</v>
      </c>
    </row>
    <row r="6" spans="1:8" x14ac:dyDescent="0.25">
      <c r="A6" t="s">
        <v>219</v>
      </c>
      <c r="B6" t="s">
        <v>557</v>
      </c>
      <c r="C6" s="1" t="e">
        <f>VLOOKUP(B6,'реестр просрочников'!B:D,3,0)+1</f>
        <v>#N/A</v>
      </c>
      <c r="D6" t="str">
        <f t="shared" si="2"/>
        <v>есть</v>
      </c>
      <c r="F6" t="s">
        <v>4092</v>
      </c>
      <c r="G6" t="s">
        <v>556</v>
      </c>
      <c r="H6" t="str">
        <f t="shared" si="1"/>
        <v>актуально</v>
      </c>
    </row>
    <row r="7" spans="1:8" x14ac:dyDescent="0.25">
      <c r="A7" t="s">
        <v>150</v>
      </c>
      <c r="B7" t="s">
        <v>599</v>
      </c>
      <c r="C7" s="1">
        <f>VLOOKUP(B7,'реестр просрочников'!B:D,3,0)+1</f>
        <v>45499</v>
      </c>
      <c r="D7" t="str">
        <f t="shared" si="2"/>
        <v>добавить</v>
      </c>
      <c r="F7" t="s">
        <v>4096</v>
      </c>
      <c r="G7" t="s">
        <v>588</v>
      </c>
      <c r="H7" t="str">
        <f t="shared" si="1"/>
        <v>актуально</v>
      </c>
    </row>
    <row r="8" spans="1:8" x14ac:dyDescent="0.25">
      <c r="A8" t="s">
        <v>167</v>
      </c>
      <c r="B8" t="s">
        <v>576</v>
      </c>
      <c r="C8" s="1">
        <f>VLOOKUP(B8,'реестр просрочников'!B:D,3,0)+1</f>
        <v>45498</v>
      </c>
      <c r="D8" t="str">
        <f t="shared" si="2"/>
        <v>есть</v>
      </c>
      <c r="F8" t="s">
        <v>4097</v>
      </c>
      <c r="G8" t="s">
        <v>587</v>
      </c>
      <c r="H8" t="str">
        <f t="shared" si="1"/>
        <v>актуально</v>
      </c>
    </row>
    <row r="9" spans="1:8" x14ac:dyDescent="0.25">
      <c r="A9" t="s">
        <v>140</v>
      </c>
      <c r="B9" t="s">
        <v>518</v>
      </c>
      <c r="C9" s="1">
        <f>VLOOKUP(B9,'реестр просрочников'!B:D,3,0)+1</f>
        <v>45468</v>
      </c>
      <c r="D9" t="str">
        <f t="shared" si="2"/>
        <v>есть</v>
      </c>
      <c r="F9" t="s">
        <v>4098</v>
      </c>
      <c r="G9" t="s">
        <v>508</v>
      </c>
      <c r="H9" t="str">
        <f t="shared" si="1"/>
        <v>актуально</v>
      </c>
    </row>
    <row r="10" spans="1:8" x14ac:dyDescent="0.25">
      <c r="A10" t="s">
        <v>161</v>
      </c>
      <c r="B10" t="s">
        <v>601</v>
      </c>
      <c r="C10" s="1">
        <f>VLOOKUP(B10,'реестр просрочников'!B:D,3,0)+1</f>
        <v>45497</v>
      </c>
      <c r="D10" t="str">
        <f t="shared" si="2"/>
        <v>есть</v>
      </c>
      <c r="F10" t="s">
        <v>4093</v>
      </c>
      <c r="G10" t="s">
        <v>515</v>
      </c>
      <c r="H10" t="str">
        <f t="shared" si="1"/>
        <v>актуально</v>
      </c>
    </row>
    <row r="11" spans="1:8" x14ac:dyDescent="0.25">
      <c r="A11" t="s">
        <v>262</v>
      </c>
      <c r="B11" t="s">
        <v>580</v>
      </c>
      <c r="C11" s="1">
        <f>VLOOKUP(B11,'реестр просрочников'!B:D,3,0)+1</f>
        <v>45465</v>
      </c>
      <c r="D11" t="str">
        <f t="shared" si="2"/>
        <v>есть</v>
      </c>
      <c r="F11" t="s">
        <v>4099</v>
      </c>
      <c r="G11" t="s">
        <v>580</v>
      </c>
      <c r="H11" t="str">
        <f t="shared" si="1"/>
        <v>актуально</v>
      </c>
    </row>
    <row r="12" spans="1:8" x14ac:dyDescent="0.25">
      <c r="A12" t="s">
        <v>88</v>
      </c>
      <c r="B12" t="s">
        <v>515</v>
      </c>
      <c r="C12" s="1">
        <f>VLOOKUP(B12,'реестр просрочников'!B:D,3,0)+1</f>
        <v>45494</v>
      </c>
      <c r="D12" t="str">
        <f t="shared" si="2"/>
        <v>есть</v>
      </c>
      <c r="F12" t="s">
        <v>4089</v>
      </c>
      <c r="G12" t="s">
        <v>601</v>
      </c>
      <c r="H12" t="str">
        <f t="shared" si="1"/>
        <v>актуально</v>
      </c>
    </row>
    <row r="13" spans="1:8" x14ac:dyDescent="0.25">
      <c r="A13" t="s">
        <v>73</v>
      </c>
      <c r="B13" t="s">
        <v>508</v>
      </c>
      <c r="C13" s="1" t="e">
        <f>VLOOKUP(B13,'реестр просрочников'!B:D,3,0)+1</f>
        <v>#N/A</v>
      </c>
      <c r="D13" t="str">
        <f t="shared" si="2"/>
        <v>есть</v>
      </c>
      <c r="F13" t="s">
        <v>4091</v>
      </c>
      <c r="G13" t="s">
        <v>576</v>
      </c>
      <c r="H13" t="str">
        <f t="shared" si="1"/>
        <v>актуально</v>
      </c>
    </row>
    <row r="14" spans="1:8" x14ac:dyDescent="0.25">
      <c r="A14" t="s">
        <v>282</v>
      </c>
      <c r="B14" t="s">
        <v>588</v>
      </c>
      <c r="C14" s="1">
        <f>VLOOKUP(B14,'реестр просрочников'!B:D,3,0)+1</f>
        <v>45454</v>
      </c>
      <c r="D14" t="str">
        <f t="shared" si="2"/>
        <v>есть</v>
      </c>
      <c r="F14" t="s">
        <v>4100</v>
      </c>
      <c r="G14" t="s">
        <v>518</v>
      </c>
      <c r="H14" t="str">
        <f t="shared" si="1"/>
        <v>актуально</v>
      </c>
    </row>
    <row r="15" spans="1:8" x14ac:dyDescent="0.25">
      <c r="A15" t="s">
        <v>281</v>
      </c>
      <c r="B15" t="s">
        <v>587</v>
      </c>
      <c r="C15" s="1" t="e">
        <f>VLOOKUP(B15,'реестр просрочников'!B:D,3,0)+1</f>
        <v>#N/A</v>
      </c>
      <c r="D15" t="str">
        <f t="shared" si="2"/>
        <v>есть</v>
      </c>
      <c r="F15" t="s">
        <v>4094</v>
      </c>
      <c r="G15" t="s">
        <v>594</v>
      </c>
      <c r="H15" t="str">
        <f t="shared" si="1"/>
        <v>актуально</v>
      </c>
    </row>
    <row r="16" spans="1:8" x14ac:dyDescent="0.25">
      <c r="A16" t="s">
        <v>218</v>
      </c>
      <c r="B16" t="s">
        <v>556</v>
      </c>
      <c r="C16" s="1">
        <f>VLOOKUP(B16,'реестр просрочников'!B:D,3,0)+1</f>
        <v>45438</v>
      </c>
      <c r="D16" t="str">
        <f t="shared" si="2"/>
        <v>есть</v>
      </c>
      <c r="F16" t="s">
        <v>4101</v>
      </c>
      <c r="G16" t="s">
        <v>558</v>
      </c>
      <c r="H16" t="str">
        <f t="shared" si="1"/>
        <v>актуально</v>
      </c>
    </row>
    <row r="17" spans="1:8" x14ac:dyDescent="0.25">
      <c r="A17" t="s">
        <v>218</v>
      </c>
      <c r="B17" t="s">
        <v>509</v>
      </c>
      <c r="C17" s="1">
        <f>VLOOKUP(B17,'реестр просрочников'!B:D,3,0)+1</f>
        <v>45425</v>
      </c>
      <c r="D17" t="str">
        <f t="shared" si="2"/>
        <v>есть</v>
      </c>
      <c r="F17" t="s">
        <v>4102</v>
      </c>
      <c r="G17" t="s">
        <v>557</v>
      </c>
      <c r="H17" t="str">
        <f t="shared" si="1"/>
        <v>актуально</v>
      </c>
    </row>
    <row r="18" spans="1:8" x14ac:dyDescent="0.25">
      <c r="A18" t="s">
        <v>256</v>
      </c>
      <c r="B18" t="s">
        <v>484</v>
      </c>
      <c r="C18" s="1">
        <f>VLOOKUP(B18,'реестр просрочников'!B:D,3,0)+1</f>
        <v>45408</v>
      </c>
      <c r="D18" t="str">
        <f t="shared" si="2"/>
        <v>есть</v>
      </c>
      <c r="F18" t="s">
        <v>4103</v>
      </c>
      <c r="G18" t="s">
        <v>523</v>
      </c>
      <c r="H18" t="str">
        <f t="shared" si="1"/>
        <v>актуально</v>
      </c>
    </row>
    <row r="19" spans="1:8" x14ac:dyDescent="0.25">
      <c r="A19" t="s">
        <v>52</v>
      </c>
      <c r="B19" t="s">
        <v>512</v>
      </c>
      <c r="C19" s="1">
        <f>VLOOKUP(B19,'реестр просрочников'!B:D,3,0)+1</f>
        <v>45492</v>
      </c>
      <c r="D19" t="str">
        <f t="shared" si="2"/>
        <v>есть</v>
      </c>
      <c r="H19" t="str">
        <f t="shared" si="1"/>
        <v/>
      </c>
    </row>
    <row r="20" spans="1:8" x14ac:dyDescent="0.25">
      <c r="C20" s="1" t="e">
        <f>VLOOKUP(B20,'реестр просрочников'!B:D,3,0)+1</f>
        <v>#N/A</v>
      </c>
      <c r="D20" t="str">
        <f t="shared" si="2"/>
        <v/>
      </c>
      <c r="H20" t="str">
        <f t="shared" si="1"/>
        <v/>
      </c>
    </row>
    <row r="21" spans="1:8" x14ac:dyDescent="0.25">
      <c r="C21" s="1" t="e">
        <f>VLOOKUP(B21,'реестр просрочников'!B:D,3,0)+1</f>
        <v>#N/A</v>
      </c>
      <c r="D21" t="str">
        <f t="shared" si="2"/>
        <v/>
      </c>
      <c r="H21" t="str">
        <f t="shared" si="1"/>
        <v/>
      </c>
    </row>
    <row r="22" spans="1:8" x14ac:dyDescent="0.25">
      <c r="C22" s="1" t="e">
        <f>VLOOKUP(B22,'реестр просрочников'!B:D,3,0)+1</f>
        <v>#N/A</v>
      </c>
      <c r="D22" t="str">
        <f t="shared" si="2"/>
        <v/>
      </c>
      <c r="H22" t="str">
        <f t="shared" si="1"/>
        <v/>
      </c>
    </row>
    <row r="23" spans="1:8" x14ac:dyDescent="0.25">
      <c r="C23" s="1" t="e">
        <f>VLOOKUP(B23,'реестр просрочников'!B:D,3,0)+1</f>
        <v>#N/A</v>
      </c>
      <c r="D23" t="str">
        <f t="shared" si="2"/>
        <v/>
      </c>
      <c r="H23" t="str">
        <f t="shared" si="1"/>
        <v/>
      </c>
    </row>
    <row r="24" spans="1:8" x14ac:dyDescent="0.25">
      <c r="C24" s="1" t="e">
        <f>VLOOKUP(B24,'реестр просрочников'!B:D,3,0)+1</f>
        <v>#N/A</v>
      </c>
      <c r="D24" t="str">
        <f t="shared" si="2"/>
        <v/>
      </c>
      <c r="H24" t="str">
        <f t="shared" si="1"/>
        <v/>
      </c>
    </row>
    <row r="25" spans="1:8" x14ac:dyDescent="0.25">
      <c r="C25" s="1" t="e">
        <f>VLOOKUP(B25,'реестр просрочников'!B:D,3,0)+1</f>
        <v>#N/A</v>
      </c>
      <c r="D25" t="str">
        <f t="shared" si="2"/>
        <v/>
      </c>
      <c r="H25" t="str">
        <f t="shared" si="1"/>
        <v/>
      </c>
    </row>
    <row r="26" spans="1:8" x14ac:dyDescent="0.25">
      <c r="C26" s="1" t="e">
        <f>VLOOKUP(B26,'реестр просрочников'!B:D,3,0)+1</f>
        <v>#N/A</v>
      </c>
      <c r="D26" t="str">
        <f t="shared" si="2"/>
        <v/>
      </c>
      <c r="H26" t="str">
        <f t="shared" si="1"/>
        <v/>
      </c>
    </row>
    <row r="27" spans="1:8" x14ac:dyDescent="0.25">
      <c r="C27" s="1" t="e">
        <f>VLOOKUP(B27,'реестр просрочников'!B:D,3,0)+1</f>
        <v>#N/A</v>
      </c>
      <c r="D27" t="str">
        <f t="shared" si="2"/>
        <v/>
      </c>
      <c r="H27" t="str">
        <f t="shared" si="1"/>
        <v/>
      </c>
    </row>
    <row r="28" spans="1:8" x14ac:dyDescent="0.25">
      <c r="C28" s="1" t="e">
        <f>VLOOKUP(B28,'реестр просрочников'!B:D,3,0)+1</f>
        <v>#N/A</v>
      </c>
      <c r="D28" t="str">
        <f t="shared" si="2"/>
        <v/>
      </c>
      <c r="H28" t="str">
        <f t="shared" si="1"/>
        <v/>
      </c>
    </row>
    <row r="29" spans="1:8" x14ac:dyDescent="0.25">
      <c r="C29" s="1" t="e">
        <f>VLOOKUP(B29,'реестр просрочников'!B:D,3,0)+1</f>
        <v>#N/A</v>
      </c>
      <c r="D29" t="str">
        <f t="shared" si="2"/>
        <v/>
      </c>
      <c r="H29" t="str">
        <f t="shared" si="1"/>
        <v/>
      </c>
    </row>
    <row r="30" spans="1:8" x14ac:dyDescent="0.25">
      <c r="C30" s="1" t="e">
        <f>VLOOKUP(B30,'реестр просрочников'!B:D,3,0)+1</f>
        <v>#N/A</v>
      </c>
      <c r="D30" t="str">
        <f t="shared" si="2"/>
        <v/>
      </c>
      <c r="H30" t="str">
        <f t="shared" si="1"/>
        <v/>
      </c>
    </row>
    <row r="31" spans="1:8" x14ac:dyDescent="0.25">
      <c r="C31" s="1" t="e">
        <f>VLOOKUP(B31,'реестр просрочников'!B:D,3,0)+1</f>
        <v>#N/A</v>
      </c>
      <c r="D31" t="str">
        <f t="shared" si="2"/>
        <v/>
      </c>
      <c r="H31" t="str">
        <f t="shared" si="1"/>
        <v/>
      </c>
    </row>
    <row r="32" spans="1:8" x14ac:dyDescent="0.25">
      <c r="C32" s="1"/>
      <c r="D32" t="str">
        <f t="shared" si="0"/>
        <v/>
      </c>
      <c r="H32" t="str">
        <f t="shared" si="1"/>
        <v/>
      </c>
    </row>
    <row r="33" spans="3:8" x14ac:dyDescent="0.25">
      <c r="C33" s="1"/>
      <c r="H33" t="str">
        <f t="shared" si="1"/>
        <v/>
      </c>
    </row>
    <row r="34" spans="3:8" x14ac:dyDescent="0.25">
      <c r="C34" s="1"/>
    </row>
    <row r="35" spans="3:8" x14ac:dyDescent="0.25">
      <c r="C35" s="1"/>
    </row>
    <row r="36" spans="3:8" x14ac:dyDescent="0.25">
      <c r="C36" s="1"/>
    </row>
    <row r="37" spans="3:8" x14ac:dyDescent="0.25">
      <c r="C37" s="1"/>
    </row>
    <row r="38" spans="3:8" x14ac:dyDescent="0.25">
      <c r="C38" s="1"/>
    </row>
    <row r="39" spans="3:8" x14ac:dyDescent="0.25">
      <c r="C39" s="1"/>
    </row>
    <row r="40" spans="3:8" x14ac:dyDescent="0.25">
      <c r="C40" s="1"/>
    </row>
    <row r="41" spans="3:8" x14ac:dyDescent="0.25">
      <c r="C41" s="1"/>
    </row>
    <row r="42" spans="3:8" x14ac:dyDescent="0.25">
      <c r="C42" s="1"/>
    </row>
    <row r="43" spans="3:8" x14ac:dyDescent="0.25">
      <c r="C43" s="1"/>
      <c r="H43" t="str">
        <f t="shared" ref="H43:H54" si="3">IFERROR(IF(G43="","",IF(VLOOKUP(G43,B:B,1,0)&gt;"","актуально")),"поставить дату погашения")</f>
        <v/>
      </c>
    </row>
    <row r="44" spans="3:8" x14ac:dyDescent="0.25">
      <c r="C44" s="1"/>
      <c r="D44" t="str">
        <f>IFERROR(IF(B44="","",IF(VLOOKUP(B44,G:G,1,0)&gt;"","есть")),"добавить")</f>
        <v/>
      </c>
      <c r="H44" t="str">
        <f t="shared" si="3"/>
        <v/>
      </c>
    </row>
    <row r="45" spans="3:8" x14ac:dyDescent="0.25">
      <c r="C45" s="1"/>
      <c r="H45" t="str">
        <f t="shared" si="3"/>
        <v/>
      </c>
    </row>
    <row r="46" spans="3:8" x14ac:dyDescent="0.25">
      <c r="C46" s="1"/>
      <c r="D46" t="str">
        <f t="shared" ref="D46:D52" si="4">IFERROR(IF(B46="","",IF(VLOOKUP(B46,G:G,1,0)&gt;"","есть")),"добавить")</f>
        <v/>
      </c>
      <c r="H46" t="str">
        <f t="shared" si="3"/>
        <v/>
      </c>
    </row>
    <row r="47" spans="3:8" x14ac:dyDescent="0.25">
      <c r="C47" s="1"/>
      <c r="D47" t="str">
        <f t="shared" si="4"/>
        <v/>
      </c>
      <c r="H47" t="str">
        <f t="shared" si="3"/>
        <v/>
      </c>
    </row>
    <row r="48" spans="3:8" x14ac:dyDescent="0.25">
      <c r="C48" s="1"/>
      <c r="D48" t="str">
        <f t="shared" si="4"/>
        <v/>
      </c>
      <c r="H48" t="str">
        <f t="shared" si="3"/>
        <v/>
      </c>
    </row>
    <row r="49" spans="3:8" x14ac:dyDescent="0.25">
      <c r="C49" s="1"/>
      <c r="D49" t="str">
        <f t="shared" si="4"/>
        <v/>
      </c>
      <c r="H49" t="str">
        <f t="shared" si="3"/>
        <v/>
      </c>
    </row>
    <row r="50" spans="3:8" x14ac:dyDescent="0.25">
      <c r="C50" s="1"/>
      <c r="D50" t="str">
        <f t="shared" si="4"/>
        <v/>
      </c>
      <c r="H50" t="str">
        <f t="shared" si="3"/>
        <v/>
      </c>
    </row>
    <row r="51" spans="3:8" x14ac:dyDescent="0.25">
      <c r="C51" s="1"/>
      <c r="D51" t="str">
        <f t="shared" si="4"/>
        <v/>
      </c>
      <c r="H51" t="str">
        <f t="shared" si="3"/>
        <v/>
      </c>
    </row>
    <row r="52" spans="3:8" x14ac:dyDescent="0.25">
      <c r="C52" s="1"/>
      <c r="D52" t="str">
        <f t="shared" si="4"/>
        <v/>
      </c>
      <c r="H52" t="str">
        <f t="shared" si="3"/>
        <v/>
      </c>
    </row>
    <row r="53" spans="3:8" x14ac:dyDescent="0.25">
      <c r="H53" t="str">
        <f t="shared" si="3"/>
        <v/>
      </c>
    </row>
    <row r="54" spans="3:8" x14ac:dyDescent="0.25">
      <c r="H54" t="str">
        <f t="shared" si="3"/>
        <v/>
      </c>
    </row>
  </sheetData>
  <autoFilter ref="H1:H54" xr:uid="{42CBDB89-7F2B-4F45-905D-151B295A231B}"/>
  <conditionalFormatting sqref="G1:G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F6577-98BF-4823-B2A0-5F86F4F6A319}">
  <sheetPr codeName="Лист7"/>
  <dimension ref="A1:O476"/>
  <sheetViews>
    <sheetView workbookViewId="0">
      <selection activeCell="J20" sqref="J20"/>
    </sheetView>
  </sheetViews>
  <sheetFormatPr defaultRowHeight="15" x14ac:dyDescent="0.25"/>
  <cols>
    <col min="1" max="1" width="38.7109375" bestFit="1" customWidth="1"/>
    <col min="2" max="2" width="82.85546875" bestFit="1" customWidth="1"/>
    <col min="3" max="3" width="13.5703125" bestFit="1" customWidth="1"/>
    <col min="4" max="4" width="25.85546875" style="29" bestFit="1" customWidth="1"/>
    <col min="5" max="5" width="14" style="29" bestFit="1" customWidth="1"/>
    <col min="6" max="6" width="10.85546875" bestFit="1" customWidth="1"/>
    <col min="9" max="9" width="17.7109375" bestFit="1" customWidth="1"/>
    <col min="10" max="10" width="4.42578125" bestFit="1" customWidth="1"/>
    <col min="11" max="11" width="14.7109375" bestFit="1" customWidth="1"/>
    <col min="12" max="12" width="16.42578125" bestFit="1" customWidth="1"/>
  </cols>
  <sheetData>
    <row r="1" spans="1:15" ht="15.75" x14ac:dyDescent="0.25">
      <c r="H1" s="71" t="s">
        <v>460</v>
      </c>
      <c r="I1" s="73">
        <f ca="1">SUMIF($F:$F,"грядет",$D:$D)</f>
        <v>0</v>
      </c>
      <c r="J1" s="111">
        <f ca="1">COUNTIF($F:$F,"грядет")</f>
        <v>0</v>
      </c>
      <c r="K1" s="74" t="e">
        <f ca="1">I1/J1</f>
        <v>#DIV/0!</v>
      </c>
      <c r="L1" s="74">
        <f ca="1">SUMIFS(D:D,C:C,TODAY(),F:F,"грядет")</f>
        <v>0</v>
      </c>
    </row>
    <row r="2" spans="1:15" ht="16.5" thickBot="1" x14ac:dyDescent="0.3">
      <c r="A2" t="s">
        <v>449</v>
      </c>
      <c r="H2" s="7" t="s">
        <v>461</v>
      </c>
      <c r="I2" s="75">
        <f ca="1">SUMIF($F:$F,"грядет",$E:$E)</f>
        <v>0</v>
      </c>
      <c r="J2" s="112"/>
      <c r="K2" s="76" t="e">
        <f ca="1">I2/J1</f>
        <v>#DIV/0!</v>
      </c>
      <c r="L2" s="76">
        <f ca="1">SUMIFS(E:E,C:C,TODAY(),F:F,"грядет")</f>
        <v>0</v>
      </c>
    </row>
    <row r="4" spans="1:15" x14ac:dyDescent="0.25">
      <c r="A4" t="s">
        <v>0</v>
      </c>
      <c r="B4" t="s">
        <v>4095</v>
      </c>
    </row>
    <row r="5" spans="1:15" x14ac:dyDescent="0.25">
      <c r="A5" t="s">
        <v>1</v>
      </c>
      <c r="B5" t="s">
        <v>468</v>
      </c>
    </row>
    <row r="6" spans="1:15" x14ac:dyDescent="0.25">
      <c r="B6" t="s">
        <v>450</v>
      </c>
    </row>
    <row r="7" spans="1:15" x14ac:dyDescent="0.25">
      <c r="B7" t="s">
        <v>451</v>
      </c>
    </row>
    <row r="9" spans="1:15" x14ac:dyDescent="0.25">
      <c r="A9" t="s">
        <v>452</v>
      </c>
      <c r="B9" t="s">
        <v>453</v>
      </c>
      <c r="C9" t="s">
        <v>454</v>
      </c>
      <c r="D9" s="29" t="s">
        <v>3</v>
      </c>
    </row>
    <row r="10" spans="1:15" x14ac:dyDescent="0.25">
      <c r="D10" s="29" t="s">
        <v>455</v>
      </c>
      <c r="E10" s="72" t="s">
        <v>456</v>
      </c>
      <c r="F10" s="70" t="s">
        <v>459</v>
      </c>
      <c r="K10" s="1"/>
      <c r="O10" s="1"/>
    </row>
    <row r="11" spans="1:15" x14ac:dyDescent="0.25">
      <c r="A11" t="s">
        <v>201</v>
      </c>
      <c r="B11" t="s">
        <v>535</v>
      </c>
      <c r="C11" s="1">
        <v>45453</v>
      </c>
      <c r="D11" s="29">
        <v>35735.129999999997</v>
      </c>
      <c r="E11" s="29">
        <f>IFERROR(VLOOKUP(B11,'РП (расш)'!A:G,7,0),"")</f>
        <v>150747.5</v>
      </c>
      <c r="F11" t="str">
        <f ca="1">IF(B11="","",IF(B11&gt;0,IFERROR(IF(VLOOKUP(LEFT(B11,10),[2]Лист1!$A:$A,1,0)&gt;0,"КО"),IF(E11="","погашен",IF(B11&gt;0,IFERROR(IF(VLOOKUP(B11,'реестр просрочников'!B:B,1,0)&gt;0,"просрочен",),IF(TODAY()&gt;C11,"оплачен","грядет")),"")))))</f>
        <v>оплачен</v>
      </c>
      <c r="K11" s="1"/>
      <c r="O11" s="1"/>
    </row>
    <row r="12" spans="1:15" x14ac:dyDescent="0.25">
      <c r="A12" t="s">
        <v>281</v>
      </c>
      <c r="B12" t="s">
        <v>587</v>
      </c>
      <c r="C12" s="1">
        <v>45453</v>
      </c>
      <c r="D12" s="29">
        <v>56771.17</v>
      </c>
      <c r="E12" s="29">
        <f>IFERROR(VLOOKUP(B12,'РП (расш)'!A:G,7,0),"")</f>
        <v>237634.06</v>
      </c>
      <c r="F12" t="str">
        <f ca="1">IF(B12="","",IF(B12&gt;0,IFERROR(IF(VLOOKUP(LEFT(B12,10),[2]Лист1!$A:$A,1,0)&gt;0,"КО"),IF(E12="","погашен",IF(B12&gt;0,IFERROR(IF(VLOOKUP(B12,'реестр просрочников'!B:B,1,0)&gt;0,"просрочен",),IF(TODAY()&gt;C12,"оплачен","грядет")),"")))))</f>
        <v>оплачен</v>
      </c>
      <c r="K12" s="1"/>
      <c r="O12" s="1"/>
    </row>
    <row r="13" spans="1:15" x14ac:dyDescent="0.25">
      <c r="A13" t="s">
        <v>282</v>
      </c>
      <c r="B13" t="s">
        <v>588</v>
      </c>
      <c r="C13" s="1">
        <v>45453</v>
      </c>
      <c r="D13" s="29">
        <v>69757.990000000005</v>
      </c>
      <c r="E13" s="29">
        <f>IFERROR(VLOOKUP(B13,'РП (расш)'!A:G,7,0),"")</f>
        <v>385341.82</v>
      </c>
      <c r="F13" t="str">
        <f ca="1">IF(B13="","",IF(B13&gt;0,IFERROR(IF(VLOOKUP(LEFT(B13,10),[2]Лист1!$A:$A,1,0)&gt;0,"КО"),IF(E13="","погашен",IF(B13&gt;0,IFERROR(IF(VLOOKUP(B13,'реестр просрочников'!B:B,1,0)&gt;0,"просрочен",),IF(TODAY()&gt;C13,"оплачен","грядет")),"")))))</f>
        <v>просрочен</v>
      </c>
      <c r="K13" s="1"/>
      <c r="O13" s="1"/>
    </row>
    <row r="14" spans="1:15" x14ac:dyDescent="0.25">
      <c r="A14" t="s">
        <v>120</v>
      </c>
      <c r="B14" t="s">
        <v>481</v>
      </c>
      <c r="C14" s="1">
        <v>45453</v>
      </c>
      <c r="D14" s="29">
        <v>75532.92</v>
      </c>
      <c r="E14" s="29">
        <f>IFERROR(VLOOKUP(B14,'РП (расш)'!A:G,7,0),"")</f>
        <v>908272.7</v>
      </c>
      <c r="F14" t="str">
        <f ca="1">IF(B14="","",IF(B14&gt;0,IFERROR(IF(VLOOKUP(LEFT(B14,10),[2]Лист1!$A:$A,1,0)&gt;0,"КО"),IF(E14="","погашен",IF(B14&gt;0,IFERROR(IF(VLOOKUP(B14,'реестр просрочников'!B:B,1,0)&gt;0,"просрочен",),IF(TODAY()&gt;C14,"оплачен","грядет")),"")))))</f>
        <v>КО</v>
      </c>
      <c r="K14" s="1"/>
      <c r="O14" s="1"/>
    </row>
    <row r="15" spans="1:15" x14ac:dyDescent="0.25">
      <c r="A15" t="s">
        <v>248</v>
      </c>
      <c r="B15" t="s">
        <v>574</v>
      </c>
      <c r="C15" s="1">
        <v>45453</v>
      </c>
      <c r="D15" s="29">
        <v>12885.93</v>
      </c>
      <c r="E15" s="29">
        <f>IFERROR(VLOOKUP(B15,'РП (расш)'!A:G,7,0),"")</f>
        <v>43742.7</v>
      </c>
      <c r="F15" t="str">
        <f ca="1">IF(B15="","",IF(B15&gt;0,IFERROR(IF(VLOOKUP(LEFT(B15,10),[2]Лист1!$A:$A,1,0)&gt;0,"КО"),IF(E15="","погашен",IF(B15&gt;0,IFERROR(IF(VLOOKUP(B15,'реестр просрочников'!B:B,1,0)&gt;0,"просрочен",),IF(TODAY()&gt;C15,"оплачен","грядет")),"")))))</f>
        <v>оплачен</v>
      </c>
      <c r="K15" s="1"/>
      <c r="O15" s="1"/>
    </row>
    <row r="16" spans="1:15" x14ac:dyDescent="0.25">
      <c r="A16" t="s">
        <v>19</v>
      </c>
      <c r="B16" t="s">
        <v>411</v>
      </c>
      <c r="C16" s="1">
        <v>45453</v>
      </c>
      <c r="D16" s="29">
        <v>41891.230000000003</v>
      </c>
      <c r="E16" s="29">
        <f>IFERROR(VLOOKUP(B16,'РП (расш)'!A:G,7,0),"")</f>
        <v>510538.93</v>
      </c>
      <c r="F16" t="str">
        <f ca="1">IF(B16="","",IF(B16&gt;0,IFERROR(IF(VLOOKUP(LEFT(B16,10),[2]Лист1!$A:$A,1,0)&gt;0,"КО"),IF(E16="","погашен",IF(B16&gt;0,IFERROR(IF(VLOOKUP(B16,'реестр просрочников'!B:B,1,0)&gt;0,"просрочен",),IF(TODAY()&gt;C16,"оплачен","грядет")),"")))))</f>
        <v>КО</v>
      </c>
      <c r="K16" s="1"/>
      <c r="O16" s="1"/>
    </row>
    <row r="17" spans="1:15" x14ac:dyDescent="0.25">
      <c r="A17" t="s">
        <v>237</v>
      </c>
      <c r="B17" t="s">
        <v>570</v>
      </c>
      <c r="C17" s="1">
        <v>45454</v>
      </c>
      <c r="D17" s="29">
        <v>11045.52</v>
      </c>
      <c r="E17" s="29">
        <f>IFERROR(VLOOKUP(B17,'РП (расш)'!A:G,7,0),"")</f>
        <v>102854.41</v>
      </c>
      <c r="F17" t="str">
        <f ca="1">IF(B17="","",IF(B17&gt;0,IFERROR(IF(VLOOKUP(LEFT(B17,10),[2]Лист1!$A:$A,1,0)&gt;0,"КО"),IF(E17="","погашен",IF(B17&gt;0,IFERROR(IF(VLOOKUP(B17,'реестр просрочников'!B:B,1,0)&gt;0,"просрочен",),IF(TODAY()&gt;C17,"оплачен","грядет")),"")))))</f>
        <v>оплачен</v>
      </c>
      <c r="K17" s="1"/>
      <c r="O17" s="1"/>
    </row>
    <row r="18" spans="1:15" x14ac:dyDescent="0.25">
      <c r="A18" t="s">
        <v>82</v>
      </c>
      <c r="B18" t="s">
        <v>553</v>
      </c>
      <c r="C18" s="1">
        <v>45454</v>
      </c>
      <c r="D18" s="29">
        <v>28547.77</v>
      </c>
      <c r="E18" s="29">
        <f>IFERROR(VLOOKUP(B18,'РП (расш)'!A:G,7,0),"")</f>
        <v>148642.13</v>
      </c>
      <c r="F18" t="str">
        <f ca="1">IF(B18="","",IF(B18&gt;0,IFERROR(IF(VLOOKUP(LEFT(B18,10),[2]Лист1!$A:$A,1,0)&gt;0,"КО"),IF(E18="","погашен",IF(B18&gt;0,IFERROR(IF(VLOOKUP(B18,'реестр просрочников'!B:B,1,0)&gt;0,"просрочен",),IF(TODAY()&gt;C18,"оплачен","грядет")),"")))))</f>
        <v>оплачен</v>
      </c>
      <c r="K18" s="1"/>
    </row>
    <row r="19" spans="1:15" x14ac:dyDescent="0.25">
      <c r="A19" t="s">
        <v>72</v>
      </c>
      <c r="B19" t="s">
        <v>507</v>
      </c>
      <c r="C19" s="1">
        <v>45455</v>
      </c>
      <c r="D19" s="29">
        <v>64629.7</v>
      </c>
      <c r="E19" s="29">
        <f>IFERROR(VLOOKUP(B19,'РП (расш)'!A:G,7,0),"")</f>
        <v>208559.4</v>
      </c>
      <c r="F19" t="str">
        <f ca="1">IF(B19="","",IF(B19&gt;0,IFERROR(IF(VLOOKUP(LEFT(B19,10),[2]Лист1!$A:$A,1,0)&gt;0,"КО"),IF(E19="","погашен",IF(B19&gt;0,IFERROR(IF(VLOOKUP(B19,'реестр просрочников'!B:B,1,0)&gt;0,"просрочен",),IF(TODAY()&gt;C19,"оплачен","грядет")),"")))))</f>
        <v>оплачен</v>
      </c>
      <c r="K19" s="1"/>
    </row>
    <row r="20" spans="1:15" x14ac:dyDescent="0.25">
      <c r="A20" t="s">
        <v>330</v>
      </c>
      <c r="B20" t="s">
        <v>417</v>
      </c>
      <c r="C20" s="1">
        <v>45455</v>
      </c>
      <c r="D20" s="29">
        <v>43698.42</v>
      </c>
      <c r="E20" s="29">
        <f>IFERROR(VLOOKUP(B20,'РП (расш)'!A:G,7,0),"")</f>
        <v>285560.12</v>
      </c>
      <c r="F20" t="str">
        <f ca="1">IF(B20="","",IF(B20&gt;0,IFERROR(IF(VLOOKUP(LEFT(B20,10),[2]Лист1!$A:$A,1,0)&gt;0,"КО"),IF(E20="","погашен",IF(B20&gt;0,IFERROR(IF(VLOOKUP(B20,'реестр просрочников'!B:B,1,0)&gt;0,"просрочен",),IF(TODAY()&gt;C20,"оплачен","грядет")),"")))))</f>
        <v>КО</v>
      </c>
      <c r="K20" s="1"/>
    </row>
    <row r="21" spans="1:15" x14ac:dyDescent="0.25">
      <c r="A21" t="s">
        <v>218</v>
      </c>
      <c r="B21" t="s">
        <v>509</v>
      </c>
      <c r="C21" s="1">
        <v>45455</v>
      </c>
      <c r="D21" s="29">
        <v>63626.82</v>
      </c>
      <c r="E21" s="29">
        <f>IFERROR(VLOOKUP(B21,'РП (расш)'!A:G,7,0),"")</f>
        <v>576927.80000000005</v>
      </c>
      <c r="F21" t="str">
        <f ca="1">IF(B21="","",IF(B21&gt;0,IFERROR(IF(VLOOKUP(LEFT(B21,10),[2]Лист1!$A:$A,1,0)&gt;0,"КО"),IF(E21="","погашен",IF(B21&gt;0,IFERROR(IF(VLOOKUP(B21,'реестр просрочников'!B:B,1,0)&gt;0,"просрочен",),IF(TODAY()&gt;C21,"оплачен","грядет")),"")))))</f>
        <v>просрочен</v>
      </c>
      <c r="K21" s="1"/>
    </row>
    <row r="22" spans="1:15" x14ac:dyDescent="0.25">
      <c r="A22" t="s">
        <v>303</v>
      </c>
      <c r="B22" t="s">
        <v>384</v>
      </c>
      <c r="C22" s="1">
        <v>45455</v>
      </c>
      <c r="D22" s="29">
        <v>26424.41</v>
      </c>
      <c r="E22" s="29">
        <f>IFERROR(VLOOKUP(B22,'РП (расш)'!A:G,7,0),"")</f>
        <v>443666.24</v>
      </c>
      <c r="F22" t="str">
        <f ca="1">IF(B22="","",IF(B22&gt;0,IFERROR(IF(VLOOKUP(LEFT(B22,10),[2]Лист1!$A:$A,1,0)&gt;0,"КО"),IF(E22="","погашен",IF(B22&gt;0,IFERROR(IF(VLOOKUP(B22,'реестр просрочников'!B:B,1,0)&gt;0,"просрочен",),IF(TODAY()&gt;C22,"оплачен","грядет")),"")))))</f>
        <v>КО</v>
      </c>
      <c r="K22" s="1"/>
    </row>
    <row r="23" spans="1:15" x14ac:dyDescent="0.25">
      <c r="A23" t="s">
        <v>151</v>
      </c>
      <c r="B23" t="s">
        <v>528</v>
      </c>
      <c r="C23" s="1">
        <v>45455</v>
      </c>
      <c r="D23" s="29">
        <v>16595.53</v>
      </c>
      <c r="E23" s="29">
        <f>IFERROR(VLOOKUP(B23,'РП (расш)'!A:G,7,0),"")</f>
        <v>110632.96000000001</v>
      </c>
      <c r="F23" t="str">
        <f ca="1">IF(B23="","",IF(B23&gt;0,IFERROR(IF(VLOOKUP(LEFT(B23,10),[2]Лист1!$A:$A,1,0)&gt;0,"КО"),IF(E23="","погашен",IF(B23&gt;0,IFERROR(IF(VLOOKUP(B23,'реестр просрочников'!B:B,1,0)&gt;0,"просрочен",),IF(TODAY()&gt;C23,"оплачен","грядет")),"")))))</f>
        <v>оплачен</v>
      </c>
      <c r="K23" s="1"/>
    </row>
    <row r="24" spans="1:15" x14ac:dyDescent="0.25">
      <c r="A24" t="s">
        <v>73</v>
      </c>
      <c r="B24" t="s">
        <v>508</v>
      </c>
      <c r="C24" s="1">
        <v>45455</v>
      </c>
      <c r="D24" s="29">
        <v>69818.720000000001</v>
      </c>
      <c r="E24" s="29">
        <f>IFERROR(VLOOKUP(B24,'РП (расш)'!A:G,7,0),"")</f>
        <v>217448.65</v>
      </c>
      <c r="F24" t="str">
        <f ca="1">IF(B24="","",IF(B24&gt;0,IFERROR(IF(VLOOKUP(LEFT(B24,10),[2]Лист1!$A:$A,1,0)&gt;0,"КО"),IF(E24="","погашен",IF(B24&gt;0,IFERROR(IF(VLOOKUP(B24,'реестр просрочников'!B:B,1,0)&gt;0,"просрочен",),IF(TODAY()&gt;C24,"оплачен","грядет")),"")))))</f>
        <v>оплачен</v>
      </c>
      <c r="K24" s="1"/>
    </row>
    <row r="25" spans="1:15" x14ac:dyDescent="0.25">
      <c r="A25" t="s">
        <v>283</v>
      </c>
      <c r="B25" t="s">
        <v>589</v>
      </c>
      <c r="C25" s="1">
        <v>45456</v>
      </c>
      <c r="D25" s="29">
        <v>7275.35</v>
      </c>
      <c r="E25" s="29">
        <f>IFERROR(VLOOKUP(B25,'РП (расш)'!A:G,7,0),"")</f>
        <v>87301.94</v>
      </c>
      <c r="F25" t="str">
        <f ca="1">IF(B25="","",IF(B25&gt;0,IFERROR(IF(VLOOKUP(LEFT(B25,10),[2]Лист1!$A:$A,1,0)&gt;0,"КО"),IF(E25="","погашен",IF(B25&gt;0,IFERROR(IF(VLOOKUP(B25,'реестр просрочников'!B:B,1,0)&gt;0,"просрочен",),IF(TODAY()&gt;C25,"оплачен","грядет")),"")))))</f>
        <v>оплачен</v>
      </c>
      <c r="K25" s="1"/>
    </row>
    <row r="26" spans="1:15" x14ac:dyDescent="0.25">
      <c r="A26" t="s">
        <v>262</v>
      </c>
      <c r="B26" t="s">
        <v>579</v>
      </c>
      <c r="C26" s="1">
        <v>45456</v>
      </c>
      <c r="D26" s="29">
        <v>43398.11</v>
      </c>
      <c r="E26" s="29">
        <f>IFERROR(VLOOKUP(B26,'РП (расш)'!A:G,7,0),"")</f>
        <v>452267.28</v>
      </c>
      <c r="F26" t="str">
        <f ca="1">IF(B26="","",IF(B26&gt;0,IFERROR(IF(VLOOKUP(LEFT(B26,10),[2]Лист1!$A:$A,1,0)&gt;0,"КО"),IF(E26="","погашен",IF(B26&gt;0,IFERROR(IF(VLOOKUP(B26,'реестр просрочников'!B:B,1,0)&gt;0,"просрочен",),IF(TODAY()&gt;C26,"оплачен","грядет")),"")))))</f>
        <v>просрочен</v>
      </c>
      <c r="K26" s="1"/>
    </row>
    <row r="27" spans="1:15" x14ac:dyDescent="0.25">
      <c r="A27" t="s">
        <v>332</v>
      </c>
      <c r="B27" t="s">
        <v>597</v>
      </c>
      <c r="C27" s="1">
        <v>45456</v>
      </c>
      <c r="D27" s="29">
        <v>12756.77</v>
      </c>
      <c r="E27" s="29">
        <f>IFERROR(VLOOKUP(B27,'РП (расш)'!A:G,7,0),"")</f>
        <v>138572.31</v>
      </c>
      <c r="F27" t="str">
        <f ca="1">IF(B27="","",IF(B27&gt;0,IFERROR(IF(VLOOKUP(LEFT(B27,10),[2]Лист1!$A:$A,1,0)&gt;0,"КО"),IF(E27="","погашен",IF(B27&gt;0,IFERROR(IF(VLOOKUP(B27,'реестр просрочников'!B:B,1,0)&gt;0,"просрочен",),IF(TODAY()&gt;C27,"оплачен","грядет")),"")))))</f>
        <v>оплачен</v>
      </c>
      <c r="K27" s="1"/>
    </row>
    <row r="28" spans="1:15" x14ac:dyDescent="0.25">
      <c r="A28" t="s">
        <v>188</v>
      </c>
      <c r="B28" t="s">
        <v>519</v>
      </c>
      <c r="C28" s="1">
        <v>45457</v>
      </c>
      <c r="D28" s="29">
        <v>31792.01</v>
      </c>
      <c r="E28" s="29" t="str">
        <f>IFERROR(VLOOKUP(B28,'РП (расш)'!A:G,7,0),"")</f>
        <v/>
      </c>
      <c r="F28" t="str">
        <f ca="1">IF(B28="","",IF(B28&gt;0,IFERROR(IF(VLOOKUP(LEFT(B28,10),[2]Лист1!$A:$A,1,0)&gt;0,"КО"),IF(E28="","погашен",IF(B28&gt;0,IFERROR(IF(VLOOKUP(B28,'реестр просрочников'!B:B,1,0)&gt;0,"просрочен",),IF(TODAY()&gt;C28,"оплачен","грядет")),"")))))</f>
        <v>погашен</v>
      </c>
    </row>
    <row r="29" spans="1:15" x14ac:dyDescent="0.25">
      <c r="A29" t="s">
        <v>290</v>
      </c>
      <c r="B29" t="s">
        <v>498</v>
      </c>
      <c r="C29" s="1">
        <v>45457</v>
      </c>
      <c r="D29" s="29">
        <v>41342.53</v>
      </c>
      <c r="E29" s="29">
        <f>IFERROR(VLOOKUP(B29,'РП (расш)'!A:G,7,0),"")</f>
        <v>540292.54</v>
      </c>
      <c r="F29" t="str">
        <f ca="1">IF(B29="","",IF(B29&gt;0,IFERROR(IF(VLOOKUP(LEFT(B29,10),[2]Лист1!$A:$A,1,0)&gt;0,"КО"),IF(E29="","погашен",IF(B29&gt;0,IFERROR(IF(VLOOKUP(B29,'реестр просрочников'!B:B,1,0)&gt;0,"просрочен",),IF(TODAY()&gt;C29,"оплачен","грядет")),"")))))</f>
        <v>КО</v>
      </c>
    </row>
    <row r="30" spans="1:15" x14ac:dyDescent="0.25">
      <c r="A30" t="s">
        <v>44</v>
      </c>
      <c r="B30" t="s">
        <v>491</v>
      </c>
      <c r="C30" s="1">
        <v>45457</v>
      </c>
      <c r="D30" s="29">
        <v>7333.14</v>
      </c>
      <c r="E30" s="29">
        <f>IFERROR(VLOOKUP(B30,'РП (расш)'!A:G,7,0),"")</f>
        <v>59055.08</v>
      </c>
      <c r="F30" t="str">
        <f ca="1">IF(B30="","",IF(B30&gt;0,IFERROR(IF(VLOOKUP(LEFT(B30,10),[2]Лист1!$A:$A,1,0)&gt;0,"КО"),IF(E30="","погашен",IF(B30&gt;0,IFERROR(IF(VLOOKUP(B30,'реестр просрочников'!B:B,1,0)&gt;0,"просрочен",),IF(TODAY()&gt;C30,"оплачен","грядет")),"")))))</f>
        <v>просрочен</v>
      </c>
    </row>
    <row r="31" spans="1:15" x14ac:dyDescent="0.25">
      <c r="A31" t="s">
        <v>249</v>
      </c>
      <c r="B31" t="s">
        <v>575</v>
      </c>
      <c r="C31" s="1">
        <v>45457</v>
      </c>
      <c r="D31" s="29">
        <v>14993.72</v>
      </c>
      <c r="E31" s="29">
        <f>IFERROR(VLOOKUP(B31,'РП (расш)'!A:G,7,0),"")</f>
        <v>27122.39</v>
      </c>
      <c r="F31" t="str">
        <f ca="1">IF(B31="","",IF(B31&gt;0,IFERROR(IF(VLOOKUP(LEFT(B31,10),[2]Лист1!$A:$A,1,0)&gt;0,"КО"),IF(E31="","погашен",IF(B31&gt;0,IFERROR(IF(VLOOKUP(B31,'реестр просрочников'!B:B,1,0)&gt;0,"просрочен",),IF(TODAY()&gt;C31,"оплачен","грядет")),"")))))</f>
        <v>оплачен</v>
      </c>
    </row>
    <row r="32" spans="1:15" x14ac:dyDescent="0.25">
      <c r="A32" t="s">
        <v>410</v>
      </c>
      <c r="B32" t="s">
        <v>409</v>
      </c>
      <c r="C32" s="1">
        <v>45457</v>
      </c>
      <c r="D32" s="29">
        <v>14533.41</v>
      </c>
      <c r="E32" s="29">
        <f>IFERROR(VLOOKUP(B32,'РП (расш)'!A:G,7,0),"")</f>
        <v>0</v>
      </c>
      <c r="F32" t="str">
        <f ca="1">IF(B32="","",IF(B32&gt;0,IFERROR(IF(VLOOKUP(LEFT(B32,10),[2]Лист1!$A:$A,1,0)&gt;0,"КО"),IF(E32="","погашен",IF(B32&gt;0,IFERROR(IF(VLOOKUP(B32,'реестр просрочников'!B:B,1,0)&gt;0,"просрочен",),IF(TODAY()&gt;C32,"оплачен","грядет")),"")))))</f>
        <v>КО</v>
      </c>
    </row>
    <row r="33" spans="1:6" x14ac:dyDescent="0.25">
      <c r="A33" t="s">
        <v>279</v>
      </c>
      <c r="B33" t="s">
        <v>586</v>
      </c>
      <c r="C33" s="1">
        <v>45457</v>
      </c>
      <c r="D33" s="29">
        <v>18185.09</v>
      </c>
      <c r="E33" s="29">
        <f>IFERROR(VLOOKUP(B33,'РП (расш)'!A:G,7,0),"")</f>
        <v>219628.41</v>
      </c>
      <c r="F33" t="str">
        <f ca="1">IF(B33="","",IF(B33&gt;0,IFERROR(IF(VLOOKUP(LEFT(B33,10),[2]Лист1!$A:$A,1,0)&gt;0,"КО"),IF(E33="","погашен",IF(B33&gt;0,IFERROR(IF(VLOOKUP(B33,'реестр просрочников'!B:B,1,0)&gt;0,"просрочен",),IF(TODAY()&gt;C33,"оплачен","грядет")),"")))))</f>
        <v>просрочен</v>
      </c>
    </row>
    <row r="34" spans="1:6" x14ac:dyDescent="0.25">
      <c r="A34" t="s">
        <v>194</v>
      </c>
      <c r="B34" t="s">
        <v>526</v>
      </c>
      <c r="C34" s="1">
        <v>45458</v>
      </c>
      <c r="D34" s="29">
        <v>7549.99</v>
      </c>
      <c r="E34" s="29">
        <f>IFERROR(VLOOKUP(B34,'РП (расш)'!A:G,7,0),"")</f>
        <v>21042.22</v>
      </c>
      <c r="F34" t="str">
        <f ca="1">IF(B34="","",IF(B34&gt;0,IFERROR(IF(VLOOKUP(LEFT(B34,10),[2]Лист1!$A:$A,1,0)&gt;0,"КО"),IF(E34="","погашен",IF(B34&gt;0,IFERROR(IF(VLOOKUP(B34,'реестр просрочников'!B:B,1,0)&gt;0,"просрочен",),IF(TODAY()&gt;C34,"оплачен","грядет")),"")))))</f>
        <v>оплачен</v>
      </c>
    </row>
    <row r="35" spans="1:6" x14ac:dyDescent="0.25">
      <c r="A35" t="s">
        <v>196</v>
      </c>
      <c r="B35" t="s">
        <v>480</v>
      </c>
      <c r="C35" s="1">
        <v>45458</v>
      </c>
      <c r="D35" s="29">
        <v>23751.89</v>
      </c>
      <c r="E35" s="29">
        <f>IFERROR(VLOOKUP(B35,'РП (расш)'!A:G,7,0),"")</f>
        <v>159779.82</v>
      </c>
      <c r="F35" t="str">
        <f ca="1">IF(B35="","",IF(B35&gt;0,IFERROR(IF(VLOOKUP(LEFT(B35,10),[2]Лист1!$A:$A,1,0)&gt;0,"КО"),IF(E35="","погашен",IF(B35&gt;0,IFERROR(IF(VLOOKUP(B35,'реестр просрочников'!B:B,1,0)&gt;0,"просрочен",),IF(TODAY()&gt;C35,"оплачен","грядет")),"")))))</f>
        <v>оплачен</v>
      </c>
    </row>
    <row r="36" spans="1:6" x14ac:dyDescent="0.25">
      <c r="A36" t="s">
        <v>231</v>
      </c>
      <c r="B36" t="s">
        <v>510</v>
      </c>
      <c r="C36" s="1">
        <v>45458</v>
      </c>
      <c r="D36" s="29">
        <v>5820.28</v>
      </c>
      <c r="E36" s="29">
        <f>IFERROR(VLOOKUP(B36,'РП (расш)'!A:G,7,0),"")</f>
        <v>72304.97</v>
      </c>
      <c r="F36" t="str">
        <f ca="1">IF(B36="","",IF(B36&gt;0,IFERROR(IF(VLOOKUP(LEFT(B36,10),[2]Лист1!$A:$A,1,0)&gt;0,"КО"),IF(E36="","погашен",IF(B36&gt;0,IFERROR(IF(VLOOKUP(B36,'реестр просрочников'!B:B,1,0)&gt;0,"просрочен",),IF(TODAY()&gt;C36,"оплачен","грядет")),"")))))</f>
        <v>оплачен</v>
      </c>
    </row>
    <row r="37" spans="1:6" x14ac:dyDescent="0.25">
      <c r="A37" t="s">
        <v>244</v>
      </c>
      <c r="B37" t="s">
        <v>572</v>
      </c>
      <c r="C37" s="1">
        <v>45458</v>
      </c>
      <c r="D37" s="29">
        <v>9647.94</v>
      </c>
      <c r="E37" s="29">
        <f>IFERROR(VLOOKUP(B37,'РП (расш)'!A:G,7,0),"")</f>
        <v>95227.56</v>
      </c>
      <c r="F37" t="str">
        <f ca="1">IF(B37="","",IF(B37&gt;0,IFERROR(IF(VLOOKUP(LEFT(B37,10),[2]Лист1!$A:$A,1,0)&gt;0,"КО"),IF(E37="","погашен",IF(B37&gt;0,IFERROR(IF(VLOOKUP(B37,'реестр просрочников'!B:B,1,0)&gt;0,"просрочен",),IF(TODAY()&gt;C37,"оплачен","грядет")),"")))))</f>
        <v>оплачен</v>
      </c>
    </row>
    <row r="38" spans="1:6" x14ac:dyDescent="0.25">
      <c r="A38" t="s">
        <v>51</v>
      </c>
      <c r="B38" t="s">
        <v>482</v>
      </c>
      <c r="C38" s="1">
        <v>45458</v>
      </c>
      <c r="D38" s="29">
        <v>8874.7999999999993</v>
      </c>
      <c r="E38" s="29">
        <f>IFERROR(VLOOKUP(B38,'РП (расш)'!A:G,7,0),"")</f>
        <v>42264.29</v>
      </c>
      <c r="F38" t="str">
        <f ca="1">IF(B38="","",IF(B38&gt;0,IFERROR(IF(VLOOKUP(LEFT(B38,10),[2]Лист1!$A:$A,1,0)&gt;0,"КО"),IF(E38="","погашен",IF(B38&gt;0,IFERROR(IF(VLOOKUP(B38,'реестр просрочников'!B:B,1,0)&gt;0,"просрочен",),IF(TODAY()&gt;C38,"оплачен","грядет")),"")))))</f>
        <v>КО</v>
      </c>
    </row>
    <row r="39" spans="1:6" x14ac:dyDescent="0.25">
      <c r="A39" t="s">
        <v>143</v>
      </c>
      <c r="B39" t="s">
        <v>499</v>
      </c>
      <c r="C39" s="1">
        <v>45458</v>
      </c>
      <c r="D39" s="29">
        <v>5977.33</v>
      </c>
      <c r="E39" s="29" t="str">
        <f>IFERROR(VLOOKUP(B39,'РП (расш)'!A:G,7,0),"")</f>
        <v/>
      </c>
      <c r="F39" t="str">
        <f ca="1">IF(B39="","",IF(B39&gt;0,IFERROR(IF(VLOOKUP(LEFT(B39,10),[2]Лист1!$A:$A,1,0)&gt;0,"КО"),IF(E39="","погашен",IF(B39&gt;0,IFERROR(IF(VLOOKUP(B39,'реестр просрочников'!B:B,1,0)&gt;0,"просрочен",),IF(TODAY()&gt;C39,"оплачен","грядет")),"")))))</f>
        <v>погашен</v>
      </c>
    </row>
    <row r="40" spans="1:6" x14ac:dyDescent="0.25">
      <c r="A40" t="s">
        <v>211</v>
      </c>
      <c r="B40" t="s">
        <v>490</v>
      </c>
      <c r="C40" s="1">
        <v>45459</v>
      </c>
      <c r="D40" s="29">
        <v>17977.990000000002</v>
      </c>
      <c r="E40" s="29">
        <f>IFERROR(VLOOKUP(B40,'РП (расш)'!A:G,7,0),"")</f>
        <v>99873.69</v>
      </c>
      <c r="F40" t="str">
        <f ca="1">IF(B40="","",IF(B40&gt;0,IFERROR(IF(VLOOKUP(LEFT(B40,10),[2]Лист1!$A:$A,1,0)&gt;0,"КО"),IF(E40="","погашен",IF(B40&gt;0,IFERROR(IF(VLOOKUP(B40,'реестр просрочников'!B:B,1,0)&gt;0,"просрочен",),IF(TODAY()&gt;C40,"оплачен","грядет")),"")))))</f>
        <v>оплачен</v>
      </c>
    </row>
    <row r="41" spans="1:6" x14ac:dyDescent="0.25">
      <c r="A41" t="s">
        <v>195</v>
      </c>
      <c r="B41" t="s">
        <v>531</v>
      </c>
      <c r="C41" s="1">
        <v>45459</v>
      </c>
      <c r="D41" s="29">
        <v>23173.17</v>
      </c>
      <c r="E41" s="29">
        <f>IFERROR(VLOOKUP(B41,'РП (расш)'!A:G,7,0),"")</f>
        <v>143205.79999999999</v>
      </c>
      <c r="F41" t="str">
        <f ca="1">IF(B41="","",IF(B41&gt;0,IFERROR(IF(VLOOKUP(LEFT(B41,10),[2]Лист1!$A:$A,1,0)&gt;0,"КО"),IF(E41="","погашен",IF(B41&gt;0,IFERROR(IF(VLOOKUP(B41,'реестр просрочников'!B:B,1,0)&gt;0,"просрочен",),IF(TODAY()&gt;C41,"оплачен","грядет")),"")))))</f>
        <v>КО</v>
      </c>
    </row>
    <row r="42" spans="1:6" x14ac:dyDescent="0.25">
      <c r="A42" t="s">
        <v>251</v>
      </c>
      <c r="B42" t="s">
        <v>500</v>
      </c>
      <c r="C42" s="1">
        <v>45460</v>
      </c>
      <c r="D42" s="29">
        <v>11023.26</v>
      </c>
      <c r="E42" s="29">
        <f>IFERROR(VLOOKUP(B42,'РП (расш)'!A:G,7,0),"")</f>
        <v>176315.99</v>
      </c>
      <c r="F42" t="str">
        <f ca="1">IF(B42="","",IF(B42&gt;0,IFERROR(IF(VLOOKUP(LEFT(B42,10),[2]Лист1!$A:$A,1,0)&gt;0,"КО"),IF(E42="","погашен",IF(B42&gt;0,IFERROR(IF(VLOOKUP(B42,'реестр просрочников'!B:B,1,0)&gt;0,"просрочен",),IF(TODAY()&gt;C42,"оплачен","грядет")),"")))))</f>
        <v>КО</v>
      </c>
    </row>
    <row r="43" spans="1:6" x14ac:dyDescent="0.25">
      <c r="A43" t="s">
        <v>277</v>
      </c>
      <c r="B43" t="s">
        <v>620</v>
      </c>
      <c r="C43" s="1">
        <v>45460</v>
      </c>
      <c r="D43" s="29">
        <v>7927.33</v>
      </c>
      <c r="E43" s="29">
        <f>IFERROR(VLOOKUP(B43,'РП (расш)'!A:G,7,0),"")</f>
        <v>130577.68</v>
      </c>
      <c r="F43" t="str">
        <f ca="1">IF(B43="","",IF(B43&gt;0,IFERROR(IF(VLOOKUP(LEFT(B43,10),[2]Лист1!$A:$A,1,0)&gt;0,"КО"),IF(E43="","погашен",IF(B43&gt;0,IFERROR(IF(VLOOKUP(B43,'реестр просрочников'!B:B,1,0)&gt;0,"просрочен",),IF(TODAY()&gt;C43,"оплачен","грядет")),"")))))</f>
        <v>оплачен</v>
      </c>
    </row>
    <row r="44" spans="1:6" x14ac:dyDescent="0.25">
      <c r="A44" t="s">
        <v>335</v>
      </c>
      <c r="B44" t="s">
        <v>598</v>
      </c>
      <c r="C44" s="1">
        <v>45460</v>
      </c>
      <c r="D44" s="29">
        <v>53546.3</v>
      </c>
      <c r="E44" s="29">
        <f>IFERROR(VLOOKUP(B44,'РП (расш)'!A:G,7,0),"")</f>
        <v>687800.96</v>
      </c>
      <c r="F44" t="str">
        <f ca="1">IF(B44="","",IF(B44&gt;0,IFERROR(IF(VLOOKUP(LEFT(B44,10),[2]Лист1!$A:$A,1,0)&gt;0,"КО"),IF(E44="","погашен",IF(B44&gt;0,IFERROR(IF(VLOOKUP(B44,'реестр просрочников'!B:B,1,0)&gt;0,"просрочен",),IF(TODAY()&gt;C44,"оплачен","грядет")),"")))))</f>
        <v>просрочен</v>
      </c>
    </row>
    <row r="45" spans="1:6" x14ac:dyDescent="0.25">
      <c r="A45" t="s">
        <v>25</v>
      </c>
      <c r="B45" t="s">
        <v>511</v>
      </c>
      <c r="C45" s="1">
        <v>45460</v>
      </c>
      <c r="D45" s="29">
        <v>4850.24</v>
      </c>
      <c r="E45" s="29">
        <f>IFERROR(VLOOKUP(B45,'РП (расш)'!A:G,7,0),"")</f>
        <v>58089.47</v>
      </c>
      <c r="F45" t="str">
        <f ca="1">IF(B45="","",IF(B45&gt;0,IFERROR(IF(VLOOKUP(LEFT(B45,10),[2]Лист1!$A:$A,1,0)&gt;0,"КО"),IF(E45="","погашен",IF(B45&gt;0,IFERROR(IF(VLOOKUP(B45,'реестр просрочников'!B:B,1,0)&gt;0,"просрочен",),IF(TODAY()&gt;C45,"оплачен","грядет")),"")))))</f>
        <v>КО</v>
      </c>
    </row>
    <row r="46" spans="1:6" x14ac:dyDescent="0.25">
      <c r="A46" t="s">
        <v>285</v>
      </c>
      <c r="B46" t="s">
        <v>493</v>
      </c>
      <c r="C46" s="1">
        <v>45460</v>
      </c>
      <c r="D46" s="29">
        <v>17247.080000000002</v>
      </c>
      <c r="E46" s="29">
        <f>IFERROR(VLOOKUP(B46,'РП (расш)'!A:G,7,0),"")</f>
        <v>214781.62</v>
      </c>
      <c r="F46" t="str">
        <f ca="1">IF(B46="","",IF(B46&gt;0,IFERROR(IF(VLOOKUP(LEFT(B46,10),[2]Лист1!$A:$A,1,0)&gt;0,"КО"),IF(E46="","погашен",IF(B46&gt;0,IFERROR(IF(VLOOKUP(B46,'реестр просрочников'!B:B,1,0)&gt;0,"просрочен",),IF(TODAY()&gt;C46,"оплачен","грядет")),"")))))</f>
        <v>КО</v>
      </c>
    </row>
    <row r="47" spans="1:6" x14ac:dyDescent="0.25">
      <c r="A47" t="s">
        <v>400</v>
      </c>
      <c r="B47" t="s">
        <v>399</v>
      </c>
      <c r="C47" s="1">
        <v>45460</v>
      </c>
      <c r="D47" s="29">
        <v>9700.4699999999993</v>
      </c>
      <c r="E47" s="29">
        <f>IFERROR(VLOOKUP(B47,'РП (расш)'!A:G,7,0),"")</f>
        <v>188883.75</v>
      </c>
      <c r="F47" t="str">
        <f ca="1">IF(B47="","",IF(B47&gt;0,IFERROR(IF(VLOOKUP(LEFT(B47,10),[2]Лист1!$A:$A,1,0)&gt;0,"КО"),IF(E47="","погашен",IF(B47&gt;0,IFERROR(IF(VLOOKUP(B47,'реестр просрочников'!B:B,1,0)&gt;0,"просрочен",),IF(TODAY()&gt;C47,"оплачен","грядет")),"")))))</f>
        <v>КО</v>
      </c>
    </row>
    <row r="48" spans="1:6" x14ac:dyDescent="0.25">
      <c r="A48" t="s">
        <v>60</v>
      </c>
      <c r="B48" t="s">
        <v>473</v>
      </c>
      <c r="C48" s="1">
        <v>45460</v>
      </c>
      <c r="D48" s="29">
        <v>6716.69</v>
      </c>
      <c r="E48" s="29">
        <f>IFERROR(VLOOKUP(B48,'РП (расш)'!A:G,7,0),"")</f>
        <v>84770.39</v>
      </c>
      <c r="F48" t="str">
        <f ca="1">IF(B48="","",IF(B48&gt;0,IFERROR(IF(VLOOKUP(LEFT(B48,10),[2]Лист1!$A:$A,1,0)&gt;0,"КО"),IF(E48="","погашен",IF(B48&gt;0,IFERROR(IF(VLOOKUP(B48,'реестр просрочников'!B:B,1,0)&gt;0,"просрочен",),IF(TODAY()&gt;C48,"оплачен","грядет")),"")))))</f>
        <v>КО</v>
      </c>
    </row>
    <row r="49" spans="1:6" x14ac:dyDescent="0.25">
      <c r="A49" t="s">
        <v>377</v>
      </c>
      <c r="B49" t="s">
        <v>475</v>
      </c>
      <c r="C49" s="1">
        <v>45461</v>
      </c>
      <c r="D49" s="29">
        <v>6043.45</v>
      </c>
      <c r="E49" s="29">
        <f>IFERROR(VLOOKUP(B49,'РП (расш)'!A:G,7,0),"")</f>
        <v>86951.96</v>
      </c>
      <c r="F49" t="str">
        <f ca="1">IF(B49="","",IF(B49&gt;0,IFERROR(IF(VLOOKUP(LEFT(B49,10),[2]Лист1!$A:$A,1,0)&gt;0,"КО"),IF(E49="","погашен",IF(B49&gt;0,IFERROR(IF(VLOOKUP(B49,'реестр просрочников'!B:B,1,0)&gt;0,"просрочен",),IF(TODAY()&gt;C49,"оплачен","грядет")),"")))))</f>
        <v>КО</v>
      </c>
    </row>
    <row r="50" spans="1:6" x14ac:dyDescent="0.25">
      <c r="A50" t="s">
        <v>50</v>
      </c>
      <c r="B50" t="s">
        <v>559</v>
      </c>
      <c r="C50" s="1">
        <v>45461</v>
      </c>
      <c r="D50" s="29">
        <v>12050.66</v>
      </c>
      <c r="E50" s="29" t="str">
        <f>IFERROR(VLOOKUP(B50,'РП (расш)'!A:G,7,0),"")</f>
        <v/>
      </c>
      <c r="F50" t="str">
        <f ca="1">IF(B50="","",IF(B50&gt;0,IFERROR(IF(VLOOKUP(LEFT(B50,10),[2]Лист1!$A:$A,1,0)&gt;0,"КО"),IF(E50="","погашен",IF(B50&gt;0,IFERROR(IF(VLOOKUP(B50,'реестр просрочников'!B:B,1,0)&gt;0,"просрочен",),IF(TODAY()&gt;C50,"оплачен","грядет")),"")))))</f>
        <v>погашен</v>
      </c>
    </row>
    <row r="51" spans="1:6" x14ac:dyDescent="0.25">
      <c r="A51" t="s">
        <v>205</v>
      </c>
      <c r="B51" t="s">
        <v>542</v>
      </c>
      <c r="C51" s="1">
        <v>45461</v>
      </c>
      <c r="D51" s="29">
        <v>4196.76</v>
      </c>
      <c r="E51" s="29">
        <f>IFERROR(VLOOKUP(B51,'РП (расш)'!A:G,7,0),"")</f>
        <v>18239.96</v>
      </c>
      <c r="F51" t="str">
        <f ca="1">IF(B51="","",IF(B51&gt;0,IFERROR(IF(VLOOKUP(LEFT(B51,10),[2]Лист1!$A:$A,1,0)&gt;0,"КО"),IF(E51="","погашен",IF(B51&gt;0,IFERROR(IF(VLOOKUP(B51,'реестр просрочников'!B:B,1,0)&gt;0,"просрочен",),IF(TODAY()&gt;C51,"оплачен","грядет")),"")))))</f>
        <v>оплачен</v>
      </c>
    </row>
    <row r="52" spans="1:6" x14ac:dyDescent="0.25">
      <c r="A52" t="s">
        <v>52</v>
      </c>
      <c r="B52" t="s">
        <v>512</v>
      </c>
      <c r="C52" s="1">
        <v>45461</v>
      </c>
      <c r="D52" s="29">
        <v>3515.27</v>
      </c>
      <c r="E52" s="29">
        <f>IFERROR(VLOOKUP(B52,'РП (расш)'!A:G,7,0),"")</f>
        <v>82778.91</v>
      </c>
      <c r="F52" t="str">
        <f ca="1">IF(B52="","",IF(B52&gt;0,IFERROR(IF(VLOOKUP(LEFT(B52,10),[2]Лист1!$A:$A,1,0)&gt;0,"КО"),IF(E52="","погашен",IF(B52&gt;0,IFERROR(IF(VLOOKUP(B52,'реестр просрочников'!B:B,1,0)&gt;0,"просрочен",),IF(TODAY()&gt;C52,"оплачен","грядет")),"")))))</f>
        <v>просрочен</v>
      </c>
    </row>
    <row r="53" spans="1:6" x14ac:dyDescent="0.25">
      <c r="A53" t="s">
        <v>21</v>
      </c>
      <c r="B53" t="s">
        <v>524</v>
      </c>
      <c r="C53" s="1">
        <v>45461</v>
      </c>
      <c r="D53" s="29">
        <v>4850.24</v>
      </c>
      <c r="E53" s="29">
        <f>IFERROR(VLOOKUP(B53,'РП (расш)'!A:G,7,0),"")</f>
        <v>32183.25</v>
      </c>
      <c r="F53" t="str">
        <f ca="1">IF(B53="","",IF(B53&gt;0,IFERROR(IF(VLOOKUP(LEFT(B53,10),[2]Лист1!$A:$A,1,0)&gt;0,"КО"),IF(E53="","погашен",IF(B53&gt;0,IFERROR(IF(VLOOKUP(B53,'реестр просрочников'!B:B,1,0)&gt;0,"просрочен",),IF(TODAY()&gt;C53,"оплачен","грядет")),"")))))</f>
        <v>КО</v>
      </c>
    </row>
    <row r="54" spans="1:6" x14ac:dyDescent="0.25">
      <c r="A54" t="s">
        <v>145</v>
      </c>
      <c r="B54" t="s">
        <v>546</v>
      </c>
      <c r="C54" s="1">
        <v>45461</v>
      </c>
      <c r="D54" s="29">
        <v>6113.61</v>
      </c>
      <c r="E54" s="29">
        <f>IFERROR(VLOOKUP(B54,'РП (расш)'!A:G,7,0),"")</f>
        <v>39061.279999999999</v>
      </c>
      <c r="F54" t="str">
        <f ca="1">IF(B54="","",IF(B54&gt;0,IFERROR(IF(VLOOKUP(LEFT(B54,10),[2]Лист1!$A:$A,1,0)&gt;0,"КО"),IF(E54="","погашен",IF(B54&gt;0,IFERROR(IF(VLOOKUP(B54,'реестр просрочников'!B:B,1,0)&gt;0,"просрочен",),IF(TODAY()&gt;C54,"оплачен","грядет")),"")))))</f>
        <v>оплачен</v>
      </c>
    </row>
    <row r="55" spans="1:6" x14ac:dyDescent="0.25">
      <c r="A55" t="s">
        <v>253</v>
      </c>
      <c r="B55" t="s">
        <v>514</v>
      </c>
      <c r="C55" s="1">
        <v>45462</v>
      </c>
      <c r="D55" s="29">
        <v>5125.3500000000004</v>
      </c>
      <c r="E55" s="29">
        <f>IFERROR(VLOOKUP(B55,'РП (расш)'!A:G,7,0),"")</f>
        <v>1047.17</v>
      </c>
      <c r="F55" t="str">
        <f ca="1">IF(B55="","",IF(B55&gt;0,IFERROR(IF(VLOOKUP(LEFT(B55,10),[2]Лист1!$A:$A,1,0)&gt;0,"КО"),IF(E55="","погашен",IF(B55&gt;0,IFERROR(IF(VLOOKUP(B55,'реестр просрочников'!B:B,1,0)&gt;0,"просрочен",),IF(TODAY()&gt;C55,"оплачен","грядет")),"")))))</f>
        <v>оплачен</v>
      </c>
    </row>
    <row r="56" spans="1:6" x14ac:dyDescent="0.25">
      <c r="A56" t="s">
        <v>373</v>
      </c>
      <c r="B56" t="s">
        <v>471</v>
      </c>
      <c r="C56" s="1">
        <v>45462</v>
      </c>
      <c r="D56" s="29">
        <v>5531.84</v>
      </c>
      <c r="E56" s="29">
        <f>IFERROR(VLOOKUP(B56,'РП (расш)'!A:G,7,0),"")</f>
        <v>99070.9</v>
      </c>
      <c r="F56" t="str">
        <f ca="1">IF(B56="","",IF(B56&gt;0,IFERROR(IF(VLOOKUP(LEFT(B56,10),[2]Лист1!$A:$A,1,0)&gt;0,"КО"),IF(E56="","погашен",IF(B56&gt;0,IFERROR(IF(VLOOKUP(B56,'реестр просрочников'!B:B,1,0)&gt;0,"просрочен",),IF(TODAY()&gt;C56,"оплачен","грядет")),"")))))</f>
        <v>КО</v>
      </c>
    </row>
    <row r="57" spans="1:6" x14ac:dyDescent="0.25">
      <c r="A57" t="s">
        <v>376</v>
      </c>
      <c r="B57" t="s">
        <v>375</v>
      </c>
      <c r="C57" s="1">
        <v>45462</v>
      </c>
      <c r="D57" s="29">
        <v>65364.160000000003</v>
      </c>
      <c r="E57" s="29">
        <f>IFERROR(VLOOKUP(B57,'РП (расш)'!A:G,7,0),"")</f>
        <v>1000000</v>
      </c>
      <c r="F57" t="str">
        <f ca="1">IF(B57="","",IF(B57&gt;0,IFERROR(IF(VLOOKUP(LEFT(B57,10),[2]Лист1!$A:$A,1,0)&gt;0,"КО"),IF(E57="","погашен",IF(B57&gt;0,IFERROR(IF(VLOOKUP(B57,'реестр просрочников'!B:B,1,0)&gt;0,"просрочен",),IF(TODAY()&gt;C57,"оплачен","грядет")),"")))))</f>
        <v>КО</v>
      </c>
    </row>
    <row r="58" spans="1:6" x14ac:dyDescent="0.25">
      <c r="A58" t="s">
        <v>25</v>
      </c>
      <c r="B58" t="s">
        <v>513</v>
      </c>
      <c r="C58" s="1">
        <v>45462</v>
      </c>
      <c r="D58" s="29">
        <v>6027.51</v>
      </c>
      <c r="E58" s="29">
        <f>IFERROR(VLOOKUP(B58,'РП (расш)'!A:G,7,0),"")</f>
        <v>73664.179999999993</v>
      </c>
      <c r="F58" t="str">
        <f ca="1">IF(B58="","",IF(B58&gt;0,IFERROR(IF(VLOOKUP(LEFT(B58,10),[2]Лист1!$A:$A,1,0)&gt;0,"КО"),IF(E58="","погашен",IF(B58&gt;0,IFERROR(IF(VLOOKUP(B58,'реестр просрочников'!B:B,1,0)&gt;0,"просрочен",),IF(TODAY()&gt;C58,"оплачен","грядет")),"")))))</f>
        <v>КО</v>
      </c>
    </row>
    <row r="59" spans="1:6" x14ac:dyDescent="0.25">
      <c r="A59" t="s">
        <v>88</v>
      </c>
      <c r="B59" t="s">
        <v>515</v>
      </c>
      <c r="C59" s="1">
        <v>45463</v>
      </c>
      <c r="D59" s="29">
        <v>14839.24</v>
      </c>
      <c r="E59" s="29">
        <f>IFERROR(VLOOKUP(B59,'РП (расш)'!A:G,7,0),"")</f>
        <v>39140.76</v>
      </c>
      <c r="F59" t="str">
        <f ca="1">IF(B59="","",IF(B59&gt;0,IFERROR(IF(VLOOKUP(LEFT(B59,10),[2]Лист1!$A:$A,1,0)&gt;0,"КО"),IF(E59="","погашен",IF(B59&gt;0,IFERROR(IF(VLOOKUP(B59,'реестр просрочников'!B:B,1,0)&gt;0,"просрочен",),IF(TODAY()&gt;C59,"оплачен","грядет")),"")))))</f>
        <v>просрочен</v>
      </c>
    </row>
    <row r="60" spans="1:6" x14ac:dyDescent="0.25">
      <c r="A60" t="s">
        <v>250</v>
      </c>
      <c r="B60" t="s">
        <v>516</v>
      </c>
      <c r="C60" s="1">
        <v>45463</v>
      </c>
      <c r="D60" s="29">
        <v>17908.47</v>
      </c>
      <c r="E60" s="29">
        <f>IFERROR(VLOOKUP(B60,'РП (расш)'!A:G,7,0),"")</f>
        <v>173551.16</v>
      </c>
      <c r="F60" t="str">
        <f ca="1">IF(B60="","",IF(B60&gt;0,IFERROR(IF(VLOOKUP(LEFT(B60,10),[2]Лист1!$A:$A,1,0)&gt;0,"КО"),IF(E60="","погашен",IF(B60&gt;0,IFERROR(IF(VLOOKUP(B60,'реестр просрочников'!B:B,1,0)&gt;0,"просрочен",),IF(TODAY()&gt;C60,"оплачен","грядет")),"")))))</f>
        <v>КО</v>
      </c>
    </row>
    <row r="61" spans="1:6" x14ac:dyDescent="0.25">
      <c r="A61" t="s">
        <v>235</v>
      </c>
      <c r="B61" t="s">
        <v>568</v>
      </c>
      <c r="C61" s="1">
        <v>45463</v>
      </c>
      <c r="D61" s="29">
        <v>1982.83</v>
      </c>
      <c r="E61" s="29" t="str">
        <f>IFERROR(VLOOKUP(B61,'РП (расш)'!A:G,7,0),"")</f>
        <v/>
      </c>
      <c r="F61" t="str">
        <f ca="1">IF(B61="","",IF(B61&gt;0,IFERROR(IF(VLOOKUP(LEFT(B61,10),[2]Лист1!$A:$A,1,0)&gt;0,"КО"),IF(E61="","погашен",IF(B61&gt;0,IFERROR(IF(VLOOKUP(B61,'реестр просрочников'!B:B,1,0)&gt;0,"просрочен",),IF(TODAY()&gt;C61,"оплачен","грядет")),"")))))</f>
        <v>погашен</v>
      </c>
    </row>
    <row r="62" spans="1:6" x14ac:dyDescent="0.25">
      <c r="A62" t="s">
        <v>381</v>
      </c>
      <c r="B62" t="s">
        <v>380</v>
      </c>
      <c r="C62" s="1">
        <v>45463</v>
      </c>
      <c r="D62" s="29">
        <v>19609.25</v>
      </c>
      <c r="E62" s="29">
        <f>IFERROR(VLOOKUP(B62,'РП (расш)'!A:G,7,0),"")</f>
        <v>265431.03000000003</v>
      </c>
      <c r="F62" t="str">
        <f ca="1">IF(B62="","",IF(B62&gt;0,IFERROR(IF(VLOOKUP(LEFT(B62,10),[2]Лист1!$A:$A,1,0)&gt;0,"КО"),IF(E62="","погашен",IF(B62&gt;0,IFERROR(IF(VLOOKUP(B62,'реестр просрочников'!B:B,1,0)&gt;0,"просрочен",),IF(TODAY()&gt;C62,"оплачен","грядет")),"")))))</f>
        <v>КО</v>
      </c>
    </row>
    <row r="63" spans="1:6" x14ac:dyDescent="0.25">
      <c r="A63" t="s">
        <v>144</v>
      </c>
      <c r="B63" t="s">
        <v>502</v>
      </c>
      <c r="C63" s="1">
        <v>45464</v>
      </c>
      <c r="D63" s="29">
        <v>2998.92</v>
      </c>
      <c r="E63" s="29">
        <f>IFERROR(VLOOKUP(B63,'РП (расш)'!A:G,7,0),"")</f>
        <v>43756.97</v>
      </c>
      <c r="F63" t="str">
        <f ca="1">IF(B63="","",IF(B63&gt;0,IFERROR(IF(VLOOKUP(LEFT(B63,10),[2]Лист1!$A:$A,1,0)&gt;0,"КО"),IF(E63="","погашен",IF(B63&gt;0,IFERROR(IF(VLOOKUP(B63,'реестр просрочников'!B:B,1,0)&gt;0,"просрочен",),IF(TODAY()&gt;C63,"оплачен","грядет")),"")))))</f>
        <v>КО</v>
      </c>
    </row>
    <row r="64" spans="1:6" x14ac:dyDescent="0.25">
      <c r="A64" t="s">
        <v>402</v>
      </c>
      <c r="B64" t="s">
        <v>401</v>
      </c>
      <c r="C64" s="1">
        <v>45464</v>
      </c>
      <c r="D64" s="29">
        <v>24173.78</v>
      </c>
      <c r="E64" s="29">
        <f>IFERROR(VLOOKUP(B64,'РП (расш)'!A:G,7,0),"")</f>
        <v>340495.15</v>
      </c>
      <c r="F64" t="str">
        <f ca="1">IF(B64="","",IF(B64&gt;0,IFERROR(IF(VLOOKUP(LEFT(B64,10),[2]Лист1!$A:$A,1,0)&gt;0,"КО"),IF(E64="","погашен",IF(B64&gt;0,IFERROR(IF(VLOOKUP(B64,'реестр просрочников'!B:B,1,0)&gt;0,"просрочен",),IF(TODAY()&gt;C64,"оплачен","грядет")),"")))))</f>
        <v>КО</v>
      </c>
    </row>
    <row r="65" spans="1:6" x14ac:dyDescent="0.25">
      <c r="A65" t="s">
        <v>26</v>
      </c>
      <c r="B65" t="s">
        <v>537</v>
      </c>
      <c r="C65" s="1">
        <v>45464</v>
      </c>
      <c r="D65" s="29">
        <v>13549.48</v>
      </c>
      <c r="E65" s="29">
        <f>IFERROR(VLOOKUP(B65,'РП (расш)'!A:G,7,0),"")</f>
        <v>129429.49</v>
      </c>
      <c r="F65" t="str">
        <f ca="1">IF(B65="","",IF(B65&gt;0,IFERROR(IF(VLOOKUP(LEFT(B65,10),[2]Лист1!$A:$A,1,0)&gt;0,"КО"),IF(E65="","погашен",IF(B65&gt;0,IFERROR(IF(VLOOKUP(B65,'реестр просрочников'!B:B,1,0)&gt;0,"просрочен",),IF(TODAY()&gt;C65,"оплачен","грядет")),"")))))</f>
        <v>КО</v>
      </c>
    </row>
    <row r="66" spans="1:6" x14ac:dyDescent="0.25">
      <c r="A66" t="s">
        <v>346</v>
      </c>
      <c r="B66" t="s">
        <v>600</v>
      </c>
      <c r="C66" s="1">
        <v>45464</v>
      </c>
      <c r="D66" s="29">
        <v>11452.74</v>
      </c>
      <c r="E66" s="29">
        <f>IFERROR(VLOOKUP(B66,'РП (расш)'!A:G,7,0),"")</f>
        <v>177462.1</v>
      </c>
      <c r="F66" t="str">
        <f ca="1">IF(B66="","",IF(B66&gt;0,IFERROR(IF(VLOOKUP(LEFT(B66,10),[2]Лист1!$A:$A,1,0)&gt;0,"КО"),IF(E66="","погашен",IF(B66&gt;0,IFERROR(IF(VLOOKUP(B66,'реестр просрочников'!B:B,1,0)&gt;0,"просрочен",),IF(TODAY()&gt;C66,"оплачен","грядет")),"")))))</f>
        <v>КО</v>
      </c>
    </row>
    <row r="67" spans="1:6" x14ac:dyDescent="0.25">
      <c r="A67" t="s">
        <v>262</v>
      </c>
      <c r="B67" t="s">
        <v>580</v>
      </c>
      <c r="C67" s="1">
        <v>45464</v>
      </c>
      <c r="D67" s="29">
        <v>8198.15</v>
      </c>
      <c r="E67" s="29">
        <f>IFERROR(VLOOKUP(B67,'РП (расш)'!A:G,7,0),"")</f>
        <v>107148.59</v>
      </c>
      <c r="F67" t="str">
        <f ca="1">IF(B67="","",IF(B67&gt;0,IFERROR(IF(VLOOKUP(LEFT(B67,10),[2]Лист1!$A:$A,1,0)&gt;0,"КО"),IF(E67="","погашен",IF(B67&gt;0,IFERROR(IF(VLOOKUP(B67,'реестр просрочников'!B:B,1,0)&gt;0,"просрочен",),IF(TODAY()&gt;C67,"оплачен","грядет")),"")))))</f>
        <v>просрочен</v>
      </c>
    </row>
    <row r="68" spans="1:6" x14ac:dyDescent="0.25">
      <c r="A68" t="s">
        <v>146</v>
      </c>
      <c r="B68" t="s">
        <v>581</v>
      </c>
      <c r="C68" s="1">
        <v>45464</v>
      </c>
      <c r="D68" s="29">
        <v>26424.38</v>
      </c>
      <c r="E68" s="29">
        <f>IFERROR(VLOOKUP(B68,'РП (расш)'!A:G,7,0),"")</f>
        <v>268522.27</v>
      </c>
      <c r="F68" t="str">
        <f ca="1">IF(B68="","",IF(B68&gt;0,IFERROR(IF(VLOOKUP(LEFT(B68,10),[2]Лист1!$A:$A,1,0)&gt;0,"КО"),IF(E68="","погашен",IF(B68&gt;0,IFERROR(IF(VLOOKUP(B68,'реестр просрочников'!B:B,1,0)&gt;0,"просрочен",),IF(TODAY()&gt;C68,"оплачен","грядет")),"")))))</f>
        <v>оплачен</v>
      </c>
    </row>
    <row r="69" spans="1:6" x14ac:dyDescent="0.25">
      <c r="A69" t="s">
        <v>79</v>
      </c>
      <c r="B69" t="s">
        <v>550</v>
      </c>
      <c r="C69" s="1">
        <v>45464</v>
      </c>
      <c r="D69" s="29">
        <v>2107.13</v>
      </c>
      <c r="E69" s="29">
        <f>IFERROR(VLOOKUP(B69,'РП (расш)'!A:G,7,0),"")</f>
        <v>11721.35</v>
      </c>
      <c r="F69" t="str">
        <f ca="1">IF(B69="","",IF(B69&gt;0,IFERROR(IF(VLOOKUP(LEFT(B69,10),[2]Лист1!$A:$A,1,0)&gt;0,"КО"),IF(E69="","погашен",IF(B69&gt;0,IFERROR(IF(VLOOKUP(B69,'реестр просрочников'!B:B,1,0)&gt;0,"просрочен",),IF(TODAY()&gt;C69,"оплачен","грядет")),"")))))</f>
        <v>оплачен</v>
      </c>
    </row>
    <row r="70" spans="1:6" x14ac:dyDescent="0.25">
      <c r="A70" t="s">
        <v>145</v>
      </c>
      <c r="B70" t="s">
        <v>548</v>
      </c>
      <c r="C70" s="1">
        <v>45464</v>
      </c>
      <c r="D70" s="29">
        <v>6536.42</v>
      </c>
      <c r="E70" s="29">
        <f>IFERROR(VLOOKUP(B70,'РП (расш)'!A:G,7,0),"")</f>
        <v>55655.54</v>
      </c>
      <c r="F70" t="str">
        <f ca="1">IF(B70="","",IF(B70&gt;0,IFERROR(IF(VLOOKUP(LEFT(B70,10),[2]Лист1!$A:$A,1,0)&gt;0,"КО"),IF(E70="","погашен",IF(B70&gt;0,IFERROR(IF(VLOOKUP(B70,'реестр просрочников'!B:B,1,0)&gt;0,"просрочен",),IF(TODAY()&gt;C70,"оплачен","грядет")),"")))))</f>
        <v>оплачен</v>
      </c>
    </row>
    <row r="71" spans="1:6" x14ac:dyDescent="0.25">
      <c r="A71" t="s">
        <v>49</v>
      </c>
      <c r="B71" t="s">
        <v>496</v>
      </c>
      <c r="C71" s="1">
        <v>45465</v>
      </c>
      <c r="D71" s="29">
        <v>26356.77</v>
      </c>
      <c r="E71" s="29">
        <f>IFERROR(VLOOKUP(B71,'РП (расш)'!A:G,7,0),"")</f>
        <v>323475.14</v>
      </c>
      <c r="F71" t="str">
        <f ca="1">IF(B71="","",IF(B71&gt;0,IFERROR(IF(VLOOKUP(LEFT(B71,10),[2]Лист1!$A:$A,1,0)&gt;0,"КО"),IF(E71="","погашен",IF(B71&gt;0,IFERROR(IF(VLOOKUP(B71,'реестр просрочников'!B:B,1,0)&gt;0,"просрочен",),IF(TODAY()&gt;C71,"оплачен","грядет")),"")))))</f>
        <v>КО</v>
      </c>
    </row>
    <row r="72" spans="1:6" x14ac:dyDescent="0.25">
      <c r="A72" t="s">
        <v>152</v>
      </c>
      <c r="B72" t="s">
        <v>554</v>
      </c>
      <c r="C72" s="1">
        <v>45465</v>
      </c>
      <c r="D72" s="29">
        <v>18082.54</v>
      </c>
      <c r="E72" s="29">
        <f>IFERROR(VLOOKUP(B72,'РП (расш)'!A:G,7,0),"")</f>
        <v>149401</v>
      </c>
      <c r="F72" t="str">
        <f ca="1">IF(B72="","",IF(B72&gt;0,IFERROR(IF(VLOOKUP(LEFT(B72,10),[2]Лист1!$A:$A,1,0)&gt;0,"КО"),IF(E72="","погашен",IF(B72&gt;0,IFERROR(IF(VLOOKUP(B72,'реестр просрочников'!B:B,1,0)&gt;0,"просрочен",),IF(TODAY()&gt;C72,"оплачен","грядет")),"")))))</f>
        <v>просрочен</v>
      </c>
    </row>
    <row r="73" spans="1:6" x14ac:dyDescent="0.25">
      <c r="A73" t="s">
        <v>151</v>
      </c>
      <c r="B73" t="s">
        <v>527</v>
      </c>
      <c r="C73" s="1">
        <v>45465</v>
      </c>
      <c r="D73" s="29">
        <v>10646.94</v>
      </c>
      <c r="E73" s="29">
        <f>IFERROR(VLOOKUP(B73,'РП (расш)'!A:G,7,0),"")</f>
        <v>55440.43</v>
      </c>
      <c r="F73" t="str">
        <f ca="1">IF(B73="","",IF(B73&gt;0,IFERROR(IF(VLOOKUP(LEFT(B73,10),[2]Лист1!$A:$A,1,0)&gt;0,"КО"),IF(E73="","погашен",IF(B73&gt;0,IFERROR(IF(VLOOKUP(B73,'реестр просрочников'!B:B,1,0)&gt;0,"просрочен",),IF(TODAY()&gt;C73,"оплачен","грядет")),"")))))</f>
        <v>оплачен</v>
      </c>
    </row>
    <row r="74" spans="1:6" x14ac:dyDescent="0.25">
      <c r="A74" t="s">
        <v>157</v>
      </c>
      <c r="B74" t="s">
        <v>525</v>
      </c>
      <c r="C74" s="1">
        <v>45466</v>
      </c>
      <c r="D74" s="29">
        <v>8730.42</v>
      </c>
      <c r="E74" s="29">
        <f>IFERROR(VLOOKUP(B74,'РП (расш)'!A:G,7,0),"")</f>
        <v>15825.13</v>
      </c>
      <c r="F74" t="str">
        <f ca="1">IF(B74="","",IF(B74&gt;0,IFERROR(IF(VLOOKUP(LEFT(B74,10),[2]Лист1!$A:$A,1,0)&gt;0,"КО"),IF(E74="","погашен",IF(B74&gt;0,IFERROR(IF(VLOOKUP(B74,'реестр просрочников'!B:B,1,0)&gt;0,"просрочен",),IF(TODAY()&gt;C74,"оплачен","грядет")),"")))))</f>
        <v>оплачен</v>
      </c>
    </row>
    <row r="75" spans="1:6" x14ac:dyDescent="0.25">
      <c r="A75" t="s">
        <v>159</v>
      </c>
      <c r="B75" t="s">
        <v>561</v>
      </c>
      <c r="C75" s="1">
        <v>45466</v>
      </c>
      <c r="D75" s="29">
        <v>13779.08</v>
      </c>
      <c r="E75" s="29">
        <f>IFERROR(VLOOKUP(B75,'РП (расш)'!A:G,7,0),"")</f>
        <v>120269.47</v>
      </c>
      <c r="F75" t="str">
        <f ca="1">IF(B75="","",IF(B75&gt;0,IFERROR(IF(VLOOKUP(LEFT(B75,10),[2]Лист1!$A:$A,1,0)&gt;0,"КО"),IF(E75="","погашен",IF(B75&gt;0,IFERROR(IF(VLOOKUP(B75,'реестр просрочников'!B:B,1,0)&gt;0,"просрочен",),IF(TODAY()&gt;C75,"оплачен","грядет")),"")))))</f>
        <v>оплачен</v>
      </c>
    </row>
    <row r="76" spans="1:6" x14ac:dyDescent="0.25">
      <c r="A76" t="s">
        <v>139</v>
      </c>
      <c r="B76" t="s">
        <v>470</v>
      </c>
      <c r="C76" s="1">
        <v>45466</v>
      </c>
      <c r="D76" s="29">
        <v>10476.51</v>
      </c>
      <c r="E76" s="29">
        <f>IFERROR(VLOOKUP(B76,'РП (расш)'!A:G,7,0),"")</f>
        <v>29035.27</v>
      </c>
      <c r="F76" t="str">
        <f ca="1">IF(B76="","",IF(B76&gt;0,IFERROR(IF(VLOOKUP(LEFT(B76,10),[2]Лист1!$A:$A,1,0)&gt;0,"КО"),IF(E76="","погашен",IF(B76&gt;0,IFERROR(IF(VLOOKUP(B76,'реестр просрочников'!B:B,1,0)&gt;0,"просрочен",),IF(TODAY()&gt;C76,"оплачен","грядет")),"")))))</f>
        <v>оплачен</v>
      </c>
    </row>
    <row r="77" spans="1:6" x14ac:dyDescent="0.25">
      <c r="A77" t="s">
        <v>161</v>
      </c>
      <c r="B77" t="s">
        <v>601</v>
      </c>
      <c r="C77" s="1">
        <v>45466</v>
      </c>
      <c r="D77" s="29">
        <v>58264.56</v>
      </c>
      <c r="E77" s="29">
        <f>IFERROR(VLOOKUP(B77,'РП (расш)'!A:G,7,0),"")</f>
        <v>601100.55000000005</v>
      </c>
      <c r="F77" t="str">
        <f ca="1">IF(B77="","",IF(B77&gt;0,IFERROR(IF(VLOOKUP(LEFT(B77,10),[2]Лист1!$A:$A,1,0)&gt;0,"КО"),IF(E77="","погашен",IF(B77&gt;0,IFERROR(IF(VLOOKUP(B77,'реестр просрочников'!B:B,1,0)&gt;0,"просрочен",),IF(TODAY()&gt;C77,"оплачен","грядет")),"")))))</f>
        <v>просрочен</v>
      </c>
    </row>
    <row r="78" spans="1:6" x14ac:dyDescent="0.25">
      <c r="A78" t="s">
        <v>298</v>
      </c>
      <c r="B78" t="s">
        <v>593</v>
      </c>
      <c r="C78" s="1">
        <v>45466</v>
      </c>
      <c r="D78" s="29">
        <v>10692.98</v>
      </c>
      <c r="E78" s="29">
        <f>IFERROR(VLOOKUP(B78,'РП (расш)'!A:G,7,0),"")</f>
        <v>122063.51</v>
      </c>
      <c r="F78" t="str">
        <f ca="1">IF(B78="","",IF(B78&gt;0,IFERROR(IF(VLOOKUP(LEFT(B78,10),[2]Лист1!$A:$A,1,0)&gt;0,"КО"),IF(E78="","погашен",IF(B78&gt;0,IFERROR(IF(VLOOKUP(B78,'реестр просрочников'!B:B,1,0)&gt;0,"просрочен",),IF(TODAY()&gt;C78,"оплачен","грядет")),"")))))</f>
        <v>КО</v>
      </c>
    </row>
    <row r="79" spans="1:6" x14ac:dyDescent="0.25">
      <c r="A79" t="s">
        <v>158</v>
      </c>
      <c r="B79" t="s">
        <v>552</v>
      </c>
      <c r="C79" s="1">
        <v>45466</v>
      </c>
      <c r="D79" s="29">
        <v>33191.06</v>
      </c>
      <c r="E79" s="29">
        <f>IFERROR(VLOOKUP(B79,'РП (расш)'!A:G,7,0),"")</f>
        <v>221265.99</v>
      </c>
      <c r="F79" t="str">
        <f ca="1">IF(B79="","",IF(B79&gt;0,IFERROR(IF(VLOOKUP(LEFT(B79,10),[2]Лист1!$A:$A,1,0)&gt;0,"КО"),IF(E79="","погашен",IF(B79&gt;0,IFERROR(IF(VLOOKUP(B79,'реестр просрочников'!B:B,1,0)&gt;0,"просрочен",),IF(TODAY()&gt;C79,"оплачен","грядет")),"")))))</f>
        <v>оплачен</v>
      </c>
    </row>
    <row r="80" spans="1:6" x14ac:dyDescent="0.25">
      <c r="A80" t="s">
        <v>60</v>
      </c>
      <c r="B80" t="s">
        <v>488</v>
      </c>
      <c r="C80" s="1">
        <v>45466</v>
      </c>
      <c r="D80" s="29">
        <v>6388.31</v>
      </c>
      <c r="E80" s="29">
        <f>IFERROR(VLOOKUP(B80,'РП (расш)'!A:G,7,0),"")</f>
        <v>85616.51</v>
      </c>
      <c r="F80" t="str">
        <f ca="1">IF(B80="","",IF(B80&gt;0,IFERROR(IF(VLOOKUP(LEFT(B80,10),[2]Лист1!$A:$A,1,0)&gt;0,"КО"),IF(E80="","погашен",IF(B80&gt;0,IFERROR(IF(VLOOKUP(B80,'реестр просрочников'!B:B,1,0)&gt;0,"просрочен",),IF(TODAY()&gt;C80,"оплачен","грядет")),"")))))</f>
        <v>КО</v>
      </c>
    </row>
    <row r="81" spans="1:6" x14ac:dyDescent="0.25">
      <c r="A81" t="s">
        <v>165</v>
      </c>
      <c r="B81" t="s">
        <v>543</v>
      </c>
      <c r="C81" s="1">
        <v>45467</v>
      </c>
      <c r="D81" s="29">
        <v>29779.27</v>
      </c>
      <c r="E81" s="29">
        <f>IFERROR(VLOOKUP(B81,'РП (расш)'!A:G,7,0),"")</f>
        <v>125623.63</v>
      </c>
      <c r="F81" t="str">
        <f ca="1">IF(B81="","",IF(B81&gt;0,IFERROR(IF(VLOOKUP(LEFT(B81,10),[2]Лист1!$A:$A,1,0)&gt;0,"КО"),IF(E81="","погашен",IF(B81&gt;0,IFERROR(IF(VLOOKUP(B81,'реестр просрочников'!B:B,1,0)&gt;0,"просрочен",),IF(TODAY()&gt;C81,"оплачен","грядет")),"")))))</f>
        <v>оплачен</v>
      </c>
    </row>
    <row r="82" spans="1:6" x14ac:dyDescent="0.25">
      <c r="A82" t="s">
        <v>67</v>
      </c>
      <c r="B82" t="s">
        <v>472</v>
      </c>
      <c r="C82" s="1">
        <v>45467</v>
      </c>
      <c r="D82" s="29">
        <v>8514.2999999999993</v>
      </c>
      <c r="E82" s="29" t="str">
        <f>IFERROR(VLOOKUP(B82,'РП (расш)'!A:G,7,0),"")</f>
        <v/>
      </c>
      <c r="F82" t="str">
        <f ca="1">IF(B82="","",IF(B82&gt;0,IFERROR(IF(VLOOKUP(LEFT(B82,10),[2]Лист1!$A:$A,1,0)&gt;0,"КО"),IF(E82="","погашен",IF(B82&gt;0,IFERROR(IF(VLOOKUP(B82,'реестр просрочников'!B:B,1,0)&gt;0,"просрочен",),IF(TODAY()&gt;C82,"оплачен","грядет")),"")))))</f>
        <v>погашен</v>
      </c>
    </row>
    <row r="83" spans="1:6" x14ac:dyDescent="0.25">
      <c r="A83" t="s">
        <v>167</v>
      </c>
      <c r="B83" t="s">
        <v>576</v>
      </c>
      <c r="C83" s="1">
        <v>45467</v>
      </c>
      <c r="D83" s="29">
        <v>13212.19</v>
      </c>
      <c r="E83" s="29">
        <f>IFERROR(VLOOKUP(B83,'РП (расш)'!A:G,7,0),"")</f>
        <v>133467.01</v>
      </c>
      <c r="F83" t="str">
        <f ca="1">IF(B83="","",IF(B83&gt;0,IFERROR(IF(VLOOKUP(LEFT(B83,10),[2]Лист1!$A:$A,1,0)&gt;0,"КО"),IF(E83="","погашен",IF(B83&gt;0,IFERROR(IF(VLOOKUP(B83,'реестр просрочников'!B:B,1,0)&gt;0,"просрочен",),IF(TODAY()&gt;C83,"оплачен","грядет")),"")))))</f>
        <v>просрочен</v>
      </c>
    </row>
    <row r="84" spans="1:6" x14ac:dyDescent="0.25">
      <c r="A84" t="s">
        <v>413</v>
      </c>
      <c r="B84" t="s">
        <v>412</v>
      </c>
      <c r="C84" s="1">
        <v>45467</v>
      </c>
      <c r="D84" s="29">
        <v>29736.99</v>
      </c>
      <c r="E84" s="29">
        <f>IFERROR(VLOOKUP(B84,'РП (расш)'!A:G,7,0),"")</f>
        <v>575064.78</v>
      </c>
      <c r="F84" t="str">
        <f ca="1">IF(B84="","",IF(B84&gt;0,IFERROR(IF(VLOOKUP(LEFT(B84,10),[2]Лист1!$A:$A,1,0)&gt;0,"КО"),IF(E84="","погашен",IF(B84&gt;0,IFERROR(IF(VLOOKUP(B84,'реестр просрочников'!B:B,1,0)&gt;0,"просрочен",),IF(TODAY()&gt;C84,"оплачен","грядет")),"")))))</f>
        <v>КО</v>
      </c>
    </row>
    <row r="85" spans="1:6" x14ac:dyDescent="0.25">
      <c r="A85" t="s">
        <v>90</v>
      </c>
      <c r="B85" t="s">
        <v>469</v>
      </c>
      <c r="C85" s="1">
        <v>45467</v>
      </c>
      <c r="D85" s="29">
        <v>14846.75</v>
      </c>
      <c r="E85" s="29">
        <f>IFERROR(VLOOKUP(B85,'РП (расш)'!A:G,7,0),"")</f>
        <v>140141.63</v>
      </c>
      <c r="F85" t="str">
        <f ca="1">IF(B85="","",IF(B85&gt;0,IFERROR(IF(VLOOKUP(LEFT(B85,10),[2]Лист1!$A:$A,1,0)&gt;0,"КО"),IF(E85="","погашен",IF(B85&gt;0,IFERROR(IF(VLOOKUP(B85,'реестр просрочников'!B:B,1,0)&gt;0,"просрочен",),IF(TODAY()&gt;C85,"оплачен","грядет")),"")))))</f>
        <v>оплачен</v>
      </c>
    </row>
    <row r="86" spans="1:6" x14ac:dyDescent="0.25">
      <c r="A86" t="s">
        <v>140</v>
      </c>
      <c r="B86" t="s">
        <v>518</v>
      </c>
      <c r="C86" s="1">
        <v>45467</v>
      </c>
      <c r="D86" s="29">
        <v>29417.98</v>
      </c>
      <c r="E86" s="29">
        <f>IFERROR(VLOOKUP(B86,'РП (расш)'!A:G,7,0),"")</f>
        <v>55322.09</v>
      </c>
      <c r="F86" t="str">
        <f ca="1">IF(B86="","",IF(B86&gt;0,IFERROR(IF(VLOOKUP(LEFT(B86,10),[2]Лист1!$A:$A,1,0)&gt;0,"КО"),IF(E86="","погашен",IF(B86&gt;0,IFERROR(IF(VLOOKUP(B86,'реестр просрочников'!B:B,1,0)&gt;0,"просрочен",),IF(TODAY()&gt;C86,"оплачен","грядет")),"")))))</f>
        <v>просрочен</v>
      </c>
    </row>
    <row r="87" spans="1:6" x14ac:dyDescent="0.25">
      <c r="A87" t="s">
        <v>404</v>
      </c>
      <c r="B87" t="s">
        <v>403</v>
      </c>
      <c r="C87" s="1">
        <v>45467</v>
      </c>
      <c r="D87" s="29">
        <v>49561.65</v>
      </c>
      <c r="E87" s="29">
        <f>IFERROR(VLOOKUP(B87,'РП (расш)'!A:G,7,0),"")</f>
        <v>966941.07</v>
      </c>
      <c r="F87" t="str">
        <f ca="1">IF(B87="","",IF(B87&gt;0,IFERROR(IF(VLOOKUP(LEFT(B87,10),[2]Лист1!$A:$A,1,0)&gt;0,"КО"),IF(E87="","погашен",IF(B87&gt;0,IFERROR(IF(VLOOKUP(B87,'реестр просрочников'!B:B,1,0)&gt;0,"просрочен",),IF(TODAY()&gt;C87,"оплачен","грядет")),"")))))</f>
        <v>КО</v>
      </c>
    </row>
    <row r="88" spans="1:6" x14ac:dyDescent="0.25">
      <c r="A88" t="s">
        <v>266</v>
      </c>
      <c r="B88" t="s">
        <v>583</v>
      </c>
      <c r="C88" s="1">
        <v>45467</v>
      </c>
      <c r="D88" s="29">
        <v>4705.0200000000004</v>
      </c>
      <c r="E88" s="29">
        <f>IFERROR(VLOOKUP(B88,'РП (расш)'!A:G,7,0),"")</f>
        <v>110795.66</v>
      </c>
      <c r="F88" t="str">
        <f ca="1">IF(B88="","",IF(B88&gt;0,IFERROR(IF(VLOOKUP(LEFT(B88,10),[2]Лист1!$A:$A,1,0)&gt;0,"КО"),IF(E88="","погашен",IF(B88&gt;0,IFERROR(IF(VLOOKUP(B88,'реестр просрочников'!B:B,1,0)&gt;0,"просрочен",),IF(TODAY()&gt;C88,"оплачен","грядет")),"")))))</f>
        <v>просрочен</v>
      </c>
    </row>
    <row r="89" spans="1:6" x14ac:dyDescent="0.25">
      <c r="A89" t="s">
        <v>145</v>
      </c>
      <c r="B89" t="s">
        <v>547</v>
      </c>
      <c r="C89" s="1">
        <v>45467</v>
      </c>
      <c r="D89" s="29">
        <v>6536.42</v>
      </c>
      <c r="E89" s="29">
        <f>IFERROR(VLOOKUP(B89,'РП (расш)'!A:G,7,0),"")</f>
        <v>48585.51</v>
      </c>
      <c r="F89" t="str">
        <f ca="1">IF(B89="","",IF(B89&gt;0,IFERROR(IF(VLOOKUP(LEFT(B89,10),[2]Лист1!$A:$A,1,0)&gt;0,"КО"),IF(E89="","погашен",IF(B89&gt;0,IFERROR(IF(VLOOKUP(B89,'реестр просрочников'!B:B,1,0)&gt;0,"просрочен",),IF(TODAY()&gt;C89,"оплачен","грядет")),"")))))</f>
        <v>просрочен</v>
      </c>
    </row>
    <row r="90" spans="1:6" x14ac:dyDescent="0.25">
      <c r="A90" t="s">
        <v>258</v>
      </c>
      <c r="B90" t="s">
        <v>479</v>
      </c>
      <c r="C90" s="1">
        <v>45468</v>
      </c>
      <c r="D90" s="29">
        <v>6584.59</v>
      </c>
      <c r="E90" s="29">
        <f>IFERROR(VLOOKUP(B90,'РП (расш)'!A:G,7,0),"")</f>
        <v>74879.649999999994</v>
      </c>
      <c r="F90" t="str">
        <f ca="1">IF(B90="","",IF(B90&gt;0,IFERROR(IF(VLOOKUP(LEFT(B90,10),[2]Лист1!$A:$A,1,0)&gt;0,"КО"),IF(E90="","погашен",IF(B90&gt;0,IFERROR(IF(VLOOKUP(B90,'реестр просрочников'!B:B,1,0)&gt;0,"просрочен",),IF(TODAY()&gt;C90,"оплачен","грядет")),"")))))</f>
        <v>оплачен</v>
      </c>
    </row>
    <row r="91" spans="1:6" x14ac:dyDescent="0.25">
      <c r="A91" t="s">
        <v>228</v>
      </c>
      <c r="B91" t="s">
        <v>564</v>
      </c>
      <c r="C91" s="1">
        <v>45468</v>
      </c>
      <c r="D91" s="29">
        <v>28461.16</v>
      </c>
      <c r="E91" s="29" t="str">
        <f>IFERROR(VLOOKUP(B91,'РП (расш)'!A:G,7,0),"")</f>
        <v/>
      </c>
      <c r="F91" t="str">
        <f ca="1">IF(B91="","",IF(B91&gt;0,IFERROR(IF(VLOOKUP(LEFT(B91,10),[2]Лист1!$A:$A,1,0)&gt;0,"КО"),IF(E91="","погашен",IF(B91&gt;0,IFERROR(IF(VLOOKUP(B91,'реестр просрочников'!B:B,1,0)&gt;0,"просрочен",),IF(TODAY()&gt;C91,"оплачен","грядет")),"")))))</f>
        <v>погашен</v>
      </c>
    </row>
    <row r="92" spans="1:6" x14ac:dyDescent="0.25">
      <c r="A92" t="s">
        <v>218</v>
      </c>
      <c r="B92" t="s">
        <v>556</v>
      </c>
      <c r="C92" s="1">
        <v>45468</v>
      </c>
      <c r="D92" s="29">
        <v>5531.84</v>
      </c>
      <c r="E92" s="29">
        <f>IFERROR(VLOOKUP(B92,'РП (расш)'!A:G,7,0),"")</f>
        <v>55078.39</v>
      </c>
      <c r="F92" t="str">
        <f ca="1">IF(B92="","",IF(B92&gt;0,IFERROR(IF(VLOOKUP(LEFT(B92,10),[2]Лист1!$A:$A,1,0)&gt;0,"КО"),IF(E92="","погашен",IF(B92&gt;0,IFERROR(IF(VLOOKUP(B92,'реестр просрочников'!B:B,1,0)&gt;0,"просрочен",),IF(TODAY()&gt;C92,"оплачен","грядет")),"")))))</f>
        <v>просрочен</v>
      </c>
    </row>
    <row r="93" spans="1:6" x14ac:dyDescent="0.25">
      <c r="A93" t="s">
        <v>231</v>
      </c>
      <c r="B93" t="s">
        <v>566</v>
      </c>
      <c r="C93" s="1">
        <v>45468</v>
      </c>
      <c r="D93" s="29">
        <v>8245.4</v>
      </c>
      <c r="E93" s="29">
        <f>IFERROR(VLOOKUP(B93,'РП (расш)'!A:G,7,0),"")</f>
        <v>105779.58</v>
      </c>
      <c r="F93" t="str">
        <f ca="1">IF(B93="","",IF(B93&gt;0,IFERROR(IF(VLOOKUP(LEFT(B93,10),[2]Лист1!$A:$A,1,0)&gt;0,"КО"),IF(E93="","погашен",IF(B93&gt;0,IFERROR(IF(VLOOKUP(B93,'реестр просрочников'!B:B,1,0)&gt;0,"просрочен",),IF(TODAY()&gt;C93,"оплачен","грядет")),"")))))</f>
        <v>оплачен</v>
      </c>
    </row>
    <row r="94" spans="1:6" x14ac:dyDescent="0.25">
      <c r="A94" t="s">
        <v>227</v>
      </c>
      <c r="B94" t="s">
        <v>563</v>
      </c>
      <c r="C94" s="1">
        <v>45468</v>
      </c>
      <c r="D94" s="29">
        <v>27558.16</v>
      </c>
      <c r="E94" s="29">
        <f>IFERROR(VLOOKUP(B94,'РП (расш)'!A:G,7,0),"")</f>
        <v>257515.12</v>
      </c>
      <c r="F94" t="str">
        <f ca="1">IF(B94="","",IF(B94&gt;0,IFERROR(IF(VLOOKUP(LEFT(B94,10),[2]Лист1!$A:$A,1,0)&gt;0,"КО"),IF(E94="","погашен",IF(B94&gt;0,IFERROR(IF(VLOOKUP(B94,'реестр просрочников'!B:B,1,0)&gt;0,"просрочен",),IF(TODAY()&gt;C94,"оплачен","грядет")),"")))))</f>
        <v>просрочен</v>
      </c>
    </row>
    <row r="95" spans="1:6" x14ac:dyDescent="0.25">
      <c r="A95" t="s">
        <v>150</v>
      </c>
      <c r="B95" t="s">
        <v>599</v>
      </c>
      <c r="C95" s="1">
        <v>45468</v>
      </c>
      <c r="D95" s="29">
        <v>13790.66</v>
      </c>
      <c r="E95" s="29">
        <f>IFERROR(VLOOKUP(B95,'РП (расш)'!A:G,7,0),"")</f>
        <v>168205.4</v>
      </c>
      <c r="F95" t="str">
        <f ca="1">IF(B95="","",IF(B95&gt;0,IFERROR(IF(VLOOKUP(LEFT(B95,10),[2]Лист1!$A:$A,1,0)&gt;0,"КО"),IF(E95="","погашен",IF(B95&gt;0,IFERROR(IF(VLOOKUP(B95,'реестр просрочников'!B:B,1,0)&gt;0,"просрочен",),IF(TODAY()&gt;C95,"оплачен","грядет")),"")))))</f>
        <v>просрочен</v>
      </c>
    </row>
    <row r="96" spans="1:6" x14ac:dyDescent="0.25">
      <c r="A96" t="s">
        <v>256</v>
      </c>
      <c r="B96" t="s">
        <v>484</v>
      </c>
      <c r="C96" s="1">
        <v>45468</v>
      </c>
      <c r="D96" s="29">
        <v>20560.46</v>
      </c>
      <c r="E96" s="29">
        <f>IFERROR(VLOOKUP(B96,'РП (расш)'!A:G,7,0),"")</f>
        <v>237796.4</v>
      </c>
      <c r="F96" t="str">
        <f ca="1">IF(B96="","",IF(B96&gt;0,IFERROR(IF(VLOOKUP(LEFT(B96,10),[2]Лист1!$A:$A,1,0)&gt;0,"КО"),IF(E96="","погашен",IF(B96&gt;0,IFERROR(IF(VLOOKUP(B96,'реестр просрочников'!B:B,1,0)&gt;0,"просрочен",),IF(TODAY()&gt;C96,"оплачен","грядет")),"")))))</f>
        <v>просрочен</v>
      </c>
    </row>
    <row r="97" spans="1:6" x14ac:dyDescent="0.25">
      <c r="A97" t="s">
        <v>359</v>
      </c>
      <c r="B97" t="s">
        <v>374</v>
      </c>
      <c r="C97" s="1">
        <v>45469</v>
      </c>
      <c r="D97" s="29">
        <v>7735.66</v>
      </c>
      <c r="E97" s="29">
        <f>IFERROR(VLOOKUP(B97,'РП (расш)'!A:G,7,0),"")</f>
        <v>127435.59</v>
      </c>
      <c r="F97" t="str">
        <f ca="1">IF(B97="","",IF(B97&gt;0,IFERROR(IF(VLOOKUP(LEFT(B97,10),[2]Лист1!$A:$A,1,0)&gt;0,"КО"),IF(E97="","погашен",IF(B97&gt;0,IFERROR(IF(VLOOKUP(B97,'реестр просрочников'!B:B,1,0)&gt;0,"просрочен",),IF(TODAY()&gt;C97,"оплачен","грядет")),"")))))</f>
        <v>оплачен</v>
      </c>
    </row>
    <row r="98" spans="1:6" x14ac:dyDescent="0.25">
      <c r="A98" t="s">
        <v>204</v>
      </c>
      <c r="B98" t="s">
        <v>540</v>
      </c>
      <c r="C98" s="1">
        <v>45469</v>
      </c>
      <c r="D98" s="29">
        <v>16149.73</v>
      </c>
      <c r="E98" s="29">
        <f>IFERROR(VLOOKUP(B98,'РП (расш)'!A:G,7,0),"")</f>
        <v>79487.320000000007</v>
      </c>
      <c r="F98" t="str">
        <f ca="1">IF(B98="","",IF(B98&gt;0,IFERROR(IF(VLOOKUP(LEFT(B98,10),[2]Лист1!$A:$A,1,0)&gt;0,"КО"),IF(E98="","погашен",IF(B98&gt;0,IFERROR(IF(VLOOKUP(B98,'реестр просрочников'!B:B,1,0)&gt;0,"просрочен",),IF(TODAY()&gt;C98,"оплачен","грядет")),"")))))</f>
        <v>оплачен</v>
      </c>
    </row>
    <row r="99" spans="1:6" x14ac:dyDescent="0.25">
      <c r="A99" t="s">
        <v>191</v>
      </c>
      <c r="B99" t="s">
        <v>522</v>
      </c>
      <c r="C99" s="1">
        <v>45469</v>
      </c>
      <c r="D99" s="29">
        <v>9628.57</v>
      </c>
      <c r="E99" s="29">
        <f>IFERROR(VLOOKUP(B99,'РП (расш)'!A:G,7,0),"")</f>
        <v>18175.509999999998</v>
      </c>
      <c r="F99" t="str">
        <f ca="1">IF(B99="","",IF(B99&gt;0,IFERROR(IF(VLOOKUP(LEFT(B99,10),[2]Лист1!$A:$A,1,0)&gt;0,"КО"),IF(E99="","погашен",IF(B99&gt;0,IFERROR(IF(VLOOKUP(B99,'реестр просрочников'!B:B,1,0)&gt;0,"просрочен",),IF(TODAY()&gt;C99,"оплачен","грядет")),"")))))</f>
        <v>оплачен</v>
      </c>
    </row>
    <row r="100" spans="1:6" x14ac:dyDescent="0.25">
      <c r="A100" t="s">
        <v>25</v>
      </c>
      <c r="B100" t="s">
        <v>541</v>
      </c>
      <c r="C100" s="1">
        <v>45469</v>
      </c>
      <c r="D100" s="29">
        <v>6027.51</v>
      </c>
      <c r="E100" s="29">
        <f>IFERROR(VLOOKUP(B100,'РП (расш)'!A:G,7,0),"")</f>
        <v>68136.69</v>
      </c>
      <c r="F100" t="str">
        <f ca="1">IF(B100="","",IF(B100&gt;0,IFERROR(IF(VLOOKUP(LEFT(B100,10),[2]Лист1!$A:$A,1,0)&gt;0,"КО"),IF(E100="","погашен",IF(B100&gt;0,IFERROR(IF(VLOOKUP(B100,'реестр просрочников'!B:B,1,0)&gt;0,"просрочен",),IF(TODAY()&gt;C100,"оплачен","грядет")),"")))))</f>
        <v>КО</v>
      </c>
    </row>
    <row r="101" spans="1:6" x14ac:dyDescent="0.25">
      <c r="A101" t="s">
        <v>202</v>
      </c>
      <c r="B101" t="s">
        <v>538</v>
      </c>
      <c r="C101" s="1">
        <v>45469</v>
      </c>
      <c r="D101" s="29">
        <v>2425.66</v>
      </c>
      <c r="E101" s="29">
        <f>IFERROR(VLOOKUP(B101,'РП (расш)'!A:G,7,0),"")</f>
        <v>12651.78</v>
      </c>
      <c r="F101" t="str">
        <f ca="1">IF(B101="","",IF(B101&gt;0,IFERROR(IF(VLOOKUP(LEFT(B101,10),[2]Лист1!$A:$A,1,0)&gt;0,"КО"),IF(E101="","погашен",IF(B101&gt;0,IFERROR(IF(VLOOKUP(B101,'реестр просрочников'!B:B,1,0)&gt;0,"просрочен",),IF(TODAY()&gt;C101,"оплачен","грядет")),"")))))</f>
        <v>оплачен</v>
      </c>
    </row>
    <row r="102" spans="1:6" x14ac:dyDescent="0.25">
      <c r="A102" t="s">
        <v>386</v>
      </c>
      <c r="B102" t="s">
        <v>385</v>
      </c>
      <c r="C102" s="1">
        <v>45470</v>
      </c>
      <c r="D102" s="29">
        <v>8789.64</v>
      </c>
      <c r="E102" s="29" t="str">
        <f>IFERROR(VLOOKUP(B102,'РП (расш)'!A:G,7,0),"")</f>
        <v/>
      </c>
      <c r="F102" t="str">
        <f ca="1">IF(B102="","",IF(B102&gt;0,IFERROR(IF(VLOOKUP(LEFT(B102,10),[2]Лист1!$A:$A,1,0)&gt;0,"КО"),IF(E102="","погашен",IF(B102&gt;0,IFERROR(IF(VLOOKUP(B102,'реестр просрочников'!B:B,1,0)&gt;0,"просрочен",),IF(TODAY()&gt;C102,"оплачен","грядет")),"")))))</f>
        <v>КО</v>
      </c>
    </row>
    <row r="103" spans="1:6" x14ac:dyDescent="0.25">
      <c r="A103" t="s">
        <v>134</v>
      </c>
      <c r="B103" t="s">
        <v>594</v>
      </c>
      <c r="C103" s="1">
        <v>45470</v>
      </c>
      <c r="D103" s="29">
        <v>25986.97</v>
      </c>
      <c r="E103" s="29">
        <f>IFERROR(VLOOKUP(B103,'РП (расш)'!A:G,7,0),"")</f>
        <v>295539.98</v>
      </c>
      <c r="F103" t="str">
        <f ca="1">IF(B103="","",IF(B103&gt;0,IFERROR(IF(VLOOKUP(LEFT(B103,10),[2]Лист1!$A:$A,1,0)&gt;0,"КО"),IF(E103="","погашен",IF(B103&gt;0,IFERROR(IF(VLOOKUP(B103,'реестр просрочников'!B:B,1,0)&gt;0,"просрочен",),IF(TODAY()&gt;C103,"оплачен","грядет")),"")))))</f>
        <v>оплачен</v>
      </c>
    </row>
    <row r="104" spans="1:6" x14ac:dyDescent="0.25">
      <c r="A104" t="s">
        <v>219</v>
      </c>
      <c r="B104" t="s">
        <v>557</v>
      </c>
      <c r="C104" s="1">
        <v>45470</v>
      </c>
      <c r="D104" s="29">
        <v>10140.92</v>
      </c>
      <c r="E104" s="29">
        <f>IFERROR(VLOOKUP(B104,'РП (расш)'!A:G,7,0),"")</f>
        <v>88129.79</v>
      </c>
      <c r="F104" t="str">
        <f ca="1">IF(B104="","",IF(B104&gt;0,IFERROR(IF(VLOOKUP(LEFT(B104,10),[2]Лист1!$A:$A,1,0)&gt;0,"КО"),IF(E104="","погашен",IF(B104&gt;0,IFERROR(IF(VLOOKUP(B104,'реестр просрочников'!B:B,1,0)&gt;0,"просрочен",),IF(TODAY()&gt;C104,"оплачен","грядет")),"")))))</f>
        <v>оплачен</v>
      </c>
    </row>
    <row r="105" spans="1:6" x14ac:dyDescent="0.25">
      <c r="A105" t="s">
        <v>246</v>
      </c>
      <c r="B105" t="s">
        <v>467</v>
      </c>
      <c r="C105" s="1">
        <v>45470</v>
      </c>
      <c r="D105" s="29">
        <v>30003.07</v>
      </c>
      <c r="E105" s="29">
        <f>IFERROR(VLOOKUP(B105,'РП (расш)'!A:G,7,0),"")</f>
        <v>313730.78999999998</v>
      </c>
      <c r="F105" t="str">
        <f ca="1">IF(B105="","",IF(B105&gt;0,IFERROR(IF(VLOOKUP(LEFT(B105,10),[2]Лист1!$A:$A,1,0)&gt;0,"КО"),IF(E105="","погашен",IF(B105&gt;0,IFERROR(IF(VLOOKUP(B105,'реестр просрочников'!B:B,1,0)&gt;0,"просрочен",),IF(TODAY()&gt;C105,"оплачен","грядет")),"")))))</f>
        <v>оплачен</v>
      </c>
    </row>
    <row r="106" spans="1:6" x14ac:dyDescent="0.25">
      <c r="A106" t="s">
        <v>220</v>
      </c>
      <c r="B106" t="s">
        <v>558</v>
      </c>
      <c r="C106" s="1">
        <v>45470</v>
      </c>
      <c r="D106" s="29">
        <v>26455.83</v>
      </c>
      <c r="E106" s="29">
        <f>IFERROR(VLOOKUP(B106,'РП (расш)'!A:G,7,0),"")</f>
        <v>244826.11</v>
      </c>
      <c r="F106" t="str">
        <f ca="1">IF(B106="","",IF(B106&gt;0,IFERROR(IF(VLOOKUP(LEFT(B106,10),[2]Лист1!$A:$A,1,0)&gt;0,"КО"),IF(E106="","погашен",IF(B106&gt;0,IFERROR(IF(VLOOKUP(B106,'реестр просрочников'!B:B,1,0)&gt;0,"просрочен",),IF(TODAY()&gt;C106,"оплачен","грядет")),"")))))</f>
        <v>просрочен</v>
      </c>
    </row>
    <row r="107" spans="1:6" x14ac:dyDescent="0.25">
      <c r="A107" t="s">
        <v>185</v>
      </c>
      <c r="B107" t="s">
        <v>591</v>
      </c>
      <c r="C107" s="1">
        <v>45470</v>
      </c>
      <c r="D107" s="29">
        <v>6940.62</v>
      </c>
      <c r="E107" s="29" t="str">
        <f>IFERROR(VLOOKUP(B107,'РП (расш)'!A:G,7,0),"")</f>
        <v/>
      </c>
      <c r="F107" t="str">
        <f ca="1">IF(B107="","",IF(B107&gt;0,IFERROR(IF(VLOOKUP(LEFT(B107,10),[2]Лист1!$A:$A,1,0)&gt;0,"КО"),IF(E107="","погашен",IF(B107&gt;0,IFERROR(IF(VLOOKUP(B107,'реестр просрочников'!B:B,1,0)&gt;0,"просрочен",),IF(TODAY()&gt;C107,"оплачен","грядет")),"")))))</f>
        <v>погашен</v>
      </c>
    </row>
    <row r="108" spans="1:6" x14ac:dyDescent="0.25">
      <c r="A108" t="s">
        <v>336</v>
      </c>
      <c r="B108" t="s">
        <v>391</v>
      </c>
      <c r="C108" s="1">
        <v>45471</v>
      </c>
      <c r="D108" s="29">
        <v>13078.35</v>
      </c>
      <c r="E108" s="29">
        <f>IFERROR(VLOOKUP(B108,'РП (расш)'!A:G,7,0),"")</f>
        <v>137796.93</v>
      </c>
      <c r="F108" t="str">
        <f ca="1">IF(B108="","",IF(B108&gt;0,IFERROR(IF(VLOOKUP(LEFT(B108,10),[2]Лист1!$A:$A,1,0)&gt;0,"КО"),IF(E108="","погашен",IF(B108&gt;0,IFERROR(IF(VLOOKUP(B108,'реестр просрочников'!B:B,1,0)&gt;0,"просрочен",),IF(TODAY()&gt;C108,"оплачен","грядет")),"")))))</f>
        <v>КО</v>
      </c>
    </row>
    <row r="109" spans="1:6" x14ac:dyDescent="0.25">
      <c r="A109" t="s">
        <v>188</v>
      </c>
      <c r="B109" t="s">
        <v>520</v>
      </c>
      <c r="C109" s="1">
        <v>45471</v>
      </c>
      <c r="D109" s="29">
        <v>19592.36</v>
      </c>
      <c r="E109" s="29">
        <f>IFERROR(VLOOKUP(B109,'РП (расш)'!A:G,7,0),"")</f>
        <v>53256</v>
      </c>
      <c r="F109" t="str">
        <f ca="1">IF(B109="","",IF(B109&gt;0,IFERROR(IF(VLOOKUP(LEFT(B109,10),[2]Лист1!$A:$A,1,0)&gt;0,"КО"),IF(E109="","погашен",IF(B109&gt;0,IFERROR(IF(VLOOKUP(B109,'реестр просрочников'!B:B,1,0)&gt;0,"просрочен",),IF(TODAY()&gt;C109,"оплачен","грядет")),"")))))</f>
        <v>оплачен</v>
      </c>
    </row>
    <row r="110" spans="1:6" x14ac:dyDescent="0.25">
      <c r="A110" t="s">
        <v>229</v>
      </c>
      <c r="B110" t="s">
        <v>565</v>
      </c>
      <c r="C110" s="1">
        <v>45471</v>
      </c>
      <c r="D110" s="29">
        <v>41778.36</v>
      </c>
      <c r="E110" s="29" t="str">
        <f>IFERROR(VLOOKUP(B110,'РП (расш)'!A:G,7,0),"")</f>
        <v/>
      </c>
      <c r="F110" t="str">
        <f ca="1">IF(B110="","",IF(B110&gt;0,IFERROR(IF(VLOOKUP(LEFT(B110,10),[2]Лист1!$A:$A,1,0)&gt;0,"КО"),IF(E110="","погашен",IF(B110&gt;0,IFERROR(IF(VLOOKUP(B110,'реестр просрочников'!B:B,1,0)&gt;0,"просрочен",),IF(TODAY()&gt;C110,"оплачен","грядет")),"")))))</f>
        <v>погашен</v>
      </c>
    </row>
    <row r="111" spans="1:6" x14ac:dyDescent="0.25">
      <c r="A111" t="s">
        <v>221</v>
      </c>
      <c r="B111" t="s">
        <v>560</v>
      </c>
      <c r="C111" s="1">
        <v>45471</v>
      </c>
      <c r="D111" s="29">
        <v>12125.59</v>
      </c>
      <c r="E111" s="29">
        <f>IFERROR(VLOOKUP(B111,'РП (расш)'!A:G,7,0),"")</f>
        <v>106736.9</v>
      </c>
      <c r="F111" t="str">
        <f ca="1">IF(B111="","",IF(B111&gt;0,IFERROR(IF(VLOOKUP(LEFT(B111,10),[2]Лист1!$A:$A,1,0)&gt;0,"КО"),IF(E111="","погашен",IF(B111&gt;0,IFERROR(IF(VLOOKUP(B111,'реестр просрочников'!B:B,1,0)&gt;0,"просрочен",),IF(TODAY()&gt;C111,"оплачен","грядет")),"")))))</f>
        <v>оплачен</v>
      </c>
    </row>
    <row r="112" spans="1:6" x14ac:dyDescent="0.25">
      <c r="A112" t="s">
        <v>197</v>
      </c>
      <c r="B112" t="s">
        <v>532</v>
      </c>
      <c r="C112" s="1">
        <v>45471</v>
      </c>
      <c r="D112" s="29">
        <v>6462.97</v>
      </c>
      <c r="E112" s="29">
        <f>IFERROR(VLOOKUP(B112,'РП (расш)'!A:G,7,0),"")</f>
        <v>25772.5</v>
      </c>
      <c r="F112" t="str">
        <f ca="1">IF(B112="","",IF(B112&gt;0,IFERROR(IF(VLOOKUP(LEFT(B112,10),[2]Лист1!$A:$A,1,0)&gt;0,"КО"),IF(E112="","погашен",IF(B112&gt;0,IFERROR(IF(VLOOKUP(B112,'реестр просрочников'!B:B,1,0)&gt;0,"просрочен",),IF(TODAY()&gt;C112,"оплачен","грядет")),"")))))</f>
        <v>оплачен</v>
      </c>
    </row>
    <row r="113" spans="1:6" x14ac:dyDescent="0.25">
      <c r="A113" t="s">
        <v>291</v>
      </c>
      <c r="B113" t="s">
        <v>414</v>
      </c>
      <c r="C113" s="1">
        <v>45471</v>
      </c>
      <c r="D113" s="29">
        <v>71605.53</v>
      </c>
      <c r="E113" s="29">
        <f>IFERROR(VLOOKUP(B113,'РП (расш)'!A:G,7,0),"")</f>
        <v>937688.28</v>
      </c>
      <c r="F113" t="str">
        <f ca="1">IF(B113="","",IF(B113&gt;0,IFERROR(IF(VLOOKUP(LEFT(B113,10),[2]Лист1!$A:$A,1,0)&gt;0,"КО"),IF(E113="","погашен",IF(B113&gt;0,IFERROR(IF(VLOOKUP(B113,'реестр просрочников'!B:B,1,0)&gt;0,"просрочен",),IF(TODAY()&gt;C113,"оплачен","грядет")),"")))))</f>
        <v>КО</v>
      </c>
    </row>
    <row r="114" spans="1:6" x14ac:dyDescent="0.25">
      <c r="A114" t="s">
        <v>416</v>
      </c>
      <c r="B114" t="s">
        <v>415</v>
      </c>
      <c r="C114" s="1">
        <v>45471</v>
      </c>
      <c r="D114" s="29">
        <v>57284.42</v>
      </c>
      <c r="E114" s="29">
        <f>IFERROR(VLOOKUP(B114,'РП (расш)'!A:G,7,0),"")</f>
        <v>746957.49</v>
      </c>
      <c r="F114" t="str">
        <f ca="1">IF(B114="","",IF(B114&gt;0,IFERROR(IF(VLOOKUP(LEFT(B114,10),[2]Лист1!$A:$A,1,0)&gt;0,"КО"),IF(E114="","погашен",IF(B114&gt;0,IFERROR(IF(VLOOKUP(B114,'реестр просрочников'!B:B,1,0)&gt;0,"просрочен",),IF(TODAY()&gt;C114,"оплачен","грядет")),"")))))</f>
        <v>КО</v>
      </c>
    </row>
    <row r="115" spans="1:6" x14ac:dyDescent="0.25">
      <c r="A115" t="s">
        <v>293</v>
      </c>
      <c r="B115" t="s">
        <v>485</v>
      </c>
      <c r="C115" s="1">
        <v>45471</v>
      </c>
      <c r="D115" s="29">
        <v>13212.2</v>
      </c>
      <c r="E115" s="29">
        <f>IFERROR(VLOOKUP(B115,'РП (расш)'!A:G,7,0),"")</f>
        <v>207666.7</v>
      </c>
      <c r="F115" t="str">
        <f ca="1">IF(B115="","",IF(B115&gt;0,IFERROR(IF(VLOOKUP(LEFT(B115,10),[2]Лист1!$A:$A,1,0)&gt;0,"КО"),IF(E115="","погашен",IF(B115&gt;0,IFERROR(IF(VLOOKUP(B115,'реестр просрочников'!B:B,1,0)&gt;0,"просрочен",),IF(TODAY()&gt;C115,"оплачен","грядет")),"")))))</f>
        <v>КО</v>
      </c>
    </row>
    <row r="116" spans="1:6" x14ac:dyDescent="0.25">
      <c r="A116" t="s">
        <v>29</v>
      </c>
      <c r="B116" t="s">
        <v>133</v>
      </c>
      <c r="C116" s="1">
        <v>45471</v>
      </c>
      <c r="D116" s="29">
        <v>6043.76</v>
      </c>
      <c r="E116" s="29">
        <f>IFERROR(VLOOKUP(B116,'РП (расш)'!A:G,7,0),"")</f>
        <v>65898.179999999993</v>
      </c>
      <c r="F116" t="str">
        <f ca="1">IF(B116="","",IF(B116&gt;0,IFERROR(IF(VLOOKUP(LEFT(B116,10),[2]Лист1!$A:$A,1,0)&gt;0,"КО"),IF(E116="","погашен",IF(B116&gt;0,IFERROR(IF(VLOOKUP(B116,'реестр просрочников'!B:B,1,0)&gt;0,"просрочен",),IF(TODAY()&gt;C116,"оплачен","грядет")),"")))))</f>
        <v>КО</v>
      </c>
    </row>
    <row r="117" spans="1:6" x14ac:dyDescent="0.25">
      <c r="A117" t="s">
        <v>76</v>
      </c>
      <c r="B117" t="s">
        <v>523</v>
      </c>
      <c r="C117" s="1">
        <v>45471</v>
      </c>
      <c r="D117" s="29">
        <v>3333.55</v>
      </c>
      <c r="E117" s="29">
        <f>IFERROR(VLOOKUP(B117,'РП (расш)'!A:G,7,0),"")</f>
        <v>5995.21</v>
      </c>
      <c r="F117" t="str">
        <f ca="1">IF(B117="","",IF(B117&gt;0,IFERROR(IF(VLOOKUP(LEFT(B117,10),[2]Лист1!$A:$A,1,0)&gt;0,"КО"),IF(E117="","погашен",IF(B117&gt;0,IFERROR(IF(VLOOKUP(B117,'реестр просрочников'!B:B,1,0)&gt;0,"просрочен",),IF(TODAY()&gt;C117,"оплачен","грядет")),"")))))</f>
        <v>оплачен</v>
      </c>
    </row>
    <row r="118" spans="1:6" x14ac:dyDescent="0.25">
      <c r="A118" t="s">
        <v>181</v>
      </c>
      <c r="B118" t="s">
        <v>486</v>
      </c>
      <c r="C118" s="1">
        <v>45472</v>
      </c>
      <c r="D118" s="29">
        <v>18611.240000000002</v>
      </c>
      <c r="E118" s="29">
        <f>IFERROR(VLOOKUP(B118,'РП (расш)'!A:G,7,0),"")</f>
        <v>241206.49</v>
      </c>
      <c r="F118" t="str">
        <f ca="1">IF(B118="","",IF(B118&gt;0,IFERROR(IF(VLOOKUP(LEFT(B118,10),[2]Лист1!$A:$A,1,0)&gt;0,"КО"),IF(E118="","погашен",IF(B118&gt;0,IFERROR(IF(VLOOKUP(B118,'реестр просрочников'!B:B,1,0)&gt;0,"просрочен",),IF(TODAY()&gt;C118,"оплачен","грядет")),"")))))</f>
        <v>оплачен</v>
      </c>
    </row>
    <row r="119" spans="1:6" x14ac:dyDescent="0.25">
      <c r="A119" t="s">
        <v>294</v>
      </c>
      <c r="B119" t="s">
        <v>592</v>
      </c>
      <c r="C119" s="1">
        <v>45472</v>
      </c>
      <c r="D119" s="29">
        <v>14550.71</v>
      </c>
      <c r="E119" s="29">
        <f>IFERROR(VLOOKUP(B119,'РП (расш)'!A:G,7,0),"")</f>
        <v>181595.61</v>
      </c>
      <c r="F119" t="str">
        <f ca="1">IF(B119="","",IF(B119&gt;0,IFERROR(IF(VLOOKUP(LEFT(B119,10),[2]Лист1!$A:$A,1,0)&gt;0,"КО"),IF(E119="","погашен",IF(B119&gt;0,IFERROR(IF(VLOOKUP(B119,'реестр просрочников'!B:B,1,0)&gt;0,"просрочен",),IF(TODAY()&gt;C119,"оплачен","грядет")),"")))))</f>
        <v>оплачен</v>
      </c>
    </row>
    <row r="120" spans="1:6" x14ac:dyDescent="0.25">
      <c r="A120" t="s">
        <v>30</v>
      </c>
      <c r="B120" t="s">
        <v>544</v>
      </c>
      <c r="C120" s="1">
        <v>45472</v>
      </c>
      <c r="D120" s="29">
        <v>6760.02</v>
      </c>
      <c r="E120" s="29">
        <f>IFERROR(VLOOKUP(B120,'РП (расш)'!A:G,7,0),"")</f>
        <v>32533.65</v>
      </c>
      <c r="F120" t="str">
        <f ca="1">IF(B120="","",IF(B120&gt;0,IFERROR(IF(VLOOKUP(LEFT(B120,10),[2]Лист1!$A:$A,1,0)&gt;0,"КО"),IF(E120="","погашен",IF(B120&gt;0,IFERROR(IF(VLOOKUP(B120,'реестр просрочников'!B:B,1,0)&gt;0,"просрочен",),IF(TODAY()&gt;C120,"оплачен","грядет")),"")))))</f>
        <v>оплачен</v>
      </c>
    </row>
    <row r="121" spans="1:6" x14ac:dyDescent="0.25">
      <c r="A121" t="s">
        <v>393</v>
      </c>
      <c r="B121" t="s">
        <v>392</v>
      </c>
      <c r="C121" s="1">
        <v>45472</v>
      </c>
      <c r="D121" s="29">
        <v>27558.15</v>
      </c>
      <c r="E121" s="29">
        <f>IFERROR(VLOOKUP(B121,'РП (расш)'!A:G,7,0),"")</f>
        <v>494147.5</v>
      </c>
      <c r="F121" t="str">
        <f ca="1">IF(B121="","",IF(B121&gt;0,IFERROR(IF(VLOOKUP(LEFT(B121,10),[2]Лист1!$A:$A,1,0)&gt;0,"КО"),IF(E121="","погашен",IF(B121&gt;0,IFERROR(IF(VLOOKUP(B121,'реестр просрочников'!B:B,1,0)&gt;0,"просрочен",),IF(TODAY()&gt;C121,"оплачен","грядет")),"")))))</f>
        <v>КО</v>
      </c>
    </row>
    <row r="122" spans="1:6" x14ac:dyDescent="0.25">
      <c r="A122" t="s">
        <v>156</v>
      </c>
      <c r="B122" t="s">
        <v>494</v>
      </c>
      <c r="C122" s="1">
        <v>45473</v>
      </c>
      <c r="D122" s="29">
        <v>25203.85</v>
      </c>
      <c r="E122" s="29">
        <f>IFERROR(VLOOKUP(B122,'РП (расш)'!A:G,7,0),"")</f>
        <v>302836.65000000002</v>
      </c>
      <c r="F122" t="str">
        <f ca="1">IF(B122="","",IF(B122&gt;0,IFERROR(IF(VLOOKUP(LEFT(B122,10),[2]Лист1!$A:$A,1,0)&gt;0,"КО"),IF(E122="","погашен",IF(B122&gt;0,IFERROR(IF(VLOOKUP(B122,'реестр просрочников'!B:B,1,0)&gt;0,"просрочен",),IF(TODAY()&gt;C122,"оплачен","грядет")),"")))))</f>
        <v>КО</v>
      </c>
    </row>
    <row r="123" spans="1:6" x14ac:dyDescent="0.25">
      <c r="A123" t="s">
        <v>406</v>
      </c>
      <c r="B123" t="s">
        <v>405</v>
      </c>
      <c r="C123" s="1">
        <v>45473</v>
      </c>
      <c r="D123" s="29">
        <v>27745.61</v>
      </c>
      <c r="E123" s="29">
        <f>IFERROR(VLOOKUP(B123,'РП (расш)'!A:G,7,0),"")</f>
        <v>161018.21</v>
      </c>
      <c r="F123" t="str">
        <f ca="1">IF(B123="","",IF(B123&gt;0,IFERROR(IF(VLOOKUP(LEFT(B123,10),[2]Лист1!$A:$A,1,0)&gt;0,"КО"),IF(E123="","погашен",IF(B123&gt;0,IFERROR(IF(VLOOKUP(B123,'реестр просрочников'!B:B,1,0)&gt;0,"просрочен",),IF(TODAY()&gt;C123,"оплачен","грядет")),"")))))</f>
        <v>КО</v>
      </c>
    </row>
    <row r="124" spans="1:6" x14ac:dyDescent="0.25">
      <c r="A124" t="s">
        <v>60</v>
      </c>
      <c r="B124" t="s">
        <v>492</v>
      </c>
      <c r="C124" s="1">
        <v>45473</v>
      </c>
      <c r="D124" s="29">
        <v>6536.42</v>
      </c>
      <c r="E124" s="29">
        <f>IFERROR(VLOOKUP(B124,'РП (расш)'!A:G,7,0),"")</f>
        <v>85748.58</v>
      </c>
      <c r="F124" t="str">
        <f ca="1">IF(B124="","",IF(B124&gt;0,IFERROR(IF(VLOOKUP(LEFT(B124,10),[2]Лист1!$A:$A,1,0)&gt;0,"КО"),IF(E124="","погашен",IF(B124&gt;0,IFERROR(IF(VLOOKUP(B124,'реестр просрочников'!B:B,1,0)&gt;0,"просрочен",),IF(TODAY()&gt;C124,"оплачен","грядет")),"")))))</f>
        <v>КО</v>
      </c>
    </row>
    <row r="125" spans="1:6" x14ac:dyDescent="0.25">
      <c r="A125" t="s">
        <v>342</v>
      </c>
      <c r="B125" t="s">
        <v>497</v>
      </c>
      <c r="C125" s="1">
        <v>45474</v>
      </c>
      <c r="D125" s="29">
        <v>30622.799999999999</v>
      </c>
      <c r="E125" s="29">
        <f>IFERROR(VLOOKUP(B125,'РП (расш)'!A:G,7,0),"")</f>
        <v>418557.53</v>
      </c>
      <c r="F125" t="str">
        <f ca="1">IF(B125="","",IF(B125&gt;0,IFERROR(IF(VLOOKUP(LEFT(B125,10),[2]Лист1!$A:$A,1,0)&gt;0,"КО"),IF(E125="","погашен",IF(B125&gt;0,IFERROR(IF(VLOOKUP(B125,'реестр просрочников'!B:B,1,0)&gt;0,"просрочен",),IF(TODAY()&gt;C125,"оплачен","грядет")),"")))))</f>
        <v>КО</v>
      </c>
    </row>
    <row r="126" spans="1:6" x14ac:dyDescent="0.25">
      <c r="A126" t="s">
        <v>203</v>
      </c>
      <c r="B126" t="s">
        <v>539</v>
      </c>
      <c r="C126" s="1">
        <v>45474</v>
      </c>
      <c r="D126" s="29">
        <v>18575.490000000002</v>
      </c>
      <c r="E126" s="29">
        <f>IFERROR(VLOOKUP(B126,'РП (расш)'!A:G,7,0),"")</f>
        <v>193811.33</v>
      </c>
      <c r="F126" t="str">
        <f ca="1">IF(B126="","",IF(B126&gt;0,IFERROR(IF(VLOOKUP(LEFT(B126,10),[2]Лист1!$A:$A,1,0)&gt;0,"КО"),IF(E126="","погашен",IF(B126&gt;0,IFERROR(IF(VLOOKUP(B126,'реестр просрочников'!B:B,1,0)&gt;0,"просрочен",),IF(TODAY()&gt;C126,"оплачен","грядет")),"")))))</f>
        <v>оплачен</v>
      </c>
    </row>
    <row r="127" spans="1:6" x14ac:dyDescent="0.25">
      <c r="A127" t="s">
        <v>153</v>
      </c>
      <c r="B127" t="s">
        <v>582</v>
      </c>
      <c r="C127" s="1">
        <v>45474</v>
      </c>
      <c r="D127" s="29">
        <v>19347.96</v>
      </c>
      <c r="E127" s="29">
        <f>IFERROR(VLOOKUP(B127,'РП (расш)'!A:G,7,0),"")</f>
        <v>251065.36</v>
      </c>
      <c r="F127" t="str">
        <f ca="1">IF(B127="","",IF(B127&gt;0,IFERROR(IF(VLOOKUP(LEFT(B127,10),[2]Лист1!$A:$A,1,0)&gt;0,"КО"),IF(E127="","погашен",IF(B127&gt;0,IFERROR(IF(VLOOKUP(B127,'реестр просрочников'!B:B,1,0)&gt;0,"просрочен",),IF(TODAY()&gt;C127,"оплачен","грядет")),"")))))</f>
        <v>КО</v>
      </c>
    </row>
    <row r="128" spans="1:6" x14ac:dyDescent="0.25">
      <c r="A128" t="s">
        <v>398</v>
      </c>
      <c r="B128" t="s">
        <v>397</v>
      </c>
      <c r="C128" s="1">
        <v>45475</v>
      </c>
      <c r="D128" s="29">
        <v>22391.27</v>
      </c>
      <c r="E128" s="29">
        <f>IFERROR(VLOOKUP(B128,'РП (расш)'!A:G,7,0),"")</f>
        <v>344945.56</v>
      </c>
      <c r="F128" t="str">
        <f ca="1">IF(B128="","",IF(B128&gt;0,IFERROR(IF(VLOOKUP(LEFT(B128,10),[2]Лист1!$A:$A,1,0)&gt;0,"КО"),IF(E128="","погашен",IF(B128&gt;0,IFERROR(IF(VLOOKUP(B128,'реестр просрочников'!B:B,1,0)&gt;0,"просрочен",),IF(TODAY()&gt;C128,"оплачен","грядет")),"")))))</f>
        <v>КО</v>
      </c>
    </row>
    <row r="129" spans="1:6" x14ac:dyDescent="0.25">
      <c r="A129" t="s">
        <v>309</v>
      </c>
      <c r="B129" t="s">
        <v>503</v>
      </c>
      <c r="C129" s="1">
        <v>45475</v>
      </c>
      <c r="D129" s="29">
        <v>27818.85</v>
      </c>
      <c r="E129" s="29">
        <f>IFERROR(VLOOKUP(B129,'РП (расш)'!A:G,7,0),"")</f>
        <v>386511.69</v>
      </c>
      <c r="F129" t="str">
        <f ca="1">IF(B129="","",IF(B129&gt;0,IFERROR(IF(VLOOKUP(LEFT(B129,10),[2]Лист1!$A:$A,1,0)&gt;0,"КО"),IF(E129="","погашен",IF(B129&gt;0,IFERROR(IF(VLOOKUP(B129,'реестр просрочников'!B:B,1,0)&gt;0,"просрочен",),IF(TODAY()&gt;C129,"оплачен","грядет")),"")))))</f>
        <v>КО</v>
      </c>
    </row>
    <row r="130" spans="1:6" x14ac:dyDescent="0.25">
      <c r="A130" t="s">
        <v>257</v>
      </c>
      <c r="B130" t="s">
        <v>578</v>
      </c>
      <c r="C130" s="1">
        <v>45475</v>
      </c>
      <c r="D130" s="29">
        <v>12492.02</v>
      </c>
      <c r="E130" s="29">
        <f>IFERROR(VLOOKUP(B130,'РП (расш)'!A:G,7,0),"")</f>
        <v>130533.38</v>
      </c>
      <c r="F130" t="str">
        <f ca="1">IF(B130="","",IF(B130&gt;0,IFERROR(IF(VLOOKUP(LEFT(B130,10),[2]Лист1!$A:$A,1,0)&gt;0,"КО"),IF(E130="","погашен",IF(B130&gt;0,IFERROR(IF(VLOOKUP(B130,'реестр просрочников'!B:B,1,0)&gt;0,"просрочен",),IF(TODAY()&gt;C130,"оплачен","грядет")),"")))))</f>
        <v>оплачен</v>
      </c>
    </row>
    <row r="131" spans="1:6" x14ac:dyDescent="0.25">
      <c r="A131" t="s">
        <v>192</v>
      </c>
      <c r="B131" t="s">
        <v>604</v>
      </c>
      <c r="C131" s="1">
        <v>45475</v>
      </c>
      <c r="D131" s="29">
        <v>6462.97</v>
      </c>
      <c r="E131" s="29">
        <f>IFERROR(VLOOKUP(B131,'РП (расш)'!A:G,7,0),"")</f>
        <v>68963.759999999995</v>
      </c>
      <c r="F131" t="str">
        <f ca="1">IF(B131="","",IF(B131&gt;0,IFERROR(IF(VLOOKUP(LEFT(B131,10),[2]Лист1!$A:$A,1,0)&gt;0,"КО"),IF(E131="","погашен",IF(B131&gt;0,IFERROR(IF(VLOOKUP(B131,'реестр просрочников'!B:B,1,0)&gt;0,"просрочен",),IF(TODAY()&gt;C131,"оплачен","грядет")),"")))))</f>
        <v>КО</v>
      </c>
    </row>
    <row r="132" spans="1:6" x14ac:dyDescent="0.25">
      <c r="A132" t="s">
        <v>215</v>
      </c>
      <c r="B132" t="s">
        <v>551</v>
      </c>
      <c r="C132" s="1">
        <v>45475</v>
      </c>
      <c r="D132" s="29">
        <v>9774.56</v>
      </c>
      <c r="E132" s="29">
        <f>IFERROR(VLOOKUP(B132,'РП (расш)'!A:G,7,0),"")</f>
        <v>60672.43</v>
      </c>
      <c r="F132" t="str">
        <f ca="1">IF(B132="","",IF(B132&gt;0,IFERROR(IF(VLOOKUP(LEFT(B132,10),[2]Лист1!$A:$A,1,0)&gt;0,"КО"),IF(E132="","погашен",IF(B132&gt;0,IFERROR(IF(VLOOKUP(B132,'реестр просрочников'!B:B,1,0)&gt;0,"просрочен",),IF(TODAY()&gt;C132,"оплачен","грядет")),"")))))</f>
        <v>оплачен</v>
      </c>
    </row>
    <row r="133" spans="1:6" x14ac:dyDescent="0.25">
      <c r="A133" t="s">
        <v>351</v>
      </c>
      <c r="B133" t="s">
        <v>602</v>
      </c>
      <c r="C133" s="1">
        <v>45475</v>
      </c>
      <c r="D133" s="29">
        <v>8796.0300000000007</v>
      </c>
      <c r="E133" s="29">
        <f>IFERROR(VLOOKUP(B133,'РП (расш)'!A:G,7,0),"")</f>
        <v>91692.34</v>
      </c>
      <c r="F133" t="str">
        <f ca="1">IF(B133="","",IF(B133&gt;0,IFERROR(IF(VLOOKUP(LEFT(B133,10),[2]Лист1!$A:$A,1,0)&gt;0,"КО"),IF(E133="","погашен",IF(B133&gt;0,IFERROR(IF(VLOOKUP(B133,'реестр просрочников'!B:B,1,0)&gt;0,"просрочен",),IF(TODAY()&gt;C133,"оплачен","грядет")),"")))))</f>
        <v>оплачен</v>
      </c>
    </row>
    <row r="134" spans="1:6" x14ac:dyDescent="0.25">
      <c r="A134" t="s">
        <v>248</v>
      </c>
      <c r="B134" t="s">
        <v>573</v>
      </c>
      <c r="C134" s="1">
        <v>45475</v>
      </c>
      <c r="D134" s="29">
        <v>19400.939999999999</v>
      </c>
      <c r="E134" s="29">
        <f>IFERROR(VLOOKUP(B134,'РП (расш)'!A:G,7,0),"")</f>
        <v>201991.38</v>
      </c>
      <c r="F134" t="str">
        <f ca="1">IF(B134="","",IF(B134&gt;0,IFERROR(IF(VLOOKUP(LEFT(B134,10),[2]Лист1!$A:$A,1,0)&gt;0,"КО"),IF(E134="","погашен",IF(B134&gt;0,IFERROR(IF(VLOOKUP(B134,'реестр просрочников'!B:B,1,0)&gt;0,"просрочен",),IF(TODAY()&gt;C134,"оплачен","грядет")),"")))))</f>
        <v>оплачен</v>
      </c>
    </row>
    <row r="135" spans="1:6" x14ac:dyDescent="0.25">
      <c r="A135" t="s">
        <v>151</v>
      </c>
      <c r="B135" t="s">
        <v>529</v>
      </c>
      <c r="C135" s="1">
        <v>45475</v>
      </c>
      <c r="D135" s="29">
        <v>13829.61</v>
      </c>
      <c r="E135" s="29">
        <f>IFERROR(VLOOKUP(B135,'РП (расш)'!A:G,7,0),"")</f>
        <v>99509.72</v>
      </c>
      <c r="F135" t="str">
        <f ca="1">IF(B135="","",IF(B135&gt;0,IFERROR(IF(VLOOKUP(LEFT(B135,10),[2]Лист1!$A:$A,1,0)&gt;0,"КО"),IF(E135="","погашен",IF(B135&gt;0,IFERROR(IF(VLOOKUP(B135,'реестр просрочников'!B:B,1,0)&gt;0,"просрочен",),IF(TODAY()&gt;C135,"оплачен","грядет")),"")))))</f>
        <v>оплачен</v>
      </c>
    </row>
    <row r="136" spans="1:6" x14ac:dyDescent="0.25">
      <c r="A136" t="s">
        <v>84</v>
      </c>
      <c r="B136" t="s">
        <v>562</v>
      </c>
      <c r="C136" s="1">
        <v>45476</v>
      </c>
      <c r="D136" s="29">
        <v>9562.57</v>
      </c>
      <c r="E136" s="29" t="str">
        <f>IFERROR(VLOOKUP(B136,'РП (расш)'!A:G,7,0),"")</f>
        <v/>
      </c>
      <c r="F136" t="str">
        <f ca="1">IF(B136="","",IF(B136&gt;0,IFERROR(IF(VLOOKUP(LEFT(B136,10),[2]Лист1!$A:$A,1,0)&gt;0,"КО"),IF(E136="","погашен",IF(B136&gt;0,IFERROR(IF(VLOOKUP(B136,'реестр просрочников'!B:B,1,0)&gt;0,"просрочен",),IF(TODAY()&gt;C136,"оплачен","грядет")),"")))))</f>
        <v>погашен</v>
      </c>
    </row>
    <row r="137" spans="1:6" x14ac:dyDescent="0.25">
      <c r="A137" t="s">
        <v>353</v>
      </c>
      <c r="B137" t="s">
        <v>501</v>
      </c>
      <c r="C137" s="1">
        <v>45476</v>
      </c>
      <c r="D137" s="29">
        <v>17592.11</v>
      </c>
      <c r="E137" s="29">
        <f>IFERROR(VLOOKUP(B137,'РП (расш)'!A:G,7,0),"")</f>
        <v>214297.59</v>
      </c>
      <c r="F137" t="str">
        <f ca="1">IF(B137="","",IF(B137&gt;0,IFERROR(IF(VLOOKUP(LEFT(B137,10),[2]Лист1!$A:$A,1,0)&gt;0,"КО"),IF(E137="","погашен",IF(B137&gt;0,IFERROR(IF(VLOOKUP(B137,'реестр просрочников'!B:B,1,0)&gt;0,"просрочен",),IF(TODAY()&gt;C137,"оплачен","грядет")),"")))))</f>
        <v>КО</v>
      </c>
    </row>
    <row r="138" spans="1:6" x14ac:dyDescent="0.25">
      <c r="A138" t="s">
        <v>180</v>
      </c>
      <c r="B138" t="s">
        <v>517</v>
      </c>
      <c r="C138" s="1">
        <v>45476</v>
      </c>
      <c r="D138" s="29">
        <v>28972.23</v>
      </c>
      <c r="E138" s="29" t="str">
        <f>IFERROR(VLOOKUP(B138,'РП (расш)'!A:G,7,0),"")</f>
        <v/>
      </c>
      <c r="F138" t="str">
        <f ca="1">IF(B138="","",IF(B138&gt;0,IFERROR(IF(VLOOKUP(LEFT(B138,10),[2]Лист1!$A:$A,1,0)&gt;0,"КО"),IF(E138="","погашен",IF(B138&gt;0,IFERROR(IF(VLOOKUP(B138,'реестр просрочников'!B:B,1,0)&gt;0,"просрочен",),IF(TODAY()&gt;C138,"оплачен","грядет")),"")))))</f>
        <v>погашен</v>
      </c>
    </row>
    <row r="139" spans="1:6" x14ac:dyDescent="0.25">
      <c r="A139" t="s">
        <v>388</v>
      </c>
      <c r="B139" t="s">
        <v>387</v>
      </c>
      <c r="C139" s="1">
        <v>45476</v>
      </c>
      <c r="D139" s="29">
        <v>65364.160000000003</v>
      </c>
      <c r="E139" s="29">
        <f>IFERROR(VLOOKUP(B139,'РП (расш)'!A:G,7,0),"")</f>
        <v>234354.87</v>
      </c>
      <c r="F139" t="str">
        <f ca="1">IF(B139="","",IF(B139&gt;0,IFERROR(IF(VLOOKUP(LEFT(B139,10),[2]Лист1!$A:$A,1,0)&gt;0,"КО"),IF(E139="","погашен",IF(B139&gt;0,IFERROR(IF(VLOOKUP(B139,'реестр просрочников'!B:B,1,0)&gt;0,"просрочен",),IF(TODAY()&gt;C139,"оплачен","грядет")),"")))))</f>
        <v>КО</v>
      </c>
    </row>
    <row r="140" spans="1:6" x14ac:dyDescent="0.25">
      <c r="A140" t="s">
        <v>320</v>
      </c>
      <c r="B140" t="s">
        <v>595</v>
      </c>
      <c r="C140" s="1">
        <v>45476</v>
      </c>
      <c r="D140" s="29">
        <v>28538.32</v>
      </c>
      <c r="E140" s="29">
        <f>IFERROR(VLOOKUP(B140,'РП (расш)'!A:G,7,0),"")</f>
        <v>347000.86</v>
      </c>
      <c r="F140" t="str">
        <f ca="1">IF(B140="","",IF(B140&gt;0,IFERROR(IF(VLOOKUP(LEFT(B140,10),[2]Лист1!$A:$A,1,0)&gt;0,"КО"),IF(E140="","погашен",IF(B140&gt;0,IFERROR(IF(VLOOKUP(B140,'реестр просрочников'!B:B,1,0)&gt;0,"просрочен",),IF(TODAY()&gt;C140,"оплачен","грядет")),"")))))</f>
        <v>просрочен</v>
      </c>
    </row>
    <row r="141" spans="1:6" x14ac:dyDescent="0.25">
      <c r="A141" t="s">
        <v>243</v>
      </c>
      <c r="B141" t="s">
        <v>571</v>
      </c>
      <c r="C141" s="1">
        <v>45477</v>
      </c>
      <c r="D141" s="29">
        <v>5511.63</v>
      </c>
      <c r="E141" s="29">
        <f>IFERROR(VLOOKUP(B141,'РП (расш)'!A:G,7,0),"")</f>
        <v>54636.39</v>
      </c>
      <c r="F141" t="str">
        <f ca="1">IF(B141="","",IF(B141&gt;0,IFERROR(IF(VLOOKUP(LEFT(B141,10),[2]Лист1!$A:$A,1,0)&gt;0,"КО"),IF(E141="","погашен",IF(B141&gt;0,IFERROR(IF(VLOOKUP(B141,'реестр просрочников'!B:B,1,0)&gt;0,"просрочен",),IF(TODAY()&gt;C141,"оплачен","грядет")),"")))))</f>
        <v>оплачен</v>
      </c>
    </row>
    <row r="142" spans="1:6" x14ac:dyDescent="0.25">
      <c r="A142" t="s">
        <v>235</v>
      </c>
      <c r="B142" t="s">
        <v>567</v>
      </c>
      <c r="C142" s="1">
        <v>45477</v>
      </c>
      <c r="D142" s="29">
        <v>2818.68</v>
      </c>
      <c r="E142" s="29">
        <f>IFERROR(VLOOKUP(B142,'РП (расш)'!A:G,7,0),"")</f>
        <v>25797.86</v>
      </c>
      <c r="F142" t="str">
        <f ca="1">IF(B142="","",IF(B142&gt;0,IFERROR(IF(VLOOKUP(LEFT(B142,10),[2]Лист1!$A:$A,1,0)&gt;0,"КО"),IF(E142="","погашен",IF(B142&gt;0,IFERROR(IF(VLOOKUP(B142,'реестр просрочников'!B:B,1,0)&gt;0,"просрочен",),IF(TODAY()&gt;C142,"оплачен","грядет")),"")))))</f>
        <v>оплачен</v>
      </c>
    </row>
    <row r="143" spans="1:6" x14ac:dyDescent="0.25">
      <c r="A143" t="s">
        <v>390</v>
      </c>
      <c r="B143" t="s">
        <v>389</v>
      </c>
      <c r="C143" s="1">
        <v>45477</v>
      </c>
      <c r="D143" s="29">
        <v>19009.71</v>
      </c>
      <c r="E143" s="29">
        <f>IFERROR(VLOOKUP(B143,'РП (расш)'!A:G,7,0),"")</f>
        <v>147031.49</v>
      </c>
      <c r="F143" t="str">
        <f ca="1">IF(B143="","",IF(B143&gt;0,IFERROR(IF(VLOOKUP(LEFT(B143,10),[2]Лист1!$A:$A,1,0)&gt;0,"КО"),IF(E143="","погашен",IF(B143&gt;0,IFERROR(IF(VLOOKUP(B143,'реестр просрочников'!B:B,1,0)&gt;0,"просрочен",),IF(TODAY()&gt;C143,"оплачен","грядет")),"")))))</f>
        <v>КО</v>
      </c>
    </row>
    <row r="144" spans="1:6" x14ac:dyDescent="0.25">
      <c r="A144" t="s">
        <v>323</v>
      </c>
      <c r="B144" t="s">
        <v>495</v>
      </c>
      <c r="C144" s="1">
        <v>45477</v>
      </c>
      <c r="D144" s="29">
        <v>9909.17</v>
      </c>
      <c r="E144" s="29">
        <f>IFERROR(VLOOKUP(B144,'РП (расш)'!A:G,7,0),"")</f>
        <v>153054.64000000001</v>
      </c>
      <c r="F144" t="str">
        <f ca="1">IF(B144="","",IF(B144&gt;0,IFERROR(IF(VLOOKUP(LEFT(B144,10),[2]Лист1!$A:$A,1,0)&gt;0,"КО"),IF(E144="","погашен",IF(B144&gt;0,IFERROR(IF(VLOOKUP(B144,'реестр просрочников'!B:B,1,0)&gt;0,"просрочен",),IF(TODAY()&gt;C144,"оплачен","грядет")),"")))))</f>
        <v>КО</v>
      </c>
    </row>
    <row r="145" spans="1:6" x14ac:dyDescent="0.25">
      <c r="A145" t="s">
        <v>325</v>
      </c>
      <c r="B145" t="s">
        <v>596</v>
      </c>
      <c r="C145" s="1">
        <v>45477</v>
      </c>
      <c r="D145" s="29">
        <v>9909.17</v>
      </c>
      <c r="E145" s="29">
        <f>IFERROR(VLOOKUP(B145,'РП (расш)'!A:G,7,0),"")</f>
        <v>114768.15</v>
      </c>
      <c r="F145" t="str">
        <f ca="1">IF(B145="","",IF(B145&gt;0,IFERROR(IF(VLOOKUP(LEFT(B145,10),[2]Лист1!$A:$A,1,0)&gt;0,"КО"),IF(E145="","погашен",IF(B145&gt;0,IFERROR(IF(VLOOKUP(B145,'реестр просрочников'!B:B,1,0)&gt;0,"просрочен",),IF(TODAY()&gt;C145,"оплачен","грядет")),"")))))</f>
        <v>оплачен</v>
      </c>
    </row>
    <row r="146" spans="1:6" x14ac:dyDescent="0.25">
      <c r="A146" t="s">
        <v>273</v>
      </c>
      <c r="B146" t="s">
        <v>584</v>
      </c>
      <c r="C146" s="1">
        <v>45478</v>
      </c>
      <c r="D146" s="29">
        <v>35820.83</v>
      </c>
      <c r="E146" s="29">
        <f>IFERROR(VLOOKUP(B146,'РП (расш)'!A:G,7,0),"")</f>
        <v>153003.17000000001</v>
      </c>
      <c r="F146" t="str">
        <f ca="1">IF(B146="","",IF(B146&gt;0,IFERROR(IF(VLOOKUP(LEFT(B146,10),[2]Лист1!$A:$A,1,0)&gt;0,"КО"),IF(E146="","погашен",IF(B146&gt;0,IFERROR(IF(VLOOKUP(B146,'реестр просрочников'!B:B,1,0)&gt;0,"просрочен",),IF(TODAY()&gt;C146,"оплачен","грядет")),"")))))</f>
        <v>оплачен</v>
      </c>
    </row>
    <row r="147" spans="1:6" x14ac:dyDescent="0.25">
      <c r="A147" t="s">
        <v>217</v>
      </c>
      <c r="B147" t="s">
        <v>555</v>
      </c>
      <c r="C147" s="1">
        <v>45478</v>
      </c>
      <c r="D147" s="29">
        <v>13779.08</v>
      </c>
      <c r="E147" s="29">
        <f>IFERROR(VLOOKUP(B147,'РП (расш)'!A:G,7,0),"")</f>
        <v>102556.65</v>
      </c>
      <c r="F147" t="str">
        <f ca="1">IF(B147="","",IF(B147&gt;0,IFERROR(IF(VLOOKUP(LEFT(B147,10),[2]Лист1!$A:$A,1,0)&gt;0,"КО"),IF(E147="","погашен",IF(B147&gt;0,IFERROR(IF(VLOOKUP(B147,'реестр просрочников'!B:B,1,0)&gt;0,"просрочен",),IF(TODAY()&gt;C147,"оплачен","грядет")),"")))))</f>
        <v>оплачен</v>
      </c>
    </row>
    <row r="148" spans="1:6" x14ac:dyDescent="0.25">
      <c r="A148" t="s">
        <v>83</v>
      </c>
      <c r="B148" t="s">
        <v>478</v>
      </c>
      <c r="C148" s="1">
        <v>45478</v>
      </c>
      <c r="D148" s="29">
        <v>26502.47</v>
      </c>
      <c r="E148" s="29">
        <f>IFERROR(VLOOKUP(B148,'РП (расш)'!A:G,7,0),"")</f>
        <v>246429.46</v>
      </c>
      <c r="F148" t="str">
        <f ca="1">IF(B148="","",IF(B148&gt;0,IFERROR(IF(VLOOKUP(LEFT(B148,10),[2]Лист1!$A:$A,1,0)&gt;0,"КО"),IF(E148="","погашен",IF(B148&gt;0,IFERROR(IF(VLOOKUP(B148,'реестр просрочников'!B:B,1,0)&gt;0,"просрочен",),IF(TODAY()&gt;C148,"оплачен","грядет")),"")))))</f>
        <v>оплачен</v>
      </c>
    </row>
    <row r="149" spans="1:6" x14ac:dyDescent="0.25">
      <c r="A149" t="s">
        <v>378</v>
      </c>
      <c r="B149" t="s">
        <v>603</v>
      </c>
      <c r="C149" s="1">
        <v>45478</v>
      </c>
      <c r="D149" s="29">
        <v>18976.150000000001</v>
      </c>
      <c r="E149" s="29">
        <f>IFERROR(VLOOKUP(B149,'РП (расш)'!A:G,7,0),"")</f>
        <v>48912.9</v>
      </c>
      <c r="F149" t="str">
        <f ca="1">IF(B149="","",IF(B149&gt;0,IFERROR(IF(VLOOKUP(LEFT(B149,10),[2]Лист1!$A:$A,1,0)&gt;0,"КО"),IF(E149="","погашен",IF(B149&gt;0,IFERROR(IF(VLOOKUP(B149,'реестр просрочников'!B:B,1,0)&gt;0,"просрочен",),IF(TODAY()&gt;C149,"оплачен","грядет")),"")))))</f>
        <v>КО</v>
      </c>
    </row>
    <row r="150" spans="1:6" x14ac:dyDescent="0.25">
      <c r="A150" t="s">
        <v>236</v>
      </c>
      <c r="B150" t="s">
        <v>569</v>
      </c>
      <c r="C150" s="1">
        <v>45478</v>
      </c>
      <c r="D150" s="29">
        <v>640.47</v>
      </c>
      <c r="E150" s="29">
        <f>IFERROR(VLOOKUP(B150,'РП (расш)'!A:G,7,0),"")</f>
        <v>5053.74</v>
      </c>
      <c r="F150" t="str">
        <f ca="1">IF(B150="","",IF(B150&gt;0,IFERROR(IF(VLOOKUP(LEFT(B150,10),[2]Лист1!$A:$A,1,0)&gt;0,"КО"),IF(E150="","погашен",IF(B150&gt;0,IFERROR(IF(VLOOKUP(B150,'реестр просрочников'!B:B,1,0)&gt;0,"просрочен",),IF(TODAY()&gt;C150,"оплачен","грядет")),"")))))</f>
        <v>оплачен</v>
      </c>
    </row>
    <row r="151" spans="1:6" x14ac:dyDescent="0.25">
      <c r="A151" t="s">
        <v>212</v>
      </c>
      <c r="B151" t="s">
        <v>549</v>
      </c>
      <c r="C151" s="1">
        <v>45478</v>
      </c>
      <c r="D151" s="29">
        <v>3543.79</v>
      </c>
      <c r="E151" s="29" t="str">
        <f>IFERROR(VLOOKUP(B151,'РП (расш)'!A:G,7,0),"")</f>
        <v/>
      </c>
      <c r="F151" t="str">
        <f ca="1">IF(B151="","",IF(B151&gt;0,IFERROR(IF(VLOOKUP(LEFT(B151,10),[2]Лист1!$A:$A,1,0)&gt;0,"КО"),IF(E151="","погашен",IF(B151&gt;0,IFERROR(IF(VLOOKUP(B151,'реестр просрочников'!B:B,1,0)&gt;0,"просрочен",),IF(TODAY()&gt;C151,"оплачен","грядет")),"")))))</f>
        <v>погашен</v>
      </c>
    </row>
    <row r="152" spans="1:6" x14ac:dyDescent="0.25">
      <c r="A152" t="s">
        <v>188</v>
      </c>
      <c r="B152" t="s">
        <v>521</v>
      </c>
      <c r="C152" s="1">
        <v>45479</v>
      </c>
      <c r="D152" s="29">
        <v>10011.07</v>
      </c>
      <c r="E152" s="29">
        <f>IFERROR(VLOOKUP(B152,'РП (расш)'!A:G,7,0),"")</f>
        <v>44250.31</v>
      </c>
      <c r="F152" t="str">
        <f ca="1">IF(B152="","",IF(B152&gt;0,IFERROR(IF(VLOOKUP(LEFT(B152,10),[2]Лист1!$A:$A,1,0)&gt;0,"КО"),IF(E152="","погашен",IF(B152&gt;0,IFERROR(IF(VLOOKUP(B152,'реестр просрочников'!B:B,1,0)&gt;0,"просрочен",),IF(TODAY()&gt;C152,"оплачен","грядет")),"")))))</f>
        <v>оплачен</v>
      </c>
    </row>
    <row r="153" spans="1:6" x14ac:dyDescent="0.25">
      <c r="A153" t="s">
        <v>283</v>
      </c>
      <c r="B153" t="s">
        <v>590</v>
      </c>
      <c r="C153" s="1">
        <v>45479</v>
      </c>
      <c r="D153" s="29">
        <v>11131.95</v>
      </c>
      <c r="E153" s="29">
        <f>IFERROR(VLOOKUP(B153,'РП (расш)'!A:G,7,0),"")</f>
        <v>125672.54</v>
      </c>
      <c r="F153" t="str">
        <f ca="1">IF(B153="","",IF(B153&gt;0,IFERROR(IF(VLOOKUP(LEFT(B153,10),[2]Лист1!$A:$A,1,0)&gt;0,"КО"),IF(E153="","погашен",IF(B153&gt;0,IFERROR(IF(VLOOKUP(B153,'реестр просрочников'!B:B,1,0)&gt;0,"просрочен",),IF(TODAY()&gt;C153,"оплачен","грядет")),"")))))</f>
        <v>оплачен</v>
      </c>
    </row>
    <row r="154" spans="1:6" x14ac:dyDescent="0.25">
      <c r="A154" t="s">
        <v>276</v>
      </c>
      <c r="B154" t="s">
        <v>585</v>
      </c>
      <c r="C154" s="1">
        <v>45479</v>
      </c>
      <c r="D154" s="29">
        <v>48224.05</v>
      </c>
      <c r="E154" s="29">
        <f>IFERROR(VLOOKUP(B154,'РП (расш)'!A:G,7,0),"")</f>
        <v>575970.86</v>
      </c>
      <c r="F154" t="str">
        <f ca="1">IF(B154="","",IF(B154&gt;0,IFERROR(IF(VLOOKUP(LEFT(B154,10),[2]Лист1!$A:$A,1,0)&gt;0,"КО"),IF(E154="","погашен",IF(B154&gt;0,IFERROR(IF(VLOOKUP(B154,'реестр просрочников'!B:B,1,0)&gt;0,"просрочен",),IF(TODAY()&gt;C154,"оплачен","грядет")),"")))))</f>
        <v>оплачен</v>
      </c>
    </row>
    <row r="155" spans="1:6" x14ac:dyDescent="0.25">
      <c r="A155" t="s">
        <v>231</v>
      </c>
      <c r="B155" t="s">
        <v>504</v>
      </c>
      <c r="C155" s="1">
        <v>45479</v>
      </c>
      <c r="D155" s="29">
        <v>12125.59</v>
      </c>
      <c r="E155" s="29">
        <f>IFERROR(VLOOKUP(B155,'РП (расш)'!A:G,7,0),"")</f>
        <v>150635.01</v>
      </c>
      <c r="F155" t="str">
        <f ca="1">IF(B155="","",IF(B155&gt;0,IFERROR(IF(VLOOKUP(LEFT(B155,10),[2]Лист1!$A:$A,1,0)&gt;0,"КО"),IF(E155="","погашен",IF(B155&gt;0,IFERROR(IF(VLOOKUP(B155,'реестр просрочников'!B:B,1,0)&gt;0,"просрочен",),IF(TODAY()&gt;C155,"оплачен","грядет")),"")))))</f>
        <v>оплачен</v>
      </c>
    </row>
    <row r="156" spans="1:6" x14ac:dyDescent="0.25">
      <c r="A156" t="s">
        <v>151</v>
      </c>
      <c r="B156" t="s">
        <v>530</v>
      </c>
      <c r="C156" s="1">
        <v>45479</v>
      </c>
      <c r="D156" s="29">
        <v>5531.84</v>
      </c>
      <c r="E156" s="29">
        <f>IFERROR(VLOOKUP(B156,'РП (расш)'!A:G,7,0),"")</f>
        <v>39804.33</v>
      </c>
      <c r="F156" t="str">
        <f ca="1">IF(B156="","",IF(B156&gt;0,IFERROR(IF(VLOOKUP(LEFT(B156,10),[2]Лист1!$A:$A,1,0)&gt;0,"КО"),IF(E156="","погашен",IF(B156&gt;0,IFERROR(IF(VLOOKUP(B156,'реестр просрочников'!B:B,1,0)&gt;0,"просрочен",),IF(TODAY()&gt;C156,"оплачен","грядет")),"")))))</f>
        <v>оплачен</v>
      </c>
    </row>
    <row r="157" spans="1:6" x14ac:dyDescent="0.25">
      <c r="A157" t="s">
        <v>277</v>
      </c>
      <c r="B157" t="s">
        <v>619</v>
      </c>
      <c r="C157" s="1">
        <v>45480</v>
      </c>
      <c r="D157" s="29">
        <v>6606.07</v>
      </c>
      <c r="E157" s="29">
        <f>IFERROR(VLOOKUP(B157,'РП (расш)'!A:G,7,0),"")</f>
        <v>107547.4</v>
      </c>
      <c r="F157" t="str">
        <f ca="1">IF(B157="","",IF(B157&gt;0,IFERROR(IF(VLOOKUP(LEFT(B157,10),[2]Лист1!$A:$A,1,0)&gt;0,"КО"),IF(E157="","погашен",IF(B157&gt;0,IFERROR(IF(VLOOKUP(B157,'реестр просрочников'!B:B,1,0)&gt;0,"просрочен",),IF(TODAY()&gt;C157,"оплачен","грядет")),"")))))</f>
        <v>оплачен</v>
      </c>
    </row>
    <row r="158" spans="1:6" x14ac:dyDescent="0.25">
      <c r="A158" t="s">
        <v>379</v>
      </c>
      <c r="B158" t="s">
        <v>477</v>
      </c>
      <c r="C158" s="1">
        <v>45480</v>
      </c>
      <c r="D158" s="29">
        <v>34154.120000000003</v>
      </c>
      <c r="E158" s="29">
        <f>IFERROR(VLOOKUP(B158,'РП (расш)'!A:G,7,0),"")</f>
        <v>475359.11</v>
      </c>
      <c r="F158" t="str">
        <f ca="1">IF(B158="","",IF(B158&gt;0,IFERROR(IF(VLOOKUP(LEFT(B158,10),[2]Лист1!$A:$A,1,0)&gt;0,"КО"),IF(E158="","погашен",IF(B158&gt;0,IFERROR(IF(VLOOKUP(B158,'реестр просрочников'!B:B,1,0)&gt;0,"просрочен",),IF(TODAY()&gt;C158,"оплачен","грядет")),"")))))</f>
        <v>КО</v>
      </c>
    </row>
    <row r="159" spans="1:6" x14ac:dyDescent="0.25">
      <c r="A159" t="s">
        <v>53</v>
      </c>
      <c r="B159" t="s">
        <v>487</v>
      </c>
      <c r="C159" s="1">
        <v>45480</v>
      </c>
      <c r="D159" s="29">
        <v>9353.31</v>
      </c>
      <c r="E159" s="29" t="str">
        <f>IFERROR(VLOOKUP(B159,'РП (расш)'!A:G,7,0),"")</f>
        <v/>
      </c>
      <c r="F159" t="str">
        <f ca="1">IF(B159="","",IF(B159&gt;0,IFERROR(IF(VLOOKUP(LEFT(B159,10),[2]Лист1!$A:$A,1,0)&gt;0,"КО"),IF(E159="","погашен",IF(B159&gt;0,IFERROR(IF(VLOOKUP(B159,'реестр просрочников'!B:B,1,0)&gt;0,"просрочен",),IF(TODAY()&gt;C159,"оплачен","грядет")),"")))))</f>
        <v>погашен</v>
      </c>
    </row>
    <row r="160" spans="1:6" x14ac:dyDescent="0.25">
      <c r="A160" t="s">
        <v>200</v>
      </c>
      <c r="B160" t="s">
        <v>534</v>
      </c>
      <c r="C160" s="1">
        <v>45480</v>
      </c>
      <c r="D160" s="29">
        <v>6551.44</v>
      </c>
      <c r="E160" s="29">
        <f>IFERROR(VLOOKUP(B160,'РП (расш)'!A:G,7,0),"")</f>
        <v>27637.18</v>
      </c>
      <c r="F160" t="str">
        <f ca="1">IF(B160="","",IF(B160&gt;0,IFERROR(IF(VLOOKUP(LEFT(B160,10),[2]Лист1!$A:$A,1,0)&gt;0,"КО"),IF(E160="","погашен",IF(B160&gt;0,IFERROR(IF(VLOOKUP(B160,'реестр просрочников'!B:B,1,0)&gt;0,"просрочен",),IF(TODAY()&gt;C160,"оплачен","грядет")),"")))))</f>
        <v>оплачен</v>
      </c>
    </row>
    <row r="161" spans="1:6" x14ac:dyDescent="0.25">
      <c r="A161" t="s">
        <v>22</v>
      </c>
      <c r="B161" t="s">
        <v>533</v>
      </c>
      <c r="C161" s="1">
        <v>45480</v>
      </c>
      <c r="D161" s="29">
        <v>5599.06</v>
      </c>
      <c r="E161" s="29">
        <f>IFERROR(VLOOKUP(B161,'РП (расш)'!A:G,7,0),"")</f>
        <v>29152.33</v>
      </c>
      <c r="F161" t="str">
        <f ca="1">IF(B161="","",IF(B161&gt;0,IFERROR(IF(VLOOKUP(LEFT(B161,10),[2]Лист1!$A:$A,1,0)&gt;0,"КО"),IF(E161="","погашен",IF(B161&gt;0,IFERROR(IF(VLOOKUP(B161,'реестр просрочников'!B:B,1,0)&gt;0,"просрочен",),IF(TODAY()&gt;C161,"оплачен","грядет")),"")))))</f>
        <v>оплачен</v>
      </c>
    </row>
    <row r="162" spans="1:6" x14ac:dyDescent="0.25">
      <c r="A162" t="s">
        <v>166</v>
      </c>
      <c r="B162" t="s">
        <v>483</v>
      </c>
      <c r="C162" s="1">
        <v>45481</v>
      </c>
      <c r="D162" s="29">
        <v>74580.59</v>
      </c>
      <c r="E162" s="29">
        <f>IFERROR(VLOOKUP(B162,'РП (расш)'!A:G,7,0),"")</f>
        <v>742627.39</v>
      </c>
      <c r="F162" t="str">
        <f ca="1">IF(B162="","",IF(B162&gt;0,IFERROR(IF(VLOOKUP(LEFT(B162,10),[2]Лист1!$A:$A,1,0)&gt;0,"КО"),IF(E162="","погашен",IF(B162&gt;0,IFERROR(IF(VLOOKUP(B162,'реестр просрочников'!B:B,1,0)&gt;0,"просрочен",),IF(TODAY()&gt;C162,"оплачен","грядет")),"")))))</f>
        <v>КО</v>
      </c>
    </row>
    <row r="163" spans="1:6" x14ac:dyDescent="0.25">
      <c r="A163" t="s">
        <v>395</v>
      </c>
      <c r="B163" t="s">
        <v>394</v>
      </c>
      <c r="C163" s="1">
        <v>45481</v>
      </c>
      <c r="D163" s="29">
        <v>7275.35</v>
      </c>
      <c r="E163" s="29">
        <f>IFERROR(VLOOKUP(B163,'РП (расш)'!A:G,7,0),"")</f>
        <v>118573.92</v>
      </c>
      <c r="F163" t="str">
        <f ca="1">IF(B163="","",IF(B163&gt;0,IFERROR(IF(VLOOKUP(LEFT(B163,10),[2]Лист1!$A:$A,1,0)&gt;0,"КО"),IF(E163="","погашен",IF(B163&gt;0,IFERROR(IF(VLOOKUP(B163,'реестр просрочников'!B:B,1,0)&gt;0,"просрочен",),IF(TODAY()&gt;C163,"оплачен","грядет")),"")))))</f>
        <v>КО</v>
      </c>
    </row>
    <row r="164" spans="1:6" x14ac:dyDescent="0.25">
      <c r="A164" t="s">
        <v>201</v>
      </c>
      <c r="B164" t="s">
        <v>536</v>
      </c>
      <c r="C164" s="1">
        <v>45481</v>
      </c>
      <c r="D164" s="29">
        <v>7778.33</v>
      </c>
      <c r="E164" s="29">
        <f>IFERROR(VLOOKUP(B164,'РП (расш)'!A:G,7,0),"")</f>
        <v>66231.31</v>
      </c>
      <c r="F164" t="str">
        <f ca="1">IF(B164="","",IF(B164&gt;0,IFERROR(IF(VLOOKUP(LEFT(B164,10),[2]Лист1!$A:$A,1,0)&gt;0,"КО"),IF(E164="","погашен",IF(B164&gt;0,IFERROR(IF(VLOOKUP(B164,'реестр просрочников'!B:B,1,0)&gt;0,"просрочен",),IF(TODAY()&gt;C164,"оплачен","грядет")),"")))))</f>
        <v>оплачен</v>
      </c>
    </row>
    <row r="165" spans="1:6" x14ac:dyDescent="0.25">
      <c r="A165" t="s">
        <v>208</v>
      </c>
      <c r="B165" t="s">
        <v>545</v>
      </c>
      <c r="C165" s="1">
        <v>45482</v>
      </c>
      <c r="D165" s="29">
        <v>6536.42</v>
      </c>
      <c r="E165" s="29">
        <f>IFERROR(VLOOKUP(B165,'РП (расш)'!A:G,7,0),"")</f>
        <v>30048.07</v>
      </c>
      <c r="F165" t="str">
        <f ca="1">IF(B165="","",IF(B165&gt;0,IFERROR(IF(VLOOKUP(LEFT(B165,10),[2]Лист1!$A:$A,1,0)&gt;0,"КО"),IF(E165="","погашен",IF(B165&gt;0,IFERROR(IF(VLOOKUP(B165,'реестр просрочников'!B:B,1,0)&gt;0,"просрочен",),IF(TODAY()&gt;C165,"оплачен","грядет")),"")))))</f>
        <v>оплачен</v>
      </c>
    </row>
    <row r="166" spans="1:6" x14ac:dyDescent="0.25">
      <c r="A166" t="s">
        <v>329</v>
      </c>
      <c r="B166" t="s">
        <v>408</v>
      </c>
      <c r="C166" s="1">
        <v>45482</v>
      </c>
      <c r="D166" s="29">
        <v>54732.2</v>
      </c>
      <c r="E166" s="29">
        <f>IFERROR(VLOOKUP(B166,'РП (расш)'!A:G,7,0),"")</f>
        <v>915534.29</v>
      </c>
      <c r="F166" t="str">
        <f ca="1">IF(B166="","",IF(B166&gt;0,IFERROR(IF(VLOOKUP(LEFT(B166,10),[2]Лист1!$A:$A,1,0)&gt;0,"КО"),IF(E166="","погашен",IF(B166&gt;0,IFERROR(IF(VLOOKUP(B166,'реестр просрочников'!B:B,1,0)&gt;0,"просрочен",),IF(TODAY()&gt;C166,"оплачен","грядет")),"")))))</f>
        <v>КО</v>
      </c>
    </row>
    <row r="167" spans="1:6" x14ac:dyDescent="0.25">
      <c r="A167" t="s">
        <v>167</v>
      </c>
      <c r="B167" t="s">
        <v>577</v>
      </c>
      <c r="C167" s="1">
        <v>45482</v>
      </c>
      <c r="D167" s="29">
        <v>4850.24</v>
      </c>
      <c r="E167" s="29">
        <f>IFERROR(VLOOKUP(B167,'РП (расш)'!A:G,7,0),"")</f>
        <v>58200.9</v>
      </c>
      <c r="F167" t="str">
        <f ca="1">IF(B167="","",IF(B167&gt;0,IFERROR(IF(VLOOKUP(LEFT(B167,10),[2]Лист1!$A:$A,1,0)&gt;0,"КО"),IF(E167="","погашен",IF(B167&gt;0,IFERROR(IF(VLOOKUP(B167,'реестр просрочников'!B:B,1,0)&gt;0,"просрочен",),IF(TODAY()&gt;C167,"оплачен","грядет")),"")))))</f>
        <v>оплачен</v>
      </c>
    </row>
    <row r="168" spans="1:6" x14ac:dyDescent="0.25">
      <c r="A168" t="s">
        <v>231</v>
      </c>
      <c r="B168" t="s">
        <v>505</v>
      </c>
      <c r="C168" s="1">
        <v>45482</v>
      </c>
      <c r="D168" s="29">
        <v>14550.71</v>
      </c>
      <c r="E168" s="29">
        <f>IFERROR(VLOOKUP(B168,'РП (расш)'!A:G,7,0),"")</f>
        <v>180761.92</v>
      </c>
      <c r="F168" t="str">
        <f ca="1">IF(B168="","",IF(B168&gt;0,IFERROR(IF(VLOOKUP(LEFT(B168,10),[2]Лист1!$A:$A,1,0)&gt;0,"КО"),IF(E168="","погашен",IF(B168&gt;0,IFERROR(IF(VLOOKUP(B168,'реестр просрочников'!B:B,1,0)&gt;0,"просрочен",),IF(TODAY()&gt;C168,"оплачен","грядет")),"")))))</f>
        <v>оплачен</v>
      </c>
    </row>
    <row r="169" spans="1:6" x14ac:dyDescent="0.25">
      <c r="A169" t="s">
        <v>383</v>
      </c>
      <c r="B169" t="s">
        <v>382</v>
      </c>
      <c r="C169" s="1">
        <v>45482</v>
      </c>
      <c r="D169" s="29">
        <v>23121.33</v>
      </c>
      <c r="E169" s="29">
        <f>IFERROR(VLOOKUP(B169,'РП (расш)'!A:G,7,0),"")</f>
        <v>281706.62</v>
      </c>
      <c r="F169" t="str">
        <f ca="1">IF(B169="","",IF(B169&gt;0,IFERROR(IF(VLOOKUP(LEFT(B169,10),[2]Лист1!$A:$A,1,0)&gt;0,"КО"),IF(E169="","погашен",IF(B169&gt;0,IFERROR(IF(VLOOKUP(B169,'реестр просрочников'!B:B,1,0)&gt;0,"просрочен",),IF(TODAY()&gt;C169,"оплачен","грядет")),"")))))</f>
        <v>КО</v>
      </c>
    </row>
    <row r="170" spans="1:6" x14ac:dyDescent="0.25">
      <c r="A170" t="s">
        <v>393</v>
      </c>
      <c r="B170" t="s">
        <v>396</v>
      </c>
      <c r="C170" s="1">
        <v>45482</v>
      </c>
      <c r="D170" s="29">
        <v>31755.91</v>
      </c>
      <c r="E170" s="29">
        <f>IFERROR(VLOOKUP(B170,'РП (расш)'!A:G,7,0),"")</f>
        <v>422614.63</v>
      </c>
      <c r="F170" t="str">
        <f ca="1">IF(B170="","",IF(B170&gt;0,IFERROR(IF(VLOOKUP(LEFT(B170,10),[2]Лист1!$A:$A,1,0)&gt;0,"КО"),IF(E170="","погашен",IF(B170&gt;0,IFERROR(IF(VLOOKUP(B170,'реестр просрочников'!B:B,1,0)&gt;0,"просрочен",),IF(TODAY()&gt;C170,"оплачен","грядет")),"")))))</f>
        <v>КО</v>
      </c>
    </row>
    <row r="171" spans="1:6" x14ac:dyDescent="0.25">
      <c r="A171" t="s">
        <v>3</v>
      </c>
      <c r="C171" s="1"/>
      <c r="D171" s="29">
        <v>3166807.69</v>
      </c>
      <c r="E171" s="29" t="str">
        <f>IFERROR(VLOOKUP(B171,'РП (расш)'!A:G,7,0),"")</f>
        <v/>
      </c>
      <c r="F171" t="str">
        <f ca="1">IF(B171="","",IF(B171&gt;0,IFERROR(IF(VLOOKUP(LEFT(B171,10),[2]Лист1!$A:$A,1,0)&gt;0,"КО"),IF(E171="","погашен",IF(B171&gt;0,IFERROR(IF(VLOOKUP(B171,'реестр просрочников'!B:B,1,0)&gt;0,"просрочен",),IF(TODAY()&gt;C171,"оплачен","грядет")),"")))))</f>
        <v/>
      </c>
    </row>
    <row r="172" spans="1:6" x14ac:dyDescent="0.25">
      <c r="C172" s="1"/>
      <c r="E172" s="29" t="str">
        <f>IFERROR(VLOOKUP(B172,'РП (расш)'!A:G,7,0),"")</f>
        <v/>
      </c>
      <c r="F172" t="str">
        <f ca="1">IF(B172="","",IF(B172&gt;0,IFERROR(IF(VLOOKUP(LEFT(B172,10),[2]Лист1!$A:$A,1,0)&gt;0,"КО"),IF(E172="","погашен",IF(B172&gt;0,IFERROR(IF(VLOOKUP(B172,'реестр просрочников'!B:B,1,0)&gt;0,"просрочен",),IF(TODAY()&gt;C172,"оплачен","грядет")),"")))))</f>
        <v/>
      </c>
    </row>
    <row r="173" spans="1:6" x14ac:dyDescent="0.25">
      <c r="C173" s="1"/>
      <c r="E173" s="29" t="str">
        <f>IFERROR(VLOOKUP(B173,'РП (расш)'!A:G,7,0),"")</f>
        <v/>
      </c>
      <c r="F173" t="str">
        <f ca="1">IF(B173="","",IF(B173&gt;0,IFERROR(IF(VLOOKUP(LEFT(B173,10),[2]Лист1!$A:$A,1,0)&gt;0,"КО"),IF(E173="","погашен",IF(B173&gt;0,IFERROR(IF(VLOOKUP(B173,'реестр просрочников'!B:B,1,0)&gt;0,"просрочен",),IF(TODAY()&gt;C173,"оплачен","грядет")),"")))))</f>
        <v/>
      </c>
    </row>
    <row r="174" spans="1:6" x14ac:dyDescent="0.25">
      <c r="C174" s="1"/>
      <c r="E174" s="29" t="str">
        <f>IFERROR(VLOOKUP(B174,'РП (расш)'!A:G,7,0),"")</f>
        <v/>
      </c>
      <c r="F174" t="str">
        <f ca="1">IF(B174="","",IF(B174&gt;0,IFERROR(IF(VLOOKUP(LEFT(B174,10),[2]Лист1!$A:$A,1,0)&gt;0,"КО"),IF(E174="","погашен",IF(B174&gt;0,IFERROR(IF(VLOOKUP(B174,'реестр просрочников'!B:B,1,0)&gt;0,"просрочен",),IF(TODAY()&gt;C174,"оплачен","грядет")),"")))))</f>
        <v/>
      </c>
    </row>
    <row r="175" spans="1:6" x14ac:dyDescent="0.25">
      <c r="C175" s="1"/>
      <c r="E175" s="29" t="str">
        <f>IFERROR(VLOOKUP(B175,'РП (расш)'!A:G,7,0),"")</f>
        <v/>
      </c>
      <c r="F175" t="str">
        <f ca="1">IF(B175="","",IF(B175&gt;0,IFERROR(IF(VLOOKUP(LEFT(B175,10),[2]Лист1!$A:$A,1,0)&gt;0,"КО"),IF(E175="","погашен",IF(B175&gt;0,IFERROR(IF(VLOOKUP(B175,'реестр просрочников'!B:B,1,0)&gt;0,"просрочен",),IF(TODAY()&gt;C175,"оплачен","грядет")),"")))))</f>
        <v/>
      </c>
    </row>
    <row r="176" spans="1:6" x14ac:dyDescent="0.25">
      <c r="C176" s="1"/>
      <c r="E176" s="29" t="str">
        <f>IFERROR(VLOOKUP(B176,'РП (расш)'!A:G,7,0),"")</f>
        <v/>
      </c>
      <c r="F176" t="str">
        <f ca="1">IF(B176="","",IF(B176&gt;0,IFERROR(IF(VLOOKUP(LEFT(B176,10),[2]Лист1!$A:$A,1,0)&gt;0,"КО"),IF(E176="","погашен",IF(B176&gt;0,IFERROR(IF(VLOOKUP(B176,'реестр просрочников'!B:B,1,0)&gt;0,"просрочен",),IF(TODAY()&gt;C176,"оплачен","грядет")),"")))))</f>
        <v/>
      </c>
    </row>
    <row r="177" spans="3:6" x14ac:dyDescent="0.25">
      <c r="C177" s="1"/>
      <c r="E177" s="29" t="str">
        <f>IFERROR(VLOOKUP(B177,'РП (расш)'!A:G,7,0),"")</f>
        <v/>
      </c>
      <c r="F177" t="str">
        <f ca="1">IF(B177="","",IF(B177&gt;0,IFERROR(IF(VLOOKUP(LEFT(B177,10),[2]Лист1!$A:$A,1,0)&gt;0,"КО"),IF(E177="","погашен",IF(B177&gt;0,IFERROR(IF(VLOOKUP(B177,'реестр просрочников'!B:B,1,0)&gt;0,"просрочен",),IF(TODAY()&gt;C177,"оплачен","грядет")),"")))))</f>
        <v/>
      </c>
    </row>
    <row r="178" spans="3:6" x14ac:dyDescent="0.25">
      <c r="C178" s="1"/>
      <c r="E178" s="29" t="str">
        <f>IFERROR(VLOOKUP(B178,'РП (расш)'!A:G,7,0),"")</f>
        <v/>
      </c>
      <c r="F178" t="str">
        <f ca="1">IF(B178="","",IF(B178&gt;0,IFERROR(IF(VLOOKUP(LEFT(B178,10),[2]Лист1!$A:$A,1,0)&gt;0,"КО"),IF(E178="","погашен",IF(B178&gt;0,IFERROR(IF(VLOOKUP(B178,'реестр просрочников'!B:B,1,0)&gt;0,"просрочен",),IF(TODAY()&gt;C178,"оплачен","грядет")),"")))))</f>
        <v/>
      </c>
    </row>
    <row r="179" spans="3:6" x14ac:dyDescent="0.25">
      <c r="C179" s="1"/>
      <c r="E179" s="29" t="str">
        <f>IFERROR(VLOOKUP(B179,'РП (расш)'!A:G,7,0),"")</f>
        <v/>
      </c>
      <c r="F179" t="str">
        <f ca="1">IF(B179="","",IF(B179&gt;0,IFERROR(IF(VLOOKUP(LEFT(B179,10),[2]Лист1!$A:$A,1,0)&gt;0,"КО"),IF(E179="","погашен",IF(B179&gt;0,IFERROR(IF(VLOOKUP(B179,'реестр просрочников'!B:B,1,0)&gt;0,"просрочен",),IF(TODAY()&gt;C179,"оплачен","грядет")),"")))))</f>
        <v/>
      </c>
    </row>
    <row r="180" spans="3:6" x14ac:dyDescent="0.25">
      <c r="C180" s="1"/>
      <c r="E180" s="29" t="str">
        <f>IFERROR(VLOOKUP(B180,'РП (расш)'!A:G,7,0),"")</f>
        <v/>
      </c>
      <c r="F180" t="str">
        <f ca="1">IF(B180="","",IF(B180&gt;0,IFERROR(IF(VLOOKUP(LEFT(B180,10),[2]Лист1!$A:$A,1,0)&gt;0,"КО"),IF(E180="","погашен",IF(B180&gt;0,IFERROR(IF(VLOOKUP(B180,'реестр просрочников'!B:B,1,0)&gt;0,"просрочен",),IF(TODAY()&gt;C180,"оплачен","грядет")),"")))))</f>
        <v/>
      </c>
    </row>
    <row r="181" spans="3:6" x14ac:dyDescent="0.25">
      <c r="C181" s="1"/>
      <c r="E181" s="29" t="str">
        <f>IFERROR(VLOOKUP(B181,'РП (расш)'!A:G,7,0),"")</f>
        <v/>
      </c>
      <c r="F181" t="str">
        <f ca="1">IF(B181="","",IF(B181&gt;0,IFERROR(IF(VLOOKUP(LEFT(B181,10),[2]Лист1!$A:$A,1,0)&gt;0,"КО"),IF(E181="","погашен",IF(B181&gt;0,IFERROR(IF(VLOOKUP(B181,'реестр просрочников'!B:B,1,0)&gt;0,"просрочен",),IF(TODAY()&gt;C181,"оплачен","грядет")),"")))))</f>
        <v/>
      </c>
    </row>
    <row r="182" spans="3:6" x14ac:dyDescent="0.25">
      <c r="C182" s="1"/>
      <c r="E182" s="29" t="str">
        <f>IFERROR(VLOOKUP(B182,'РП (расш)'!A:G,7,0),"")</f>
        <v/>
      </c>
      <c r="F182" t="str">
        <f ca="1">IF(B182="","",IF(B182&gt;0,IFERROR(IF(VLOOKUP(LEFT(B182,10),[2]Лист1!$A:$A,1,0)&gt;0,"КО"),IF(E182="","погашен",IF(B182&gt;0,IFERROR(IF(VLOOKUP(B182,'реестр просрочников'!B:B,1,0)&gt;0,"просрочен",),IF(TODAY()&gt;C182,"оплачен","грядет")),"")))))</f>
        <v/>
      </c>
    </row>
    <row r="183" spans="3:6" x14ac:dyDescent="0.25">
      <c r="C183" s="1"/>
      <c r="E183" s="29" t="str">
        <f>IFERROR(VLOOKUP(B183,'РП (расш)'!A:G,7,0),"")</f>
        <v/>
      </c>
      <c r="F183" t="str">
        <f ca="1">IF(B183="","",IF(B183&gt;0,IFERROR(IF(VLOOKUP(LEFT(B183,10),[2]Лист1!$A:$A,1,0)&gt;0,"КО"),IF(E183="","погашен",IF(B183&gt;0,IFERROR(IF(VLOOKUP(B183,'реестр просрочников'!B:B,1,0)&gt;0,"просрочен",),IF(TODAY()&gt;C183,"оплачен","грядет")),"")))))</f>
        <v/>
      </c>
    </row>
    <row r="184" spans="3:6" x14ac:dyDescent="0.25">
      <c r="C184" s="1"/>
      <c r="E184" s="29" t="str">
        <f>IFERROR(VLOOKUP(B184,'РП (расш)'!A:G,7,0),"")</f>
        <v/>
      </c>
      <c r="F184" t="str">
        <f ca="1">IF(B184="","",IF(B184&gt;0,IFERROR(IF(VLOOKUP(LEFT(B184,10),[2]Лист1!$A:$A,1,0)&gt;0,"КО"),IF(E184="","погашен",IF(B184&gt;0,IFERROR(IF(VLOOKUP(B184,'реестр просрочников'!B:B,1,0)&gt;0,"просрочен",),IF(TODAY()&gt;C184,"оплачен","грядет")),"")))))</f>
        <v/>
      </c>
    </row>
    <row r="185" spans="3:6" x14ac:dyDescent="0.25">
      <c r="C185" s="1"/>
      <c r="E185" s="29" t="str">
        <f>IFERROR(VLOOKUP(B185,'РП (расш)'!A:G,7,0),"")</f>
        <v/>
      </c>
      <c r="F185" t="str">
        <f ca="1">IF(B185="","",IF(B185&gt;0,IFERROR(IF(VLOOKUP(LEFT(B185,10),[2]Лист1!$A:$A,1,0)&gt;0,"КО"),IF(E185="","погашен",IF(B185&gt;0,IFERROR(IF(VLOOKUP(B185,'реестр просрочников'!B:B,1,0)&gt;0,"просрочен",),IF(TODAY()&gt;C185,"оплачен","грядет")),"")))))</f>
        <v/>
      </c>
    </row>
    <row r="186" spans="3:6" x14ac:dyDescent="0.25">
      <c r="C186" s="1"/>
      <c r="E186" s="29" t="str">
        <f>IFERROR(VLOOKUP(B186,'РП (расш)'!A:G,7,0),"")</f>
        <v/>
      </c>
      <c r="F186" t="str">
        <f ca="1">IF(B186="","",IF(B186&gt;0,IFERROR(IF(VLOOKUP(LEFT(B186,10),[2]Лист1!$A:$A,1,0)&gt;0,"КО"),IF(E186="","погашен",IF(B186&gt;0,IFERROR(IF(VLOOKUP(B186,'реестр просрочников'!B:B,1,0)&gt;0,"просрочен",),IF(TODAY()&gt;C186,"оплачен","грядет")),"")))))</f>
        <v/>
      </c>
    </row>
    <row r="187" spans="3:6" x14ac:dyDescent="0.25">
      <c r="C187" s="1"/>
      <c r="E187" s="29" t="str">
        <f>IFERROR(VLOOKUP(B187,'РП (расш)'!A:G,7,0),"")</f>
        <v/>
      </c>
      <c r="F187" t="str">
        <f ca="1">IF(B187="","",IF(B187&gt;0,IFERROR(IF(VLOOKUP(LEFT(B187,10),[2]Лист1!$A:$A,1,0)&gt;0,"КО"),IF(E187="","погашен",IF(B187&gt;0,IFERROR(IF(VLOOKUP(B187,'реестр просрочников'!B:B,1,0)&gt;0,"просрочен",),IF(TODAY()&gt;C187,"оплачен","грядет")),"")))))</f>
        <v/>
      </c>
    </row>
    <row r="188" spans="3:6" x14ac:dyDescent="0.25">
      <c r="C188" s="1"/>
      <c r="E188" s="29" t="str">
        <f>IFERROR(VLOOKUP(B188,'РП (расш)'!A:G,7,0),"")</f>
        <v/>
      </c>
      <c r="F188" t="str">
        <f ca="1">IF(B188="","",IF(B188&gt;0,IFERROR(IF(VLOOKUP(LEFT(B188,10),[2]Лист1!$A:$A,1,0)&gt;0,"КО"),IF(E188="","погашен",IF(B188&gt;0,IFERROR(IF(VLOOKUP(B188,'реестр просрочников'!B:B,1,0)&gt;0,"просрочен",),IF(TODAY()&gt;C188,"оплачен","грядет")),"")))))</f>
        <v/>
      </c>
    </row>
    <row r="189" spans="3:6" x14ac:dyDescent="0.25">
      <c r="C189" s="1"/>
      <c r="E189" s="29" t="str">
        <f>IFERROR(VLOOKUP(B189,'РП (расш)'!A:G,7,0),"")</f>
        <v/>
      </c>
      <c r="F189" t="str">
        <f ca="1">IF(B189="","",IF(B189&gt;0,IFERROR(IF(VLOOKUP(LEFT(B189,10),[2]Лист1!$A:$A,1,0)&gt;0,"КО"),IF(E189="","погашен",IF(B189&gt;0,IFERROR(IF(VLOOKUP(B189,'реестр просрочников'!B:B,1,0)&gt;0,"просрочен",),IF(TODAY()&gt;C189,"оплачен","грядет")),"")))))</f>
        <v/>
      </c>
    </row>
    <row r="190" spans="3:6" x14ac:dyDescent="0.25">
      <c r="C190" s="1"/>
      <c r="E190" s="29" t="str">
        <f>IFERROR(VLOOKUP(B190,'РП (расш)'!A:G,7,0),"")</f>
        <v/>
      </c>
      <c r="F190" t="str">
        <f ca="1">IF(B190="","",IF(B190&gt;0,IFERROR(IF(VLOOKUP(LEFT(B190,10),[2]Лист1!$A:$A,1,0)&gt;0,"КО"),IF(E190="","погашен",IF(B190&gt;0,IFERROR(IF(VLOOKUP(B190,'реестр просрочников'!B:B,1,0)&gt;0,"просрочен",),IF(TODAY()&gt;C190,"оплачен","грядет")),"")))))</f>
        <v/>
      </c>
    </row>
    <row r="191" spans="3:6" x14ac:dyDescent="0.25">
      <c r="C191" s="1"/>
      <c r="E191" s="29" t="str">
        <f>IFERROR(VLOOKUP(B191,'РП (расш)'!A:G,7,0),"")</f>
        <v/>
      </c>
      <c r="F191" t="str">
        <f ca="1">IF(B191="","",IF(B191&gt;0,IFERROR(IF(VLOOKUP(LEFT(B191,10),[2]Лист1!$A:$A,1,0)&gt;0,"КО"),IF(E191="","погашен",IF(B191&gt;0,IFERROR(IF(VLOOKUP(B191,'реестр просрочников'!B:B,1,0)&gt;0,"просрочен",),IF(TODAY()&gt;C191,"оплачен","грядет")),"")))))</f>
        <v/>
      </c>
    </row>
    <row r="192" spans="3:6" x14ac:dyDescent="0.25">
      <c r="C192" s="1"/>
      <c r="E192" s="29" t="str">
        <f>IFERROR(VLOOKUP(B192,'РП (расш)'!A:G,7,0),"")</f>
        <v/>
      </c>
      <c r="F192" t="str">
        <f ca="1">IF(B192="","",IF(B192&gt;0,IFERROR(IF(VLOOKUP(LEFT(B192,10),[2]Лист1!$A:$A,1,0)&gt;0,"КО"),IF(E192="","погашен",IF(B192&gt;0,IFERROR(IF(VLOOKUP(B192,'реестр просрочников'!B:B,1,0)&gt;0,"просрочен",),IF(TODAY()&gt;C192,"оплачен","грядет")),"")))))</f>
        <v/>
      </c>
    </row>
    <row r="193" spans="3:6" x14ac:dyDescent="0.25">
      <c r="C193" s="1"/>
      <c r="E193" s="29" t="str">
        <f>IFERROR(VLOOKUP(B193,'РП (расш)'!A:G,7,0),"")</f>
        <v/>
      </c>
      <c r="F193" t="str">
        <f ca="1">IF(B193="","",IF(B193&gt;0,IFERROR(IF(VLOOKUP(LEFT(B193,10),[2]Лист1!$A:$A,1,0)&gt;0,"КО"),IF(E193="","погашен",IF(B193&gt;0,IFERROR(IF(VLOOKUP(B193,'реестр просрочников'!B:B,1,0)&gt;0,"просрочен",),IF(TODAY()&gt;C193,"оплачен","грядет")),"")))))</f>
        <v/>
      </c>
    </row>
    <row r="194" spans="3:6" x14ac:dyDescent="0.25">
      <c r="C194" s="1"/>
      <c r="E194" s="29" t="str">
        <f>IFERROR(VLOOKUP(B194,'РП (расш)'!A:G,7,0),"")</f>
        <v/>
      </c>
      <c r="F194" t="str">
        <f ca="1">IF(B194="","",IF(B194&gt;0,IFERROR(IF(VLOOKUP(LEFT(B194,10),[2]Лист1!$A:$A,1,0)&gt;0,"КО"),IF(E194="","погашен",IF(B194&gt;0,IFERROR(IF(VLOOKUP(B194,'реестр просрочников'!B:B,1,0)&gt;0,"просрочен",),IF(TODAY()&gt;C194,"оплачен","грядет")),"")))))</f>
        <v/>
      </c>
    </row>
    <row r="195" spans="3:6" x14ac:dyDescent="0.25">
      <c r="C195" s="1"/>
      <c r="E195" s="29" t="str">
        <f>IFERROR(VLOOKUP(B195,'РП (расш)'!A:G,7,0),"")</f>
        <v/>
      </c>
      <c r="F195" t="str">
        <f ca="1">IF(B195="","",IF(B195&gt;0,IFERROR(IF(VLOOKUP(LEFT(B195,10),[2]Лист1!$A:$A,1,0)&gt;0,"КО"),IF(E195="","погашен",IF(B195&gt;0,IFERROR(IF(VLOOKUP(B195,'реестр просрочников'!B:B,1,0)&gt;0,"просрочен",),IF(TODAY()&gt;C195,"оплачен","грядет")),"")))))</f>
        <v/>
      </c>
    </row>
    <row r="196" spans="3:6" x14ac:dyDescent="0.25">
      <c r="C196" s="1"/>
      <c r="E196" s="29" t="str">
        <f>IFERROR(VLOOKUP(B196,'РП (расш)'!A:G,7,0),"")</f>
        <v/>
      </c>
      <c r="F196" t="str">
        <f ca="1">IF(B196="","",IF(B196&gt;0,IFERROR(IF(VLOOKUP(LEFT(B196,10),[2]Лист1!$A:$A,1,0)&gt;0,"КО"),IF(E196="","погашен",IF(B196&gt;0,IFERROR(IF(VLOOKUP(B196,'реестр просрочников'!B:B,1,0)&gt;0,"просрочен",),IF(TODAY()&gt;C196,"оплачен","грядет")),"")))))</f>
        <v/>
      </c>
    </row>
    <row r="197" spans="3:6" x14ac:dyDescent="0.25">
      <c r="C197" s="1"/>
      <c r="E197" s="29" t="str">
        <f>IFERROR(VLOOKUP(B197,'РП (расш)'!A:G,7,0),"")</f>
        <v/>
      </c>
      <c r="F197" t="str">
        <f ca="1">IF(B197="","",IF(B197&gt;0,IFERROR(IF(VLOOKUP(LEFT(B197,10),[2]Лист1!$A:$A,1,0)&gt;0,"КО"),IF(E197="","погашен",IF(B197&gt;0,IFERROR(IF(VLOOKUP(B197,'реестр просрочников'!B:B,1,0)&gt;0,"просрочен",),IF(TODAY()&gt;C197,"оплачен","грядет")),"")))))</f>
        <v/>
      </c>
    </row>
    <row r="198" spans="3:6" x14ac:dyDescent="0.25">
      <c r="C198" s="1"/>
      <c r="E198" s="29" t="str">
        <f>IFERROR(VLOOKUP(B198,'РП (расш)'!A:G,7,0),"")</f>
        <v/>
      </c>
      <c r="F198" t="str">
        <f ca="1">IF(B198="","",IF(B198&gt;0,IFERROR(IF(VLOOKUP(LEFT(B198,10),[2]Лист1!$A:$A,1,0)&gt;0,"КО"),IF(E198="","погашен",IF(B198&gt;0,IFERROR(IF(VLOOKUP(B198,'реестр просрочников'!B:B,1,0)&gt;0,"просрочен",),IF(TODAY()&gt;C198,"оплачен","грядет")),"")))))</f>
        <v/>
      </c>
    </row>
    <row r="199" spans="3:6" x14ac:dyDescent="0.25">
      <c r="C199" s="1"/>
      <c r="E199" s="29" t="str">
        <f>IFERROR(VLOOKUP(B199,'РП (расш)'!A:G,7,0),"")</f>
        <v/>
      </c>
      <c r="F199" t="str">
        <f ca="1">IF(B199="","",IF(B199&gt;0,IFERROR(IF(VLOOKUP(LEFT(B199,10),[2]Лист1!$A:$A,1,0)&gt;0,"КО"),IF(E199="","погашен",IF(B199&gt;0,IFERROR(IF(VLOOKUP(B199,'реестр просрочников'!B:B,1,0)&gt;0,"просрочен",),IF(TODAY()&gt;C199,"оплачен","грядет")),"")))))</f>
        <v/>
      </c>
    </row>
    <row r="200" spans="3:6" x14ac:dyDescent="0.25">
      <c r="C200" s="1"/>
      <c r="E200" s="29" t="str">
        <f>IFERROR(VLOOKUP(B200,'РП (расш)'!A:G,7,0),"")</f>
        <v/>
      </c>
      <c r="F200" t="str">
        <f ca="1">IF(B200="","",IF(B200&gt;0,IFERROR(IF(VLOOKUP(LEFT(B200,10),[2]Лист1!$A:$A,1,0)&gt;0,"КО"),IF(E200="","погашен",IF(B200&gt;0,IFERROR(IF(VLOOKUP(B200,'реестр просрочников'!B:B,1,0)&gt;0,"просрочен",),IF(TODAY()&gt;C200,"оплачен","грядет")),"")))))</f>
        <v/>
      </c>
    </row>
    <row r="201" spans="3:6" x14ac:dyDescent="0.25">
      <c r="C201" s="1"/>
      <c r="E201" s="29" t="str">
        <f>IFERROR(VLOOKUP(B201,'РП (расш)'!A:G,7,0),"")</f>
        <v/>
      </c>
      <c r="F201" t="str">
        <f ca="1">IF(B201="","",IF(B201&gt;0,IFERROR(IF(VLOOKUP(LEFT(B201,10),[2]Лист1!$A:$A,1,0)&gt;0,"КО"),IF(E201="","погашен",IF(B201&gt;0,IFERROR(IF(VLOOKUP(B201,'реестр просрочников'!B:B,1,0)&gt;0,"просрочен",),IF(TODAY()&gt;C201,"оплачен","грядет")),"")))))</f>
        <v/>
      </c>
    </row>
    <row r="202" spans="3:6" x14ac:dyDescent="0.25">
      <c r="C202" s="1"/>
      <c r="E202" s="29" t="str">
        <f>IFERROR(VLOOKUP(B202,'РП (расш)'!A:G,7,0),"")</f>
        <v/>
      </c>
      <c r="F202" t="str">
        <f ca="1">IF(B202="","",IF(B202&gt;0,IFERROR(IF(VLOOKUP(LEFT(B202,10),[2]Лист1!$A:$A,1,0)&gt;0,"КО"),IF(E202="","погашен",IF(B202&gt;0,IFERROR(IF(VLOOKUP(B202,'реестр просрочников'!B:B,1,0)&gt;0,"просрочен",),IF(TODAY()&gt;C202,"оплачен","грядет")),"")))))</f>
        <v/>
      </c>
    </row>
    <row r="203" spans="3:6" x14ac:dyDescent="0.25">
      <c r="C203" s="1"/>
      <c r="E203" s="29" t="str">
        <f>IFERROR(VLOOKUP(B203,'РП (расш)'!A:G,7,0),"")</f>
        <v/>
      </c>
      <c r="F203" t="str">
        <f ca="1">IF(B203="","",IF(B203&gt;0,IFERROR(IF(VLOOKUP(LEFT(B203,10),[2]Лист1!$A:$A,1,0)&gt;0,"КО"),IF(E203="","погашен",IF(B203&gt;0,IFERROR(IF(VLOOKUP(B203,'реестр просрочников'!B:B,1,0)&gt;0,"просрочен",),IF(TODAY()&gt;C203,"оплачен","грядет")),"")))))</f>
        <v/>
      </c>
    </row>
    <row r="204" spans="3:6" x14ac:dyDescent="0.25">
      <c r="C204" s="1"/>
      <c r="E204" s="29" t="str">
        <f>IFERROR(VLOOKUP(B204,'РП (расш)'!A:G,7,0),"")</f>
        <v/>
      </c>
      <c r="F204" t="str">
        <f ca="1">IF(B204="","",IF(B204&gt;0,IFERROR(IF(VLOOKUP(LEFT(B204,10),[2]Лист1!$A:$A,1,0)&gt;0,"КО"),IF(E204="","погашен",IF(B204&gt;0,IFERROR(IF(VLOOKUP(B204,'реестр просрочников'!B:B,1,0)&gt;0,"просрочен",),IF(TODAY()&gt;C204,"оплачен","грядет")),"")))))</f>
        <v/>
      </c>
    </row>
    <row r="205" spans="3:6" x14ac:dyDescent="0.25">
      <c r="C205" s="1"/>
      <c r="E205" s="29" t="str">
        <f>IFERROR(VLOOKUP(B205,'РП (расш)'!A:G,7,0),"")</f>
        <v/>
      </c>
      <c r="F205" t="str">
        <f ca="1">IF(B205="","",IF(B205&gt;0,IFERROR(IF(VLOOKUP(LEFT(B205,10),[2]Лист1!$A:$A,1,0)&gt;0,"КО"),IF(E205="","погашен",IF(B205&gt;0,IFERROR(IF(VLOOKUP(B205,'реестр просрочников'!B:B,1,0)&gt;0,"просрочен",),IF(TODAY()&gt;C205,"оплачен","грядет")),"")))))</f>
        <v/>
      </c>
    </row>
    <row r="206" spans="3:6" x14ac:dyDescent="0.25">
      <c r="C206" s="1"/>
      <c r="E206" s="29" t="str">
        <f>IFERROR(VLOOKUP(B206,'РП (расш)'!A:G,7,0),"")</f>
        <v/>
      </c>
      <c r="F206" t="str">
        <f ca="1">IF(B206="","",IF(B206&gt;0,IFERROR(IF(VLOOKUP(LEFT(B206,10),[2]Лист1!$A:$A,1,0)&gt;0,"КО"),IF(E206="","погашен",IF(B206&gt;0,IFERROR(IF(VLOOKUP(B206,'реестр просрочников'!B:B,1,0)&gt;0,"просрочен",),IF(TODAY()&gt;C206,"оплачен","грядет")),"")))))</f>
        <v/>
      </c>
    </row>
    <row r="207" spans="3:6" x14ac:dyDescent="0.25">
      <c r="C207" s="1"/>
      <c r="E207" s="29" t="str">
        <f>IFERROR(VLOOKUP(B207,'РП (расш)'!A:G,7,0),"")</f>
        <v/>
      </c>
      <c r="F207" t="str">
        <f ca="1">IF(B207="","",IF(B207&gt;0,IFERROR(IF(VLOOKUP(LEFT(B207,10),[2]Лист1!$A:$A,1,0)&gt;0,"КО"),IF(E207="","погашен",IF(B207&gt;0,IFERROR(IF(VLOOKUP(B207,'реестр просрочников'!B:B,1,0)&gt;0,"просрочен",),IF(TODAY()&gt;C207,"оплачен","грядет")),"")))))</f>
        <v/>
      </c>
    </row>
    <row r="208" spans="3:6" x14ac:dyDescent="0.25">
      <c r="C208" s="1"/>
      <c r="E208" s="29" t="str">
        <f>IFERROR(VLOOKUP(B208,'РП (расш)'!A:G,7,0),"")</f>
        <v/>
      </c>
      <c r="F208" t="str">
        <f ca="1">IF(B208="","",IF(B208&gt;0,IFERROR(IF(VLOOKUP(LEFT(B208,10),[2]Лист1!$A:$A,1,0)&gt;0,"КО"),IF(E208="","погашен",IF(B208&gt;0,IFERROR(IF(VLOOKUP(B208,'реестр просрочников'!B:B,1,0)&gt;0,"просрочен",),IF(TODAY()&gt;C208,"оплачен","грядет")),"")))))</f>
        <v/>
      </c>
    </row>
    <row r="209" spans="3:6" x14ac:dyDescent="0.25">
      <c r="C209" s="1"/>
      <c r="E209" s="29" t="str">
        <f>IFERROR(VLOOKUP(B209,'РП (расш)'!A:G,7,0),"")</f>
        <v/>
      </c>
      <c r="F209" t="str">
        <f ca="1">IF(B209="","",IF(B209&gt;0,IFERROR(IF(VLOOKUP(LEFT(B209,10),[2]Лист1!$A:$A,1,0)&gt;0,"КО"),IF(E209="","погашен",IF(B209&gt;0,IFERROR(IF(VLOOKUP(B209,'реестр просрочников'!B:B,1,0)&gt;0,"просрочен",),IF(TODAY()&gt;C209,"оплачен","грядет")),"")))))</f>
        <v/>
      </c>
    </row>
    <row r="210" spans="3:6" x14ac:dyDescent="0.25">
      <c r="C210" s="1"/>
      <c r="E210" s="29" t="str">
        <f>IFERROR(VLOOKUP(B210,'РП (расш)'!A:G,7,0),"")</f>
        <v/>
      </c>
      <c r="F210" t="str">
        <f ca="1">IF(B210="","",IF(B210&gt;0,IFERROR(IF(VLOOKUP(LEFT(B210,10),[2]Лист1!$A:$A,1,0)&gt;0,"КО"),IF(E210="","погашен",IF(B210&gt;0,IFERROR(IF(VLOOKUP(B210,'реестр просрочников'!B:B,1,0)&gt;0,"просрочен",),IF(TODAY()&gt;C210,"оплачен","грядет")),"")))))</f>
        <v/>
      </c>
    </row>
    <row r="211" spans="3:6" x14ac:dyDescent="0.25">
      <c r="C211" s="1"/>
      <c r="E211" s="29" t="str">
        <f>IFERROR(VLOOKUP(B211,'РП (расш)'!A:G,7,0),"")</f>
        <v/>
      </c>
      <c r="F211" t="str">
        <f ca="1">IF(B211="","",IF(B211&gt;0,IFERROR(IF(VLOOKUP(LEFT(B211,10),[2]Лист1!$A:$A,1,0)&gt;0,"КО"),IF(E211="","погашен",IF(B211&gt;0,IFERROR(IF(VLOOKUP(B211,'реестр просрочников'!B:B,1,0)&gt;0,"просрочен",),IF(TODAY()&gt;C211,"оплачен","грядет")),"")))))</f>
        <v/>
      </c>
    </row>
    <row r="212" spans="3:6" x14ac:dyDescent="0.25">
      <c r="C212" s="1"/>
      <c r="E212" s="29" t="str">
        <f>IFERROR(VLOOKUP(B212,'РП (расш)'!A:G,7,0),"")</f>
        <v/>
      </c>
      <c r="F212" t="str">
        <f ca="1">IF(B212="","",IF(B212&gt;0,IFERROR(IF(VLOOKUP(LEFT(B212,10),[2]Лист1!$A:$A,1,0)&gt;0,"КО"),IF(E212="","погашен",IF(B212&gt;0,IFERROR(IF(VLOOKUP(B212,'реестр просрочников'!B:B,1,0)&gt;0,"просрочен",),IF(TODAY()&gt;C212,"оплачен","грядет")),"")))))</f>
        <v/>
      </c>
    </row>
    <row r="213" spans="3:6" x14ac:dyDescent="0.25">
      <c r="C213" s="1"/>
      <c r="E213" s="29" t="str">
        <f>IFERROR(VLOOKUP(B213,'РП (расш)'!A:G,7,0),"")</f>
        <v/>
      </c>
      <c r="F213" t="str">
        <f ca="1">IF(B213="","",IF(B213&gt;0,IFERROR(IF(VLOOKUP(LEFT(B213,10),[2]Лист1!$A:$A,1,0)&gt;0,"КО"),IF(E213="","погашен",IF(B213&gt;0,IFERROR(IF(VLOOKUP(B213,'реестр просрочников'!B:B,1,0)&gt;0,"просрочен",),IF(TODAY()&gt;C213,"оплачен","грядет")),"")))))</f>
        <v/>
      </c>
    </row>
    <row r="214" spans="3:6" x14ac:dyDescent="0.25">
      <c r="C214" s="1"/>
      <c r="E214" s="29" t="str">
        <f>IFERROR(VLOOKUP(B214,'РП (расш)'!A:G,7,0),"")</f>
        <v/>
      </c>
      <c r="F214" t="str">
        <f ca="1">IF(B214="","",IF(B214&gt;0,IFERROR(IF(VLOOKUP(LEFT(B214,10),[2]Лист1!$A:$A,1,0)&gt;0,"КО"),IF(E214="","погашен",IF(B214&gt;0,IFERROR(IF(VLOOKUP(B214,'реестр просрочников'!B:B,1,0)&gt;0,"просрочен",),IF(TODAY()&gt;C214,"оплачен","грядет")),"")))))</f>
        <v/>
      </c>
    </row>
    <row r="215" spans="3:6" x14ac:dyDescent="0.25">
      <c r="C215" s="1"/>
      <c r="E215" s="29" t="str">
        <f>IFERROR(VLOOKUP(B215,'РП (расш)'!A:G,7,0),"")</f>
        <v/>
      </c>
      <c r="F215" t="str">
        <f ca="1">IF(B215="","",IF(B215&gt;0,IFERROR(IF(VLOOKUP(LEFT(B215,10),[2]Лист1!$A:$A,1,0)&gt;0,"КО"),IF(E215="","погашен",IF(B215&gt;0,IFERROR(IF(VLOOKUP(B215,'реестр просрочников'!B:B,1,0)&gt;0,"просрочен",),IF(TODAY()&gt;C215,"оплачен","грядет")),"")))))</f>
        <v/>
      </c>
    </row>
    <row r="216" spans="3:6" x14ac:dyDescent="0.25">
      <c r="C216" s="1"/>
      <c r="E216" s="29" t="str">
        <f>IFERROR(VLOOKUP(B216,'РП (расш)'!A:G,7,0),"")</f>
        <v/>
      </c>
      <c r="F216" t="str">
        <f ca="1">IF(B216="","",IF(B216&gt;0,IFERROR(IF(VLOOKUP(LEFT(B216,10),[2]Лист1!$A:$A,1,0)&gt;0,"КО"),IF(E216="","погашен",IF(B216&gt;0,IFERROR(IF(VLOOKUP(B216,'реестр просрочников'!B:B,1,0)&gt;0,"просрочен",),IF(TODAY()&gt;C216,"оплачен","грядет")),"")))))</f>
        <v/>
      </c>
    </row>
    <row r="217" spans="3:6" x14ac:dyDescent="0.25">
      <c r="C217" s="1"/>
      <c r="E217" s="29" t="str">
        <f>IFERROR(VLOOKUP(B217,'РП (расш)'!A:G,7,0),"")</f>
        <v/>
      </c>
      <c r="F217" t="str">
        <f ca="1">IF(B217="","",IF(B217&gt;0,IFERROR(IF(VLOOKUP(LEFT(B217,10),[2]Лист1!$A:$A,1,0)&gt;0,"КО"),IF(E217="","погашен",IF(B217&gt;0,IFERROR(IF(VLOOKUP(B217,'реестр просрочников'!B:B,1,0)&gt;0,"просрочен",),IF(TODAY()&gt;C217,"оплачен","грядет")),"")))))</f>
        <v/>
      </c>
    </row>
    <row r="218" spans="3:6" x14ac:dyDescent="0.25">
      <c r="C218" s="1"/>
      <c r="E218" s="29" t="str">
        <f>IFERROR(VLOOKUP(B218,'РП (расш)'!A:G,7,0),"")</f>
        <v/>
      </c>
      <c r="F218" t="str">
        <f ca="1">IF(B218="","",IF(B218&gt;0,IFERROR(IF(VLOOKUP(LEFT(B218,10),[2]Лист1!$A:$A,1,0)&gt;0,"КО"),IF(E218="","погашен",IF(B218&gt;0,IFERROR(IF(VLOOKUP(B218,'реестр просрочников'!B:B,1,0)&gt;0,"просрочен",),IF(TODAY()&gt;C218,"оплачен","грядет")),"")))))</f>
        <v/>
      </c>
    </row>
    <row r="219" spans="3:6" x14ac:dyDescent="0.25">
      <c r="C219" s="1"/>
      <c r="E219" s="29" t="str">
        <f>IFERROR(VLOOKUP(B219,'РП (расш)'!A:G,7,0),"")</f>
        <v/>
      </c>
      <c r="F219" t="str">
        <f ca="1">IF(B219="","",IF(B219&gt;0,IFERROR(IF(VLOOKUP(LEFT(B219,10),[2]Лист1!$A:$A,1,0)&gt;0,"КО"),IF(E219="","погашен",IF(B219&gt;0,IFERROR(IF(VLOOKUP(B219,'реестр просрочников'!B:B,1,0)&gt;0,"просрочен",),IF(TODAY()&gt;C219,"оплачен","грядет")),"")))))</f>
        <v/>
      </c>
    </row>
    <row r="220" spans="3:6" x14ac:dyDescent="0.25">
      <c r="C220" s="1"/>
      <c r="E220" s="29" t="str">
        <f>IFERROR(VLOOKUP(B220,'РП (расш)'!A:G,7,0),"")</f>
        <v/>
      </c>
      <c r="F220" t="str">
        <f ca="1">IF(B220="","",IF(B220&gt;0,IFERROR(IF(VLOOKUP(LEFT(B220,10),[2]Лист1!$A:$A,1,0)&gt;0,"КО"),IF(E220="","погашен",IF(B220&gt;0,IFERROR(IF(VLOOKUP(B220,'реестр просрочников'!B:B,1,0)&gt;0,"просрочен",),IF(TODAY()&gt;C220,"оплачен","грядет")),"")))))</f>
        <v/>
      </c>
    </row>
    <row r="221" spans="3:6" x14ac:dyDescent="0.25">
      <c r="C221" s="1"/>
      <c r="E221" s="29" t="str">
        <f>IFERROR(VLOOKUP(B221,'РП (расш)'!A:G,7,0),"")</f>
        <v/>
      </c>
      <c r="F221" t="str">
        <f ca="1">IF(B221="","",IF(B221&gt;0,IFERROR(IF(VLOOKUP(LEFT(B221,10),[2]Лист1!$A:$A,1,0)&gt;0,"КО"),IF(E221="","погашен",IF(B221&gt;0,IFERROR(IF(VLOOKUP(B221,'реестр просрочников'!B:B,1,0)&gt;0,"просрочен",),IF(TODAY()&gt;C221,"оплачен","грядет")),"")))))</f>
        <v/>
      </c>
    </row>
    <row r="222" spans="3:6" x14ac:dyDescent="0.25">
      <c r="C222" s="1"/>
      <c r="E222" s="29" t="str">
        <f>IFERROR(VLOOKUP(B222,'РП (расш)'!A:G,7,0),"")</f>
        <v/>
      </c>
      <c r="F222" t="str">
        <f ca="1">IF(B222="","",IF(B222&gt;0,IFERROR(IF(VLOOKUP(LEFT(B222,10),[2]Лист1!$A:$A,1,0)&gt;0,"КО"),IF(E222="","погашен",IF(B222&gt;0,IFERROR(IF(VLOOKUP(B222,'реестр просрочников'!B:B,1,0)&gt;0,"просрочен",),IF(TODAY()&gt;C222,"оплачен","грядет")),"")))))</f>
        <v/>
      </c>
    </row>
    <row r="223" spans="3:6" x14ac:dyDescent="0.25">
      <c r="C223" s="1"/>
      <c r="E223" s="29" t="str">
        <f>IFERROR(VLOOKUP(B223,'РП (расш)'!A:G,7,0),"")</f>
        <v/>
      </c>
      <c r="F223" t="str">
        <f ca="1">IF(B223="","",IF(B223&gt;0,IFERROR(IF(VLOOKUP(LEFT(B223,10),[2]Лист1!$A:$A,1,0)&gt;0,"КО"),IF(E223="","погашен",IF(B223&gt;0,IFERROR(IF(VLOOKUP(B223,'реестр просрочников'!B:B,1,0)&gt;0,"просрочен",),IF(TODAY()&gt;C223,"оплачен","грядет")),"")))))</f>
        <v/>
      </c>
    </row>
    <row r="224" spans="3:6" x14ac:dyDescent="0.25">
      <c r="C224" s="1"/>
      <c r="E224" s="29" t="str">
        <f>IFERROR(VLOOKUP(B224,'РП (расш)'!A:G,7,0),"")</f>
        <v/>
      </c>
      <c r="F224" t="str">
        <f ca="1">IF(B224="","",IF(B224&gt;0,IFERROR(IF(VLOOKUP(LEFT(B224,10),[2]Лист1!$A:$A,1,0)&gt;0,"КО"),IF(E224="","погашен",IF(B224&gt;0,IFERROR(IF(VLOOKUP(B224,'реестр просрочников'!B:B,1,0)&gt;0,"просрочен",),IF(TODAY()&gt;C224,"оплачен","грядет")),"")))))</f>
        <v/>
      </c>
    </row>
    <row r="225" spans="3:6" x14ac:dyDescent="0.25">
      <c r="C225" s="1"/>
      <c r="E225" s="29" t="str">
        <f>IFERROR(VLOOKUP(B225,'РП (расш)'!A:G,7,0),"")</f>
        <v/>
      </c>
      <c r="F225" t="str">
        <f ca="1">IF(B225="","",IF(B225&gt;0,IFERROR(IF(VLOOKUP(LEFT(B225,10),[2]Лист1!$A:$A,1,0)&gt;0,"КО"),IF(E225="","погашен",IF(B225&gt;0,IFERROR(IF(VLOOKUP(B225,'реестр просрочников'!B:B,1,0)&gt;0,"просрочен",),IF(TODAY()&gt;C225,"оплачен","грядет")),"")))))</f>
        <v/>
      </c>
    </row>
    <row r="226" spans="3:6" x14ac:dyDescent="0.25">
      <c r="C226" s="1"/>
      <c r="E226" s="29" t="str">
        <f>IFERROR(VLOOKUP(B226,'РП (расш)'!A:G,7,0),"")</f>
        <v/>
      </c>
      <c r="F226" t="str">
        <f ca="1">IF(B226="","",IF(B226&gt;0,IFERROR(IF(VLOOKUP(LEFT(B226,10),[2]Лист1!$A:$A,1,0)&gt;0,"КО"),IF(E226="","погашен",IF(B226&gt;0,IFERROR(IF(VLOOKUP(B226,'реестр просрочников'!B:B,1,0)&gt;0,"просрочен",),IF(TODAY()&gt;C226,"оплачен","грядет")),"")))))</f>
        <v/>
      </c>
    </row>
    <row r="227" spans="3:6" x14ac:dyDescent="0.25">
      <c r="C227" s="1"/>
      <c r="E227" s="29" t="str">
        <f>IFERROR(VLOOKUP(B227,'РП (расш)'!A:G,7,0),"")</f>
        <v/>
      </c>
      <c r="F227" t="str">
        <f ca="1">IF(B227="","",IF(B227&gt;0,IFERROR(IF(VLOOKUP(LEFT(B227,10),[2]Лист1!$A:$A,1,0)&gt;0,"КО"),IF(E227="","погашен",IF(B227&gt;0,IFERROR(IF(VLOOKUP(B227,'реестр просрочников'!B:B,1,0)&gt;0,"просрочен",),IF(TODAY()&gt;C227,"оплачен","грядет")),"")))))</f>
        <v/>
      </c>
    </row>
    <row r="228" spans="3:6" x14ac:dyDescent="0.25">
      <c r="C228" s="1"/>
      <c r="E228" s="29" t="str">
        <f>IFERROR(VLOOKUP(B228,'РП (расш)'!A:G,7,0),"")</f>
        <v/>
      </c>
      <c r="F228" t="str">
        <f ca="1">IF(B228="","",IF(B228&gt;0,IFERROR(IF(VLOOKUP(LEFT(B228,10),[2]Лист1!$A:$A,1,0)&gt;0,"КО"),IF(E228="","погашен",IF(B228&gt;0,IFERROR(IF(VLOOKUP(B228,'реестр просрочников'!B:B,1,0)&gt;0,"просрочен",),IF(TODAY()&gt;C228,"оплачен","грядет")),"")))))</f>
        <v/>
      </c>
    </row>
    <row r="229" spans="3:6" x14ac:dyDescent="0.25">
      <c r="C229" s="1"/>
      <c r="E229" s="29" t="str">
        <f>IFERROR(VLOOKUP(B229,'РП (расш)'!A:G,7,0),"")</f>
        <v/>
      </c>
      <c r="F229" t="str">
        <f ca="1">IF(B229="","",IF(B229&gt;0,IFERROR(IF(VLOOKUP(LEFT(B229,10),[2]Лист1!$A:$A,1,0)&gt;0,"КО"),IF(E229="","погашен",IF(B229&gt;0,IFERROR(IF(VLOOKUP(B229,'реестр просрочников'!B:B,1,0)&gt;0,"просрочен",),IF(TODAY()&gt;C229,"оплачен","грядет")),"")))))</f>
        <v/>
      </c>
    </row>
    <row r="230" spans="3:6" x14ac:dyDescent="0.25">
      <c r="C230" s="1"/>
      <c r="E230" s="29" t="str">
        <f>IFERROR(VLOOKUP(B230,'РП (расш)'!A:G,7,0),"")</f>
        <v/>
      </c>
      <c r="F230" t="str">
        <f ca="1">IF(B230="","",IF(B230&gt;0,IFERROR(IF(VLOOKUP(LEFT(B230,10),[2]Лист1!$A:$A,1,0)&gt;0,"КО"),IF(E230="","погашен",IF(B230&gt;0,IFERROR(IF(VLOOKUP(B230,'реестр просрочников'!B:B,1,0)&gt;0,"просрочен",),IF(TODAY()&gt;C230,"оплачен","грядет")),"")))))</f>
        <v/>
      </c>
    </row>
    <row r="231" spans="3:6" x14ac:dyDescent="0.25">
      <c r="C231" s="1"/>
      <c r="E231" s="29" t="str">
        <f>IFERROR(VLOOKUP(B231,'РП (расш)'!A:G,7,0),"")</f>
        <v/>
      </c>
      <c r="F231" t="str">
        <f ca="1">IF(B231="","",IF(B231&gt;0,IFERROR(IF(VLOOKUP(LEFT(B231,10),[2]Лист1!$A:$A,1,0)&gt;0,"КО"),IF(E231="","погашен",IF(B231&gt;0,IFERROR(IF(VLOOKUP(B231,'реестр просрочников'!B:B,1,0)&gt;0,"просрочен",),IF(TODAY()&gt;C231,"оплачен","грядет")),"")))))</f>
        <v/>
      </c>
    </row>
    <row r="232" spans="3:6" x14ac:dyDescent="0.25">
      <c r="C232" s="1"/>
      <c r="E232" s="29" t="str">
        <f>IFERROR(VLOOKUP(B232,'РП (расш)'!A:G,7,0),"")</f>
        <v/>
      </c>
      <c r="F232" t="str">
        <f ca="1">IF(B232="","",IF(B232&gt;0,IFERROR(IF(VLOOKUP(LEFT(B232,10),[2]Лист1!$A:$A,1,0)&gt;0,"КО"),IF(E232="","погашен",IF(B232&gt;0,IFERROR(IF(VLOOKUP(B232,'реестр просрочников'!B:B,1,0)&gt;0,"просрочен",),IF(TODAY()&gt;C232,"оплачен","грядет")),"")))))</f>
        <v/>
      </c>
    </row>
    <row r="233" spans="3:6" x14ac:dyDescent="0.25">
      <c r="C233" s="1"/>
      <c r="E233" s="29" t="str">
        <f>IFERROR(VLOOKUP(B233,'РП (расш)'!A:G,7,0),"")</f>
        <v/>
      </c>
      <c r="F233" t="str">
        <f ca="1">IF(B233="","",IF(B233&gt;0,IFERROR(IF(VLOOKUP(LEFT(B233,10),[2]Лист1!$A:$A,1,0)&gt;0,"КО"),IF(E233="","погашен",IF(B233&gt;0,IFERROR(IF(VLOOKUP(B233,'реестр просрочников'!B:B,1,0)&gt;0,"просрочен",),IF(TODAY()&gt;C233,"оплачен","грядет")),"")))))</f>
        <v/>
      </c>
    </row>
    <row r="234" spans="3:6" x14ac:dyDescent="0.25">
      <c r="C234" s="1"/>
      <c r="E234" s="29" t="str">
        <f>IFERROR(VLOOKUP(B234,'РП (расш)'!A:G,7,0),"")</f>
        <v/>
      </c>
      <c r="F234" t="str">
        <f ca="1">IF(B234="","",IF(B234&gt;0,IFERROR(IF(VLOOKUP(LEFT(B234,10),[2]Лист1!$A:$A,1,0)&gt;0,"КО"),IF(E234="","погашен",IF(B234&gt;0,IFERROR(IF(VLOOKUP(B234,'реестр просрочников'!B:B,1,0)&gt;0,"просрочен",),IF(TODAY()&gt;C234,"оплачен","грядет")),"")))))</f>
        <v/>
      </c>
    </row>
    <row r="235" spans="3:6" x14ac:dyDescent="0.25">
      <c r="C235" s="1"/>
      <c r="E235" s="29" t="str">
        <f>IFERROR(VLOOKUP(B235,'РП (расш)'!A:G,7,0),"")</f>
        <v/>
      </c>
      <c r="F235" t="str">
        <f ca="1">IF(B235="","",IF(B235&gt;0,IFERROR(IF(VLOOKUP(LEFT(B235,10),[2]Лист1!$A:$A,1,0)&gt;0,"КО"),IF(E235="","погашен",IF(B235&gt;0,IFERROR(IF(VLOOKUP(B235,'реестр просрочников'!B:B,1,0)&gt;0,"просрочен",),IF(TODAY()&gt;C235,"оплачен","грядет")),"")))))</f>
        <v/>
      </c>
    </row>
    <row r="236" spans="3:6" x14ac:dyDescent="0.25">
      <c r="C236" s="1"/>
      <c r="E236" s="29" t="str">
        <f>IFERROR(VLOOKUP(B236,'РП (расш)'!A:G,7,0),"")</f>
        <v/>
      </c>
      <c r="F236" t="str">
        <f ca="1">IF(B236="","",IF(B236&gt;0,IFERROR(IF(VLOOKUP(LEFT(B236,10),[2]Лист1!$A:$A,1,0)&gt;0,"КО"),IF(E236="","погашен",IF(B236&gt;0,IFERROR(IF(VLOOKUP(B236,'реестр просрочников'!B:B,1,0)&gt;0,"просрочен",),IF(TODAY()&gt;C236,"оплачен","грядет")),"")))))</f>
        <v/>
      </c>
    </row>
    <row r="237" spans="3:6" x14ac:dyDescent="0.25">
      <c r="C237" s="1"/>
      <c r="E237" s="29" t="str">
        <f>IFERROR(VLOOKUP(B237,'РП (расш)'!A:G,7,0),"")</f>
        <v/>
      </c>
      <c r="F237" t="str">
        <f ca="1">IF(B237="","",IF(B237&gt;0,IFERROR(IF(VLOOKUP(LEFT(B237,10),[2]Лист1!$A:$A,1,0)&gt;0,"КО"),IF(E237="","погашен",IF(B237&gt;0,IFERROR(IF(VLOOKUP(B237,'реестр просрочников'!B:B,1,0)&gt;0,"просрочен",),IF(TODAY()&gt;C237,"оплачен","грядет")),"")))))</f>
        <v/>
      </c>
    </row>
    <row r="238" spans="3:6" x14ac:dyDescent="0.25">
      <c r="C238" s="1"/>
      <c r="E238" s="29" t="str">
        <f>IFERROR(VLOOKUP(B238,'РП (расш)'!A:G,7,0),"")</f>
        <v/>
      </c>
      <c r="F238" t="str">
        <f ca="1">IF(B238="","",IF(B238&gt;0,IFERROR(IF(VLOOKUP(LEFT(B238,10),[2]Лист1!$A:$A,1,0)&gt;0,"КО"),IF(E238="","погашен",IF(B238&gt;0,IFERROR(IF(VLOOKUP(B238,'реестр просрочников'!B:B,1,0)&gt;0,"просрочен",),IF(TODAY()&gt;C238,"оплачен","грядет")),"")))))</f>
        <v/>
      </c>
    </row>
    <row r="239" spans="3:6" x14ac:dyDescent="0.25">
      <c r="C239" s="1"/>
      <c r="E239" s="29" t="str">
        <f>IFERROR(VLOOKUP(B239,'РП (расш)'!A:G,7,0),"")</f>
        <v/>
      </c>
      <c r="F239" t="str">
        <f ca="1">IF(B239="","",IF(B239&gt;0,IFERROR(IF(VLOOKUP(LEFT(B239,10),[2]Лист1!$A:$A,1,0)&gt;0,"КО"),IF(E239="","погашен",IF(B239&gt;0,IFERROR(IF(VLOOKUP(B239,'реестр просрочников'!B:B,1,0)&gt;0,"просрочен",),IF(TODAY()&gt;C239,"оплачен","грядет")),"")))))</f>
        <v/>
      </c>
    </row>
    <row r="240" spans="3:6" x14ac:dyDescent="0.25">
      <c r="C240" s="1"/>
      <c r="E240" s="29" t="str">
        <f>IFERROR(VLOOKUP(B240,'РП (расш)'!A:G,7,0),"")</f>
        <v/>
      </c>
      <c r="F240" t="str">
        <f ca="1">IF(B240="","",IF(B240&gt;0,IFERROR(IF(VLOOKUP(LEFT(B240,10),[2]Лист1!$A:$A,1,0)&gt;0,"КО"),IF(E240="","погашен",IF(B240&gt;0,IFERROR(IF(VLOOKUP(B240,'реестр просрочников'!B:B,1,0)&gt;0,"просрочен",),IF(TODAY()&gt;C240,"оплачен","грядет")),"")))))</f>
        <v/>
      </c>
    </row>
    <row r="241" spans="3:6" x14ac:dyDescent="0.25">
      <c r="C241" s="1"/>
      <c r="E241" s="29" t="str">
        <f>IFERROR(VLOOKUP(B241,'РП (расш)'!A:G,7,0),"")</f>
        <v/>
      </c>
      <c r="F241" t="str">
        <f ca="1">IF(B241="","",IF(B241&gt;0,IFERROR(IF(VLOOKUP(LEFT(B241,10),[2]Лист1!$A:$A,1,0)&gt;0,"КО"),IF(E241="","погашен",IF(B241&gt;0,IFERROR(IF(VLOOKUP(B241,'реестр просрочников'!B:B,1,0)&gt;0,"просрочен",),IF(TODAY()&gt;C241,"оплачен","грядет")),"")))))</f>
        <v/>
      </c>
    </row>
    <row r="242" spans="3:6" x14ac:dyDescent="0.25">
      <c r="C242" s="1"/>
      <c r="E242" s="29" t="str">
        <f>IFERROR(VLOOKUP(B242,'РП (расш)'!A:G,7,0),"")</f>
        <v/>
      </c>
      <c r="F242" t="str">
        <f ca="1">IF(B242="","",IF(B242&gt;0,IFERROR(IF(VLOOKUP(LEFT(B242,10),[2]Лист1!$A:$A,1,0)&gt;0,"КО"),IF(E242="","погашен",IF(B242&gt;0,IFERROR(IF(VLOOKUP(B242,'реестр просрочников'!B:B,1,0)&gt;0,"просрочен",),IF(TODAY()&gt;C242,"оплачен","грядет")),"")))))</f>
        <v/>
      </c>
    </row>
    <row r="243" spans="3:6" x14ac:dyDescent="0.25">
      <c r="C243" s="1"/>
      <c r="E243" s="29" t="str">
        <f>IFERROR(VLOOKUP(B243,'РП (расш)'!A:G,7,0),"")</f>
        <v/>
      </c>
      <c r="F243" t="str">
        <f ca="1">IF(B243="","",IF(B243&gt;0,IFERROR(IF(VLOOKUP(LEFT(B243,10),[2]Лист1!$A:$A,1,0)&gt;0,"КО"),IF(E243="","погашен",IF(B243&gt;0,IFERROR(IF(VLOOKUP(B243,'реестр просрочников'!B:B,1,0)&gt;0,"просрочен",),IF(TODAY()&gt;C243,"оплачен","грядет")),"")))))</f>
        <v/>
      </c>
    </row>
    <row r="244" spans="3:6" x14ac:dyDescent="0.25">
      <c r="C244" s="1"/>
      <c r="E244" s="29" t="str">
        <f>IFERROR(VLOOKUP(B244,'РП (расш)'!A:G,7,0),"")</f>
        <v/>
      </c>
      <c r="F244" t="str">
        <f ca="1">IF(B244="","",IF(B244&gt;0,IFERROR(IF(VLOOKUP(LEFT(B244,10),[2]Лист1!$A:$A,1,0)&gt;0,"КО"),IF(E244="","погашен",IF(B244&gt;0,IFERROR(IF(VLOOKUP(B244,'реестр просрочников'!B:B,1,0)&gt;0,"просрочен",),IF(TODAY()&gt;C244,"оплачен","грядет")),"")))))</f>
        <v/>
      </c>
    </row>
    <row r="245" spans="3:6" x14ac:dyDescent="0.25">
      <c r="C245" s="1"/>
      <c r="E245" s="29" t="str">
        <f>IFERROR(VLOOKUP(B245,'РП (расш)'!A:G,7,0),"")</f>
        <v/>
      </c>
      <c r="F245" t="str">
        <f ca="1">IF(B245="","",IF(B245&gt;0,IFERROR(IF(VLOOKUP(LEFT(B245,10),[2]Лист1!$A:$A,1,0)&gt;0,"КО"),IF(E245="","погашен",IF(B245&gt;0,IFERROR(IF(VLOOKUP(B245,'реестр просрочников'!B:B,1,0)&gt;0,"просрочен",),IF(TODAY()&gt;C245,"оплачен","грядет")),"")))))</f>
        <v/>
      </c>
    </row>
    <row r="246" spans="3:6" x14ac:dyDescent="0.25">
      <c r="C246" s="1"/>
      <c r="E246" s="29" t="str">
        <f>IFERROR(VLOOKUP(B246,'РП (расш)'!A:G,7,0),"")</f>
        <v/>
      </c>
      <c r="F246" t="str">
        <f ca="1">IF(B246="","",IF(B246&gt;0,IFERROR(IF(VLOOKUP(LEFT(B246,10),[2]Лист1!$A:$A,1,0)&gt;0,"КО"),IF(E246="","погашен",IF(B246&gt;0,IFERROR(IF(VLOOKUP(B246,'реестр просрочников'!B:B,1,0)&gt;0,"просрочен",),IF(TODAY()&gt;C246,"оплачен","грядет")),"")))))</f>
        <v/>
      </c>
    </row>
    <row r="247" spans="3:6" x14ac:dyDescent="0.25">
      <c r="C247" s="1"/>
      <c r="E247" s="29" t="str">
        <f>IFERROR(VLOOKUP(B247,'РП (расш)'!A:G,7,0),"")</f>
        <v/>
      </c>
      <c r="F247" t="str">
        <f ca="1">IF(B247="","",IF(B247&gt;0,IFERROR(IF(VLOOKUP(LEFT(B247,10),[2]Лист1!$A:$A,1,0)&gt;0,"КО"),IF(E247="","погашен",IF(B247&gt;0,IFERROR(IF(VLOOKUP(B247,'реестр просрочников'!B:B,1,0)&gt;0,"просрочен",),IF(TODAY()&gt;C247,"оплачен","грядет")),"")))))</f>
        <v/>
      </c>
    </row>
    <row r="248" spans="3:6" x14ac:dyDescent="0.25">
      <c r="C248" s="1"/>
      <c r="E248" s="29" t="str">
        <f>IFERROR(VLOOKUP(B248,'РП (расш)'!A:G,7,0),"")</f>
        <v/>
      </c>
      <c r="F248" t="str">
        <f ca="1">IF(B248="","",IF(B248&gt;0,IFERROR(IF(VLOOKUP(LEFT(B248,10),[2]Лист1!$A:$A,1,0)&gt;0,"КО"),IF(E248="","погашен",IF(B248&gt;0,IFERROR(IF(VLOOKUP(B248,'реестр просрочников'!B:B,1,0)&gt;0,"просрочен",),IF(TODAY()&gt;C248,"оплачен","грядет")),"")))))</f>
        <v/>
      </c>
    </row>
    <row r="249" spans="3:6" x14ac:dyDescent="0.25">
      <c r="C249" s="1"/>
      <c r="E249" s="29" t="str">
        <f>IFERROR(VLOOKUP(B249,'РП (расш)'!A:G,7,0),"")</f>
        <v/>
      </c>
      <c r="F249" t="str">
        <f ca="1">IF(B249="","",IF(B249&gt;0,IFERROR(IF(VLOOKUP(LEFT(B249,10),[2]Лист1!$A:$A,1,0)&gt;0,"КО"),IF(E249="","погашен",IF(B249&gt;0,IFERROR(IF(VLOOKUP(B249,'реестр просрочников'!B:B,1,0)&gt;0,"просрочен",),IF(TODAY()&gt;C249,"оплачен","грядет")),"")))))</f>
        <v/>
      </c>
    </row>
    <row r="250" spans="3:6" x14ac:dyDescent="0.25">
      <c r="C250" s="1"/>
      <c r="E250" s="29" t="str">
        <f>IFERROR(VLOOKUP(B250,'РП (расш)'!A:G,7,0),"")</f>
        <v/>
      </c>
      <c r="F250" t="str">
        <f ca="1">IF(B250="","",IF(B250&gt;0,IFERROR(IF(VLOOKUP(LEFT(B250,10),[2]Лист1!$A:$A,1,0)&gt;0,"КО"),IF(E250="","погашен",IF(B250&gt;0,IFERROR(IF(VLOOKUP(B250,'реестр просрочников'!B:B,1,0)&gt;0,"просрочен",),IF(TODAY()&gt;C250,"оплачен","грядет")),"")))))</f>
        <v/>
      </c>
    </row>
    <row r="251" spans="3:6" x14ac:dyDescent="0.25">
      <c r="C251" s="1"/>
      <c r="E251" s="29" t="str">
        <f>IFERROR(VLOOKUP(B251,'РП (расш)'!A:G,7,0),"")</f>
        <v/>
      </c>
      <c r="F251" t="str">
        <f ca="1">IF(B251="","",IF(B251&gt;0,IFERROR(IF(VLOOKUP(LEFT(B251,10),[2]Лист1!$A:$A,1,0)&gt;0,"КО"),IF(E251="","погашен",IF(B251&gt;0,IFERROR(IF(VLOOKUP(B251,'реестр просрочников'!B:B,1,0)&gt;0,"просрочен",),IF(TODAY()&gt;C251,"оплачен","грядет")),"")))))</f>
        <v/>
      </c>
    </row>
    <row r="252" spans="3:6" x14ac:dyDescent="0.25">
      <c r="C252" s="1"/>
      <c r="E252" s="29" t="str">
        <f>IFERROR(VLOOKUP(B252,'РП (расш)'!A:G,7,0),"")</f>
        <v/>
      </c>
      <c r="F252" t="str">
        <f ca="1">IF(B252="","",IF(B252&gt;0,IFERROR(IF(VLOOKUP(LEFT(B252,10),[2]Лист1!$A:$A,1,0)&gt;0,"КО"),IF(E252="","погашен",IF(B252&gt;0,IFERROR(IF(VLOOKUP(B252,'реестр просрочников'!B:B,1,0)&gt;0,"просрочен",),IF(TODAY()&gt;C252,"оплачен","грядет")),"")))))</f>
        <v/>
      </c>
    </row>
    <row r="253" spans="3:6" x14ac:dyDescent="0.25">
      <c r="C253" s="1"/>
      <c r="E253" s="29" t="str">
        <f>IFERROR(VLOOKUP(B253,'РП (расш)'!A:G,7,0),"")</f>
        <v/>
      </c>
      <c r="F253" t="str">
        <f ca="1">IF(B253="","",IF(B253&gt;0,IFERROR(IF(VLOOKUP(LEFT(B253,10),[2]Лист1!$A:$A,1,0)&gt;0,"КО"),IF(E253="","погашен",IF(B253&gt;0,IFERROR(IF(VLOOKUP(B253,'реестр просрочников'!B:B,1,0)&gt;0,"просрочен",),IF(TODAY()&gt;C253,"оплачен","грядет")),"")))))</f>
        <v/>
      </c>
    </row>
    <row r="254" spans="3:6" x14ac:dyDescent="0.25">
      <c r="C254" s="1"/>
      <c r="E254" s="29" t="str">
        <f>IFERROR(VLOOKUP(B254,'РП (расш)'!A:G,7,0),"")</f>
        <v/>
      </c>
      <c r="F254" t="str">
        <f ca="1">IF(B254="","",IF(B254&gt;0,IFERROR(IF(VLOOKUP(LEFT(B254,10),[2]Лист1!$A:$A,1,0)&gt;0,"КО"),IF(E254="","погашен",IF(B254&gt;0,IFERROR(IF(VLOOKUP(B254,'реестр просрочников'!B:B,1,0)&gt;0,"просрочен",),IF(TODAY()&gt;C254,"оплачен","грядет")),"")))))</f>
        <v/>
      </c>
    </row>
    <row r="255" spans="3:6" x14ac:dyDescent="0.25">
      <c r="C255" s="1"/>
      <c r="E255" s="29" t="str">
        <f>IFERROR(VLOOKUP(B255,'РП (расш)'!A:G,7,0),"")</f>
        <v/>
      </c>
      <c r="F255" t="str">
        <f ca="1">IF(B255="","",IF(B255&gt;0,IFERROR(IF(VLOOKUP(LEFT(B255,10),[2]Лист1!$A:$A,1,0)&gt;0,"КО"),IF(E255="","погашен",IF(B255&gt;0,IFERROR(IF(VLOOKUP(B255,'реестр просрочников'!B:B,1,0)&gt;0,"просрочен",),IF(TODAY()&gt;C255,"оплачен","грядет")),"")))))</f>
        <v/>
      </c>
    </row>
    <row r="256" spans="3:6" x14ac:dyDescent="0.25">
      <c r="C256" s="1"/>
      <c r="E256" s="29" t="str">
        <f>IFERROR(VLOOKUP(B256,'РП (расш)'!A:G,7,0),"")</f>
        <v/>
      </c>
      <c r="F256" t="str">
        <f ca="1">IF(B256="","",IF(B256&gt;0,IFERROR(IF(VLOOKUP(LEFT(B256,10),[2]Лист1!$A:$A,1,0)&gt;0,"КО"),IF(E256="","погашен",IF(B256&gt;0,IFERROR(IF(VLOOKUP(B256,'реестр просрочников'!B:B,1,0)&gt;0,"просрочен",),IF(TODAY()&gt;C256,"оплачен","грядет")),"")))))</f>
        <v/>
      </c>
    </row>
    <row r="257" spans="3:6" x14ac:dyDescent="0.25">
      <c r="C257" s="1"/>
      <c r="E257" s="29" t="str">
        <f>IFERROR(VLOOKUP(B257,'РП (расш)'!A:G,7,0),"")</f>
        <v/>
      </c>
      <c r="F257" t="str">
        <f ca="1">IF(B257="","",IF(B257&gt;0,IFERROR(IF(VLOOKUP(LEFT(B257,10),[2]Лист1!$A:$A,1,0)&gt;0,"КО"),IF(E257="","погашен",IF(B257&gt;0,IFERROR(IF(VLOOKUP(B257,'реестр просрочников'!B:B,1,0)&gt;0,"просрочен",),IF(TODAY()&gt;C257,"оплачен","грядет")),"")))))</f>
        <v/>
      </c>
    </row>
    <row r="258" spans="3:6" x14ac:dyDescent="0.25">
      <c r="C258" s="1"/>
      <c r="E258" s="29" t="str">
        <f>IFERROR(VLOOKUP(B258,'РП (расш)'!A:G,7,0),"")</f>
        <v/>
      </c>
      <c r="F258" t="str">
        <f ca="1">IF(B258="","",IF(B258&gt;0,IFERROR(IF(VLOOKUP(LEFT(B258,10),[2]Лист1!$A:$A,1,0)&gt;0,"КО"),IF(E258="","погашен",IF(B258&gt;0,IFERROR(IF(VLOOKUP(B258,'реестр просрочников'!B:B,1,0)&gt;0,"просрочен",),IF(TODAY()&gt;C258,"оплачен","грядет")),"")))))</f>
        <v/>
      </c>
    </row>
    <row r="259" spans="3:6" x14ac:dyDescent="0.25">
      <c r="C259" s="1"/>
      <c r="E259" s="29" t="str">
        <f>IFERROR(VLOOKUP(B259,'РП (расш)'!A:G,7,0),"")</f>
        <v/>
      </c>
      <c r="F259" t="str">
        <f ca="1">IF(B259="","",IF(B259&gt;0,IFERROR(IF(VLOOKUP(LEFT(B259,10),[2]Лист1!$A:$A,1,0)&gt;0,"КО"),IF(E259="","погашен",IF(B259&gt;0,IFERROR(IF(VLOOKUP(B259,'реестр просрочников'!B:B,1,0)&gt;0,"просрочен",),IF(TODAY()&gt;C259,"оплачен","грядет")),"")))))</f>
        <v/>
      </c>
    </row>
    <row r="260" spans="3:6" x14ac:dyDescent="0.25">
      <c r="C260" s="1"/>
      <c r="E260" s="29" t="str">
        <f>IFERROR(VLOOKUP(B260,'РП (расш)'!A:G,7,0),"")</f>
        <v/>
      </c>
      <c r="F260" t="str">
        <f ca="1">IF(B260="","",IF(B260&gt;0,IFERROR(IF(VLOOKUP(LEFT(B260,10),[2]Лист1!$A:$A,1,0)&gt;0,"КО"),IF(E260="","погашен",IF(B260&gt;0,IFERROR(IF(VLOOKUP(B260,'реестр просрочников'!B:B,1,0)&gt;0,"просрочен",),IF(TODAY()&gt;C260,"оплачен","грядет")),"")))))</f>
        <v/>
      </c>
    </row>
    <row r="261" spans="3:6" x14ac:dyDescent="0.25">
      <c r="C261" s="1"/>
      <c r="E261" s="29" t="str">
        <f>IFERROR(VLOOKUP(B261,'РП (расш)'!A:G,7,0),"")</f>
        <v/>
      </c>
      <c r="F261" t="str">
        <f ca="1">IF(B261="","",IF(B261&gt;0,IFERROR(IF(VLOOKUP(LEFT(B261,10),[2]Лист1!$A:$A,1,0)&gt;0,"КО"),IF(E261="","погашен",IF(B261&gt;0,IFERROR(IF(VLOOKUP(B261,'реестр просрочников'!B:B,1,0)&gt;0,"просрочен",),IF(TODAY()&gt;C261,"оплачен","грядет")),"")))))</f>
        <v/>
      </c>
    </row>
    <row r="262" spans="3:6" x14ac:dyDescent="0.25">
      <c r="C262" s="1"/>
      <c r="E262" s="29" t="str">
        <f>IFERROR(VLOOKUP(B262,'РП (расш)'!A:G,7,0),"")</f>
        <v/>
      </c>
      <c r="F262" t="str">
        <f ca="1">IF(B262="","",IF(B262&gt;0,IFERROR(IF(VLOOKUP(LEFT(B262,10),[2]Лист1!$A:$A,1,0)&gt;0,"КО"),IF(E262="","погашен",IF(B262&gt;0,IFERROR(IF(VLOOKUP(B262,'реестр просрочников'!B:B,1,0)&gt;0,"просрочен",),IF(TODAY()&gt;C262,"оплачен","грядет")),"")))))</f>
        <v/>
      </c>
    </row>
    <row r="263" spans="3:6" x14ac:dyDescent="0.25">
      <c r="C263" s="1"/>
      <c r="E263" s="29" t="str">
        <f>IFERROR(VLOOKUP(B263,'РП (расш)'!A:G,7,0),"")</f>
        <v/>
      </c>
      <c r="F263" t="str">
        <f ca="1">IF(B263="","",IF(B263&gt;0,IFERROR(IF(VLOOKUP(LEFT(B263,10),[2]Лист1!$A:$A,1,0)&gt;0,"КО"),IF(E263="","погашен",IF(B263&gt;0,IFERROR(IF(VLOOKUP(B263,'реестр просрочников'!B:B,1,0)&gt;0,"просрочен",),IF(TODAY()&gt;C263,"оплачен","грядет")),"")))))</f>
        <v/>
      </c>
    </row>
    <row r="264" spans="3:6" x14ac:dyDescent="0.25">
      <c r="C264" s="1"/>
      <c r="E264" s="29" t="str">
        <f>IFERROR(VLOOKUP(B264,'РП (расш)'!A:G,7,0),"")</f>
        <v/>
      </c>
      <c r="F264" t="str">
        <f ca="1">IF(B264="","",IF(B264&gt;0,IFERROR(IF(VLOOKUP(LEFT(B264,10),[2]Лист1!$A:$A,1,0)&gt;0,"КО"),IF(E264="","погашен",IF(B264&gt;0,IFERROR(IF(VLOOKUP(B264,'реестр просрочников'!B:B,1,0)&gt;0,"просрочен",),IF(TODAY()&gt;C264,"оплачен","грядет")),"")))))</f>
        <v/>
      </c>
    </row>
    <row r="265" spans="3:6" x14ac:dyDescent="0.25">
      <c r="C265" s="1"/>
      <c r="E265" s="29" t="str">
        <f>IFERROR(VLOOKUP(B265,'РП (расш)'!A:G,7,0),"")</f>
        <v/>
      </c>
      <c r="F265" t="str">
        <f ca="1">IF(B265="","",IF(B265&gt;0,IFERROR(IF(VLOOKUP(LEFT(B265,10),[2]Лист1!$A:$A,1,0)&gt;0,"КО"),IF(E265="","погашен",IF(B265&gt;0,IFERROR(IF(VLOOKUP(B265,'реестр просрочников'!B:B,1,0)&gt;0,"просрочен",),IF(TODAY()&gt;C265,"оплачен","грядет")),"")))))</f>
        <v/>
      </c>
    </row>
    <row r="266" spans="3:6" x14ac:dyDescent="0.25">
      <c r="C266" s="1"/>
      <c r="E266" s="29" t="str">
        <f>IFERROR(VLOOKUP(B266,'РП (расш)'!A:G,7,0),"")</f>
        <v/>
      </c>
      <c r="F266" t="str">
        <f ca="1">IF(B266="","",IF(B266&gt;0,IFERROR(IF(VLOOKUP(LEFT(B266,10),[2]Лист1!$A:$A,1,0)&gt;0,"КО"),IF(E266="","погашен",IF(B266&gt;0,IFERROR(IF(VLOOKUP(B266,'реестр просрочников'!B:B,1,0)&gt;0,"просрочен",),IF(TODAY()&gt;C266,"оплачен","грядет")),"")))))</f>
        <v/>
      </c>
    </row>
    <row r="267" spans="3:6" x14ac:dyDescent="0.25">
      <c r="C267" s="1"/>
      <c r="E267" s="29" t="str">
        <f>IFERROR(VLOOKUP(B267,'РП (расш)'!A:G,7,0),"")</f>
        <v/>
      </c>
      <c r="F267" t="str">
        <f ca="1">IF(B267="","",IF(B267&gt;0,IFERROR(IF(VLOOKUP(LEFT(B267,10),[2]Лист1!$A:$A,1,0)&gt;0,"КО"),IF(E267="","погашен",IF(B267&gt;0,IFERROR(IF(VLOOKUP(B267,'реестр просрочников'!B:B,1,0)&gt;0,"просрочен",),IF(TODAY()&gt;C267,"оплачен","грядет")),"")))))</f>
        <v/>
      </c>
    </row>
    <row r="268" spans="3:6" x14ac:dyDescent="0.25">
      <c r="C268" s="1"/>
      <c r="E268" s="29" t="str">
        <f>IFERROR(VLOOKUP(B268,'РП (расш)'!A:G,7,0),"")</f>
        <v/>
      </c>
      <c r="F268" t="str">
        <f ca="1">IF(B268="","",IF(B268&gt;0,IFERROR(IF(VLOOKUP(LEFT(B268,10),[2]Лист1!$A:$A,1,0)&gt;0,"КО"),IF(E268="","погашен",IF(B268&gt;0,IFERROR(IF(VLOOKUP(B268,'реестр просрочников'!B:B,1,0)&gt;0,"просрочен",),IF(TODAY()&gt;C268,"оплачен","грядет")),"")))))</f>
        <v/>
      </c>
    </row>
    <row r="269" spans="3:6" x14ac:dyDescent="0.25">
      <c r="C269" s="1"/>
      <c r="E269" s="29" t="str">
        <f>IFERROR(VLOOKUP(B269,'РП (расш)'!A:G,7,0),"")</f>
        <v/>
      </c>
      <c r="F269" t="str">
        <f ca="1">IF(B269="","",IF(B269&gt;0,IFERROR(IF(VLOOKUP(LEFT(B269,10),[2]Лист1!$A:$A,1,0)&gt;0,"КО"),IF(E269="","погашен",IF(B269&gt;0,IFERROR(IF(VLOOKUP(B269,'реестр просрочников'!B:B,1,0)&gt;0,"просрочен",),IF(TODAY()&gt;C269,"оплачен","грядет")),"")))))</f>
        <v/>
      </c>
    </row>
    <row r="270" spans="3:6" x14ac:dyDescent="0.25">
      <c r="C270" s="1"/>
      <c r="E270" s="29" t="str">
        <f>IFERROR(VLOOKUP(B270,'РП (расш)'!A:G,7,0),"")</f>
        <v/>
      </c>
      <c r="F270" t="str">
        <f ca="1">IF(B270="","",IF(B270&gt;0,IFERROR(IF(VLOOKUP(LEFT(B270,10),[2]Лист1!$A:$A,1,0)&gt;0,"КО"),IF(E270="","погашен",IF(B270&gt;0,IFERROR(IF(VLOOKUP(B270,'реестр просрочников'!B:B,1,0)&gt;0,"просрочен",),IF(TODAY()&gt;C270,"оплачен","грядет")),"")))))</f>
        <v/>
      </c>
    </row>
    <row r="271" spans="3:6" x14ac:dyDescent="0.25">
      <c r="C271" s="1"/>
      <c r="E271" s="29" t="str">
        <f>IFERROR(VLOOKUP(B271,'РП (расш)'!A:G,7,0),"")</f>
        <v/>
      </c>
      <c r="F271" t="str">
        <f ca="1">IF(B271="","",IF(B271&gt;0,IFERROR(IF(VLOOKUP(LEFT(B271,10),[2]Лист1!$A:$A,1,0)&gt;0,"КО"),IF(E271="","погашен",IF(B271&gt;0,IFERROR(IF(VLOOKUP(B271,'реестр просрочников'!B:B,1,0)&gt;0,"просрочен",),IF(TODAY()&gt;C271,"оплачен","грядет")),"")))))</f>
        <v/>
      </c>
    </row>
    <row r="272" spans="3:6" x14ac:dyDescent="0.25">
      <c r="C272" s="1"/>
      <c r="E272" s="29" t="str">
        <f>IFERROR(VLOOKUP(B272,'РП (расш)'!A:G,7,0),"")</f>
        <v/>
      </c>
      <c r="F272" t="str">
        <f ca="1">IF(B272="","",IF(B272&gt;0,IFERROR(IF(VLOOKUP(LEFT(B272,10),[2]Лист1!$A:$A,1,0)&gt;0,"КО"),IF(E272="","погашен",IF(B272&gt;0,IFERROR(IF(VLOOKUP(B272,'реестр просрочников'!B:B,1,0)&gt;0,"просрочен",),IF(TODAY()&gt;C272,"оплачен","грядет")),"")))))</f>
        <v/>
      </c>
    </row>
    <row r="273" spans="3:6" x14ac:dyDescent="0.25">
      <c r="C273" s="1"/>
      <c r="E273" s="29" t="str">
        <f>IFERROR(VLOOKUP(B273,'РП (расш)'!A:G,7,0),"")</f>
        <v/>
      </c>
      <c r="F273" t="str">
        <f ca="1">IF(B273="","",IF(B273&gt;0,IFERROR(IF(VLOOKUP(LEFT(B273,10),[2]Лист1!$A:$A,1,0)&gt;0,"КО"),IF(E273="","погашен",IF(B273&gt;0,IFERROR(IF(VLOOKUP(B273,'реестр просрочников'!B:B,1,0)&gt;0,"просрочен",),IF(TODAY()&gt;C273,"оплачен","грядет")),"")))))</f>
        <v/>
      </c>
    </row>
    <row r="274" spans="3:6" x14ac:dyDescent="0.25">
      <c r="C274" s="1"/>
      <c r="E274" s="29" t="str">
        <f>IFERROR(VLOOKUP(B274,'РП (расш)'!A:G,7,0),"")</f>
        <v/>
      </c>
      <c r="F274" t="str">
        <f ca="1">IF(B274="","",IF(B274&gt;0,IFERROR(IF(VLOOKUP(LEFT(B274,10),[2]Лист1!$A:$A,1,0)&gt;0,"КО"),IF(E274="","погашен",IF(B274&gt;0,IFERROR(IF(VLOOKUP(B274,'реестр просрочников'!B:B,1,0)&gt;0,"просрочен",),IF(TODAY()&gt;C274,"оплачен","грядет")),"")))))</f>
        <v/>
      </c>
    </row>
    <row r="275" spans="3:6" x14ac:dyDescent="0.25">
      <c r="C275" s="1"/>
      <c r="E275" s="29" t="str">
        <f>IFERROR(VLOOKUP(B275,'РП (расш)'!A:G,7,0),"")</f>
        <v/>
      </c>
      <c r="F275" t="str">
        <f ca="1">IF(B275="","",IF(B275&gt;0,IFERROR(IF(VLOOKUP(LEFT(B275,10),[2]Лист1!$A:$A,1,0)&gt;0,"КО"),IF(E275="","погашен",IF(B275&gt;0,IFERROR(IF(VLOOKUP(B275,'реестр просрочников'!B:B,1,0)&gt;0,"просрочен",),IF(TODAY()&gt;C275,"оплачен","грядет")),"")))))</f>
        <v/>
      </c>
    </row>
    <row r="276" spans="3:6" x14ac:dyDescent="0.25">
      <c r="C276" s="1"/>
      <c r="E276" s="29" t="str">
        <f>IFERROR(VLOOKUP(B276,'РП (расш)'!A:G,7,0),"")</f>
        <v/>
      </c>
      <c r="F276" t="str">
        <f ca="1">IF(B276="","",IF(B276&gt;0,IFERROR(IF(VLOOKUP(LEFT(B276,10),[2]Лист1!$A:$A,1,0)&gt;0,"КО"),IF(E276="","погашен",IF(B276&gt;0,IFERROR(IF(VLOOKUP(B276,'реестр просрочников'!B:B,1,0)&gt;0,"просрочен",),IF(TODAY()&gt;C276,"оплачен","грядет")),"")))))</f>
        <v/>
      </c>
    </row>
    <row r="277" spans="3:6" x14ac:dyDescent="0.25">
      <c r="C277" s="1"/>
      <c r="E277" s="29" t="str">
        <f>IFERROR(VLOOKUP(B277,'РП (расш)'!A:G,7,0),"")</f>
        <v/>
      </c>
      <c r="F277" t="str">
        <f ca="1">IF(B277="","",IF(B277&gt;0,IFERROR(IF(VLOOKUP(LEFT(B277,10),[2]Лист1!$A:$A,1,0)&gt;0,"КО"),IF(E277="","погашен",IF(B277&gt;0,IFERROR(IF(VLOOKUP(B277,'реестр просрочников'!B:B,1,0)&gt;0,"просрочен",),IF(TODAY()&gt;C277,"оплачен","грядет")),"")))))</f>
        <v/>
      </c>
    </row>
    <row r="278" spans="3:6" x14ac:dyDescent="0.25">
      <c r="C278" s="1"/>
      <c r="E278" s="29" t="str">
        <f>IFERROR(VLOOKUP(B278,'РП (расш)'!A:G,7,0),"")</f>
        <v/>
      </c>
      <c r="F278" t="str">
        <f ca="1">IF(B278="","",IF(B278&gt;0,IFERROR(IF(VLOOKUP(LEFT(B278,10),[2]Лист1!$A:$A,1,0)&gt;0,"КО"),IF(E278="","погашен",IF(B278&gt;0,IFERROR(IF(VLOOKUP(B278,'реестр просрочников'!B:B,1,0)&gt;0,"просрочен",),IF(TODAY()&gt;C278,"оплачен","грядет")),"")))))</f>
        <v/>
      </c>
    </row>
    <row r="279" spans="3:6" x14ac:dyDescent="0.25">
      <c r="C279" s="1"/>
      <c r="E279" s="29" t="str">
        <f>IFERROR(VLOOKUP(B279,'РП (расш)'!A:G,7,0),"")</f>
        <v/>
      </c>
      <c r="F279" t="str">
        <f ca="1">IF(B279="","",IF(B279&gt;0,IFERROR(IF(VLOOKUP(LEFT(B279,10),[2]Лист1!$A:$A,1,0)&gt;0,"КО"),IF(E279="","погашен",IF(B279&gt;0,IFERROR(IF(VLOOKUP(B279,'реестр просрочников'!B:B,1,0)&gt;0,"просрочен",),IF(TODAY()&gt;C279,"оплачен","грядет")),"")))))</f>
        <v/>
      </c>
    </row>
    <row r="280" spans="3:6" x14ac:dyDescent="0.25">
      <c r="C280" s="1"/>
      <c r="E280" s="29" t="str">
        <f>IFERROR(VLOOKUP(B280,'РП (расш)'!A:G,7,0),"")</f>
        <v/>
      </c>
      <c r="F280" t="str">
        <f ca="1">IF(B280="","",IF(B280&gt;0,IFERROR(IF(VLOOKUP(LEFT(B280,10),[2]Лист1!$A:$A,1,0)&gt;0,"КО"),IF(E280="","погашен",IF(B280&gt;0,IFERROR(IF(VLOOKUP(B280,'реестр просрочников'!B:B,1,0)&gt;0,"просрочен",),IF(TODAY()&gt;C280,"оплачен","грядет")),"")))))</f>
        <v/>
      </c>
    </row>
    <row r="281" spans="3:6" x14ac:dyDescent="0.25">
      <c r="C281" s="1"/>
      <c r="E281" s="29" t="str">
        <f>IFERROR(VLOOKUP(B281,'РП (расш)'!A:G,7,0),"")</f>
        <v/>
      </c>
      <c r="F281" t="str">
        <f ca="1">IF(B281="","",IF(B281&gt;0,IFERROR(IF(VLOOKUP(LEFT(B281,10),[2]Лист1!$A:$A,1,0)&gt;0,"КО"),IF(E281="","погашен",IF(B281&gt;0,IFERROR(IF(VLOOKUP(B281,'реестр просрочников'!B:B,1,0)&gt;0,"просрочен",),IF(TODAY()&gt;C281,"оплачен","грядет")),"")))))</f>
        <v/>
      </c>
    </row>
    <row r="282" spans="3:6" x14ac:dyDescent="0.25">
      <c r="C282" s="1"/>
      <c r="E282" s="29" t="str">
        <f>IFERROR(VLOOKUP(B282,'РП (расш)'!A:G,7,0),"")</f>
        <v/>
      </c>
      <c r="F282" t="str">
        <f ca="1">IF(B282="","",IF(B282&gt;0,IFERROR(IF(VLOOKUP(LEFT(B282,10),[2]Лист1!$A:$A,1,0)&gt;0,"КО"),IF(E282="","погашен",IF(B282&gt;0,IFERROR(IF(VLOOKUP(B282,'реестр просрочников'!B:B,1,0)&gt;0,"просрочен",),IF(TODAY()&gt;C282,"оплачен","грядет")),"")))))</f>
        <v/>
      </c>
    </row>
    <row r="283" spans="3:6" x14ac:dyDescent="0.25">
      <c r="C283" s="1"/>
      <c r="E283" s="29" t="str">
        <f>IFERROR(VLOOKUP(B283,'РП (расш)'!A:G,7,0),"")</f>
        <v/>
      </c>
      <c r="F283" t="str">
        <f ca="1">IF(B283="","",IF(B283&gt;0,IFERROR(IF(VLOOKUP(LEFT(B283,10),[2]Лист1!$A:$A,1,0)&gt;0,"КО"),IF(E283="","погашен",IF(B283&gt;0,IFERROR(IF(VLOOKUP(B283,'реестр просрочников'!B:B,1,0)&gt;0,"просрочен",),IF(TODAY()&gt;C283,"оплачен","грядет")),"")))))</f>
        <v/>
      </c>
    </row>
    <row r="284" spans="3:6" x14ac:dyDescent="0.25">
      <c r="C284" s="1"/>
      <c r="E284" s="29" t="str">
        <f>IFERROR(VLOOKUP(B284,'РП (расш)'!A:G,7,0),"")</f>
        <v/>
      </c>
      <c r="F284" t="str">
        <f ca="1">IF(B284="","",IF(B284&gt;0,IFERROR(IF(VLOOKUP(LEFT(B284,10),[2]Лист1!$A:$A,1,0)&gt;0,"КО"),IF(E284="","погашен",IF(B284&gt;0,IFERROR(IF(VLOOKUP(B284,'реестр просрочников'!B:B,1,0)&gt;0,"просрочен",),IF(TODAY()&gt;C284,"оплачен","грядет")),"")))))</f>
        <v/>
      </c>
    </row>
    <row r="285" spans="3:6" x14ac:dyDescent="0.25">
      <c r="C285" s="1"/>
      <c r="E285" s="29" t="str">
        <f>IFERROR(VLOOKUP(B285,'РП (расш)'!A:G,7,0),"")</f>
        <v/>
      </c>
      <c r="F285" t="str">
        <f ca="1">IF(B285="","",IF(B285&gt;0,IFERROR(IF(VLOOKUP(LEFT(B285,10),[2]Лист1!$A:$A,1,0)&gt;0,"КО"),IF(E285="","погашен",IF(B285&gt;0,IFERROR(IF(VLOOKUP(B285,'реестр просрочников'!B:B,1,0)&gt;0,"просрочен",),IF(TODAY()&gt;C285,"оплачен","грядет")),"")))))</f>
        <v/>
      </c>
    </row>
    <row r="286" spans="3:6" x14ac:dyDescent="0.25">
      <c r="C286" s="1"/>
      <c r="E286" s="29" t="str">
        <f>IFERROR(VLOOKUP(B286,'РП (расш)'!A:G,7,0),"")</f>
        <v/>
      </c>
      <c r="F286" t="str">
        <f ca="1">IF(B286="","",IF(B286&gt;0,IFERROR(IF(VLOOKUP(LEFT(B286,10),[2]Лист1!$A:$A,1,0)&gt;0,"КО"),IF(E286="","погашен",IF(B286&gt;0,IFERROR(IF(VLOOKUP(B286,'реестр просрочников'!B:B,1,0)&gt;0,"просрочен",),IF(TODAY()&gt;C286,"оплачен","грядет")),"")))))</f>
        <v/>
      </c>
    </row>
    <row r="287" spans="3:6" x14ac:dyDescent="0.25">
      <c r="C287" s="1"/>
      <c r="E287" s="29" t="str">
        <f>IFERROR(VLOOKUP(B287,'РП (расш)'!A:G,7,0),"")</f>
        <v/>
      </c>
      <c r="F287" t="str">
        <f ca="1">IF(B287="","",IF(B287&gt;0,IFERROR(IF(VLOOKUP(LEFT(B287,10),[2]Лист1!$A:$A,1,0)&gt;0,"КО"),IF(E287="","погашен",IF(B287&gt;0,IFERROR(IF(VLOOKUP(B287,'реестр просрочников'!B:B,1,0)&gt;0,"просрочен",),IF(TODAY()&gt;C287,"оплачен","грядет")),"")))))</f>
        <v/>
      </c>
    </row>
    <row r="288" spans="3:6" x14ac:dyDescent="0.25">
      <c r="C288" s="1"/>
      <c r="E288" s="29" t="str">
        <f>IFERROR(VLOOKUP(B288,'РП (расш)'!A:G,7,0),"")</f>
        <v/>
      </c>
      <c r="F288" t="str">
        <f ca="1">IF(B288="","",IF(B288&gt;0,IFERROR(IF(VLOOKUP(LEFT(B288,10),[2]Лист1!$A:$A,1,0)&gt;0,"КО"),IF(E288="","погашен",IF(B288&gt;0,IFERROR(IF(VLOOKUP(B288,'реестр просрочников'!B:B,1,0)&gt;0,"просрочен",),IF(TODAY()&gt;C288,"оплачен","грядет")),"")))))</f>
        <v/>
      </c>
    </row>
    <row r="289" spans="3:6" x14ac:dyDescent="0.25">
      <c r="C289" s="1"/>
      <c r="E289" s="29" t="str">
        <f>IFERROR(VLOOKUP(B289,'РП (расш)'!A:G,7,0),"")</f>
        <v/>
      </c>
      <c r="F289" t="str">
        <f ca="1">IF(B289="","",IF(B289&gt;0,IFERROR(IF(VLOOKUP(LEFT(B289,10),[2]Лист1!$A:$A,1,0)&gt;0,"КО"),IF(E289="","погашен",IF(B289&gt;0,IFERROR(IF(VLOOKUP(B289,'реестр просрочников'!B:B,1,0)&gt;0,"просрочен",),IF(TODAY()&gt;C289,"оплачен","грядет")),"")))))</f>
        <v/>
      </c>
    </row>
    <row r="290" spans="3:6" x14ac:dyDescent="0.25">
      <c r="C290" s="1"/>
      <c r="E290" s="29" t="str">
        <f>IFERROR(VLOOKUP(B290,'РП (расш)'!A:G,7,0),"")</f>
        <v/>
      </c>
      <c r="F290" t="str">
        <f ca="1">IF(B290="","",IF(B290&gt;0,IFERROR(IF(VLOOKUP(LEFT(B290,10),[2]Лист1!$A:$A,1,0)&gt;0,"КО"),IF(E290="","погашен",IF(B290&gt;0,IFERROR(IF(VLOOKUP(B290,'реестр просрочников'!B:B,1,0)&gt;0,"просрочен",),IF(TODAY()&gt;C290,"оплачен","грядет")),"")))))</f>
        <v/>
      </c>
    </row>
    <row r="291" spans="3:6" x14ac:dyDescent="0.25">
      <c r="C291" s="1"/>
      <c r="E291" s="29" t="str">
        <f>IFERROR(VLOOKUP(B291,'РП (расш)'!A:G,7,0),"")</f>
        <v/>
      </c>
      <c r="F291" t="str">
        <f ca="1">IF(B291="","",IF(B291&gt;0,IFERROR(IF(VLOOKUP(LEFT(B291,10),[2]Лист1!$A:$A,1,0)&gt;0,"КО"),IF(E291="","погашен",IF(B291&gt;0,IFERROR(IF(VLOOKUP(B291,'реестр просрочников'!B:B,1,0)&gt;0,"просрочен",),IF(TODAY()&gt;C291,"оплачен","грядет")),"")))))</f>
        <v/>
      </c>
    </row>
    <row r="292" spans="3:6" x14ac:dyDescent="0.25">
      <c r="C292" s="1"/>
      <c r="E292" s="29" t="str">
        <f>IFERROR(VLOOKUP(B292,'РП (расш)'!A:G,7,0),"")</f>
        <v/>
      </c>
      <c r="F292" t="str">
        <f ca="1">IF(B292="","",IF(B292&gt;0,IFERROR(IF(VLOOKUP(LEFT(B292,10),[2]Лист1!$A:$A,1,0)&gt;0,"КО"),IF(E292="","погашен",IF(B292&gt;0,IFERROR(IF(VLOOKUP(B292,'реестр просрочников'!B:B,1,0)&gt;0,"просрочен",),IF(TODAY()&gt;C292,"оплачен","грядет")),"")))))</f>
        <v/>
      </c>
    </row>
    <row r="293" spans="3:6" x14ac:dyDescent="0.25">
      <c r="C293" s="1"/>
      <c r="E293" s="29" t="str">
        <f>IFERROR(VLOOKUP(B293,'РП (расш)'!A:G,7,0),"")</f>
        <v/>
      </c>
      <c r="F293" t="str">
        <f ca="1">IF(B293="","",IF(B293&gt;0,IFERROR(IF(VLOOKUP(LEFT(B293,10),[2]Лист1!$A:$A,1,0)&gt;0,"КО"),IF(E293="","погашен",IF(B293&gt;0,IFERROR(IF(VLOOKUP(B293,'реестр просрочников'!B:B,1,0)&gt;0,"просрочен",),IF(TODAY()&gt;C293,"оплачен","грядет")),"")))))</f>
        <v/>
      </c>
    </row>
    <row r="294" spans="3:6" x14ac:dyDescent="0.25">
      <c r="C294" s="1"/>
      <c r="E294" s="29" t="str">
        <f>IFERROR(VLOOKUP(B294,'РП (расш)'!A:G,7,0),"")</f>
        <v/>
      </c>
      <c r="F294" t="str">
        <f ca="1">IF(A294="","",IF(B294&gt;0,IFERROR(IF(VLOOKUP(LEFT(B294,10),[2]Лист1!$A:$A,1,0)&gt;0,"КО"),IF(E294="","погашен",IF(B294&gt;0,IFERROR(IF(VLOOKUP(B294,'реестр просрочников'!B:B,1,0)&gt;0,"просрочен",),IF(TODAY()&gt;C294,"оплачен","грядет")),"")))))</f>
        <v/>
      </c>
    </row>
    <row r="295" spans="3:6" x14ac:dyDescent="0.25">
      <c r="C295" s="1"/>
      <c r="E295" s="29" t="str">
        <f>IFERROR(VLOOKUP(B295,'РП (расш)'!A:G,7,0),"")</f>
        <v/>
      </c>
      <c r="F295" t="str">
        <f ca="1">IF(A295="","",IF(B295&gt;0,IFERROR(IF(VLOOKUP(LEFT(B295,10),[2]Лист1!$A:$A,1,0)&gt;0,"КО"),IF(E295="","погашен",IF(B295&gt;0,IFERROR(IF(VLOOKUP(B295,'реестр просрочников'!B:B,1,0)&gt;0,"просрочен",),IF(TODAY()&gt;C295,"оплачен","грядет")),"")))))</f>
        <v/>
      </c>
    </row>
    <row r="296" spans="3:6" x14ac:dyDescent="0.25">
      <c r="C296" s="1"/>
      <c r="E296" s="29" t="str">
        <f>IFERROR(VLOOKUP(B296,'РП (расш)'!A:G,7,0),"")</f>
        <v/>
      </c>
      <c r="F296" t="str">
        <f ca="1">IF(A296="","",IF(B296&gt;0,IFERROR(IF(VLOOKUP(LEFT(B296,10),[2]Лист1!$A:$A,1,0)&gt;0,"КО"),IF(E296="","погашен",IF(B296&gt;0,IFERROR(IF(VLOOKUP(B296,'реестр просрочников'!B:B,1,0)&gt;0,"просрочен",),IF(TODAY()&gt;C296,"оплачен","грядет")),"")))))</f>
        <v/>
      </c>
    </row>
    <row r="297" spans="3:6" x14ac:dyDescent="0.25">
      <c r="C297" s="1"/>
      <c r="E297" s="29" t="str">
        <f>IFERROR(VLOOKUP(B297,'РП (расш)'!A:G,7,0),"")</f>
        <v/>
      </c>
      <c r="F297" t="str">
        <f ca="1">IF(A297="","",IF(B297&gt;0,IFERROR(IF(VLOOKUP(LEFT(B297,10),[2]Лист1!$A:$A,1,0)&gt;0,"КО"),IF(E297="","погашен",IF(B297&gt;0,IFERROR(IF(VLOOKUP(B297,'реестр просрочников'!B:B,1,0)&gt;0,"просрочен",),IF(TODAY()&gt;C297,"оплачен","грядет")),"")))))</f>
        <v/>
      </c>
    </row>
    <row r="298" spans="3:6" x14ac:dyDescent="0.25">
      <c r="C298" s="1"/>
      <c r="E298" s="29" t="str">
        <f>IFERROR(VLOOKUP(B298,'РП (расш)'!A:G,7,0),"")</f>
        <v/>
      </c>
      <c r="F298" t="str">
        <f ca="1">IF(A298="","",IF(B298&gt;0,IFERROR(IF(VLOOKUP(LEFT(B298,10),[2]Лист1!$A:$A,1,0)&gt;0,"КО"),IF(E298="","погашен",IF(B298&gt;0,IFERROR(IF(VLOOKUP(B298,'реестр просрочников'!B:B,1,0)&gt;0,"просрочен",),IF(TODAY()&gt;C298,"оплачен","грядет")),"")))))</f>
        <v/>
      </c>
    </row>
    <row r="299" spans="3:6" x14ac:dyDescent="0.25">
      <c r="C299" s="1"/>
      <c r="E299" s="29" t="str">
        <f>IFERROR(VLOOKUP(B299,'РП (расш)'!A:G,7,0),"")</f>
        <v/>
      </c>
      <c r="F299" t="str">
        <f ca="1">IF(A299="","",IF(B299&gt;0,IFERROR(IF(VLOOKUP(LEFT(B299,10),[2]Лист1!$A:$A,1,0)&gt;0,"КО"),IF(E299="","погашен",IF(B299&gt;0,IFERROR(IF(VLOOKUP(B299,'реестр просрочников'!B:B,1,0)&gt;0,"просрочен",),IF(TODAY()&gt;C299,"оплачен","грядет")),"")))))</f>
        <v/>
      </c>
    </row>
    <row r="300" spans="3:6" x14ac:dyDescent="0.25">
      <c r="C300" s="1"/>
      <c r="E300" s="29" t="str">
        <f>IFERROR(VLOOKUP(B300,'РП (расш)'!A:G,7,0),"")</f>
        <v/>
      </c>
      <c r="F300" t="str">
        <f ca="1">IF(A300="","",IF(B300&gt;0,IFERROR(IF(VLOOKUP(LEFT(B300,10),[2]Лист1!$A:$A,1,0)&gt;0,"КО"),IF(E300="","погашен",IF(B300&gt;0,IFERROR(IF(VLOOKUP(B300,'реестр просрочников'!B:B,1,0)&gt;0,"просрочен",),IF(TODAY()&gt;C300,"оплачен","грядет")),"")))))</f>
        <v/>
      </c>
    </row>
    <row r="301" spans="3:6" x14ac:dyDescent="0.25">
      <c r="C301" s="1"/>
      <c r="E301" s="29" t="str">
        <f>IFERROR(VLOOKUP(B301,'РП (расш)'!A:G,7,0),"")</f>
        <v/>
      </c>
      <c r="F301" t="str">
        <f ca="1">IF(A301="","",IF(B301&gt;0,IFERROR(IF(VLOOKUP(LEFT(B301,10),[2]Лист1!$A:$A,1,0)&gt;0,"КО"),IF(E301="","погашен",IF(B301&gt;0,IFERROR(IF(VLOOKUP(B301,'реестр просрочников'!B:B,1,0)&gt;0,"просрочен",),IF(TODAY()&gt;C301,"оплачен","грядет")),"")))))</f>
        <v/>
      </c>
    </row>
    <row r="302" spans="3:6" x14ac:dyDescent="0.25">
      <c r="C302" s="1"/>
      <c r="E302" s="29" t="str">
        <f>IFERROR(VLOOKUP(B302,'РП (расш)'!A:G,7,0),"")</f>
        <v/>
      </c>
      <c r="F302" t="str">
        <f ca="1">IF(A302="","",IF(B302&gt;0,IFERROR(IF(VLOOKUP(LEFT(B302,10),[2]Лист1!$A:$A,1,0)&gt;0,"КО"),IF(E302="","погашен",IF(B302&gt;0,IFERROR(IF(VLOOKUP(B302,'реестр просрочников'!B:B,1,0)&gt;0,"просрочен",),IF(TODAY()&gt;C302,"оплачен","грядет")),"")))))</f>
        <v/>
      </c>
    </row>
    <row r="303" spans="3:6" x14ac:dyDescent="0.25">
      <c r="C303" s="1"/>
      <c r="E303" s="29" t="str">
        <f>IFERROR(VLOOKUP(B303,'РП (расш)'!A:G,7,0),"")</f>
        <v/>
      </c>
      <c r="F303" t="str">
        <f ca="1">IF(A303="","",IF(B303&gt;0,IFERROR(IF(VLOOKUP(LEFT(B303,10),[2]Лист1!$A:$A,1,0)&gt;0,"КО"),IF(E303="","погашен",IF(B303&gt;0,IFERROR(IF(VLOOKUP(B303,'реестр просрочников'!B:B,1,0)&gt;0,"просрочен",),IF(TODAY()&gt;C303,"оплачен","грядет")),"")))))</f>
        <v/>
      </c>
    </row>
    <row r="304" spans="3:6" x14ac:dyDescent="0.25">
      <c r="C304" s="1"/>
      <c r="E304" s="29" t="str">
        <f>IFERROR(VLOOKUP(B304,'РП (расш)'!A:G,7,0),"")</f>
        <v/>
      </c>
      <c r="F304" t="str">
        <f ca="1">IF(A304="","",IF(B304&gt;0,IFERROR(IF(VLOOKUP(LEFT(B304,10),[2]Лист1!$A:$A,1,0)&gt;0,"КО"),IF(E304="","погашен",IF(B304&gt;0,IFERROR(IF(VLOOKUP(B304,'реестр просрочников'!B:B,1,0)&gt;0,"просрочен",),IF(TODAY()&gt;C304,"оплачен","грядет")),"")))))</f>
        <v/>
      </c>
    </row>
    <row r="305" spans="3:6" x14ac:dyDescent="0.25">
      <c r="C305" s="1"/>
      <c r="E305" s="29" t="str">
        <f>IFERROR(VLOOKUP(B305,'РП (расш)'!A:G,7,0),"")</f>
        <v/>
      </c>
      <c r="F305" t="str">
        <f ca="1">IF(A305="","",IF(B305&gt;0,IFERROR(IF(VLOOKUP(LEFT(B305,10),[2]Лист1!$A:$A,1,0)&gt;0,"КО"),IF(E305="","погашен",IF(B305&gt;0,IFERROR(IF(VLOOKUP(B305,'реестр просрочников'!B:B,1,0)&gt;0,"просрочен",),IF(TODAY()&gt;C305,"оплачен","грядет")),"")))))</f>
        <v/>
      </c>
    </row>
    <row r="306" spans="3:6" x14ac:dyDescent="0.25">
      <c r="C306" s="1"/>
    </row>
    <row r="307" spans="3:6" x14ac:dyDescent="0.25">
      <c r="C307" s="1"/>
    </row>
    <row r="308" spans="3:6" x14ac:dyDescent="0.25">
      <c r="C308" s="1"/>
    </row>
    <row r="309" spans="3:6" x14ac:dyDescent="0.25">
      <c r="C309" s="1"/>
    </row>
    <row r="310" spans="3:6" x14ac:dyDescent="0.25">
      <c r="C310" s="1"/>
    </row>
    <row r="311" spans="3:6" x14ac:dyDescent="0.25">
      <c r="C311" s="1"/>
    </row>
    <row r="312" spans="3:6" x14ac:dyDescent="0.25">
      <c r="C312" s="1"/>
    </row>
    <row r="313" spans="3:6" x14ac:dyDescent="0.25">
      <c r="C313" s="1"/>
    </row>
    <row r="314" spans="3:6" x14ac:dyDescent="0.25">
      <c r="C314" s="1"/>
    </row>
    <row r="315" spans="3:6" x14ac:dyDescent="0.25">
      <c r="C315" s="1"/>
    </row>
    <row r="316" spans="3:6" x14ac:dyDescent="0.25">
      <c r="C316" s="1"/>
    </row>
    <row r="317" spans="3:6" x14ac:dyDescent="0.25">
      <c r="C317" s="1"/>
    </row>
    <row r="318" spans="3:6" x14ac:dyDescent="0.25">
      <c r="C318" s="1"/>
    </row>
    <row r="319" spans="3:6" x14ac:dyDescent="0.25">
      <c r="C319" s="1"/>
    </row>
    <row r="320" spans="3:6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</sheetData>
  <mergeCells count="1">
    <mergeCell ref="J1:J2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75561-6AD7-43AF-BBBF-44F54C19C6CF}">
  <sheetPr codeName="Лист19"/>
  <dimension ref="A1:Q41"/>
  <sheetViews>
    <sheetView zoomScaleNormal="100" workbookViewId="0">
      <pane ySplit="1" topLeftCell="A2" activePane="bottomLeft" state="frozen"/>
      <selection pane="bottomLeft" activeCell="B17" sqref="B17"/>
    </sheetView>
  </sheetViews>
  <sheetFormatPr defaultRowHeight="15" x14ac:dyDescent="0.25"/>
  <cols>
    <col min="1" max="1" width="39.28515625" bestFit="1" customWidth="1"/>
    <col min="2" max="2" width="20.42578125" bestFit="1" customWidth="1"/>
    <col min="3" max="3" width="9.42578125" customWidth="1"/>
    <col min="4" max="4" width="16.5703125" customWidth="1"/>
    <col min="5" max="5" width="12.85546875" customWidth="1"/>
    <col min="6" max="6" width="11.42578125" customWidth="1"/>
    <col min="7" max="7" width="15.5703125" customWidth="1"/>
    <col min="8" max="8" width="15.85546875" customWidth="1"/>
    <col min="9" max="9" width="10.7109375" bestFit="1" customWidth="1"/>
    <col min="10" max="10" width="13.42578125" bestFit="1" customWidth="1"/>
    <col min="11" max="11" width="4.7109375" bestFit="1" customWidth="1"/>
    <col min="12" max="13" width="10.140625" bestFit="1" customWidth="1"/>
    <col min="14" max="15" width="12" customWidth="1"/>
    <col min="16" max="16" width="12" bestFit="1" customWidth="1"/>
    <col min="17" max="17" width="11.85546875" bestFit="1" customWidth="1"/>
    <col min="18" max="18" width="20.42578125" bestFit="1" customWidth="1"/>
    <col min="19" max="19" width="17.42578125" customWidth="1"/>
    <col min="20" max="20" width="8" bestFit="1" customWidth="1"/>
  </cols>
  <sheetData>
    <row r="1" spans="1:17" ht="15.75" thickBot="1" x14ac:dyDescent="0.3">
      <c r="A1" s="37" t="s">
        <v>2</v>
      </c>
      <c r="B1" s="37" t="s">
        <v>17</v>
      </c>
      <c r="C1" s="37" t="s">
        <v>357</v>
      </c>
      <c r="D1" s="37" t="s">
        <v>106</v>
      </c>
      <c r="E1" s="37" t="s">
        <v>9</v>
      </c>
      <c r="F1" s="37" t="s">
        <v>107</v>
      </c>
      <c r="G1" s="37" t="s">
        <v>108</v>
      </c>
      <c r="H1" s="37" t="s">
        <v>109</v>
      </c>
      <c r="I1" s="37" t="s">
        <v>92</v>
      </c>
      <c r="J1" s="37" t="s">
        <v>110</v>
      </c>
      <c r="K1" s="37" t="s">
        <v>111</v>
      </c>
      <c r="L1" s="37" t="s">
        <v>112</v>
      </c>
      <c r="M1" s="38" t="s">
        <v>362</v>
      </c>
      <c r="N1" s="39" t="s">
        <v>115</v>
      </c>
    </row>
    <row r="2" spans="1:17" x14ac:dyDescent="0.25">
      <c r="A2" t="s">
        <v>227</v>
      </c>
      <c r="B2" t="s">
        <v>226</v>
      </c>
      <c r="C2">
        <v>5</v>
      </c>
      <c r="D2" s="29">
        <f>VLOOKUP(B2,'РП (расш)'!A:E,5,0)</f>
        <v>0</v>
      </c>
      <c r="E2" s="29">
        <f>VLOOKUP(B2,'РП (расш)'!A:G,7,0)</f>
        <v>0</v>
      </c>
      <c r="F2" s="29">
        <f>VLOOKUP(B2,'РП (расш)'!A:K,11,0)</f>
        <v>0</v>
      </c>
      <c r="G2" s="23">
        <f>IFERROR(IF(SEARCH("КЭ",B2),(D2-F2)*1%*C2),IFERROR(IF(VLOOKUP(B2,КО!A:A,1,0)&gt;"",((VLOOKUP(B2,'РП (расш)'!A:E,5,0)-F2)*0.054%)*C2),(E2*0.054%)*C2))</f>
        <v>0</v>
      </c>
      <c r="H2" s="29">
        <f t="shared" ref="H2:H37" si="0">ROUNDDOWN(IF(N2="да",F2,IF(G2&gt;F2,F2,G2)),0)</f>
        <v>0</v>
      </c>
      <c r="I2" s="36">
        <f>IF(L2=4,_xlfn.FLOOR.MATH(VLOOKUP(B2,'РП (расш)'!A:I,9,0)*0.66+IF(N2="да",VLOOKUP(B2,'РП (расш)'!A:K,11,0),G2),1),IF(L2=3,_xlfn.FLOOR.MATH(VLOOKUP(B2,'РП (расш)'!A:I,9,0)/2+IF(N2="да",VLOOKUP(B2,'РП (расш)'!A:K,11,0),G2),1),IF(L2=2,_xlfn.FLOOR.MATH(VLOOKUP(B2,'РП (расш)'!A:I,9,0)/3+IF(N2="да",VLOOKUP(B2,'РП (расш)'!A:K,11,0),G2),1),IF(AND(L2=1,N2="да"),F2,H2))))</f>
        <v>0</v>
      </c>
      <c r="J2" s="36">
        <f>IF(L2=4,_xlfn.CEILING.MATH(VLOOKUP(B2,'РП (расш)'!A:H,8,0)+(VLOOKUP(B2,'РП (расш)'!A:I,9,0)/3),1),IF(L2=3,_xlfn.CEILING.MATH(VLOOKUP(B2,'РП (расш)'!A:H,8,0)+(VLOOKUP(B2,'РП (расш)'!A:I,9,0)/2),1),IF(L2=2,_xlfn.CEILING.MATH(VLOOKUP(B2,'РП (расш)'!A:H,8,0)+(VLOOKUP(B2,'РП (расш)'!A:I,9,0)*0.67),1),D2-F2)))+1</f>
        <v>1</v>
      </c>
      <c r="K2" t="str">
        <f>IFERROR(IF(VLOOKUP(LEFT(B2,10),[2]Лист1!$A:$A,1,0)&lt;&gt;"","КО"),"ОСК")</f>
        <v>ОСК</v>
      </c>
      <c r="L2">
        <v>1</v>
      </c>
      <c r="N2" t="s">
        <v>113</v>
      </c>
      <c r="P2" s="23"/>
      <c r="Q2" s="1"/>
    </row>
    <row r="3" spans="1:17" x14ac:dyDescent="0.25">
      <c r="A3" t="s">
        <v>268</v>
      </c>
      <c r="B3" t="s">
        <v>267</v>
      </c>
      <c r="C3">
        <v>5</v>
      </c>
      <c r="D3" s="29" t="e">
        <f>VLOOKUP(B3,'РП (расш)'!A:E,5,0)</f>
        <v>#N/A</v>
      </c>
      <c r="E3" s="29" t="e">
        <f>VLOOKUP(B3,'РП (расш)'!A:G,7,0)</f>
        <v>#N/A</v>
      </c>
      <c r="F3" s="29" t="e">
        <f>VLOOKUP(B3,'РП (расш)'!A:K,11,0)</f>
        <v>#N/A</v>
      </c>
      <c r="G3" s="23" t="e">
        <f>IFERROR(IF(SEARCH("КЭ",B3),(D3-F3)*1%*C3),IFERROR(IF(VLOOKUP(B3,КО!A:A,1,0)&gt;"",((VLOOKUP(B3,'РП (расш)'!A:E,5,0)-F3)*0.054%)*C3),(E3*0.054%)*C3))</f>
        <v>#N/A</v>
      </c>
      <c r="H3" s="29" t="e">
        <f t="shared" si="0"/>
        <v>#N/A</v>
      </c>
      <c r="I3" s="36" t="e">
        <f>IF(L3=4,_xlfn.FLOOR.MATH(VLOOKUP(B3,'РП (расш)'!A:I,9,0)*0.66+IF(N3="да",VLOOKUP(B3,'РП (расш)'!A:K,11,0),G3),1),IF(L3=3,_xlfn.FLOOR.MATH(VLOOKUP(B3,'РП (расш)'!A:I,9,0)/2+IF(N3="да",VLOOKUP(B3,'РП (расш)'!A:K,11,0),G3),1),IF(L3=2,_xlfn.FLOOR.MATH(VLOOKUP(B3,'РП (расш)'!A:I,9,0)/3+IF(N3="да",VLOOKUP(B3,'РП (расш)'!A:K,11,0),G3),1),IF(AND(L3=1,N3="да"),F3,H3))))</f>
        <v>#N/A</v>
      </c>
      <c r="J3" s="36" t="e">
        <f>IF(L3=4,_xlfn.CEILING.MATH(VLOOKUP(B3,'РП (расш)'!A:H,8,0)+(VLOOKUP(B3,'РП (расш)'!A:I,9,0)/3),1),IF(L3=3,_xlfn.CEILING.MATH(VLOOKUP(B3,'РП (расш)'!A:H,8,0)+(VLOOKUP(B3,'РП (расш)'!A:I,9,0)/2),1),IF(L3=2,_xlfn.CEILING.MATH(VLOOKUP(B3,'РП (расш)'!A:H,8,0)+(VLOOKUP(B3,'РП (расш)'!A:I,9,0)*0.67),1),D3-F3)))+1</f>
        <v>#N/A</v>
      </c>
      <c r="K3" t="str">
        <f>IFERROR(IF(VLOOKUP(LEFT(B3,10),[2]Лист1!$A:$A,1,0)&lt;&gt;"","КО"),"ОСК")</f>
        <v>КО</v>
      </c>
      <c r="L3">
        <v>1</v>
      </c>
      <c r="N3" t="s">
        <v>113</v>
      </c>
      <c r="P3" s="23"/>
    </row>
    <row r="4" spans="1:17" x14ac:dyDescent="0.25">
      <c r="A4" t="s">
        <v>256</v>
      </c>
      <c r="B4" t="s">
        <v>255</v>
      </c>
      <c r="C4">
        <v>5</v>
      </c>
      <c r="D4" s="29">
        <f>VLOOKUP(B4,'РП (расш)'!A:E,5,0)</f>
        <v>0</v>
      </c>
      <c r="E4" s="29">
        <f>VLOOKUP(B4,'РП (расш)'!A:G,7,0)</f>
        <v>0</v>
      </c>
      <c r="F4" s="29">
        <f>VLOOKUP(B4,'РП (расш)'!A:K,11,0)</f>
        <v>0</v>
      </c>
      <c r="G4" s="23">
        <f>IFERROR(IF(SEARCH("КЭ",B4),(D4-F4)*1%*C4),IFERROR(IF(VLOOKUP(B4,КО!A:A,1,0)&gt;"",((VLOOKUP(B4,'РП (расш)'!A:E,5,0)-F4)*0.054%)*C4),(E4*0.054%)*C4))</f>
        <v>0</v>
      </c>
      <c r="H4" s="29">
        <f t="shared" si="0"/>
        <v>0</v>
      </c>
      <c r="I4" s="36">
        <f>IF(L4=4,_xlfn.FLOOR.MATH(VLOOKUP(B4,'РП (расш)'!A:I,9,0)*0.66+IF(N4="да",VLOOKUP(B4,'РП (расш)'!A:K,11,0),G4),1),IF(L4=3,_xlfn.FLOOR.MATH(VLOOKUP(B4,'РП (расш)'!A:I,9,0)/2+IF(N4="да",VLOOKUP(B4,'РП (расш)'!A:K,11,0),G4),1),IF(L4=2,_xlfn.FLOOR.MATH(VLOOKUP(B4,'РП (расш)'!A:I,9,0)/3+IF(N4="да",VLOOKUP(B4,'РП (расш)'!A:K,11,0),G4),1),IF(AND(L4=1,N4="да"),F4,H4))))</f>
        <v>0</v>
      </c>
      <c r="J4" s="36">
        <f>IF(L4=4,_xlfn.CEILING.MATH(VLOOKUP(B4,'РП (расш)'!A:H,8,0)+(VLOOKUP(B4,'РП (расш)'!A:I,9,0)/3),1),IF(L4=3,_xlfn.CEILING.MATH(VLOOKUP(B4,'РП (расш)'!A:H,8,0)+(VLOOKUP(B4,'РП (расш)'!A:I,9,0)/2),1),IF(L4=2,_xlfn.CEILING.MATH(VLOOKUP(B4,'РП (расш)'!A:H,8,0)+(VLOOKUP(B4,'РП (расш)'!A:I,9,0)*0.67),1),D4-F4)))+1</f>
        <v>1</v>
      </c>
      <c r="K4" t="str">
        <f>IFERROR(IF(VLOOKUP(LEFT(B4,10),[2]Лист1!$A:$A,1,0)&lt;&gt;"","КО"),"ОСК")</f>
        <v>ОСК</v>
      </c>
      <c r="L4">
        <v>1</v>
      </c>
      <c r="N4" t="s">
        <v>113</v>
      </c>
      <c r="P4" s="23"/>
    </row>
    <row r="5" spans="1:17" x14ac:dyDescent="0.25">
      <c r="A5" t="s">
        <v>318</v>
      </c>
      <c r="B5" t="s">
        <v>317</v>
      </c>
      <c r="C5">
        <v>5</v>
      </c>
      <c r="D5" s="29" t="e">
        <f>VLOOKUP(B5,'РП (расш)'!A:E,5,0)</f>
        <v>#N/A</v>
      </c>
      <c r="E5" s="29" t="e">
        <f>VLOOKUP(B5,'РП (расш)'!A:G,7,0)</f>
        <v>#N/A</v>
      </c>
      <c r="F5" s="29" t="e">
        <f>VLOOKUP(B5,'РП (расш)'!A:K,11,0)</f>
        <v>#N/A</v>
      </c>
      <c r="G5" s="23" t="e">
        <f>IFERROR(IF(SEARCH("КЭ",B5),(D5-F5)*1%*C5),IFERROR(IF(VLOOKUP(B5,КО!A:A,1,0)&gt;"",((VLOOKUP(B5,'РП (расш)'!A:E,5,0)-F5)*0.054%)*C5),(E5*0.054%)*C5))</f>
        <v>#N/A</v>
      </c>
      <c r="H5" s="29" t="e">
        <f t="shared" si="0"/>
        <v>#N/A</v>
      </c>
      <c r="I5" s="36" t="e">
        <f>IF(L5=4,_xlfn.FLOOR.MATH(VLOOKUP(B5,'РП (расш)'!A:I,9,0)*0.66+IF(N5="да",VLOOKUP(B5,'РП (расш)'!A:K,11,0),G5),1),IF(L5=3,_xlfn.FLOOR.MATH(VLOOKUP(B5,'РП (расш)'!A:I,9,0)/2+IF(N5="да",VLOOKUP(B5,'РП (расш)'!A:K,11,0),G5),1),IF(L5=2,_xlfn.FLOOR.MATH(VLOOKUP(B5,'РП (расш)'!A:I,9,0)/3+IF(N5="да",VLOOKUP(B5,'РП (расш)'!A:K,11,0),G5),1),IF(AND(L5=1,N5="да"),F5,H5))))</f>
        <v>#N/A</v>
      </c>
      <c r="J5" s="36" t="e">
        <f>IF(L5=4,_xlfn.CEILING.MATH(VLOOKUP(B5,'РП (расш)'!A:H,8,0)+(VLOOKUP(B5,'РП (расш)'!A:I,9,0)/3),1),IF(L5=3,_xlfn.CEILING.MATH(VLOOKUP(B5,'РП (расш)'!A:H,8,0)+(VLOOKUP(B5,'РП (расш)'!A:I,9,0)/2),1),IF(L5=2,_xlfn.CEILING.MATH(VLOOKUP(B5,'РП (расш)'!A:H,8,0)+(VLOOKUP(B5,'РП (расш)'!A:I,9,0)*0.67),1),D5-F5)))+1</f>
        <v>#N/A</v>
      </c>
      <c r="K5" t="str">
        <f>IFERROR(IF(VLOOKUP(LEFT(B5,10),[2]Лист1!$A:$A,1,0)&lt;&gt;"","КО"),"ОСК")</f>
        <v>КО</v>
      </c>
      <c r="L5">
        <v>1</v>
      </c>
      <c r="N5" t="s">
        <v>113</v>
      </c>
      <c r="P5" s="23"/>
    </row>
    <row r="6" spans="1:17" x14ac:dyDescent="0.25">
      <c r="A6" t="s">
        <v>53</v>
      </c>
      <c r="B6" t="s">
        <v>85</v>
      </c>
      <c r="C6">
        <v>5</v>
      </c>
      <c r="D6" s="29">
        <f>VLOOKUP(B6,'РП (расш)'!A:E,5,0)</f>
        <v>0</v>
      </c>
      <c r="E6" s="29">
        <f>VLOOKUP(B6,'РП (расш)'!A:G,7,0)</f>
        <v>0</v>
      </c>
      <c r="F6" s="29">
        <f>VLOOKUP(B6,'РП (расш)'!A:K,11,0)</f>
        <v>0</v>
      </c>
      <c r="G6" s="23">
        <f>IFERROR(IF(SEARCH("КЭ",B6),(D6-F6)*1%*C6),IFERROR(IF(VLOOKUP(B6,КО!A:A,1,0)&gt;"",((VLOOKUP(B6,'РП (расш)'!A:E,5,0)-F6)*0.054%)*C6),(E6*0.054%)*C6))</f>
        <v>0</v>
      </c>
      <c r="H6" s="29">
        <f t="shared" si="0"/>
        <v>0</v>
      </c>
      <c r="I6" s="36">
        <f>IF(L6=4,_xlfn.FLOOR.MATH(VLOOKUP(B6,'РП (расш)'!A:I,9,0)*0.66+IF(N6="да",VLOOKUP(B6,'РП (расш)'!A:K,11,0),G6),1),IF(L6=3,_xlfn.FLOOR.MATH(VLOOKUP(B6,'РП (расш)'!A:I,9,0)/2+IF(N6="да",VLOOKUP(B6,'РП (расш)'!A:K,11,0),G6),1),IF(L6=2,_xlfn.FLOOR.MATH(VLOOKUP(B6,'РП (расш)'!A:I,9,0)/3+IF(N6="да",VLOOKUP(B6,'РП (расш)'!A:K,11,0),G6),1),IF(AND(L6=1,N6="да"),F6,H6))))</f>
        <v>0</v>
      </c>
      <c r="J6" s="36">
        <f>IF(L6=4,_xlfn.CEILING.MATH(VLOOKUP(B6,'РП (расш)'!A:H,8,0)+(VLOOKUP(B6,'РП (расш)'!A:I,9,0)/3),1),IF(L6=3,_xlfn.CEILING.MATH(VLOOKUP(B6,'РП (расш)'!A:H,8,0)+(VLOOKUP(B6,'РП (расш)'!A:I,9,0)/2),1),IF(L6=2,_xlfn.CEILING.MATH(VLOOKUP(B6,'РП (расш)'!A:H,8,0)+(VLOOKUP(B6,'РП (расш)'!A:I,9,0)*0.67),1),D6-F6)))+1</f>
        <v>1</v>
      </c>
      <c r="K6" t="str">
        <f>IFERROR(IF(VLOOKUP(LEFT(B6,10),[2]Лист1!$A:$A,1,0)&lt;&gt;"","КО"),"ОСК")</f>
        <v>ОСК</v>
      </c>
      <c r="L6">
        <v>1</v>
      </c>
      <c r="N6" t="s">
        <v>113</v>
      </c>
      <c r="P6" s="23"/>
    </row>
    <row r="7" spans="1:17" x14ac:dyDescent="0.25">
      <c r="A7" t="s">
        <v>129</v>
      </c>
      <c r="B7" t="s">
        <v>128</v>
      </c>
      <c r="C7">
        <v>5</v>
      </c>
      <c r="D7" s="29">
        <f>VLOOKUP(B7,'РП (расш)'!A:E,5,0)</f>
        <v>0</v>
      </c>
      <c r="E7" s="29">
        <f>VLOOKUP(B7,'РП (расш)'!A:G,7,0)</f>
        <v>0</v>
      </c>
      <c r="F7" s="29">
        <f>VLOOKUP(B7,'РП (расш)'!A:K,11,0)</f>
        <v>0</v>
      </c>
      <c r="G7" s="23">
        <f>IFERROR(IF(SEARCH("КЭ",B7),(D7-F7)*1%*C7),IFERROR(IF(VLOOKUP(B7,КО!A:A,1,0)&gt;"",((VLOOKUP(B7,'РП (расш)'!A:E,5,0)-F7)*0.054%)*C7),(E7*0.054%)*C7))</f>
        <v>0</v>
      </c>
      <c r="H7" s="29">
        <f t="shared" si="0"/>
        <v>0</v>
      </c>
      <c r="I7" s="36">
        <f>IF(L7=4,_xlfn.FLOOR.MATH(VLOOKUP(B7,'РП (расш)'!A:I,9,0)*0.66+IF(N7="да",VLOOKUP(B7,'РП (расш)'!A:K,11,0),G7),1),IF(L7=3,_xlfn.FLOOR.MATH(VLOOKUP(B7,'РП (расш)'!A:I,9,0)/2+IF(N7="да",VLOOKUP(B7,'РП (расш)'!A:K,11,0),G7),1),IF(L7=2,_xlfn.FLOOR.MATH(VLOOKUP(B7,'РП (расш)'!A:I,9,0)/3+IF(N7="да",VLOOKUP(B7,'РП (расш)'!A:K,11,0),G7),1),IF(AND(L7=1,N7="да"),F7,H7))))</f>
        <v>0</v>
      </c>
      <c r="J7" s="36">
        <f>IF(L7=4,_xlfn.CEILING.MATH(VLOOKUP(B7,'РП (расш)'!A:H,8,0)+(VLOOKUP(B7,'РП (расш)'!A:I,9,0)/3),1),IF(L7=3,_xlfn.CEILING.MATH(VLOOKUP(B7,'РП (расш)'!A:H,8,0)+(VLOOKUP(B7,'РП (расш)'!A:I,9,0)/2),1),IF(L7=2,_xlfn.CEILING.MATH(VLOOKUP(B7,'РП (расш)'!A:H,8,0)+(VLOOKUP(B7,'РП (расш)'!A:I,9,0)*0.67),1),D7-F7)))+1</f>
        <v>1</v>
      </c>
      <c r="K7" t="str">
        <f>IFERROR(IF(VLOOKUP(LEFT(B7,10),[2]Лист1!$A:$A,1,0)&lt;&gt;"","КО"),"ОСК")</f>
        <v>ОСК</v>
      </c>
      <c r="L7">
        <v>1</v>
      </c>
      <c r="N7" t="s">
        <v>113</v>
      </c>
      <c r="P7" s="23"/>
    </row>
    <row r="8" spans="1:17" x14ac:dyDescent="0.25">
      <c r="A8" t="s">
        <v>258</v>
      </c>
      <c r="B8" t="s">
        <v>259</v>
      </c>
      <c r="C8">
        <v>5</v>
      </c>
      <c r="D8" s="29">
        <f>VLOOKUP(B8,'РП (расш)'!A:E,5,0)</f>
        <v>0</v>
      </c>
      <c r="E8" s="29">
        <f>VLOOKUP(B8,'РП (расш)'!A:G,7,0)</f>
        <v>0</v>
      </c>
      <c r="F8" s="29">
        <f>VLOOKUP(B8,'РП (расш)'!A:K,11,0)</f>
        <v>0</v>
      </c>
      <c r="G8" s="23">
        <f>IFERROR(IF(SEARCH("КЭ",B8),(D8-F8)*1%*C8),IFERROR(IF(VLOOKUP(B8,КО!A:A,1,0)&gt;"",((VLOOKUP(B8,'РП (расш)'!A:E,5,0)-F8)*0.054%)*C8),(E8*0.054%)*C8))</f>
        <v>0</v>
      </c>
      <c r="H8" s="29">
        <f t="shared" si="0"/>
        <v>0</v>
      </c>
      <c r="I8" s="36">
        <f>IF(L8=4,_xlfn.FLOOR.MATH(VLOOKUP(B8,'РП (расш)'!A:I,9,0)*0.66+IF(N8="да",VLOOKUP(B8,'РП (расш)'!A:K,11,0),G8),1),IF(L8=3,_xlfn.FLOOR.MATH(VLOOKUP(B8,'РП (расш)'!A:I,9,0)/2+IF(N8="да",VLOOKUP(B8,'РП (расш)'!A:K,11,0),G8),1),IF(L8=2,_xlfn.FLOOR.MATH(VLOOKUP(B8,'РП (расш)'!A:I,9,0)/3+IF(N8="да",VLOOKUP(B8,'РП (расш)'!A:K,11,0),G8),1),IF(AND(L8=1,N8="да"),F8,H8))))</f>
        <v>0</v>
      </c>
      <c r="J8" s="36">
        <f>IF(L8=4,_xlfn.CEILING.MATH(VLOOKUP(B8,'РП (расш)'!A:H,8,0)+(VLOOKUP(B8,'РП (расш)'!A:I,9,0)/3),1),IF(L8=3,_xlfn.CEILING.MATH(VLOOKUP(B8,'РП (расш)'!A:H,8,0)+(VLOOKUP(B8,'РП (расш)'!A:I,9,0)/2),1),IF(L8=2,_xlfn.CEILING.MATH(VLOOKUP(B8,'РП (расш)'!A:H,8,0)+(VLOOKUP(B8,'РП (расш)'!A:I,9,0)*0.67),1),D8-F8)))+1</f>
        <v>1</v>
      </c>
      <c r="K8" t="str">
        <f>IFERROR(IF(VLOOKUP(LEFT(B8,10),[2]Лист1!$A:$A,1,0)&lt;&gt;"","КО"),"ОСК")</f>
        <v>ОСК</v>
      </c>
      <c r="L8">
        <v>1</v>
      </c>
      <c r="N8" t="s">
        <v>113</v>
      </c>
      <c r="P8" s="23"/>
    </row>
    <row r="9" spans="1:17" x14ac:dyDescent="0.25">
      <c r="A9" t="s">
        <v>63</v>
      </c>
      <c r="B9" t="s">
        <v>64</v>
      </c>
      <c r="C9">
        <v>5</v>
      </c>
      <c r="D9" s="29" t="e">
        <f>VLOOKUP(B9,'РП (расш)'!A:E,5,0)</f>
        <v>#N/A</v>
      </c>
      <c r="E9" s="29" t="e">
        <f>VLOOKUP(B9,'РП (расш)'!A:G,7,0)</f>
        <v>#N/A</v>
      </c>
      <c r="F9" s="29" t="e">
        <f>VLOOKUP(B9,'РП (расш)'!A:K,11,0)</f>
        <v>#N/A</v>
      </c>
      <c r="G9" s="23" t="e">
        <f>IFERROR(IF(SEARCH("КЭ",B9),(D9-F9)*1%*C9),IFERROR(IF(VLOOKUP(B9,КО!A:A,1,0)&gt;"",((VLOOKUP(B9,'РП (расш)'!A:E,5,0)-F9)*0.054%)*C9),(E9*0.054%)*C9))</f>
        <v>#N/A</v>
      </c>
      <c r="H9" s="29" t="e">
        <f t="shared" si="0"/>
        <v>#N/A</v>
      </c>
      <c r="I9" s="36" t="e">
        <f>IF(L9=4,_xlfn.FLOOR.MATH(VLOOKUP(B9,'РП (расш)'!A:I,9,0)*0.66+IF(N9="да",VLOOKUP(B9,'РП (расш)'!A:K,11,0),G9),1),IF(L9=3,_xlfn.FLOOR.MATH(VLOOKUP(B9,'РП (расш)'!A:I,9,0)/2+IF(N9="да",VLOOKUP(B9,'РП (расш)'!A:K,11,0),G9),1),IF(L9=2,_xlfn.FLOOR.MATH(VLOOKUP(B9,'РП (расш)'!A:I,9,0)/3+IF(N9="да",VLOOKUP(B9,'РП (расш)'!A:K,11,0),G9),1),IF(AND(L9=1,N9="да"),F9,H9))))</f>
        <v>#N/A</v>
      </c>
      <c r="J9" s="36" t="e">
        <f>IF(L9=4,_xlfn.CEILING.MATH(VLOOKUP(B9,'РП (расш)'!A:H,8,0)+(VLOOKUP(B9,'РП (расш)'!A:I,9,0)/3),1),IF(L9=3,_xlfn.CEILING.MATH(VLOOKUP(B9,'РП (расш)'!A:H,8,0)+(VLOOKUP(B9,'РП (расш)'!A:I,9,0)/2),1),IF(L9=2,_xlfn.CEILING.MATH(VLOOKUP(B9,'РП (расш)'!A:H,8,0)+(VLOOKUP(B9,'РП (расш)'!A:I,9,0)*0.67),1),D9-F9)))+1</f>
        <v>#N/A</v>
      </c>
      <c r="K9" t="str">
        <f>IFERROR(IF(VLOOKUP(LEFT(B9,10),[2]Лист1!$A:$A,1,0)&lt;&gt;"","КО"),"ОСК")</f>
        <v>ОСК</v>
      </c>
      <c r="L9">
        <v>1</v>
      </c>
      <c r="N9" t="s">
        <v>113</v>
      </c>
      <c r="P9" s="23"/>
    </row>
    <row r="10" spans="1:17" x14ac:dyDescent="0.25">
      <c r="A10" t="s">
        <v>71</v>
      </c>
      <c r="B10" t="s">
        <v>70</v>
      </c>
      <c r="C10">
        <v>5</v>
      </c>
      <c r="D10" s="29" t="e">
        <f>VLOOKUP(B10,'РП (расш)'!A:E,5,0)</f>
        <v>#N/A</v>
      </c>
      <c r="E10" s="29" t="e">
        <f>VLOOKUP(B10,'РП (расш)'!A:G,7,0)</f>
        <v>#N/A</v>
      </c>
      <c r="F10" s="29" t="e">
        <f>VLOOKUP(B10,'РП (расш)'!A:K,11,0)</f>
        <v>#N/A</v>
      </c>
      <c r="G10" s="23" t="e">
        <f>IFERROR(IF(SEARCH("КЭ",B10),(D10-F10)*1%*C10),IFERROR(IF(VLOOKUP(B10,КО!A:A,1,0)&gt;"",((VLOOKUP(B10,'РП (расш)'!A:E,5,0)-F10)*0.054%)*C10),(E10*0.054%)*C10))</f>
        <v>#N/A</v>
      </c>
      <c r="H10" s="29" t="e">
        <f t="shared" si="0"/>
        <v>#N/A</v>
      </c>
      <c r="I10" s="36" t="e">
        <f>IF(L10=4,_xlfn.FLOOR.MATH(VLOOKUP(B10,'РП (расш)'!A:I,9,0)*0.66+IF(N10="да",VLOOKUP(B10,'РП (расш)'!A:K,11,0),G10),1),IF(L10=3,_xlfn.FLOOR.MATH(VLOOKUP(B10,'РП (расш)'!A:I,9,0)/2+IF(N10="да",VLOOKUP(B10,'РП (расш)'!A:K,11,0),G10),1),IF(L10=2,_xlfn.FLOOR.MATH(VLOOKUP(B10,'РП (расш)'!A:I,9,0)/3+IF(N10="да",VLOOKUP(B10,'РП (расш)'!A:K,11,0),G10),1),IF(AND(L10=1,N10="да"),F10,H10))))</f>
        <v>#N/A</v>
      </c>
      <c r="J10" s="36" t="e">
        <f>IF(L10=4,_xlfn.CEILING.MATH(VLOOKUP(B10,'РП (расш)'!A:H,8,0)+(VLOOKUP(B10,'РП (расш)'!A:I,9,0)/3),1),IF(L10=3,_xlfn.CEILING.MATH(VLOOKUP(B10,'РП (расш)'!A:H,8,0)+(VLOOKUP(B10,'РП (расш)'!A:I,9,0)/2),1),IF(L10=2,_xlfn.CEILING.MATH(VLOOKUP(B10,'РП (расш)'!A:H,8,0)+(VLOOKUP(B10,'РП (расш)'!A:I,9,0)*0.67),1),D10-F10)))+1</f>
        <v>#N/A</v>
      </c>
      <c r="K10" t="str">
        <f>IFERROR(IF(VLOOKUP(LEFT(B10,10),[2]Лист1!$A:$A,1,0)&lt;&gt;"","КО"),"ОСК")</f>
        <v>ОСК</v>
      </c>
      <c r="L10">
        <v>1</v>
      </c>
      <c r="N10" t="s">
        <v>113</v>
      </c>
      <c r="P10" s="23"/>
    </row>
    <row r="11" spans="1:17" x14ac:dyDescent="0.25">
      <c r="A11" t="s">
        <v>71</v>
      </c>
      <c r="B11" t="s">
        <v>356</v>
      </c>
      <c r="C11">
        <v>5</v>
      </c>
      <c r="D11" s="29" t="e">
        <f>VLOOKUP(B11,'РП (расш)'!A:E,5,0)</f>
        <v>#N/A</v>
      </c>
      <c r="E11" s="29" t="e">
        <f>VLOOKUP(B11,'РП (расш)'!A:G,7,0)</f>
        <v>#N/A</v>
      </c>
      <c r="F11" s="29" t="e">
        <f>VLOOKUP(B11,'РП (расш)'!A:K,11,0)</f>
        <v>#N/A</v>
      </c>
      <c r="G11" s="23" t="e">
        <f>IFERROR(IF(SEARCH("КЭ",B11),(D11-F11)*1%*C11),IFERROR(IF(VLOOKUP(B11,КО!A:A,1,0)&gt;"",((VLOOKUP(B11,'РП (расш)'!A:E,5,0)-F11)*0.054%)*C11),(E11*0.054%)*C11))</f>
        <v>#N/A</v>
      </c>
      <c r="H11" s="29" t="e">
        <f t="shared" si="0"/>
        <v>#N/A</v>
      </c>
      <c r="I11" s="36" t="e">
        <f>IF(L11=4,_xlfn.FLOOR.MATH(VLOOKUP(B11,'РП (расш)'!A:I,9,0)*0.66+IF(N11="да",VLOOKUP(B11,'РП (расш)'!A:K,11,0),G11),1),IF(L11=3,_xlfn.FLOOR.MATH(VLOOKUP(B11,'РП (расш)'!A:I,9,0)/2+IF(N11="да",VLOOKUP(B11,'РП (расш)'!A:K,11,0),G11),1),IF(L11=2,_xlfn.FLOOR.MATH(VLOOKUP(B11,'РП (расш)'!A:I,9,0)/3+IF(N11="да",VLOOKUP(B11,'РП (расш)'!A:K,11,0),G11),1),IF(AND(L11=1,N11="да"),F11,H11))))</f>
        <v>#N/A</v>
      </c>
      <c r="J11" s="36" t="e">
        <f>IF(L11=4,_xlfn.CEILING.MATH(VLOOKUP(B11,'РП (расш)'!A:H,8,0)+(VLOOKUP(B11,'РП (расш)'!A:I,9,0)/3),1),IF(L11=3,_xlfn.CEILING.MATH(VLOOKUP(B11,'РП (расш)'!A:H,8,0)+(VLOOKUP(B11,'РП (расш)'!A:I,9,0)/2),1),IF(L11=2,_xlfn.CEILING.MATH(VLOOKUP(B11,'РП (расш)'!A:H,8,0)+(VLOOKUP(B11,'РП (расш)'!A:I,9,0)*0.67),1),D11-F11)))+1</f>
        <v>#N/A</v>
      </c>
      <c r="K11" t="str">
        <f>IFERROR(IF(VLOOKUP(LEFT(B11,10),[2]Лист1!$A:$A,1,0)&lt;&gt;"","КО"),"ОСК")</f>
        <v>ОСК</v>
      </c>
      <c r="L11">
        <v>1</v>
      </c>
      <c r="N11" t="s">
        <v>113</v>
      </c>
      <c r="P11" s="23"/>
    </row>
    <row r="12" spans="1:17" x14ac:dyDescent="0.25">
      <c r="A12" t="s">
        <v>65</v>
      </c>
      <c r="B12" t="s">
        <v>68</v>
      </c>
      <c r="C12">
        <v>4</v>
      </c>
      <c r="D12" s="29">
        <f>VLOOKUP(B12,'РП (расш)'!A:E,5,0)</f>
        <v>0</v>
      </c>
      <c r="E12" s="29">
        <f>VLOOKUP(B12,'РП (расш)'!A:G,7,0)</f>
        <v>0</v>
      </c>
      <c r="F12" s="29">
        <f>VLOOKUP(B12,'РП (расш)'!A:K,11,0)</f>
        <v>0</v>
      </c>
      <c r="G12" s="23">
        <f>IFERROR(IF(SEARCH("КЭ",B12),(D12-F12)*1%*C12),IFERROR(IF(VLOOKUP(B12,КО!A:A,1,0)&gt;"",((VLOOKUP(B12,'РП (расш)'!A:E,5,0)-F12)*0.054%)*C12),(E12*0.054%)*C12))</f>
        <v>0</v>
      </c>
      <c r="H12" s="29">
        <f t="shared" si="0"/>
        <v>0</v>
      </c>
      <c r="I12" s="36">
        <f>IF(L12=4,_xlfn.FLOOR.MATH(VLOOKUP(B12,'РП (расш)'!A:I,9,0)*0.66+IF(N12="да",VLOOKUP(B12,'РП (расш)'!A:K,11,0),G12),1),IF(L12=3,_xlfn.FLOOR.MATH(VLOOKUP(B12,'РП (расш)'!A:I,9,0)/2+IF(N12="да",VLOOKUP(B12,'РП (расш)'!A:K,11,0),G12),1),IF(L12=2,_xlfn.FLOOR.MATH(VLOOKUP(B12,'РП (расш)'!A:I,9,0)/3+IF(N12="да",VLOOKUP(B12,'РП (расш)'!A:K,11,0),G12),1),IF(AND(L12=1,N12="да"),F12,H12))))</f>
        <v>0</v>
      </c>
      <c r="J12" s="36">
        <f>IF(L12=4,_xlfn.CEILING.MATH(VLOOKUP(B12,'РП (расш)'!A:H,8,0)+(VLOOKUP(B12,'РП (расш)'!A:I,9,0)/3),1),IF(L12=3,_xlfn.CEILING.MATH(VLOOKUP(B12,'РП (расш)'!A:H,8,0)+(VLOOKUP(B12,'РП (расш)'!A:I,9,0)/2),1),IF(L12=2,_xlfn.CEILING.MATH(VLOOKUP(B12,'РП (расш)'!A:H,8,0)+(VLOOKUP(B12,'РП (расш)'!A:I,9,0)*0.67),1),D12-F12)))+1</f>
        <v>1</v>
      </c>
      <c r="K12" t="str">
        <f>IFERROR(IF(VLOOKUP(LEFT(B12,10),[2]Лист1!$A:$A,1,0)&lt;&gt;"","КО"),"ОСК")</f>
        <v>ОСК</v>
      </c>
      <c r="L12">
        <v>1</v>
      </c>
      <c r="N12" t="s">
        <v>113</v>
      </c>
      <c r="P12" s="23"/>
    </row>
    <row r="13" spans="1:17" x14ac:dyDescent="0.25">
      <c r="A13" t="s">
        <v>87</v>
      </c>
      <c r="B13" t="s">
        <v>86</v>
      </c>
      <c r="C13">
        <v>4</v>
      </c>
      <c r="D13" s="29" t="e">
        <f>VLOOKUP(B13,'РП (расш)'!A:E,5,0)</f>
        <v>#N/A</v>
      </c>
      <c r="E13" s="29" t="e">
        <f>VLOOKUP(B13,'РП (расш)'!A:G,7,0)</f>
        <v>#N/A</v>
      </c>
      <c r="F13" s="29" t="e">
        <f>VLOOKUP(B13,'РП (расш)'!A:K,11,0)</f>
        <v>#N/A</v>
      </c>
      <c r="G13" s="23" t="e">
        <f>IFERROR(IF(SEARCH("КЭ",B13),(D13-F13)*1%*C13),IFERROR(IF(VLOOKUP(B13,КО!A:A,1,0)&gt;"",((VLOOKUP(B13,'РП (расш)'!A:E,5,0)-F13)*0.054%)*C13),(E13*0.054%)*C13))</f>
        <v>#N/A</v>
      </c>
      <c r="H13" s="29" t="e">
        <f t="shared" si="0"/>
        <v>#N/A</v>
      </c>
      <c r="I13" s="36" t="e">
        <f>IF(L13=4,_xlfn.FLOOR.MATH(VLOOKUP(B13,'РП (расш)'!A:I,9,0)*0.66+IF(N13="да",VLOOKUP(B13,'РП (расш)'!A:K,11,0),G13),1),IF(L13=3,_xlfn.FLOOR.MATH(VLOOKUP(B13,'РП (расш)'!A:I,9,0)/2+IF(N13="да",VLOOKUP(B13,'РП (расш)'!A:K,11,0),G13),1),IF(L13=2,_xlfn.FLOOR.MATH(VLOOKUP(B13,'РП (расш)'!A:I,9,0)/3+IF(N13="да",VLOOKUP(B13,'РП (расш)'!A:K,11,0),G13),1),IF(AND(L13=1,N13="да"),F13,H13))))</f>
        <v>#N/A</v>
      </c>
      <c r="J13" s="36" t="e">
        <f>IF(L13=4,_xlfn.CEILING.MATH(VLOOKUP(B13,'РП (расш)'!A:H,8,0)+(VLOOKUP(B13,'РП (расш)'!A:I,9,0)/3),1),IF(L13=3,_xlfn.CEILING.MATH(VLOOKUP(B13,'РП (расш)'!A:H,8,0)+(VLOOKUP(B13,'РП (расш)'!A:I,9,0)/2),1),IF(L13=2,_xlfn.CEILING.MATH(VLOOKUP(B13,'РП (расш)'!A:H,8,0)+(VLOOKUP(B13,'РП (расш)'!A:I,9,0)*0.67),1),D13-F13)))+1</f>
        <v>#N/A</v>
      </c>
      <c r="K13" t="str">
        <f>IFERROR(IF(VLOOKUP(LEFT(B13,10),[2]Лист1!$A:$A,1,0)&lt;&gt;"","КО"),"ОСК")</f>
        <v>ОСК</v>
      </c>
      <c r="L13">
        <v>1</v>
      </c>
      <c r="N13" t="s">
        <v>113</v>
      </c>
      <c r="P13" s="23"/>
    </row>
    <row r="14" spans="1:17" x14ac:dyDescent="0.25">
      <c r="A14" t="s">
        <v>348</v>
      </c>
      <c r="B14" t="s">
        <v>347</v>
      </c>
      <c r="C14">
        <v>4</v>
      </c>
      <c r="D14" s="29" t="e">
        <f>VLOOKUP(B14,'РП (расш)'!A:E,5,0)</f>
        <v>#N/A</v>
      </c>
      <c r="E14" s="29" t="e">
        <f>VLOOKUP(B14,'РП (расш)'!A:G,7,0)</f>
        <v>#N/A</v>
      </c>
      <c r="F14" s="29" t="e">
        <f>VLOOKUP(B14,'РП (расш)'!A:K,11,0)</f>
        <v>#N/A</v>
      </c>
      <c r="G14" s="23" t="e">
        <f>IFERROR(IF(SEARCH("КЭ",B14),(D14-F14)*1%*C14),IFERROR(IF(VLOOKUP(B14,КО!A:A,1,0)&gt;"",((VLOOKUP(B14,'РП (расш)'!A:E,5,0)-F14)*0.054%)*C14),(E14*0.054%)*C14))</f>
        <v>#N/A</v>
      </c>
      <c r="H14" s="29" t="e">
        <f t="shared" si="0"/>
        <v>#N/A</v>
      </c>
      <c r="I14" s="36" t="e">
        <f>IF(L14=4,_xlfn.FLOOR.MATH(VLOOKUP(B14,'РП (расш)'!A:I,9,0)*0.66+IF(N14="да",VLOOKUP(B14,'РП (расш)'!A:K,11,0),G14),1),IF(L14=3,_xlfn.FLOOR.MATH(VLOOKUP(B14,'РП (расш)'!A:I,9,0)/2+IF(N14="да",VLOOKUP(B14,'РП (расш)'!A:K,11,0),G14),1),IF(L14=2,_xlfn.FLOOR.MATH(VLOOKUP(B14,'РП (расш)'!A:I,9,0)/3+IF(N14="да",VLOOKUP(B14,'РП (расш)'!A:K,11,0),G14),1),IF(AND(L14=1,N14="да"),F14,H14))))</f>
        <v>#N/A</v>
      </c>
      <c r="J14" s="36" t="e">
        <f>IF(L14=4,_xlfn.CEILING.MATH(VLOOKUP(B14,'РП (расш)'!A:H,8,0)+(VLOOKUP(B14,'РП (расш)'!A:I,9,0)/3),1),IF(L14=3,_xlfn.CEILING.MATH(VLOOKUP(B14,'РП (расш)'!A:H,8,0)+(VLOOKUP(B14,'РП (расш)'!A:I,9,0)/2),1),IF(L14=2,_xlfn.CEILING.MATH(VLOOKUP(B14,'РП (расш)'!A:H,8,0)+(VLOOKUP(B14,'РП (расш)'!A:I,9,0)*0.67),1),D14-F14)))+1</f>
        <v>#N/A</v>
      </c>
      <c r="K14" t="str">
        <f>IFERROR(IF(VLOOKUP(LEFT(B14,10),[2]Лист1!$A:$A,1,0)&lt;&gt;"","КО"),"ОСК")</f>
        <v>ОСК</v>
      </c>
      <c r="L14">
        <v>1</v>
      </c>
      <c r="N14" t="s">
        <v>113</v>
      </c>
      <c r="P14" s="23"/>
    </row>
    <row r="15" spans="1:17" x14ac:dyDescent="0.25">
      <c r="A15" t="s">
        <v>25</v>
      </c>
      <c r="B15" t="s">
        <v>77</v>
      </c>
      <c r="C15">
        <v>4</v>
      </c>
      <c r="D15" s="29">
        <f>VLOOKUP(B15,'РП (расш)'!A:E,5,0)</f>
        <v>0</v>
      </c>
      <c r="E15" s="29">
        <f>VLOOKUP(B15,'РП (расш)'!A:G,7,0)</f>
        <v>0</v>
      </c>
      <c r="F15" s="29">
        <f>VLOOKUP(B15,'РП (расш)'!A:K,11,0)</f>
        <v>0</v>
      </c>
      <c r="G15" s="23">
        <f>IFERROR(IF(SEARCH("КЭ",B15),(D15-F15)*1%*C15),IFERROR(IF(VLOOKUP(B15,КО!A:A,1,0)&gt;"",((VLOOKUP(B15,'РП (расш)'!A:E,5,0)-F15)*0.054%)*C15),(E15*0.054%)*C15))</f>
        <v>0</v>
      </c>
      <c r="H15" s="29">
        <f t="shared" si="0"/>
        <v>0</v>
      </c>
      <c r="I15" s="36">
        <f>IF(L15=4,_xlfn.FLOOR.MATH(VLOOKUP(B15,'РП (расш)'!A:I,9,0)*0.66+IF(N15="да",VLOOKUP(B15,'РП (расш)'!A:K,11,0),G15),1),IF(L15=3,_xlfn.FLOOR.MATH(VLOOKUP(B15,'РП (расш)'!A:I,9,0)/2+IF(N15="да",VLOOKUP(B15,'РП (расш)'!A:K,11,0),G15),1),IF(L15=2,_xlfn.FLOOR.MATH(VLOOKUP(B15,'РП (расш)'!A:I,9,0)/3+IF(N15="да",VLOOKUP(B15,'РП (расш)'!A:K,11,0),G15),1),IF(AND(L15=1,N15="да"),F15,H15))))</f>
        <v>0</v>
      </c>
      <c r="J15" s="36">
        <f>IF(L15=4,_xlfn.CEILING.MATH(VLOOKUP(B15,'РП (расш)'!A:H,8,0)+(VLOOKUP(B15,'РП (расш)'!A:I,9,0)/3),1),IF(L15=3,_xlfn.CEILING.MATH(VLOOKUP(B15,'РП (расш)'!A:H,8,0)+(VLOOKUP(B15,'РП (расш)'!A:I,9,0)/2),1),IF(L15=2,_xlfn.CEILING.MATH(VLOOKUP(B15,'РП (расш)'!A:H,8,0)+(VLOOKUP(B15,'РП (расш)'!A:I,9,0)*0.67),1),D15-F15)))+1</f>
        <v>1</v>
      </c>
      <c r="K15" t="str">
        <f>IFERROR(IF(VLOOKUP(LEFT(B15,10),[2]Лист1!$A:$A,1,0)&lt;&gt;"","КО"),"ОСК")</f>
        <v>КО</v>
      </c>
      <c r="L15">
        <v>1</v>
      </c>
      <c r="N15" t="s">
        <v>113</v>
      </c>
      <c r="P15" s="23"/>
    </row>
    <row r="16" spans="1:17" x14ac:dyDescent="0.25">
      <c r="A16" t="s">
        <v>66</v>
      </c>
      <c r="B16" t="s">
        <v>69</v>
      </c>
      <c r="C16">
        <v>4</v>
      </c>
      <c r="D16" s="29">
        <f>VLOOKUP(B16,'РП (расш)'!A:E,5,0)</f>
        <v>0</v>
      </c>
      <c r="E16" s="29">
        <f>VLOOKUP(B16,'РП (расш)'!A:G,7,0)</f>
        <v>0</v>
      </c>
      <c r="F16" s="29">
        <f>VLOOKUP(B16,'РП (расш)'!A:K,11,0)</f>
        <v>0</v>
      </c>
      <c r="G16" s="23">
        <f>IFERROR(IF(SEARCH("КЭ",B16),(D16-F16)*1%*C16),IFERROR(IF(VLOOKUP(B16,КО!A:A,1,0)&gt;"",((VLOOKUP(B16,'РП (расш)'!A:E,5,0)-F16)*0.054%)*C16),(E16*0.054%)*C16))</f>
        <v>0</v>
      </c>
      <c r="H16" s="29">
        <f t="shared" si="0"/>
        <v>0</v>
      </c>
      <c r="I16" s="36">
        <f>IF(L16=4,_xlfn.FLOOR.MATH(VLOOKUP(B16,'РП (расш)'!A:I,9,0)*0.66+IF(N16="да",VLOOKUP(B16,'РП (расш)'!A:K,11,0),G16),1),IF(L16=3,_xlfn.FLOOR.MATH(VLOOKUP(B16,'РП (расш)'!A:I,9,0)/2+IF(N16="да",VLOOKUP(B16,'РП (расш)'!A:K,11,0),G16),1),IF(L16=2,_xlfn.FLOOR.MATH(VLOOKUP(B16,'РП (расш)'!A:I,9,0)/3+IF(N16="да",VLOOKUP(B16,'РП (расш)'!A:K,11,0),G16),1),IF(AND(L16=1,N16="да"),F16,H16))))</f>
        <v>0</v>
      </c>
      <c r="J16" s="36">
        <f>IF(L16=4,_xlfn.CEILING.MATH(VLOOKUP(B16,'РП (расш)'!A:H,8,0)+(VLOOKUP(B16,'РП (расш)'!A:I,9,0)/3),1),IF(L16=3,_xlfn.CEILING.MATH(VLOOKUP(B16,'РП (расш)'!A:H,8,0)+(VLOOKUP(B16,'РП (расш)'!A:I,9,0)/2),1),IF(L16=2,_xlfn.CEILING.MATH(VLOOKUP(B16,'РП (расш)'!A:H,8,0)+(VLOOKUP(B16,'РП (расш)'!A:I,9,0)*0.67),1),D16-F16)))+1</f>
        <v>1</v>
      </c>
      <c r="K16" t="str">
        <f>IFERROR(IF(VLOOKUP(LEFT(B16,10),[2]Лист1!$A:$A,1,0)&lt;&gt;"","КО"),"ОСК")</f>
        <v>ОСК</v>
      </c>
      <c r="L16">
        <v>1</v>
      </c>
      <c r="N16" t="s">
        <v>113</v>
      </c>
      <c r="P16" s="23"/>
    </row>
    <row r="17" spans="1:16" x14ac:dyDescent="0.25">
      <c r="A17" t="s">
        <v>272</v>
      </c>
      <c r="B17" t="s">
        <v>271</v>
      </c>
      <c r="C17">
        <v>3</v>
      </c>
      <c r="D17" s="29" t="e">
        <f>VLOOKUP(B17,'РП (расш)'!A:E,5,0)</f>
        <v>#N/A</v>
      </c>
      <c r="E17" s="29" t="e">
        <f>VLOOKUP(B17,'РП (расш)'!A:G,7,0)</f>
        <v>#N/A</v>
      </c>
      <c r="F17" s="29" t="e">
        <f>VLOOKUP(B17,'РП (расш)'!A:K,11,0)</f>
        <v>#N/A</v>
      </c>
      <c r="G17" s="23" t="e">
        <f>IFERROR(IF(SEARCH("КЭ",B17),(D17-F17)*1%*C17),IFERROR(IF(VLOOKUP(B17,КО!A:A,1,0)&gt;"",((VLOOKUP(B17,'РП (расш)'!A:E,5,0)-F17)*0.054%)*C17),(E17*0.054%)*C17))</f>
        <v>#N/A</v>
      </c>
      <c r="H17" s="29" t="e">
        <f t="shared" si="0"/>
        <v>#N/A</v>
      </c>
      <c r="I17" s="36" t="e">
        <f>IF(L17=4,_xlfn.FLOOR.MATH(VLOOKUP(B17,'РП (расш)'!A:I,9,0)*0.66+IF(N17="да",VLOOKUP(B17,'РП (расш)'!A:K,11,0),G17),1),IF(L17=3,_xlfn.FLOOR.MATH(VLOOKUP(B17,'РП (расш)'!A:I,9,0)/2+IF(N17="да",VLOOKUP(B17,'РП (расш)'!A:K,11,0),G17),1),IF(L17=2,_xlfn.FLOOR.MATH(VLOOKUP(B17,'РП (расш)'!A:I,9,0)/3+IF(N17="да",VLOOKUP(B17,'РП (расш)'!A:K,11,0),G17),1),IF(AND(L17=1,N17="да"),F17,H17))))</f>
        <v>#N/A</v>
      </c>
      <c r="J17" s="36" t="e">
        <f>IF(L17=4,_xlfn.CEILING.MATH(VLOOKUP(B17,'РП (расш)'!A:H,8,0)+(VLOOKUP(B17,'РП (расш)'!A:I,9,0)/3),1),IF(L17=3,_xlfn.CEILING.MATH(VLOOKUP(B17,'РП (расш)'!A:H,8,0)+(VLOOKUP(B17,'РП (расш)'!A:I,9,0)/2),1),IF(L17=2,_xlfn.CEILING.MATH(VLOOKUP(B17,'РП (расш)'!A:H,8,0)+(VLOOKUP(B17,'РП (расш)'!A:I,9,0)*0.67),1),D17-F17)))+1</f>
        <v>#N/A</v>
      </c>
      <c r="K17" t="str">
        <f>IFERROR(IF(VLOOKUP(LEFT(B17,10),[2]Лист1!$A:$A,1,0)&lt;&gt;"","КО"),"ОСК")</f>
        <v>ОСК</v>
      </c>
      <c r="L17">
        <v>1</v>
      </c>
      <c r="N17" t="s">
        <v>113</v>
      </c>
      <c r="P17" s="23"/>
    </row>
    <row r="18" spans="1:16" x14ac:dyDescent="0.25">
      <c r="A18" t="s">
        <v>102</v>
      </c>
      <c r="B18" t="s">
        <v>101</v>
      </c>
      <c r="C18">
        <v>3</v>
      </c>
      <c r="D18" s="29">
        <f>VLOOKUP(B18,'РП (расш)'!A:E,5,0)</f>
        <v>0</v>
      </c>
      <c r="E18" s="29">
        <f>VLOOKUP(B18,'РП (расш)'!A:G,7,0)</f>
        <v>0</v>
      </c>
      <c r="F18" s="29">
        <f>VLOOKUP(B18,'РП (расш)'!A:K,11,0)</f>
        <v>0</v>
      </c>
      <c r="G18" s="23">
        <f>IFERROR(IF(SEARCH("КЭ",B18),(D18-F18)*1%*C18),IFERROR(IF(VLOOKUP(B18,КО!A:A,1,0)&gt;"",((VLOOKUP(B18,'РП (расш)'!A:E,5,0)-F18)*0.054%)*C18),(E18*0.054%)*C18))</f>
        <v>0</v>
      </c>
      <c r="H18" s="29">
        <f t="shared" si="0"/>
        <v>0</v>
      </c>
      <c r="I18" s="36">
        <f>IF(L18=4,_xlfn.FLOOR.MATH(VLOOKUP(B18,'РП (расш)'!A:I,9,0)*0.66+IF(N18="да",VLOOKUP(B18,'РП (расш)'!A:K,11,0),G18),1),IF(L18=3,_xlfn.FLOOR.MATH(VLOOKUP(B18,'РП (расш)'!A:I,9,0)/2+IF(N18="да",VLOOKUP(B18,'РП (расш)'!A:K,11,0),G18),1),IF(L18=2,_xlfn.FLOOR.MATH(VLOOKUP(B18,'РП (расш)'!A:I,9,0)/3+IF(N18="да",VLOOKUP(B18,'РП (расш)'!A:K,11,0),G18),1),IF(AND(L18=1,N18="да"),F18,H18))))</f>
        <v>0</v>
      </c>
      <c r="J18" s="36">
        <f>IF(L18=4,_xlfn.CEILING.MATH(VLOOKUP(B18,'РП (расш)'!A:H,8,0)+(VLOOKUP(B18,'РП (расш)'!A:I,9,0)/3),1),IF(L18=3,_xlfn.CEILING.MATH(VLOOKUP(B18,'РП (расш)'!A:H,8,0)+(VLOOKUP(B18,'РП (расш)'!A:I,9,0)/2),1),IF(L18=2,_xlfn.CEILING.MATH(VLOOKUP(B18,'РП (расш)'!A:H,8,0)+(VLOOKUP(B18,'РП (расш)'!A:I,9,0)*0.67),1),D18-F18)))+1</f>
        <v>1</v>
      </c>
      <c r="K18" t="str">
        <f>IFERROR(IF(VLOOKUP(LEFT(B18,10),[2]Лист1!$A:$A,1,0)&lt;&gt;"","КО"),"ОСК")</f>
        <v>ОСК</v>
      </c>
      <c r="L18">
        <v>1</v>
      </c>
      <c r="N18" t="s">
        <v>113</v>
      </c>
      <c r="P18" s="23"/>
    </row>
    <row r="19" spans="1:16" x14ac:dyDescent="0.25">
      <c r="A19" t="s">
        <v>104</v>
      </c>
      <c r="B19" t="s">
        <v>103</v>
      </c>
      <c r="C19">
        <v>3</v>
      </c>
      <c r="D19" s="29" t="e">
        <f>VLOOKUP(B19,'РП (расш)'!A:E,5,0)</f>
        <v>#N/A</v>
      </c>
      <c r="E19" s="29" t="e">
        <f>VLOOKUP(B19,'РП (расш)'!A:G,7,0)</f>
        <v>#N/A</v>
      </c>
      <c r="F19" s="29" t="e">
        <f>VLOOKUP(B19,'РП (расш)'!A:K,11,0)</f>
        <v>#N/A</v>
      </c>
      <c r="G19" s="23" t="e">
        <f>IFERROR(IF(SEARCH("КЭ",B19),(D19-F19)*1%*C19),IFERROR(IF(VLOOKUP(B19,КО!A:A,1,0)&gt;"",((VLOOKUP(B19,'РП (расш)'!A:E,5,0)-F19)*0.054%)*C19),(E19*0.054%)*C19))</f>
        <v>#N/A</v>
      </c>
      <c r="H19" s="29" t="e">
        <f t="shared" si="0"/>
        <v>#N/A</v>
      </c>
      <c r="I19" s="36" t="e">
        <f>IF(L19=4,_xlfn.FLOOR.MATH(VLOOKUP(B19,'РП (расш)'!A:I,9,0)*0.66+IF(N19="да",VLOOKUP(B19,'РП (расш)'!A:K,11,0),G19),1),IF(L19=3,_xlfn.FLOOR.MATH(VLOOKUP(B19,'РП (расш)'!A:I,9,0)/2+IF(N19="да",VLOOKUP(B19,'РП (расш)'!A:K,11,0),G19),1),IF(L19=2,_xlfn.FLOOR.MATH(VLOOKUP(B19,'РП (расш)'!A:I,9,0)/3+IF(N19="да",VLOOKUP(B19,'РП (расш)'!A:K,11,0),G19),1),IF(AND(L19=1,N19="да"),F19,H19))))</f>
        <v>#N/A</v>
      </c>
      <c r="J19" s="36" t="e">
        <f>IF(L19=4,_xlfn.CEILING.MATH(VLOOKUP(B19,'РП (расш)'!A:H,8,0)+(VLOOKUP(B19,'РП (расш)'!A:I,9,0)/3),1),IF(L19=3,_xlfn.CEILING.MATH(VLOOKUP(B19,'РП (расш)'!A:H,8,0)+(VLOOKUP(B19,'РП (расш)'!A:I,9,0)/2),1),IF(L19=2,_xlfn.CEILING.MATH(VLOOKUP(B19,'РП (расш)'!A:H,8,0)+(VLOOKUP(B19,'РП (расш)'!A:I,9,0)*0.67),1),D19-F19)))+1</f>
        <v>#N/A</v>
      </c>
      <c r="K19" t="str">
        <f>IFERROR(IF(VLOOKUP(LEFT(B19,10),[2]Лист1!$A:$A,1,0)&lt;&gt;"","КО"),"ОСК")</f>
        <v>ОСК</v>
      </c>
      <c r="L19">
        <v>1</v>
      </c>
      <c r="N19" t="s">
        <v>113</v>
      </c>
      <c r="P19" s="23"/>
    </row>
    <row r="20" spans="1:16" x14ac:dyDescent="0.25">
      <c r="A20" t="s">
        <v>134</v>
      </c>
      <c r="B20" t="s">
        <v>135</v>
      </c>
      <c r="C20">
        <v>3</v>
      </c>
      <c r="D20" s="29">
        <f>VLOOKUP(B20,'РП (расш)'!A:E,5,0)</f>
        <v>0</v>
      </c>
      <c r="E20" s="29">
        <f>VLOOKUP(B20,'РП (расш)'!A:G,7,0)</f>
        <v>0</v>
      </c>
      <c r="F20" s="29">
        <f>VLOOKUP(B20,'РП (расш)'!A:K,11,0)</f>
        <v>0</v>
      </c>
      <c r="G20" s="23">
        <f>IFERROR(IF(SEARCH("КЭ",B20),(D20-F20)*1%*C20),IFERROR(IF(VLOOKUP(B20,КО!A:A,1,0)&gt;"",((VLOOKUP(B20,'РП (расш)'!A:E,5,0)-F20)*0.054%)*C20),(E20*0.054%)*C20))</f>
        <v>0</v>
      </c>
      <c r="H20" s="29">
        <f t="shared" si="0"/>
        <v>0</v>
      </c>
      <c r="I20" s="36">
        <f>IF(L20=4,_xlfn.FLOOR.MATH(VLOOKUP(B20,'РП (расш)'!A:I,9,0)*0.66+IF(N20="да",VLOOKUP(B20,'РП (расш)'!A:K,11,0),G20),1),IF(L20=3,_xlfn.FLOOR.MATH(VLOOKUP(B20,'РП (расш)'!A:I,9,0)/2+IF(N20="да",VLOOKUP(B20,'РП (расш)'!A:K,11,0),G20),1),IF(L20=2,_xlfn.FLOOR.MATH(VLOOKUP(B20,'РП (расш)'!A:I,9,0)/3+IF(N20="да",VLOOKUP(B20,'РП (расш)'!A:K,11,0),G20),1),IF(AND(L20=1,N20="да"),F20,H20))))</f>
        <v>0</v>
      </c>
      <c r="J20" s="36">
        <f>IF(L20=4,_xlfn.CEILING.MATH(VLOOKUP(B20,'РП (расш)'!A:H,8,0)+(VLOOKUP(B20,'РП (расш)'!A:I,9,0)/3),1),IF(L20=3,_xlfn.CEILING.MATH(VLOOKUP(B20,'РП (расш)'!A:H,8,0)+(VLOOKUP(B20,'РП (расш)'!A:I,9,0)/2),1),IF(L20=2,_xlfn.CEILING.MATH(VLOOKUP(B20,'РП (расш)'!A:H,8,0)+(VLOOKUP(B20,'РП (расш)'!A:I,9,0)*0.67),1),D20-F20)))+1</f>
        <v>1</v>
      </c>
      <c r="K20" t="str">
        <f>IFERROR(IF(VLOOKUP(LEFT(B20,10),[2]Лист1!$A:$A,1,0)&lt;&gt;"","КО"),"ОСК")</f>
        <v>ОСК</v>
      </c>
      <c r="L20">
        <v>1</v>
      </c>
      <c r="N20" t="s">
        <v>113</v>
      </c>
      <c r="P20" s="23"/>
    </row>
    <row r="21" spans="1:16" x14ac:dyDescent="0.25">
      <c r="A21" t="s">
        <v>178</v>
      </c>
      <c r="B21" t="s">
        <v>177</v>
      </c>
      <c r="C21">
        <v>3</v>
      </c>
      <c r="D21" s="29" t="e">
        <f>VLOOKUP(B21,'РП (расш)'!A:E,5,0)</f>
        <v>#N/A</v>
      </c>
      <c r="E21" s="29" t="e">
        <f>VLOOKUP(B21,'РП (расш)'!A:G,7,0)</f>
        <v>#N/A</v>
      </c>
      <c r="F21" s="29" t="e">
        <f>VLOOKUP(B21,'РП (расш)'!A:K,11,0)</f>
        <v>#N/A</v>
      </c>
      <c r="G21" s="23" t="e">
        <f>IFERROR(IF(SEARCH("КЭ",B21),(D21-F21)*1%*C21),IFERROR(IF(VLOOKUP(B21,КО!A:A,1,0)&gt;"",((VLOOKUP(B21,'РП (расш)'!A:E,5,0)-F21)*0.054%)*C21),(E21*0.054%)*C21))</f>
        <v>#N/A</v>
      </c>
      <c r="H21" s="29" t="e">
        <f t="shared" si="0"/>
        <v>#N/A</v>
      </c>
      <c r="I21" s="36" t="e">
        <f>IF(L21=4,_xlfn.FLOOR.MATH(VLOOKUP(B21,'РП (расш)'!A:I,9,0)*0.66+IF(N21="да",VLOOKUP(B21,'РП (расш)'!A:K,11,0),G21),1),IF(L21=3,_xlfn.FLOOR.MATH(VLOOKUP(B21,'РП (расш)'!A:I,9,0)/2+IF(N21="да",VLOOKUP(B21,'РП (расш)'!A:K,11,0),G21),1),IF(L21=2,_xlfn.FLOOR.MATH(VLOOKUP(B21,'РП (расш)'!A:I,9,0)/3+IF(N21="да",VLOOKUP(B21,'РП (расш)'!A:K,11,0),G21),1),IF(AND(L21=1,N21="да"),F21,H21))))</f>
        <v>#N/A</v>
      </c>
      <c r="J21" s="36" t="e">
        <f>IF(L21=4,_xlfn.CEILING.MATH(VLOOKUP(B21,'РП (расш)'!A:H,8,0)+(VLOOKUP(B21,'РП (расш)'!A:I,9,0)/3),1),IF(L21=3,_xlfn.CEILING.MATH(VLOOKUP(B21,'РП (расш)'!A:H,8,0)+(VLOOKUP(B21,'РП (расш)'!A:I,9,0)/2),1),IF(L21=2,_xlfn.CEILING.MATH(VLOOKUP(B21,'РП (расш)'!A:H,8,0)+(VLOOKUP(B21,'РП (расш)'!A:I,9,0)*0.67),1),D21-F21)))+1</f>
        <v>#N/A</v>
      </c>
      <c r="K21" t="str">
        <f>IFERROR(IF(VLOOKUP(LEFT(B21,10),[2]Лист1!$A:$A,1,0)&lt;&gt;"","КО"),"ОСК")</f>
        <v>ОСК</v>
      </c>
      <c r="L21">
        <v>1</v>
      </c>
      <c r="N21" t="s">
        <v>113</v>
      </c>
      <c r="P21" s="23"/>
    </row>
    <row r="22" spans="1:16" x14ac:dyDescent="0.25">
      <c r="A22" t="s">
        <v>312</v>
      </c>
      <c r="B22" t="s">
        <v>311</v>
      </c>
      <c r="C22">
        <v>3</v>
      </c>
      <c r="D22" s="29" t="e">
        <f>VLOOKUP(B22,'РП (расш)'!A:E,5,0)</f>
        <v>#N/A</v>
      </c>
      <c r="E22" s="29" t="e">
        <f>VLOOKUP(B22,'РП (расш)'!A:G,7,0)</f>
        <v>#N/A</v>
      </c>
      <c r="F22" s="29" t="e">
        <f>VLOOKUP(B22,'РП (расш)'!A:K,11,0)</f>
        <v>#N/A</v>
      </c>
      <c r="G22" s="23" t="e">
        <f>IFERROR(IF(SEARCH("КЭ",B22),(D22-F22)*1%*C22),IFERROR(IF(VLOOKUP(B22,КО!A:A,1,0)&gt;"",((VLOOKUP(B22,'РП (расш)'!A:E,5,0)-F22)*0.054%)*C22),(E22*0.054%)*C22))</f>
        <v>#N/A</v>
      </c>
      <c r="H22" s="29" t="e">
        <f t="shared" si="0"/>
        <v>#N/A</v>
      </c>
      <c r="I22" s="36" t="e">
        <f>IF(L22=4,_xlfn.FLOOR.MATH(VLOOKUP(B22,'РП (расш)'!A:I,9,0)*0.66+IF(N22="да",VLOOKUP(B22,'РП (расш)'!A:K,11,0),G22),1),IF(L22=3,_xlfn.FLOOR.MATH(VLOOKUP(B22,'РП (расш)'!A:I,9,0)/2+IF(N22="да",VLOOKUP(B22,'РП (расш)'!A:K,11,0),G22),1),IF(L22=2,_xlfn.FLOOR.MATH(VLOOKUP(B22,'РП (расш)'!A:I,9,0)/3+IF(N22="да",VLOOKUP(B22,'РП (расш)'!A:K,11,0),G22),1),IF(AND(L22=1,N22="да"),F22,H22))))</f>
        <v>#N/A</v>
      </c>
      <c r="J22" s="36" t="e">
        <f>IF(L22=4,_xlfn.CEILING.MATH(VLOOKUP(B22,'РП (расш)'!A:H,8,0)+(VLOOKUP(B22,'РП (расш)'!A:I,9,0)/3),1),IF(L22=3,_xlfn.CEILING.MATH(VLOOKUP(B22,'РП (расш)'!A:H,8,0)+(VLOOKUP(B22,'РП (расш)'!A:I,9,0)/2),1),IF(L22=2,_xlfn.CEILING.MATH(VLOOKUP(B22,'РП (расш)'!A:H,8,0)+(VLOOKUP(B22,'РП (расш)'!A:I,9,0)*0.67),1),D22-F22)))+1</f>
        <v>#N/A</v>
      </c>
      <c r="K22" t="str">
        <f>IFERROR(IF(VLOOKUP(LEFT(B22,10),[2]Лист1!$A:$A,1,0)&lt;&gt;"","КО"),"ОСК")</f>
        <v>ОСК</v>
      </c>
      <c r="L22">
        <v>1</v>
      </c>
      <c r="N22" t="s">
        <v>113</v>
      </c>
      <c r="P22" s="23"/>
    </row>
    <row r="23" spans="1:16" x14ac:dyDescent="0.25">
      <c r="A23" t="s">
        <v>142</v>
      </c>
      <c r="B23" t="s">
        <v>141</v>
      </c>
      <c r="C23">
        <v>2</v>
      </c>
      <c r="D23" s="29" t="e">
        <f>VLOOKUP(B23,'РП (расш)'!A:E,5,0)</f>
        <v>#N/A</v>
      </c>
      <c r="E23" s="29" t="e">
        <f>VLOOKUP(B23,'РП (расш)'!A:G,7,0)</f>
        <v>#N/A</v>
      </c>
      <c r="F23" s="29" t="e">
        <f>VLOOKUP(B23,'РП (расш)'!A:K,11,0)</f>
        <v>#N/A</v>
      </c>
      <c r="G23" s="23" t="e">
        <f>IFERROR(IF(SEARCH("КЭ",B23),(D23-F23)*1%*C23),IFERROR(IF(VLOOKUP(B23,КО!A:A,1,0)&gt;"",((VLOOKUP(B23,'РП (расш)'!A:E,5,0)-F23)*0.054%)*C23),(E23*0.054%)*C23))</f>
        <v>#N/A</v>
      </c>
      <c r="H23" s="29" t="e">
        <f t="shared" si="0"/>
        <v>#N/A</v>
      </c>
      <c r="I23" s="36" t="e">
        <f>IF(L23=4,_xlfn.FLOOR.MATH(VLOOKUP(B23,'РП (расш)'!A:I,9,0)*0.66+IF(N23="да",VLOOKUP(B23,'РП (расш)'!A:K,11,0),G23),1),IF(L23=3,_xlfn.FLOOR.MATH(VLOOKUP(B23,'РП (расш)'!A:I,9,0)/2+IF(N23="да",VLOOKUP(B23,'РП (расш)'!A:K,11,0),G23),1),IF(L23=2,_xlfn.FLOOR.MATH(VLOOKUP(B23,'РП (расш)'!A:I,9,0)/3+IF(N23="да",VLOOKUP(B23,'РП (расш)'!A:K,11,0),G23),1),IF(AND(L23=1,N23="да"),F23,H23))))</f>
        <v>#N/A</v>
      </c>
      <c r="J23" s="36" t="e">
        <f>IF(L23=4,_xlfn.CEILING.MATH(VLOOKUP(B23,'РП (расш)'!A:H,8,0)+(VLOOKUP(B23,'РП (расш)'!A:I,9,0)/3),1),IF(L23=3,_xlfn.CEILING.MATH(VLOOKUP(B23,'РП (расш)'!A:H,8,0)+(VLOOKUP(B23,'РП (расш)'!A:I,9,0)/2),1),IF(L23=2,_xlfn.CEILING.MATH(VLOOKUP(B23,'РП (расш)'!A:H,8,0)+(VLOOKUP(B23,'РП (расш)'!A:I,9,0)*0.67),1),D23-F23)))+1</f>
        <v>#N/A</v>
      </c>
      <c r="K23" t="str">
        <f>IFERROR(IF(VLOOKUP(LEFT(B23,10),[2]Лист1!$A:$A,1,0)&lt;&gt;"","КО"),"ОСК")</f>
        <v>ОСК</v>
      </c>
      <c r="L23">
        <v>1</v>
      </c>
      <c r="N23" t="s">
        <v>113</v>
      </c>
      <c r="P23" s="23"/>
    </row>
    <row r="24" spans="1:16" x14ac:dyDescent="0.25">
      <c r="A24" t="s">
        <v>82</v>
      </c>
      <c r="B24" t="s">
        <v>216</v>
      </c>
      <c r="C24">
        <v>2</v>
      </c>
      <c r="D24" s="29">
        <f>VLOOKUP(B24,'РП (расш)'!A:E,5,0)</f>
        <v>0</v>
      </c>
      <c r="E24" s="29">
        <f>VLOOKUP(B24,'РП (расш)'!A:G,7,0)</f>
        <v>0</v>
      </c>
      <c r="F24" s="29">
        <f>VLOOKUP(B24,'РП (расш)'!A:K,11,0)</f>
        <v>0</v>
      </c>
      <c r="G24" s="23">
        <f>IFERROR(IF(SEARCH("КЭ",B24),(D24-F24)*1%*C24),IFERROR(IF(VLOOKUP(B24,КО!A:A,1,0)&gt;"",((VLOOKUP(B24,'РП (расш)'!A:E,5,0)-F24)*0.054%)*C24),(E24*0.054%)*C24))</f>
        <v>0</v>
      </c>
      <c r="H24" s="29">
        <f t="shared" si="0"/>
        <v>0</v>
      </c>
      <c r="I24" s="36">
        <f>IF(L24=4,_xlfn.FLOOR.MATH(VLOOKUP(B24,'РП (расш)'!A:I,9,0)*0.66+IF(N24="да",VLOOKUP(B24,'РП (расш)'!A:K,11,0),G24),1),IF(L24=3,_xlfn.FLOOR.MATH(VLOOKUP(B24,'РП (расш)'!A:I,9,0)/2+IF(N24="да",VLOOKUP(B24,'РП (расш)'!A:K,11,0),G24),1),IF(L24=2,_xlfn.FLOOR.MATH(VLOOKUP(B24,'РП (расш)'!A:I,9,0)/3+IF(N24="да",VLOOKUP(B24,'РП (расш)'!A:K,11,0),G24),1),IF(AND(L24=1,N24="да"),F24,H24))))</f>
        <v>0</v>
      </c>
      <c r="J24" s="36">
        <f>IF(L24=4,_xlfn.CEILING.MATH(VLOOKUP(B24,'РП (расш)'!A:H,8,0)+(VLOOKUP(B24,'РП (расш)'!A:I,9,0)/3),1),IF(L24=3,_xlfn.CEILING.MATH(VLOOKUP(B24,'РП (расш)'!A:H,8,0)+(VLOOKUP(B24,'РП (расш)'!A:I,9,0)/2),1),IF(L24=2,_xlfn.CEILING.MATH(VLOOKUP(B24,'РП (расш)'!A:H,8,0)+(VLOOKUP(B24,'РП (расш)'!A:I,9,0)*0.67),1),D24-F24)))+1</f>
        <v>1</v>
      </c>
      <c r="K24" t="str">
        <f>IFERROR(IF(VLOOKUP(LEFT(B24,10),[2]Лист1!$A:$A,1,0)&lt;&gt;"","КО"),"ОСК")</f>
        <v>ОСК</v>
      </c>
      <c r="L24">
        <v>1</v>
      </c>
      <c r="N24" t="s">
        <v>113</v>
      </c>
      <c r="P24" s="23"/>
    </row>
    <row r="25" spans="1:16" x14ac:dyDescent="0.25">
      <c r="A25" t="s">
        <v>188</v>
      </c>
      <c r="B25" t="s">
        <v>189</v>
      </c>
      <c r="C25">
        <v>2</v>
      </c>
      <c r="D25" s="29">
        <f>VLOOKUP(B25,'РП (расш)'!A:E,5,0)</f>
        <v>0</v>
      </c>
      <c r="E25" s="29">
        <f>VLOOKUP(B25,'РП (расш)'!A:G,7,0)</f>
        <v>0</v>
      </c>
      <c r="F25" s="29">
        <f>VLOOKUP(B25,'РП (расш)'!A:K,11,0)</f>
        <v>0</v>
      </c>
      <c r="G25" s="23">
        <f>IFERROR(IF(SEARCH("КЭ",B25),(D25-F25)*1%*C25),IFERROR(IF(VLOOKUP(B25,КО!A:A,1,0)&gt;"",((VLOOKUP(B25,'РП (расш)'!A:E,5,0)-F25)*0.054%)*C25),(E25*0.054%)*C25))</f>
        <v>0</v>
      </c>
      <c r="H25" s="29">
        <f t="shared" si="0"/>
        <v>0</v>
      </c>
      <c r="I25" s="36">
        <f>IF(L25=4,_xlfn.FLOOR.MATH(VLOOKUP(B25,'РП (расш)'!A:I,9,0)*0.66+IF(N25="да",VLOOKUP(B25,'РП (расш)'!A:K,11,0),G25),1),IF(L25=3,_xlfn.FLOOR.MATH(VLOOKUP(B25,'РП (расш)'!A:I,9,0)/2+IF(N25="да",VLOOKUP(B25,'РП (расш)'!A:K,11,0),G25),1),IF(L25=2,_xlfn.FLOOR.MATH(VLOOKUP(B25,'РП (расш)'!A:I,9,0)/3+IF(N25="да",VLOOKUP(B25,'РП (расш)'!A:K,11,0),G25),1),IF(AND(L25=1,N25="да"),F25,H25))))</f>
        <v>0</v>
      </c>
      <c r="J25" s="36">
        <f>IF(L25=4,_xlfn.CEILING.MATH(VLOOKUP(B25,'РП (расш)'!A:H,8,0)+(VLOOKUP(B25,'РП (расш)'!A:I,9,0)/3),1),IF(L25=3,_xlfn.CEILING.MATH(VLOOKUP(B25,'РП (расш)'!A:H,8,0)+(VLOOKUP(B25,'РП (расш)'!A:I,9,0)/2),1),IF(L25=2,_xlfn.CEILING.MATH(VLOOKUP(B25,'РП (расш)'!A:H,8,0)+(VLOOKUP(B25,'РП (расш)'!A:I,9,0)*0.67),1),D25-F25)))+1</f>
        <v>1</v>
      </c>
      <c r="K25" t="str">
        <f>IFERROR(IF(VLOOKUP(LEFT(B25,10),[2]Лист1!$A:$A,1,0)&lt;&gt;"","КО"),"ОСК")</f>
        <v>ОСК</v>
      </c>
      <c r="L25">
        <v>1</v>
      </c>
      <c r="N25" t="s">
        <v>113</v>
      </c>
      <c r="P25" s="23"/>
    </row>
    <row r="26" spans="1:16" x14ac:dyDescent="0.25">
      <c r="A26" t="s">
        <v>293</v>
      </c>
      <c r="B26" t="s">
        <v>292</v>
      </c>
      <c r="C26">
        <v>2</v>
      </c>
      <c r="D26" s="29">
        <f>VLOOKUP(B26,'РП (расш)'!A:E,5,0)</f>
        <v>0</v>
      </c>
      <c r="E26" s="29">
        <f>VLOOKUP(B26,'РП (расш)'!A:G,7,0)</f>
        <v>0</v>
      </c>
      <c r="F26" s="29">
        <f>VLOOKUP(B26,'РП (расш)'!A:K,11,0)</f>
        <v>0</v>
      </c>
      <c r="G26" s="23">
        <f>IFERROR(IF(SEARCH("КЭ",B26),(D26-F26)*1%*C26),IFERROR(IF(VLOOKUP(B26,КО!A:A,1,0)&gt;"",((VLOOKUP(B26,'РП (расш)'!A:E,5,0)-F26)*0.054%)*C26),(E26*0.054%)*C26))</f>
        <v>0</v>
      </c>
      <c r="H26" s="29">
        <f t="shared" si="0"/>
        <v>0</v>
      </c>
      <c r="I26" s="36">
        <f>IF(L26=4,_xlfn.FLOOR.MATH(VLOOKUP(B26,'РП (расш)'!A:I,9,0)*0.66+IF(N26="да",VLOOKUP(B26,'РП (расш)'!A:K,11,0),G26),1),IF(L26=3,_xlfn.FLOOR.MATH(VLOOKUP(B26,'РП (расш)'!A:I,9,0)/2+IF(N26="да",VLOOKUP(B26,'РП (расш)'!A:K,11,0),G26),1),IF(L26=2,_xlfn.FLOOR.MATH(VLOOKUP(B26,'РП (расш)'!A:I,9,0)/3+IF(N26="да",VLOOKUP(B26,'РП (расш)'!A:K,11,0),G26),1),IF(AND(L26=1,N26="да"),F26,H26))))</f>
        <v>0</v>
      </c>
      <c r="J26" s="36">
        <f>IF(L26=4,_xlfn.CEILING.MATH(VLOOKUP(B26,'РП (расш)'!A:H,8,0)+(VLOOKUP(B26,'РП (расш)'!A:I,9,0)/3),1),IF(L26=3,_xlfn.CEILING.MATH(VLOOKUP(B26,'РП (расш)'!A:H,8,0)+(VLOOKUP(B26,'РП (расш)'!A:I,9,0)/2),1),IF(L26=2,_xlfn.CEILING.MATH(VLOOKUP(B26,'РП (расш)'!A:H,8,0)+(VLOOKUP(B26,'РП (расш)'!A:I,9,0)*0.67),1),D26-F26)))+1</f>
        <v>1</v>
      </c>
      <c r="K26" t="str">
        <f>IFERROR(IF(VLOOKUP(LEFT(B26,10),[2]Лист1!$A:$A,1,0)&lt;&gt;"","КО"),"ОСК")</f>
        <v>КО</v>
      </c>
      <c r="L26">
        <v>1</v>
      </c>
      <c r="N26" t="s">
        <v>113</v>
      </c>
      <c r="P26" s="23"/>
    </row>
    <row r="27" spans="1:16" x14ac:dyDescent="0.25">
      <c r="A27" t="s">
        <v>169</v>
      </c>
      <c r="B27" t="s">
        <v>168</v>
      </c>
      <c r="C27">
        <v>2</v>
      </c>
      <c r="D27" s="29" t="e">
        <f>VLOOKUP(B27,'РП (расш)'!A:E,5,0)</f>
        <v>#N/A</v>
      </c>
      <c r="E27" s="29" t="e">
        <f>VLOOKUP(B27,'РП (расш)'!A:G,7,0)</f>
        <v>#N/A</v>
      </c>
      <c r="F27" s="29" t="e">
        <f>VLOOKUP(B27,'РП (расш)'!A:K,11,0)</f>
        <v>#N/A</v>
      </c>
      <c r="G27" s="23" t="e">
        <f>IFERROR(IF(SEARCH("КЭ",B27),(D27-F27)*1%*C27),IFERROR(IF(VLOOKUP(B27,КО!A:A,1,0)&gt;"",((VLOOKUP(B27,'РП (расш)'!A:E,5,0)-F27)*0.054%)*C27),(E27*0.054%)*C27))</f>
        <v>#N/A</v>
      </c>
      <c r="H27" s="29" t="e">
        <f t="shared" si="0"/>
        <v>#N/A</v>
      </c>
      <c r="I27" s="36" t="e">
        <f>IF(L27=4,_xlfn.FLOOR.MATH(VLOOKUP(B27,'РП (расш)'!A:I,9,0)*0.66+IF(N27="да",VLOOKUP(B27,'РП (расш)'!A:K,11,0),G27),1),IF(L27=3,_xlfn.FLOOR.MATH(VLOOKUP(B27,'РП (расш)'!A:I,9,0)/2+IF(N27="да",VLOOKUP(B27,'РП (расш)'!A:K,11,0),G27),1),IF(L27=2,_xlfn.FLOOR.MATH(VLOOKUP(B27,'РП (расш)'!A:I,9,0)/3+IF(N27="да",VLOOKUP(B27,'РП (расш)'!A:K,11,0),G27),1),IF(AND(L27=1,N27="да"),F27,H27))))</f>
        <v>#N/A</v>
      </c>
      <c r="J27" s="36" t="e">
        <f>IF(L27=4,_xlfn.CEILING.MATH(VLOOKUP(B27,'РП (расш)'!A:H,8,0)+(VLOOKUP(B27,'РП (расш)'!A:I,9,0)/3),1),IF(L27=3,_xlfn.CEILING.MATH(VLOOKUP(B27,'РП (расш)'!A:H,8,0)+(VLOOKUP(B27,'РП (расш)'!A:I,9,0)/2),1),IF(L27=2,_xlfn.CEILING.MATH(VLOOKUP(B27,'РП (расш)'!A:H,8,0)+(VLOOKUP(B27,'РП (расш)'!A:I,9,0)*0.67),1),D27-F27)))+1</f>
        <v>#N/A</v>
      </c>
      <c r="K27" t="str">
        <f>IFERROR(IF(VLOOKUP(LEFT(B27,10),[2]Лист1!$A:$A,1,0)&lt;&gt;"","КО"),"ОСК")</f>
        <v>ОСК</v>
      </c>
      <c r="L27">
        <v>1</v>
      </c>
      <c r="N27" t="s">
        <v>113</v>
      </c>
      <c r="P27" s="23"/>
    </row>
    <row r="28" spans="1:16" x14ac:dyDescent="0.25">
      <c r="A28" t="s">
        <v>265</v>
      </c>
      <c r="B28" t="s">
        <v>264</v>
      </c>
      <c r="C28">
        <v>2</v>
      </c>
      <c r="D28" s="29" t="e">
        <f>VLOOKUP(B28,'РП (расш)'!A:E,5,0)</f>
        <v>#N/A</v>
      </c>
      <c r="E28" s="29" t="e">
        <f>VLOOKUP(B28,'РП (расш)'!A:G,7,0)</f>
        <v>#N/A</v>
      </c>
      <c r="F28" s="29" t="e">
        <f>VLOOKUP(B28,'РП (расш)'!A:K,11,0)</f>
        <v>#N/A</v>
      </c>
      <c r="G28" s="23" t="e">
        <f>IFERROR(IF(SEARCH("КЭ",B28),(D28-F28)*1%*C28),IFERROR(IF(VLOOKUP(B28,КО!A:A,1,0)&gt;"",((VLOOKUP(B28,'РП (расш)'!A:E,5,0)-F28)*0.054%)*C28),(E28*0.054%)*C28))</f>
        <v>#N/A</v>
      </c>
      <c r="H28" s="29" t="e">
        <f t="shared" si="0"/>
        <v>#N/A</v>
      </c>
      <c r="I28" s="36" t="e">
        <f>IF(L28=4,_xlfn.FLOOR.MATH(VLOOKUP(B28,'РП (расш)'!A:I,9,0)*0.66+IF(N28="да",VLOOKUP(B28,'РП (расш)'!A:K,11,0),G28),1),IF(L28=3,_xlfn.FLOOR.MATH(VLOOKUP(B28,'РП (расш)'!A:I,9,0)/2+IF(N28="да",VLOOKUP(B28,'РП (расш)'!A:K,11,0),G28),1),IF(L28=2,_xlfn.FLOOR.MATH(VLOOKUP(B28,'РП (расш)'!A:I,9,0)/3+IF(N28="да",VLOOKUP(B28,'РП (расш)'!A:K,11,0),G28),1),IF(AND(L28=1,N28="да"),F28,H28))))</f>
        <v>#N/A</v>
      </c>
      <c r="J28" s="36" t="e">
        <f>IF(L28=4,_xlfn.CEILING.MATH(VLOOKUP(B28,'РП (расш)'!A:H,8,0)+(VLOOKUP(B28,'РП (расш)'!A:I,9,0)/3),1),IF(L28=3,_xlfn.CEILING.MATH(VLOOKUP(B28,'РП (расш)'!A:H,8,0)+(VLOOKUP(B28,'РП (расш)'!A:I,9,0)/2),1),IF(L28=2,_xlfn.CEILING.MATH(VLOOKUP(B28,'РП (расш)'!A:H,8,0)+(VLOOKUP(B28,'РП (расш)'!A:I,9,0)*0.67),1),D28-F28)))+1</f>
        <v>#N/A</v>
      </c>
      <c r="K28" t="str">
        <f>IFERROR(IF(VLOOKUP(LEFT(B28,10),[2]Лист1!$A:$A,1,0)&lt;&gt;"","КО"),"ОСК")</f>
        <v>ОСК</v>
      </c>
      <c r="L28">
        <v>1</v>
      </c>
      <c r="N28" t="s">
        <v>113</v>
      </c>
      <c r="P28" s="23"/>
    </row>
    <row r="29" spans="1:16" x14ac:dyDescent="0.25">
      <c r="A29" t="s">
        <v>169</v>
      </c>
      <c r="B29" t="s">
        <v>269</v>
      </c>
      <c r="C29">
        <v>2</v>
      </c>
      <c r="D29" s="29" t="e">
        <f>VLOOKUP(B29,'РП (расш)'!A:E,5,0)</f>
        <v>#N/A</v>
      </c>
      <c r="E29" s="29" t="e">
        <f>VLOOKUP(B29,'РП (расш)'!A:G,7,0)</f>
        <v>#N/A</v>
      </c>
      <c r="F29" s="29" t="e">
        <f>VLOOKUP(B29,'РП (расш)'!A:K,11,0)</f>
        <v>#N/A</v>
      </c>
      <c r="G29" s="23" t="e">
        <f>IFERROR(IF(SEARCH("КЭ",B29),(D29-F29)*1%*C29),IFERROR(IF(VLOOKUP(B29,КО!A:A,1,0)&gt;"",((VLOOKUP(B29,'РП (расш)'!A:E,5,0)-F29)*0.054%)*C29),(E29*0.054%)*C29))</f>
        <v>#N/A</v>
      </c>
      <c r="H29" s="29" t="e">
        <f t="shared" si="0"/>
        <v>#N/A</v>
      </c>
      <c r="I29" s="36" t="e">
        <f>IF(L29=4,_xlfn.FLOOR.MATH(VLOOKUP(B29,'РП (расш)'!A:I,9,0)*0.66+IF(N29="да",VLOOKUP(B29,'РП (расш)'!A:K,11,0),G29),1),IF(L29=3,_xlfn.FLOOR.MATH(VLOOKUP(B29,'РП (расш)'!A:I,9,0)/2+IF(N29="да",VLOOKUP(B29,'РП (расш)'!A:K,11,0),G29),1),IF(L29=2,_xlfn.FLOOR.MATH(VLOOKUP(B29,'РП (расш)'!A:I,9,0)/3+IF(N29="да",VLOOKUP(B29,'РП (расш)'!A:K,11,0),G29),1),IF(AND(L29=1,N29="да"),F29,H29))))</f>
        <v>#N/A</v>
      </c>
      <c r="J29" s="36" t="e">
        <f>IF(L29=4,_xlfn.CEILING.MATH(VLOOKUP(B29,'РП (расш)'!A:H,8,0)+(VLOOKUP(B29,'РП (расш)'!A:I,9,0)/3),1),IF(L29=3,_xlfn.CEILING.MATH(VLOOKUP(B29,'РП (расш)'!A:H,8,0)+(VLOOKUP(B29,'РП (расш)'!A:I,9,0)/2),1),IF(L29=2,_xlfn.CEILING.MATH(VLOOKUP(B29,'РП (расш)'!A:H,8,0)+(VLOOKUP(B29,'РП (расш)'!A:I,9,0)*0.67),1),D29-F29)))+1</f>
        <v>#N/A</v>
      </c>
      <c r="K29" t="str">
        <f>IFERROR(IF(VLOOKUP(LEFT(B29,10),[2]Лист1!$A:$A,1,0)&lt;&gt;"","КО"),"ОСК")</f>
        <v>ОСК</v>
      </c>
      <c r="L29">
        <v>1</v>
      </c>
      <c r="N29" t="s">
        <v>113</v>
      </c>
      <c r="P29" s="23"/>
    </row>
    <row r="30" spans="1:16" x14ac:dyDescent="0.25">
      <c r="A30" t="s">
        <v>274</v>
      </c>
      <c r="B30" t="s">
        <v>275</v>
      </c>
      <c r="C30">
        <v>2</v>
      </c>
      <c r="D30" s="29">
        <f>VLOOKUP(B30,'РП (расш)'!A:E,5,0)</f>
        <v>0</v>
      </c>
      <c r="E30" s="29">
        <f>VLOOKUP(B30,'РП (расш)'!A:G,7,0)</f>
        <v>0</v>
      </c>
      <c r="F30" s="29">
        <f>VLOOKUP(B30,'РП (расш)'!A:K,11,0)</f>
        <v>0</v>
      </c>
      <c r="G30" s="23">
        <f>IFERROR(IF(SEARCH("КЭ",B30),(D30-F30)*1%*C30),IFERROR(IF(VLOOKUP(B30,КО!A:A,1,0)&gt;"",((VLOOKUP(B30,'РП (расш)'!A:E,5,0)-F30)*0.054%)*C30),(E30*0.054%)*C30))</f>
        <v>0</v>
      </c>
      <c r="H30" s="29">
        <f t="shared" si="0"/>
        <v>0</v>
      </c>
      <c r="I30" s="36">
        <f>IF(L30=4,_xlfn.FLOOR.MATH(VLOOKUP(B30,'РП (расш)'!A:I,9,0)*0.66+IF(N30="да",VLOOKUP(B30,'РП (расш)'!A:K,11,0),G30),1),IF(L30=3,_xlfn.FLOOR.MATH(VLOOKUP(B30,'РП (расш)'!A:I,9,0)/2+IF(N30="да",VLOOKUP(B30,'РП (расш)'!A:K,11,0),G30),1),IF(L30=2,_xlfn.FLOOR.MATH(VLOOKUP(B30,'РП (расш)'!A:I,9,0)/3+IF(N30="да",VLOOKUP(B30,'РП (расш)'!A:K,11,0),G30),1),IF(AND(L30=1,N30="да"),F30,H30))))</f>
        <v>0</v>
      </c>
      <c r="J30" s="36">
        <f>IF(L30=4,_xlfn.CEILING.MATH(VLOOKUP(B30,'РП (расш)'!A:H,8,0)+(VLOOKUP(B30,'РП (расш)'!A:I,9,0)/3),1),IF(L30=3,_xlfn.CEILING.MATH(VLOOKUP(B30,'РП (расш)'!A:H,8,0)+(VLOOKUP(B30,'РП (расш)'!A:I,9,0)/2),1),IF(L30=2,_xlfn.CEILING.MATH(VLOOKUP(B30,'РП (расш)'!A:H,8,0)+(VLOOKUP(B30,'РП (расш)'!A:I,9,0)*0.67),1),D30-F30)))+1</f>
        <v>1</v>
      </c>
      <c r="K30" t="str">
        <f>IFERROR(IF(VLOOKUP(LEFT(B30,10),[2]Лист1!$A:$A,1,0)&lt;&gt;"","КО"),"ОСК")</f>
        <v>ОСК</v>
      </c>
      <c r="L30">
        <v>1</v>
      </c>
      <c r="N30" t="s">
        <v>113</v>
      </c>
      <c r="P30" s="23"/>
    </row>
    <row r="31" spans="1:16" x14ac:dyDescent="0.25">
      <c r="A31" t="s">
        <v>76</v>
      </c>
      <c r="B31" t="s">
        <v>75</v>
      </c>
      <c r="C31">
        <v>2</v>
      </c>
      <c r="D31" s="29">
        <f>VLOOKUP(B31,'РП (расш)'!A:E,5,0)</f>
        <v>0</v>
      </c>
      <c r="E31" s="29">
        <f>VLOOKUP(B31,'РП (расш)'!A:G,7,0)</f>
        <v>0</v>
      </c>
      <c r="F31" s="29">
        <f>VLOOKUP(B31,'РП (расш)'!A:K,11,0)</f>
        <v>0</v>
      </c>
      <c r="G31" s="23">
        <f>IFERROR(IF(SEARCH("КЭ",B31),(D31-F31)*1%*C31),IFERROR(IF(VLOOKUP(B31,КО!A:A,1,0)&gt;"",((VLOOKUP(B31,'РП (расш)'!A:E,5,0)-F31)*0.054%)*C31),(E31*0.054%)*C31))</f>
        <v>0</v>
      </c>
      <c r="H31" s="29">
        <f t="shared" si="0"/>
        <v>0</v>
      </c>
      <c r="I31" s="36">
        <f>IF(L31=4,_xlfn.FLOOR.MATH(VLOOKUP(B31,'РП (расш)'!A:I,9,0)*0.66+IF(N31="да",VLOOKUP(B31,'РП (расш)'!A:K,11,0),G31),1),IF(L31=3,_xlfn.FLOOR.MATH(VLOOKUP(B31,'РП (расш)'!A:I,9,0)/2+IF(N31="да",VLOOKUP(B31,'РП (расш)'!A:K,11,0),G31),1),IF(L31=2,_xlfn.FLOOR.MATH(VLOOKUP(B31,'РП (расш)'!A:I,9,0)/3+IF(N31="да",VLOOKUP(B31,'РП (расш)'!A:K,11,0),G31),1),IF(AND(L31=1,N31="да"),F31,H31))))</f>
        <v>0</v>
      </c>
      <c r="J31" s="36">
        <f>IF(L31=4,_xlfn.CEILING.MATH(VLOOKUP(B31,'РП (расш)'!A:H,8,0)+(VLOOKUP(B31,'РП (расш)'!A:I,9,0)/3),1),IF(L31=3,_xlfn.CEILING.MATH(VLOOKUP(B31,'РП (расш)'!A:H,8,0)+(VLOOKUP(B31,'РП (расш)'!A:I,9,0)/2),1),IF(L31=2,_xlfn.CEILING.MATH(VLOOKUP(B31,'РП (расш)'!A:H,8,0)+(VLOOKUP(B31,'РП (расш)'!A:I,9,0)*0.67),1),D31-F31)))+1</f>
        <v>1</v>
      </c>
      <c r="K31" t="str">
        <f>IFERROR(IF(VLOOKUP(LEFT(B31,10),[2]Лист1!$A:$A,1,0)&lt;&gt;"","КО"),"ОСК")</f>
        <v>ОСК</v>
      </c>
      <c r="L31">
        <v>1</v>
      </c>
      <c r="N31" t="s">
        <v>113</v>
      </c>
      <c r="P31" s="23"/>
    </row>
    <row r="32" spans="1:16" x14ac:dyDescent="0.25">
      <c r="A32" t="s">
        <v>198</v>
      </c>
      <c r="B32" t="s">
        <v>199</v>
      </c>
      <c r="C32">
        <v>2</v>
      </c>
      <c r="D32" s="29" t="e">
        <f>VLOOKUP(B32,'РП (расш)'!A:E,5,0)</f>
        <v>#N/A</v>
      </c>
      <c r="E32" s="29" t="e">
        <f>VLOOKUP(B32,'РП (расш)'!A:G,7,0)</f>
        <v>#N/A</v>
      </c>
      <c r="F32" s="29" t="e">
        <f>VLOOKUP(B32,'РП (расш)'!A:K,11,0)</f>
        <v>#N/A</v>
      </c>
      <c r="G32" s="23" t="e">
        <f>IFERROR(IF(SEARCH("КЭ",B32),(D32-F32)*1%*C32),IFERROR(IF(VLOOKUP(B32,КО!A:A,1,0)&gt;"",((VLOOKUP(B32,'РП (расш)'!A:E,5,0)-F32)*0.054%)*C32),(E32*0.054%)*C32))</f>
        <v>#N/A</v>
      </c>
      <c r="H32" s="29" t="e">
        <f t="shared" si="0"/>
        <v>#N/A</v>
      </c>
      <c r="I32" s="36" t="e">
        <f>IF(L32=4,_xlfn.FLOOR.MATH(VLOOKUP(B32,'РП (расш)'!A:I,9,0)*0.66+IF(N32="да",VLOOKUP(B32,'РП (расш)'!A:K,11,0),G32),1),IF(L32=3,_xlfn.FLOOR.MATH(VLOOKUP(B32,'РП (расш)'!A:I,9,0)/2+IF(N32="да",VLOOKUP(B32,'РП (расш)'!A:K,11,0),G32),1),IF(L32=2,_xlfn.FLOOR.MATH(VLOOKUP(B32,'РП (расш)'!A:I,9,0)/3+IF(N32="да",VLOOKUP(B32,'РП (расш)'!A:K,11,0),G32),1),IF(AND(L32=1,N32="да"),F32,H32))))</f>
        <v>#N/A</v>
      </c>
      <c r="J32" s="36" t="e">
        <f>IF(L32=4,_xlfn.CEILING.MATH(VLOOKUP(B32,'РП (расш)'!A:H,8,0)+(VLOOKUP(B32,'РП (расш)'!A:I,9,0)/3),1),IF(L32=3,_xlfn.CEILING.MATH(VLOOKUP(B32,'РП (расш)'!A:H,8,0)+(VLOOKUP(B32,'РП (расш)'!A:I,9,0)/2),1),IF(L32=2,_xlfn.CEILING.MATH(VLOOKUP(B32,'РП (расш)'!A:H,8,0)+(VLOOKUP(B32,'РП (расш)'!A:I,9,0)*0.67),1),D32-F32)))+1</f>
        <v>#N/A</v>
      </c>
      <c r="K32" t="str">
        <f>IFERROR(IF(VLOOKUP(LEFT(B32,10),[2]Лист1!$A:$A,1,0)&lt;&gt;"","КО"),"ОСК")</f>
        <v>ОСК</v>
      </c>
      <c r="L32">
        <v>1</v>
      </c>
      <c r="N32" t="s">
        <v>113</v>
      </c>
      <c r="P32" s="23"/>
    </row>
    <row r="33" spans="1:16" x14ac:dyDescent="0.25">
      <c r="A33" t="s">
        <v>120</v>
      </c>
      <c r="B33" t="s">
        <v>119</v>
      </c>
      <c r="C33">
        <v>1</v>
      </c>
      <c r="D33" s="29">
        <f>VLOOKUP(B33,'РП (расш)'!A:E,5,0)</f>
        <v>0</v>
      </c>
      <c r="E33" s="29">
        <f>VLOOKUP(B33,'РП (расш)'!A:G,7,0)</f>
        <v>0</v>
      </c>
      <c r="F33" s="29">
        <f>VLOOKUP(B33,'РП (расш)'!A:K,11,0)</f>
        <v>0</v>
      </c>
      <c r="G33" s="23">
        <f>IFERROR(IF(SEARCH("КЭ",B33),(D33-F33)*1%*C33),IFERROR(IF(VLOOKUP(B33,КО!A:A,1,0)&gt;"",((VLOOKUP(B33,'РП (расш)'!A:E,5,0)-F33)*0.054%)*C33),(E33*0.054%)*C33))</f>
        <v>0</v>
      </c>
      <c r="H33" s="29">
        <f t="shared" si="0"/>
        <v>0</v>
      </c>
      <c r="I33" s="36">
        <f>IF(L33=4,_xlfn.FLOOR.MATH(VLOOKUP(B33,'РП (расш)'!A:I,9,0)*0.66+IF(N33="да",VLOOKUP(B33,'РП (расш)'!A:K,11,0),G33),1),IF(L33=3,_xlfn.FLOOR.MATH(VLOOKUP(B33,'РП (расш)'!A:I,9,0)/2+IF(N33="да",VLOOKUP(B33,'РП (расш)'!A:K,11,0),G33),1),IF(L33=2,_xlfn.FLOOR.MATH(VLOOKUP(B33,'РП (расш)'!A:I,9,0)/3+IF(N33="да",VLOOKUP(B33,'РП (расш)'!A:K,11,0),G33),1),IF(AND(L33=1,N33="да"),F33,H33))))</f>
        <v>0</v>
      </c>
      <c r="J33" s="36">
        <f>IF(L33=4,_xlfn.CEILING.MATH(VLOOKUP(B33,'РП (расш)'!A:H,8,0)+(VLOOKUP(B33,'РП (расш)'!A:I,9,0)/3),1),IF(L33=3,_xlfn.CEILING.MATH(VLOOKUP(B33,'РП (расш)'!A:H,8,0)+(VLOOKUP(B33,'РП (расш)'!A:I,9,0)/2),1),IF(L33=2,_xlfn.CEILING.MATH(VLOOKUP(B33,'РП (расш)'!A:H,8,0)+(VLOOKUP(B33,'РП (расш)'!A:I,9,0)*0.67),1),D33-F33)))+1</f>
        <v>1</v>
      </c>
      <c r="K33" t="str">
        <f>IFERROR(IF(VLOOKUP(LEFT(B33,10),[2]Лист1!$A:$A,1,0)&lt;&gt;"","КО"),"ОСК")</f>
        <v>КО</v>
      </c>
      <c r="L33">
        <v>1</v>
      </c>
      <c r="N33" t="s">
        <v>113</v>
      </c>
      <c r="P33" s="23"/>
    </row>
    <row r="34" spans="1:16" x14ac:dyDescent="0.25">
      <c r="A34" t="s">
        <v>316</v>
      </c>
      <c r="B34" t="s">
        <v>315</v>
      </c>
      <c r="C34">
        <v>1</v>
      </c>
      <c r="D34" s="29" t="e">
        <f>VLOOKUP(B34,'РП (расш)'!A:E,5,0)</f>
        <v>#N/A</v>
      </c>
      <c r="E34" s="29" t="e">
        <f>VLOOKUP(B34,'РП (расш)'!A:G,7,0)</f>
        <v>#N/A</v>
      </c>
      <c r="F34" s="29" t="e">
        <f>VLOOKUP(B34,'РП (расш)'!A:K,11,0)</f>
        <v>#N/A</v>
      </c>
      <c r="G34" s="23" t="e">
        <f>IFERROR(IF(SEARCH("КЭ",B34),(D34-F34)*1%*C34),IFERROR(IF(VLOOKUP(B34,КО!A:A,1,0)&gt;"",((VLOOKUP(B34,'РП (расш)'!A:E,5,0)-F34)*0.054%)*C34),(E34*0.054%)*C34))</f>
        <v>#N/A</v>
      </c>
      <c r="H34" s="29" t="e">
        <f t="shared" si="0"/>
        <v>#N/A</v>
      </c>
      <c r="I34" s="36" t="e">
        <f>IF(L34=4,_xlfn.FLOOR.MATH(VLOOKUP(B34,'РП (расш)'!A:I,9,0)*0.66+IF(N34="да",VLOOKUP(B34,'РП (расш)'!A:K,11,0),G34),1),IF(L34=3,_xlfn.FLOOR.MATH(VLOOKUP(B34,'РП (расш)'!A:I,9,0)/2+IF(N34="да",VLOOKUP(B34,'РП (расш)'!A:K,11,0),G34),1),IF(L34=2,_xlfn.FLOOR.MATH(VLOOKUP(B34,'РП (расш)'!A:I,9,0)/3+IF(N34="да",VLOOKUP(B34,'РП (расш)'!A:K,11,0),G34),1),IF(AND(L34=1,N34="да"),F34,H34))))</f>
        <v>#N/A</v>
      </c>
      <c r="J34" s="36" t="e">
        <f>IF(L34=4,_xlfn.CEILING.MATH(VLOOKUP(B34,'РП (расш)'!A:H,8,0)+(VLOOKUP(B34,'РП (расш)'!A:I,9,0)/3),1),IF(L34=3,_xlfn.CEILING.MATH(VLOOKUP(B34,'РП (расш)'!A:H,8,0)+(VLOOKUP(B34,'РП (расш)'!A:I,9,0)/2),1),IF(L34=2,_xlfn.CEILING.MATH(VLOOKUP(B34,'РП (расш)'!A:H,8,0)+(VLOOKUP(B34,'РП (расш)'!A:I,9,0)*0.67),1),D34-F34)))+1</f>
        <v>#N/A</v>
      </c>
      <c r="K34" t="str">
        <f>IFERROR(IF(VLOOKUP(LEFT(B34,10),[2]Лист1!$A:$A,1,0)&lt;&gt;"","КО"),"ОСК")</f>
        <v>ОСК</v>
      </c>
      <c r="L34">
        <v>1</v>
      </c>
      <c r="N34" t="s">
        <v>113</v>
      </c>
      <c r="P34" s="23"/>
    </row>
    <row r="35" spans="1:16" x14ac:dyDescent="0.25">
      <c r="A35" t="s">
        <v>187</v>
      </c>
      <c r="B35" t="s">
        <v>186</v>
      </c>
      <c r="C35">
        <v>1</v>
      </c>
      <c r="D35" s="29" t="e">
        <f>VLOOKUP(B35,'РП (расш)'!A:E,5,0)</f>
        <v>#N/A</v>
      </c>
      <c r="E35" s="29" t="e">
        <f>VLOOKUP(B35,'РП (расш)'!A:G,7,0)</f>
        <v>#N/A</v>
      </c>
      <c r="F35" s="29" t="e">
        <f>VLOOKUP(B35,'РП (расш)'!A:K,11,0)</f>
        <v>#N/A</v>
      </c>
      <c r="G35" s="23" t="e">
        <f>IFERROR(IF(SEARCH("КЭ",B35),(D35-F35)*1%*C35),IFERROR(IF(VLOOKUP(B35,КО!A:A,1,0)&gt;"",((VLOOKUP(B35,'РП (расш)'!A:E,5,0)-F35)*0.054%)*C35),(E35*0.054%)*C35))</f>
        <v>#N/A</v>
      </c>
      <c r="H35" s="29" t="e">
        <f t="shared" si="0"/>
        <v>#N/A</v>
      </c>
      <c r="I35" s="36" t="e">
        <f>IF(L35=4,_xlfn.FLOOR.MATH(VLOOKUP(B35,'РП (расш)'!A:I,9,0)*0.66+IF(N35="да",VLOOKUP(B35,'РП (расш)'!A:K,11,0),G35),1),IF(L35=3,_xlfn.FLOOR.MATH(VLOOKUP(B35,'РП (расш)'!A:I,9,0)/2+IF(N35="да",VLOOKUP(B35,'РП (расш)'!A:K,11,0),G35),1),IF(L35=2,_xlfn.FLOOR.MATH(VLOOKUP(B35,'РП (расш)'!A:I,9,0)/3+IF(N35="да",VLOOKUP(B35,'РП (расш)'!A:K,11,0),G35),1),IF(AND(L35=1,N35="да"),F35,H35))))</f>
        <v>#N/A</v>
      </c>
      <c r="J35" s="36" t="e">
        <f>IF(L35=4,_xlfn.CEILING.MATH(VLOOKUP(B35,'РП (расш)'!A:H,8,0)+(VLOOKUP(B35,'РП (расш)'!A:I,9,0)/3),1),IF(L35=3,_xlfn.CEILING.MATH(VLOOKUP(B35,'РП (расш)'!A:H,8,0)+(VLOOKUP(B35,'РП (расш)'!A:I,9,0)/2),1),IF(L35=2,_xlfn.CEILING.MATH(VLOOKUP(B35,'РП (расш)'!A:H,8,0)+(VLOOKUP(B35,'РП (расш)'!A:I,9,0)*0.67),1),D35-F35)))+1</f>
        <v>#N/A</v>
      </c>
      <c r="K35" t="str">
        <f>IFERROR(IF(VLOOKUP(LEFT(B35,10),[2]Лист1!$A:$A,1,0)&lt;&gt;"","КО"),"ОСК")</f>
        <v>КО</v>
      </c>
      <c r="L35">
        <v>1</v>
      </c>
      <c r="N35" t="s">
        <v>113</v>
      </c>
      <c r="P35" s="23"/>
    </row>
    <row r="36" spans="1:16" x14ac:dyDescent="0.25">
      <c r="A36" t="s">
        <v>164</v>
      </c>
      <c r="B36" t="s">
        <v>190</v>
      </c>
      <c r="C36">
        <v>1</v>
      </c>
      <c r="D36" s="29" t="e">
        <f>VLOOKUP(B36,'РП (расш)'!A:E,5,0)</f>
        <v>#N/A</v>
      </c>
      <c r="E36" s="29" t="e">
        <f>VLOOKUP(B36,'РП (расш)'!A:G,7,0)</f>
        <v>#N/A</v>
      </c>
      <c r="F36" s="29" t="e">
        <f>VLOOKUP(B36,'РП (расш)'!A:K,11,0)</f>
        <v>#N/A</v>
      </c>
      <c r="G36" s="23" t="e">
        <f>IFERROR(IF(SEARCH("КЭ",B36),(D36-F36)*1%*C36),IFERROR(IF(VLOOKUP(B36,КО!A:A,1,0)&gt;"",((VLOOKUP(B36,'РП (расш)'!A:E,5,0)-F36)*0.054%)*C36),(E36*0.054%)*C36))</f>
        <v>#N/A</v>
      </c>
      <c r="H36" s="29" t="e">
        <f t="shared" si="0"/>
        <v>#N/A</v>
      </c>
      <c r="I36" s="36" t="e">
        <f>IF(L36=4,_xlfn.FLOOR.MATH(VLOOKUP(B36,'РП (расш)'!A:I,9,0)*0.66+IF(N36="да",VLOOKUP(B36,'РП (расш)'!A:K,11,0),G36),1),IF(L36=3,_xlfn.FLOOR.MATH(VLOOKUP(B36,'РП (расш)'!A:I,9,0)/2+IF(N36="да",VLOOKUP(B36,'РП (расш)'!A:K,11,0),G36),1),IF(L36=2,_xlfn.FLOOR.MATH(VLOOKUP(B36,'РП (расш)'!A:I,9,0)/3+IF(N36="да",VLOOKUP(B36,'РП (расш)'!A:K,11,0),G36),1),IF(AND(L36=1,N36="да"),F36,H36))))</f>
        <v>#N/A</v>
      </c>
      <c r="J36" s="36" t="e">
        <f>IF(L36=4,_xlfn.CEILING.MATH(VLOOKUP(B36,'РП (расш)'!A:H,8,0)+(VLOOKUP(B36,'РП (расш)'!A:I,9,0)/3),1),IF(L36=3,_xlfn.CEILING.MATH(VLOOKUP(B36,'РП (расш)'!A:H,8,0)+(VLOOKUP(B36,'РП (расш)'!A:I,9,0)/2),1),IF(L36=2,_xlfn.CEILING.MATH(VLOOKUP(B36,'РП (расш)'!A:H,8,0)+(VLOOKUP(B36,'РП (расш)'!A:I,9,0)*0.67),1),D36-F36)))+1</f>
        <v>#N/A</v>
      </c>
      <c r="K36" t="str">
        <f>IFERROR(IF(VLOOKUP(LEFT(B36,10),[2]Лист1!$A:$A,1,0)&lt;&gt;"","КО"),"ОСК")</f>
        <v>ОСК</v>
      </c>
      <c r="L36">
        <v>1</v>
      </c>
      <c r="N36" t="s">
        <v>113</v>
      </c>
      <c r="P36" s="23"/>
    </row>
    <row r="37" spans="1:16" x14ac:dyDescent="0.25">
      <c r="A37" t="s">
        <v>239</v>
      </c>
      <c r="B37" t="s">
        <v>240</v>
      </c>
      <c r="C37">
        <v>1</v>
      </c>
      <c r="D37" s="29" t="e">
        <f>VLOOKUP(B37,'РП (расш)'!A:E,5,0)</f>
        <v>#N/A</v>
      </c>
      <c r="E37" s="29" t="e">
        <f>VLOOKUP(B37,'РП (расш)'!A:G,7,0)</f>
        <v>#N/A</v>
      </c>
      <c r="F37" s="29" t="e">
        <f>VLOOKUP(B37,'РП (расш)'!A:K,11,0)</f>
        <v>#N/A</v>
      </c>
      <c r="G37" s="23" t="e">
        <f>IFERROR(IF(SEARCH("КЭ",B37),(D37-F37)*1%*C37),IFERROR(IF(VLOOKUP(B37,КО!A:A,1,0)&gt;"",((VLOOKUP(B37,'РП (расш)'!A:E,5,0)-F37)*0.054%)*C37),(E37*0.054%)*C37))</f>
        <v>#N/A</v>
      </c>
      <c r="H37" s="29" t="e">
        <f t="shared" si="0"/>
        <v>#N/A</v>
      </c>
      <c r="I37" s="36" t="e">
        <f>IF(L37=4,_xlfn.FLOOR.MATH(VLOOKUP(B37,'РП (расш)'!A:I,9,0)*0.66+IF(N37="да",VLOOKUP(B37,'РП (расш)'!A:K,11,0),G37),1),IF(L37=3,_xlfn.FLOOR.MATH(VLOOKUP(B37,'РП (расш)'!A:I,9,0)/2+IF(N37="да",VLOOKUP(B37,'РП (расш)'!A:K,11,0),G37),1),IF(L37=2,_xlfn.FLOOR.MATH(VLOOKUP(B37,'РП (расш)'!A:I,9,0)/3+IF(N37="да",VLOOKUP(B37,'РП (расш)'!A:K,11,0),G37),1),IF(AND(L37=1,N37="да"),F37,H37))))</f>
        <v>#N/A</v>
      </c>
      <c r="J37" s="36" t="e">
        <f>IF(L37=4,_xlfn.CEILING.MATH(VLOOKUP(B37,'РП (расш)'!A:H,8,0)+(VLOOKUP(B37,'РП (расш)'!A:I,9,0)/3),1),IF(L37=3,_xlfn.CEILING.MATH(VLOOKUP(B37,'РП (расш)'!A:H,8,0)+(VLOOKUP(B37,'РП (расш)'!A:I,9,0)/2),1),IF(L37=2,_xlfn.CEILING.MATH(VLOOKUP(B37,'РП (расш)'!A:H,8,0)+(VLOOKUP(B37,'РП (расш)'!A:I,9,0)*0.67),1),D37-F37)))+1</f>
        <v>#N/A</v>
      </c>
      <c r="K37" t="str">
        <f>IFERROR(IF(VLOOKUP(LEFT(B37,10),[2]Лист1!$A:$A,1,0)&lt;&gt;"","КО"),"ОСК")</f>
        <v>КО</v>
      </c>
      <c r="L37">
        <v>1</v>
      </c>
      <c r="N37" t="s">
        <v>113</v>
      </c>
      <c r="P37" s="23"/>
    </row>
    <row r="38" spans="1:16" x14ac:dyDescent="0.25">
      <c r="P38" s="23"/>
    </row>
    <row r="39" spans="1:16" x14ac:dyDescent="0.25">
      <c r="P39" s="23"/>
    </row>
    <row r="40" spans="1:16" x14ac:dyDescent="0.25">
      <c r="P40" s="23"/>
    </row>
    <row r="41" spans="1:16" x14ac:dyDescent="0.25">
      <c r="P41" s="23"/>
    </row>
  </sheetData>
  <autoFilter ref="A1:N125" xr:uid="{F2F75561-6AD7-43AF-BBBF-44F54C19C6CF}"/>
  <sortState xmlns:xlrd2="http://schemas.microsoft.com/office/spreadsheetml/2017/richdata2" ref="A2:K500">
    <sortCondition descending="1" ref="C1:C182"/>
  </sortState>
  <phoneticPr fontId="4" type="noConversion"/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01A0561-8A37-41A0-B1AC-083CCBD2C633}">
          <x14:formula1>
            <xm:f>xforms!$A$34:$B$34</xm:f>
          </x14:formula1>
          <xm:sqref>N2:N37</xm:sqref>
        </x14:dataValidation>
        <x14:dataValidation type="list" allowBlank="1" showInputMessage="1" showErrorMessage="1" xr:uid="{432A5FC3-7AF0-4B3E-8898-4F10BFEA6B1F}">
          <x14:formula1>
            <xm:f>xforms!$A$36:$A$40</xm:f>
          </x14:formula1>
          <xm:sqref>L2:L37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7B4E9-C9BA-4F62-89A0-C529A82359D4}">
  <sheetPr codeName="Лист4"/>
  <dimension ref="A1:C2334"/>
  <sheetViews>
    <sheetView workbookViewId="0">
      <selection activeCell="E20" sqref="E20"/>
    </sheetView>
  </sheetViews>
  <sheetFormatPr defaultRowHeight="15" x14ac:dyDescent="0.25"/>
  <cols>
    <col min="1" max="1" width="11.28515625" bestFit="1" customWidth="1"/>
    <col min="2" max="2" width="12.85546875" style="29" bestFit="1" customWidth="1"/>
    <col min="3" max="4" width="14.28515625" bestFit="1" customWidth="1"/>
  </cols>
  <sheetData>
    <row r="1" spans="1:3" x14ac:dyDescent="0.25">
      <c r="A1" t="s">
        <v>17</v>
      </c>
      <c r="C1" s="29">
        <f>SUM(B:B)</f>
        <v>4358894.1099999994</v>
      </c>
    </row>
    <row r="2" spans="1:3" x14ac:dyDescent="0.25">
      <c r="A2" t="s">
        <v>1979</v>
      </c>
      <c r="B2" s="102">
        <f>SUMIF(Платежи!B:B,VLOOKUP(A2,Платежи!B:B,1,0),Платежи!C:C)</f>
        <v>0</v>
      </c>
    </row>
    <row r="3" spans="1:3" x14ac:dyDescent="0.25">
      <c r="A3" t="s">
        <v>1980</v>
      </c>
      <c r="B3" s="102">
        <f>SUMIF(Платежи!B:B,VLOOKUP(A3,Платежи!B:B,1,0),Платежи!C:C)</f>
        <v>0</v>
      </c>
      <c r="C3" s="1"/>
    </row>
    <row r="4" spans="1:3" x14ac:dyDescent="0.25">
      <c r="A4" t="s">
        <v>1981</v>
      </c>
      <c r="B4" s="102">
        <f>SUMIF(Платежи!B:B,VLOOKUP(A4,Платежи!B:B,1,0),Платежи!C:C)</f>
        <v>0</v>
      </c>
      <c r="C4" s="1"/>
    </row>
    <row r="5" spans="1:3" x14ac:dyDescent="0.25">
      <c r="A5" t="s">
        <v>1982</v>
      </c>
      <c r="B5" s="102">
        <f>SUMIF(Платежи!B:B,VLOOKUP(A5,Платежи!B:B,1,0),Платежи!C:C)</f>
        <v>0</v>
      </c>
      <c r="C5" s="1"/>
    </row>
    <row r="6" spans="1:3" x14ac:dyDescent="0.25">
      <c r="A6" t="s">
        <v>1983</v>
      </c>
      <c r="B6" s="102">
        <f>SUMIF(Платежи!B:B,VLOOKUP(A6,Платежи!B:B,1,0),Платежи!C:C)</f>
        <v>0</v>
      </c>
      <c r="C6" s="1"/>
    </row>
    <row r="7" spans="1:3" x14ac:dyDescent="0.25">
      <c r="A7" t="s">
        <v>1984</v>
      </c>
      <c r="B7" s="102">
        <f>SUMIF(Платежи!B:B,VLOOKUP(A7,Платежи!B:B,1,0),Платежи!C:C)</f>
        <v>0</v>
      </c>
      <c r="C7" s="1"/>
    </row>
    <row r="8" spans="1:3" x14ac:dyDescent="0.25">
      <c r="A8" t="s">
        <v>1985</v>
      </c>
      <c r="B8" s="102">
        <f>SUMIF(Платежи!B:B,VLOOKUP(A8,Платежи!B:B,1,0),Платежи!C:C)</f>
        <v>0</v>
      </c>
      <c r="C8" s="1"/>
    </row>
    <row r="9" spans="1:3" x14ac:dyDescent="0.25">
      <c r="A9" t="s">
        <v>1986</v>
      </c>
      <c r="B9" s="102">
        <f>SUMIF(Платежи!B:B,VLOOKUP(A9,Платежи!B:B,1,0),Платежи!C:C)</f>
        <v>0</v>
      </c>
      <c r="C9" s="1"/>
    </row>
    <row r="10" spans="1:3" x14ac:dyDescent="0.25">
      <c r="A10" t="s">
        <v>1987</v>
      </c>
      <c r="B10" s="102">
        <f>SUMIF(Платежи!B:B,VLOOKUP(A10,Платежи!B:B,1,0),Платежи!C:C)</f>
        <v>0</v>
      </c>
      <c r="C10" s="1"/>
    </row>
    <row r="11" spans="1:3" x14ac:dyDescent="0.25">
      <c r="A11" t="s">
        <v>1988</v>
      </c>
      <c r="B11" s="102">
        <f>SUMIF(Платежи!B:B,VLOOKUP(A11,Платежи!B:B,1,0),Платежи!C:C)</f>
        <v>0</v>
      </c>
      <c r="C11" s="1"/>
    </row>
    <row r="12" spans="1:3" x14ac:dyDescent="0.25">
      <c r="A12" t="s">
        <v>1989</v>
      </c>
      <c r="B12" s="102">
        <f>SUMIF(Платежи!B:B,VLOOKUP(A12,Платежи!B:B,1,0),Платежи!C:C)</f>
        <v>0</v>
      </c>
      <c r="C12" s="1"/>
    </row>
    <row r="13" spans="1:3" x14ac:dyDescent="0.25">
      <c r="A13" t="s">
        <v>1990</v>
      </c>
      <c r="B13" s="102">
        <f>SUMIF(Платежи!B:B,VLOOKUP(A13,Платежи!B:B,1,0),Платежи!C:C)</f>
        <v>0</v>
      </c>
      <c r="C13" s="1"/>
    </row>
    <row r="14" spans="1:3" x14ac:dyDescent="0.25">
      <c r="A14" t="s">
        <v>1991</v>
      </c>
      <c r="B14" s="102">
        <f>SUMIF(Платежи!B:B,VLOOKUP(A14,Платежи!B:B,1,0),Платежи!C:C)</f>
        <v>0</v>
      </c>
      <c r="C14" s="1"/>
    </row>
    <row r="15" spans="1:3" x14ac:dyDescent="0.25">
      <c r="A15" t="s">
        <v>1992</v>
      </c>
      <c r="B15" s="102">
        <f>SUMIF(Платежи!B:B,VLOOKUP(A15,Платежи!B:B,1,0),Платежи!C:C)</f>
        <v>0</v>
      </c>
      <c r="C15" s="1"/>
    </row>
    <row r="16" spans="1:3" x14ac:dyDescent="0.25">
      <c r="A16" t="s">
        <v>1993</v>
      </c>
      <c r="B16" s="102">
        <f>SUMIF(Платежи!B:B,VLOOKUP(A16,Платежи!B:B,1,0),Платежи!C:C)</f>
        <v>0</v>
      </c>
      <c r="C16" s="1"/>
    </row>
    <row r="17" spans="1:3" x14ac:dyDescent="0.25">
      <c r="A17" t="s">
        <v>1994</v>
      </c>
      <c r="B17" s="102">
        <f>SUMIF(Платежи!B:B,VLOOKUP(A17,Платежи!B:B,1,0),Платежи!C:C)</f>
        <v>0</v>
      </c>
      <c r="C17" s="1"/>
    </row>
    <row r="18" spans="1:3" x14ac:dyDescent="0.25">
      <c r="A18" t="s">
        <v>1995</v>
      </c>
      <c r="B18" s="102">
        <f>SUMIF(Платежи!B:B,VLOOKUP(A18,Платежи!B:B,1,0),Платежи!C:C)</f>
        <v>0</v>
      </c>
      <c r="C18" s="1"/>
    </row>
    <row r="19" spans="1:3" x14ac:dyDescent="0.25">
      <c r="A19" t="s">
        <v>1996</v>
      </c>
      <c r="B19" s="102">
        <f>SUMIF(Платежи!B:B,VLOOKUP(A19,Платежи!B:B,1,0),Платежи!C:C)</f>
        <v>0</v>
      </c>
      <c r="C19" s="1"/>
    </row>
    <row r="20" spans="1:3" x14ac:dyDescent="0.25">
      <c r="A20" t="s">
        <v>1997</v>
      </c>
      <c r="B20" s="102">
        <f>SUMIF(Платежи!B:B,VLOOKUP(A20,Платежи!B:B,1,0),Платежи!C:C)</f>
        <v>0</v>
      </c>
      <c r="C20" s="1"/>
    </row>
    <row r="21" spans="1:3" x14ac:dyDescent="0.25">
      <c r="A21" t="s">
        <v>1998</v>
      </c>
      <c r="B21" s="102">
        <f>SUMIF(Платежи!B:B,VLOOKUP(A21,Платежи!B:B,1,0),Платежи!C:C)</f>
        <v>0</v>
      </c>
      <c r="C21" s="1"/>
    </row>
    <row r="22" spans="1:3" x14ac:dyDescent="0.25">
      <c r="A22" t="s">
        <v>1999</v>
      </c>
      <c r="B22" s="102">
        <f>SUMIF(Платежи!B:B,VLOOKUP(A22,Платежи!B:B,1,0),Платежи!C:C)</f>
        <v>0</v>
      </c>
      <c r="C22" s="1"/>
    </row>
    <row r="23" spans="1:3" x14ac:dyDescent="0.25">
      <c r="A23" t="s">
        <v>2000</v>
      </c>
      <c r="B23" s="102">
        <f>SUMIF(Платежи!B:B,VLOOKUP(A23,Платежи!B:B,1,0),Платежи!C:C)</f>
        <v>0</v>
      </c>
      <c r="C23" s="1"/>
    </row>
    <row r="24" spans="1:3" x14ac:dyDescent="0.25">
      <c r="A24" t="s">
        <v>2001</v>
      </c>
      <c r="B24" s="102">
        <f>SUMIF(Платежи!B:B,VLOOKUP(A24,Платежи!B:B,1,0),Платежи!C:C)</f>
        <v>0</v>
      </c>
      <c r="C24" s="1"/>
    </row>
    <row r="25" spans="1:3" x14ac:dyDescent="0.25">
      <c r="A25" t="s">
        <v>2002</v>
      </c>
      <c r="B25" s="102">
        <f>SUMIF(Платежи!B:B,VLOOKUP(A25,Платежи!B:B,1,0),Платежи!C:C)</f>
        <v>0</v>
      </c>
      <c r="C25" s="1"/>
    </row>
    <row r="26" spans="1:3" x14ac:dyDescent="0.25">
      <c r="A26" t="s">
        <v>2003</v>
      </c>
      <c r="B26" s="102">
        <f>SUMIF(Платежи!B:B,VLOOKUP(A26,Платежи!B:B,1,0),Платежи!C:C)</f>
        <v>0</v>
      </c>
      <c r="C26" s="1"/>
    </row>
    <row r="27" spans="1:3" x14ac:dyDescent="0.25">
      <c r="A27" t="s">
        <v>2004</v>
      </c>
      <c r="B27" s="102">
        <f>SUMIF(Платежи!B:B,VLOOKUP(A27,Платежи!B:B,1,0),Платежи!C:C)</f>
        <v>0</v>
      </c>
      <c r="C27" s="1"/>
    </row>
    <row r="28" spans="1:3" x14ac:dyDescent="0.25">
      <c r="A28" t="s">
        <v>2005</v>
      </c>
      <c r="B28" s="102">
        <f>SUMIF(Платежи!B:B,VLOOKUP(A28,Платежи!B:B,1,0),Платежи!C:C)</f>
        <v>0</v>
      </c>
      <c r="C28" s="1"/>
    </row>
    <row r="29" spans="1:3" x14ac:dyDescent="0.25">
      <c r="A29" t="s">
        <v>2006</v>
      </c>
      <c r="B29" s="102">
        <f>SUMIF(Платежи!B:B,VLOOKUP(A29,Платежи!B:B,1,0),Платежи!C:C)</f>
        <v>0</v>
      </c>
      <c r="C29" s="1"/>
    </row>
    <row r="30" spans="1:3" x14ac:dyDescent="0.25">
      <c r="A30" t="s">
        <v>2007</v>
      </c>
      <c r="B30" s="102">
        <f>SUMIF(Платежи!B:B,VLOOKUP(A30,Платежи!B:B,1,0),Платежи!C:C)</f>
        <v>0</v>
      </c>
      <c r="C30" s="1"/>
    </row>
    <row r="31" spans="1:3" x14ac:dyDescent="0.25">
      <c r="A31" t="s">
        <v>2008</v>
      </c>
      <c r="B31" s="102">
        <f>SUMIF(Платежи!B:B,VLOOKUP(A31,Платежи!B:B,1,0),Платежи!C:C)</f>
        <v>0</v>
      </c>
      <c r="C31" s="1"/>
    </row>
    <row r="32" spans="1:3" x14ac:dyDescent="0.25">
      <c r="A32" t="s">
        <v>2009</v>
      </c>
      <c r="B32" s="102">
        <f>SUMIF(Платежи!B:B,VLOOKUP(A32,Платежи!B:B,1,0),Платежи!C:C)</f>
        <v>0</v>
      </c>
      <c r="C32" s="1"/>
    </row>
    <row r="33" spans="1:3" x14ac:dyDescent="0.25">
      <c r="A33" t="s">
        <v>2010</v>
      </c>
      <c r="B33" s="102">
        <f>SUMIF(Платежи!B:B,VLOOKUP(A33,Платежи!B:B,1,0),Платежи!C:C)</f>
        <v>0</v>
      </c>
      <c r="C33" s="1"/>
    </row>
    <row r="34" spans="1:3" x14ac:dyDescent="0.25">
      <c r="A34" t="s">
        <v>2011</v>
      </c>
      <c r="B34" s="102">
        <f>SUMIF(Платежи!B:B,VLOOKUP(A34,Платежи!B:B,1,0),Платежи!C:C)</f>
        <v>0</v>
      </c>
      <c r="C34" s="1"/>
    </row>
    <row r="35" spans="1:3" x14ac:dyDescent="0.25">
      <c r="A35" t="s">
        <v>2012</v>
      </c>
      <c r="B35" s="102">
        <f>SUMIF(Платежи!B:B,VLOOKUP(A35,Платежи!B:B,1,0),Платежи!C:C)</f>
        <v>0</v>
      </c>
      <c r="C35" s="1"/>
    </row>
    <row r="36" spans="1:3" x14ac:dyDescent="0.25">
      <c r="A36" t="s">
        <v>2013</v>
      </c>
      <c r="B36" s="102">
        <f>SUMIF(Платежи!B:B,VLOOKUP(A36,Платежи!B:B,1,0),Платежи!C:C)</f>
        <v>0</v>
      </c>
      <c r="C36" s="1"/>
    </row>
    <row r="37" spans="1:3" x14ac:dyDescent="0.25">
      <c r="A37" t="s">
        <v>2014</v>
      </c>
      <c r="B37" s="102">
        <f>SUMIF(Платежи!B:B,VLOOKUP(A37,Платежи!B:B,1,0),Платежи!C:C)</f>
        <v>0</v>
      </c>
      <c r="C37" s="1"/>
    </row>
    <row r="38" spans="1:3" x14ac:dyDescent="0.25">
      <c r="A38" t="s">
        <v>2015</v>
      </c>
      <c r="B38" s="102">
        <f>SUMIF(Платежи!B:B,VLOOKUP(A38,Платежи!B:B,1,0),Платежи!C:C)</f>
        <v>0</v>
      </c>
      <c r="C38" s="1"/>
    </row>
    <row r="39" spans="1:3" x14ac:dyDescent="0.25">
      <c r="A39" t="s">
        <v>2016</v>
      </c>
      <c r="B39" s="102">
        <f>SUMIF(Платежи!B:B,VLOOKUP(A39,Платежи!B:B,1,0),Платежи!C:C)</f>
        <v>0</v>
      </c>
      <c r="C39" s="1"/>
    </row>
    <row r="40" spans="1:3" x14ac:dyDescent="0.25">
      <c r="A40" t="s">
        <v>2017</v>
      </c>
      <c r="B40" s="102">
        <f>SUMIF(Платежи!B:B,VLOOKUP(A40,Платежи!B:B,1,0),Платежи!C:C)</f>
        <v>0</v>
      </c>
      <c r="C40" s="1"/>
    </row>
    <row r="41" spans="1:3" x14ac:dyDescent="0.25">
      <c r="A41" t="s">
        <v>2018</v>
      </c>
      <c r="B41" s="102">
        <f>SUMIF(Платежи!B:B,VLOOKUP(A41,Платежи!B:B,1,0),Платежи!C:C)</f>
        <v>0</v>
      </c>
      <c r="C41" s="1"/>
    </row>
    <row r="42" spans="1:3" x14ac:dyDescent="0.25">
      <c r="A42" t="s">
        <v>2019</v>
      </c>
      <c r="B42" s="102">
        <f>SUMIF(Платежи!B:B,VLOOKUP(A42,Платежи!B:B,1,0),Платежи!C:C)</f>
        <v>0</v>
      </c>
      <c r="C42" s="1"/>
    </row>
    <row r="43" spans="1:3" x14ac:dyDescent="0.25">
      <c r="A43" t="s">
        <v>2020</v>
      </c>
      <c r="B43" s="102">
        <f>SUMIF(Платежи!B:B,VLOOKUP(A43,Платежи!B:B,1,0),Платежи!C:C)</f>
        <v>0</v>
      </c>
      <c r="C43" s="1"/>
    </row>
    <row r="44" spans="1:3" x14ac:dyDescent="0.25">
      <c r="A44" t="s">
        <v>2021</v>
      </c>
      <c r="B44" s="102">
        <f>SUMIF(Платежи!B:B,VLOOKUP(A44,Платежи!B:B,1,0),Платежи!C:C)</f>
        <v>0</v>
      </c>
      <c r="C44" s="1"/>
    </row>
    <row r="45" spans="1:3" x14ac:dyDescent="0.25">
      <c r="A45" t="s">
        <v>2022</v>
      </c>
      <c r="B45" s="102">
        <f>SUMIF(Платежи!B:B,VLOOKUP(A45,Платежи!B:B,1,0),Платежи!C:C)</f>
        <v>0</v>
      </c>
      <c r="C45" s="1"/>
    </row>
    <row r="46" spans="1:3" x14ac:dyDescent="0.25">
      <c r="A46" t="s">
        <v>2023</v>
      </c>
      <c r="B46" s="102">
        <f>SUMIF(Платежи!B:B,VLOOKUP(A46,Платежи!B:B,1,0),Платежи!C:C)</f>
        <v>0</v>
      </c>
      <c r="C46" s="1"/>
    </row>
    <row r="47" spans="1:3" x14ac:dyDescent="0.25">
      <c r="A47" t="s">
        <v>2024</v>
      </c>
      <c r="B47" s="102">
        <f>SUMIF(Платежи!B:B,VLOOKUP(A47,Платежи!B:B,1,0),Платежи!C:C)</f>
        <v>0</v>
      </c>
      <c r="C47" s="1"/>
    </row>
    <row r="48" spans="1:3" x14ac:dyDescent="0.25">
      <c r="A48" t="s">
        <v>2025</v>
      </c>
      <c r="B48" s="102">
        <f>SUMIF(Платежи!B:B,VLOOKUP(A48,Платежи!B:B,1,0),Платежи!C:C)</f>
        <v>0</v>
      </c>
      <c r="C48" s="1"/>
    </row>
    <row r="49" spans="1:3" x14ac:dyDescent="0.25">
      <c r="A49" t="s">
        <v>2026</v>
      </c>
      <c r="B49" s="102">
        <f>SUMIF(Платежи!B:B,VLOOKUP(A49,Платежи!B:B,1,0),Платежи!C:C)</f>
        <v>0</v>
      </c>
      <c r="C49" s="1"/>
    </row>
    <row r="50" spans="1:3" x14ac:dyDescent="0.25">
      <c r="A50" t="s">
        <v>2027</v>
      </c>
      <c r="B50" s="102">
        <f>SUMIF(Платежи!B:B,VLOOKUP(A50,Платежи!B:B,1,0),Платежи!C:C)</f>
        <v>0</v>
      </c>
      <c r="C50" s="1"/>
    </row>
    <row r="51" spans="1:3" x14ac:dyDescent="0.25">
      <c r="A51" t="s">
        <v>2028</v>
      </c>
      <c r="B51" s="102">
        <f>SUMIF(Платежи!B:B,VLOOKUP(A51,Платежи!B:B,1,0),Платежи!C:C)</f>
        <v>0</v>
      </c>
      <c r="C51" s="1"/>
    </row>
    <row r="52" spans="1:3" x14ac:dyDescent="0.25">
      <c r="A52" t="s">
        <v>2029</v>
      </c>
      <c r="B52" s="102">
        <f>SUMIF(Платежи!B:B,VLOOKUP(A52,Платежи!B:B,1,0),Платежи!C:C)</f>
        <v>0</v>
      </c>
      <c r="C52" s="1"/>
    </row>
    <row r="53" spans="1:3" x14ac:dyDescent="0.25">
      <c r="A53" t="s">
        <v>2030</v>
      </c>
      <c r="B53" s="102">
        <f>SUMIF(Платежи!B:B,VLOOKUP(A53,Платежи!B:B,1,0),Платежи!C:C)</f>
        <v>0</v>
      </c>
      <c r="C53" s="1"/>
    </row>
    <row r="54" spans="1:3" x14ac:dyDescent="0.25">
      <c r="A54" t="s">
        <v>2031</v>
      </c>
      <c r="B54" s="102">
        <f>SUMIF(Платежи!B:B,VLOOKUP(A54,Платежи!B:B,1,0),Платежи!C:C)</f>
        <v>0</v>
      </c>
      <c r="C54" s="1"/>
    </row>
    <row r="55" spans="1:3" x14ac:dyDescent="0.25">
      <c r="A55" t="s">
        <v>2032</v>
      </c>
      <c r="B55" s="102">
        <f>SUMIF(Платежи!B:B,VLOOKUP(A55,Платежи!B:B,1,0),Платежи!C:C)</f>
        <v>0</v>
      </c>
      <c r="C55" s="1"/>
    </row>
    <row r="56" spans="1:3" x14ac:dyDescent="0.25">
      <c r="A56" t="s">
        <v>2033</v>
      </c>
      <c r="B56" s="102">
        <f>SUMIF(Платежи!B:B,VLOOKUP(A56,Платежи!B:B,1,0),Платежи!C:C)</f>
        <v>0</v>
      </c>
      <c r="C56" s="1"/>
    </row>
    <row r="57" spans="1:3" x14ac:dyDescent="0.25">
      <c r="A57" t="s">
        <v>2034</v>
      </c>
      <c r="B57" s="102">
        <f>SUMIF(Платежи!B:B,VLOOKUP(A57,Платежи!B:B,1,0),Платежи!C:C)</f>
        <v>0</v>
      </c>
      <c r="C57" s="1"/>
    </row>
    <row r="58" spans="1:3" x14ac:dyDescent="0.25">
      <c r="A58" t="s">
        <v>2035</v>
      </c>
      <c r="B58" s="102">
        <f>SUMIF(Платежи!B:B,VLOOKUP(A58,Платежи!B:B,1,0),Платежи!C:C)</f>
        <v>0</v>
      </c>
      <c r="C58" s="1"/>
    </row>
    <row r="59" spans="1:3" x14ac:dyDescent="0.25">
      <c r="A59" t="s">
        <v>2036</v>
      </c>
      <c r="B59" s="102">
        <f>SUMIF(Платежи!B:B,VLOOKUP(A59,Платежи!B:B,1,0),Платежи!C:C)</f>
        <v>0</v>
      </c>
      <c r="C59" s="1"/>
    </row>
    <row r="60" spans="1:3" x14ac:dyDescent="0.25">
      <c r="A60" t="s">
        <v>2037</v>
      </c>
      <c r="B60" s="102">
        <f>SUMIF(Платежи!B:B,VLOOKUP(A60,Платежи!B:B,1,0),Платежи!C:C)</f>
        <v>0</v>
      </c>
      <c r="C60" s="1"/>
    </row>
    <row r="61" spans="1:3" x14ac:dyDescent="0.25">
      <c r="A61" t="s">
        <v>2038</v>
      </c>
      <c r="B61" s="102">
        <f>SUMIF(Платежи!B:B,VLOOKUP(A61,Платежи!B:B,1,0),Платежи!C:C)</f>
        <v>0</v>
      </c>
      <c r="C61" s="1"/>
    </row>
    <row r="62" spans="1:3" x14ac:dyDescent="0.25">
      <c r="A62" t="s">
        <v>2039</v>
      </c>
      <c r="B62" s="102">
        <f>SUMIF(Платежи!B:B,VLOOKUP(A62,Платежи!B:B,1,0),Платежи!C:C)</f>
        <v>0</v>
      </c>
      <c r="C62" s="1"/>
    </row>
    <row r="63" spans="1:3" x14ac:dyDescent="0.25">
      <c r="A63" t="s">
        <v>2040</v>
      </c>
      <c r="B63" s="102">
        <f>SUMIF(Платежи!B:B,VLOOKUP(A63,Платежи!B:B,1,0),Платежи!C:C)</f>
        <v>0</v>
      </c>
      <c r="C63" s="1"/>
    </row>
    <row r="64" spans="1:3" x14ac:dyDescent="0.25">
      <c r="A64" t="s">
        <v>2041</v>
      </c>
      <c r="B64" s="102">
        <f>SUMIF(Платежи!B:B,VLOOKUP(A64,Платежи!B:B,1,0),Платежи!C:C)</f>
        <v>0</v>
      </c>
      <c r="C64" s="1"/>
    </row>
    <row r="65" spans="1:3" x14ac:dyDescent="0.25">
      <c r="A65" t="s">
        <v>2042</v>
      </c>
      <c r="B65" s="102">
        <f>SUMIF(Платежи!B:B,VLOOKUP(A65,Платежи!B:B,1,0),Платежи!C:C)</f>
        <v>0</v>
      </c>
      <c r="C65" s="1"/>
    </row>
    <row r="66" spans="1:3" x14ac:dyDescent="0.25">
      <c r="A66" t="s">
        <v>3197</v>
      </c>
      <c r="B66" s="102">
        <f>SUMIF(Платежи!B:B,VLOOKUP(A66,Платежи!B:B,1,0),Платежи!C:C)</f>
        <v>0</v>
      </c>
      <c r="C66" s="1"/>
    </row>
    <row r="67" spans="1:3" x14ac:dyDescent="0.25">
      <c r="A67" t="s">
        <v>2043</v>
      </c>
      <c r="B67" s="102">
        <f>SUMIF(Платежи!B:B,VLOOKUP(A67,Платежи!B:B,1,0),Платежи!C:C)</f>
        <v>0</v>
      </c>
      <c r="C67" s="1"/>
    </row>
    <row r="68" spans="1:3" x14ac:dyDescent="0.25">
      <c r="A68" t="s">
        <v>2044</v>
      </c>
      <c r="B68" s="102">
        <f>SUMIF(Платежи!B:B,VLOOKUP(A68,Платежи!B:B,1,0),Платежи!C:C)</f>
        <v>0</v>
      </c>
      <c r="C68" s="1"/>
    </row>
    <row r="69" spans="1:3" x14ac:dyDescent="0.25">
      <c r="A69" t="s">
        <v>2045</v>
      </c>
      <c r="B69" s="102">
        <f>SUMIF(Платежи!B:B,VLOOKUP(A69,Платежи!B:B,1,0),Платежи!C:C)</f>
        <v>0</v>
      </c>
      <c r="C69" s="1"/>
    </row>
    <row r="70" spans="1:3" x14ac:dyDescent="0.25">
      <c r="A70" t="s">
        <v>2046</v>
      </c>
      <c r="B70" s="102">
        <f>SUMIF(Платежи!B:B,VLOOKUP(A70,Платежи!B:B,1,0),Платежи!C:C)</f>
        <v>0</v>
      </c>
      <c r="C70" s="1"/>
    </row>
    <row r="71" spans="1:3" x14ac:dyDescent="0.25">
      <c r="A71" t="s">
        <v>2047</v>
      </c>
      <c r="B71" s="102">
        <f>SUMIF(Платежи!B:B,VLOOKUP(A71,Платежи!B:B,1,0),Платежи!C:C)</f>
        <v>0</v>
      </c>
      <c r="C71" s="1"/>
    </row>
    <row r="72" spans="1:3" x14ac:dyDescent="0.25">
      <c r="A72" t="s">
        <v>2048</v>
      </c>
      <c r="B72" s="102">
        <f>SUMIF(Платежи!B:B,VLOOKUP(A72,Платежи!B:B,1,0),Платежи!C:C)</f>
        <v>0</v>
      </c>
      <c r="C72" s="1"/>
    </row>
    <row r="73" spans="1:3" x14ac:dyDescent="0.25">
      <c r="A73" t="s">
        <v>2049</v>
      </c>
      <c r="B73" s="102">
        <f>SUMIF(Платежи!B:B,VLOOKUP(A73,Платежи!B:B,1,0),Платежи!C:C)</f>
        <v>0</v>
      </c>
      <c r="C73" s="1"/>
    </row>
    <row r="74" spans="1:3" x14ac:dyDescent="0.25">
      <c r="A74" t="s">
        <v>2050</v>
      </c>
      <c r="B74" s="102">
        <f>SUMIF(Платежи!B:B,VLOOKUP(A74,Платежи!B:B,1,0),Платежи!C:C)</f>
        <v>0</v>
      </c>
      <c r="C74" s="1"/>
    </row>
    <row r="75" spans="1:3" x14ac:dyDescent="0.25">
      <c r="A75" t="s">
        <v>2051</v>
      </c>
      <c r="B75" s="102">
        <f>SUMIF(Платежи!B:B,VLOOKUP(A75,Платежи!B:B,1,0),Платежи!C:C)</f>
        <v>0</v>
      </c>
      <c r="C75" s="1"/>
    </row>
    <row r="76" spans="1:3" x14ac:dyDescent="0.25">
      <c r="A76" t="s">
        <v>2052</v>
      </c>
      <c r="B76" s="102">
        <f>SUMIF(Платежи!B:B,VLOOKUP(A76,Платежи!B:B,1,0),Платежи!C:C)</f>
        <v>0</v>
      </c>
      <c r="C76" s="1"/>
    </row>
    <row r="77" spans="1:3" x14ac:dyDescent="0.25">
      <c r="A77" t="s">
        <v>2053</v>
      </c>
      <c r="B77" s="102">
        <f>SUMIF(Платежи!B:B,VLOOKUP(A77,Платежи!B:B,1,0),Платежи!C:C)</f>
        <v>0</v>
      </c>
      <c r="C77" s="1"/>
    </row>
    <row r="78" spans="1:3" x14ac:dyDescent="0.25">
      <c r="A78" t="s">
        <v>2054</v>
      </c>
      <c r="B78" s="102">
        <f>SUMIF(Платежи!B:B,VLOOKUP(A78,Платежи!B:B,1,0),Платежи!C:C)</f>
        <v>0</v>
      </c>
      <c r="C78" s="1"/>
    </row>
    <row r="79" spans="1:3" x14ac:dyDescent="0.25">
      <c r="A79" t="s">
        <v>2055</v>
      </c>
      <c r="B79" s="102">
        <f>SUMIF(Платежи!B:B,VLOOKUP(A79,Платежи!B:B,1,0),Платежи!C:C)</f>
        <v>0</v>
      </c>
      <c r="C79" s="1"/>
    </row>
    <row r="80" spans="1:3" x14ac:dyDescent="0.25">
      <c r="A80" t="s">
        <v>2056</v>
      </c>
      <c r="B80" s="102">
        <f>SUMIF(Платежи!B:B,VLOOKUP(A80,Платежи!B:B,1,0),Платежи!C:C)</f>
        <v>0</v>
      </c>
      <c r="C80" s="1"/>
    </row>
    <row r="81" spans="1:3" x14ac:dyDescent="0.25">
      <c r="A81" t="s">
        <v>2057</v>
      </c>
      <c r="B81" s="102">
        <f>SUMIF(Платежи!B:B,VLOOKUP(A81,Платежи!B:B,1,0),Платежи!C:C)</f>
        <v>0</v>
      </c>
      <c r="C81" s="1"/>
    </row>
    <row r="82" spans="1:3" x14ac:dyDescent="0.25">
      <c r="A82" t="s">
        <v>2058</v>
      </c>
      <c r="B82" s="102">
        <f>SUMIF(Платежи!B:B,VLOOKUP(A82,Платежи!B:B,1,0),Платежи!C:C)</f>
        <v>0</v>
      </c>
      <c r="C82" s="1"/>
    </row>
    <row r="83" spans="1:3" x14ac:dyDescent="0.25">
      <c r="A83" t="s">
        <v>2059</v>
      </c>
      <c r="B83" s="102">
        <f>SUMIF(Платежи!B:B,VLOOKUP(A83,Платежи!B:B,1,0),Платежи!C:C)</f>
        <v>0</v>
      </c>
      <c r="C83" s="1"/>
    </row>
    <row r="84" spans="1:3" x14ac:dyDescent="0.25">
      <c r="A84" t="s">
        <v>2060</v>
      </c>
      <c r="B84" s="102">
        <f>SUMIF(Платежи!B:B,VLOOKUP(A84,Платежи!B:B,1,0),Платежи!C:C)</f>
        <v>0</v>
      </c>
      <c r="C84" s="1"/>
    </row>
    <row r="85" spans="1:3" x14ac:dyDescent="0.25">
      <c r="A85" t="s">
        <v>2061</v>
      </c>
      <c r="B85" s="102">
        <f>SUMIF(Платежи!B:B,VLOOKUP(A85,Платежи!B:B,1,0),Платежи!C:C)</f>
        <v>0</v>
      </c>
      <c r="C85" s="1"/>
    </row>
    <row r="86" spans="1:3" x14ac:dyDescent="0.25">
      <c r="A86" t="s">
        <v>2062</v>
      </c>
      <c r="B86" s="102">
        <f>SUMIF(Платежи!B:B,VLOOKUP(A86,Платежи!B:B,1,0),Платежи!C:C)</f>
        <v>0</v>
      </c>
      <c r="C86" s="1"/>
    </row>
    <row r="87" spans="1:3" x14ac:dyDescent="0.25">
      <c r="A87" t="s">
        <v>2063</v>
      </c>
      <c r="B87" s="102">
        <f>SUMIF(Платежи!B:B,VLOOKUP(A87,Платежи!B:B,1,0),Платежи!C:C)</f>
        <v>0</v>
      </c>
      <c r="C87" s="1"/>
    </row>
    <row r="88" spans="1:3" x14ac:dyDescent="0.25">
      <c r="A88" t="s">
        <v>2064</v>
      </c>
      <c r="B88" s="102">
        <f>SUMIF(Платежи!B:B,VLOOKUP(A88,Платежи!B:B,1,0),Платежи!C:C)</f>
        <v>0</v>
      </c>
      <c r="C88" s="1"/>
    </row>
    <row r="89" spans="1:3" x14ac:dyDescent="0.25">
      <c r="A89" t="s">
        <v>2065</v>
      </c>
      <c r="B89" s="102">
        <f>SUMIF(Платежи!B:B,VLOOKUP(A89,Платежи!B:B,1,0),Платежи!C:C)</f>
        <v>0</v>
      </c>
      <c r="C89" s="1"/>
    </row>
    <row r="90" spans="1:3" x14ac:dyDescent="0.25">
      <c r="A90" t="s">
        <v>2066</v>
      </c>
      <c r="B90" s="102">
        <f>SUMIF(Платежи!B:B,VLOOKUP(A90,Платежи!B:B,1,0),Платежи!C:C)</f>
        <v>0</v>
      </c>
      <c r="C90" s="1"/>
    </row>
    <row r="91" spans="1:3" x14ac:dyDescent="0.25">
      <c r="A91" t="s">
        <v>2067</v>
      </c>
      <c r="B91" s="102">
        <f>SUMIF(Платежи!B:B,VLOOKUP(A91,Платежи!B:B,1,0),Платежи!C:C)</f>
        <v>0</v>
      </c>
      <c r="C91" s="1"/>
    </row>
    <row r="92" spans="1:3" x14ac:dyDescent="0.25">
      <c r="A92" t="s">
        <v>2068</v>
      </c>
      <c r="B92" s="102">
        <f>SUMIF(Платежи!B:B,VLOOKUP(A92,Платежи!B:B,1,0),Платежи!C:C)</f>
        <v>0</v>
      </c>
      <c r="C92" s="1"/>
    </row>
    <row r="93" spans="1:3" x14ac:dyDescent="0.25">
      <c r="A93" t="s">
        <v>2069</v>
      </c>
      <c r="B93" s="102">
        <f>SUMIF(Платежи!B:B,VLOOKUP(A93,Платежи!B:B,1,0),Платежи!C:C)</f>
        <v>0</v>
      </c>
      <c r="C93" s="1"/>
    </row>
    <row r="94" spans="1:3" x14ac:dyDescent="0.25">
      <c r="A94" t="s">
        <v>2070</v>
      </c>
      <c r="B94" s="102">
        <f>SUMIF(Платежи!B:B,VLOOKUP(A94,Платежи!B:B,1,0),Платежи!C:C)</f>
        <v>0</v>
      </c>
      <c r="C94" s="1"/>
    </row>
    <row r="95" spans="1:3" x14ac:dyDescent="0.25">
      <c r="A95" t="s">
        <v>2071</v>
      </c>
      <c r="B95" s="102">
        <f>SUMIF(Платежи!B:B,VLOOKUP(A95,Платежи!B:B,1,0),Платежи!C:C)</f>
        <v>0</v>
      </c>
      <c r="C95" s="1"/>
    </row>
    <row r="96" spans="1:3" x14ac:dyDescent="0.25">
      <c r="A96" t="s">
        <v>2072</v>
      </c>
      <c r="B96" s="102">
        <f>SUMIF(Платежи!B:B,VLOOKUP(A96,Платежи!B:B,1,0),Платежи!C:C)</f>
        <v>0</v>
      </c>
      <c r="C96" s="1"/>
    </row>
    <row r="97" spans="1:3" x14ac:dyDescent="0.25">
      <c r="A97" t="s">
        <v>2073</v>
      </c>
      <c r="B97" s="102">
        <f>SUMIF(Платежи!B:B,VLOOKUP(A97,Платежи!B:B,1,0),Платежи!C:C)</f>
        <v>0</v>
      </c>
      <c r="C97" s="1"/>
    </row>
    <row r="98" spans="1:3" x14ac:dyDescent="0.25">
      <c r="A98" t="s">
        <v>2074</v>
      </c>
      <c r="B98" s="102">
        <f>SUMIF(Платежи!B:B,VLOOKUP(A98,Платежи!B:B,1,0),Платежи!C:C)</f>
        <v>0</v>
      </c>
      <c r="C98" s="1"/>
    </row>
    <row r="99" spans="1:3" x14ac:dyDescent="0.25">
      <c r="A99" t="s">
        <v>2075</v>
      </c>
      <c r="B99" s="102">
        <f>SUMIF(Платежи!B:B,VLOOKUP(A99,Платежи!B:B,1,0),Платежи!C:C)</f>
        <v>0</v>
      </c>
      <c r="C99" s="1"/>
    </row>
    <row r="100" spans="1:3" x14ac:dyDescent="0.25">
      <c r="A100" t="s">
        <v>2076</v>
      </c>
      <c r="B100" s="102">
        <f>SUMIF(Платежи!B:B,VLOOKUP(A100,Платежи!B:B,1,0),Платежи!C:C)</f>
        <v>0</v>
      </c>
      <c r="C100" s="1"/>
    </row>
    <row r="101" spans="1:3" x14ac:dyDescent="0.25">
      <c r="A101" t="s">
        <v>2077</v>
      </c>
      <c r="B101" s="102">
        <f>SUMIF(Платежи!B:B,VLOOKUP(A101,Платежи!B:B,1,0),Платежи!C:C)</f>
        <v>0</v>
      </c>
      <c r="C101" s="1"/>
    </row>
    <row r="102" spans="1:3" x14ac:dyDescent="0.25">
      <c r="A102" t="s">
        <v>2078</v>
      </c>
      <c r="B102" s="102">
        <f>SUMIF(Платежи!B:B,VLOOKUP(A102,Платежи!B:B,1,0),Платежи!C:C)</f>
        <v>0</v>
      </c>
      <c r="C102" s="1"/>
    </row>
    <row r="103" spans="1:3" x14ac:dyDescent="0.25">
      <c r="A103" t="s">
        <v>2079</v>
      </c>
      <c r="B103" s="102">
        <f>SUMIF(Платежи!B:B,VLOOKUP(A103,Платежи!B:B,1,0),Платежи!C:C)</f>
        <v>0</v>
      </c>
      <c r="C103" s="1"/>
    </row>
    <row r="104" spans="1:3" x14ac:dyDescent="0.25">
      <c r="A104" t="s">
        <v>2080</v>
      </c>
      <c r="B104" s="102">
        <f>SUMIF(Платежи!B:B,VLOOKUP(A104,Платежи!B:B,1,0),Платежи!C:C)</f>
        <v>0</v>
      </c>
      <c r="C104" s="1"/>
    </row>
    <row r="105" spans="1:3" x14ac:dyDescent="0.25">
      <c r="A105" t="s">
        <v>2081</v>
      </c>
      <c r="B105" s="102">
        <f>SUMIF(Платежи!B:B,VLOOKUP(A105,Платежи!B:B,1,0),Платежи!C:C)</f>
        <v>0</v>
      </c>
      <c r="C105" s="1"/>
    </row>
    <row r="106" spans="1:3" x14ac:dyDescent="0.25">
      <c r="A106" t="s">
        <v>2082</v>
      </c>
      <c r="B106" s="102">
        <f>SUMIF(Платежи!B:B,VLOOKUP(A106,Платежи!B:B,1,0),Платежи!C:C)</f>
        <v>0</v>
      </c>
      <c r="C106" s="1"/>
    </row>
    <row r="107" spans="1:3" x14ac:dyDescent="0.25">
      <c r="A107" t="s">
        <v>2083</v>
      </c>
      <c r="B107" s="102">
        <f>SUMIF(Платежи!B:B,VLOOKUP(A107,Платежи!B:B,1,0),Платежи!C:C)</f>
        <v>0</v>
      </c>
      <c r="C107" s="1"/>
    </row>
    <row r="108" spans="1:3" x14ac:dyDescent="0.25">
      <c r="A108" t="s">
        <v>2084</v>
      </c>
      <c r="B108" s="102">
        <f>SUMIF(Платежи!B:B,VLOOKUP(A108,Платежи!B:B,1,0),Платежи!C:C)</f>
        <v>0</v>
      </c>
      <c r="C108" s="1"/>
    </row>
    <row r="109" spans="1:3" x14ac:dyDescent="0.25">
      <c r="A109" t="s">
        <v>2085</v>
      </c>
      <c r="B109" s="102">
        <f>SUMIF(Платежи!B:B,VLOOKUP(A109,Платежи!B:B,1,0),Платежи!C:C)</f>
        <v>0</v>
      </c>
      <c r="C109" s="1"/>
    </row>
    <row r="110" spans="1:3" x14ac:dyDescent="0.25">
      <c r="A110" t="s">
        <v>2086</v>
      </c>
      <c r="B110" s="102">
        <f>SUMIF(Платежи!B:B,VLOOKUP(A110,Платежи!B:B,1,0),Платежи!C:C)</f>
        <v>0</v>
      </c>
      <c r="C110" s="1"/>
    </row>
    <row r="111" spans="1:3" x14ac:dyDescent="0.25">
      <c r="A111" t="s">
        <v>2087</v>
      </c>
      <c r="B111" s="102">
        <f>SUMIF(Платежи!B:B,VLOOKUP(A111,Платежи!B:B,1,0),Платежи!C:C)</f>
        <v>0</v>
      </c>
      <c r="C111" s="1"/>
    </row>
    <row r="112" spans="1:3" x14ac:dyDescent="0.25">
      <c r="A112" t="s">
        <v>2088</v>
      </c>
      <c r="B112" s="102">
        <f>SUMIF(Платежи!B:B,VLOOKUP(A112,Платежи!B:B,1,0),Платежи!C:C)</f>
        <v>0</v>
      </c>
      <c r="C112" s="1"/>
    </row>
    <row r="113" spans="1:3" x14ac:dyDescent="0.25">
      <c r="A113" t="s">
        <v>2089</v>
      </c>
      <c r="B113" s="102">
        <f>SUMIF(Платежи!B:B,VLOOKUP(A113,Платежи!B:B,1,0),Платежи!C:C)</f>
        <v>0</v>
      </c>
      <c r="C113" s="1"/>
    </row>
    <row r="114" spans="1:3" x14ac:dyDescent="0.25">
      <c r="A114" t="s">
        <v>2090</v>
      </c>
      <c r="B114" s="102">
        <f>SUMIF(Платежи!B:B,VLOOKUP(A114,Платежи!B:B,1,0),Платежи!C:C)</f>
        <v>0</v>
      </c>
      <c r="C114" s="1"/>
    </row>
    <row r="115" spans="1:3" x14ac:dyDescent="0.25">
      <c r="A115" t="s">
        <v>2091</v>
      </c>
      <c r="B115" s="102">
        <f>SUMIF(Платежи!B:B,VLOOKUP(A115,Платежи!B:B,1,0),Платежи!C:C)</f>
        <v>0</v>
      </c>
      <c r="C115" s="1"/>
    </row>
    <row r="116" spans="1:3" x14ac:dyDescent="0.25">
      <c r="A116" t="s">
        <v>2092</v>
      </c>
      <c r="B116" s="102">
        <f>SUMIF(Платежи!B:B,VLOOKUP(A116,Платежи!B:B,1,0),Платежи!C:C)</f>
        <v>0</v>
      </c>
      <c r="C116" s="1"/>
    </row>
    <row r="117" spans="1:3" x14ac:dyDescent="0.25">
      <c r="A117" t="s">
        <v>2093</v>
      </c>
      <c r="B117" s="102">
        <f>SUMIF(Платежи!B:B,VLOOKUP(A117,Платежи!B:B,1,0),Платежи!C:C)</f>
        <v>0</v>
      </c>
      <c r="C117" s="1"/>
    </row>
    <row r="118" spans="1:3" x14ac:dyDescent="0.25">
      <c r="A118" t="s">
        <v>2094</v>
      </c>
      <c r="B118" s="102">
        <f>SUMIF(Платежи!B:B,VLOOKUP(A118,Платежи!B:B,1,0),Платежи!C:C)</f>
        <v>0</v>
      </c>
      <c r="C118" s="1"/>
    </row>
    <row r="119" spans="1:3" x14ac:dyDescent="0.25">
      <c r="A119" t="s">
        <v>2095</v>
      </c>
      <c r="B119" s="102">
        <f>SUMIF(Платежи!B:B,VLOOKUP(A119,Платежи!B:B,1,0),Платежи!C:C)</f>
        <v>0</v>
      </c>
      <c r="C119" s="1"/>
    </row>
    <row r="120" spans="1:3" x14ac:dyDescent="0.25">
      <c r="A120" t="s">
        <v>2096</v>
      </c>
      <c r="B120" s="102">
        <f>SUMIF(Платежи!B:B,VLOOKUP(A120,Платежи!B:B,1,0),Платежи!C:C)</f>
        <v>0</v>
      </c>
      <c r="C120" s="1"/>
    </row>
    <row r="121" spans="1:3" x14ac:dyDescent="0.25">
      <c r="A121" t="s">
        <v>2097</v>
      </c>
      <c r="B121" s="102">
        <f>SUMIF(Платежи!B:B,VLOOKUP(A121,Платежи!B:B,1,0),Платежи!C:C)</f>
        <v>0</v>
      </c>
      <c r="C121" s="1"/>
    </row>
    <row r="122" spans="1:3" x14ac:dyDescent="0.25">
      <c r="A122" t="s">
        <v>2098</v>
      </c>
      <c r="B122" s="102">
        <f>SUMIF(Платежи!B:B,VLOOKUP(A122,Платежи!B:B,1,0),Платежи!C:C)</f>
        <v>0</v>
      </c>
      <c r="C122" s="1"/>
    </row>
    <row r="123" spans="1:3" x14ac:dyDescent="0.25">
      <c r="A123" t="s">
        <v>2099</v>
      </c>
      <c r="B123" s="102">
        <f>SUMIF(Платежи!B:B,VLOOKUP(A123,Платежи!B:B,1,0),Платежи!C:C)</f>
        <v>0</v>
      </c>
      <c r="C123" s="1"/>
    </row>
    <row r="124" spans="1:3" x14ac:dyDescent="0.25">
      <c r="A124" t="s">
        <v>2100</v>
      </c>
      <c r="B124" s="102">
        <f>SUMIF(Платежи!B:B,VLOOKUP(A124,Платежи!B:B,1,0),Платежи!C:C)</f>
        <v>0</v>
      </c>
      <c r="C124" s="1"/>
    </row>
    <row r="125" spans="1:3" x14ac:dyDescent="0.25">
      <c r="A125" t="s">
        <v>2101</v>
      </c>
      <c r="B125" s="102">
        <f>SUMIF(Платежи!B:B,VLOOKUP(A125,Платежи!B:B,1,0),Платежи!C:C)</f>
        <v>0</v>
      </c>
      <c r="C125" s="1"/>
    </row>
    <row r="126" spans="1:3" x14ac:dyDescent="0.25">
      <c r="A126" t="s">
        <v>2102</v>
      </c>
      <c r="B126" s="102">
        <f>SUMIF(Платежи!B:B,VLOOKUP(A126,Платежи!B:B,1,0),Платежи!C:C)</f>
        <v>0</v>
      </c>
      <c r="C126" s="1"/>
    </row>
    <row r="127" spans="1:3" x14ac:dyDescent="0.25">
      <c r="A127" t="s">
        <v>2103</v>
      </c>
      <c r="B127" s="102">
        <f>SUMIF(Платежи!B:B,VLOOKUP(A127,Платежи!B:B,1,0),Платежи!C:C)</f>
        <v>0</v>
      </c>
      <c r="C127" s="1"/>
    </row>
    <row r="128" spans="1:3" x14ac:dyDescent="0.25">
      <c r="A128" t="s">
        <v>2104</v>
      </c>
      <c r="B128" s="102">
        <f>SUMIF(Платежи!B:B,VLOOKUP(A128,Платежи!B:B,1,0),Платежи!C:C)</f>
        <v>0</v>
      </c>
      <c r="C128" s="1"/>
    </row>
    <row r="129" spans="1:3" x14ac:dyDescent="0.25">
      <c r="A129" t="s">
        <v>2105</v>
      </c>
      <c r="B129" s="102">
        <f>SUMIF(Платежи!B:B,VLOOKUP(A129,Платежи!B:B,1,0),Платежи!C:C)</f>
        <v>0</v>
      </c>
      <c r="C129" s="1"/>
    </row>
    <row r="130" spans="1:3" x14ac:dyDescent="0.25">
      <c r="A130" t="s">
        <v>2106</v>
      </c>
      <c r="B130" s="102">
        <f>SUMIF(Платежи!B:B,VLOOKUP(A130,Платежи!B:B,1,0),Платежи!C:C)</f>
        <v>0</v>
      </c>
      <c r="C130" s="1"/>
    </row>
    <row r="131" spans="1:3" x14ac:dyDescent="0.25">
      <c r="A131" t="s">
        <v>2107</v>
      </c>
      <c r="B131" s="102">
        <f>SUMIF(Платежи!B:B,VLOOKUP(A131,Платежи!B:B,1,0),Платежи!C:C)</f>
        <v>0</v>
      </c>
      <c r="C131" s="1"/>
    </row>
    <row r="132" spans="1:3" x14ac:dyDescent="0.25">
      <c r="A132" t="s">
        <v>2108</v>
      </c>
      <c r="B132" s="102">
        <f>SUMIF(Платежи!B:B,VLOOKUP(A132,Платежи!B:B,1,0),Платежи!C:C)</f>
        <v>0</v>
      </c>
      <c r="C132" s="1"/>
    </row>
    <row r="133" spans="1:3" x14ac:dyDescent="0.25">
      <c r="A133" t="s">
        <v>2109</v>
      </c>
      <c r="B133" s="102">
        <f>SUMIF(Платежи!B:B,VLOOKUP(A133,Платежи!B:B,1,0),Платежи!C:C)</f>
        <v>0</v>
      </c>
      <c r="C133" s="1"/>
    </row>
    <row r="134" spans="1:3" x14ac:dyDescent="0.25">
      <c r="A134" t="s">
        <v>2110</v>
      </c>
      <c r="B134" s="102">
        <f>SUMIF(Платежи!B:B,VLOOKUP(A134,Платежи!B:B,1,0),Платежи!C:C)</f>
        <v>0</v>
      </c>
      <c r="C134" s="1"/>
    </row>
    <row r="135" spans="1:3" x14ac:dyDescent="0.25">
      <c r="A135" t="s">
        <v>2111</v>
      </c>
      <c r="B135" s="102">
        <f>SUMIF(Платежи!B:B,VLOOKUP(A135,Платежи!B:B,1,0),Платежи!C:C)</f>
        <v>0</v>
      </c>
      <c r="C135" s="1"/>
    </row>
    <row r="136" spans="1:3" x14ac:dyDescent="0.25">
      <c r="A136" t="s">
        <v>2112</v>
      </c>
      <c r="B136" s="102">
        <f>SUMIF(Платежи!B:B,VLOOKUP(A136,Платежи!B:B,1,0),Платежи!C:C)</f>
        <v>0</v>
      </c>
      <c r="C136" s="1"/>
    </row>
    <row r="137" spans="1:3" x14ac:dyDescent="0.25">
      <c r="A137" t="s">
        <v>2113</v>
      </c>
      <c r="B137" s="102">
        <f>SUMIF(Платежи!B:B,VLOOKUP(A137,Платежи!B:B,1,0),Платежи!C:C)</f>
        <v>0</v>
      </c>
      <c r="C137" s="1"/>
    </row>
    <row r="138" spans="1:3" x14ac:dyDescent="0.25">
      <c r="A138" t="s">
        <v>2114</v>
      </c>
      <c r="B138" s="102">
        <f>SUMIF(Платежи!B:B,VLOOKUP(A138,Платежи!B:B,1,0),Платежи!C:C)</f>
        <v>0</v>
      </c>
      <c r="C138" s="1"/>
    </row>
    <row r="139" spans="1:3" x14ac:dyDescent="0.25">
      <c r="A139" t="s">
        <v>2115</v>
      </c>
      <c r="B139" s="102">
        <f>SUMIF(Платежи!B:B,VLOOKUP(A139,Платежи!B:B,1,0),Платежи!C:C)</f>
        <v>0</v>
      </c>
      <c r="C139" s="1"/>
    </row>
    <row r="140" spans="1:3" x14ac:dyDescent="0.25">
      <c r="A140" t="s">
        <v>2116</v>
      </c>
      <c r="B140" s="102">
        <f>SUMIF(Платежи!B:B,VLOOKUP(A140,Платежи!B:B,1,0),Платежи!C:C)</f>
        <v>0</v>
      </c>
      <c r="C140" s="1"/>
    </row>
    <row r="141" spans="1:3" x14ac:dyDescent="0.25">
      <c r="A141" t="s">
        <v>2117</v>
      </c>
      <c r="B141" s="102">
        <f>SUMIF(Платежи!B:B,VLOOKUP(A141,Платежи!B:B,1,0),Платежи!C:C)</f>
        <v>0</v>
      </c>
      <c r="C141" s="1"/>
    </row>
    <row r="142" spans="1:3" x14ac:dyDescent="0.25">
      <c r="A142" t="s">
        <v>2118</v>
      </c>
      <c r="B142" s="102">
        <f>SUMIF(Платежи!B:B,VLOOKUP(A142,Платежи!B:B,1,0),Платежи!C:C)</f>
        <v>0</v>
      </c>
      <c r="C142" s="1"/>
    </row>
    <row r="143" spans="1:3" x14ac:dyDescent="0.25">
      <c r="A143" t="s">
        <v>2119</v>
      </c>
      <c r="B143" s="102">
        <f>SUMIF(Платежи!B:B,VLOOKUP(A143,Платежи!B:B,1,0),Платежи!C:C)</f>
        <v>0</v>
      </c>
      <c r="C143" s="1"/>
    </row>
    <row r="144" spans="1:3" x14ac:dyDescent="0.25">
      <c r="A144" t="s">
        <v>2120</v>
      </c>
      <c r="B144" s="102">
        <f>SUMIF(Платежи!B:B,VLOOKUP(A144,Платежи!B:B,1,0),Платежи!C:C)</f>
        <v>0</v>
      </c>
      <c r="C144" s="1"/>
    </row>
    <row r="145" spans="1:3" x14ac:dyDescent="0.25">
      <c r="A145" t="s">
        <v>2121</v>
      </c>
      <c r="B145" s="102">
        <f>SUMIF(Платежи!B:B,VLOOKUP(A145,Платежи!B:B,1,0),Платежи!C:C)</f>
        <v>0</v>
      </c>
      <c r="C145" s="1"/>
    </row>
    <row r="146" spans="1:3" x14ac:dyDescent="0.25">
      <c r="A146" t="s">
        <v>2122</v>
      </c>
      <c r="B146" s="102">
        <f>SUMIF(Платежи!B:B,VLOOKUP(A146,Платежи!B:B,1,0),Платежи!C:C)</f>
        <v>0</v>
      </c>
      <c r="C146" s="1"/>
    </row>
    <row r="147" spans="1:3" x14ac:dyDescent="0.25">
      <c r="A147" t="s">
        <v>2123</v>
      </c>
      <c r="B147" s="102">
        <f>SUMIF(Платежи!B:B,VLOOKUP(A147,Платежи!B:B,1,0),Платежи!C:C)</f>
        <v>0</v>
      </c>
      <c r="C147" s="1"/>
    </row>
    <row r="148" spans="1:3" x14ac:dyDescent="0.25">
      <c r="A148" t="s">
        <v>2124</v>
      </c>
      <c r="B148" s="102">
        <f>SUMIF(Платежи!B:B,VLOOKUP(A148,Платежи!B:B,1,0),Платежи!C:C)</f>
        <v>0</v>
      </c>
      <c r="C148" s="1"/>
    </row>
    <row r="149" spans="1:3" x14ac:dyDescent="0.25">
      <c r="A149" t="s">
        <v>2125</v>
      </c>
      <c r="B149" s="102">
        <f>SUMIF(Платежи!B:B,VLOOKUP(A149,Платежи!B:B,1,0),Платежи!C:C)</f>
        <v>0</v>
      </c>
      <c r="C149" s="1"/>
    </row>
    <row r="150" spans="1:3" x14ac:dyDescent="0.25">
      <c r="A150" t="s">
        <v>2126</v>
      </c>
      <c r="B150" s="102">
        <f>SUMIF(Платежи!B:B,VLOOKUP(A150,Платежи!B:B,1,0),Платежи!C:C)</f>
        <v>0</v>
      </c>
      <c r="C150" s="1"/>
    </row>
    <row r="151" spans="1:3" x14ac:dyDescent="0.25">
      <c r="A151" t="s">
        <v>2127</v>
      </c>
      <c r="B151" s="102">
        <f>SUMIF(Платежи!B:B,VLOOKUP(A151,Платежи!B:B,1,0),Платежи!C:C)</f>
        <v>0</v>
      </c>
      <c r="C151" s="1"/>
    </row>
    <row r="152" spans="1:3" x14ac:dyDescent="0.25">
      <c r="A152" t="s">
        <v>2128</v>
      </c>
      <c r="B152" s="102">
        <f>SUMIF(Платежи!B:B,VLOOKUP(A152,Платежи!B:B,1,0),Платежи!C:C)</f>
        <v>0</v>
      </c>
      <c r="C152" s="1"/>
    </row>
    <row r="153" spans="1:3" x14ac:dyDescent="0.25">
      <c r="A153" t="s">
        <v>2129</v>
      </c>
      <c r="B153" s="102">
        <f>SUMIF(Платежи!B:B,VLOOKUP(A153,Платежи!B:B,1,0),Платежи!C:C)</f>
        <v>0</v>
      </c>
      <c r="C153" s="1"/>
    </row>
    <row r="154" spans="1:3" x14ac:dyDescent="0.25">
      <c r="A154" t="s">
        <v>2130</v>
      </c>
      <c r="B154" s="102">
        <f>SUMIF(Платежи!B:B,VLOOKUP(A154,Платежи!B:B,1,0),Платежи!C:C)</f>
        <v>0</v>
      </c>
      <c r="C154" s="1"/>
    </row>
    <row r="155" spans="1:3" x14ac:dyDescent="0.25">
      <c r="A155" t="s">
        <v>2131</v>
      </c>
      <c r="B155" s="102">
        <f>SUMIF(Платежи!B:B,VLOOKUP(A155,Платежи!B:B,1,0),Платежи!C:C)</f>
        <v>0</v>
      </c>
      <c r="C155" s="1"/>
    </row>
    <row r="156" spans="1:3" x14ac:dyDescent="0.25">
      <c r="A156" t="s">
        <v>2132</v>
      </c>
      <c r="B156" s="102">
        <f>SUMIF(Платежи!B:B,VLOOKUP(A156,Платежи!B:B,1,0),Платежи!C:C)</f>
        <v>0</v>
      </c>
      <c r="C156" s="1"/>
    </row>
    <row r="157" spans="1:3" x14ac:dyDescent="0.25">
      <c r="A157" t="s">
        <v>2133</v>
      </c>
      <c r="B157" s="102">
        <f>SUMIF(Платежи!B:B,VLOOKUP(A157,Платежи!B:B,1,0),Платежи!C:C)</f>
        <v>0</v>
      </c>
      <c r="C157" s="1"/>
    </row>
    <row r="158" spans="1:3" x14ac:dyDescent="0.25">
      <c r="A158" t="s">
        <v>2134</v>
      </c>
      <c r="B158" s="102">
        <f>SUMIF(Платежи!B:B,VLOOKUP(A158,Платежи!B:B,1,0),Платежи!C:C)</f>
        <v>0</v>
      </c>
      <c r="C158" s="1"/>
    </row>
    <row r="159" spans="1:3" x14ac:dyDescent="0.25">
      <c r="A159" t="s">
        <v>2135</v>
      </c>
      <c r="B159" s="102">
        <f>SUMIF(Платежи!B:B,VLOOKUP(A159,Платежи!B:B,1,0),Платежи!C:C)</f>
        <v>0</v>
      </c>
      <c r="C159" s="1"/>
    </row>
    <row r="160" spans="1:3" x14ac:dyDescent="0.25">
      <c r="A160" t="s">
        <v>2136</v>
      </c>
      <c r="B160" s="102">
        <f>SUMIF(Платежи!B:B,VLOOKUP(A160,Платежи!B:B,1,0),Платежи!C:C)</f>
        <v>0</v>
      </c>
      <c r="C160" s="1"/>
    </row>
    <row r="161" spans="1:3" x14ac:dyDescent="0.25">
      <c r="A161" t="s">
        <v>2137</v>
      </c>
      <c r="B161" s="102">
        <f>SUMIF(Платежи!B:B,VLOOKUP(A161,Платежи!B:B,1,0),Платежи!C:C)</f>
        <v>0</v>
      </c>
      <c r="C161" s="1"/>
    </row>
    <row r="162" spans="1:3" x14ac:dyDescent="0.25">
      <c r="A162" t="s">
        <v>2138</v>
      </c>
      <c r="B162" s="102">
        <f>SUMIF(Платежи!B:B,VLOOKUP(A162,Платежи!B:B,1,0),Платежи!C:C)</f>
        <v>0</v>
      </c>
      <c r="C162" s="1"/>
    </row>
    <row r="163" spans="1:3" x14ac:dyDescent="0.25">
      <c r="A163" t="s">
        <v>2139</v>
      </c>
      <c r="B163" s="102">
        <f>SUMIF(Платежи!B:B,VLOOKUP(A163,Платежи!B:B,1,0),Платежи!C:C)</f>
        <v>0</v>
      </c>
      <c r="C163" s="1"/>
    </row>
    <row r="164" spans="1:3" x14ac:dyDescent="0.25">
      <c r="A164" t="s">
        <v>2140</v>
      </c>
      <c r="B164" s="102">
        <f>SUMIF(Платежи!B:B,VLOOKUP(A164,Платежи!B:B,1,0),Платежи!C:C)</f>
        <v>0</v>
      </c>
      <c r="C164" s="1"/>
    </row>
    <row r="165" spans="1:3" x14ac:dyDescent="0.25">
      <c r="A165" t="s">
        <v>2141</v>
      </c>
      <c r="B165" s="102">
        <f>SUMIF(Платежи!B:B,VLOOKUP(A165,Платежи!B:B,1,0),Платежи!C:C)</f>
        <v>0</v>
      </c>
      <c r="C165" s="1"/>
    </row>
    <row r="166" spans="1:3" x14ac:dyDescent="0.25">
      <c r="A166" t="s">
        <v>2142</v>
      </c>
      <c r="B166" s="102">
        <f>SUMIF(Платежи!B:B,VLOOKUP(A166,Платежи!B:B,1,0),Платежи!C:C)</f>
        <v>0</v>
      </c>
      <c r="C166" s="1"/>
    </row>
    <row r="167" spans="1:3" x14ac:dyDescent="0.25">
      <c r="A167" t="s">
        <v>2143</v>
      </c>
      <c r="B167" s="102">
        <f>SUMIF(Платежи!B:B,VLOOKUP(A167,Платежи!B:B,1,0),Платежи!C:C)</f>
        <v>0</v>
      </c>
      <c r="C167" s="1"/>
    </row>
    <row r="168" spans="1:3" x14ac:dyDescent="0.25">
      <c r="A168" t="s">
        <v>2144</v>
      </c>
      <c r="B168" s="102">
        <f>SUMIF(Платежи!B:B,VLOOKUP(A168,Платежи!B:B,1,0),Платежи!C:C)</f>
        <v>0</v>
      </c>
      <c r="C168" s="1"/>
    </row>
    <row r="169" spans="1:3" x14ac:dyDescent="0.25">
      <c r="A169" t="s">
        <v>2145</v>
      </c>
      <c r="B169" s="102">
        <f>SUMIF(Платежи!B:B,VLOOKUP(A169,Платежи!B:B,1,0),Платежи!C:C)</f>
        <v>0</v>
      </c>
      <c r="C169" s="1"/>
    </row>
    <row r="170" spans="1:3" x14ac:dyDescent="0.25">
      <c r="A170" t="s">
        <v>2146</v>
      </c>
      <c r="B170" s="102">
        <f>SUMIF(Платежи!B:B,VLOOKUP(A170,Платежи!B:B,1,0),Платежи!C:C)</f>
        <v>0</v>
      </c>
      <c r="C170" s="1"/>
    </row>
    <row r="171" spans="1:3" x14ac:dyDescent="0.25">
      <c r="A171" t="s">
        <v>2147</v>
      </c>
      <c r="B171" s="102">
        <f>SUMIF(Платежи!B:B,VLOOKUP(A171,Платежи!B:B,1,0),Платежи!C:C)</f>
        <v>0</v>
      </c>
      <c r="C171" s="1"/>
    </row>
    <row r="172" spans="1:3" x14ac:dyDescent="0.25">
      <c r="A172" t="s">
        <v>2148</v>
      </c>
      <c r="B172" s="102">
        <f>SUMIF(Платежи!B:B,VLOOKUP(A172,Платежи!B:B,1,0),Платежи!C:C)</f>
        <v>0</v>
      </c>
      <c r="C172" s="1"/>
    </row>
    <row r="173" spans="1:3" x14ac:dyDescent="0.25">
      <c r="A173" t="s">
        <v>2149</v>
      </c>
      <c r="B173" s="102">
        <f>SUMIF(Платежи!B:B,VLOOKUP(A173,Платежи!B:B,1,0),Платежи!C:C)</f>
        <v>0</v>
      </c>
      <c r="C173" s="1"/>
    </row>
    <row r="174" spans="1:3" x14ac:dyDescent="0.25">
      <c r="A174" t="s">
        <v>2150</v>
      </c>
      <c r="B174" s="102">
        <f>SUMIF(Платежи!B:B,VLOOKUP(A174,Платежи!B:B,1,0),Платежи!C:C)</f>
        <v>0</v>
      </c>
      <c r="C174" s="1"/>
    </row>
    <row r="175" spans="1:3" x14ac:dyDescent="0.25">
      <c r="A175" t="s">
        <v>2151</v>
      </c>
      <c r="B175" s="102">
        <f>SUMIF(Платежи!B:B,VLOOKUP(A175,Платежи!B:B,1,0),Платежи!C:C)</f>
        <v>0</v>
      </c>
      <c r="C175" s="1"/>
    </row>
    <row r="176" spans="1:3" x14ac:dyDescent="0.25">
      <c r="A176" t="s">
        <v>2152</v>
      </c>
      <c r="B176" s="102">
        <f>SUMIF(Платежи!B:B,VLOOKUP(A176,Платежи!B:B,1,0),Платежи!C:C)</f>
        <v>0</v>
      </c>
      <c r="C176" s="1"/>
    </row>
    <row r="177" spans="1:3" x14ac:dyDescent="0.25">
      <c r="A177" t="s">
        <v>2153</v>
      </c>
      <c r="B177" s="102">
        <f>SUMIF(Платежи!B:B,VLOOKUP(A177,Платежи!B:B,1,0),Платежи!C:C)</f>
        <v>0</v>
      </c>
      <c r="C177" s="1"/>
    </row>
    <row r="178" spans="1:3" x14ac:dyDescent="0.25">
      <c r="A178" t="s">
        <v>2154</v>
      </c>
      <c r="B178" s="102">
        <f>SUMIF(Платежи!B:B,VLOOKUP(A178,Платежи!B:B,1,0),Платежи!C:C)</f>
        <v>0</v>
      </c>
      <c r="C178" s="1"/>
    </row>
    <row r="179" spans="1:3" x14ac:dyDescent="0.25">
      <c r="A179" t="s">
        <v>2155</v>
      </c>
      <c r="B179" s="102">
        <f>SUMIF(Платежи!B:B,VLOOKUP(A179,Платежи!B:B,1,0),Платежи!C:C)</f>
        <v>0</v>
      </c>
      <c r="C179" s="1"/>
    </row>
    <row r="180" spans="1:3" x14ac:dyDescent="0.25">
      <c r="A180" t="s">
        <v>2156</v>
      </c>
      <c r="B180" s="102">
        <f>SUMIF(Платежи!B:B,VLOOKUP(A180,Платежи!B:B,1,0),Платежи!C:C)</f>
        <v>0</v>
      </c>
      <c r="C180" s="1"/>
    </row>
    <row r="181" spans="1:3" x14ac:dyDescent="0.25">
      <c r="A181" t="s">
        <v>2157</v>
      </c>
      <c r="B181" s="102">
        <f>SUMIF(Платежи!B:B,VLOOKUP(A181,Платежи!B:B,1,0),Платежи!C:C)</f>
        <v>0</v>
      </c>
      <c r="C181" s="1"/>
    </row>
    <row r="182" spans="1:3" x14ac:dyDescent="0.25">
      <c r="A182" t="s">
        <v>2158</v>
      </c>
      <c r="B182" s="102">
        <f>SUMIF(Платежи!B:B,VLOOKUP(A182,Платежи!B:B,1,0),Платежи!C:C)</f>
        <v>0</v>
      </c>
      <c r="C182" s="1"/>
    </row>
    <row r="183" spans="1:3" x14ac:dyDescent="0.25">
      <c r="A183" t="s">
        <v>2159</v>
      </c>
      <c r="B183" s="102">
        <f>SUMIF(Платежи!B:B,VLOOKUP(A183,Платежи!B:B,1,0),Платежи!C:C)</f>
        <v>0</v>
      </c>
      <c r="C183" s="1"/>
    </row>
    <row r="184" spans="1:3" x14ac:dyDescent="0.25">
      <c r="A184" t="s">
        <v>2160</v>
      </c>
      <c r="B184" s="102">
        <f>SUMIF(Платежи!B:B,VLOOKUP(A184,Платежи!B:B,1,0),Платежи!C:C)</f>
        <v>0</v>
      </c>
      <c r="C184" s="1"/>
    </row>
    <row r="185" spans="1:3" x14ac:dyDescent="0.25">
      <c r="A185" t="s">
        <v>2161</v>
      </c>
      <c r="B185" s="102">
        <f>SUMIF(Платежи!B:B,VLOOKUP(A185,Платежи!B:B,1,0),Платежи!C:C)</f>
        <v>0</v>
      </c>
      <c r="C185" s="1"/>
    </row>
    <row r="186" spans="1:3" x14ac:dyDescent="0.25">
      <c r="A186" t="s">
        <v>2162</v>
      </c>
      <c r="B186" s="102">
        <f>SUMIF(Платежи!B:B,VLOOKUP(A186,Платежи!B:B,1,0),Платежи!C:C)</f>
        <v>0</v>
      </c>
      <c r="C186" s="1"/>
    </row>
    <row r="187" spans="1:3" x14ac:dyDescent="0.25">
      <c r="A187" t="s">
        <v>2163</v>
      </c>
      <c r="B187" s="102">
        <f>SUMIF(Платежи!B:B,VLOOKUP(A187,Платежи!B:B,1,0),Платежи!C:C)</f>
        <v>0</v>
      </c>
      <c r="C187" s="1"/>
    </row>
    <row r="188" spans="1:3" x14ac:dyDescent="0.25">
      <c r="A188" t="s">
        <v>2164</v>
      </c>
      <c r="B188" s="102">
        <f>SUMIF(Платежи!B:B,VLOOKUP(A188,Платежи!B:B,1,0),Платежи!C:C)</f>
        <v>0</v>
      </c>
      <c r="C188" s="1"/>
    </row>
    <row r="189" spans="1:3" x14ac:dyDescent="0.25">
      <c r="A189" t="s">
        <v>2165</v>
      </c>
      <c r="B189" s="102">
        <f>SUMIF(Платежи!B:B,VLOOKUP(A189,Платежи!B:B,1,0),Платежи!C:C)</f>
        <v>0</v>
      </c>
      <c r="C189" s="1"/>
    </row>
    <row r="190" spans="1:3" x14ac:dyDescent="0.25">
      <c r="A190" t="s">
        <v>2166</v>
      </c>
      <c r="B190" s="102">
        <f>SUMIF(Платежи!B:B,VLOOKUP(A190,Платежи!B:B,1,0),Платежи!C:C)</f>
        <v>0</v>
      </c>
      <c r="C190" s="1"/>
    </row>
    <row r="191" spans="1:3" x14ac:dyDescent="0.25">
      <c r="A191" t="s">
        <v>2167</v>
      </c>
      <c r="B191" s="102">
        <f>SUMIF(Платежи!B:B,VLOOKUP(A191,Платежи!B:B,1,0),Платежи!C:C)</f>
        <v>0</v>
      </c>
      <c r="C191" s="1"/>
    </row>
    <row r="192" spans="1:3" x14ac:dyDescent="0.25">
      <c r="A192" t="s">
        <v>2168</v>
      </c>
      <c r="B192" s="102">
        <f>SUMIF(Платежи!B:B,VLOOKUP(A192,Платежи!B:B,1,0),Платежи!C:C)</f>
        <v>0</v>
      </c>
      <c r="C192" s="1"/>
    </row>
    <row r="193" spans="1:3" x14ac:dyDescent="0.25">
      <c r="A193" t="s">
        <v>2169</v>
      </c>
      <c r="B193" s="102">
        <f>SUMIF(Платежи!B:B,VLOOKUP(A193,Платежи!B:B,1,0),Платежи!C:C)</f>
        <v>0</v>
      </c>
      <c r="C193" s="1"/>
    </row>
    <row r="194" spans="1:3" x14ac:dyDescent="0.25">
      <c r="A194" t="s">
        <v>2170</v>
      </c>
      <c r="B194" s="102">
        <f>SUMIF(Платежи!B:B,VLOOKUP(A194,Платежи!B:B,1,0),Платежи!C:C)</f>
        <v>0</v>
      </c>
      <c r="C194" s="1"/>
    </row>
    <row r="195" spans="1:3" x14ac:dyDescent="0.25">
      <c r="A195" t="s">
        <v>2171</v>
      </c>
      <c r="B195" s="102">
        <f>SUMIF(Платежи!B:B,VLOOKUP(A195,Платежи!B:B,1,0),Платежи!C:C)</f>
        <v>0</v>
      </c>
      <c r="C195" s="1"/>
    </row>
    <row r="196" spans="1:3" x14ac:dyDescent="0.25">
      <c r="A196" t="s">
        <v>2172</v>
      </c>
      <c r="B196" s="102">
        <f>SUMIF(Платежи!B:B,VLOOKUP(A196,Платежи!B:B,1,0),Платежи!C:C)</f>
        <v>0</v>
      </c>
      <c r="C196" s="1"/>
    </row>
    <row r="197" spans="1:3" x14ac:dyDescent="0.25">
      <c r="A197" t="s">
        <v>2173</v>
      </c>
      <c r="B197" s="102">
        <f>SUMIF(Платежи!B:B,VLOOKUP(A197,Платежи!B:B,1,0),Платежи!C:C)</f>
        <v>0</v>
      </c>
      <c r="C197" s="1"/>
    </row>
    <row r="198" spans="1:3" x14ac:dyDescent="0.25">
      <c r="A198" t="s">
        <v>2174</v>
      </c>
      <c r="B198" s="102">
        <f>SUMIF(Платежи!B:B,VLOOKUP(A198,Платежи!B:B,1,0),Платежи!C:C)</f>
        <v>0</v>
      </c>
      <c r="C198" s="1"/>
    </row>
    <row r="199" spans="1:3" x14ac:dyDescent="0.25">
      <c r="A199" t="s">
        <v>2175</v>
      </c>
      <c r="B199" s="102">
        <f>SUMIF(Платежи!B:B,VLOOKUP(A199,Платежи!B:B,1,0),Платежи!C:C)</f>
        <v>0</v>
      </c>
      <c r="C199" s="1"/>
    </row>
    <row r="200" spans="1:3" x14ac:dyDescent="0.25">
      <c r="A200" t="s">
        <v>2176</v>
      </c>
      <c r="B200" s="102">
        <f>SUMIF(Платежи!B:B,VLOOKUP(A200,Платежи!B:B,1,0),Платежи!C:C)</f>
        <v>0</v>
      </c>
      <c r="C200" s="1"/>
    </row>
    <row r="201" spans="1:3" x14ac:dyDescent="0.25">
      <c r="A201" t="s">
        <v>2177</v>
      </c>
      <c r="B201" s="102">
        <f>SUMIF(Платежи!B:B,VLOOKUP(A201,Платежи!B:B,1,0),Платежи!C:C)</f>
        <v>0</v>
      </c>
      <c r="C201" s="1"/>
    </row>
    <row r="202" spans="1:3" x14ac:dyDescent="0.25">
      <c r="A202" t="s">
        <v>2178</v>
      </c>
      <c r="B202" s="102">
        <f>SUMIF(Платежи!B:B,VLOOKUP(A202,Платежи!B:B,1,0),Платежи!C:C)</f>
        <v>0</v>
      </c>
      <c r="C202" s="1"/>
    </row>
    <row r="203" spans="1:3" x14ac:dyDescent="0.25">
      <c r="A203" t="s">
        <v>2179</v>
      </c>
      <c r="B203" s="102">
        <f>SUMIF(Платежи!B:B,VLOOKUP(A203,Платежи!B:B,1,0),Платежи!C:C)</f>
        <v>0</v>
      </c>
      <c r="C203" s="1"/>
    </row>
    <row r="204" spans="1:3" x14ac:dyDescent="0.25">
      <c r="A204" t="s">
        <v>2180</v>
      </c>
      <c r="B204" s="102">
        <f>SUMIF(Платежи!B:B,VLOOKUP(A204,Платежи!B:B,1,0),Платежи!C:C)</f>
        <v>0</v>
      </c>
      <c r="C204" s="1"/>
    </row>
    <row r="205" spans="1:3" x14ac:dyDescent="0.25">
      <c r="A205" t="s">
        <v>2181</v>
      </c>
      <c r="B205" s="102">
        <f>SUMIF(Платежи!B:B,VLOOKUP(A205,Платежи!B:B,1,0),Платежи!C:C)</f>
        <v>0</v>
      </c>
      <c r="C205" s="1"/>
    </row>
    <row r="206" spans="1:3" x14ac:dyDescent="0.25">
      <c r="A206" t="s">
        <v>2182</v>
      </c>
      <c r="B206" s="102">
        <f>SUMIF(Платежи!B:B,VLOOKUP(A206,Платежи!B:B,1,0),Платежи!C:C)</f>
        <v>0</v>
      </c>
      <c r="C206" s="1"/>
    </row>
    <row r="207" spans="1:3" x14ac:dyDescent="0.25">
      <c r="A207" t="s">
        <v>2183</v>
      </c>
      <c r="B207" s="102">
        <f>SUMIF(Платежи!B:B,VLOOKUP(A207,Платежи!B:B,1,0),Платежи!C:C)</f>
        <v>0</v>
      </c>
      <c r="C207" s="1"/>
    </row>
    <row r="208" spans="1:3" x14ac:dyDescent="0.25">
      <c r="A208" t="s">
        <v>2184</v>
      </c>
      <c r="B208" s="102">
        <f>SUMIF(Платежи!B:B,VLOOKUP(A208,Платежи!B:B,1,0),Платежи!C:C)</f>
        <v>0</v>
      </c>
      <c r="C208" s="1"/>
    </row>
    <row r="209" spans="1:3" x14ac:dyDescent="0.25">
      <c r="A209" t="s">
        <v>2185</v>
      </c>
      <c r="B209" s="102">
        <f>SUMIF(Платежи!B:B,VLOOKUP(A209,Платежи!B:B,1,0),Платежи!C:C)</f>
        <v>0</v>
      </c>
      <c r="C209" s="1"/>
    </row>
    <row r="210" spans="1:3" x14ac:dyDescent="0.25">
      <c r="A210" t="s">
        <v>2186</v>
      </c>
      <c r="B210" s="102">
        <f>SUMIF(Платежи!B:B,VLOOKUP(A210,Платежи!B:B,1,0),Платежи!C:C)</f>
        <v>0</v>
      </c>
      <c r="C210" s="1"/>
    </row>
    <row r="211" spans="1:3" x14ac:dyDescent="0.25">
      <c r="A211" t="s">
        <v>2187</v>
      </c>
      <c r="B211" s="102">
        <f>SUMIF(Платежи!B:B,VLOOKUP(A211,Платежи!B:B,1,0),Платежи!C:C)</f>
        <v>0</v>
      </c>
      <c r="C211" s="1"/>
    </row>
    <row r="212" spans="1:3" x14ac:dyDescent="0.25">
      <c r="A212" t="s">
        <v>2188</v>
      </c>
      <c r="B212" s="102">
        <f>SUMIF(Платежи!B:B,VLOOKUP(A212,Платежи!B:B,1,0),Платежи!C:C)</f>
        <v>0</v>
      </c>
      <c r="C212" s="1"/>
    </row>
    <row r="213" spans="1:3" x14ac:dyDescent="0.25">
      <c r="A213" t="s">
        <v>2189</v>
      </c>
      <c r="B213" s="102">
        <f>SUMIF(Платежи!B:B,VLOOKUP(A213,Платежи!B:B,1,0),Платежи!C:C)</f>
        <v>0</v>
      </c>
      <c r="C213" s="1"/>
    </row>
    <row r="214" spans="1:3" x14ac:dyDescent="0.25">
      <c r="A214" t="s">
        <v>2190</v>
      </c>
      <c r="B214" s="102">
        <f>SUMIF(Платежи!B:B,VLOOKUP(A214,Платежи!B:B,1,0),Платежи!C:C)</f>
        <v>0</v>
      </c>
      <c r="C214" s="1"/>
    </row>
    <row r="215" spans="1:3" x14ac:dyDescent="0.25">
      <c r="A215" t="s">
        <v>2191</v>
      </c>
      <c r="B215" s="102">
        <f>SUMIF(Платежи!B:B,VLOOKUP(A215,Платежи!B:B,1,0),Платежи!C:C)</f>
        <v>0</v>
      </c>
      <c r="C215" s="1"/>
    </row>
    <row r="216" spans="1:3" x14ac:dyDescent="0.25">
      <c r="A216" t="s">
        <v>2192</v>
      </c>
      <c r="B216" s="102">
        <f>SUMIF(Платежи!B:B,VLOOKUP(A216,Платежи!B:B,1,0),Платежи!C:C)</f>
        <v>0</v>
      </c>
      <c r="C216" s="1"/>
    </row>
    <row r="217" spans="1:3" x14ac:dyDescent="0.25">
      <c r="A217" t="s">
        <v>2193</v>
      </c>
      <c r="B217" s="102">
        <f>SUMIF(Платежи!B:B,VLOOKUP(A217,Платежи!B:B,1,0),Платежи!C:C)</f>
        <v>0</v>
      </c>
      <c r="C217" s="1"/>
    </row>
    <row r="218" spans="1:3" x14ac:dyDescent="0.25">
      <c r="A218" t="s">
        <v>2194</v>
      </c>
      <c r="B218" s="102">
        <f>SUMIF(Платежи!B:B,VLOOKUP(A218,Платежи!B:B,1,0),Платежи!C:C)</f>
        <v>0</v>
      </c>
      <c r="C218" s="1"/>
    </row>
    <row r="219" spans="1:3" x14ac:dyDescent="0.25">
      <c r="A219" t="s">
        <v>2195</v>
      </c>
      <c r="B219" s="102">
        <f>SUMIF(Платежи!B:B,VLOOKUP(A219,Платежи!B:B,1,0),Платежи!C:C)</f>
        <v>0</v>
      </c>
      <c r="C219" s="1"/>
    </row>
    <row r="220" spans="1:3" x14ac:dyDescent="0.25">
      <c r="A220" t="s">
        <v>2196</v>
      </c>
      <c r="B220" s="102">
        <f>SUMIF(Платежи!B:B,VLOOKUP(A220,Платежи!B:B,1,0),Платежи!C:C)</f>
        <v>0</v>
      </c>
      <c r="C220" s="1"/>
    </row>
    <row r="221" spans="1:3" x14ac:dyDescent="0.25">
      <c r="A221" t="s">
        <v>2197</v>
      </c>
      <c r="B221" s="102">
        <f>SUMIF(Платежи!B:B,VLOOKUP(A221,Платежи!B:B,1,0),Платежи!C:C)</f>
        <v>0</v>
      </c>
      <c r="C221" s="1"/>
    </row>
    <row r="222" spans="1:3" x14ac:dyDescent="0.25">
      <c r="A222" t="s">
        <v>2198</v>
      </c>
      <c r="B222" s="102">
        <f>SUMIF(Платежи!B:B,VLOOKUP(A222,Платежи!B:B,1,0),Платежи!C:C)</f>
        <v>0</v>
      </c>
      <c r="C222" s="1"/>
    </row>
    <row r="223" spans="1:3" x14ac:dyDescent="0.25">
      <c r="A223" t="s">
        <v>2199</v>
      </c>
      <c r="B223" s="102">
        <f>SUMIF(Платежи!B:B,VLOOKUP(A223,Платежи!B:B,1,0),Платежи!C:C)</f>
        <v>0</v>
      </c>
      <c r="C223" s="1"/>
    </row>
    <row r="224" spans="1:3" x14ac:dyDescent="0.25">
      <c r="A224" t="s">
        <v>2200</v>
      </c>
      <c r="B224" s="102">
        <f>SUMIF(Платежи!B:B,VLOOKUP(A224,Платежи!B:B,1,0),Платежи!C:C)</f>
        <v>0</v>
      </c>
      <c r="C224" s="1"/>
    </row>
    <row r="225" spans="1:3" x14ac:dyDescent="0.25">
      <c r="A225" t="s">
        <v>2201</v>
      </c>
      <c r="B225" s="102">
        <f>SUMIF(Платежи!B:B,VLOOKUP(A225,Платежи!B:B,1,0),Платежи!C:C)</f>
        <v>0</v>
      </c>
      <c r="C225" s="1"/>
    </row>
    <row r="226" spans="1:3" x14ac:dyDescent="0.25">
      <c r="A226" t="s">
        <v>2202</v>
      </c>
      <c r="B226" s="102">
        <f>SUMIF(Платежи!B:B,VLOOKUP(A226,Платежи!B:B,1,0),Платежи!C:C)</f>
        <v>0</v>
      </c>
      <c r="C226" s="1"/>
    </row>
    <row r="227" spans="1:3" x14ac:dyDescent="0.25">
      <c r="A227" t="s">
        <v>2203</v>
      </c>
      <c r="B227" s="102">
        <f>SUMIF(Платежи!B:B,VLOOKUP(A227,Платежи!B:B,1,0),Платежи!C:C)</f>
        <v>0</v>
      </c>
      <c r="C227" s="1"/>
    </row>
    <row r="228" spans="1:3" x14ac:dyDescent="0.25">
      <c r="A228" t="s">
        <v>2204</v>
      </c>
      <c r="B228" s="102">
        <f>SUMIF(Платежи!B:B,VLOOKUP(A228,Платежи!B:B,1,0),Платежи!C:C)</f>
        <v>0</v>
      </c>
      <c r="C228" s="1"/>
    </row>
    <row r="229" spans="1:3" x14ac:dyDescent="0.25">
      <c r="A229" t="s">
        <v>2205</v>
      </c>
      <c r="B229" s="102">
        <f>SUMIF(Платежи!B:B,VLOOKUP(A229,Платежи!B:B,1,0),Платежи!C:C)</f>
        <v>0</v>
      </c>
      <c r="C229" s="1"/>
    </row>
    <row r="230" spans="1:3" x14ac:dyDescent="0.25">
      <c r="A230" t="s">
        <v>2206</v>
      </c>
      <c r="B230" s="102">
        <f>SUMIF(Платежи!B:B,VLOOKUP(A230,Платежи!B:B,1,0),Платежи!C:C)</f>
        <v>0</v>
      </c>
      <c r="C230" s="1"/>
    </row>
    <row r="231" spans="1:3" x14ac:dyDescent="0.25">
      <c r="A231" t="s">
        <v>2207</v>
      </c>
      <c r="B231" s="102">
        <f>SUMIF(Платежи!B:B,VLOOKUP(A231,Платежи!B:B,1,0),Платежи!C:C)</f>
        <v>0</v>
      </c>
      <c r="C231" s="1"/>
    </row>
    <row r="232" spans="1:3" x14ac:dyDescent="0.25">
      <c r="A232" t="s">
        <v>2208</v>
      </c>
      <c r="B232" s="102">
        <f>SUMIF(Платежи!B:B,VLOOKUP(A232,Платежи!B:B,1,0),Платежи!C:C)</f>
        <v>0</v>
      </c>
      <c r="C232" s="1"/>
    </row>
    <row r="233" spans="1:3" x14ac:dyDescent="0.25">
      <c r="A233" t="s">
        <v>2209</v>
      </c>
      <c r="B233" s="102">
        <f>SUMIF(Платежи!B:B,VLOOKUP(A233,Платежи!B:B,1,0),Платежи!C:C)</f>
        <v>0</v>
      </c>
      <c r="C233" s="1"/>
    </row>
    <row r="234" spans="1:3" x14ac:dyDescent="0.25">
      <c r="A234" t="s">
        <v>2210</v>
      </c>
      <c r="B234" s="102">
        <f>SUMIF(Платежи!B:B,VLOOKUP(A234,Платежи!B:B,1,0),Платежи!C:C)</f>
        <v>0</v>
      </c>
      <c r="C234" s="1"/>
    </row>
    <row r="235" spans="1:3" x14ac:dyDescent="0.25">
      <c r="A235" t="s">
        <v>2211</v>
      </c>
      <c r="B235" s="102">
        <f>SUMIF(Платежи!B:B,VLOOKUP(A235,Платежи!B:B,1,0),Платежи!C:C)</f>
        <v>0</v>
      </c>
      <c r="C235" s="1"/>
    </row>
    <row r="236" spans="1:3" x14ac:dyDescent="0.25">
      <c r="A236" t="s">
        <v>2212</v>
      </c>
      <c r="B236" s="102">
        <f>SUMIF(Платежи!B:B,VLOOKUP(A236,Платежи!B:B,1,0),Платежи!C:C)</f>
        <v>0</v>
      </c>
      <c r="C236" s="1"/>
    </row>
    <row r="237" spans="1:3" x14ac:dyDescent="0.25">
      <c r="A237" t="s">
        <v>2213</v>
      </c>
      <c r="B237" s="102">
        <f>SUMIF(Платежи!B:B,VLOOKUP(A237,Платежи!B:B,1,0),Платежи!C:C)</f>
        <v>0</v>
      </c>
      <c r="C237" s="1"/>
    </row>
    <row r="238" spans="1:3" x14ac:dyDescent="0.25">
      <c r="A238" t="s">
        <v>2214</v>
      </c>
      <c r="B238" s="102">
        <f>SUMIF(Платежи!B:B,VLOOKUP(A238,Платежи!B:B,1,0),Платежи!C:C)</f>
        <v>0</v>
      </c>
      <c r="C238" s="1"/>
    </row>
    <row r="239" spans="1:3" x14ac:dyDescent="0.25">
      <c r="A239" t="s">
        <v>2215</v>
      </c>
      <c r="B239" s="102">
        <f>SUMIF(Платежи!B:B,VLOOKUP(A239,Платежи!B:B,1,0),Платежи!C:C)</f>
        <v>0</v>
      </c>
      <c r="C239" s="1"/>
    </row>
    <row r="240" spans="1:3" x14ac:dyDescent="0.25">
      <c r="A240" t="s">
        <v>2216</v>
      </c>
      <c r="B240" s="102">
        <f>SUMIF(Платежи!B:B,VLOOKUP(A240,Платежи!B:B,1,0),Платежи!C:C)</f>
        <v>0</v>
      </c>
      <c r="C240" s="1"/>
    </row>
    <row r="241" spans="1:3" x14ac:dyDescent="0.25">
      <c r="A241" t="s">
        <v>2217</v>
      </c>
      <c r="B241" s="102">
        <f>SUMIF(Платежи!B:B,VLOOKUP(A241,Платежи!B:B,1,0),Платежи!C:C)</f>
        <v>0</v>
      </c>
      <c r="C241" s="1"/>
    </row>
    <row r="242" spans="1:3" x14ac:dyDescent="0.25">
      <c r="A242" t="s">
        <v>2218</v>
      </c>
      <c r="B242" s="102">
        <f>SUMIF(Платежи!B:B,VLOOKUP(A242,Платежи!B:B,1,0),Платежи!C:C)</f>
        <v>0</v>
      </c>
      <c r="C242" s="1"/>
    </row>
    <row r="243" spans="1:3" x14ac:dyDescent="0.25">
      <c r="A243" t="s">
        <v>2219</v>
      </c>
      <c r="B243" s="102">
        <f>SUMIF(Платежи!B:B,VLOOKUP(A243,Платежи!B:B,1,0),Платежи!C:C)</f>
        <v>0</v>
      </c>
      <c r="C243" s="1"/>
    </row>
    <row r="244" spans="1:3" x14ac:dyDescent="0.25">
      <c r="A244" t="s">
        <v>2220</v>
      </c>
      <c r="B244" s="102">
        <f>SUMIF(Платежи!B:B,VLOOKUP(A244,Платежи!B:B,1,0),Платежи!C:C)</f>
        <v>0</v>
      </c>
      <c r="C244" s="1"/>
    </row>
    <row r="245" spans="1:3" x14ac:dyDescent="0.25">
      <c r="A245" t="s">
        <v>2221</v>
      </c>
      <c r="B245" s="102">
        <f>SUMIF(Платежи!B:B,VLOOKUP(A245,Платежи!B:B,1,0),Платежи!C:C)</f>
        <v>0</v>
      </c>
      <c r="C245" s="1"/>
    </row>
    <row r="246" spans="1:3" x14ac:dyDescent="0.25">
      <c r="A246" t="s">
        <v>2222</v>
      </c>
      <c r="B246" s="102">
        <f>SUMIF(Платежи!B:B,VLOOKUP(A246,Платежи!B:B,1,0),Платежи!C:C)</f>
        <v>0</v>
      </c>
      <c r="C246" s="1"/>
    </row>
    <row r="247" spans="1:3" x14ac:dyDescent="0.25">
      <c r="A247" t="s">
        <v>2223</v>
      </c>
      <c r="B247" s="102">
        <f>SUMIF(Платежи!B:B,VLOOKUP(A247,Платежи!B:B,1,0),Платежи!C:C)</f>
        <v>0</v>
      </c>
      <c r="C247" s="1"/>
    </row>
    <row r="248" spans="1:3" x14ac:dyDescent="0.25">
      <c r="A248" t="s">
        <v>2224</v>
      </c>
      <c r="B248" s="102">
        <f>SUMIF(Платежи!B:B,VLOOKUP(A248,Платежи!B:B,1,0),Платежи!C:C)</f>
        <v>0</v>
      </c>
      <c r="C248" s="1"/>
    </row>
    <row r="249" spans="1:3" x14ac:dyDescent="0.25">
      <c r="A249" t="s">
        <v>2225</v>
      </c>
      <c r="B249" s="102">
        <f>SUMIF(Платежи!B:B,VLOOKUP(A249,Платежи!B:B,1,0),Платежи!C:C)</f>
        <v>0</v>
      </c>
      <c r="C249" s="1"/>
    </row>
    <row r="250" spans="1:3" x14ac:dyDescent="0.25">
      <c r="A250" t="s">
        <v>2226</v>
      </c>
      <c r="B250" s="102">
        <f>SUMIF(Платежи!B:B,VLOOKUP(A250,Платежи!B:B,1,0),Платежи!C:C)</f>
        <v>0</v>
      </c>
      <c r="C250" s="1"/>
    </row>
    <row r="251" spans="1:3" x14ac:dyDescent="0.25">
      <c r="A251" t="s">
        <v>2227</v>
      </c>
      <c r="B251" s="102">
        <f>SUMIF(Платежи!B:B,VLOOKUP(A251,Платежи!B:B,1,0),Платежи!C:C)</f>
        <v>0</v>
      </c>
      <c r="C251" s="1"/>
    </row>
    <row r="252" spans="1:3" x14ac:dyDescent="0.25">
      <c r="A252" t="s">
        <v>2228</v>
      </c>
      <c r="B252" s="102">
        <f>SUMIF(Платежи!B:B,VLOOKUP(A252,Платежи!B:B,1,0),Платежи!C:C)</f>
        <v>0</v>
      </c>
      <c r="C252" s="1"/>
    </row>
    <row r="253" spans="1:3" x14ac:dyDescent="0.25">
      <c r="A253" t="s">
        <v>2229</v>
      </c>
      <c r="B253" s="102">
        <f>SUMIF(Платежи!B:B,VLOOKUP(A253,Платежи!B:B,1,0),Платежи!C:C)</f>
        <v>0</v>
      </c>
      <c r="C253" s="1"/>
    </row>
    <row r="254" spans="1:3" x14ac:dyDescent="0.25">
      <c r="A254" t="s">
        <v>2230</v>
      </c>
      <c r="B254" s="102">
        <f>SUMIF(Платежи!B:B,VLOOKUP(A254,Платежи!B:B,1,0),Платежи!C:C)</f>
        <v>0</v>
      </c>
      <c r="C254" s="1"/>
    </row>
    <row r="255" spans="1:3" x14ac:dyDescent="0.25">
      <c r="A255" t="s">
        <v>2231</v>
      </c>
      <c r="B255" s="102">
        <f>SUMIF(Платежи!B:B,VLOOKUP(A255,Платежи!B:B,1,0),Платежи!C:C)</f>
        <v>0</v>
      </c>
      <c r="C255" s="1"/>
    </row>
    <row r="256" spans="1:3" x14ac:dyDescent="0.25">
      <c r="A256" t="s">
        <v>2232</v>
      </c>
      <c r="B256" s="102">
        <f>SUMIF(Платежи!B:B,VLOOKUP(A256,Платежи!B:B,1,0),Платежи!C:C)</f>
        <v>0</v>
      </c>
      <c r="C256" s="1"/>
    </row>
    <row r="257" spans="1:3" x14ac:dyDescent="0.25">
      <c r="A257" t="s">
        <v>2233</v>
      </c>
      <c r="B257" s="102">
        <f>SUMIF(Платежи!B:B,VLOOKUP(A257,Платежи!B:B,1,0),Платежи!C:C)</f>
        <v>0</v>
      </c>
      <c r="C257" s="1"/>
    </row>
    <row r="258" spans="1:3" x14ac:dyDescent="0.25">
      <c r="A258" t="s">
        <v>2234</v>
      </c>
      <c r="B258" s="102">
        <f>SUMIF(Платежи!B:B,VLOOKUP(A258,Платежи!B:B,1,0),Платежи!C:C)</f>
        <v>0</v>
      </c>
      <c r="C258" s="1"/>
    </row>
    <row r="259" spans="1:3" x14ac:dyDescent="0.25">
      <c r="A259" t="s">
        <v>2235</v>
      </c>
      <c r="B259" s="102">
        <f>SUMIF(Платежи!B:B,VLOOKUP(A259,Платежи!B:B,1,0),Платежи!C:C)</f>
        <v>0</v>
      </c>
      <c r="C259" s="1"/>
    </row>
    <row r="260" spans="1:3" x14ac:dyDescent="0.25">
      <c r="A260" t="s">
        <v>2236</v>
      </c>
      <c r="B260" s="102">
        <f>SUMIF(Платежи!B:B,VLOOKUP(A260,Платежи!B:B,1,0),Платежи!C:C)</f>
        <v>0</v>
      </c>
      <c r="C260" s="1"/>
    </row>
    <row r="261" spans="1:3" x14ac:dyDescent="0.25">
      <c r="A261" t="s">
        <v>2237</v>
      </c>
      <c r="B261" s="102">
        <f>SUMIF(Платежи!B:B,VLOOKUP(A261,Платежи!B:B,1,0),Платежи!C:C)</f>
        <v>0</v>
      </c>
      <c r="C261" s="1"/>
    </row>
    <row r="262" spans="1:3" x14ac:dyDescent="0.25">
      <c r="A262" t="s">
        <v>2238</v>
      </c>
      <c r="B262" s="102">
        <f>SUMIF(Платежи!B:B,VLOOKUP(A262,Платежи!B:B,1,0),Платежи!C:C)</f>
        <v>0</v>
      </c>
      <c r="C262" s="1"/>
    </row>
    <row r="263" spans="1:3" x14ac:dyDescent="0.25">
      <c r="A263" t="s">
        <v>2239</v>
      </c>
      <c r="B263" s="102">
        <f>SUMIF(Платежи!B:B,VLOOKUP(A263,Платежи!B:B,1,0),Платежи!C:C)</f>
        <v>0</v>
      </c>
      <c r="C263" s="1"/>
    </row>
    <row r="264" spans="1:3" x14ac:dyDescent="0.25">
      <c r="A264" t="s">
        <v>2240</v>
      </c>
      <c r="B264" s="102">
        <f>SUMIF(Платежи!B:B,VLOOKUP(A264,Платежи!B:B,1,0),Платежи!C:C)</f>
        <v>0</v>
      </c>
      <c r="C264" s="1"/>
    </row>
    <row r="265" spans="1:3" x14ac:dyDescent="0.25">
      <c r="A265" t="s">
        <v>2241</v>
      </c>
      <c r="B265" s="102">
        <f>SUMIF(Платежи!B:B,VLOOKUP(A265,Платежи!B:B,1,0),Платежи!C:C)</f>
        <v>0</v>
      </c>
      <c r="C265" s="1"/>
    </row>
    <row r="266" spans="1:3" x14ac:dyDescent="0.25">
      <c r="A266" t="s">
        <v>2242</v>
      </c>
      <c r="B266" s="102">
        <f>SUMIF(Платежи!B:B,VLOOKUP(A266,Платежи!B:B,1,0),Платежи!C:C)</f>
        <v>0</v>
      </c>
      <c r="C266" s="1"/>
    </row>
    <row r="267" spans="1:3" x14ac:dyDescent="0.25">
      <c r="A267" t="s">
        <v>2243</v>
      </c>
      <c r="B267" s="102">
        <f>SUMIF(Платежи!B:B,VLOOKUP(A267,Платежи!B:B,1,0),Платежи!C:C)</f>
        <v>0</v>
      </c>
      <c r="C267" s="1"/>
    </row>
    <row r="268" spans="1:3" x14ac:dyDescent="0.25">
      <c r="A268" t="s">
        <v>2244</v>
      </c>
      <c r="B268" s="102">
        <f>SUMIF(Платежи!B:B,VLOOKUP(A268,Платежи!B:B,1,0),Платежи!C:C)</f>
        <v>0</v>
      </c>
      <c r="C268" s="1"/>
    </row>
    <row r="269" spans="1:3" x14ac:dyDescent="0.25">
      <c r="A269" t="s">
        <v>2245</v>
      </c>
      <c r="B269" s="102">
        <f>SUMIF(Платежи!B:B,VLOOKUP(A269,Платежи!B:B,1,0),Платежи!C:C)</f>
        <v>0</v>
      </c>
      <c r="C269" s="1"/>
    </row>
    <row r="270" spans="1:3" x14ac:dyDescent="0.25">
      <c r="A270" t="s">
        <v>2246</v>
      </c>
      <c r="B270" s="102">
        <f>SUMIF(Платежи!B:B,VLOOKUP(A270,Платежи!B:B,1,0),Платежи!C:C)</f>
        <v>0</v>
      </c>
      <c r="C270" s="1"/>
    </row>
    <row r="271" spans="1:3" x14ac:dyDescent="0.25">
      <c r="A271" t="s">
        <v>2247</v>
      </c>
      <c r="B271" s="102">
        <f>SUMIF(Платежи!B:B,VLOOKUP(A271,Платежи!B:B,1,0),Платежи!C:C)</f>
        <v>0</v>
      </c>
      <c r="C271" s="1"/>
    </row>
    <row r="272" spans="1:3" x14ac:dyDescent="0.25">
      <c r="A272" t="s">
        <v>2248</v>
      </c>
      <c r="B272" s="102">
        <f>SUMIF(Платежи!B:B,VLOOKUP(A272,Платежи!B:B,1,0),Платежи!C:C)</f>
        <v>0</v>
      </c>
      <c r="C272" s="1"/>
    </row>
    <row r="273" spans="1:3" x14ac:dyDescent="0.25">
      <c r="A273" t="s">
        <v>2249</v>
      </c>
      <c r="B273" s="102">
        <f>SUMIF(Платежи!B:B,VLOOKUP(A273,Платежи!B:B,1,0),Платежи!C:C)</f>
        <v>0</v>
      </c>
      <c r="C273" s="1"/>
    </row>
    <row r="274" spans="1:3" x14ac:dyDescent="0.25">
      <c r="A274" t="s">
        <v>2250</v>
      </c>
      <c r="B274" s="102">
        <f>SUMIF(Платежи!B:B,VLOOKUP(A274,Платежи!B:B,1,0),Платежи!C:C)</f>
        <v>0</v>
      </c>
      <c r="C274" s="1"/>
    </row>
    <row r="275" spans="1:3" x14ac:dyDescent="0.25">
      <c r="A275" t="s">
        <v>2251</v>
      </c>
      <c r="B275" s="102">
        <f>SUMIF(Платежи!B:B,VLOOKUP(A275,Платежи!B:B,1,0),Платежи!C:C)</f>
        <v>0</v>
      </c>
      <c r="C275" s="1"/>
    </row>
    <row r="276" spans="1:3" x14ac:dyDescent="0.25">
      <c r="A276" t="s">
        <v>2252</v>
      </c>
      <c r="B276" s="102">
        <f>SUMIF(Платежи!B:B,VLOOKUP(A276,Платежи!B:B,1,0),Платежи!C:C)</f>
        <v>0</v>
      </c>
      <c r="C276" s="1"/>
    </row>
    <row r="277" spans="1:3" x14ac:dyDescent="0.25">
      <c r="A277" t="s">
        <v>2253</v>
      </c>
      <c r="B277" s="102">
        <f>SUMIF(Платежи!B:B,VLOOKUP(A277,Платежи!B:B,1,0),Платежи!C:C)</f>
        <v>0</v>
      </c>
      <c r="C277" s="1"/>
    </row>
    <row r="278" spans="1:3" x14ac:dyDescent="0.25">
      <c r="A278" t="s">
        <v>2254</v>
      </c>
      <c r="B278" s="102">
        <f>SUMIF(Платежи!B:B,VLOOKUP(A278,Платежи!B:B,1,0),Платежи!C:C)</f>
        <v>0</v>
      </c>
      <c r="C278" s="1"/>
    </row>
    <row r="279" spans="1:3" x14ac:dyDescent="0.25">
      <c r="A279" t="s">
        <v>2255</v>
      </c>
      <c r="B279" s="102">
        <f>SUMIF(Платежи!B:B,VLOOKUP(A279,Платежи!B:B,1,0),Платежи!C:C)</f>
        <v>0</v>
      </c>
      <c r="C279" s="1"/>
    </row>
    <row r="280" spans="1:3" x14ac:dyDescent="0.25">
      <c r="A280" t="s">
        <v>2256</v>
      </c>
      <c r="B280" s="102">
        <f>SUMIF(Платежи!B:B,VLOOKUP(A280,Платежи!B:B,1,0),Платежи!C:C)</f>
        <v>0</v>
      </c>
      <c r="C280" s="1"/>
    </row>
    <row r="281" spans="1:3" x14ac:dyDescent="0.25">
      <c r="A281" t="s">
        <v>2257</v>
      </c>
      <c r="B281" s="102">
        <f>SUMIF(Платежи!B:B,VLOOKUP(A281,Платежи!B:B,1,0),Платежи!C:C)</f>
        <v>0</v>
      </c>
      <c r="C281" s="1"/>
    </row>
    <row r="282" spans="1:3" x14ac:dyDescent="0.25">
      <c r="A282" t="s">
        <v>2258</v>
      </c>
      <c r="B282" s="102">
        <f>SUMIF(Платежи!B:B,VLOOKUP(A282,Платежи!B:B,1,0),Платежи!C:C)</f>
        <v>0</v>
      </c>
      <c r="C282" s="1"/>
    </row>
    <row r="283" spans="1:3" x14ac:dyDescent="0.25">
      <c r="A283" t="s">
        <v>2259</v>
      </c>
      <c r="B283" s="102">
        <f>SUMIF(Платежи!B:B,VLOOKUP(A283,Платежи!B:B,1,0),Платежи!C:C)</f>
        <v>0</v>
      </c>
      <c r="C283" s="1"/>
    </row>
    <row r="284" spans="1:3" x14ac:dyDescent="0.25">
      <c r="A284" t="s">
        <v>2260</v>
      </c>
      <c r="B284" s="102">
        <f>SUMIF(Платежи!B:B,VLOOKUP(A284,Платежи!B:B,1,0),Платежи!C:C)</f>
        <v>0</v>
      </c>
      <c r="C284" s="1"/>
    </row>
    <row r="285" spans="1:3" x14ac:dyDescent="0.25">
      <c r="A285" t="s">
        <v>2261</v>
      </c>
      <c r="B285" s="102">
        <f>SUMIF(Платежи!B:B,VLOOKUP(A285,Платежи!B:B,1,0),Платежи!C:C)</f>
        <v>0</v>
      </c>
      <c r="C285" s="1"/>
    </row>
    <row r="286" spans="1:3" x14ac:dyDescent="0.25">
      <c r="A286" t="s">
        <v>2262</v>
      </c>
      <c r="B286" s="102">
        <f>SUMIF(Платежи!B:B,VLOOKUP(A286,Платежи!B:B,1,0),Платежи!C:C)</f>
        <v>0</v>
      </c>
      <c r="C286" s="1"/>
    </row>
    <row r="287" spans="1:3" x14ac:dyDescent="0.25">
      <c r="A287" t="s">
        <v>2263</v>
      </c>
      <c r="B287" s="102">
        <f>SUMIF(Платежи!B:B,VLOOKUP(A287,Платежи!B:B,1,0),Платежи!C:C)</f>
        <v>0</v>
      </c>
      <c r="C287" s="1"/>
    </row>
    <row r="288" spans="1:3" x14ac:dyDescent="0.25">
      <c r="A288" t="s">
        <v>2264</v>
      </c>
      <c r="B288" s="102">
        <f>SUMIF(Платежи!B:B,VLOOKUP(A288,Платежи!B:B,1,0),Платежи!C:C)</f>
        <v>0</v>
      </c>
      <c r="C288" s="1"/>
    </row>
    <row r="289" spans="1:3" x14ac:dyDescent="0.25">
      <c r="A289" t="s">
        <v>2265</v>
      </c>
      <c r="B289" s="102">
        <f>SUMIF(Платежи!B:B,VLOOKUP(A289,Платежи!B:B,1,0),Платежи!C:C)</f>
        <v>0</v>
      </c>
      <c r="C289" s="1"/>
    </row>
    <row r="290" spans="1:3" x14ac:dyDescent="0.25">
      <c r="A290" t="s">
        <v>2266</v>
      </c>
      <c r="B290" s="102">
        <f>SUMIF(Платежи!B:B,VLOOKUP(A290,Платежи!B:B,1,0),Платежи!C:C)</f>
        <v>0</v>
      </c>
      <c r="C290" s="1"/>
    </row>
    <row r="291" spans="1:3" x14ac:dyDescent="0.25">
      <c r="A291" t="s">
        <v>2267</v>
      </c>
      <c r="B291" s="102">
        <f>SUMIF(Платежи!B:B,VLOOKUP(A291,Платежи!B:B,1,0),Платежи!C:C)</f>
        <v>0</v>
      </c>
      <c r="C291" s="1"/>
    </row>
    <row r="292" spans="1:3" x14ac:dyDescent="0.25">
      <c r="A292" t="s">
        <v>2268</v>
      </c>
      <c r="B292" s="102">
        <f>SUMIF(Платежи!B:B,VLOOKUP(A292,Платежи!B:B,1,0),Платежи!C:C)</f>
        <v>0</v>
      </c>
      <c r="C292" s="1"/>
    </row>
    <row r="293" spans="1:3" x14ac:dyDescent="0.25">
      <c r="A293" t="s">
        <v>2269</v>
      </c>
      <c r="B293" s="102">
        <f>SUMIF(Платежи!B:B,VLOOKUP(A293,Платежи!B:B,1,0),Платежи!C:C)</f>
        <v>0</v>
      </c>
      <c r="C293" s="1"/>
    </row>
    <row r="294" spans="1:3" x14ac:dyDescent="0.25">
      <c r="A294" t="s">
        <v>2270</v>
      </c>
      <c r="B294" s="102">
        <f>SUMIF(Платежи!B:B,VLOOKUP(A294,Платежи!B:B,1,0),Платежи!C:C)</f>
        <v>0</v>
      </c>
      <c r="C294" s="1"/>
    </row>
    <row r="295" spans="1:3" x14ac:dyDescent="0.25">
      <c r="A295" t="s">
        <v>2271</v>
      </c>
      <c r="B295" s="102">
        <f>SUMIF(Платежи!B:B,VLOOKUP(A295,Платежи!B:B,1,0),Платежи!C:C)</f>
        <v>0</v>
      </c>
      <c r="C295" s="1"/>
    </row>
    <row r="296" spans="1:3" x14ac:dyDescent="0.25">
      <c r="A296" t="s">
        <v>2272</v>
      </c>
      <c r="B296" s="102">
        <f>SUMIF(Платежи!B:B,VLOOKUP(A296,Платежи!B:B,1,0),Платежи!C:C)</f>
        <v>0</v>
      </c>
      <c r="C296" s="1"/>
    </row>
    <row r="297" spans="1:3" x14ac:dyDescent="0.25">
      <c r="A297" t="s">
        <v>2273</v>
      </c>
      <c r="B297" s="102">
        <f>SUMIF(Платежи!B:B,VLOOKUP(A297,Платежи!B:B,1,0),Платежи!C:C)</f>
        <v>0</v>
      </c>
      <c r="C297" s="1"/>
    </row>
    <row r="298" spans="1:3" x14ac:dyDescent="0.25">
      <c r="A298" t="s">
        <v>2274</v>
      </c>
      <c r="B298" s="102">
        <f>SUMIF(Платежи!B:B,VLOOKUP(A298,Платежи!B:B,1,0),Платежи!C:C)</f>
        <v>0</v>
      </c>
      <c r="C298" s="1"/>
    </row>
    <row r="299" spans="1:3" x14ac:dyDescent="0.25">
      <c r="A299" t="s">
        <v>2275</v>
      </c>
      <c r="B299" s="102">
        <f>SUMIF(Платежи!B:B,VLOOKUP(A299,Платежи!B:B,1,0),Платежи!C:C)</f>
        <v>0</v>
      </c>
      <c r="C299" s="1"/>
    </row>
    <row r="300" spans="1:3" x14ac:dyDescent="0.25">
      <c r="A300" t="s">
        <v>2276</v>
      </c>
      <c r="B300" s="102">
        <f>SUMIF(Платежи!B:B,VLOOKUP(A300,Платежи!B:B,1,0),Платежи!C:C)</f>
        <v>0</v>
      </c>
      <c r="C300" s="1"/>
    </row>
    <row r="301" spans="1:3" x14ac:dyDescent="0.25">
      <c r="A301" t="s">
        <v>2277</v>
      </c>
      <c r="B301" s="102">
        <f>SUMIF(Платежи!B:B,VLOOKUP(A301,Платежи!B:B,1,0),Платежи!C:C)</f>
        <v>0</v>
      </c>
      <c r="C301" s="1"/>
    </row>
    <row r="302" spans="1:3" x14ac:dyDescent="0.25">
      <c r="A302" t="s">
        <v>2278</v>
      </c>
      <c r="B302" s="102">
        <f>SUMIF(Платежи!B:B,VLOOKUP(A302,Платежи!B:B,1,0),Платежи!C:C)</f>
        <v>0</v>
      </c>
      <c r="C302" s="1"/>
    </row>
    <row r="303" spans="1:3" x14ac:dyDescent="0.25">
      <c r="A303" t="s">
        <v>2279</v>
      </c>
      <c r="B303" s="102">
        <f>SUMIF(Платежи!B:B,VLOOKUP(A303,Платежи!B:B,1,0),Платежи!C:C)</f>
        <v>0</v>
      </c>
      <c r="C303" s="1"/>
    </row>
    <row r="304" spans="1:3" x14ac:dyDescent="0.25">
      <c r="A304" t="s">
        <v>2280</v>
      </c>
      <c r="B304" s="102">
        <f>SUMIF(Платежи!B:B,VLOOKUP(A304,Платежи!B:B,1,0),Платежи!C:C)</f>
        <v>0</v>
      </c>
      <c r="C304" s="1"/>
    </row>
    <row r="305" spans="1:3" x14ac:dyDescent="0.25">
      <c r="A305" t="s">
        <v>2281</v>
      </c>
      <c r="B305" s="102">
        <f>SUMIF(Платежи!B:B,VLOOKUP(A305,Платежи!B:B,1,0),Платежи!C:C)</f>
        <v>0</v>
      </c>
      <c r="C305" s="1"/>
    </row>
    <row r="306" spans="1:3" x14ac:dyDescent="0.25">
      <c r="A306" t="s">
        <v>2282</v>
      </c>
      <c r="B306" s="102">
        <f>SUMIF(Платежи!B:B,VLOOKUP(A306,Платежи!B:B,1,0),Платежи!C:C)</f>
        <v>0</v>
      </c>
      <c r="C306" s="1"/>
    </row>
    <row r="307" spans="1:3" x14ac:dyDescent="0.25">
      <c r="A307" t="s">
        <v>2283</v>
      </c>
      <c r="B307" s="102">
        <f>SUMIF(Платежи!B:B,VLOOKUP(A307,Платежи!B:B,1,0),Платежи!C:C)</f>
        <v>0</v>
      </c>
      <c r="C307" s="1"/>
    </row>
    <row r="308" spans="1:3" x14ac:dyDescent="0.25">
      <c r="A308" t="s">
        <v>2284</v>
      </c>
      <c r="B308" s="102">
        <f>SUMIF(Платежи!B:B,VLOOKUP(A308,Платежи!B:B,1,0),Платежи!C:C)</f>
        <v>0</v>
      </c>
      <c r="C308" s="1"/>
    </row>
    <row r="309" spans="1:3" x14ac:dyDescent="0.25">
      <c r="A309" t="s">
        <v>2285</v>
      </c>
      <c r="B309" s="102">
        <f>SUMIF(Платежи!B:B,VLOOKUP(A309,Платежи!B:B,1,0),Платежи!C:C)</f>
        <v>0</v>
      </c>
      <c r="C309" s="1"/>
    </row>
    <row r="310" spans="1:3" x14ac:dyDescent="0.25">
      <c r="A310" t="s">
        <v>2286</v>
      </c>
      <c r="B310" s="102">
        <f>SUMIF(Платежи!B:B,VLOOKUP(A310,Платежи!B:B,1,0),Платежи!C:C)</f>
        <v>0</v>
      </c>
      <c r="C310" s="1"/>
    </row>
    <row r="311" spans="1:3" x14ac:dyDescent="0.25">
      <c r="A311" t="s">
        <v>2287</v>
      </c>
      <c r="B311" s="102">
        <f>SUMIF(Платежи!B:B,VLOOKUP(A311,Платежи!B:B,1,0),Платежи!C:C)</f>
        <v>0</v>
      </c>
      <c r="C311" s="1"/>
    </row>
    <row r="312" spans="1:3" x14ac:dyDescent="0.25">
      <c r="A312" t="s">
        <v>2288</v>
      </c>
      <c r="B312" s="102">
        <f>SUMIF(Платежи!B:B,VLOOKUP(A312,Платежи!B:B,1,0),Платежи!C:C)</f>
        <v>0</v>
      </c>
      <c r="C312" s="1"/>
    </row>
    <row r="313" spans="1:3" x14ac:dyDescent="0.25">
      <c r="A313" t="s">
        <v>2289</v>
      </c>
      <c r="B313" s="102">
        <f>SUMIF(Платежи!B:B,VLOOKUP(A313,Платежи!B:B,1,0),Платежи!C:C)</f>
        <v>0</v>
      </c>
      <c r="C313" s="1"/>
    </row>
    <row r="314" spans="1:3" x14ac:dyDescent="0.25">
      <c r="A314" t="s">
        <v>2290</v>
      </c>
      <c r="B314" s="102">
        <f>SUMIF(Платежи!B:B,VLOOKUP(A314,Платежи!B:B,1,0),Платежи!C:C)</f>
        <v>0</v>
      </c>
      <c r="C314" s="1"/>
    </row>
    <row r="315" spans="1:3" x14ac:dyDescent="0.25">
      <c r="A315" t="s">
        <v>2291</v>
      </c>
      <c r="B315" s="102">
        <f>SUMIF(Платежи!B:B,VLOOKUP(A315,Платежи!B:B,1,0),Платежи!C:C)</f>
        <v>0</v>
      </c>
      <c r="C315" s="1"/>
    </row>
    <row r="316" spans="1:3" x14ac:dyDescent="0.25">
      <c r="A316" t="s">
        <v>2292</v>
      </c>
      <c r="B316" s="102">
        <f>SUMIF(Платежи!B:B,VLOOKUP(A316,Платежи!B:B,1,0),Платежи!C:C)</f>
        <v>0</v>
      </c>
      <c r="C316" s="1"/>
    </row>
    <row r="317" spans="1:3" x14ac:dyDescent="0.25">
      <c r="A317" t="s">
        <v>635</v>
      </c>
      <c r="B317" s="102">
        <f>SUMIF(Платежи!B:B,VLOOKUP(A317,Платежи!B:B,1,0),Платежи!C:C)</f>
        <v>0</v>
      </c>
      <c r="C317" s="1"/>
    </row>
    <row r="318" spans="1:3" x14ac:dyDescent="0.25">
      <c r="A318" t="s">
        <v>2293</v>
      </c>
      <c r="B318" s="102">
        <f>SUMIF(Платежи!B:B,VLOOKUP(A318,Платежи!B:B,1,0),Платежи!C:C)</f>
        <v>0</v>
      </c>
      <c r="C318" s="1"/>
    </row>
    <row r="319" spans="1:3" x14ac:dyDescent="0.25">
      <c r="A319" t="s">
        <v>2294</v>
      </c>
      <c r="B319" s="102">
        <f>SUMIF(Платежи!B:B,VLOOKUP(A319,Платежи!B:B,1,0),Платежи!C:C)</f>
        <v>0</v>
      </c>
      <c r="C319" s="1"/>
    </row>
    <row r="320" spans="1:3" x14ac:dyDescent="0.25">
      <c r="A320" t="s">
        <v>2295</v>
      </c>
      <c r="B320" s="102">
        <f>SUMIF(Платежи!B:B,VLOOKUP(A320,Платежи!B:B,1,0),Платежи!C:C)</f>
        <v>0</v>
      </c>
      <c r="C320" s="1"/>
    </row>
    <row r="321" spans="1:3" x14ac:dyDescent="0.25">
      <c r="A321" t="s">
        <v>2296</v>
      </c>
      <c r="B321" s="102">
        <f>SUMIF(Платежи!B:B,VLOOKUP(A321,Платежи!B:B,1,0),Платежи!C:C)</f>
        <v>0</v>
      </c>
      <c r="C321" s="1"/>
    </row>
    <row r="322" spans="1:3" x14ac:dyDescent="0.25">
      <c r="A322" t="s">
        <v>2297</v>
      </c>
      <c r="B322" s="102">
        <f>SUMIF(Платежи!B:B,VLOOKUP(A322,Платежи!B:B,1,0),Платежи!C:C)</f>
        <v>0</v>
      </c>
      <c r="C322" s="1"/>
    </row>
    <row r="323" spans="1:3" x14ac:dyDescent="0.25">
      <c r="A323" t="s">
        <v>2298</v>
      </c>
      <c r="B323" s="102">
        <f>SUMIF(Платежи!B:B,VLOOKUP(A323,Платежи!B:B,1,0),Платежи!C:C)</f>
        <v>0</v>
      </c>
      <c r="C323" s="1"/>
    </row>
    <row r="324" spans="1:3" x14ac:dyDescent="0.25">
      <c r="A324" t="s">
        <v>2299</v>
      </c>
      <c r="B324" s="102">
        <f>SUMIF(Платежи!B:B,VLOOKUP(A324,Платежи!B:B,1,0),Платежи!C:C)</f>
        <v>0</v>
      </c>
      <c r="C324" s="1"/>
    </row>
    <row r="325" spans="1:3" x14ac:dyDescent="0.25">
      <c r="A325" t="s">
        <v>2300</v>
      </c>
      <c r="B325" s="102">
        <f>SUMIF(Платежи!B:B,VLOOKUP(A325,Платежи!B:B,1,0),Платежи!C:C)</f>
        <v>0</v>
      </c>
      <c r="C325" s="1"/>
    </row>
    <row r="326" spans="1:3" x14ac:dyDescent="0.25">
      <c r="A326" t="s">
        <v>2301</v>
      </c>
      <c r="B326" s="102">
        <f>SUMIF(Платежи!B:B,VLOOKUP(A326,Платежи!B:B,1,0),Платежи!C:C)</f>
        <v>0</v>
      </c>
      <c r="C326" s="1"/>
    </row>
    <row r="327" spans="1:3" x14ac:dyDescent="0.25">
      <c r="A327" t="s">
        <v>2302</v>
      </c>
      <c r="B327" s="102">
        <f>SUMIF(Платежи!B:B,VLOOKUP(A327,Платежи!B:B,1,0),Платежи!C:C)</f>
        <v>0</v>
      </c>
      <c r="C327" s="1"/>
    </row>
    <row r="328" spans="1:3" x14ac:dyDescent="0.25">
      <c r="A328" t="s">
        <v>2303</v>
      </c>
      <c r="B328" s="102">
        <f>SUMIF(Платежи!B:B,VLOOKUP(A328,Платежи!B:B,1,0),Платежи!C:C)</f>
        <v>0</v>
      </c>
      <c r="C328" s="1"/>
    </row>
    <row r="329" spans="1:3" x14ac:dyDescent="0.25">
      <c r="A329" t="s">
        <v>2304</v>
      </c>
      <c r="B329" s="102">
        <f>SUMIF(Платежи!B:B,VLOOKUP(A329,Платежи!B:B,1,0),Платежи!C:C)</f>
        <v>0</v>
      </c>
      <c r="C329" s="1"/>
    </row>
    <row r="330" spans="1:3" x14ac:dyDescent="0.25">
      <c r="A330" t="s">
        <v>2305</v>
      </c>
      <c r="B330" s="102">
        <f>SUMIF(Платежи!B:B,VLOOKUP(A330,Платежи!B:B,1,0),Платежи!C:C)</f>
        <v>0</v>
      </c>
      <c r="C330" s="1"/>
    </row>
    <row r="331" spans="1:3" x14ac:dyDescent="0.25">
      <c r="A331" t="s">
        <v>2306</v>
      </c>
      <c r="B331" s="102">
        <f>SUMIF(Платежи!B:B,VLOOKUP(A331,Платежи!B:B,1,0),Платежи!C:C)</f>
        <v>0</v>
      </c>
      <c r="C331" s="1"/>
    </row>
    <row r="332" spans="1:3" x14ac:dyDescent="0.25">
      <c r="A332" t="s">
        <v>633</v>
      </c>
      <c r="B332" s="102">
        <f>SUMIF(Платежи!B:B,VLOOKUP(A332,Платежи!B:B,1,0),Платежи!C:C)</f>
        <v>0</v>
      </c>
      <c r="C332" s="1"/>
    </row>
    <row r="333" spans="1:3" x14ac:dyDescent="0.25">
      <c r="A333" t="s">
        <v>2307</v>
      </c>
      <c r="B333" s="102">
        <f>SUMIF(Платежи!B:B,VLOOKUP(A333,Платежи!B:B,1,0),Платежи!C:C)</f>
        <v>0</v>
      </c>
      <c r="C333" s="1"/>
    </row>
    <row r="334" spans="1:3" x14ac:dyDescent="0.25">
      <c r="A334" t="s">
        <v>2308</v>
      </c>
      <c r="B334" s="102">
        <f>SUMIF(Платежи!B:B,VLOOKUP(A334,Платежи!B:B,1,0),Платежи!C:C)</f>
        <v>0</v>
      </c>
      <c r="C334" s="1"/>
    </row>
    <row r="335" spans="1:3" x14ac:dyDescent="0.25">
      <c r="A335" t="s">
        <v>2309</v>
      </c>
      <c r="B335" s="102">
        <f>SUMIF(Платежи!B:B,VLOOKUP(A335,Платежи!B:B,1,0),Платежи!C:C)</f>
        <v>0</v>
      </c>
      <c r="C335" s="1"/>
    </row>
    <row r="336" spans="1:3" x14ac:dyDescent="0.25">
      <c r="A336" t="s">
        <v>2310</v>
      </c>
      <c r="B336" s="102">
        <f>SUMIF(Платежи!B:B,VLOOKUP(A336,Платежи!B:B,1,0),Платежи!C:C)</f>
        <v>0</v>
      </c>
      <c r="C336" s="1"/>
    </row>
    <row r="337" spans="1:3" x14ac:dyDescent="0.25">
      <c r="A337" t="s">
        <v>2311</v>
      </c>
      <c r="B337" s="102">
        <f>SUMIF(Платежи!B:B,VLOOKUP(A337,Платежи!B:B,1,0),Платежи!C:C)</f>
        <v>0</v>
      </c>
      <c r="C337" s="1"/>
    </row>
    <row r="338" spans="1:3" x14ac:dyDescent="0.25">
      <c r="A338" t="s">
        <v>2312</v>
      </c>
      <c r="B338" s="102">
        <f>SUMIF(Платежи!B:B,VLOOKUP(A338,Платежи!B:B,1,0),Платежи!C:C)</f>
        <v>0</v>
      </c>
      <c r="C338" s="1"/>
    </row>
    <row r="339" spans="1:3" x14ac:dyDescent="0.25">
      <c r="A339" t="s">
        <v>2313</v>
      </c>
      <c r="B339" s="102">
        <f>SUMIF(Платежи!B:B,VLOOKUP(A339,Платежи!B:B,1,0),Платежи!C:C)</f>
        <v>0</v>
      </c>
    </row>
    <row r="340" spans="1:3" x14ac:dyDescent="0.25">
      <c r="A340" t="s">
        <v>2314</v>
      </c>
      <c r="B340" s="102">
        <f>SUMIF(Платежи!B:B,VLOOKUP(A340,Платежи!B:B,1,0),Платежи!C:C)</f>
        <v>0</v>
      </c>
    </row>
    <row r="341" spans="1:3" x14ac:dyDescent="0.25">
      <c r="A341" t="s">
        <v>2315</v>
      </c>
      <c r="B341" s="102">
        <f>SUMIF(Платежи!B:B,VLOOKUP(A341,Платежи!B:B,1,0),Платежи!C:C)</f>
        <v>0</v>
      </c>
    </row>
    <row r="342" spans="1:3" x14ac:dyDescent="0.25">
      <c r="A342" t="s">
        <v>2316</v>
      </c>
      <c r="B342" s="102">
        <f>SUMIF(Платежи!B:B,VLOOKUP(A342,Платежи!B:B,1,0),Платежи!C:C)</f>
        <v>0</v>
      </c>
    </row>
    <row r="343" spans="1:3" x14ac:dyDescent="0.25">
      <c r="A343" t="s">
        <v>2317</v>
      </c>
      <c r="B343" s="102">
        <f>SUMIF(Платежи!B:B,VLOOKUP(A343,Платежи!B:B,1,0),Платежи!C:C)</f>
        <v>0</v>
      </c>
    </row>
    <row r="344" spans="1:3" x14ac:dyDescent="0.25">
      <c r="A344" t="s">
        <v>2318</v>
      </c>
      <c r="B344" s="102">
        <f>SUMIF(Платежи!B:B,VLOOKUP(A344,Платежи!B:B,1,0),Платежи!C:C)</f>
        <v>0</v>
      </c>
    </row>
    <row r="345" spans="1:3" x14ac:dyDescent="0.25">
      <c r="A345" t="s">
        <v>2319</v>
      </c>
      <c r="B345" s="102">
        <f>SUMIF(Платежи!B:B,VLOOKUP(A345,Платежи!B:B,1,0),Платежи!C:C)</f>
        <v>0</v>
      </c>
    </row>
    <row r="346" spans="1:3" x14ac:dyDescent="0.25">
      <c r="A346" t="s">
        <v>2320</v>
      </c>
      <c r="B346" s="102">
        <f>SUMIF(Платежи!B:B,VLOOKUP(A346,Платежи!B:B,1,0),Платежи!C:C)</f>
        <v>0</v>
      </c>
    </row>
    <row r="347" spans="1:3" x14ac:dyDescent="0.25">
      <c r="A347" t="s">
        <v>2321</v>
      </c>
      <c r="B347" s="102">
        <f>SUMIF(Платежи!B:B,VLOOKUP(A347,Платежи!B:B,1,0),Платежи!C:C)</f>
        <v>0</v>
      </c>
    </row>
    <row r="348" spans="1:3" x14ac:dyDescent="0.25">
      <c r="A348" t="s">
        <v>2322</v>
      </c>
      <c r="B348" s="102">
        <f>SUMIF(Платежи!B:B,VLOOKUP(A348,Платежи!B:B,1,0),Платежи!C:C)</f>
        <v>0</v>
      </c>
    </row>
    <row r="349" spans="1:3" x14ac:dyDescent="0.25">
      <c r="A349" t="s">
        <v>2323</v>
      </c>
      <c r="B349" s="102">
        <f>SUMIF(Платежи!B:B,VLOOKUP(A349,Платежи!B:B,1,0),Платежи!C:C)</f>
        <v>0</v>
      </c>
    </row>
    <row r="350" spans="1:3" x14ac:dyDescent="0.25">
      <c r="A350" t="s">
        <v>2324</v>
      </c>
      <c r="B350" s="102">
        <f>SUMIF(Платежи!B:B,VLOOKUP(A350,Платежи!B:B,1,0),Платежи!C:C)</f>
        <v>0</v>
      </c>
    </row>
    <row r="351" spans="1:3" x14ac:dyDescent="0.25">
      <c r="A351" t="s">
        <v>2325</v>
      </c>
      <c r="B351" s="102">
        <f>SUMIF(Платежи!B:B,VLOOKUP(A351,Платежи!B:B,1,0),Платежи!C:C)</f>
        <v>0</v>
      </c>
    </row>
    <row r="352" spans="1:3" x14ac:dyDescent="0.25">
      <c r="A352" t="s">
        <v>2326</v>
      </c>
      <c r="B352" s="102">
        <f>SUMIF(Платежи!B:B,VLOOKUP(A352,Платежи!B:B,1,0),Платежи!C:C)</f>
        <v>0</v>
      </c>
    </row>
    <row r="353" spans="1:2" x14ac:dyDescent="0.25">
      <c r="A353" t="s">
        <v>2327</v>
      </c>
      <c r="B353" s="102">
        <f>SUMIF(Платежи!B:B,VLOOKUP(A353,Платежи!B:B,1,0),Платежи!C:C)</f>
        <v>0</v>
      </c>
    </row>
    <row r="354" spans="1:2" x14ac:dyDescent="0.25">
      <c r="A354" t="s">
        <v>2328</v>
      </c>
      <c r="B354" s="102">
        <f>SUMIF(Платежи!B:B,VLOOKUP(A354,Платежи!B:B,1,0),Платежи!C:C)</f>
        <v>0</v>
      </c>
    </row>
    <row r="355" spans="1:2" x14ac:dyDescent="0.25">
      <c r="A355" t="s">
        <v>2329</v>
      </c>
      <c r="B355" s="102">
        <f>SUMIF(Платежи!B:B,VLOOKUP(A355,Платежи!B:B,1,0),Платежи!C:C)</f>
        <v>0</v>
      </c>
    </row>
    <row r="356" spans="1:2" x14ac:dyDescent="0.25">
      <c r="A356" t="s">
        <v>2330</v>
      </c>
      <c r="B356" s="102">
        <f>SUMIF(Платежи!B:B,VLOOKUP(A356,Платежи!B:B,1,0),Платежи!C:C)</f>
        <v>0</v>
      </c>
    </row>
    <row r="357" spans="1:2" x14ac:dyDescent="0.25">
      <c r="A357" t="s">
        <v>2331</v>
      </c>
      <c r="B357" s="102">
        <f>SUMIF(Платежи!B:B,VLOOKUP(A357,Платежи!B:B,1,0),Платежи!C:C)</f>
        <v>0</v>
      </c>
    </row>
    <row r="358" spans="1:2" x14ac:dyDescent="0.25">
      <c r="A358" t="s">
        <v>2332</v>
      </c>
      <c r="B358" s="102">
        <f>SUMIF(Платежи!B:B,VLOOKUP(A358,Платежи!B:B,1,0),Платежи!C:C)</f>
        <v>0</v>
      </c>
    </row>
    <row r="359" spans="1:2" x14ac:dyDescent="0.25">
      <c r="A359" t="s">
        <v>2333</v>
      </c>
      <c r="B359" s="102">
        <f>SUMIF(Платежи!B:B,VLOOKUP(A359,Платежи!B:B,1,0),Платежи!C:C)</f>
        <v>0</v>
      </c>
    </row>
    <row r="360" spans="1:2" x14ac:dyDescent="0.25">
      <c r="A360" t="s">
        <v>2334</v>
      </c>
      <c r="B360" s="102">
        <f>SUMIF(Платежи!B:B,VLOOKUP(A360,Платежи!B:B,1,0),Платежи!C:C)</f>
        <v>0</v>
      </c>
    </row>
    <row r="361" spans="1:2" x14ac:dyDescent="0.25">
      <c r="A361" t="s">
        <v>2335</v>
      </c>
      <c r="B361" s="102">
        <f>SUMIF(Платежи!B:B,VLOOKUP(A361,Платежи!B:B,1,0),Платежи!C:C)</f>
        <v>0</v>
      </c>
    </row>
    <row r="362" spans="1:2" x14ac:dyDescent="0.25">
      <c r="A362" t="s">
        <v>2336</v>
      </c>
      <c r="B362" s="102">
        <f>SUMIF(Платежи!B:B,VLOOKUP(A362,Платежи!B:B,1,0),Платежи!C:C)</f>
        <v>0</v>
      </c>
    </row>
    <row r="363" spans="1:2" x14ac:dyDescent="0.25">
      <c r="A363" t="s">
        <v>2337</v>
      </c>
      <c r="B363" s="102">
        <f>SUMIF(Платежи!B:B,VLOOKUP(A363,Платежи!B:B,1,0),Платежи!C:C)</f>
        <v>0</v>
      </c>
    </row>
    <row r="364" spans="1:2" x14ac:dyDescent="0.25">
      <c r="A364" t="s">
        <v>637</v>
      </c>
      <c r="B364" s="102">
        <f>SUMIF(Платежи!B:B,VLOOKUP(A364,Платежи!B:B,1,0),Платежи!C:C)</f>
        <v>0</v>
      </c>
    </row>
    <row r="365" spans="1:2" x14ac:dyDescent="0.25">
      <c r="A365" t="s">
        <v>2338</v>
      </c>
      <c r="B365" s="102">
        <f>SUMIF(Платежи!B:B,VLOOKUP(A365,Платежи!B:B,1,0),Платежи!C:C)</f>
        <v>0</v>
      </c>
    </row>
    <row r="366" spans="1:2" x14ac:dyDescent="0.25">
      <c r="A366" t="s">
        <v>2339</v>
      </c>
      <c r="B366" s="102">
        <f>SUMIF(Платежи!B:B,VLOOKUP(A366,Платежи!B:B,1,0),Платежи!C:C)</f>
        <v>0</v>
      </c>
    </row>
    <row r="367" spans="1:2" x14ac:dyDescent="0.25">
      <c r="A367" t="s">
        <v>2340</v>
      </c>
      <c r="B367" s="102">
        <f>SUMIF(Платежи!B:B,VLOOKUP(A367,Платежи!B:B,1,0),Платежи!C:C)</f>
        <v>0</v>
      </c>
    </row>
    <row r="368" spans="1:2" x14ac:dyDescent="0.25">
      <c r="A368" t="s">
        <v>2341</v>
      </c>
      <c r="B368" s="102">
        <f>SUMIF(Платежи!B:B,VLOOKUP(A368,Платежи!B:B,1,0),Платежи!C:C)</f>
        <v>0</v>
      </c>
    </row>
    <row r="369" spans="1:2" x14ac:dyDescent="0.25">
      <c r="A369" t="s">
        <v>2342</v>
      </c>
      <c r="B369" s="102">
        <f>SUMIF(Платежи!B:B,VLOOKUP(A369,Платежи!B:B,1,0),Платежи!C:C)</f>
        <v>0</v>
      </c>
    </row>
    <row r="370" spans="1:2" x14ac:dyDescent="0.25">
      <c r="A370" t="s">
        <v>2343</v>
      </c>
      <c r="B370" s="102">
        <f>SUMIF(Платежи!B:B,VLOOKUP(A370,Платежи!B:B,1,0),Платежи!C:C)</f>
        <v>0</v>
      </c>
    </row>
    <row r="371" spans="1:2" x14ac:dyDescent="0.25">
      <c r="A371" t="s">
        <v>2344</v>
      </c>
      <c r="B371" s="102">
        <f>SUMIF(Платежи!B:B,VLOOKUP(A371,Платежи!B:B,1,0),Платежи!C:C)</f>
        <v>0</v>
      </c>
    </row>
    <row r="372" spans="1:2" x14ac:dyDescent="0.25">
      <c r="A372" t="s">
        <v>2345</v>
      </c>
      <c r="B372" s="102">
        <f>SUMIF(Платежи!B:B,VLOOKUP(A372,Платежи!B:B,1,0),Платежи!C:C)</f>
        <v>0</v>
      </c>
    </row>
    <row r="373" spans="1:2" x14ac:dyDescent="0.25">
      <c r="A373" t="s">
        <v>2346</v>
      </c>
      <c r="B373" s="102">
        <f>SUMIF(Платежи!B:B,VLOOKUP(A373,Платежи!B:B,1,0),Платежи!C:C)</f>
        <v>0</v>
      </c>
    </row>
    <row r="374" spans="1:2" x14ac:dyDescent="0.25">
      <c r="A374" t="s">
        <v>2347</v>
      </c>
      <c r="B374" s="102">
        <f>SUMIF(Платежи!B:B,VLOOKUP(A374,Платежи!B:B,1,0),Платежи!C:C)</f>
        <v>0</v>
      </c>
    </row>
    <row r="375" spans="1:2" x14ac:dyDescent="0.25">
      <c r="A375" t="s">
        <v>2348</v>
      </c>
      <c r="B375" s="102">
        <f>SUMIF(Платежи!B:B,VLOOKUP(A375,Платежи!B:B,1,0),Платежи!C:C)</f>
        <v>0</v>
      </c>
    </row>
    <row r="376" spans="1:2" x14ac:dyDescent="0.25">
      <c r="A376" t="s">
        <v>2349</v>
      </c>
      <c r="B376" s="102">
        <f>SUMIF(Платежи!B:B,VLOOKUP(A376,Платежи!B:B,1,0),Платежи!C:C)</f>
        <v>0</v>
      </c>
    </row>
    <row r="377" spans="1:2" x14ac:dyDescent="0.25">
      <c r="A377" t="s">
        <v>2350</v>
      </c>
      <c r="B377" s="102">
        <f>SUMIF(Платежи!B:B,VLOOKUP(A377,Платежи!B:B,1,0),Платежи!C:C)</f>
        <v>0</v>
      </c>
    </row>
    <row r="378" spans="1:2" x14ac:dyDescent="0.25">
      <c r="A378" t="s">
        <v>2351</v>
      </c>
      <c r="B378" s="102">
        <f>SUMIF(Платежи!B:B,VLOOKUP(A378,Платежи!B:B,1,0),Платежи!C:C)</f>
        <v>0</v>
      </c>
    </row>
    <row r="379" spans="1:2" x14ac:dyDescent="0.25">
      <c r="A379" t="s">
        <v>2352</v>
      </c>
      <c r="B379" s="102">
        <f>SUMIF(Платежи!B:B,VLOOKUP(A379,Платежи!B:B,1,0),Платежи!C:C)</f>
        <v>0</v>
      </c>
    </row>
    <row r="380" spans="1:2" x14ac:dyDescent="0.25">
      <c r="A380" t="s">
        <v>2353</v>
      </c>
      <c r="B380" s="102">
        <f>SUMIF(Платежи!B:B,VLOOKUP(A380,Платежи!B:B,1,0),Платежи!C:C)</f>
        <v>0</v>
      </c>
    </row>
    <row r="381" spans="1:2" x14ac:dyDescent="0.25">
      <c r="A381" t="s">
        <v>2354</v>
      </c>
      <c r="B381" s="102">
        <f>SUMIF(Платежи!B:B,VLOOKUP(A381,Платежи!B:B,1,0),Платежи!C:C)</f>
        <v>0</v>
      </c>
    </row>
    <row r="382" spans="1:2" x14ac:dyDescent="0.25">
      <c r="A382" t="s">
        <v>2355</v>
      </c>
      <c r="B382" s="102">
        <f>SUMIF(Платежи!B:B,VLOOKUP(A382,Платежи!B:B,1,0),Платежи!C:C)</f>
        <v>0</v>
      </c>
    </row>
    <row r="383" spans="1:2" x14ac:dyDescent="0.25">
      <c r="A383" t="s">
        <v>2356</v>
      </c>
      <c r="B383" s="102">
        <f>SUMIF(Платежи!B:B,VLOOKUP(A383,Платежи!B:B,1,0),Платежи!C:C)</f>
        <v>0</v>
      </c>
    </row>
    <row r="384" spans="1:2" x14ac:dyDescent="0.25">
      <c r="A384" t="s">
        <v>2357</v>
      </c>
      <c r="B384" s="102">
        <f>SUMIF(Платежи!B:B,VLOOKUP(A384,Платежи!B:B,1,0),Платежи!C:C)</f>
        <v>0</v>
      </c>
    </row>
    <row r="385" spans="1:2" x14ac:dyDescent="0.25">
      <c r="A385" t="s">
        <v>2358</v>
      </c>
      <c r="B385" s="102">
        <f>SUMIF(Платежи!B:B,VLOOKUP(A385,Платежи!B:B,1,0),Платежи!C:C)</f>
        <v>0</v>
      </c>
    </row>
    <row r="386" spans="1:2" x14ac:dyDescent="0.25">
      <c r="A386" t="s">
        <v>2359</v>
      </c>
      <c r="B386" s="102">
        <f>SUMIF(Платежи!B:B,VLOOKUP(A386,Платежи!B:B,1,0),Платежи!C:C)</f>
        <v>0</v>
      </c>
    </row>
    <row r="387" spans="1:2" x14ac:dyDescent="0.25">
      <c r="A387" t="s">
        <v>2360</v>
      </c>
      <c r="B387" s="102">
        <f>SUMIF(Платежи!B:B,VLOOKUP(A387,Платежи!B:B,1,0),Платежи!C:C)</f>
        <v>0</v>
      </c>
    </row>
    <row r="388" spans="1:2" x14ac:dyDescent="0.25">
      <c r="A388" t="s">
        <v>2361</v>
      </c>
      <c r="B388" s="102">
        <f>SUMIF(Платежи!B:B,VLOOKUP(A388,Платежи!B:B,1,0),Платежи!C:C)</f>
        <v>0</v>
      </c>
    </row>
    <row r="389" spans="1:2" x14ac:dyDescent="0.25">
      <c r="A389" t="s">
        <v>2362</v>
      </c>
      <c r="B389" s="102">
        <f>SUMIF(Платежи!B:B,VLOOKUP(A389,Платежи!B:B,1,0),Платежи!C:C)</f>
        <v>0</v>
      </c>
    </row>
    <row r="390" spans="1:2" x14ac:dyDescent="0.25">
      <c r="A390" t="s">
        <v>2363</v>
      </c>
      <c r="B390" s="102">
        <f>SUMIF(Платежи!B:B,VLOOKUP(A390,Платежи!B:B,1,0),Платежи!C:C)</f>
        <v>0</v>
      </c>
    </row>
    <row r="391" spans="1:2" x14ac:dyDescent="0.25">
      <c r="A391" t="s">
        <v>2364</v>
      </c>
      <c r="B391" s="102">
        <f>SUMIF(Платежи!B:B,VLOOKUP(A391,Платежи!B:B,1,0),Платежи!C:C)</f>
        <v>0</v>
      </c>
    </row>
    <row r="392" spans="1:2" x14ac:dyDescent="0.25">
      <c r="A392" t="s">
        <v>2365</v>
      </c>
      <c r="B392" s="102">
        <f>SUMIF(Платежи!B:B,VLOOKUP(A392,Платежи!B:B,1,0),Платежи!C:C)</f>
        <v>0</v>
      </c>
    </row>
    <row r="393" spans="1:2" x14ac:dyDescent="0.25">
      <c r="A393" t="s">
        <v>2366</v>
      </c>
      <c r="B393" s="102">
        <f>SUMIF(Платежи!B:B,VLOOKUP(A393,Платежи!B:B,1,0),Платежи!C:C)</f>
        <v>0</v>
      </c>
    </row>
    <row r="394" spans="1:2" x14ac:dyDescent="0.25">
      <c r="A394" t="s">
        <v>2367</v>
      </c>
      <c r="B394" s="102">
        <f>SUMIF(Платежи!B:B,VLOOKUP(A394,Платежи!B:B,1,0),Платежи!C:C)</f>
        <v>0</v>
      </c>
    </row>
    <row r="395" spans="1:2" x14ac:dyDescent="0.25">
      <c r="A395" t="s">
        <v>2368</v>
      </c>
      <c r="B395" s="102">
        <f>SUMIF(Платежи!B:B,VLOOKUP(A395,Платежи!B:B,1,0),Платежи!C:C)</f>
        <v>0</v>
      </c>
    </row>
    <row r="396" spans="1:2" x14ac:dyDescent="0.25">
      <c r="A396" t="s">
        <v>2369</v>
      </c>
      <c r="B396" s="102">
        <f>SUMIF(Платежи!B:B,VLOOKUP(A396,Платежи!B:B,1,0),Платежи!C:C)</f>
        <v>0</v>
      </c>
    </row>
    <row r="397" spans="1:2" x14ac:dyDescent="0.25">
      <c r="A397" t="s">
        <v>2370</v>
      </c>
      <c r="B397" s="102">
        <f>SUMIF(Платежи!B:B,VLOOKUP(A397,Платежи!B:B,1,0),Платежи!C:C)</f>
        <v>0</v>
      </c>
    </row>
    <row r="398" spans="1:2" x14ac:dyDescent="0.25">
      <c r="A398" t="s">
        <v>2371</v>
      </c>
      <c r="B398" s="102">
        <f>SUMIF(Платежи!B:B,VLOOKUP(A398,Платежи!B:B,1,0),Платежи!C:C)</f>
        <v>0</v>
      </c>
    </row>
    <row r="399" spans="1:2" x14ac:dyDescent="0.25">
      <c r="A399" t="s">
        <v>2372</v>
      </c>
      <c r="B399" s="102">
        <f>SUMIF(Платежи!B:B,VLOOKUP(A399,Платежи!B:B,1,0),Платежи!C:C)</f>
        <v>0</v>
      </c>
    </row>
    <row r="400" spans="1:2" x14ac:dyDescent="0.25">
      <c r="A400" t="s">
        <v>2373</v>
      </c>
      <c r="B400" s="102">
        <f>SUMIF(Платежи!B:B,VLOOKUP(A400,Платежи!B:B,1,0),Платежи!C:C)</f>
        <v>0</v>
      </c>
    </row>
    <row r="401" spans="1:2" x14ac:dyDescent="0.25">
      <c r="A401" t="s">
        <v>2374</v>
      </c>
      <c r="B401" s="102">
        <f>SUMIF(Платежи!B:B,VLOOKUP(A401,Платежи!B:B,1,0),Платежи!C:C)</f>
        <v>0</v>
      </c>
    </row>
    <row r="402" spans="1:2" x14ac:dyDescent="0.25">
      <c r="A402" t="s">
        <v>2375</v>
      </c>
      <c r="B402" s="102">
        <f>SUMIF(Платежи!B:B,VLOOKUP(A402,Платежи!B:B,1,0),Платежи!C:C)</f>
        <v>0</v>
      </c>
    </row>
    <row r="403" spans="1:2" x14ac:dyDescent="0.25">
      <c r="A403" t="s">
        <v>2376</v>
      </c>
      <c r="B403" s="102">
        <f>SUMIF(Платежи!B:B,VLOOKUP(A403,Платежи!B:B,1,0),Платежи!C:C)</f>
        <v>0</v>
      </c>
    </row>
    <row r="404" spans="1:2" x14ac:dyDescent="0.25">
      <c r="A404" t="s">
        <v>2377</v>
      </c>
      <c r="B404" s="102">
        <f>SUMIF(Платежи!B:B,VLOOKUP(A404,Платежи!B:B,1,0),Платежи!C:C)</f>
        <v>0</v>
      </c>
    </row>
    <row r="405" spans="1:2" x14ac:dyDescent="0.25">
      <c r="A405" t="s">
        <v>2378</v>
      </c>
      <c r="B405" s="102">
        <f>SUMIF(Платежи!B:B,VLOOKUP(A405,Платежи!B:B,1,0),Платежи!C:C)</f>
        <v>0</v>
      </c>
    </row>
    <row r="406" spans="1:2" x14ac:dyDescent="0.25">
      <c r="A406" t="s">
        <v>2379</v>
      </c>
      <c r="B406" s="102">
        <f>SUMIF(Платежи!B:B,VLOOKUP(A406,Платежи!B:B,1,0),Платежи!C:C)</f>
        <v>0</v>
      </c>
    </row>
    <row r="407" spans="1:2" x14ac:dyDescent="0.25">
      <c r="A407" t="s">
        <v>2380</v>
      </c>
      <c r="B407" s="102">
        <f>SUMIF(Платежи!B:B,VLOOKUP(A407,Платежи!B:B,1,0),Платежи!C:C)</f>
        <v>0</v>
      </c>
    </row>
    <row r="408" spans="1:2" x14ac:dyDescent="0.25">
      <c r="A408" t="s">
        <v>2381</v>
      </c>
      <c r="B408" s="102">
        <f>SUMIF(Платежи!B:B,VLOOKUP(A408,Платежи!B:B,1,0),Платежи!C:C)</f>
        <v>0</v>
      </c>
    </row>
    <row r="409" spans="1:2" x14ac:dyDescent="0.25">
      <c r="A409" t="s">
        <v>2382</v>
      </c>
      <c r="B409" s="102">
        <f>SUMIF(Платежи!B:B,VLOOKUP(A409,Платежи!B:B,1,0),Платежи!C:C)</f>
        <v>0</v>
      </c>
    </row>
    <row r="410" spans="1:2" x14ac:dyDescent="0.25">
      <c r="A410" t="s">
        <v>2383</v>
      </c>
      <c r="B410" s="102">
        <f>SUMIF(Платежи!B:B,VLOOKUP(A410,Платежи!B:B,1,0),Платежи!C:C)</f>
        <v>0</v>
      </c>
    </row>
    <row r="411" spans="1:2" x14ac:dyDescent="0.25">
      <c r="A411" t="s">
        <v>2384</v>
      </c>
      <c r="B411" s="102">
        <f>SUMIF(Платежи!B:B,VLOOKUP(A411,Платежи!B:B,1,0),Платежи!C:C)</f>
        <v>0</v>
      </c>
    </row>
    <row r="412" spans="1:2" x14ac:dyDescent="0.25">
      <c r="A412" t="s">
        <v>2385</v>
      </c>
      <c r="B412" s="102">
        <f>SUMIF(Платежи!B:B,VLOOKUP(A412,Платежи!B:B,1,0),Платежи!C:C)</f>
        <v>0</v>
      </c>
    </row>
    <row r="413" spans="1:2" x14ac:dyDescent="0.25">
      <c r="A413" t="s">
        <v>2386</v>
      </c>
      <c r="B413" s="102">
        <f>SUMIF(Платежи!B:B,VLOOKUP(A413,Платежи!B:B,1,0),Платежи!C:C)</f>
        <v>0</v>
      </c>
    </row>
    <row r="414" spans="1:2" x14ac:dyDescent="0.25">
      <c r="A414" t="s">
        <v>2387</v>
      </c>
      <c r="B414" s="102">
        <f>SUMIF(Платежи!B:B,VLOOKUP(A414,Платежи!B:B,1,0),Платежи!C:C)</f>
        <v>0</v>
      </c>
    </row>
    <row r="415" spans="1:2" x14ac:dyDescent="0.25">
      <c r="A415" t="s">
        <v>2388</v>
      </c>
      <c r="B415" s="102">
        <f>SUMIF(Платежи!B:B,VLOOKUP(A415,Платежи!B:B,1,0),Платежи!C:C)</f>
        <v>0</v>
      </c>
    </row>
    <row r="416" spans="1:2" x14ac:dyDescent="0.25">
      <c r="A416" t="s">
        <v>2389</v>
      </c>
      <c r="B416" s="102">
        <f>SUMIF(Платежи!B:B,VLOOKUP(A416,Платежи!B:B,1,0),Платежи!C:C)</f>
        <v>0</v>
      </c>
    </row>
    <row r="417" spans="1:2" x14ac:dyDescent="0.25">
      <c r="A417" t="s">
        <v>2390</v>
      </c>
      <c r="B417" s="102">
        <f>SUMIF(Платежи!B:B,VLOOKUP(A417,Платежи!B:B,1,0),Платежи!C:C)</f>
        <v>0</v>
      </c>
    </row>
    <row r="418" spans="1:2" x14ac:dyDescent="0.25">
      <c r="A418" t="s">
        <v>2391</v>
      </c>
      <c r="B418" s="102">
        <f>SUMIF(Платежи!B:B,VLOOKUP(A418,Платежи!B:B,1,0),Платежи!C:C)</f>
        <v>0</v>
      </c>
    </row>
    <row r="419" spans="1:2" x14ac:dyDescent="0.25">
      <c r="A419" t="s">
        <v>2392</v>
      </c>
      <c r="B419" s="102">
        <f>SUMIF(Платежи!B:B,VLOOKUP(A419,Платежи!B:B,1,0),Платежи!C:C)</f>
        <v>0</v>
      </c>
    </row>
    <row r="420" spans="1:2" x14ac:dyDescent="0.25">
      <c r="A420" t="s">
        <v>2393</v>
      </c>
      <c r="B420" s="102">
        <f>SUMIF(Платежи!B:B,VLOOKUP(A420,Платежи!B:B,1,0),Платежи!C:C)</f>
        <v>0</v>
      </c>
    </row>
    <row r="421" spans="1:2" x14ac:dyDescent="0.25">
      <c r="A421" t="s">
        <v>2394</v>
      </c>
      <c r="B421" s="102">
        <f>SUMIF(Платежи!B:B,VLOOKUP(A421,Платежи!B:B,1,0),Платежи!C:C)</f>
        <v>0</v>
      </c>
    </row>
    <row r="422" spans="1:2" x14ac:dyDescent="0.25">
      <c r="A422" t="s">
        <v>2395</v>
      </c>
      <c r="B422" s="102">
        <f>SUMIF(Платежи!B:B,VLOOKUP(A422,Платежи!B:B,1,0),Платежи!C:C)</f>
        <v>0</v>
      </c>
    </row>
    <row r="423" spans="1:2" x14ac:dyDescent="0.25">
      <c r="A423" t="s">
        <v>2396</v>
      </c>
      <c r="B423" s="102">
        <f>SUMIF(Платежи!B:B,VLOOKUP(A423,Платежи!B:B,1,0),Платежи!C:C)</f>
        <v>0</v>
      </c>
    </row>
    <row r="424" spans="1:2" x14ac:dyDescent="0.25">
      <c r="A424" t="s">
        <v>2397</v>
      </c>
      <c r="B424" s="102">
        <f>SUMIF(Платежи!B:B,VLOOKUP(A424,Платежи!B:B,1,0),Платежи!C:C)</f>
        <v>0</v>
      </c>
    </row>
    <row r="425" spans="1:2" x14ac:dyDescent="0.25">
      <c r="A425" t="s">
        <v>2398</v>
      </c>
      <c r="B425" s="102">
        <f>SUMIF(Платежи!B:B,VLOOKUP(A425,Платежи!B:B,1,0),Платежи!C:C)</f>
        <v>0</v>
      </c>
    </row>
    <row r="426" spans="1:2" x14ac:dyDescent="0.25">
      <c r="A426" t="s">
        <v>2399</v>
      </c>
      <c r="B426" s="102">
        <f>SUMIF(Платежи!B:B,VLOOKUP(A426,Платежи!B:B,1,0),Платежи!C:C)</f>
        <v>0</v>
      </c>
    </row>
    <row r="427" spans="1:2" x14ac:dyDescent="0.25">
      <c r="A427" t="s">
        <v>2400</v>
      </c>
      <c r="B427" s="102">
        <f>SUMIF(Платежи!B:B,VLOOKUP(A427,Платежи!B:B,1,0),Платежи!C:C)</f>
        <v>0</v>
      </c>
    </row>
    <row r="428" spans="1:2" x14ac:dyDescent="0.25">
      <c r="A428" t="s">
        <v>639</v>
      </c>
      <c r="B428" s="102">
        <f>SUMIF(Платежи!B:B,VLOOKUP(A428,Платежи!B:B,1,0),Платежи!C:C)</f>
        <v>0</v>
      </c>
    </row>
    <row r="429" spans="1:2" x14ac:dyDescent="0.25">
      <c r="A429" t="s">
        <v>2401</v>
      </c>
      <c r="B429" s="102">
        <f>SUMIF(Платежи!B:B,VLOOKUP(A429,Платежи!B:B,1,0),Платежи!C:C)</f>
        <v>0</v>
      </c>
    </row>
    <row r="430" spans="1:2" x14ac:dyDescent="0.25">
      <c r="A430" t="s">
        <v>2402</v>
      </c>
      <c r="B430" s="102">
        <f>SUMIF(Платежи!B:B,VLOOKUP(A430,Платежи!B:B,1,0),Платежи!C:C)</f>
        <v>0</v>
      </c>
    </row>
    <row r="431" spans="1:2" x14ac:dyDescent="0.25">
      <c r="A431" t="s">
        <v>2403</v>
      </c>
      <c r="B431" s="102">
        <f>SUMIF(Платежи!B:B,VLOOKUP(A431,Платежи!B:B,1,0),Платежи!C:C)</f>
        <v>0</v>
      </c>
    </row>
    <row r="432" spans="1:2" x14ac:dyDescent="0.25">
      <c r="A432" t="s">
        <v>2404</v>
      </c>
      <c r="B432" s="102">
        <f>SUMIF(Платежи!B:B,VLOOKUP(A432,Платежи!B:B,1,0),Платежи!C:C)</f>
        <v>0</v>
      </c>
    </row>
    <row r="433" spans="1:2" x14ac:dyDescent="0.25">
      <c r="A433" t="s">
        <v>2405</v>
      </c>
      <c r="B433" s="102">
        <f>SUMIF(Платежи!B:B,VLOOKUP(A433,Платежи!B:B,1,0),Платежи!C:C)</f>
        <v>0</v>
      </c>
    </row>
    <row r="434" spans="1:2" x14ac:dyDescent="0.25">
      <c r="A434" t="s">
        <v>2406</v>
      </c>
      <c r="B434" s="102">
        <f>SUMIF(Платежи!B:B,VLOOKUP(A434,Платежи!B:B,1,0),Платежи!C:C)</f>
        <v>0</v>
      </c>
    </row>
    <row r="435" spans="1:2" x14ac:dyDescent="0.25">
      <c r="A435" t="s">
        <v>2407</v>
      </c>
      <c r="B435" s="102">
        <f>SUMIF(Платежи!B:B,VLOOKUP(A435,Платежи!B:B,1,0),Платежи!C:C)</f>
        <v>0</v>
      </c>
    </row>
    <row r="436" spans="1:2" x14ac:dyDescent="0.25">
      <c r="A436" t="s">
        <v>2408</v>
      </c>
      <c r="B436" s="102">
        <f>SUMIF(Платежи!B:B,VLOOKUP(A436,Платежи!B:B,1,0),Платежи!C:C)</f>
        <v>0</v>
      </c>
    </row>
    <row r="437" spans="1:2" x14ac:dyDescent="0.25">
      <c r="A437" t="s">
        <v>2409</v>
      </c>
      <c r="B437" s="102">
        <f>SUMIF(Платежи!B:B,VLOOKUP(A437,Платежи!B:B,1,0),Платежи!C:C)</f>
        <v>0</v>
      </c>
    </row>
    <row r="438" spans="1:2" x14ac:dyDescent="0.25">
      <c r="A438" t="s">
        <v>2410</v>
      </c>
      <c r="B438" s="102">
        <f>SUMIF(Платежи!B:B,VLOOKUP(A438,Платежи!B:B,1,0),Платежи!C:C)</f>
        <v>0</v>
      </c>
    </row>
    <row r="439" spans="1:2" x14ac:dyDescent="0.25">
      <c r="A439" t="s">
        <v>2411</v>
      </c>
      <c r="B439" s="102">
        <f>SUMIF(Платежи!B:B,VLOOKUP(A439,Платежи!B:B,1,0),Платежи!C:C)</f>
        <v>0</v>
      </c>
    </row>
    <row r="440" spans="1:2" x14ac:dyDescent="0.25">
      <c r="A440" t="s">
        <v>2412</v>
      </c>
      <c r="B440" s="102">
        <f>SUMIF(Платежи!B:B,VLOOKUP(A440,Платежи!B:B,1,0),Платежи!C:C)</f>
        <v>0</v>
      </c>
    </row>
    <row r="441" spans="1:2" x14ac:dyDescent="0.25">
      <c r="A441" t="s">
        <v>2413</v>
      </c>
      <c r="B441" s="102">
        <f>SUMIF(Платежи!B:B,VLOOKUP(A441,Платежи!B:B,1,0),Платежи!C:C)</f>
        <v>0</v>
      </c>
    </row>
    <row r="442" spans="1:2" x14ac:dyDescent="0.25">
      <c r="A442" t="s">
        <v>2414</v>
      </c>
      <c r="B442" s="102">
        <f>SUMIF(Платежи!B:B,VLOOKUP(A442,Платежи!B:B,1,0),Платежи!C:C)</f>
        <v>0</v>
      </c>
    </row>
    <row r="443" spans="1:2" x14ac:dyDescent="0.25">
      <c r="A443" t="s">
        <v>2415</v>
      </c>
      <c r="B443" s="102">
        <f>SUMIF(Платежи!B:B,VLOOKUP(A443,Платежи!B:B,1,0),Платежи!C:C)</f>
        <v>0</v>
      </c>
    </row>
    <row r="444" spans="1:2" x14ac:dyDescent="0.25">
      <c r="A444" t="s">
        <v>2416</v>
      </c>
      <c r="B444" s="102">
        <f>SUMIF(Платежи!B:B,VLOOKUP(A444,Платежи!B:B,1,0),Платежи!C:C)</f>
        <v>0</v>
      </c>
    </row>
    <row r="445" spans="1:2" x14ac:dyDescent="0.25">
      <c r="A445" t="s">
        <v>2417</v>
      </c>
      <c r="B445" s="102">
        <f>SUMIF(Платежи!B:B,VLOOKUP(A445,Платежи!B:B,1,0),Платежи!C:C)</f>
        <v>0</v>
      </c>
    </row>
    <row r="446" spans="1:2" x14ac:dyDescent="0.25">
      <c r="A446" t="s">
        <v>2418</v>
      </c>
      <c r="B446" s="102">
        <f>SUMIF(Платежи!B:B,VLOOKUP(A446,Платежи!B:B,1,0),Платежи!C:C)</f>
        <v>0</v>
      </c>
    </row>
    <row r="447" spans="1:2" x14ac:dyDescent="0.25">
      <c r="A447" t="s">
        <v>2419</v>
      </c>
      <c r="B447" s="102">
        <f>SUMIF(Платежи!B:B,VLOOKUP(A447,Платежи!B:B,1,0),Платежи!C:C)</f>
        <v>0</v>
      </c>
    </row>
    <row r="448" spans="1:2" x14ac:dyDescent="0.25">
      <c r="A448" t="s">
        <v>2420</v>
      </c>
      <c r="B448" s="102">
        <f>SUMIF(Платежи!B:B,VLOOKUP(A448,Платежи!B:B,1,0),Платежи!C:C)</f>
        <v>0</v>
      </c>
    </row>
    <row r="449" spans="1:2" x14ac:dyDescent="0.25">
      <c r="A449" t="s">
        <v>2421</v>
      </c>
      <c r="B449" s="102">
        <f>SUMIF(Платежи!B:B,VLOOKUP(A449,Платежи!B:B,1,0),Платежи!C:C)</f>
        <v>0</v>
      </c>
    </row>
    <row r="450" spans="1:2" x14ac:dyDescent="0.25">
      <c r="A450" t="s">
        <v>2422</v>
      </c>
      <c r="B450" s="102">
        <f>SUMIF(Платежи!B:B,VLOOKUP(A450,Платежи!B:B,1,0),Платежи!C:C)</f>
        <v>0</v>
      </c>
    </row>
    <row r="451" spans="1:2" x14ac:dyDescent="0.25">
      <c r="A451" t="s">
        <v>2423</v>
      </c>
      <c r="B451" s="102">
        <f>SUMIF(Платежи!B:B,VLOOKUP(A451,Платежи!B:B,1,0),Платежи!C:C)</f>
        <v>0</v>
      </c>
    </row>
    <row r="452" spans="1:2" x14ac:dyDescent="0.25">
      <c r="A452" t="s">
        <v>2424</v>
      </c>
      <c r="B452" s="102">
        <f>SUMIF(Платежи!B:B,VLOOKUP(A452,Платежи!B:B,1,0),Платежи!C:C)</f>
        <v>0</v>
      </c>
    </row>
    <row r="453" spans="1:2" x14ac:dyDescent="0.25">
      <c r="A453" t="s">
        <v>2425</v>
      </c>
      <c r="B453" s="102">
        <f>SUMIF(Платежи!B:B,VLOOKUP(A453,Платежи!B:B,1,0),Платежи!C:C)</f>
        <v>0</v>
      </c>
    </row>
    <row r="454" spans="1:2" x14ac:dyDescent="0.25">
      <c r="A454" t="s">
        <v>2426</v>
      </c>
      <c r="B454" s="102">
        <f>SUMIF(Платежи!B:B,VLOOKUP(A454,Платежи!B:B,1,0),Платежи!C:C)</f>
        <v>0</v>
      </c>
    </row>
    <row r="455" spans="1:2" x14ac:dyDescent="0.25">
      <c r="A455" t="s">
        <v>2427</v>
      </c>
      <c r="B455" s="102">
        <f>SUMIF(Платежи!B:B,VLOOKUP(A455,Платежи!B:B,1,0),Платежи!C:C)</f>
        <v>0</v>
      </c>
    </row>
    <row r="456" spans="1:2" x14ac:dyDescent="0.25">
      <c r="A456" t="s">
        <v>2428</v>
      </c>
      <c r="B456" s="102">
        <f>SUMIF(Платежи!B:B,VLOOKUP(A456,Платежи!B:B,1,0),Платежи!C:C)</f>
        <v>0</v>
      </c>
    </row>
    <row r="457" spans="1:2" x14ac:dyDescent="0.25">
      <c r="A457" t="s">
        <v>2429</v>
      </c>
      <c r="B457" s="102">
        <f>SUMIF(Платежи!B:B,VLOOKUP(A457,Платежи!B:B,1,0),Платежи!C:C)</f>
        <v>0</v>
      </c>
    </row>
    <row r="458" spans="1:2" x14ac:dyDescent="0.25">
      <c r="A458" t="s">
        <v>2430</v>
      </c>
      <c r="B458" s="102">
        <f>SUMIF(Платежи!B:B,VLOOKUP(A458,Платежи!B:B,1,0),Платежи!C:C)</f>
        <v>0</v>
      </c>
    </row>
    <row r="459" spans="1:2" x14ac:dyDescent="0.25">
      <c r="A459" t="s">
        <v>2431</v>
      </c>
      <c r="B459" s="102">
        <f>SUMIF(Платежи!B:B,VLOOKUP(A459,Платежи!B:B,1,0),Платежи!C:C)</f>
        <v>0</v>
      </c>
    </row>
    <row r="460" spans="1:2" x14ac:dyDescent="0.25">
      <c r="A460" t="s">
        <v>2432</v>
      </c>
      <c r="B460" s="102">
        <f>SUMIF(Платежи!B:B,VLOOKUP(A460,Платежи!B:B,1,0),Платежи!C:C)</f>
        <v>0</v>
      </c>
    </row>
    <row r="461" spans="1:2" x14ac:dyDescent="0.25">
      <c r="A461" t="s">
        <v>2433</v>
      </c>
      <c r="B461" s="102">
        <f>SUMIF(Платежи!B:B,VLOOKUP(A461,Платежи!B:B,1,0),Платежи!C:C)</f>
        <v>0</v>
      </c>
    </row>
    <row r="462" spans="1:2" x14ac:dyDescent="0.25">
      <c r="A462" t="s">
        <v>2434</v>
      </c>
      <c r="B462" s="102">
        <f>SUMIF(Платежи!B:B,VLOOKUP(A462,Платежи!B:B,1,0),Платежи!C:C)</f>
        <v>0</v>
      </c>
    </row>
    <row r="463" spans="1:2" x14ac:dyDescent="0.25">
      <c r="A463" t="s">
        <v>2435</v>
      </c>
      <c r="B463" s="102">
        <f>SUMIF(Платежи!B:B,VLOOKUP(A463,Платежи!B:B,1,0),Платежи!C:C)</f>
        <v>0</v>
      </c>
    </row>
    <row r="464" spans="1:2" x14ac:dyDescent="0.25">
      <c r="A464" t="s">
        <v>2436</v>
      </c>
      <c r="B464" s="102">
        <f>SUMIF(Платежи!B:B,VLOOKUP(A464,Платежи!B:B,1,0),Платежи!C:C)</f>
        <v>0</v>
      </c>
    </row>
    <row r="465" spans="1:2" x14ac:dyDescent="0.25">
      <c r="A465" t="s">
        <v>2437</v>
      </c>
      <c r="B465" s="102">
        <f>SUMIF(Платежи!B:B,VLOOKUP(A465,Платежи!B:B,1,0),Платежи!C:C)</f>
        <v>0</v>
      </c>
    </row>
    <row r="466" spans="1:2" x14ac:dyDescent="0.25">
      <c r="A466" t="s">
        <v>2438</v>
      </c>
      <c r="B466" s="102">
        <f>SUMIF(Платежи!B:B,VLOOKUP(A466,Платежи!B:B,1,0),Платежи!C:C)</f>
        <v>0</v>
      </c>
    </row>
    <row r="467" spans="1:2" x14ac:dyDescent="0.25">
      <c r="A467" t="s">
        <v>2439</v>
      </c>
      <c r="B467" s="102">
        <f>SUMIF(Платежи!B:B,VLOOKUP(A467,Платежи!B:B,1,0),Платежи!C:C)</f>
        <v>0</v>
      </c>
    </row>
    <row r="468" spans="1:2" x14ac:dyDescent="0.25">
      <c r="A468" t="s">
        <v>2440</v>
      </c>
      <c r="B468" s="102">
        <f>SUMIF(Платежи!B:B,VLOOKUP(A468,Платежи!B:B,1,0),Платежи!C:C)</f>
        <v>0</v>
      </c>
    </row>
    <row r="469" spans="1:2" x14ac:dyDescent="0.25">
      <c r="A469" t="s">
        <v>2441</v>
      </c>
      <c r="B469" s="102">
        <f>SUMIF(Платежи!B:B,VLOOKUP(A469,Платежи!B:B,1,0),Платежи!C:C)</f>
        <v>0</v>
      </c>
    </row>
    <row r="470" spans="1:2" x14ac:dyDescent="0.25">
      <c r="A470" t="s">
        <v>2442</v>
      </c>
      <c r="B470" s="102">
        <f>SUMIF(Платежи!B:B,VLOOKUP(A470,Платежи!B:B,1,0),Платежи!C:C)</f>
        <v>0</v>
      </c>
    </row>
    <row r="471" spans="1:2" x14ac:dyDescent="0.25">
      <c r="A471" t="s">
        <v>2443</v>
      </c>
      <c r="B471" s="102">
        <f>SUMIF(Платежи!B:B,VLOOKUP(A471,Платежи!B:B,1,0),Платежи!C:C)</f>
        <v>0</v>
      </c>
    </row>
    <row r="472" spans="1:2" x14ac:dyDescent="0.25">
      <c r="A472" t="s">
        <v>2444</v>
      </c>
      <c r="B472" s="102">
        <f>SUMIF(Платежи!B:B,VLOOKUP(A472,Платежи!B:B,1,0),Платежи!C:C)</f>
        <v>0</v>
      </c>
    </row>
    <row r="473" spans="1:2" x14ac:dyDescent="0.25">
      <c r="A473" t="s">
        <v>2445</v>
      </c>
      <c r="B473" s="102">
        <f>SUMIF(Платежи!B:B,VLOOKUP(A473,Платежи!B:B,1,0),Платежи!C:C)</f>
        <v>0</v>
      </c>
    </row>
    <row r="474" spans="1:2" x14ac:dyDescent="0.25">
      <c r="A474" t="s">
        <v>2446</v>
      </c>
      <c r="B474" s="102">
        <f>SUMIF(Платежи!B:B,VLOOKUP(A474,Платежи!B:B,1,0),Платежи!C:C)</f>
        <v>0</v>
      </c>
    </row>
    <row r="475" spans="1:2" x14ac:dyDescent="0.25">
      <c r="A475" t="s">
        <v>2447</v>
      </c>
      <c r="B475" s="102">
        <f>SUMIF(Платежи!B:B,VLOOKUP(A475,Платежи!B:B,1,0),Платежи!C:C)</f>
        <v>0</v>
      </c>
    </row>
    <row r="476" spans="1:2" x14ac:dyDescent="0.25">
      <c r="A476" t="s">
        <v>2448</v>
      </c>
      <c r="B476" s="102">
        <f>SUMIF(Платежи!B:B,VLOOKUP(A476,Платежи!B:B,1,0),Платежи!C:C)</f>
        <v>0</v>
      </c>
    </row>
    <row r="477" spans="1:2" x14ac:dyDescent="0.25">
      <c r="A477" t="s">
        <v>2449</v>
      </c>
      <c r="B477" s="102">
        <f>SUMIF(Платежи!B:B,VLOOKUP(A477,Платежи!B:B,1,0),Платежи!C:C)</f>
        <v>0</v>
      </c>
    </row>
    <row r="478" spans="1:2" x14ac:dyDescent="0.25">
      <c r="A478" t="s">
        <v>3198</v>
      </c>
      <c r="B478" s="102">
        <f>SUMIF(Платежи!B:B,VLOOKUP(A478,Платежи!B:B,1,0),Платежи!C:C)</f>
        <v>0</v>
      </c>
    </row>
    <row r="479" spans="1:2" x14ac:dyDescent="0.25">
      <c r="A479" t="s">
        <v>3199</v>
      </c>
      <c r="B479" s="102">
        <f>SUMIF(Платежи!B:B,VLOOKUP(A479,Платежи!B:B,1,0),Платежи!C:C)</f>
        <v>0</v>
      </c>
    </row>
    <row r="480" spans="1:2" x14ac:dyDescent="0.25">
      <c r="A480" t="s">
        <v>3200</v>
      </c>
      <c r="B480" s="102">
        <f>SUMIF(Платежи!B:B,VLOOKUP(A480,Платежи!B:B,1,0),Платежи!C:C)</f>
        <v>0</v>
      </c>
    </row>
    <row r="481" spans="1:2" x14ac:dyDescent="0.25">
      <c r="A481" t="s">
        <v>3201</v>
      </c>
      <c r="B481" s="102">
        <f>SUMIF(Платежи!B:B,VLOOKUP(A481,Платежи!B:B,1,0),Платежи!C:C)</f>
        <v>0</v>
      </c>
    </row>
    <row r="482" spans="1:2" x14ac:dyDescent="0.25">
      <c r="A482" t="s">
        <v>2450</v>
      </c>
      <c r="B482" s="102">
        <f>SUMIF(Платежи!B:B,VLOOKUP(A482,Платежи!B:B,1,0),Платежи!C:C)</f>
        <v>0</v>
      </c>
    </row>
    <row r="483" spans="1:2" x14ac:dyDescent="0.25">
      <c r="A483" t="s">
        <v>2451</v>
      </c>
      <c r="B483" s="102">
        <f>SUMIF(Платежи!B:B,VLOOKUP(A483,Платежи!B:B,1,0),Платежи!C:C)</f>
        <v>0</v>
      </c>
    </row>
    <row r="484" spans="1:2" x14ac:dyDescent="0.25">
      <c r="A484" t="s">
        <v>2452</v>
      </c>
      <c r="B484" s="102">
        <f>SUMIF(Платежи!B:B,VLOOKUP(A484,Платежи!B:B,1,0),Платежи!C:C)</f>
        <v>0</v>
      </c>
    </row>
    <row r="485" spans="1:2" x14ac:dyDescent="0.25">
      <c r="A485" t="s">
        <v>648</v>
      </c>
      <c r="B485" s="102">
        <f>SUMIF(Платежи!B:B,VLOOKUP(A485,Платежи!B:B,1,0),Платежи!C:C)</f>
        <v>0</v>
      </c>
    </row>
    <row r="486" spans="1:2" x14ac:dyDescent="0.25">
      <c r="A486" t="s">
        <v>2453</v>
      </c>
      <c r="B486" s="102">
        <f>SUMIF(Платежи!B:B,VLOOKUP(A486,Платежи!B:B,1,0),Платежи!C:C)</f>
        <v>0</v>
      </c>
    </row>
    <row r="487" spans="1:2" x14ac:dyDescent="0.25">
      <c r="A487" t="s">
        <v>2454</v>
      </c>
      <c r="B487" s="102">
        <f>SUMIF(Платежи!B:B,VLOOKUP(A487,Платежи!B:B,1,0),Платежи!C:C)</f>
        <v>0</v>
      </c>
    </row>
    <row r="488" spans="1:2" x14ac:dyDescent="0.25">
      <c r="A488" t="s">
        <v>3202</v>
      </c>
      <c r="B488" s="102">
        <f>SUMIF(Платежи!B:B,VLOOKUP(A488,Платежи!B:B,1,0),Платежи!C:C)</f>
        <v>0</v>
      </c>
    </row>
    <row r="489" spans="1:2" x14ac:dyDescent="0.25">
      <c r="A489" t="s">
        <v>3203</v>
      </c>
      <c r="B489" s="102">
        <f>SUMIF(Платежи!B:B,VLOOKUP(A489,Платежи!B:B,1,0),Платежи!C:C)</f>
        <v>0</v>
      </c>
    </row>
    <row r="490" spans="1:2" x14ac:dyDescent="0.25">
      <c r="A490" t="s">
        <v>2455</v>
      </c>
      <c r="B490" s="102">
        <f>SUMIF(Платежи!B:B,VLOOKUP(A490,Платежи!B:B,1,0),Платежи!C:C)</f>
        <v>0</v>
      </c>
    </row>
    <row r="491" spans="1:2" x14ac:dyDescent="0.25">
      <c r="A491" t="s">
        <v>3204</v>
      </c>
      <c r="B491" s="102">
        <f>SUMIF(Платежи!B:B,VLOOKUP(A491,Платежи!B:B,1,0),Платежи!C:C)</f>
        <v>0</v>
      </c>
    </row>
    <row r="492" spans="1:2" x14ac:dyDescent="0.25">
      <c r="A492" t="s">
        <v>2456</v>
      </c>
      <c r="B492" s="102">
        <f>SUMIF(Платежи!B:B,VLOOKUP(A492,Платежи!B:B,1,0),Платежи!C:C)</f>
        <v>0</v>
      </c>
    </row>
    <row r="493" spans="1:2" x14ac:dyDescent="0.25">
      <c r="A493" t="s">
        <v>2457</v>
      </c>
      <c r="B493" s="102">
        <f>SUMIF(Платежи!B:B,VLOOKUP(A493,Платежи!B:B,1,0),Платежи!C:C)</f>
        <v>0</v>
      </c>
    </row>
    <row r="494" spans="1:2" x14ac:dyDescent="0.25">
      <c r="A494" t="s">
        <v>2458</v>
      </c>
      <c r="B494" s="102">
        <f>SUMIF(Платежи!B:B,VLOOKUP(A494,Платежи!B:B,1,0),Платежи!C:C)</f>
        <v>0</v>
      </c>
    </row>
    <row r="495" spans="1:2" x14ac:dyDescent="0.25">
      <c r="A495" t="s">
        <v>2459</v>
      </c>
      <c r="B495" s="102">
        <f>SUMIF(Платежи!B:B,VLOOKUP(A495,Платежи!B:B,1,0),Платежи!C:C)</f>
        <v>0</v>
      </c>
    </row>
    <row r="496" spans="1:2" x14ac:dyDescent="0.25">
      <c r="A496" t="s">
        <v>2460</v>
      </c>
      <c r="B496" s="102">
        <f>SUMIF(Платежи!B:B,VLOOKUP(A496,Платежи!B:B,1,0),Платежи!C:C)</f>
        <v>0</v>
      </c>
    </row>
    <row r="497" spans="1:2" x14ac:dyDescent="0.25">
      <c r="A497" t="s">
        <v>2461</v>
      </c>
      <c r="B497" s="102">
        <f>SUMIF(Платежи!B:B,VLOOKUP(A497,Платежи!B:B,1,0),Платежи!C:C)</f>
        <v>0</v>
      </c>
    </row>
    <row r="498" spans="1:2" x14ac:dyDescent="0.25">
      <c r="A498" t="s">
        <v>641</v>
      </c>
      <c r="B498" s="102">
        <f>SUMIF(Платежи!B:B,VLOOKUP(A498,Платежи!B:B,1,0),Платежи!C:C)</f>
        <v>0</v>
      </c>
    </row>
    <row r="499" spans="1:2" x14ac:dyDescent="0.25">
      <c r="A499" t="s">
        <v>2462</v>
      </c>
      <c r="B499" s="102">
        <f>SUMIF(Платежи!B:B,VLOOKUP(A499,Платежи!B:B,1,0),Платежи!C:C)</f>
        <v>0</v>
      </c>
    </row>
    <row r="500" spans="1:2" x14ac:dyDescent="0.25">
      <c r="A500" t="s">
        <v>3205</v>
      </c>
      <c r="B500" s="102">
        <f>SUMIF(Платежи!B:B,VLOOKUP(A500,Платежи!B:B,1,0),Платежи!C:C)</f>
        <v>0</v>
      </c>
    </row>
    <row r="501" spans="1:2" x14ac:dyDescent="0.25">
      <c r="A501" t="s">
        <v>2463</v>
      </c>
      <c r="B501" s="102">
        <f>SUMIF(Платежи!B:B,VLOOKUP(A501,Платежи!B:B,1,0),Платежи!C:C)</f>
        <v>0</v>
      </c>
    </row>
    <row r="502" spans="1:2" x14ac:dyDescent="0.25">
      <c r="A502" t="s">
        <v>2464</v>
      </c>
      <c r="B502" s="102">
        <f>SUMIF(Платежи!B:B,VLOOKUP(A502,Платежи!B:B,1,0),Платежи!C:C)</f>
        <v>0</v>
      </c>
    </row>
    <row r="503" spans="1:2" x14ac:dyDescent="0.25">
      <c r="A503" t="s">
        <v>2465</v>
      </c>
      <c r="B503" s="102">
        <f>SUMIF(Платежи!B:B,VLOOKUP(A503,Платежи!B:B,1,0),Платежи!C:C)</f>
        <v>0</v>
      </c>
    </row>
    <row r="504" spans="1:2" x14ac:dyDescent="0.25">
      <c r="A504" t="s">
        <v>2466</v>
      </c>
      <c r="B504" s="102">
        <f>SUMIF(Платежи!B:B,VLOOKUP(A504,Платежи!B:B,1,0),Платежи!C:C)</f>
        <v>0</v>
      </c>
    </row>
    <row r="505" spans="1:2" x14ac:dyDescent="0.25">
      <c r="A505" t="s">
        <v>3206</v>
      </c>
      <c r="B505" s="102">
        <f>SUMIF(Платежи!B:B,VLOOKUP(A505,Платежи!B:B,1,0),Платежи!C:C)</f>
        <v>0</v>
      </c>
    </row>
    <row r="506" spans="1:2" x14ac:dyDescent="0.25">
      <c r="A506" t="s">
        <v>3207</v>
      </c>
      <c r="B506" s="102">
        <f>SUMIF(Платежи!B:B,VLOOKUP(A506,Платежи!B:B,1,0),Платежи!C:C)</f>
        <v>0</v>
      </c>
    </row>
    <row r="507" spans="1:2" x14ac:dyDescent="0.25">
      <c r="A507" t="s">
        <v>2467</v>
      </c>
      <c r="B507" s="102">
        <f>SUMIF(Платежи!B:B,VLOOKUP(A507,Платежи!B:B,1,0),Платежи!C:C)</f>
        <v>0</v>
      </c>
    </row>
    <row r="508" spans="1:2" x14ac:dyDescent="0.25">
      <c r="A508" t="s">
        <v>2468</v>
      </c>
      <c r="B508" s="102">
        <f>SUMIF(Платежи!B:B,VLOOKUP(A508,Платежи!B:B,1,0),Платежи!C:C)</f>
        <v>0</v>
      </c>
    </row>
    <row r="509" spans="1:2" x14ac:dyDescent="0.25">
      <c r="A509" t="s">
        <v>2469</v>
      </c>
      <c r="B509" s="102">
        <f>SUMIF(Платежи!B:B,VLOOKUP(A509,Платежи!B:B,1,0),Платежи!C:C)</f>
        <v>0</v>
      </c>
    </row>
    <row r="510" spans="1:2" x14ac:dyDescent="0.25">
      <c r="A510" t="s">
        <v>3208</v>
      </c>
      <c r="B510" s="102">
        <f>SUMIF(Платежи!B:B,VLOOKUP(A510,Платежи!B:B,1,0),Платежи!C:C)</f>
        <v>0</v>
      </c>
    </row>
    <row r="511" spans="1:2" x14ac:dyDescent="0.25">
      <c r="A511" t="s">
        <v>3209</v>
      </c>
      <c r="B511" s="102">
        <f>SUMIF(Платежи!B:B,VLOOKUP(A511,Платежи!B:B,1,0),Платежи!C:C)</f>
        <v>0</v>
      </c>
    </row>
    <row r="512" spans="1:2" x14ac:dyDescent="0.25">
      <c r="A512" t="s">
        <v>3210</v>
      </c>
      <c r="B512" s="102">
        <f>SUMIF(Платежи!B:B,VLOOKUP(A512,Платежи!B:B,1,0),Платежи!C:C)</f>
        <v>0</v>
      </c>
    </row>
    <row r="513" spans="1:2" x14ac:dyDescent="0.25">
      <c r="A513" t="s">
        <v>2470</v>
      </c>
      <c r="B513" s="102">
        <f>SUMIF(Платежи!B:B,VLOOKUP(A513,Платежи!B:B,1,0),Платежи!C:C)</f>
        <v>0</v>
      </c>
    </row>
    <row r="514" spans="1:2" x14ac:dyDescent="0.25">
      <c r="A514" t="s">
        <v>2471</v>
      </c>
      <c r="B514" s="102">
        <f>SUMIF(Платежи!B:B,VLOOKUP(A514,Платежи!B:B,1,0),Платежи!C:C)</f>
        <v>0</v>
      </c>
    </row>
    <row r="515" spans="1:2" x14ac:dyDescent="0.25">
      <c r="A515" t="s">
        <v>3211</v>
      </c>
      <c r="B515" s="102">
        <f>SUMIF(Платежи!B:B,VLOOKUP(A515,Платежи!B:B,1,0),Платежи!C:C)</f>
        <v>0</v>
      </c>
    </row>
    <row r="516" spans="1:2" x14ac:dyDescent="0.25">
      <c r="A516" t="s">
        <v>3212</v>
      </c>
      <c r="B516" s="102">
        <f>SUMIF(Платежи!B:B,VLOOKUP(A516,Платежи!B:B,1,0),Платежи!C:C)</f>
        <v>0</v>
      </c>
    </row>
    <row r="517" spans="1:2" x14ac:dyDescent="0.25">
      <c r="A517" t="s">
        <v>2472</v>
      </c>
      <c r="B517" s="102">
        <f>SUMIF(Платежи!B:B,VLOOKUP(A517,Платежи!B:B,1,0),Платежи!C:C)</f>
        <v>0</v>
      </c>
    </row>
    <row r="518" spans="1:2" x14ac:dyDescent="0.25">
      <c r="A518" t="s">
        <v>3213</v>
      </c>
      <c r="B518" s="102">
        <f>SUMIF(Платежи!B:B,VLOOKUP(A518,Платежи!B:B,1,0),Платежи!C:C)</f>
        <v>0</v>
      </c>
    </row>
    <row r="519" spans="1:2" x14ac:dyDescent="0.25">
      <c r="A519" t="s">
        <v>2473</v>
      </c>
      <c r="B519" s="102">
        <f>SUMIF(Платежи!B:B,VLOOKUP(A519,Платежи!B:B,1,0),Платежи!C:C)</f>
        <v>0</v>
      </c>
    </row>
    <row r="520" spans="1:2" x14ac:dyDescent="0.25">
      <c r="A520" t="s">
        <v>2474</v>
      </c>
      <c r="B520" s="102">
        <f>SUMIF(Платежи!B:B,VLOOKUP(A520,Платежи!B:B,1,0),Платежи!C:C)</f>
        <v>0</v>
      </c>
    </row>
    <row r="521" spans="1:2" x14ac:dyDescent="0.25">
      <c r="A521" t="s">
        <v>2475</v>
      </c>
      <c r="B521" s="102">
        <f>SUMIF(Платежи!B:B,VLOOKUP(A521,Платежи!B:B,1,0),Платежи!C:C)</f>
        <v>0</v>
      </c>
    </row>
    <row r="522" spans="1:2" x14ac:dyDescent="0.25">
      <c r="A522" t="s">
        <v>654</v>
      </c>
      <c r="B522" s="102">
        <f>SUMIF(Платежи!B:B,VLOOKUP(A522,Платежи!B:B,1,0),Платежи!C:C)</f>
        <v>0</v>
      </c>
    </row>
    <row r="523" spans="1:2" x14ac:dyDescent="0.25">
      <c r="A523" t="s">
        <v>2476</v>
      </c>
      <c r="B523" s="102">
        <f>SUMIF(Платежи!B:B,VLOOKUP(A523,Платежи!B:B,1,0),Платежи!C:C)</f>
        <v>0</v>
      </c>
    </row>
    <row r="524" spans="1:2" x14ac:dyDescent="0.25">
      <c r="A524" t="s">
        <v>3214</v>
      </c>
      <c r="B524" s="102">
        <f>SUMIF(Платежи!B:B,VLOOKUP(A524,Платежи!B:B,1,0),Платежи!C:C)</f>
        <v>0</v>
      </c>
    </row>
    <row r="525" spans="1:2" x14ac:dyDescent="0.25">
      <c r="A525" t="s">
        <v>2477</v>
      </c>
      <c r="B525" s="102">
        <f>SUMIF(Платежи!B:B,VLOOKUP(A525,Платежи!B:B,1,0),Платежи!C:C)</f>
        <v>0</v>
      </c>
    </row>
    <row r="526" spans="1:2" x14ac:dyDescent="0.25">
      <c r="A526" t="s">
        <v>2478</v>
      </c>
      <c r="B526" s="102">
        <f>SUMIF(Платежи!B:B,VLOOKUP(A526,Платежи!B:B,1,0),Платежи!C:C)</f>
        <v>0</v>
      </c>
    </row>
    <row r="527" spans="1:2" x14ac:dyDescent="0.25">
      <c r="A527" t="s">
        <v>2479</v>
      </c>
      <c r="B527" s="102">
        <f>SUMIF(Платежи!B:B,VLOOKUP(A527,Платежи!B:B,1,0),Платежи!C:C)</f>
        <v>0</v>
      </c>
    </row>
    <row r="528" spans="1:2" x14ac:dyDescent="0.25">
      <c r="A528" t="s">
        <v>3215</v>
      </c>
      <c r="B528" s="102">
        <f>SUMIF(Платежи!B:B,VLOOKUP(A528,Платежи!B:B,1,0),Платежи!C:C)</f>
        <v>0</v>
      </c>
    </row>
    <row r="529" spans="1:2" x14ac:dyDescent="0.25">
      <c r="A529" t="s">
        <v>3216</v>
      </c>
      <c r="B529" s="102">
        <f>SUMIF(Платежи!B:B,VLOOKUP(A529,Платежи!B:B,1,0),Платежи!C:C)</f>
        <v>0</v>
      </c>
    </row>
    <row r="530" spans="1:2" x14ac:dyDescent="0.25">
      <c r="A530" t="s">
        <v>2480</v>
      </c>
      <c r="B530" s="102">
        <f>SUMIF(Платежи!B:B,VLOOKUP(A530,Платежи!B:B,1,0),Платежи!C:C)</f>
        <v>0</v>
      </c>
    </row>
    <row r="531" spans="1:2" x14ac:dyDescent="0.25">
      <c r="A531" t="s">
        <v>2481</v>
      </c>
      <c r="B531" s="102">
        <f>SUMIF(Платежи!B:B,VLOOKUP(A531,Платежи!B:B,1,0),Платежи!C:C)</f>
        <v>0</v>
      </c>
    </row>
    <row r="532" spans="1:2" x14ac:dyDescent="0.25">
      <c r="A532" t="s">
        <v>3217</v>
      </c>
      <c r="B532" s="102">
        <f>SUMIF(Платежи!B:B,VLOOKUP(A532,Платежи!B:B,1,0),Платежи!C:C)</f>
        <v>0</v>
      </c>
    </row>
    <row r="533" spans="1:2" x14ac:dyDescent="0.25">
      <c r="A533" t="s">
        <v>2482</v>
      </c>
      <c r="B533" s="102">
        <f>SUMIF(Платежи!B:B,VLOOKUP(A533,Платежи!B:B,1,0),Платежи!C:C)</f>
        <v>0</v>
      </c>
    </row>
    <row r="534" spans="1:2" x14ac:dyDescent="0.25">
      <c r="A534" t="s">
        <v>2483</v>
      </c>
      <c r="B534" s="102">
        <f>SUMIF(Платежи!B:B,VLOOKUP(A534,Платежи!B:B,1,0),Платежи!C:C)</f>
        <v>0</v>
      </c>
    </row>
    <row r="535" spans="1:2" x14ac:dyDescent="0.25">
      <c r="A535" t="s">
        <v>3218</v>
      </c>
      <c r="B535" s="102">
        <f>SUMIF(Платежи!B:B,VLOOKUP(A535,Платежи!B:B,1,0),Платежи!C:C)</f>
        <v>0</v>
      </c>
    </row>
    <row r="536" spans="1:2" x14ac:dyDescent="0.25">
      <c r="A536" t="s">
        <v>2484</v>
      </c>
      <c r="B536" s="102">
        <f>SUMIF(Платежи!B:B,VLOOKUP(A536,Платежи!B:B,1,0),Платежи!C:C)</f>
        <v>0</v>
      </c>
    </row>
    <row r="537" spans="1:2" x14ac:dyDescent="0.25">
      <c r="A537" t="s">
        <v>2485</v>
      </c>
      <c r="B537" s="102">
        <f>SUMIF(Платежи!B:B,VLOOKUP(A537,Платежи!B:B,1,0),Платежи!C:C)</f>
        <v>0</v>
      </c>
    </row>
    <row r="538" spans="1:2" x14ac:dyDescent="0.25">
      <c r="A538" t="s">
        <v>2486</v>
      </c>
      <c r="B538" s="102">
        <f>SUMIF(Платежи!B:B,VLOOKUP(A538,Платежи!B:B,1,0),Платежи!C:C)</f>
        <v>0</v>
      </c>
    </row>
    <row r="539" spans="1:2" x14ac:dyDescent="0.25">
      <c r="A539" t="s">
        <v>2487</v>
      </c>
      <c r="B539" s="102">
        <f>SUMIF(Платежи!B:B,VLOOKUP(A539,Платежи!B:B,1,0),Платежи!C:C)</f>
        <v>0</v>
      </c>
    </row>
    <row r="540" spans="1:2" x14ac:dyDescent="0.25">
      <c r="A540" t="s">
        <v>2488</v>
      </c>
      <c r="B540" s="102">
        <f>SUMIF(Платежи!B:B,VLOOKUP(A540,Платежи!B:B,1,0),Платежи!C:C)</f>
        <v>0</v>
      </c>
    </row>
    <row r="541" spans="1:2" x14ac:dyDescent="0.25">
      <c r="A541" t="s">
        <v>2489</v>
      </c>
      <c r="B541" s="102">
        <f>SUMIF(Платежи!B:B,VLOOKUP(A541,Платежи!B:B,1,0),Платежи!C:C)</f>
        <v>0</v>
      </c>
    </row>
    <row r="542" spans="1:2" x14ac:dyDescent="0.25">
      <c r="A542" t="s">
        <v>2490</v>
      </c>
      <c r="B542" s="102">
        <f>SUMIF(Платежи!B:B,VLOOKUP(A542,Платежи!B:B,1,0),Платежи!C:C)</f>
        <v>0</v>
      </c>
    </row>
    <row r="543" spans="1:2" x14ac:dyDescent="0.25">
      <c r="A543" t="s">
        <v>2491</v>
      </c>
      <c r="B543" s="102">
        <f>SUMIF(Платежи!B:B,VLOOKUP(A543,Платежи!B:B,1,0),Платежи!C:C)</f>
        <v>0</v>
      </c>
    </row>
    <row r="544" spans="1:2" x14ac:dyDescent="0.25">
      <c r="A544" t="s">
        <v>2492</v>
      </c>
      <c r="B544" s="102">
        <f>SUMIF(Платежи!B:B,VLOOKUP(A544,Платежи!B:B,1,0),Платежи!C:C)</f>
        <v>0</v>
      </c>
    </row>
    <row r="545" spans="1:2" x14ac:dyDescent="0.25">
      <c r="A545" t="s">
        <v>3219</v>
      </c>
      <c r="B545" s="102">
        <f>SUMIF(Платежи!B:B,VLOOKUP(A545,Платежи!B:B,1,0),Платежи!C:C)</f>
        <v>0</v>
      </c>
    </row>
    <row r="546" spans="1:2" x14ac:dyDescent="0.25">
      <c r="A546" t="s">
        <v>3220</v>
      </c>
      <c r="B546" s="102">
        <f>SUMIF(Платежи!B:B,VLOOKUP(A546,Платежи!B:B,1,0),Платежи!C:C)</f>
        <v>0</v>
      </c>
    </row>
    <row r="547" spans="1:2" x14ac:dyDescent="0.25">
      <c r="A547" t="s">
        <v>2493</v>
      </c>
      <c r="B547" s="102">
        <f>SUMIF(Платежи!B:B,VLOOKUP(A547,Платежи!B:B,1,0),Платежи!C:C)</f>
        <v>0</v>
      </c>
    </row>
    <row r="548" spans="1:2" x14ac:dyDescent="0.25">
      <c r="A548" t="s">
        <v>2494</v>
      </c>
      <c r="B548" s="102">
        <f>SUMIF(Платежи!B:B,VLOOKUP(A548,Платежи!B:B,1,0),Платежи!C:C)</f>
        <v>0</v>
      </c>
    </row>
    <row r="549" spans="1:2" x14ac:dyDescent="0.25">
      <c r="A549" t="s">
        <v>2495</v>
      </c>
      <c r="B549" s="102">
        <f>SUMIF(Платежи!B:B,VLOOKUP(A549,Платежи!B:B,1,0),Платежи!C:C)</f>
        <v>0</v>
      </c>
    </row>
    <row r="550" spans="1:2" x14ac:dyDescent="0.25">
      <c r="A550" t="s">
        <v>2496</v>
      </c>
      <c r="B550" s="102">
        <f>SUMIF(Платежи!B:B,VLOOKUP(A550,Платежи!B:B,1,0),Платежи!C:C)</f>
        <v>0</v>
      </c>
    </row>
    <row r="551" spans="1:2" x14ac:dyDescent="0.25">
      <c r="A551" t="s">
        <v>2497</v>
      </c>
      <c r="B551" s="102">
        <f>SUMIF(Платежи!B:B,VLOOKUP(A551,Платежи!B:B,1,0),Платежи!C:C)</f>
        <v>0</v>
      </c>
    </row>
    <row r="552" spans="1:2" x14ac:dyDescent="0.25">
      <c r="A552" t="s">
        <v>3221</v>
      </c>
      <c r="B552" s="102">
        <f>SUMIF(Платежи!B:B,VLOOKUP(A552,Платежи!B:B,1,0),Платежи!C:C)</f>
        <v>0</v>
      </c>
    </row>
    <row r="553" spans="1:2" x14ac:dyDescent="0.25">
      <c r="A553" t="s">
        <v>3222</v>
      </c>
      <c r="B553" s="102">
        <f>SUMIF(Платежи!B:B,VLOOKUP(A553,Платежи!B:B,1,0),Платежи!C:C)</f>
        <v>0</v>
      </c>
    </row>
    <row r="554" spans="1:2" x14ac:dyDescent="0.25">
      <c r="A554" t="s">
        <v>3223</v>
      </c>
      <c r="B554" s="102">
        <f>SUMIF(Платежи!B:B,VLOOKUP(A554,Платежи!B:B,1,0),Платежи!C:C)</f>
        <v>0</v>
      </c>
    </row>
    <row r="555" spans="1:2" x14ac:dyDescent="0.25">
      <c r="A555" t="s">
        <v>3224</v>
      </c>
      <c r="B555" s="102">
        <f>SUMIF(Платежи!B:B,VLOOKUP(A555,Платежи!B:B,1,0),Платежи!C:C)</f>
        <v>0</v>
      </c>
    </row>
    <row r="556" spans="1:2" x14ac:dyDescent="0.25">
      <c r="A556" t="s">
        <v>3225</v>
      </c>
      <c r="B556" s="102">
        <f>SUMIF(Платежи!B:B,VLOOKUP(A556,Платежи!B:B,1,0),Платежи!C:C)</f>
        <v>0</v>
      </c>
    </row>
    <row r="557" spans="1:2" x14ac:dyDescent="0.25">
      <c r="A557" t="s">
        <v>3226</v>
      </c>
      <c r="B557" s="102">
        <f>SUMIF(Платежи!B:B,VLOOKUP(A557,Платежи!B:B,1,0),Платежи!C:C)</f>
        <v>0</v>
      </c>
    </row>
    <row r="558" spans="1:2" x14ac:dyDescent="0.25">
      <c r="A558" t="s">
        <v>2498</v>
      </c>
      <c r="B558" s="102">
        <f>SUMIF(Платежи!B:B,VLOOKUP(A558,Платежи!B:B,1,0),Платежи!C:C)</f>
        <v>0</v>
      </c>
    </row>
    <row r="559" spans="1:2" x14ac:dyDescent="0.25">
      <c r="A559" t="s">
        <v>2499</v>
      </c>
      <c r="B559" s="102">
        <f>SUMIF(Платежи!B:B,VLOOKUP(A559,Платежи!B:B,1,0),Платежи!C:C)</f>
        <v>0</v>
      </c>
    </row>
    <row r="560" spans="1:2" x14ac:dyDescent="0.25">
      <c r="A560" t="s">
        <v>2500</v>
      </c>
      <c r="B560" s="102">
        <f>SUMIF(Платежи!B:B,VLOOKUP(A560,Платежи!B:B,1,0),Платежи!C:C)</f>
        <v>0</v>
      </c>
    </row>
    <row r="561" spans="1:2" x14ac:dyDescent="0.25">
      <c r="A561" t="s">
        <v>2501</v>
      </c>
      <c r="B561" s="102">
        <f>SUMIF(Платежи!B:B,VLOOKUP(A561,Платежи!B:B,1,0),Платежи!C:C)</f>
        <v>0</v>
      </c>
    </row>
    <row r="562" spans="1:2" x14ac:dyDescent="0.25">
      <c r="A562" t="s">
        <v>3227</v>
      </c>
      <c r="B562" s="102">
        <f>SUMIF(Платежи!B:B,VLOOKUP(A562,Платежи!B:B,1,0),Платежи!C:C)</f>
        <v>0</v>
      </c>
    </row>
    <row r="563" spans="1:2" x14ac:dyDescent="0.25">
      <c r="A563" t="s">
        <v>2502</v>
      </c>
      <c r="B563" s="102">
        <f>SUMIF(Платежи!B:B,VLOOKUP(A563,Платежи!B:B,1,0),Платежи!C:C)</f>
        <v>0</v>
      </c>
    </row>
    <row r="564" spans="1:2" x14ac:dyDescent="0.25">
      <c r="A564" t="s">
        <v>2503</v>
      </c>
      <c r="B564" s="102">
        <f>SUMIF(Платежи!B:B,VLOOKUP(A564,Платежи!B:B,1,0),Платежи!C:C)</f>
        <v>0</v>
      </c>
    </row>
    <row r="565" spans="1:2" x14ac:dyDescent="0.25">
      <c r="A565" t="s">
        <v>2504</v>
      </c>
      <c r="B565" s="102">
        <f>SUMIF(Платежи!B:B,VLOOKUP(A565,Платежи!B:B,1,0),Платежи!C:C)</f>
        <v>0</v>
      </c>
    </row>
    <row r="566" spans="1:2" x14ac:dyDescent="0.25">
      <c r="A566" t="s">
        <v>2505</v>
      </c>
      <c r="B566" s="102">
        <f>SUMIF(Платежи!B:B,VLOOKUP(A566,Платежи!B:B,1,0),Платежи!C:C)</f>
        <v>0</v>
      </c>
    </row>
    <row r="567" spans="1:2" x14ac:dyDescent="0.25">
      <c r="A567" t="s">
        <v>3228</v>
      </c>
      <c r="B567" s="102">
        <f>SUMIF(Платежи!B:B,VLOOKUP(A567,Платежи!B:B,1,0),Платежи!C:C)</f>
        <v>0</v>
      </c>
    </row>
    <row r="568" spans="1:2" x14ac:dyDescent="0.25">
      <c r="A568" t="s">
        <v>3229</v>
      </c>
      <c r="B568" s="102">
        <f>SUMIF(Платежи!B:B,VLOOKUP(A568,Платежи!B:B,1,0),Платежи!C:C)</f>
        <v>0</v>
      </c>
    </row>
    <row r="569" spans="1:2" x14ac:dyDescent="0.25">
      <c r="A569" t="s">
        <v>2506</v>
      </c>
      <c r="B569" s="102">
        <f>SUMIF(Платежи!B:B,VLOOKUP(A569,Платежи!B:B,1,0),Платежи!C:C)</f>
        <v>0</v>
      </c>
    </row>
    <row r="570" spans="1:2" x14ac:dyDescent="0.25">
      <c r="A570" t="s">
        <v>2507</v>
      </c>
      <c r="B570" s="102">
        <f>SUMIF(Платежи!B:B,VLOOKUP(A570,Платежи!B:B,1,0),Платежи!C:C)</f>
        <v>0</v>
      </c>
    </row>
    <row r="571" spans="1:2" x14ac:dyDescent="0.25">
      <c r="A571" t="s">
        <v>2508</v>
      </c>
      <c r="B571" s="102">
        <f>SUMIF(Платежи!B:B,VLOOKUP(A571,Платежи!B:B,1,0),Платежи!C:C)</f>
        <v>0</v>
      </c>
    </row>
    <row r="572" spans="1:2" x14ac:dyDescent="0.25">
      <c r="A572" t="s">
        <v>2509</v>
      </c>
      <c r="B572" s="102">
        <f>SUMIF(Платежи!B:B,VLOOKUP(A572,Платежи!B:B,1,0),Платежи!C:C)</f>
        <v>0</v>
      </c>
    </row>
    <row r="573" spans="1:2" x14ac:dyDescent="0.25">
      <c r="A573" t="s">
        <v>2510</v>
      </c>
      <c r="B573" s="102">
        <f>SUMIF(Платежи!B:B,VLOOKUP(A573,Платежи!B:B,1,0),Платежи!C:C)</f>
        <v>0</v>
      </c>
    </row>
    <row r="574" spans="1:2" x14ac:dyDescent="0.25">
      <c r="A574" t="s">
        <v>3230</v>
      </c>
      <c r="B574" s="102">
        <f>SUMIF(Платежи!B:B,VLOOKUP(A574,Платежи!B:B,1,0),Платежи!C:C)</f>
        <v>0</v>
      </c>
    </row>
    <row r="575" spans="1:2" x14ac:dyDescent="0.25">
      <c r="A575" t="s">
        <v>3231</v>
      </c>
      <c r="B575" s="102">
        <f>SUMIF(Платежи!B:B,VLOOKUP(A575,Платежи!B:B,1,0),Платежи!C:C)</f>
        <v>0</v>
      </c>
    </row>
    <row r="576" spans="1:2" x14ac:dyDescent="0.25">
      <c r="A576" t="s">
        <v>2511</v>
      </c>
      <c r="B576" s="102">
        <f>SUMIF(Платежи!B:B,VLOOKUP(A576,Платежи!B:B,1,0),Платежи!C:C)</f>
        <v>0</v>
      </c>
    </row>
    <row r="577" spans="1:2" x14ac:dyDescent="0.25">
      <c r="A577" t="s">
        <v>3232</v>
      </c>
      <c r="B577" s="102">
        <f>SUMIF(Платежи!B:B,VLOOKUP(A577,Платежи!B:B,1,0),Платежи!C:C)</f>
        <v>0</v>
      </c>
    </row>
    <row r="578" spans="1:2" x14ac:dyDescent="0.25">
      <c r="A578" t="s">
        <v>3233</v>
      </c>
      <c r="B578" s="102">
        <f>SUMIF(Платежи!B:B,VLOOKUP(A578,Платежи!B:B,1,0),Платежи!C:C)</f>
        <v>0</v>
      </c>
    </row>
    <row r="579" spans="1:2" x14ac:dyDescent="0.25">
      <c r="A579" t="s">
        <v>2512</v>
      </c>
      <c r="B579" s="102">
        <f>SUMIF(Платежи!B:B,VLOOKUP(A579,Платежи!B:B,1,0),Платежи!C:C)</f>
        <v>0</v>
      </c>
    </row>
    <row r="580" spans="1:2" x14ac:dyDescent="0.25">
      <c r="A580" t="s">
        <v>3234</v>
      </c>
      <c r="B580" s="102">
        <f>SUMIF(Платежи!B:B,VLOOKUP(A580,Платежи!B:B,1,0),Платежи!C:C)</f>
        <v>0</v>
      </c>
    </row>
    <row r="581" spans="1:2" x14ac:dyDescent="0.25">
      <c r="A581" t="s">
        <v>2513</v>
      </c>
      <c r="B581" s="102">
        <f>SUMIF(Платежи!B:B,VLOOKUP(A581,Платежи!B:B,1,0),Платежи!C:C)</f>
        <v>0</v>
      </c>
    </row>
    <row r="582" spans="1:2" x14ac:dyDescent="0.25">
      <c r="A582" t="s">
        <v>3235</v>
      </c>
      <c r="B582" s="102">
        <f>SUMIF(Платежи!B:B,VLOOKUP(A582,Платежи!B:B,1,0),Платежи!C:C)</f>
        <v>0</v>
      </c>
    </row>
    <row r="583" spans="1:2" x14ac:dyDescent="0.25">
      <c r="A583" t="s">
        <v>2514</v>
      </c>
      <c r="B583" s="102">
        <f>SUMIF(Платежи!B:B,VLOOKUP(A583,Платежи!B:B,1,0),Платежи!C:C)</f>
        <v>0</v>
      </c>
    </row>
    <row r="584" spans="1:2" x14ac:dyDescent="0.25">
      <c r="A584" t="s">
        <v>2515</v>
      </c>
      <c r="B584" s="102">
        <f>SUMIF(Платежи!B:B,VLOOKUP(A584,Платежи!B:B,1,0),Платежи!C:C)</f>
        <v>0</v>
      </c>
    </row>
    <row r="585" spans="1:2" x14ac:dyDescent="0.25">
      <c r="A585" t="s">
        <v>2516</v>
      </c>
      <c r="B585" s="102">
        <f>SUMIF(Платежи!B:B,VLOOKUP(A585,Платежи!B:B,1,0),Платежи!C:C)</f>
        <v>0</v>
      </c>
    </row>
    <row r="586" spans="1:2" x14ac:dyDescent="0.25">
      <c r="A586" t="s">
        <v>2517</v>
      </c>
      <c r="B586" s="102">
        <f>SUMIF(Платежи!B:B,VLOOKUP(A586,Платежи!B:B,1,0),Платежи!C:C)</f>
        <v>0</v>
      </c>
    </row>
    <row r="587" spans="1:2" x14ac:dyDescent="0.25">
      <c r="A587" t="s">
        <v>2518</v>
      </c>
      <c r="B587" s="102">
        <f>SUMIF(Платежи!B:B,VLOOKUP(A587,Платежи!B:B,1,0),Платежи!C:C)</f>
        <v>0</v>
      </c>
    </row>
    <row r="588" spans="1:2" x14ac:dyDescent="0.25">
      <c r="A588" t="s">
        <v>2519</v>
      </c>
      <c r="B588" s="102">
        <f>SUMIF(Платежи!B:B,VLOOKUP(A588,Платежи!B:B,1,0),Платежи!C:C)</f>
        <v>0</v>
      </c>
    </row>
    <row r="589" spans="1:2" x14ac:dyDescent="0.25">
      <c r="A589" t="s">
        <v>3236</v>
      </c>
      <c r="B589" s="102">
        <f>SUMIF(Платежи!B:B,VLOOKUP(A589,Платежи!B:B,1,0),Платежи!C:C)</f>
        <v>0</v>
      </c>
    </row>
    <row r="590" spans="1:2" x14ac:dyDescent="0.25">
      <c r="A590" t="s">
        <v>2520</v>
      </c>
      <c r="B590" s="102">
        <f>SUMIF(Платежи!B:B,VLOOKUP(A590,Платежи!B:B,1,0),Платежи!C:C)</f>
        <v>0</v>
      </c>
    </row>
    <row r="591" spans="1:2" x14ac:dyDescent="0.25">
      <c r="A591" t="s">
        <v>2521</v>
      </c>
      <c r="B591" s="102">
        <f>SUMIF(Платежи!B:B,VLOOKUP(A591,Платежи!B:B,1,0),Платежи!C:C)</f>
        <v>0</v>
      </c>
    </row>
    <row r="592" spans="1:2" x14ac:dyDescent="0.25">
      <c r="A592" t="s">
        <v>2522</v>
      </c>
      <c r="B592" s="102">
        <f>SUMIF(Платежи!B:B,VLOOKUP(A592,Платежи!B:B,1,0),Платежи!C:C)</f>
        <v>0</v>
      </c>
    </row>
    <row r="593" spans="1:2" x14ac:dyDescent="0.25">
      <c r="A593" t="s">
        <v>2523</v>
      </c>
      <c r="B593" s="102">
        <f>SUMIF(Платежи!B:B,VLOOKUP(A593,Платежи!B:B,1,0),Платежи!C:C)</f>
        <v>0</v>
      </c>
    </row>
    <row r="594" spans="1:2" x14ac:dyDescent="0.25">
      <c r="A594" t="s">
        <v>2524</v>
      </c>
      <c r="B594" s="102">
        <f>SUMIF(Платежи!B:B,VLOOKUP(A594,Платежи!B:B,1,0),Платежи!C:C)</f>
        <v>0</v>
      </c>
    </row>
    <row r="595" spans="1:2" x14ac:dyDescent="0.25">
      <c r="A595" t="s">
        <v>2525</v>
      </c>
      <c r="B595" s="102">
        <f>SUMIF(Платежи!B:B,VLOOKUP(A595,Платежи!B:B,1,0),Платежи!C:C)</f>
        <v>0</v>
      </c>
    </row>
    <row r="596" spans="1:2" x14ac:dyDescent="0.25">
      <c r="A596" t="s">
        <v>2526</v>
      </c>
      <c r="B596" s="102">
        <f>SUMIF(Платежи!B:B,VLOOKUP(A596,Платежи!B:B,1,0),Платежи!C:C)</f>
        <v>0</v>
      </c>
    </row>
    <row r="597" spans="1:2" x14ac:dyDescent="0.25">
      <c r="A597" t="s">
        <v>2527</v>
      </c>
      <c r="B597" s="102">
        <f>SUMIF(Платежи!B:B,VLOOKUP(A597,Платежи!B:B,1,0),Платежи!C:C)</f>
        <v>0</v>
      </c>
    </row>
    <row r="598" spans="1:2" x14ac:dyDescent="0.25">
      <c r="A598" t="s">
        <v>3237</v>
      </c>
      <c r="B598" s="102">
        <f>SUMIF(Платежи!B:B,VLOOKUP(A598,Платежи!B:B,1,0),Платежи!C:C)</f>
        <v>0</v>
      </c>
    </row>
    <row r="599" spans="1:2" x14ac:dyDescent="0.25">
      <c r="A599" t="s">
        <v>2528</v>
      </c>
      <c r="B599" s="102">
        <f>SUMIF(Платежи!B:B,VLOOKUP(A599,Платежи!B:B,1,0),Платежи!C:C)</f>
        <v>0</v>
      </c>
    </row>
    <row r="600" spans="1:2" x14ac:dyDescent="0.25">
      <c r="A600" t="s">
        <v>3238</v>
      </c>
      <c r="B600" s="102">
        <f>SUMIF(Платежи!B:B,VLOOKUP(A600,Платежи!B:B,1,0),Платежи!C:C)</f>
        <v>0</v>
      </c>
    </row>
    <row r="601" spans="1:2" x14ac:dyDescent="0.25">
      <c r="A601" t="s">
        <v>3239</v>
      </c>
      <c r="B601" s="102">
        <f>SUMIF(Платежи!B:B,VLOOKUP(A601,Платежи!B:B,1,0),Платежи!C:C)</f>
        <v>0</v>
      </c>
    </row>
    <row r="602" spans="1:2" x14ac:dyDescent="0.25">
      <c r="A602" t="s">
        <v>2529</v>
      </c>
      <c r="B602" s="102">
        <f>SUMIF(Платежи!B:B,VLOOKUP(A602,Платежи!B:B,1,0),Платежи!C:C)</f>
        <v>0</v>
      </c>
    </row>
    <row r="603" spans="1:2" x14ac:dyDescent="0.25">
      <c r="A603" t="s">
        <v>2530</v>
      </c>
      <c r="B603" s="102">
        <f>SUMIF(Платежи!B:B,VLOOKUP(A603,Платежи!B:B,1,0),Платежи!C:C)</f>
        <v>0</v>
      </c>
    </row>
    <row r="604" spans="1:2" x14ac:dyDescent="0.25">
      <c r="A604" t="s">
        <v>2531</v>
      </c>
      <c r="B604" s="102">
        <f>SUMIF(Платежи!B:B,VLOOKUP(A604,Платежи!B:B,1,0),Платежи!C:C)</f>
        <v>0</v>
      </c>
    </row>
    <row r="605" spans="1:2" x14ac:dyDescent="0.25">
      <c r="A605" t="s">
        <v>3240</v>
      </c>
      <c r="B605" s="102">
        <f>SUMIF(Платежи!B:B,VLOOKUP(A605,Платежи!B:B,1,0),Платежи!C:C)</f>
        <v>0</v>
      </c>
    </row>
    <row r="606" spans="1:2" x14ac:dyDescent="0.25">
      <c r="A606" t="s">
        <v>2532</v>
      </c>
      <c r="B606" s="102">
        <f>SUMIF(Платежи!B:B,VLOOKUP(A606,Платежи!B:B,1,0),Платежи!C:C)</f>
        <v>0</v>
      </c>
    </row>
    <row r="607" spans="1:2" x14ac:dyDescent="0.25">
      <c r="A607" t="s">
        <v>3241</v>
      </c>
      <c r="B607" s="102">
        <f>SUMIF(Платежи!B:B,VLOOKUP(A607,Платежи!B:B,1,0),Платежи!C:C)</f>
        <v>0</v>
      </c>
    </row>
    <row r="608" spans="1:2" x14ac:dyDescent="0.25">
      <c r="A608" t="s">
        <v>2533</v>
      </c>
      <c r="B608" s="102">
        <f>SUMIF(Платежи!B:B,VLOOKUP(A608,Платежи!B:B,1,0),Платежи!C:C)</f>
        <v>0</v>
      </c>
    </row>
    <row r="609" spans="1:2" x14ac:dyDescent="0.25">
      <c r="A609" t="s">
        <v>2534</v>
      </c>
      <c r="B609" s="102">
        <f>SUMIF(Платежи!B:B,VLOOKUP(A609,Платежи!B:B,1,0),Платежи!C:C)</f>
        <v>0</v>
      </c>
    </row>
    <row r="610" spans="1:2" x14ac:dyDescent="0.25">
      <c r="A610" t="s">
        <v>3242</v>
      </c>
      <c r="B610" s="102">
        <f>SUMIF(Платежи!B:B,VLOOKUP(A610,Платежи!B:B,1,0),Платежи!C:C)</f>
        <v>0</v>
      </c>
    </row>
    <row r="611" spans="1:2" x14ac:dyDescent="0.25">
      <c r="A611" t="s">
        <v>2535</v>
      </c>
      <c r="B611" s="102">
        <f>SUMIF(Платежи!B:B,VLOOKUP(A611,Платежи!B:B,1,0),Платежи!C:C)</f>
        <v>0</v>
      </c>
    </row>
    <row r="612" spans="1:2" x14ac:dyDescent="0.25">
      <c r="A612" t="s">
        <v>3243</v>
      </c>
      <c r="B612" s="102">
        <f>SUMIF(Платежи!B:B,VLOOKUP(A612,Платежи!B:B,1,0),Платежи!C:C)</f>
        <v>0</v>
      </c>
    </row>
    <row r="613" spans="1:2" x14ac:dyDescent="0.25">
      <c r="A613" t="s">
        <v>2536</v>
      </c>
      <c r="B613" s="102">
        <f>SUMIF(Платежи!B:B,VLOOKUP(A613,Платежи!B:B,1,0),Платежи!C:C)</f>
        <v>0</v>
      </c>
    </row>
    <row r="614" spans="1:2" x14ac:dyDescent="0.25">
      <c r="A614" t="s">
        <v>2537</v>
      </c>
      <c r="B614" s="102">
        <f>SUMIF(Платежи!B:B,VLOOKUP(A614,Платежи!B:B,1,0),Платежи!C:C)</f>
        <v>0</v>
      </c>
    </row>
    <row r="615" spans="1:2" x14ac:dyDescent="0.25">
      <c r="A615" t="s">
        <v>2538</v>
      </c>
      <c r="B615" s="102">
        <f>SUMIF(Платежи!B:B,VLOOKUP(A615,Платежи!B:B,1,0),Платежи!C:C)</f>
        <v>0</v>
      </c>
    </row>
    <row r="616" spans="1:2" x14ac:dyDescent="0.25">
      <c r="A616" t="s">
        <v>2539</v>
      </c>
      <c r="B616" s="102">
        <f>SUMIF(Платежи!B:B,VLOOKUP(A616,Платежи!B:B,1,0),Платежи!C:C)</f>
        <v>0</v>
      </c>
    </row>
    <row r="617" spans="1:2" x14ac:dyDescent="0.25">
      <c r="A617" t="s">
        <v>2540</v>
      </c>
      <c r="B617" s="102">
        <f>SUMIF(Платежи!B:B,VLOOKUP(A617,Платежи!B:B,1,0),Платежи!C:C)</f>
        <v>0</v>
      </c>
    </row>
    <row r="618" spans="1:2" x14ac:dyDescent="0.25">
      <c r="A618" t="s">
        <v>2541</v>
      </c>
      <c r="B618" s="102">
        <f>SUMIF(Платежи!B:B,VLOOKUP(A618,Платежи!B:B,1,0),Платежи!C:C)</f>
        <v>0</v>
      </c>
    </row>
    <row r="619" spans="1:2" x14ac:dyDescent="0.25">
      <c r="A619" t="s">
        <v>3244</v>
      </c>
      <c r="B619" s="102">
        <f>SUMIF(Платежи!B:B,VLOOKUP(A619,Платежи!B:B,1,0),Платежи!C:C)</f>
        <v>0</v>
      </c>
    </row>
    <row r="620" spans="1:2" x14ac:dyDescent="0.25">
      <c r="A620" t="s">
        <v>3245</v>
      </c>
      <c r="B620" s="102">
        <f>SUMIF(Платежи!B:B,VLOOKUP(A620,Платежи!B:B,1,0),Платежи!C:C)</f>
        <v>0</v>
      </c>
    </row>
    <row r="621" spans="1:2" x14ac:dyDescent="0.25">
      <c r="A621" t="s">
        <v>2542</v>
      </c>
      <c r="B621" s="102">
        <f>SUMIF(Платежи!B:B,VLOOKUP(A621,Платежи!B:B,1,0),Платежи!C:C)</f>
        <v>0</v>
      </c>
    </row>
    <row r="622" spans="1:2" x14ac:dyDescent="0.25">
      <c r="A622" t="s">
        <v>2543</v>
      </c>
      <c r="B622" s="102">
        <f>SUMIF(Платежи!B:B,VLOOKUP(A622,Платежи!B:B,1,0),Платежи!C:C)</f>
        <v>0</v>
      </c>
    </row>
    <row r="623" spans="1:2" x14ac:dyDescent="0.25">
      <c r="A623" t="s">
        <v>3246</v>
      </c>
      <c r="B623" s="102">
        <f>SUMIF(Платежи!B:B,VLOOKUP(A623,Платежи!B:B,1,0),Платежи!C:C)</f>
        <v>0</v>
      </c>
    </row>
    <row r="624" spans="1:2" x14ac:dyDescent="0.25">
      <c r="A624" t="s">
        <v>2544</v>
      </c>
      <c r="B624" s="102">
        <f>SUMIF(Платежи!B:B,VLOOKUP(A624,Платежи!B:B,1,0),Платежи!C:C)</f>
        <v>0</v>
      </c>
    </row>
    <row r="625" spans="1:2" x14ac:dyDescent="0.25">
      <c r="A625" t="s">
        <v>3247</v>
      </c>
      <c r="B625" s="102">
        <f>SUMIF(Платежи!B:B,VLOOKUP(A625,Платежи!B:B,1,0),Платежи!C:C)</f>
        <v>0</v>
      </c>
    </row>
    <row r="626" spans="1:2" x14ac:dyDescent="0.25">
      <c r="A626" t="s">
        <v>2545</v>
      </c>
      <c r="B626" s="102">
        <f>SUMIF(Платежи!B:B,VLOOKUP(A626,Платежи!B:B,1,0),Платежи!C:C)</f>
        <v>0</v>
      </c>
    </row>
    <row r="627" spans="1:2" x14ac:dyDescent="0.25">
      <c r="A627" t="s">
        <v>2546</v>
      </c>
      <c r="B627" s="102">
        <f>SUMIF(Платежи!B:B,VLOOKUP(A627,Платежи!B:B,1,0),Платежи!C:C)</f>
        <v>0</v>
      </c>
    </row>
    <row r="628" spans="1:2" x14ac:dyDescent="0.25">
      <c r="A628" t="s">
        <v>2547</v>
      </c>
      <c r="B628" s="102">
        <f>SUMIF(Платежи!B:B,VLOOKUP(A628,Платежи!B:B,1,0),Платежи!C:C)</f>
        <v>0</v>
      </c>
    </row>
    <row r="629" spans="1:2" x14ac:dyDescent="0.25">
      <c r="A629" t="s">
        <v>2548</v>
      </c>
      <c r="B629" s="102">
        <f>SUMIF(Платежи!B:B,VLOOKUP(A629,Платежи!B:B,1,0),Платежи!C:C)</f>
        <v>0</v>
      </c>
    </row>
    <row r="630" spans="1:2" x14ac:dyDescent="0.25">
      <c r="A630" t="s">
        <v>2549</v>
      </c>
      <c r="B630" s="102">
        <f>SUMIF(Платежи!B:B,VLOOKUP(A630,Платежи!B:B,1,0),Платежи!C:C)</f>
        <v>0</v>
      </c>
    </row>
    <row r="631" spans="1:2" x14ac:dyDescent="0.25">
      <c r="A631" t="s">
        <v>3248</v>
      </c>
      <c r="B631" s="102">
        <f>SUMIF(Платежи!B:B,VLOOKUP(A631,Платежи!B:B,1,0),Платежи!C:C)</f>
        <v>0</v>
      </c>
    </row>
    <row r="632" spans="1:2" x14ac:dyDescent="0.25">
      <c r="A632" t="s">
        <v>2550</v>
      </c>
      <c r="B632" s="102">
        <f>SUMIF(Платежи!B:B,VLOOKUP(A632,Платежи!B:B,1,0),Платежи!C:C)</f>
        <v>0</v>
      </c>
    </row>
    <row r="633" spans="1:2" x14ac:dyDescent="0.25">
      <c r="A633" t="s">
        <v>2551</v>
      </c>
      <c r="B633" s="102">
        <f>SUMIF(Платежи!B:B,VLOOKUP(A633,Платежи!B:B,1,0),Платежи!C:C)</f>
        <v>0</v>
      </c>
    </row>
    <row r="634" spans="1:2" x14ac:dyDescent="0.25">
      <c r="A634" t="s">
        <v>2552</v>
      </c>
      <c r="B634" s="102">
        <f>SUMIF(Платежи!B:B,VLOOKUP(A634,Платежи!B:B,1,0),Платежи!C:C)</f>
        <v>0</v>
      </c>
    </row>
    <row r="635" spans="1:2" x14ac:dyDescent="0.25">
      <c r="A635" t="s">
        <v>3249</v>
      </c>
      <c r="B635" s="102">
        <f>SUMIF(Платежи!B:B,VLOOKUP(A635,Платежи!B:B,1,0),Платежи!C:C)</f>
        <v>0</v>
      </c>
    </row>
    <row r="636" spans="1:2" x14ac:dyDescent="0.25">
      <c r="A636" t="s">
        <v>2553</v>
      </c>
      <c r="B636" s="102">
        <f>SUMIF(Платежи!B:B,VLOOKUP(A636,Платежи!B:B,1,0),Платежи!C:C)</f>
        <v>0</v>
      </c>
    </row>
    <row r="637" spans="1:2" x14ac:dyDescent="0.25">
      <c r="A637" t="s">
        <v>2554</v>
      </c>
      <c r="B637" s="102">
        <f>SUMIF(Платежи!B:B,VLOOKUP(A637,Платежи!B:B,1,0),Платежи!C:C)</f>
        <v>0</v>
      </c>
    </row>
    <row r="638" spans="1:2" x14ac:dyDescent="0.25">
      <c r="A638" t="s">
        <v>2555</v>
      </c>
      <c r="B638" s="102">
        <f>SUMIF(Платежи!B:B,VLOOKUP(A638,Платежи!B:B,1,0),Платежи!C:C)</f>
        <v>0</v>
      </c>
    </row>
    <row r="639" spans="1:2" x14ac:dyDescent="0.25">
      <c r="A639" t="s">
        <v>2556</v>
      </c>
      <c r="B639" s="102">
        <f>SUMIF(Платежи!B:B,VLOOKUP(A639,Платежи!B:B,1,0),Платежи!C:C)</f>
        <v>0</v>
      </c>
    </row>
    <row r="640" spans="1:2" x14ac:dyDescent="0.25">
      <c r="A640" t="s">
        <v>2557</v>
      </c>
      <c r="B640" s="102">
        <f>SUMIF(Платежи!B:B,VLOOKUP(A640,Платежи!B:B,1,0),Платежи!C:C)</f>
        <v>0</v>
      </c>
    </row>
    <row r="641" spans="1:2" x14ac:dyDescent="0.25">
      <c r="A641" t="s">
        <v>3250</v>
      </c>
      <c r="B641" s="102">
        <f>SUMIF(Платежи!B:B,VLOOKUP(A641,Платежи!B:B,1,0),Платежи!C:C)</f>
        <v>0</v>
      </c>
    </row>
    <row r="642" spans="1:2" x14ac:dyDescent="0.25">
      <c r="A642" t="s">
        <v>3251</v>
      </c>
      <c r="B642" s="102">
        <f>SUMIF(Платежи!B:B,VLOOKUP(A642,Платежи!B:B,1,0),Платежи!C:C)</f>
        <v>0</v>
      </c>
    </row>
    <row r="643" spans="1:2" x14ac:dyDescent="0.25">
      <c r="A643" t="s">
        <v>3252</v>
      </c>
      <c r="B643" s="102">
        <f>SUMIF(Платежи!B:B,VLOOKUP(A643,Платежи!B:B,1,0),Платежи!C:C)</f>
        <v>0</v>
      </c>
    </row>
    <row r="644" spans="1:2" x14ac:dyDescent="0.25">
      <c r="A644" t="s">
        <v>2558</v>
      </c>
      <c r="B644" s="102">
        <f>SUMIF(Платежи!B:B,VLOOKUP(A644,Платежи!B:B,1,0),Платежи!C:C)</f>
        <v>0</v>
      </c>
    </row>
    <row r="645" spans="1:2" x14ac:dyDescent="0.25">
      <c r="A645" t="s">
        <v>660</v>
      </c>
      <c r="B645" s="102">
        <f>SUMIF(Платежи!B:B,VLOOKUP(A645,Платежи!B:B,1,0),Платежи!C:C)</f>
        <v>0</v>
      </c>
    </row>
    <row r="646" spans="1:2" x14ac:dyDescent="0.25">
      <c r="A646" t="s">
        <v>2559</v>
      </c>
      <c r="B646" s="102">
        <f>SUMIF(Платежи!B:B,VLOOKUP(A646,Платежи!B:B,1,0),Платежи!C:C)</f>
        <v>0</v>
      </c>
    </row>
    <row r="647" spans="1:2" x14ac:dyDescent="0.25">
      <c r="A647" t="s">
        <v>2560</v>
      </c>
      <c r="B647" s="102">
        <f>SUMIF(Платежи!B:B,VLOOKUP(A647,Платежи!B:B,1,0),Платежи!C:C)</f>
        <v>0</v>
      </c>
    </row>
    <row r="648" spans="1:2" x14ac:dyDescent="0.25">
      <c r="A648" t="s">
        <v>3253</v>
      </c>
      <c r="B648" s="102">
        <f>SUMIF(Платежи!B:B,VLOOKUP(A648,Платежи!B:B,1,0),Платежи!C:C)</f>
        <v>0</v>
      </c>
    </row>
    <row r="649" spans="1:2" x14ac:dyDescent="0.25">
      <c r="A649" t="s">
        <v>3254</v>
      </c>
      <c r="B649" s="102">
        <f>SUMIF(Платежи!B:B,VLOOKUP(A649,Платежи!B:B,1,0),Платежи!C:C)</f>
        <v>0</v>
      </c>
    </row>
    <row r="650" spans="1:2" x14ac:dyDescent="0.25">
      <c r="A650" t="s">
        <v>2561</v>
      </c>
      <c r="B650" s="102">
        <f>SUMIF(Платежи!B:B,VLOOKUP(A650,Платежи!B:B,1,0),Платежи!C:C)</f>
        <v>0</v>
      </c>
    </row>
    <row r="651" spans="1:2" x14ac:dyDescent="0.25">
      <c r="A651" t="s">
        <v>2562</v>
      </c>
      <c r="B651" s="102">
        <f>SUMIF(Платежи!B:B,VLOOKUP(A651,Платежи!B:B,1,0),Платежи!C:C)</f>
        <v>0</v>
      </c>
    </row>
    <row r="652" spans="1:2" x14ac:dyDescent="0.25">
      <c r="A652" t="s">
        <v>2563</v>
      </c>
      <c r="B652" s="102">
        <f>SUMIF(Платежи!B:B,VLOOKUP(A652,Платежи!B:B,1,0),Платежи!C:C)</f>
        <v>0</v>
      </c>
    </row>
    <row r="653" spans="1:2" x14ac:dyDescent="0.25">
      <c r="A653" t="s">
        <v>2564</v>
      </c>
      <c r="B653" s="102">
        <f>SUMIF(Платежи!B:B,VLOOKUP(A653,Платежи!B:B,1,0),Платежи!C:C)</f>
        <v>0</v>
      </c>
    </row>
    <row r="654" spans="1:2" x14ac:dyDescent="0.25">
      <c r="A654" t="s">
        <v>2565</v>
      </c>
      <c r="B654" s="102">
        <f>SUMIF(Платежи!B:B,VLOOKUP(A654,Платежи!B:B,1,0),Платежи!C:C)</f>
        <v>0</v>
      </c>
    </row>
    <row r="655" spans="1:2" x14ac:dyDescent="0.25">
      <c r="A655" t="s">
        <v>2566</v>
      </c>
      <c r="B655" s="102">
        <f>SUMIF(Платежи!B:B,VLOOKUP(A655,Платежи!B:B,1,0),Платежи!C:C)</f>
        <v>0</v>
      </c>
    </row>
    <row r="656" spans="1:2" x14ac:dyDescent="0.25">
      <c r="A656" t="s">
        <v>2567</v>
      </c>
      <c r="B656" s="102">
        <f>SUMIF(Платежи!B:B,VLOOKUP(A656,Платежи!B:B,1,0),Платежи!C:C)</f>
        <v>0</v>
      </c>
    </row>
    <row r="657" spans="1:2" x14ac:dyDescent="0.25">
      <c r="A657" t="s">
        <v>3255</v>
      </c>
      <c r="B657" s="102">
        <f>SUMIF(Платежи!B:B,VLOOKUP(A657,Платежи!B:B,1,0),Платежи!C:C)</f>
        <v>0</v>
      </c>
    </row>
    <row r="658" spans="1:2" x14ac:dyDescent="0.25">
      <c r="A658" t="s">
        <v>3256</v>
      </c>
      <c r="B658" s="102">
        <f>SUMIF(Платежи!B:B,VLOOKUP(A658,Платежи!B:B,1,0),Платежи!C:C)</f>
        <v>0</v>
      </c>
    </row>
    <row r="659" spans="1:2" x14ac:dyDescent="0.25">
      <c r="A659" t="s">
        <v>2568</v>
      </c>
      <c r="B659" s="102">
        <f>SUMIF(Платежи!B:B,VLOOKUP(A659,Платежи!B:B,1,0),Платежи!C:C)</f>
        <v>0</v>
      </c>
    </row>
    <row r="660" spans="1:2" x14ac:dyDescent="0.25">
      <c r="A660" t="s">
        <v>2569</v>
      </c>
      <c r="B660" s="102">
        <f>SUMIF(Платежи!B:B,VLOOKUP(A660,Платежи!B:B,1,0),Платежи!C:C)</f>
        <v>0</v>
      </c>
    </row>
    <row r="661" spans="1:2" x14ac:dyDescent="0.25">
      <c r="A661" t="s">
        <v>2570</v>
      </c>
      <c r="B661" s="102">
        <f>SUMIF(Платежи!B:B,VLOOKUP(A661,Платежи!B:B,1,0),Платежи!C:C)</f>
        <v>0</v>
      </c>
    </row>
    <row r="662" spans="1:2" x14ac:dyDescent="0.25">
      <c r="A662" t="s">
        <v>2571</v>
      </c>
      <c r="B662" s="102">
        <f>SUMIF(Платежи!B:B,VLOOKUP(A662,Платежи!B:B,1,0),Платежи!C:C)</f>
        <v>0</v>
      </c>
    </row>
    <row r="663" spans="1:2" x14ac:dyDescent="0.25">
      <c r="A663" t="s">
        <v>2572</v>
      </c>
      <c r="B663" s="102">
        <f>SUMIF(Платежи!B:B,VLOOKUP(A663,Платежи!B:B,1,0),Платежи!C:C)</f>
        <v>0</v>
      </c>
    </row>
    <row r="664" spans="1:2" x14ac:dyDescent="0.25">
      <c r="A664" t="s">
        <v>3257</v>
      </c>
      <c r="B664" s="102">
        <f>SUMIF(Платежи!B:B,VLOOKUP(A664,Платежи!B:B,1,0),Платежи!C:C)</f>
        <v>0</v>
      </c>
    </row>
    <row r="665" spans="1:2" x14ac:dyDescent="0.25">
      <c r="A665" t="s">
        <v>2573</v>
      </c>
      <c r="B665" s="102">
        <f>SUMIF(Платежи!B:B,VLOOKUP(A665,Платежи!B:B,1,0),Платежи!C:C)</f>
        <v>0</v>
      </c>
    </row>
    <row r="666" spans="1:2" x14ac:dyDescent="0.25">
      <c r="A666" t="s">
        <v>2574</v>
      </c>
      <c r="B666" s="102">
        <f>SUMIF(Платежи!B:B,VLOOKUP(A666,Платежи!B:B,1,0),Платежи!C:C)</f>
        <v>0</v>
      </c>
    </row>
    <row r="667" spans="1:2" x14ac:dyDescent="0.25">
      <c r="A667" t="s">
        <v>2575</v>
      </c>
      <c r="B667" s="102">
        <f>SUMIF(Платежи!B:B,VLOOKUP(A667,Платежи!B:B,1,0),Платежи!C:C)</f>
        <v>0</v>
      </c>
    </row>
    <row r="668" spans="1:2" x14ac:dyDescent="0.25">
      <c r="A668" t="s">
        <v>2576</v>
      </c>
      <c r="B668" s="102">
        <f>SUMIF(Платежи!B:B,VLOOKUP(A668,Платежи!B:B,1,0),Платежи!C:C)</f>
        <v>0</v>
      </c>
    </row>
    <row r="669" spans="1:2" x14ac:dyDescent="0.25">
      <c r="A669" t="s">
        <v>2577</v>
      </c>
      <c r="B669" s="102">
        <f>SUMIF(Платежи!B:B,VLOOKUP(A669,Платежи!B:B,1,0),Платежи!C:C)</f>
        <v>0</v>
      </c>
    </row>
    <row r="670" spans="1:2" x14ac:dyDescent="0.25">
      <c r="A670" t="s">
        <v>2578</v>
      </c>
      <c r="B670" s="102">
        <f>SUMIF(Платежи!B:B,VLOOKUP(A670,Платежи!B:B,1,0),Платежи!C:C)</f>
        <v>0</v>
      </c>
    </row>
    <row r="671" spans="1:2" x14ac:dyDescent="0.25">
      <c r="A671" t="s">
        <v>2579</v>
      </c>
      <c r="B671" s="102">
        <f>SUMIF(Платежи!B:B,VLOOKUP(A671,Платежи!B:B,1,0),Платежи!C:C)</f>
        <v>0</v>
      </c>
    </row>
    <row r="672" spans="1:2" x14ac:dyDescent="0.25">
      <c r="A672" t="s">
        <v>3258</v>
      </c>
      <c r="B672" s="102">
        <f>SUMIF(Платежи!B:B,VLOOKUP(A672,Платежи!B:B,1,0),Платежи!C:C)</f>
        <v>0</v>
      </c>
    </row>
    <row r="673" spans="1:2" x14ac:dyDescent="0.25">
      <c r="A673" t="s">
        <v>3259</v>
      </c>
      <c r="B673" s="102">
        <f>SUMIF(Платежи!B:B,VLOOKUP(A673,Платежи!B:B,1,0),Платежи!C:C)</f>
        <v>0</v>
      </c>
    </row>
    <row r="674" spans="1:2" x14ac:dyDescent="0.25">
      <c r="A674" t="s">
        <v>2580</v>
      </c>
      <c r="B674" s="102">
        <f>SUMIF(Платежи!B:B,VLOOKUP(A674,Платежи!B:B,1,0),Платежи!C:C)</f>
        <v>0</v>
      </c>
    </row>
    <row r="675" spans="1:2" x14ac:dyDescent="0.25">
      <c r="A675" t="s">
        <v>3260</v>
      </c>
      <c r="B675" s="102">
        <f>SUMIF(Платежи!B:B,VLOOKUP(A675,Платежи!B:B,1,0),Платежи!C:C)</f>
        <v>0</v>
      </c>
    </row>
    <row r="676" spans="1:2" x14ac:dyDescent="0.25">
      <c r="A676" t="s">
        <v>2581</v>
      </c>
      <c r="B676" s="102">
        <f>SUMIF(Платежи!B:B,VLOOKUP(A676,Платежи!B:B,1,0),Платежи!C:C)</f>
        <v>0</v>
      </c>
    </row>
    <row r="677" spans="1:2" x14ac:dyDescent="0.25">
      <c r="A677" t="s">
        <v>3261</v>
      </c>
      <c r="B677" s="102">
        <f>SUMIF(Платежи!B:B,VLOOKUP(A677,Платежи!B:B,1,0),Платежи!C:C)</f>
        <v>0</v>
      </c>
    </row>
    <row r="678" spans="1:2" x14ac:dyDescent="0.25">
      <c r="A678" t="s">
        <v>2582</v>
      </c>
      <c r="B678" s="102">
        <f>SUMIF(Платежи!B:B,VLOOKUP(A678,Платежи!B:B,1,0),Платежи!C:C)</f>
        <v>0</v>
      </c>
    </row>
    <row r="679" spans="1:2" x14ac:dyDescent="0.25">
      <c r="A679" t="s">
        <v>2583</v>
      </c>
      <c r="B679" s="102">
        <f>SUMIF(Платежи!B:B,VLOOKUP(A679,Платежи!B:B,1,0),Платежи!C:C)</f>
        <v>0</v>
      </c>
    </row>
    <row r="680" spans="1:2" x14ac:dyDescent="0.25">
      <c r="A680" t="s">
        <v>2584</v>
      </c>
      <c r="B680" s="102">
        <f>SUMIF(Платежи!B:B,VLOOKUP(A680,Платежи!B:B,1,0),Платежи!C:C)</f>
        <v>0</v>
      </c>
    </row>
    <row r="681" spans="1:2" x14ac:dyDescent="0.25">
      <c r="A681" t="s">
        <v>2585</v>
      </c>
      <c r="B681" s="102">
        <f>SUMIF(Платежи!B:B,VLOOKUP(A681,Платежи!B:B,1,0),Платежи!C:C)</f>
        <v>0</v>
      </c>
    </row>
    <row r="682" spans="1:2" x14ac:dyDescent="0.25">
      <c r="A682" t="s">
        <v>2586</v>
      </c>
      <c r="B682" s="102">
        <f>SUMIF(Платежи!B:B,VLOOKUP(A682,Платежи!B:B,1,0),Платежи!C:C)</f>
        <v>0</v>
      </c>
    </row>
    <row r="683" spans="1:2" x14ac:dyDescent="0.25">
      <c r="A683" t="s">
        <v>2587</v>
      </c>
      <c r="B683" s="102">
        <f>SUMIF(Платежи!B:B,VLOOKUP(A683,Платежи!B:B,1,0),Платежи!C:C)</f>
        <v>0</v>
      </c>
    </row>
    <row r="684" spans="1:2" x14ac:dyDescent="0.25">
      <c r="A684" t="s">
        <v>3262</v>
      </c>
      <c r="B684" s="102">
        <f>SUMIF(Платежи!B:B,VLOOKUP(A684,Платежи!B:B,1,0),Платежи!C:C)</f>
        <v>0</v>
      </c>
    </row>
    <row r="685" spans="1:2" x14ac:dyDescent="0.25">
      <c r="A685" t="s">
        <v>2588</v>
      </c>
      <c r="B685" s="102">
        <f>SUMIF(Платежи!B:B,VLOOKUP(A685,Платежи!B:B,1,0),Платежи!C:C)</f>
        <v>0</v>
      </c>
    </row>
    <row r="686" spans="1:2" x14ac:dyDescent="0.25">
      <c r="A686" t="s">
        <v>2589</v>
      </c>
      <c r="B686" s="102">
        <f>SUMIF(Платежи!B:B,VLOOKUP(A686,Платежи!B:B,1,0),Платежи!C:C)</f>
        <v>0</v>
      </c>
    </row>
    <row r="687" spans="1:2" x14ac:dyDescent="0.25">
      <c r="A687" t="s">
        <v>2590</v>
      </c>
      <c r="B687" s="102">
        <f>SUMIF(Платежи!B:B,VLOOKUP(A687,Платежи!B:B,1,0),Платежи!C:C)</f>
        <v>0</v>
      </c>
    </row>
    <row r="688" spans="1:2" x14ac:dyDescent="0.25">
      <c r="A688" t="s">
        <v>2591</v>
      </c>
      <c r="B688" s="102">
        <f>SUMIF(Платежи!B:B,VLOOKUP(A688,Платежи!B:B,1,0),Платежи!C:C)</f>
        <v>0</v>
      </c>
    </row>
    <row r="689" spans="1:2" x14ac:dyDescent="0.25">
      <c r="A689" t="s">
        <v>3263</v>
      </c>
      <c r="B689" s="102">
        <f>SUMIF(Платежи!B:B,VLOOKUP(A689,Платежи!B:B,1,0),Платежи!C:C)</f>
        <v>0</v>
      </c>
    </row>
    <row r="690" spans="1:2" x14ac:dyDescent="0.25">
      <c r="A690" t="s">
        <v>2592</v>
      </c>
      <c r="B690" s="102">
        <f>SUMIF(Платежи!B:B,VLOOKUP(A690,Платежи!B:B,1,0),Платежи!C:C)</f>
        <v>0</v>
      </c>
    </row>
    <row r="691" spans="1:2" x14ac:dyDescent="0.25">
      <c r="A691" t="s">
        <v>3264</v>
      </c>
      <c r="B691" s="102">
        <f>SUMIF(Платежи!B:B,VLOOKUP(A691,Платежи!B:B,1,0),Платежи!C:C)</f>
        <v>0</v>
      </c>
    </row>
    <row r="692" spans="1:2" x14ac:dyDescent="0.25">
      <c r="A692" t="s">
        <v>2593</v>
      </c>
      <c r="B692" s="102">
        <f>SUMIF(Платежи!B:B,VLOOKUP(A692,Платежи!B:B,1,0),Платежи!C:C)</f>
        <v>0</v>
      </c>
    </row>
    <row r="693" spans="1:2" x14ac:dyDescent="0.25">
      <c r="A693" t="s">
        <v>2594</v>
      </c>
      <c r="B693" s="102">
        <f>SUMIF(Платежи!B:B,VLOOKUP(A693,Платежи!B:B,1,0),Платежи!C:C)</f>
        <v>0</v>
      </c>
    </row>
    <row r="694" spans="1:2" x14ac:dyDescent="0.25">
      <c r="A694" t="s">
        <v>3265</v>
      </c>
      <c r="B694" s="102">
        <f>SUMIF(Платежи!B:B,VLOOKUP(A694,Платежи!B:B,1,0),Платежи!C:C)</f>
        <v>0</v>
      </c>
    </row>
    <row r="695" spans="1:2" x14ac:dyDescent="0.25">
      <c r="A695" t="s">
        <v>2595</v>
      </c>
      <c r="B695" s="102">
        <f>SUMIF(Платежи!B:B,VLOOKUP(A695,Платежи!B:B,1,0),Платежи!C:C)</f>
        <v>0</v>
      </c>
    </row>
    <row r="696" spans="1:2" x14ac:dyDescent="0.25">
      <c r="A696" t="s">
        <v>3266</v>
      </c>
      <c r="B696" s="102">
        <f>SUMIF(Платежи!B:B,VLOOKUP(A696,Платежи!B:B,1,0),Платежи!C:C)</f>
        <v>0</v>
      </c>
    </row>
    <row r="697" spans="1:2" x14ac:dyDescent="0.25">
      <c r="A697" t="s">
        <v>3267</v>
      </c>
      <c r="B697" s="102">
        <f>SUMIF(Платежи!B:B,VLOOKUP(A697,Платежи!B:B,1,0),Платежи!C:C)</f>
        <v>0</v>
      </c>
    </row>
    <row r="698" spans="1:2" x14ac:dyDescent="0.25">
      <c r="A698" t="s">
        <v>2596</v>
      </c>
      <c r="B698" s="102">
        <f>SUMIF(Платежи!B:B,VLOOKUP(A698,Платежи!B:B,1,0),Платежи!C:C)</f>
        <v>0</v>
      </c>
    </row>
    <row r="699" spans="1:2" x14ac:dyDescent="0.25">
      <c r="A699" t="s">
        <v>2597</v>
      </c>
      <c r="B699" s="102">
        <f>SUMIF(Платежи!B:B,VLOOKUP(A699,Платежи!B:B,1,0),Платежи!C:C)</f>
        <v>0</v>
      </c>
    </row>
    <row r="700" spans="1:2" x14ac:dyDescent="0.25">
      <c r="A700" t="s">
        <v>2598</v>
      </c>
      <c r="B700" s="102">
        <f>SUMIF(Платежи!B:B,VLOOKUP(A700,Платежи!B:B,1,0),Платежи!C:C)</f>
        <v>0</v>
      </c>
    </row>
    <row r="701" spans="1:2" x14ac:dyDescent="0.25">
      <c r="A701" t="s">
        <v>3268</v>
      </c>
      <c r="B701" s="102">
        <f>SUMIF(Платежи!B:B,VLOOKUP(A701,Платежи!B:B,1,0),Платежи!C:C)</f>
        <v>0</v>
      </c>
    </row>
    <row r="702" spans="1:2" x14ac:dyDescent="0.25">
      <c r="A702" t="s">
        <v>2599</v>
      </c>
      <c r="B702" s="102">
        <f>SUMIF(Платежи!B:B,VLOOKUP(A702,Платежи!B:B,1,0),Платежи!C:C)</f>
        <v>0</v>
      </c>
    </row>
    <row r="703" spans="1:2" x14ac:dyDescent="0.25">
      <c r="A703" t="s">
        <v>2600</v>
      </c>
      <c r="B703" s="102">
        <f>SUMIF(Платежи!B:B,VLOOKUP(A703,Платежи!B:B,1,0),Платежи!C:C)</f>
        <v>0</v>
      </c>
    </row>
    <row r="704" spans="1:2" x14ac:dyDescent="0.25">
      <c r="A704" t="s">
        <v>2601</v>
      </c>
      <c r="B704" s="102">
        <f>SUMIF(Платежи!B:B,VLOOKUP(A704,Платежи!B:B,1,0),Платежи!C:C)</f>
        <v>0</v>
      </c>
    </row>
    <row r="705" spans="1:2" x14ac:dyDescent="0.25">
      <c r="A705" t="s">
        <v>3269</v>
      </c>
      <c r="B705" s="102">
        <f>SUMIF(Платежи!B:B,VLOOKUP(A705,Платежи!B:B,1,0),Платежи!C:C)</f>
        <v>0</v>
      </c>
    </row>
    <row r="706" spans="1:2" x14ac:dyDescent="0.25">
      <c r="A706" t="s">
        <v>2602</v>
      </c>
      <c r="B706" s="102">
        <f>SUMIF(Платежи!B:B,VLOOKUP(A706,Платежи!B:B,1,0),Платежи!C:C)</f>
        <v>0</v>
      </c>
    </row>
    <row r="707" spans="1:2" x14ac:dyDescent="0.25">
      <c r="A707" t="s">
        <v>2603</v>
      </c>
      <c r="B707" s="102">
        <f>SUMIF(Платежи!B:B,VLOOKUP(A707,Платежи!B:B,1,0),Платежи!C:C)</f>
        <v>0</v>
      </c>
    </row>
    <row r="708" spans="1:2" x14ac:dyDescent="0.25">
      <c r="A708" t="s">
        <v>3270</v>
      </c>
      <c r="B708" s="102">
        <f>SUMIF(Платежи!B:B,VLOOKUP(A708,Платежи!B:B,1,0),Платежи!C:C)</f>
        <v>0</v>
      </c>
    </row>
    <row r="709" spans="1:2" x14ac:dyDescent="0.25">
      <c r="A709" t="s">
        <v>2604</v>
      </c>
      <c r="B709" s="102">
        <f>SUMIF(Платежи!B:B,VLOOKUP(A709,Платежи!B:B,1,0),Платежи!C:C)</f>
        <v>0</v>
      </c>
    </row>
    <row r="710" spans="1:2" x14ac:dyDescent="0.25">
      <c r="A710" t="s">
        <v>2605</v>
      </c>
      <c r="B710" s="102">
        <f>SUMIF(Платежи!B:B,VLOOKUP(A710,Платежи!B:B,1,0),Платежи!C:C)</f>
        <v>0</v>
      </c>
    </row>
    <row r="711" spans="1:2" x14ac:dyDescent="0.25">
      <c r="A711" t="s">
        <v>2606</v>
      </c>
      <c r="B711" s="102">
        <f>SUMIF(Платежи!B:B,VLOOKUP(A711,Платежи!B:B,1,0),Платежи!C:C)</f>
        <v>0</v>
      </c>
    </row>
    <row r="712" spans="1:2" x14ac:dyDescent="0.25">
      <c r="A712" t="s">
        <v>2607</v>
      </c>
      <c r="B712" s="102">
        <f>SUMIF(Платежи!B:B,VLOOKUP(A712,Платежи!B:B,1,0),Платежи!C:C)</f>
        <v>0</v>
      </c>
    </row>
    <row r="713" spans="1:2" x14ac:dyDescent="0.25">
      <c r="A713" t="s">
        <v>3271</v>
      </c>
      <c r="B713" s="102">
        <f>SUMIF(Платежи!B:B,VLOOKUP(A713,Платежи!B:B,1,0),Платежи!C:C)</f>
        <v>0</v>
      </c>
    </row>
    <row r="714" spans="1:2" x14ac:dyDescent="0.25">
      <c r="A714" t="s">
        <v>3272</v>
      </c>
      <c r="B714" s="102">
        <f>SUMIF(Платежи!B:B,VLOOKUP(A714,Платежи!B:B,1,0),Платежи!C:C)</f>
        <v>0</v>
      </c>
    </row>
    <row r="715" spans="1:2" x14ac:dyDescent="0.25">
      <c r="A715" t="s">
        <v>2608</v>
      </c>
      <c r="B715" s="102">
        <f>SUMIF(Платежи!B:B,VLOOKUP(A715,Платежи!B:B,1,0),Платежи!C:C)</f>
        <v>0</v>
      </c>
    </row>
    <row r="716" spans="1:2" x14ac:dyDescent="0.25">
      <c r="A716" t="s">
        <v>2609</v>
      </c>
      <c r="B716" s="102">
        <f>SUMIF(Платежи!B:B,VLOOKUP(A716,Платежи!B:B,1,0),Платежи!C:C)</f>
        <v>0</v>
      </c>
    </row>
    <row r="717" spans="1:2" x14ac:dyDescent="0.25">
      <c r="A717" t="s">
        <v>3273</v>
      </c>
      <c r="B717" s="102">
        <f>SUMIF(Платежи!B:B,VLOOKUP(A717,Платежи!B:B,1,0),Платежи!C:C)</f>
        <v>0</v>
      </c>
    </row>
    <row r="718" spans="1:2" x14ac:dyDescent="0.25">
      <c r="A718" t="s">
        <v>2610</v>
      </c>
      <c r="B718" s="102">
        <f>SUMIF(Платежи!B:B,VLOOKUP(A718,Платежи!B:B,1,0),Платежи!C:C)</f>
        <v>0</v>
      </c>
    </row>
    <row r="719" spans="1:2" x14ac:dyDescent="0.25">
      <c r="A719" t="s">
        <v>3274</v>
      </c>
      <c r="B719" s="102">
        <f>SUMIF(Платежи!B:B,VLOOKUP(A719,Платежи!B:B,1,0),Платежи!C:C)</f>
        <v>0</v>
      </c>
    </row>
    <row r="720" spans="1:2" x14ac:dyDescent="0.25">
      <c r="A720" t="s">
        <v>2611</v>
      </c>
      <c r="B720" s="102">
        <f>SUMIF(Платежи!B:B,VLOOKUP(A720,Платежи!B:B,1,0),Платежи!C:C)</f>
        <v>0</v>
      </c>
    </row>
    <row r="721" spans="1:2" x14ac:dyDescent="0.25">
      <c r="A721" t="s">
        <v>3275</v>
      </c>
      <c r="B721" s="102">
        <f>SUMIF(Платежи!B:B,VLOOKUP(A721,Платежи!B:B,1,0),Платежи!C:C)</f>
        <v>0</v>
      </c>
    </row>
    <row r="722" spans="1:2" x14ac:dyDescent="0.25">
      <c r="A722" t="s">
        <v>663</v>
      </c>
      <c r="B722" s="102">
        <f>SUMIF(Платежи!B:B,VLOOKUP(A722,Платежи!B:B,1,0),Платежи!C:C)</f>
        <v>0</v>
      </c>
    </row>
    <row r="723" spans="1:2" x14ac:dyDescent="0.25">
      <c r="A723" t="s">
        <v>2612</v>
      </c>
      <c r="B723" s="102">
        <f>SUMIF(Платежи!B:B,VLOOKUP(A723,Платежи!B:B,1,0),Платежи!C:C)</f>
        <v>0</v>
      </c>
    </row>
    <row r="724" spans="1:2" x14ac:dyDescent="0.25">
      <c r="A724" t="s">
        <v>2613</v>
      </c>
      <c r="B724" s="102">
        <f>SUMIF(Платежи!B:B,VLOOKUP(A724,Платежи!B:B,1,0),Платежи!C:C)</f>
        <v>0</v>
      </c>
    </row>
    <row r="725" spans="1:2" x14ac:dyDescent="0.25">
      <c r="A725" t="s">
        <v>2614</v>
      </c>
      <c r="B725" s="102">
        <f>SUMIF(Платежи!B:B,VLOOKUP(A725,Платежи!B:B,1,0),Платежи!C:C)</f>
        <v>0</v>
      </c>
    </row>
    <row r="726" spans="1:2" x14ac:dyDescent="0.25">
      <c r="A726" t="s">
        <v>2615</v>
      </c>
      <c r="B726" s="102">
        <f>SUMIF(Платежи!B:B,VLOOKUP(A726,Платежи!B:B,1,0),Платежи!C:C)</f>
        <v>0</v>
      </c>
    </row>
    <row r="727" spans="1:2" x14ac:dyDescent="0.25">
      <c r="A727" t="s">
        <v>2616</v>
      </c>
      <c r="B727" s="102">
        <f>SUMIF(Платежи!B:B,VLOOKUP(A727,Платежи!B:B,1,0),Платежи!C:C)</f>
        <v>0</v>
      </c>
    </row>
    <row r="728" spans="1:2" x14ac:dyDescent="0.25">
      <c r="A728" t="s">
        <v>2617</v>
      </c>
      <c r="B728" s="102">
        <f>SUMIF(Платежи!B:B,VLOOKUP(A728,Платежи!B:B,1,0),Платежи!C:C)</f>
        <v>0</v>
      </c>
    </row>
    <row r="729" spans="1:2" x14ac:dyDescent="0.25">
      <c r="A729" t="s">
        <v>2618</v>
      </c>
      <c r="B729" s="102">
        <f>SUMIF(Платежи!B:B,VLOOKUP(A729,Платежи!B:B,1,0),Платежи!C:C)</f>
        <v>0</v>
      </c>
    </row>
    <row r="730" spans="1:2" x14ac:dyDescent="0.25">
      <c r="A730" t="s">
        <v>2619</v>
      </c>
      <c r="B730" s="102">
        <f>SUMIF(Платежи!B:B,VLOOKUP(A730,Платежи!B:B,1,0),Платежи!C:C)</f>
        <v>0</v>
      </c>
    </row>
    <row r="731" spans="1:2" x14ac:dyDescent="0.25">
      <c r="A731" t="s">
        <v>2620</v>
      </c>
      <c r="B731" s="102">
        <f>SUMIF(Платежи!B:B,VLOOKUP(A731,Платежи!B:B,1,0),Платежи!C:C)</f>
        <v>0</v>
      </c>
    </row>
    <row r="732" spans="1:2" x14ac:dyDescent="0.25">
      <c r="A732" t="s">
        <v>2621</v>
      </c>
      <c r="B732" s="102">
        <f>SUMIF(Платежи!B:B,VLOOKUP(A732,Платежи!B:B,1,0),Платежи!C:C)</f>
        <v>0</v>
      </c>
    </row>
    <row r="733" spans="1:2" x14ac:dyDescent="0.25">
      <c r="A733" t="s">
        <v>2622</v>
      </c>
      <c r="B733" s="102">
        <f>SUMIF(Платежи!B:B,VLOOKUP(A733,Платежи!B:B,1,0),Платежи!C:C)</f>
        <v>0</v>
      </c>
    </row>
    <row r="734" spans="1:2" x14ac:dyDescent="0.25">
      <c r="A734" t="s">
        <v>2623</v>
      </c>
      <c r="B734" s="102">
        <f>SUMIF(Платежи!B:B,VLOOKUP(A734,Платежи!B:B,1,0),Платежи!C:C)</f>
        <v>0</v>
      </c>
    </row>
    <row r="735" spans="1:2" x14ac:dyDescent="0.25">
      <c r="A735" t="s">
        <v>2624</v>
      </c>
      <c r="B735" s="102">
        <f>SUMIF(Платежи!B:B,VLOOKUP(A735,Платежи!B:B,1,0),Платежи!C:C)</f>
        <v>0</v>
      </c>
    </row>
    <row r="736" spans="1:2" x14ac:dyDescent="0.25">
      <c r="A736" t="s">
        <v>3276</v>
      </c>
      <c r="B736" s="102">
        <f>SUMIF(Платежи!B:B,VLOOKUP(A736,Платежи!B:B,1,0),Платежи!C:C)</f>
        <v>0</v>
      </c>
    </row>
    <row r="737" spans="1:2" x14ac:dyDescent="0.25">
      <c r="A737" t="s">
        <v>662</v>
      </c>
      <c r="B737" s="102">
        <f>SUMIF(Платежи!B:B,VLOOKUP(A737,Платежи!B:B,1,0),Платежи!C:C)</f>
        <v>58159.199999999997</v>
      </c>
    </row>
    <row r="738" spans="1:2" x14ac:dyDescent="0.25">
      <c r="A738" t="s">
        <v>2625</v>
      </c>
      <c r="B738" s="102">
        <f>SUMIF(Платежи!B:B,VLOOKUP(A738,Платежи!B:B,1,0),Платежи!C:C)</f>
        <v>0</v>
      </c>
    </row>
    <row r="739" spans="1:2" x14ac:dyDescent="0.25">
      <c r="A739" t="s">
        <v>2626</v>
      </c>
      <c r="B739" s="102">
        <f>SUMIF(Платежи!B:B,VLOOKUP(A739,Платежи!B:B,1,0),Платежи!C:C)</f>
        <v>0</v>
      </c>
    </row>
    <row r="740" spans="1:2" x14ac:dyDescent="0.25">
      <c r="A740" t="s">
        <v>2627</v>
      </c>
      <c r="B740" s="102">
        <f>SUMIF(Платежи!B:B,VLOOKUP(A740,Платежи!B:B,1,0),Платежи!C:C)</f>
        <v>0</v>
      </c>
    </row>
    <row r="741" spans="1:2" x14ac:dyDescent="0.25">
      <c r="A741" t="s">
        <v>2628</v>
      </c>
      <c r="B741" s="102">
        <f>SUMIF(Платежи!B:B,VLOOKUP(A741,Платежи!B:B,1,0),Платежи!C:C)</f>
        <v>0</v>
      </c>
    </row>
    <row r="742" spans="1:2" x14ac:dyDescent="0.25">
      <c r="A742" t="s">
        <v>2629</v>
      </c>
      <c r="B742" s="102">
        <f>SUMIF(Платежи!B:B,VLOOKUP(A742,Платежи!B:B,1,0),Платежи!C:C)</f>
        <v>0</v>
      </c>
    </row>
    <row r="743" spans="1:2" x14ac:dyDescent="0.25">
      <c r="A743" t="s">
        <v>3277</v>
      </c>
      <c r="B743" s="102">
        <f>SUMIF(Платежи!B:B,VLOOKUP(A743,Платежи!B:B,1,0),Платежи!C:C)</f>
        <v>0</v>
      </c>
    </row>
    <row r="744" spans="1:2" x14ac:dyDescent="0.25">
      <c r="A744" t="s">
        <v>2630</v>
      </c>
      <c r="B744" s="102">
        <f>SUMIF(Платежи!B:B,VLOOKUP(A744,Платежи!B:B,1,0),Платежи!C:C)</f>
        <v>0</v>
      </c>
    </row>
    <row r="745" spans="1:2" x14ac:dyDescent="0.25">
      <c r="A745" t="s">
        <v>2631</v>
      </c>
      <c r="B745" s="102">
        <f>SUMIF(Платежи!B:B,VLOOKUP(A745,Платежи!B:B,1,0),Платежи!C:C)</f>
        <v>0</v>
      </c>
    </row>
    <row r="746" spans="1:2" x14ac:dyDescent="0.25">
      <c r="A746" t="s">
        <v>2632</v>
      </c>
      <c r="B746" s="102">
        <f>SUMIF(Платежи!B:B,VLOOKUP(A746,Платежи!B:B,1,0),Платежи!C:C)</f>
        <v>0</v>
      </c>
    </row>
    <row r="747" spans="1:2" x14ac:dyDescent="0.25">
      <c r="A747" t="s">
        <v>2633</v>
      </c>
      <c r="B747" s="102">
        <f>SUMIF(Платежи!B:B,VLOOKUP(A747,Платежи!B:B,1,0),Платежи!C:C)</f>
        <v>0</v>
      </c>
    </row>
    <row r="748" spans="1:2" x14ac:dyDescent="0.25">
      <c r="A748" t="s">
        <v>2634</v>
      </c>
      <c r="B748" s="102">
        <f>SUMIF(Платежи!B:B,VLOOKUP(A748,Платежи!B:B,1,0),Платежи!C:C)</f>
        <v>0</v>
      </c>
    </row>
    <row r="749" spans="1:2" x14ac:dyDescent="0.25">
      <c r="A749" t="s">
        <v>667</v>
      </c>
      <c r="B749" s="102">
        <f>SUMIF(Платежи!B:B,VLOOKUP(A749,Платежи!B:B,1,0),Платежи!C:C)</f>
        <v>688.62</v>
      </c>
    </row>
    <row r="750" spans="1:2" x14ac:dyDescent="0.25">
      <c r="A750" t="s">
        <v>928</v>
      </c>
      <c r="B750" s="102">
        <f>SUMIF(Платежи!B:B,VLOOKUP(A750,Платежи!B:B,1,0),Платежи!C:C)</f>
        <v>0</v>
      </c>
    </row>
    <row r="751" spans="1:2" x14ac:dyDescent="0.25">
      <c r="A751" t="s">
        <v>2635</v>
      </c>
      <c r="B751" s="102">
        <f>SUMIF(Платежи!B:B,VLOOKUP(A751,Платежи!B:B,1,0),Платежи!C:C)</f>
        <v>0</v>
      </c>
    </row>
    <row r="752" spans="1:2" x14ac:dyDescent="0.25">
      <c r="A752" t="s">
        <v>2636</v>
      </c>
      <c r="B752" s="102">
        <f>SUMIF(Платежи!B:B,VLOOKUP(A752,Платежи!B:B,1,0),Платежи!C:C)</f>
        <v>0</v>
      </c>
    </row>
    <row r="753" spans="1:2" x14ac:dyDescent="0.25">
      <c r="A753" t="s">
        <v>3278</v>
      </c>
      <c r="B753" s="102">
        <f>SUMIF(Платежи!B:B,VLOOKUP(A753,Платежи!B:B,1,0),Платежи!C:C)</f>
        <v>0</v>
      </c>
    </row>
    <row r="754" spans="1:2" x14ac:dyDescent="0.25">
      <c r="A754" t="s">
        <v>3279</v>
      </c>
      <c r="B754" s="102">
        <f>SUMIF(Платежи!B:B,VLOOKUP(A754,Платежи!B:B,1,0),Платежи!C:C)</f>
        <v>0</v>
      </c>
    </row>
    <row r="755" spans="1:2" x14ac:dyDescent="0.25">
      <c r="A755" t="s">
        <v>2637</v>
      </c>
      <c r="B755" s="102">
        <f>SUMIF(Платежи!B:B,VLOOKUP(A755,Платежи!B:B,1,0),Платежи!C:C)</f>
        <v>0</v>
      </c>
    </row>
    <row r="756" spans="1:2" x14ac:dyDescent="0.25">
      <c r="A756" t="s">
        <v>3280</v>
      </c>
      <c r="B756" s="102">
        <f>SUMIF(Платежи!B:B,VLOOKUP(A756,Платежи!B:B,1,0),Платежи!C:C)</f>
        <v>0</v>
      </c>
    </row>
    <row r="757" spans="1:2" x14ac:dyDescent="0.25">
      <c r="A757" t="s">
        <v>3281</v>
      </c>
      <c r="B757" s="102">
        <f>SUMIF(Платежи!B:B,VLOOKUP(A757,Платежи!B:B,1,0),Платежи!C:C)</f>
        <v>0</v>
      </c>
    </row>
    <row r="758" spans="1:2" x14ac:dyDescent="0.25">
      <c r="A758" t="s">
        <v>2638</v>
      </c>
      <c r="B758" s="102">
        <f>SUMIF(Платежи!B:B,VLOOKUP(A758,Платежи!B:B,1,0),Платежи!C:C)</f>
        <v>0</v>
      </c>
    </row>
    <row r="759" spans="1:2" x14ac:dyDescent="0.25">
      <c r="A759" t="s">
        <v>2639</v>
      </c>
      <c r="B759" s="102">
        <f>SUMIF(Платежи!B:B,VLOOKUP(A759,Платежи!B:B,1,0),Платежи!C:C)</f>
        <v>0</v>
      </c>
    </row>
    <row r="760" spans="1:2" x14ac:dyDescent="0.25">
      <c r="A760" t="s">
        <v>2640</v>
      </c>
      <c r="B760" s="102">
        <f>SUMIF(Платежи!B:B,VLOOKUP(A760,Платежи!B:B,1,0),Платежи!C:C)</f>
        <v>0</v>
      </c>
    </row>
    <row r="761" spans="1:2" x14ac:dyDescent="0.25">
      <c r="A761" t="s">
        <v>2641</v>
      </c>
      <c r="B761" s="102">
        <f>SUMIF(Платежи!B:B,VLOOKUP(A761,Платежи!B:B,1,0),Платежи!C:C)</f>
        <v>0</v>
      </c>
    </row>
    <row r="762" spans="1:2" x14ac:dyDescent="0.25">
      <c r="A762" t="s">
        <v>2642</v>
      </c>
      <c r="B762" s="102">
        <f>SUMIF(Платежи!B:B,VLOOKUP(A762,Платежи!B:B,1,0),Платежи!C:C)</f>
        <v>0</v>
      </c>
    </row>
    <row r="763" spans="1:2" x14ac:dyDescent="0.25">
      <c r="A763" t="s">
        <v>2643</v>
      </c>
      <c r="B763" s="102">
        <f>SUMIF(Платежи!B:B,VLOOKUP(A763,Платежи!B:B,1,0),Платежи!C:C)</f>
        <v>0</v>
      </c>
    </row>
    <row r="764" spans="1:2" x14ac:dyDescent="0.25">
      <c r="A764" t="s">
        <v>665</v>
      </c>
      <c r="B764" s="102">
        <f>SUMIF(Платежи!B:B,VLOOKUP(A764,Платежи!B:B,1,0),Платежи!C:C)</f>
        <v>0</v>
      </c>
    </row>
    <row r="765" spans="1:2" x14ac:dyDescent="0.25">
      <c r="A765" t="s">
        <v>3282</v>
      </c>
      <c r="B765" s="102">
        <f>SUMIF(Платежи!B:B,VLOOKUP(A765,Платежи!B:B,1,0),Платежи!C:C)</f>
        <v>0</v>
      </c>
    </row>
    <row r="766" spans="1:2" x14ac:dyDescent="0.25">
      <c r="A766" t="s">
        <v>2644</v>
      </c>
      <c r="B766" s="102">
        <f>SUMIF(Платежи!B:B,VLOOKUP(A766,Платежи!B:B,1,0),Платежи!C:C)</f>
        <v>0</v>
      </c>
    </row>
    <row r="767" spans="1:2" x14ac:dyDescent="0.25">
      <c r="A767" t="s">
        <v>2645</v>
      </c>
      <c r="B767" s="102">
        <f>SUMIF(Платежи!B:B,VLOOKUP(A767,Платежи!B:B,1,0),Платежи!C:C)</f>
        <v>0</v>
      </c>
    </row>
    <row r="768" spans="1:2" x14ac:dyDescent="0.25">
      <c r="A768" t="s">
        <v>2646</v>
      </c>
      <c r="B768" s="102">
        <f>SUMIF(Платежи!B:B,VLOOKUP(A768,Платежи!B:B,1,0),Платежи!C:C)</f>
        <v>0</v>
      </c>
    </row>
    <row r="769" spans="1:2" x14ac:dyDescent="0.25">
      <c r="A769" t="s">
        <v>2647</v>
      </c>
      <c r="B769" s="102">
        <f>SUMIF(Платежи!B:B,VLOOKUP(A769,Платежи!B:B,1,0),Платежи!C:C)</f>
        <v>0</v>
      </c>
    </row>
    <row r="770" spans="1:2" x14ac:dyDescent="0.25">
      <c r="A770" t="s">
        <v>3283</v>
      </c>
      <c r="B770" s="102">
        <f>SUMIF(Платежи!B:B,VLOOKUP(A770,Платежи!B:B,1,0),Платежи!C:C)</f>
        <v>0</v>
      </c>
    </row>
    <row r="771" spans="1:2" x14ac:dyDescent="0.25">
      <c r="A771" t="s">
        <v>2648</v>
      </c>
      <c r="B771" s="102">
        <f>SUMIF(Платежи!B:B,VLOOKUP(A771,Платежи!B:B,1,0),Платежи!C:C)</f>
        <v>0</v>
      </c>
    </row>
    <row r="772" spans="1:2" x14ac:dyDescent="0.25">
      <c r="A772" t="s">
        <v>3284</v>
      </c>
      <c r="B772" s="102">
        <f>SUMIF(Платежи!B:B,VLOOKUP(A772,Платежи!B:B,1,0),Платежи!C:C)</f>
        <v>0</v>
      </c>
    </row>
    <row r="773" spans="1:2" x14ac:dyDescent="0.25">
      <c r="A773" t="s">
        <v>2649</v>
      </c>
      <c r="B773" s="102">
        <f>SUMIF(Платежи!B:B,VLOOKUP(A773,Платежи!B:B,1,0),Платежи!C:C)</f>
        <v>0</v>
      </c>
    </row>
    <row r="774" spans="1:2" x14ac:dyDescent="0.25">
      <c r="A774" t="s">
        <v>2650</v>
      </c>
      <c r="B774" s="102">
        <f>SUMIF(Платежи!B:B,VLOOKUP(A774,Платежи!B:B,1,0),Платежи!C:C)</f>
        <v>0</v>
      </c>
    </row>
    <row r="775" spans="1:2" x14ac:dyDescent="0.25">
      <c r="A775" t="s">
        <v>2651</v>
      </c>
      <c r="B775" s="102">
        <f>SUMIF(Платежи!B:B,VLOOKUP(A775,Платежи!B:B,1,0),Платежи!C:C)</f>
        <v>0</v>
      </c>
    </row>
    <row r="776" spans="1:2" x14ac:dyDescent="0.25">
      <c r="A776" t="s">
        <v>2652</v>
      </c>
      <c r="B776" s="102">
        <f>SUMIF(Платежи!B:B,VLOOKUP(A776,Платежи!B:B,1,0),Платежи!C:C)</f>
        <v>0</v>
      </c>
    </row>
    <row r="777" spans="1:2" x14ac:dyDescent="0.25">
      <c r="A777" t="s">
        <v>2653</v>
      </c>
      <c r="B777" s="102">
        <f>SUMIF(Платежи!B:B,VLOOKUP(A777,Платежи!B:B,1,0),Платежи!C:C)</f>
        <v>0</v>
      </c>
    </row>
    <row r="778" spans="1:2" x14ac:dyDescent="0.25">
      <c r="A778" t="s">
        <v>2654</v>
      </c>
      <c r="B778" s="102">
        <f>SUMIF(Платежи!B:B,VLOOKUP(A778,Платежи!B:B,1,0),Платежи!C:C)</f>
        <v>0</v>
      </c>
    </row>
    <row r="779" spans="1:2" x14ac:dyDescent="0.25">
      <c r="A779" t="s">
        <v>1722</v>
      </c>
      <c r="B779" s="102">
        <f>SUMIF(Платежи!B:B,VLOOKUP(A779,Платежи!B:B,1,0),Платежи!C:C)</f>
        <v>0</v>
      </c>
    </row>
    <row r="780" spans="1:2" x14ac:dyDescent="0.25">
      <c r="A780" t="s">
        <v>3285</v>
      </c>
      <c r="B780" s="102">
        <f>SUMIF(Платежи!B:B,VLOOKUP(A780,Платежи!B:B,1,0),Платежи!C:C)</f>
        <v>0</v>
      </c>
    </row>
    <row r="781" spans="1:2" x14ac:dyDescent="0.25">
      <c r="A781" t="s">
        <v>2655</v>
      </c>
      <c r="B781" s="102">
        <f>SUMIF(Платежи!B:B,VLOOKUP(A781,Платежи!B:B,1,0),Платежи!C:C)</f>
        <v>0</v>
      </c>
    </row>
    <row r="782" spans="1:2" x14ac:dyDescent="0.25">
      <c r="A782" t="s">
        <v>3286</v>
      </c>
      <c r="B782" s="102">
        <f>SUMIF(Платежи!B:B,VLOOKUP(A782,Платежи!B:B,1,0),Платежи!C:C)</f>
        <v>0</v>
      </c>
    </row>
    <row r="783" spans="1:2" x14ac:dyDescent="0.25">
      <c r="A783" t="s">
        <v>2656</v>
      </c>
      <c r="B783" s="102">
        <f>SUMIF(Платежи!B:B,VLOOKUP(A783,Платежи!B:B,1,0),Платежи!C:C)</f>
        <v>0</v>
      </c>
    </row>
    <row r="784" spans="1:2" x14ac:dyDescent="0.25">
      <c r="A784" t="s">
        <v>2657</v>
      </c>
      <c r="B784" s="102">
        <f>SUMIF(Платежи!B:B,VLOOKUP(A784,Платежи!B:B,1,0),Платежи!C:C)</f>
        <v>0</v>
      </c>
    </row>
    <row r="785" spans="1:2" x14ac:dyDescent="0.25">
      <c r="A785" t="s">
        <v>3287</v>
      </c>
      <c r="B785" s="102">
        <f>SUMIF(Платежи!B:B,VLOOKUP(A785,Платежи!B:B,1,0),Платежи!C:C)</f>
        <v>0</v>
      </c>
    </row>
    <row r="786" spans="1:2" x14ac:dyDescent="0.25">
      <c r="A786" t="s">
        <v>2658</v>
      </c>
      <c r="B786" s="102">
        <f>SUMIF(Платежи!B:B,VLOOKUP(A786,Платежи!B:B,1,0),Платежи!C:C)</f>
        <v>0</v>
      </c>
    </row>
    <row r="787" spans="1:2" x14ac:dyDescent="0.25">
      <c r="A787" t="s">
        <v>2659</v>
      </c>
      <c r="B787" s="102">
        <f>SUMIF(Платежи!B:B,VLOOKUP(A787,Платежи!B:B,1,0),Платежи!C:C)</f>
        <v>0</v>
      </c>
    </row>
    <row r="788" spans="1:2" x14ac:dyDescent="0.25">
      <c r="A788" t="s">
        <v>2660</v>
      </c>
      <c r="B788" s="102">
        <f>SUMIF(Платежи!B:B,VLOOKUP(A788,Платежи!B:B,1,0),Платежи!C:C)</f>
        <v>0</v>
      </c>
    </row>
    <row r="789" spans="1:2" x14ac:dyDescent="0.25">
      <c r="A789" t="s">
        <v>3288</v>
      </c>
      <c r="B789" s="102">
        <f>SUMIF(Платежи!B:B,VLOOKUP(A789,Платежи!B:B,1,0),Платежи!C:C)</f>
        <v>0</v>
      </c>
    </row>
    <row r="790" spans="1:2" x14ac:dyDescent="0.25">
      <c r="A790" t="s">
        <v>3289</v>
      </c>
      <c r="B790" s="102">
        <f>SUMIF(Платежи!B:B,VLOOKUP(A790,Платежи!B:B,1,0),Платежи!C:C)</f>
        <v>0</v>
      </c>
    </row>
    <row r="791" spans="1:2" x14ac:dyDescent="0.25">
      <c r="A791" t="s">
        <v>2661</v>
      </c>
      <c r="B791" s="102">
        <f>SUMIF(Платежи!B:B,VLOOKUP(A791,Платежи!B:B,1,0),Платежи!C:C)</f>
        <v>0</v>
      </c>
    </row>
    <row r="792" spans="1:2" x14ac:dyDescent="0.25">
      <c r="A792" t="s">
        <v>3290</v>
      </c>
      <c r="B792" s="102">
        <f>SUMIF(Платежи!B:B,VLOOKUP(A792,Платежи!B:B,1,0),Платежи!C:C)</f>
        <v>0</v>
      </c>
    </row>
    <row r="793" spans="1:2" x14ac:dyDescent="0.25">
      <c r="A793" t="s">
        <v>3291</v>
      </c>
      <c r="B793" s="102">
        <f>SUMIF(Платежи!B:B,VLOOKUP(A793,Платежи!B:B,1,0),Платежи!C:C)</f>
        <v>0</v>
      </c>
    </row>
    <row r="794" spans="1:2" x14ac:dyDescent="0.25">
      <c r="A794" t="s">
        <v>2662</v>
      </c>
      <c r="B794" s="102">
        <f>SUMIF(Платежи!B:B,VLOOKUP(A794,Платежи!B:B,1,0),Платежи!C:C)</f>
        <v>0</v>
      </c>
    </row>
    <row r="795" spans="1:2" x14ac:dyDescent="0.25">
      <c r="A795" t="s">
        <v>2663</v>
      </c>
      <c r="B795" s="102">
        <f>SUMIF(Платежи!B:B,VLOOKUP(A795,Платежи!B:B,1,0),Платежи!C:C)</f>
        <v>0</v>
      </c>
    </row>
    <row r="796" spans="1:2" x14ac:dyDescent="0.25">
      <c r="A796" t="s">
        <v>671</v>
      </c>
      <c r="B796" s="102">
        <f>SUMIF(Платежи!B:B,VLOOKUP(A796,Платежи!B:B,1,0),Платежи!C:C)</f>
        <v>0</v>
      </c>
    </row>
    <row r="797" spans="1:2" x14ac:dyDescent="0.25">
      <c r="A797" t="s">
        <v>2664</v>
      </c>
      <c r="B797" s="102">
        <f>SUMIF(Платежи!B:B,VLOOKUP(A797,Платежи!B:B,1,0),Платежи!C:C)</f>
        <v>0</v>
      </c>
    </row>
    <row r="798" spans="1:2" x14ac:dyDescent="0.25">
      <c r="A798" t="s">
        <v>2665</v>
      </c>
      <c r="B798" s="102">
        <f>SUMIF(Платежи!B:B,VLOOKUP(A798,Платежи!B:B,1,0),Платежи!C:C)</f>
        <v>0</v>
      </c>
    </row>
    <row r="799" spans="1:2" x14ac:dyDescent="0.25">
      <c r="A799" t="s">
        <v>2666</v>
      </c>
      <c r="B799" s="102">
        <f>SUMIF(Платежи!B:B,VLOOKUP(A799,Платежи!B:B,1,0),Платежи!C:C)</f>
        <v>0</v>
      </c>
    </row>
    <row r="800" spans="1:2" x14ac:dyDescent="0.25">
      <c r="A800" t="s">
        <v>2667</v>
      </c>
      <c r="B800" s="102">
        <f>SUMIF(Платежи!B:B,VLOOKUP(A800,Платежи!B:B,1,0),Платежи!C:C)</f>
        <v>0</v>
      </c>
    </row>
    <row r="801" spans="1:2" x14ac:dyDescent="0.25">
      <c r="A801" t="s">
        <v>2668</v>
      </c>
      <c r="B801" s="102">
        <f>SUMIF(Платежи!B:B,VLOOKUP(A801,Платежи!B:B,1,0),Платежи!C:C)</f>
        <v>0</v>
      </c>
    </row>
    <row r="802" spans="1:2" x14ac:dyDescent="0.25">
      <c r="A802" t="s">
        <v>2669</v>
      </c>
      <c r="B802" s="102">
        <f>SUMIF(Платежи!B:B,VLOOKUP(A802,Платежи!B:B,1,0),Платежи!C:C)</f>
        <v>0</v>
      </c>
    </row>
    <row r="803" spans="1:2" x14ac:dyDescent="0.25">
      <c r="A803" t="s">
        <v>681</v>
      </c>
      <c r="B803" s="102">
        <f>SUMIF(Платежи!B:B,VLOOKUP(A803,Платежи!B:B,1,0),Платежи!C:C)</f>
        <v>0</v>
      </c>
    </row>
    <row r="804" spans="1:2" x14ac:dyDescent="0.25">
      <c r="A804" t="s">
        <v>2670</v>
      </c>
      <c r="B804" s="102">
        <f>SUMIF(Платежи!B:B,VLOOKUP(A804,Платежи!B:B,1,0),Платежи!C:C)</f>
        <v>0</v>
      </c>
    </row>
    <row r="805" spans="1:2" x14ac:dyDescent="0.25">
      <c r="A805" t="s">
        <v>679</v>
      </c>
      <c r="B805" s="102">
        <f>SUMIF(Платежи!B:B,VLOOKUP(A805,Платежи!B:B,1,0),Платежи!C:C)</f>
        <v>0</v>
      </c>
    </row>
    <row r="806" spans="1:2" x14ac:dyDescent="0.25">
      <c r="A806" t="s">
        <v>2671</v>
      </c>
      <c r="B806" s="102">
        <f>SUMIF(Платежи!B:B,VLOOKUP(A806,Платежи!B:B,1,0),Платежи!C:C)</f>
        <v>0</v>
      </c>
    </row>
    <row r="807" spans="1:2" x14ac:dyDescent="0.25">
      <c r="A807" t="s">
        <v>2672</v>
      </c>
      <c r="B807" s="102">
        <f>SUMIF(Платежи!B:B,VLOOKUP(A807,Платежи!B:B,1,0),Платежи!C:C)</f>
        <v>0</v>
      </c>
    </row>
    <row r="808" spans="1:2" x14ac:dyDescent="0.25">
      <c r="A808" t="s">
        <v>2673</v>
      </c>
      <c r="B808" s="102">
        <f>SUMIF(Платежи!B:B,VLOOKUP(A808,Платежи!B:B,1,0),Платежи!C:C)</f>
        <v>0</v>
      </c>
    </row>
    <row r="809" spans="1:2" x14ac:dyDescent="0.25">
      <c r="A809" t="s">
        <v>2674</v>
      </c>
      <c r="B809" s="102">
        <f>SUMIF(Платежи!B:B,VLOOKUP(A809,Платежи!B:B,1,0),Платежи!C:C)</f>
        <v>0</v>
      </c>
    </row>
    <row r="810" spans="1:2" x14ac:dyDescent="0.25">
      <c r="A810" t="s">
        <v>2675</v>
      </c>
      <c r="B810" s="102">
        <f>SUMIF(Платежи!B:B,VLOOKUP(A810,Платежи!B:B,1,0),Платежи!C:C)</f>
        <v>0</v>
      </c>
    </row>
    <row r="811" spans="1:2" x14ac:dyDescent="0.25">
      <c r="A811" t="s">
        <v>3292</v>
      </c>
      <c r="B811" s="102">
        <f>SUMIF(Платежи!B:B,VLOOKUP(A811,Платежи!B:B,1,0),Платежи!C:C)</f>
        <v>0</v>
      </c>
    </row>
    <row r="812" spans="1:2" x14ac:dyDescent="0.25">
      <c r="A812" t="s">
        <v>2676</v>
      </c>
      <c r="B812" s="102">
        <f>SUMIF(Платежи!B:B,VLOOKUP(A812,Платежи!B:B,1,0),Платежи!C:C)</f>
        <v>0</v>
      </c>
    </row>
    <row r="813" spans="1:2" x14ac:dyDescent="0.25">
      <c r="A813" t="s">
        <v>683</v>
      </c>
      <c r="B813" s="102">
        <f>SUMIF(Платежи!B:B,VLOOKUP(A813,Платежи!B:B,1,0),Платежи!C:C)</f>
        <v>0</v>
      </c>
    </row>
    <row r="814" spans="1:2" x14ac:dyDescent="0.25">
      <c r="A814" t="s">
        <v>685</v>
      </c>
      <c r="B814" s="102">
        <f>SUMIF(Платежи!B:B,VLOOKUP(A814,Платежи!B:B,1,0),Платежи!C:C)</f>
        <v>0</v>
      </c>
    </row>
    <row r="815" spans="1:2" x14ac:dyDescent="0.25">
      <c r="A815" t="s">
        <v>2677</v>
      </c>
      <c r="B815" s="102">
        <f>SUMIF(Платежи!B:B,VLOOKUP(A815,Платежи!B:B,1,0),Платежи!C:C)</f>
        <v>0</v>
      </c>
    </row>
    <row r="816" spans="1:2" x14ac:dyDescent="0.25">
      <c r="A816" t="s">
        <v>3293</v>
      </c>
      <c r="B816" s="102">
        <f>SUMIF(Платежи!B:B,VLOOKUP(A816,Платежи!B:B,1,0),Платежи!C:C)</f>
        <v>0</v>
      </c>
    </row>
    <row r="817" spans="1:2" x14ac:dyDescent="0.25">
      <c r="A817" t="s">
        <v>3294</v>
      </c>
      <c r="B817" s="102">
        <f>SUMIF(Платежи!B:B,VLOOKUP(A817,Платежи!B:B,1,0),Платежи!C:C)</f>
        <v>0</v>
      </c>
    </row>
    <row r="818" spans="1:2" x14ac:dyDescent="0.25">
      <c r="A818" t="s">
        <v>2678</v>
      </c>
      <c r="B818" s="102">
        <f>SUMIF(Платежи!B:B,VLOOKUP(A818,Платежи!B:B,1,0),Платежи!C:C)</f>
        <v>0</v>
      </c>
    </row>
    <row r="819" spans="1:2" x14ac:dyDescent="0.25">
      <c r="A819" t="s">
        <v>3295</v>
      </c>
      <c r="B819" s="102">
        <f>SUMIF(Платежи!B:B,VLOOKUP(A819,Платежи!B:B,1,0),Платежи!C:C)</f>
        <v>0</v>
      </c>
    </row>
    <row r="820" spans="1:2" x14ac:dyDescent="0.25">
      <c r="A820" t="s">
        <v>689</v>
      </c>
      <c r="B820" s="102">
        <f>SUMIF(Платежи!B:B,VLOOKUP(A820,Платежи!B:B,1,0),Платежи!C:C)</f>
        <v>0</v>
      </c>
    </row>
    <row r="821" spans="1:2" x14ac:dyDescent="0.25">
      <c r="A821" t="s">
        <v>2679</v>
      </c>
      <c r="B821" s="102">
        <f>SUMIF(Платежи!B:B,VLOOKUP(A821,Платежи!B:B,1,0),Платежи!C:C)</f>
        <v>0</v>
      </c>
    </row>
    <row r="822" spans="1:2" x14ac:dyDescent="0.25">
      <c r="A822" t="s">
        <v>687</v>
      </c>
      <c r="B822" s="102">
        <f>SUMIF(Платежи!B:B,VLOOKUP(A822,Платежи!B:B,1,0),Платежи!C:C)</f>
        <v>0</v>
      </c>
    </row>
    <row r="823" spans="1:2" x14ac:dyDescent="0.25">
      <c r="A823" t="s">
        <v>2680</v>
      </c>
      <c r="B823" s="102">
        <f>SUMIF(Платежи!B:B,VLOOKUP(A823,Платежи!B:B,1,0),Платежи!C:C)</f>
        <v>0</v>
      </c>
    </row>
    <row r="824" spans="1:2" x14ac:dyDescent="0.25">
      <c r="A824" t="s">
        <v>2681</v>
      </c>
      <c r="B824" s="102">
        <f>SUMIF(Платежи!B:B,VLOOKUP(A824,Платежи!B:B,1,0),Платежи!C:C)</f>
        <v>0</v>
      </c>
    </row>
    <row r="825" spans="1:2" x14ac:dyDescent="0.25">
      <c r="A825" t="s">
        <v>2682</v>
      </c>
      <c r="B825" s="102">
        <f>SUMIF(Платежи!B:B,VLOOKUP(A825,Платежи!B:B,1,0),Платежи!C:C)</f>
        <v>0</v>
      </c>
    </row>
    <row r="826" spans="1:2" x14ac:dyDescent="0.25">
      <c r="A826" t="s">
        <v>2683</v>
      </c>
      <c r="B826" s="102">
        <f>SUMIF(Платежи!B:B,VLOOKUP(A826,Платежи!B:B,1,0),Платежи!C:C)</f>
        <v>0</v>
      </c>
    </row>
    <row r="827" spans="1:2" x14ac:dyDescent="0.25">
      <c r="A827" t="s">
        <v>2684</v>
      </c>
      <c r="B827" s="102">
        <f>SUMIF(Платежи!B:B,VLOOKUP(A827,Платежи!B:B,1,0),Платежи!C:C)</f>
        <v>0</v>
      </c>
    </row>
    <row r="828" spans="1:2" x14ac:dyDescent="0.25">
      <c r="A828" t="s">
        <v>2685</v>
      </c>
      <c r="B828" s="102">
        <f>SUMIF(Платежи!B:B,VLOOKUP(A828,Платежи!B:B,1,0),Платежи!C:C)</f>
        <v>0</v>
      </c>
    </row>
    <row r="829" spans="1:2" x14ac:dyDescent="0.25">
      <c r="A829" t="s">
        <v>3296</v>
      </c>
      <c r="B829" s="102">
        <f>SUMIF(Платежи!B:B,VLOOKUP(A829,Платежи!B:B,1,0),Платежи!C:C)</f>
        <v>0</v>
      </c>
    </row>
    <row r="830" spans="1:2" x14ac:dyDescent="0.25">
      <c r="A830" t="s">
        <v>2686</v>
      </c>
      <c r="B830" s="102">
        <f>SUMIF(Платежи!B:B,VLOOKUP(A830,Платежи!B:B,1,0),Платежи!C:C)</f>
        <v>0</v>
      </c>
    </row>
    <row r="831" spans="1:2" x14ac:dyDescent="0.25">
      <c r="A831" t="s">
        <v>2687</v>
      </c>
      <c r="B831" s="102">
        <f>SUMIF(Платежи!B:B,VLOOKUP(A831,Платежи!B:B,1,0),Платежи!C:C)</f>
        <v>0</v>
      </c>
    </row>
    <row r="832" spans="1:2" x14ac:dyDescent="0.25">
      <c r="A832" t="s">
        <v>2688</v>
      </c>
      <c r="B832" s="102">
        <f>SUMIF(Платежи!B:B,VLOOKUP(A832,Платежи!B:B,1,0),Платежи!C:C)</f>
        <v>0</v>
      </c>
    </row>
    <row r="833" spans="1:2" x14ac:dyDescent="0.25">
      <c r="A833" t="s">
        <v>2689</v>
      </c>
      <c r="B833" s="102">
        <f>SUMIF(Платежи!B:B,VLOOKUP(A833,Платежи!B:B,1,0),Платежи!C:C)</f>
        <v>0</v>
      </c>
    </row>
    <row r="834" spans="1:2" x14ac:dyDescent="0.25">
      <c r="A834" t="s">
        <v>691</v>
      </c>
      <c r="B834" s="102">
        <f>SUMIF(Платежи!B:B,VLOOKUP(A834,Платежи!B:B,1,0),Платежи!C:C)</f>
        <v>0</v>
      </c>
    </row>
    <row r="835" spans="1:2" x14ac:dyDescent="0.25">
      <c r="A835" t="s">
        <v>2690</v>
      </c>
      <c r="B835" s="102">
        <f>SUMIF(Платежи!B:B,VLOOKUP(A835,Платежи!B:B,1,0),Платежи!C:C)</f>
        <v>0</v>
      </c>
    </row>
    <row r="836" spans="1:2" x14ac:dyDescent="0.25">
      <c r="A836" t="s">
        <v>2691</v>
      </c>
      <c r="B836" s="102">
        <f>SUMIF(Платежи!B:B,VLOOKUP(A836,Платежи!B:B,1,0),Платежи!C:C)</f>
        <v>0</v>
      </c>
    </row>
    <row r="837" spans="1:2" x14ac:dyDescent="0.25">
      <c r="A837" t="s">
        <v>2692</v>
      </c>
      <c r="B837" s="102">
        <f>SUMIF(Платежи!B:B,VLOOKUP(A837,Платежи!B:B,1,0),Платежи!C:C)</f>
        <v>0</v>
      </c>
    </row>
    <row r="838" spans="1:2" x14ac:dyDescent="0.25">
      <c r="A838" t="s">
        <v>3297</v>
      </c>
      <c r="B838" s="102">
        <f>SUMIF(Платежи!B:B,VLOOKUP(A838,Платежи!B:B,1,0),Платежи!C:C)</f>
        <v>0</v>
      </c>
    </row>
    <row r="839" spans="1:2" x14ac:dyDescent="0.25">
      <c r="A839" t="s">
        <v>3298</v>
      </c>
      <c r="B839" s="102">
        <f>SUMIF(Платежи!B:B,VLOOKUP(A839,Платежи!B:B,1,0),Платежи!C:C)</f>
        <v>0</v>
      </c>
    </row>
    <row r="840" spans="1:2" x14ac:dyDescent="0.25">
      <c r="A840" t="s">
        <v>2693</v>
      </c>
      <c r="B840" s="102">
        <f>SUMIF(Платежи!B:B,VLOOKUP(A840,Платежи!B:B,1,0),Платежи!C:C)</f>
        <v>0</v>
      </c>
    </row>
    <row r="841" spans="1:2" x14ac:dyDescent="0.25">
      <c r="A841" t="s">
        <v>2694</v>
      </c>
      <c r="B841" s="102">
        <f>SUMIF(Платежи!B:B,VLOOKUP(A841,Платежи!B:B,1,0),Платежи!C:C)</f>
        <v>0</v>
      </c>
    </row>
    <row r="842" spans="1:2" x14ac:dyDescent="0.25">
      <c r="A842" t="s">
        <v>2695</v>
      </c>
      <c r="B842" s="102">
        <f>SUMIF(Платежи!B:B,VLOOKUP(A842,Платежи!B:B,1,0),Платежи!C:C)</f>
        <v>0</v>
      </c>
    </row>
    <row r="843" spans="1:2" x14ac:dyDescent="0.25">
      <c r="A843" t="s">
        <v>2696</v>
      </c>
      <c r="B843" s="102">
        <f>SUMIF(Платежи!B:B,VLOOKUP(A843,Платежи!B:B,1,0),Платежи!C:C)</f>
        <v>0</v>
      </c>
    </row>
    <row r="844" spans="1:2" x14ac:dyDescent="0.25">
      <c r="A844" t="s">
        <v>2697</v>
      </c>
      <c r="B844" s="102">
        <f>SUMIF(Платежи!B:B,VLOOKUP(A844,Платежи!B:B,1,0),Платежи!C:C)</f>
        <v>0</v>
      </c>
    </row>
    <row r="845" spans="1:2" x14ac:dyDescent="0.25">
      <c r="A845" t="s">
        <v>2698</v>
      </c>
      <c r="B845" s="102">
        <f>SUMIF(Платежи!B:B,VLOOKUP(A845,Платежи!B:B,1,0),Платежи!C:C)</f>
        <v>0</v>
      </c>
    </row>
    <row r="846" spans="1:2" x14ac:dyDescent="0.25">
      <c r="A846" t="s">
        <v>2699</v>
      </c>
      <c r="B846" s="102">
        <f>SUMIF(Платежи!B:B,VLOOKUP(A846,Платежи!B:B,1,0),Платежи!C:C)</f>
        <v>0</v>
      </c>
    </row>
    <row r="847" spans="1:2" x14ac:dyDescent="0.25">
      <c r="A847" t="s">
        <v>2700</v>
      </c>
      <c r="B847" s="102">
        <f>SUMIF(Платежи!B:B,VLOOKUP(A847,Платежи!B:B,1,0),Платежи!C:C)</f>
        <v>0</v>
      </c>
    </row>
    <row r="848" spans="1:2" x14ac:dyDescent="0.25">
      <c r="A848" t="s">
        <v>2701</v>
      </c>
      <c r="B848" s="102">
        <f>SUMIF(Платежи!B:B,VLOOKUP(A848,Платежи!B:B,1,0),Платежи!C:C)</f>
        <v>0</v>
      </c>
    </row>
    <row r="849" spans="1:2" x14ac:dyDescent="0.25">
      <c r="A849" t="s">
        <v>2702</v>
      </c>
      <c r="B849" s="102">
        <f>SUMIF(Платежи!B:B,VLOOKUP(A849,Платежи!B:B,1,0),Платежи!C:C)</f>
        <v>0</v>
      </c>
    </row>
    <row r="850" spans="1:2" x14ac:dyDescent="0.25">
      <c r="A850" t="s">
        <v>2703</v>
      </c>
      <c r="B850" s="102">
        <f>SUMIF(Платежи!B:B,VLOOKUP(A850,Платежи!B:B,1,0),Платежи!C:C)</f>
        <v>0</v>
      </c>
    </row>
    <row r="851" spans="1:2" x14ac:dyDescent="0.25">
      <c r="A851" t="s">
        <v>2704</v>
      </c>
      <c r="B851" s="102">
        <f>SUMIF(Платежи!B:B,VLOOKUP(A851,Платежи!B:B,1,0),Платежи!C:C)</f>
        <v>0</v>
      </c>
    </row>
    <row r="852" spans="1:2" x14ac:dyDescent="0.25">
      <c r="A852" t="s">
        <v>2705</v>
      </c>
      <c r="B852" s="102">
        <f>SUMIF(Платежи!B:B,VLOOKUP(A852,Платежи!B:B,1,0),Платежи!C:C)</f>
        <v>0</v>
      </c>
    </row>
    <row r="853" spans="1:2" x14ac:dyDescent="0.25">
      <c r="A853" t="s">
        <v>2706</v>
      </c>
      <c r="B853" s="102">
        <f>SUMIF(Платежи!B:B,VLOOKUP(A853,Платежи!B:B,1,0),Платежи!C:C)</f>
        <v>0</v>
      </c>
    </row>
    <row r="854" spans="1:2" x14ac:dyDescent="0.25">
      <c r="A854" t="s">
        <v>2707</v>
      </c>
      <c r="B854" s="102">
        <f>SUMIF(Платежи!B:B,VLOOKUP(A854,Платежи!B:B,1,0),Платежи!C:C)</f>
        <v>0</v>
      </c>
    </row>
    <row r="855" spans="1:2" x14ac:dyDescent="0.25">
      <c r="A855" t="s">
        <v>2708</v>
      </c>
      <c r="B855" s="102">
        <f>SUMIF(Платежи!B:B,VLOOKUP(A855,Платежи!B:B,1,0),Платежи!C:C)</f>
        <v>0</v>
      </c>
    </row>
    <row r="856" spans="1:2" x14ac:dyDescent="0.25">
      <c r="A856" t="s">
        <v>2709</v>
      </c>
      <c r="B856" s="102">
        <f>SUMIF(Платежи!B:B,VLOOKUP(A856,Платежи!B:B,1,0),Платежи!C:C)</f>
        <v>0</v>
      </c>
    </row>
    <row r="857" spans="1:2" x14ac:dyDescent="0.25">
      <c r="A857" t="s">
        <v>2710</v>
      </c>
      <c r="B857" s="102">
        <f>SUMIF(Платежи!B:B,VLOOKUP(A857,Платежи!B:B,1,0),Платежи!C:C)</f>
        <v>0</v>
      </c>
    </row>
    <row r="858" spans="1:2" x14ac:dyDescent="0.25">
      <c r="A858" t="s">
        <v>2711</v>
      </c>
      <c r="B858" s="102">
        <f>SUMIF(Платежи!B:B,VLOOKUP(A858,Платежи!B:B,1,0),Платежи!C:C)</f>
        <v>0</v>
      </c>
    </row>
    <row r="859" spans="1:2" x14ac:dyDescent="0.25">
      <c r="A859" t="s">
        <v>2712</v>
      </c>
      <c r="B859" s="102">
        <f>SUMIF(Платежи!B:B,VLOOKUP(A859,Платежи!B:B,1,0),Платежи!C:C)</f>
        <v>0</v>
      </c>
    </row>
    <row r="860" spans="1:2" x14ac:dyDescent="0.25">
      <c r="A860" t="s">
        <v>2713</v>
      </c>
      <c r="B860" s="102">
        <f>SUMIF(Платежи!B:B,VLOOKUP(A860,Платежи!B:B,1,0),Платежи!C:C)</f>
        <v>0</v>
      </c>
    </row>
    <row r="861" spans="1:2" x14ac:dyDescent="0.25">
      <c r="A861" t="s">
        <v>2714</v>
      </c>
      <c r="B861" s="102">
        <f>SUMIF(Платежи!B:B,VLOOKUP(A861,Платежи!B:B,1,0),Платежи!C:C)</f>
        <v>0</v>
      </c>
    </row>
    <row r="862" spans="1:2" x14ac:dyDescent="0.25">
      <c r="A862" t="s">
        <v>3299</v>
      </c>
      <c r="B862" s="102">
        <f>SUMIF(Платежи!B:B,VLOOKUP(A862,Платежи!B:B,1,0),Платежи!C:C)</f>
        <v>0</v>
      </c>
    </row>
    <row r="863" spans="1:2" x14ac:dyDescent="0.25">
      <c r="A863" t="s">
        <v>2715</v>
      </c>
      <c r="B863" s="102">
        <f>SUMIF(Платежи!B:B,VLOOKUP(A863,Платежи!B:B,1,0),Платежи!C:C)</f>
        <v>0</v>
      </c>
    </row>
    <row r="864" spans="1:2" x14ac:dyDescent="0.25">
      <c r="A864" t="s">
        <v>3300</v>
      </c>
      <c r="B864" s="102">
        <f>SUMIF(Платежи!B:B,VLOOKUP(A864,Платежи!B:B,1,0),Платежи!C:C)</f>
        <v>0</v>
      </c>
    </row>
    <row r="865" spans="1:2" x14ac:dyDescent="0.25">
      <c r="A865" t="s">
        <v>2716</v>
      </c>
      <c r="B865" s="102">
        <f>SUMIF(Платежи!B:B,VLOOKUP(A865,Платежи!B:B,1,0),Платежи!C:C)</f>
        <v>0</v>
      </c>
    </row>
    <row r="866" spans="1:2" x14ac:dyDescent="0.25">
      <c r="A866" t="s">
        <v>2717</v>
      </c>
      <c r="B866" s="102">
        <f>SUMIF(Платежи!B:B,VLOOKUP(A866,Платежи!B:B,1,0),Платежи!C:C)</f>
        <v>0</v>
      </c>
    </row>
    <row r="867" spans="1:2" x14ac:dyDescent="0.25">
      <c r="A867" t="s">
        <v>2718</v>
      </c>
      <c r="B867" s="102">
        <f>SUMIF(Платежи!B:B,VLOOKUP(A867,Платежи!B:B,1,0),Платежи!C:C)</f>
        <v>0</v>
      </c>
    </row>
    <row r="868" spans="1:2" x14ac:dyDescent="0.25">
      <c r="A868" t="s">
        <v>2719</v>
      </c>
      <c r="B868" s="102">
        <f>SUMIF(Платежи!B:B,VLOOKUP(A868,Платежи!B:B,1,0),Платежи!C:C)</f>
        <v>0</v>
      </c>
    </row>
    <row r="869" spans="1:2" x14ac:dyDescent="0.25">
      <c r="A869" t="s">
        <v>2720</v>
      </c>
      <c r="B869" s="102">
        <f>SUMIF(Платежи!B:B,VLOOKUP(A869,Платежи!B:B,1,0),Платежи!C:C)</f>
        <v>0</v>
      </c>
    </row>
    <row r="870" spans="1:2" x14ac:dyDescent="0.25">
      <c r="A870" t="s">
        <v>2721</v>
      </c>
      <c r="B870" s="102">
        <f>SUMIF(Платежи!B:B,VLOOKUP(A870,Платежи!B:B,1,0),Платежи!C:C)</f>
        <v>0</v>
      </c>
    </row>
    <row r="871" spans="1:2" x14ac:dyDescent="0.25">
      <c r="A871" t="s">
        <v>3301</v>
      </c>
      <c r="B871" s="102">
        <f>SUMIF(Платежи!B:B,VLOOKUP(A871,Платежи!B:B,1,0),Платежи!C:C)</f>
        <v>0</v>
      </c>
    </row>
    <row r="872" spans="1:2" x14ac:dyDescent="0.25">
      <c r="A872" t="s">
        <v>2722</v>
      </c>
      <c r="B872" s="102">
        <f>SUMIF(Платежи!B:B,VLOOKUP(A872,Платежи!B:B,1,0),Платежи!C:C)</f>
        <v>0</v>
      </c>
    </row>
    <row r="873" spans="1:2" x14ac:dyDescent="0.25">
      <c r="A873" t="s">
        <v>2723</v>
      </c>
      <c r="B873" s="102">
        <f>SUMIF(Платежи!B:B,VLOOKUP(A873,Платежи!B:B,1,0),Платежи!C:C)</f>
        <v>0</v>
      </c>
    </row>
    <row r="874" spans="1:2" x14ac:dyDescent="0.25">
      <c r="A874" t="s">
        <v>2724</v>
      </c>
      <c r="B874" s="102">
        <f>SUMIF(Платежи!B:B,VLOOKUP(A874,Платежи!B:B,1,0),Платежи!C:C)</f>
        <v>0</v>
      </c>
    </row>
    <row r="875" spans="1:2" x14ac:dyDescent="0.25">
      <c r="A875" t="s">
        <v>2725</v>
      </c>
      <c r="B875" s="102">
        <f>SUMIF(Платежи!B:B,VLOOKUP(A875,Платежи!B:B,1,0),Платежи!C:C)</f>
        <v>0</v>
      </c>
    </row>
    <row r="876" spans="1:2" x14ac:dyDescent="0.25">
      <c r="A876" t="s">
        <v>2726</v>
      </c>
      <c r="B876" s="102">
        <f>SUMIF(Платежи!B:B,VLOOKUP(A876,Платежи!B:B,1,0),Платежи!C:C)</f>
        <v>0</v>
      </c>
    </row>
    <row r="877" spans="1:2" x14ac:dyDescent="0.25">
      <c r="A877" t="s">
        <v>3302</v>
      </c>
      <c r="B877" s="102">
        <f>SUMIF(Платежи!B:B,VLOOKUP(A877,Платежи!B:B,1,0),Платежи!C:C)</f>
        <v>0</v>
      </c>
    </row>
    <row r="878" spans="1:2" x14ac:dyDescent="0.25">
      <c r="A878" t="s">
        <v>3303</v>
      </c>
      <c r="B878" s="102">
        <f>SUMIF(Платежи!B:B,VLOOKUP(A878,Платежи!B:B,1,0),Платежи!C:C)</f>
        <v>0</v>
      </c>
    </row>
    <row r="879" spans="1:2" x14ac:dyDescent="0.25">
      <c r="A879" t="s">
        <v>3304</v>
      </c>
      <c r="B879" s="102">
        <f>SUMIF(Платежи!B:B,VLOOKUP(A879,Платежи!B:B,1,0),Платежи!C:C)</f>
        <v>0</v>
      </c>
    </row>
    <row r="880" spans="1:2" x14ac:dyDescent="0.25">
      <c r="A880" t="s">
        <v>2727</v>
      </c>
      <c r="B880" s="102">
        <f>SUMIF(Платежи!B:B,VLOOKUP(A880,Платежи!B:B,1,0),Платежи!C:C)</f>
        <v>0</v>
      </c>
    </row>
    <row r="881" spans="1:2" x14ac:dyDescent="0.25">
      <c r="A881" t="s">
        <v>3305</v>
      </c>
      <c r="B881" s="102">
        <f>SUMIF(Платежи!B:B,VLOOKUP(A881,Платежи!B:B,1,0),Платежи!C:C)</f>
        <v>0</v>
      </c>
    </row>
    <row r="882" spans="1:2" x14ac:dyDescent="0.25">
      <c r="A882" t="s">
        <v>2728</v>
      </c>
      <c r="B882" s="102">
        <f>SUMIF(Платежи!B:B,VLOOKUP(A882,Платежи!B:B,1,0),Платежи!C:C)</f>
        <v>0</v>
      </c>
    </row>
    <row r="883" spans="1:2" x14ac:dyDescent="0.25">
      <c r="A883" t="s">
        <v>2729</v>
      </c>
      <c r="B883" s="102">
        <f>SUMIF(Платежи!B:B,VLOOKUP(A883,Платежи!B:B,1,0),Платежи!C:C)</f>
        <v>0</v>
      </c>
    </row>
    <row r="884" spans="1:2" x14ac:dyDescent="0.25">
      <c r="A884" t="s">
        <v>2730</v>
      </c>
      <c r="B884" s="102">
        <f>SUMIF(Платежи!B:B,VLOOKUP(A884,Платежи!B:B,1,0),Платежи!C:C)</f>
        <v>0</v>
      </c>
    </row>
    <row r="885" spans="1:2" x14ac:dyDescent="0.25">
      <c r="A885" t="s">
        <v>697</v>
      </c>
      <c r="B885" s="102">
        <f>SUMIF(Платежи!B:B,VLOOKUP(A885,Платежи!B:B,1,0),Платежи!C:C)</f>
        <v>0</v>
      </c>
    </row>
    <row r="886" spans="1:2" x14ac:dyDescent="0.25">
      <c r="A886" t="s">
        <v>2731</v>
      </c>
      <c r="B886" s="102">
        <f>SUMIF(Платежи!B:B,VLOOKUP(A886,Платежи!B:B,1,0),Платежи!C:C)</f>
        <v>0</v>
      </c>
    </row>
    <row r="887" spans="1:2" x14ac:dyDescent="0.25">
      <c r="A887" t="s">
        <v>2732</v>
      </c>
      <c r="B887" s="102">
        <f>SUMIF(Платежи!B:B,VLOOKUP(A887,Платежи!B:B,1,0),Платежи!C:C)</f>
        <v>0</v>
      </c>
    </row>
    <row r="888" spans="1:2" x14ac:dyDescent="0.25">
      <c r="A888" t="s">
        <v>2733</v>
      </c>
      <c r="B888" s="102">
        <f>SUMIF(Платежи!B:B,VLOOKUP(A888,Платежи!B:B,1,0),Платежи!C:C)</f>
        <v>0</v>
      </c>
    </row>
    <row r="889" spans="1:2" x14ac:dyDescent="0.25">
      <c r="A889" t="s">
        <v>2734</v>
      </c>
      <c r="B889" s="102">
        <f>SUMIF(Платежи!B:B,VLOOKUP(A889,Платежи!B:B,1,0),Платежи!C:C)</f>
        <v>0</v>
      </c>
    </row>
    <row r="890" spans="1:2" x14ac:dyDescent="0.25">
      <c r="A890" t="s">
        <v>2735</v>
      </c>
      <c r="B890" s="102">
        <f>SUMIF(Платежи!B:B,VLOOKUP(A890,Платежи!B:B,1,0),Платежи!C:C)</f>
        <v>0</v>
      </c>
    </row>
    <row r="891" spans="1:2" x14ac:dyDescent="0.25">
      <c r="A891" t="s">
        <v>2736</v>
      </c>
      <c r="B891" s="102">
        <f>SUMIF(Платежи!B:B,VLOOKUP(A891,Платежи!B:B,1,0),Платежи!C:C)</f>
        <v>0</v>
      </c>
    </row>
    <row r="892" spans="1:2" x14ac:dyDescent="0.25">
      <c r="A892" t="s">
        <v>2737</v>
      </c>
      <c r="B892" s="102">
        <f>SUMIF(Платежи!B:B,VLOOKUP(A892,Платежи!B:B,1,0),Платежи!C:C)</f>
        <v>0</v>
      </c>
    </row>
    <row r="893" spans="1:2" x14ac:dyDescent="0.25">
      <c r="A893" t="s">
        <v>2738</v>
      </c>
      <c r="B893" s="102">
        <f>SUMIF(Платежи!B:B,VLOOKUP(A893,Платежи!B:B,1,0),Платежи!C:C)</f>
        <v>0</v>
      </c>
    </row>
    <row r="894" spans="1:2" x14ac:dyDescent="0.25">
      <c r="A894" t="s">
        <v>3306</v>
      </c>
      <c r="B894" s="102">
        <f>SUMIF(Платежи!B:B,VLOOKUP(A894,Платежи!B:B,1,0),Платежи!C:C)</f>
        <v>0</v>
      </c>
    </row>
    <row r="895" spans="1:2" x14ac:dyDescent="0.25">
      <c r="A895" t="s">
        <v>2739</v>
      </c>
      <c r="B895" s="102">
        <f>SUMIF(Платежи!B:B,VLOOKUP(A895,Платежи!B:B,1,0),Платежи!C:C)</f>
        <v>0</v>
      </c>
    </row>
    <row r="896" spans="1:2" x14ac:dyDescent="0.25">
      <c r="A896" t="s">
        <v>3307</v>
      </c>
      <c r="B896" s="102">
        <f>SUMIF(Платежи!B:B,VLOOKUP(A896,Платежи!B:B,1,0),Платежи!C:C)</f>
        <v>0</v>
      </c>
    </row>
    <row r="897" spans="1:2" x14ac:dyDescent="0.25">
      <c r="A897" t="s">
        <v>2740</v>
      </c>
      <c r="B897" s="102">
        <f>SUMIF(Платежи!B:B,VLOOKUP(A897,Платежи!B:B,1,0),Платежи!C:C)</f>
        <v>0</v>
      </c>
    </row>
    <row r="898" spans="1:2" x14ac:dyDescent="0.25">
      <c r="A898" t="s">
        <v>2741</v>
      </c>
      <c r="B898" s="102">
        <f>SUMIF(Платежи!B:B,VLOOKUP(A898,Платежи!B:B,1,0),Платежи!C:C)</f>
        <v>0</v>
      </c>
    </row>
    <row r="899" spans="1:2" x14ac:dyDescent="0.25">
      <c r="A899" t="s">
        <v>3308</v>
      </c>
      <c r="B899" s="102">
        <f>SUMIF(Платежи!B:B,VLOOKUP(A899,Платежи!B:B,1,0),Платежи!C:C)</f>
        <v>0</v>
      </c>
    </row>
    <row r="900" spans="1:2" x14ac:dyDescent="0.25">
      <c r="A900" t="s">
        <v>2742</v>
      </c>
      <c r="B900" s="102">
        <f>SUMIF(Платежи!B:B,VLOOKUP(A900,Платежи!B:B,1,0),Платежи!C:C)</f>
        <v>0</v>
      </c>
    </row>
    <row r="901" spans="1:2" x14ac:dyDescent="0.25">
      <c r="A901" t="s">
        <v>2743</v>
      </c>
      <c r="B901" s="102">
        <f>SUMIF(Платежи!B:B,VLOOKUP(A901,Платежи!B:B,1,0),Платежи!C:C)</f>
        <v>0</v>
      </c>
    </row>
    <row r="902" spans="1:2" x14ac:dyDescent="0.25">
      <c r="A902" t="s">
        <v>2744</v>
      </c>
      <c r="B902" s="102">
        <f>SUMIF(Платежи!B:B,VLOOKUP(A902,Платежи!B:B,1,0),Платежи!C:C)</f>
        <v>0</v>
      </c>
    </row>
    <row r="903" spans="1:2" x14ac:dyDescent="0.25">
      <c r="A903" t="s">
        <v>2745</v>
      </c>
      <c r="B903" s="102">
        <f>SUMIF(Платежи!B:B,VLOOKUP(A903,Платежи!B:B,1,0),Платежи!C:C)</f>
        <v>0</v>
      </c>
    </row>
    <row r="904" spans="1:2" x14ac:dyDescent="0.25">
      <c r="A904" t="s">
        <v>2746</v>
      </c>
      <c r="B904" s="102">
        <f>SUMIF(Платежи!B:B,VLOOKUP(A904,Платежи!B:B,1,0),Платежи!C:C)</f>
        <v>0</v>
      </c>
    </row>
    <row r="905" spans="1:2" x14ac:dyDescent="0.25">
      <c r="A905" t="s">
        <v>2747</v>
      </c>
      <c r="B905" s="102">
        <f>SUMIF(Платежи!B:B,VLOOKUP(A905,Платежи!B:B,1,0),Платежи!C:C)</f>
        <v>0</v>
      </c>
    </row>
    <row r="906" spans="1:2" x14ac:dyDescent="0.25">
      <c r="A906" t="s">
        <v>2748</v>
      </c>
      <c r="B906" s="102">
        <f>SUMIF(Платежи!B:B,VLOOKUP(A906,Платежи!B:B,1,0),Платежи!C:C)</f>
        <v>0</v>
      </c>
    </row>
    <row r="907" spans="1:2" x14ac:dyDescent="0.25">
      <c r="A907" t="s">
        <v>2749</v>
      </c>
      <c r="B907" s="102">
        <f>SUMIF(Платежи!B:B,VLOOKUP(A907,Платежи!B:B,1,0),Платежи!C:C)</f>
        <v>0</v>
      </c>
    </row>
    <row r="908" spans="1:2" x14ac:dyDescent="0.25">
      <c r="A908" t="s">
        <v>2750</v>
      </c>
      <c r="B908" s="102">
        <f>SUMIF(Платежи!B:B,VLOOKUP(A908,Платежи!B:B,1,0),Платежи!C:C)</f>
        <v>0</v>
      </c>
    </row>
    <row r="909" spans="1:2" x14ac:dyDescent="0.25">
      <c r="A909" t="s">
        <v>2751</v>
      </c>
      <c r="B909" s="102">
        <f>SUMIF(Платежи!B:B,VLOOKUP(A909,Платежи!B:B,1,0),Платежи!C:C)</f>
        <v>0</v>
      </c>
    </row>
    <row r="910" spans="1:2" x14ac:dyDescent="0.25">
      <c r="A910" t="s">
        <v>2752</v>
      </c>
      <c r="B910" s="102">
        <f>SUMIF(Платежи!B:B,VLOOKUP(A910,Платежи!B:B,1,0),Платежи!C:C)</f>
        <v>0</v>
      </c>
    </row>
    <row r="911" spans="1:2" x14ac:dyDescent="0.25">
      <c r="A911" t="s">
        <v>3309</v>
      </c>
      <c r="B911" s="102">
        <f>SUMIF(Платежи!B:B,VLOOKUP(A911,Платежи!B:B,1,0),Платежи!C:C)</f>
        <v>0</v>
      </c>
    </row>
    <row r="912" spans="1:2" x14ac:dyDescent="0.25">
      <c r="A912" t="s">
        <v>2753</v>
      </c>
      <c r="B912" s="102">
        <f>SUMIF(Платежи!B:B,VLOOKUP(A912,Платежи!B:B,1,0),Платежи!C:C)</f>
        <v>0</v>
      </c>
    </row>
    <row r="913" spans="1:2" x14ac:dyDescent="0.25">
      <c r="A913" t="s">
        <v>2754</v>
      </c>
      <c r="B913" s="102">
        <f>SUMIF(Платежи!B:B,VLOOKUP(A913,Платежи!B:B,1,0),Платежи!C:C)</f>
        <v>0</v>
      </c>
    </row>
    <row r="914" spans="1:2" x14ac:dyDescent="0.25">
      <c r="A914" t="s">
        <v>2755</v>
      </c>
      <c r="B914" s="102">
        <f>SUMIF(Платежи!B:B,VLOOKUP(A914,Платежи!B:B,1,0),Платежи!C:C)</f>
        <v>0</v>
      </c>
    </row>
    <row r="915" spans="1:2" x14ac:dyDescent="0.25">
      <c r="A915" t="s">
        <v>2756</v>
      </c>
      <c r="B915" s="102">
        <f>SUMIF(Платежи!B:B,VLOOKUP(A915,Платежи!B:B,1,0),Платежи!C:C)</f>
        <v>0</v>
      </c>
    </row>
    <row r="916" spans="1:2" x14ac:dyDescent="0.25">
      <c r="A916" t="s">
        <v>2757</v>
      </c>
      <c r="B916" s="102">
        <f>SUMIF(Платежи!B:B,VLOOKUP(A916,Платежи!B:B,1,0),Платежи!C:C)</f>
        <v>0</v>
      </c>
    </row>
    <row r="917" spans="1:2" x14ac:dyDescent="0.25">
      <c r="A917" t="s">
        <v>2758</v>
      </c>
      <c r="B917" s="102">
        <f>SUMIF(Платежи!B:B,VLOOKUP(A917,Платежи!B:B,1,0),Платежи!C:C)</f>
        <v>0</v>
      </c>
    </row>
    <row r="918" spans="1:2" x14ac:dyDescent="0.25">
      <c r="A918" t="s">
        <v>2759</v>
      </c>
      <c r="B918" s="102">
        <f>SUMIF(Платежи!B:B,VLOOKUP(A918,Платежи!B:B,1,0),Платежи!C:C)</f>
        <v>0</v>
      </c>
    </row>
    <row r="919" spans="1:2" x14ac:dyDescent="0.25">
      <c r="A919" t="s">
        <v>3310</v>
      </c>
      <c r="B919" s="102">
        <f>SUMIF(Платежи!B:B,VLOOKUP(A919,Платежи!B:B,1,0),Платежи!C:C)</f>
        <v>0</v>
      </c>
    </row>
    <row r="920" spans="1:2" x14ac:dyDescent="0.25">
      <c r="A920" t="s">
        <v>3311</v>
      </c>
      <c r="B920" s="102">
        <f>SUMIF(Платежи!B:B,VLOOKUP(A920,Платежи!B:B,1,0),Платежи!C:C)</f>
        <v>0</v>
      </c>
    </row>
    <row r="921" spans="1:2" x14ac:dyDescent="0.25">
      <c r="A921" t="s">
        <v>2760</v>
      </c>
      <c r="B921" s="102">
        <f>SUMIF(Платежи!B:B,VLOOKUP(A921,Платежи!B:B,1,0),Платежи!C:C)</f>
        <v>0</v>
      </c>
    </row>
    <row r="922" spans="1:2" x14ac:dyDescent="0.25">
      <c r="A922" t="s">
        <v>2761</v>
      </c>
      <c r="B922" s="102">
        <f>SUMIF(Платежи!B:B,VLOOKUP(A922,Платежи!B:B,1,0),Платежи!C:C)</f>
        <v>0</v>
      </c>
    </row>
    <row r="923" spans="1:2" x14ac:dyDescent="0.25">
      <c r="A923" t="s">
        <v>2762</v>
      </c>
      <c r="B923" s="102">
        <f>SUMIF(Платежи!B:B,VLOOKUP(A923,Платежи!B:B,1,0),Платежи!C:C)</f>
        <v>0</v>
      </c>
    </row>
    <row r="924" spans="1:2" x14ac:dyDescent="0.25">
      <c r="A924" t="s">
        <v>3312</v>
      </c>
      <c r="B924" s="102">
        <f>SUMIF(Платежи!B:B,VLOOKUP(A924,Платежи!B:B,1,0),Платежи!C:C)</f>
        <v>0</v>
      </c>
    </row>
    <row r="925" spans="1:2" x14ac:dyDescent="0.25">
      <c r="A925" t="s">
        <v>2763</v>
      </c>
      <c r="B925" s="102">
        <f>SUMIF(Платежи!B:B,VLOOKUP(A925,Платежи!B:B,1,0),Платежи!C:C)</f>
        <v>0</v>
      </c>
    </row>
    <row r="926" spans="1:2" x14ac:dyDescent="0.25">
      <c r="A926" t="s">
        <v>3313</v>
      </c>
      <c r="B926" s="102">
        <f>SUMIF(Платежи!B:B,VLOOKUP(A926,Платежи!B:B,1,0),Платежи!C:C)</f>
        <v>0</v>
      </c>
    </row>
    <row r="927" spans="1:2" x14ac:dyDescent="0.25">
      <c r="A927" t="s">
        <v>3314</v>
      </c>
      <c r="B927" s="102">
        <f>SUMIF(Платежи!B:B,VLOOKUP(A927,Платежи!B:B,1,0),Платежи!C:C)</f>
        <v>0</v>
      </c>
    </row>
    <row r="928" spans="1:2" x14ac:dyDescent="0.25">
      <c r="A928" t="s">
        <v>2764</v>
      </c>
      <c r="B928" s="102">
        <f>SUMIF(Платежи!B:B,VLOOKUP(A928,Платежи!B:B,1,0),Платежи!C:C)</f>
        <v>0</v>
      </c>
    </row>
    <row r="929" spans="1:2" x14ac:dyDescent="0.25">
      <c r="A929" t="s">
        <v>2765</v>
      </c>
      <c r="B929" s="102">
        <f>SUMIF(Платежи!B:B,VLOOKUP(A929,Платежи!B:B,1,0),Платежи!C:C)</f>
        <v>0</v>
      </c>
    </row>
    <row r="930" spans="1:2" x14ac:dyDescent="0.25">
      <c r="A930" t="s">
        <v>2766</v>
      </c>
      <c r="B930" s="102">
        <f>SUMIF(Платежи!B:B,VLOOKUP(A930,Платежи!B:B,1,0),Платежи!C:C)</f>
        <v>0</v>
      </c>
    </row>
    <row r="931" spans="1:2" x14ac:dyDescent="0.25">
      <c r="A931" t="s">
        <v>2767</v>
      </c>
      <c r="B931" s="102">
        <f>SUMIF(Платежи!B:B,VLOOKUP(A931,Платежи!B:B,1,0),Платежи!C:C)</f>
        <v>0</v>
      </c>
    </row>
    <row r="932" spans="1:2" x14ac:dyDescent="0.25">
      <c r="A932" t="s">
        <v>2768</v>
      </c>
      <c r="B932" s="102">
        <f>SUMIF(Платежи!B:B,VLOOKUP(A932,Платежи!B:B,1,0),Платежи!C:C)</f>
        <v>0</v>
      </c>
    </row>
    <row r="933" spans="1:2" x14ac:dyDescent="0.25">
      <c r="A933" t="s">
        <v>2769</v>
      </c>
      <c r="B933" s="102">
        <f>SUMIF(Платежи!B:B,VLOOKUP(A933,Платежи!B:B,1,0),Платежи!C:C)</f>
        <v>0</v>
      </c>
    </row>
    <row r="934" spans="1:2" x14ac:dyDescent="0.25">
      <c r="A934" t="s">
        <v>3315</v>
      </c>
      <c r="B934" s="102">
        <f>SUMIF(Платежи!B:B,VLOOKUP(A934,Платежи!B:B,1,0),Платежи!C:C)</f>
        <v>0</v>
      </c>
    </row>
    <row r="935" spans="1:2" x14ac:dyDescent="0.25">
      <c r="A935" t="s">
        <v>2770</v>
      </c>
      <c r="B935" s="102">
        <f>SUMIF(Платежи!B:B,VLOOKUP(A935,Платежи!B:B,1,0),Платежи!C:C)</f>
        <v>0</v>
      </c>
    </row>
    <row r="936" spans="1:2" x14ac:dyDescent="0.25">
      <c r="A936" t="s">
        <v>2771</v>
      </c>
      <c r="B936" s="102">
        <f>SUMIF(Платежи!B:B,VLOOKUP(A936,Платежи!B:B,1,0),Платежи!C:C)</f>
        <v>0</v>
      </c>
    </row>
    <row r="937" spans="1:2" x14ac:dyDescent="0.25">
      <c r="A937" t="s">
        <v>2772</v>
      </c>
      <c r="B937" s="102">
        <f>SUMIF(Платежи!B:B,VLOOKUP(A937,Платежи!B:B,1,0),Платежи!C:C)</f>
        <v>0</v>
      </c>
    </row>
    <row r="938" spans="1:2" x14ac:dyDescent="0.25">
      <c r="A938" t="s">
        <v>2773</v>
      </c>
      <c r="B938" s="102">
        <f>SUMIF(Платежи!B:B,VLOOKUP(A938,Платежи!B:B,1,0),Платежи!C:C)</f>
        <v>0</v>
      </c>
    </row>
    <row r="939" spans="1:2" x14ac:dyDescent="0.25">
      <c r="A939" t="s">
        <v>2774</v>
      </c>
      <c r="B939" s="102">
        <f>SUMIF(Платежи!B:B,VLOOKUP(A939,Платежи!B:B,1,0),Платежи!C:C)</f>
        <v>0</v>
      </c>
    </row>
    <row r="940" spans="1:2" x14ac:dyDescent="0.25">
      <c r="A940" t="s">
        <v>2775</v>
      </c>
      <c r="B940" s="102">
        <f>SUMIF(Платежи!B:B,VLOOKUP(A940,Платежи!B:B,1,0),Платежи!C:C)</f>
        <v>0</v>
      </c>
    </row>
    <row r="941" spans="1:2" x14ac:dyDescent="0.25">
      <c r="A941" t="s">
        <v>2776</v>
      </c>
      <c r="B941" s="102">
        <f>SUMIF(Платежи!B:B,VLOOKUP(A941,Платежи!B:B,1,0),Платежи!C:C)</f>
        <v>0</v>
      </c>
    </row>
    <row r="942" spans="1:2" x14ac:dyDescent="0.25">
      <c r="A942" t="s">
        <v>2777</v>
      </c>
      <c r="B942" s="102">
        <f>SUMIF(Платежи!B:B,VLOOKUP(A942,Платежи!B:B,1,0),Платежи!C:C)</f>
        <v>0</v>
      </c>
    </row>
    <row r="943" spans="1:2" x14ac:dyDescent="0.25">
      <c r="A943" t="s">
        <v>2778</v>
      </c>
      <c r="B943" s="102">
        <f>SUMIF(Платежи!B:B,VLOOKUP(A943,Платежи!B:B,1,0),Платежи!C:C)</f>
        <v>0</v>
      </c>
    </row>
    <row r="944" spans="1:2" x14ac:dyDescent="0.25">
      <c r="A944" t="s">
        <v>2779</v>
      </c>
      <c r="B944" s="102">
        <f>SUMIF(Платежи!B:B,VLOOKUP(A944,Платежи!B:B,1,0),Платежи!C:C)</f>
        <v>0</v>
      </c>
    </row>
    <row r="945" spans="1:2" x14ac:dyDescent="0.25">
      <c r="A945" t="s">
        <v>2780</v>
      </c>
      <c r="B945" s="102">
        <f>SUMIF(Платежи!B:B,VLOOKUP(A945,Платежи!B:B,1,0),Платежи!C:C)</f>
        <v>0</v>
      </c>
    </row>
    <row r="946" spans="1:2" x14ac:dyDescent="0.25">
      <c r="A946" t="s">
        <v>748</v>
      </c>
      <c r="B946" s="102">
        <f>SUMIF(Платежи!B:B,VLOOKUP(A946,Платежи!B:B,1,0),Платежи!C:C)</f>
        <v>0</v>
      </c>
    </row>
    <row r="947" spans="1:2" x14ac:dyDescent="0.25">
      <c r="A947" t="s">
        <v>2781</v>
      </c>
      <c r="B947" s="102">
        <f>SUMIF(Платежи!B:B,VLOOKUP(A947,Платежи!B:B,1,0),Платежи!C:C)</f>
        <v>0</v>
      </c>
    </row>
    <row r="948" spans="1:2" x14ac:dyDescent="0.25">
      <c r="A948" t="s">
        <v>2782</v>
      </c>
      <c r="B948" s="102">
        <f>SUMIF(Платежи!B:B,VLOOKUP(A948,Платежи!B:B,1,0),Платежи!C:C)</f>
        <v>0</v>
      </c>
    </row>
    <row r="949" spans="1:2" x14ac:dyDescent="0.25">
      <c r="A949" t="s">
        <v>2783</v>
      </c>
      <c r="B949" s="102">
        <f>SUMIF(Платежи!B:B,VLOOKUP(A949,Платежи!B:B,1,0),Платежи!C:C)</f>
        <v>0</v>
      </c>
    </row>
    <row r="950" spans="1:2" x14ac:dyDescent="0.25">
      <c r="A950" t="s">
        <v>2784</v>
      </c>
      <c r="B950" s="102">
        <f>SUMIF(Платежи!B:B,VLOOKUP(A950,Платежи!B:B,1,0),Платежи!C:C)</f>
        <v>0</v>
      </c>
    </row>
    <row r="951" spans="1:2" x14ac:dyDescent="0.25">
      <c r="A951" t="s">
        <v>2785</v>
      </c>
      <c r="B951" s="102">
        <f>SUMIF(Платежи!B:B,VLOOKUP(A951,Платежи!B:B,1,0),Платежи!C:C)</f>
        <v>0</v>
      </c>
    </row>
    <row r="952" spans="1:2" x14ac:dyDescent="0.25">
      <c r="A952" t="s">
        <v>2786</v>
      </c>
      <c r="B952" s="102">
        <f>SUMIF(Платежи!B:B,VLOOKUP(A952,Платежи!B:B,1,0),Платежи!C:C)</f>
        <v>0</v>
      </c>
    </row>
    <row r="953" spans="1:2" x14ac:dyDescent="0.25">
      <c r="A953" t="s">
        <v>2787</v>
      </c>
      <c r="B953" s="102">
        <f>SUMIF(Платежи!B:B,VLOOKUP(A953,Платежи!B:B,1,0),Платежи!C:C)</f>
        <v>0</v>
      </c>
    </row>
    <row r="954" spans="1:2" x14ac:dyDescent="0.25">
      <c r="A954" t="s">
        <v>2788</v>
      </c>
      <c r="B954" s="102">
        <f>SUMIF(Платежи!B:B,VLOOKUP(A954,Платежи!B:B,1,0),Платежи!C:C)</f>
        <v>0</v>
      </c>
    </row>
    <row r="955" spans="1:2" x14ac:dyDescent="0.25">
      <c r="A955" t="s">
        <v>732</v>
      </c>
      <c r="B955" s="102">
        <f>SUMIF(Платежи!B:B,VLOOKUP(A955,Платежи!B:B,1,0),Платежи!C:C)</f>
        <v>0</v>
      </c>
    </row>
    <row r="956" spans="1:2" x14ac:dyDescent="0.25">
      <c r="A956" t="s">
        <v>2789</v>
      </c>
      <c r="B956" s="102">
        <f>SUMIF(Платежи!B:B,VLOOKUP(A956,Платежи!B:B,1,0),Платежи!C:C)</f>
        <v>0</v>
      </c>
    </row>
    <row r="957" spans="1:2" x14ac:dyDescent="0.25">
      <c r="A957" t="s">
        <v>2790</v>
      </c>
      <c r="B957" s="102">
        <f>SUMIF(Платежи!B:B,VLOOKUP(A957,Платежи!B:B,1,0),Платежи!C:C)</f>
        <v>0</v>
      </c>
    </row>
    <row r="958" spans="1:2" x14ac:dyDescent="0.25">
      <c r="A958" t="s">
        <v>2791</v>
      </c>
      <c r="B958" s="102">
        <f>SUMIF(Платежи!B:B,VLOOKUP(A958,Платежи!B:B,1,0),Платежи!C:C)</f>
        <v>0</v>
      </c>
    </row>
    <row r="959" spans="1:2" x14ac:dyDescent="0.25">
      <c r="A959" t="s">
        <v>2792</v>
      </c>
      <c r="B959" s="102">
        <f>SUMIF(Платежи!B:B,VLOOKUP(A959,Платежи!B:B,1,0),Платежи!C:C)</f>
        <v>0</v>
      </c>
    </row>
    <row r="960" spans="1:2" x14ac:dyDescent="0.25">
      <c r="A960" t="s">
        <v>2793</v>
      </c>
      <c r="B960" s="102">
        <f>SUMIF(Платежи!B:B,VLOOKUP(A960,Платежи!B:B,1,0),Платежи!C:C)</f>
        <v>0</v>
      </c>
    </row>
    <row r="961" spans="1:2" x14ac:dyDescent="0.25">
      <c r="A961" t="s">
        <v>2794</v>
      </c>
      <c r="B961" s="102">
        <f>SUMIF(Платежи!B:B,VLOOKUP(A961,Платежи!B:B,1,0),Платежи!C:C)</f>
        <v>0</v>
      </c>
    </row>
    <row r="962" spans="1:2" x14ac:dyDescent="0.25">
      <c r="A962" t="s">
        <v>3316</v>
      </c>
      <c r="B962" s="102">
        <f>SUMIF(Платежи!B:B,VLOOKUP(A962,Платежи!B:B,1,0),Платежи!C:C)</f>
        <v>0</v>
      </c>
    </row>
    <row r="963" spans="1:2" x14ac:dyDescent="0.25">
      <c r="A963" t="s">
        <v>2795</v>
      </c>
      <c r="B963" s="102">
        <f>SUMIF(Платежи!B:B,VLOOKUP(A963,Платежи!B:B,1,0),Платежи!C:C)</f>
        <v>0</v>
      </c>
    </row>
    <row r="964" spans="1:2" x14ac:dyDescent="0.25">
      <c r="A964" t="s">
        <v>2796</v>
      </c>
      <c r="B964" s="102">
        <f>SUMIF(Платежи!B:B,VLOOKUP(A964,Платежи!B:B,1,0),Платежи!C:C)</f>
        <v>0</v>
      </c>
    </row>
    <row r="965" spans="1:2" x14ac:dyDescent="0.25">
      <c r="A965" t="s">
        <v>705</v>
      </c>
      <c r="B965" s="102">
        <f>SUMIF(Платежи!B:B,VLOOKUP(A965,Платежи!B:B,1,0),Платежи!C:C)</f>
        <v>0</v>
      </c>
    </row>
    <row r="966" spans="1:2" x14ac:dyDescent="0.25">
      <c r="A966" t="s">
        <v>2797</v>
      </c>
      <c r="B966" s="102">
        <f>SUMIF(Платежи!B:B,VLOOKUP(A966,Платежи!B:B,1,0),Платежи!C:C)</f>
        <v>0</v>
      </c>
    </row>
    <row r="967" spans="1:2" x14ac:dyDescent="0.25">
      <c r="A967" t="s">
        <v>2798</v>
      </c>
      <c r="B967" s="102">
        <f>SUMIF(Платежи!B:B,VLOOKUP(A967,Платежи!B:B,1,0),Платежи!C:C)</f>
        <v>0</v>
      </c>
    </row>
    <row r="968" spans="1:2" x14ac:dyDescent="0.25">
      <c r="A968" t="s">
        <v>2799</v>
      </c>
      <c r="B968" s="102">
        <f>SUMIF(Платежи!B:B,VLOOKUP(A968,Платежи!B:B,1,0),Платежи!C:C)</f>
        <v>0</v>
      </c>
    </row>
    <row r="969" spans="1:2" x14ac:dyDescent="0.25">
      <c r="A969" t="s">
        <v>2800</v>
      </c>
      <c r="B969" s="102">
        <f>SUMIF(Платежи!B:B,VLOOKUP(A969,Платежи!B:B,1,0),Платежи!C:C)</f>
        <v>0</v>
      </c>
    </row>
    <row r="970" spans="1:2" x14ac:dyDescent="0.25">
      <c r="A970" t="s">
        <v>2801</v>
      </c>
      <c r="B970" s="102">
        <f>SUMIF(Платежи!B:B,VLOOKUP(A970,Платежи!B:B,1,0),Платежи!C:C)</f>
        <v>0</v>
      </c>
    </row>
    <row r="971" spans="1:2" x14ac:dyDescent="0.25">
      <c r="A971" t="s">
        <v>2802</v>
      </c>
      <c r="B971" s="102">
        <f>SUMIF(Платежи!B:B,VLOOKUP(A971,Платежи!B:B,1,0),Платежи!C:C)</f>
        <v>0</v>
      </c>
    </row>
    <row r="972" spans="1:2" x14ac:dyDescent="0.25">
      <c r="A972" t="s">
        <v>2803</v>
      </c>
      <c r="B972" s="102">
        <f>SUMIF(Платежи!B:B,VLOOKUP(A972,Платежи!B:B,1,0),Платежи!C:C)</f>
        <v>0</v>
      </c>
    </row>
    <row r="973" spans="1:2" x14ac:dyDescent="0.25">
      <c r="A973" t="s">
        <v>2804</v>
      </c>
      <c r="B973" s="102">
        <f>SUMIF(Платежи!B:B,VLOOKUP(A973,Платежи!B:B,1,0),Платежи!C:C)</f>
        <v>0</v>
      </c>
    </row>
    <row r="974" spans="1:2" x14ac:dyDescent="0.25">
      <c r="A974" t="s">
        <v>707</v>
      </c>
      <c r="B974" s="102">
        <f>SUMIF(Платежи!B:B,VLOOKUP(A974,Платежи!B:B,1,0),Платежи!C:C)</f>
        <v>0</v>
      </c>
    </row>
    <row r="975" spans="1:2" x14ac:dyDescent="0.25">
      <c r="A975" t="s">
        <v>2805</v>
      </c>
      <c r="B975" s="102">
        <f>SUMIF(Платежи!B:B,VLOOKUP(A975,Платежи!B:B,1,0),Платежи!C:C)</f>
        <v>0</v>
      </c>
    </row>
    <row r="976" spans="1:2" x14ac:dyDescent="0.25">
      <c r="A976" t="s">
        <v>2806</v>
      </c>
      <c r="B976" s="102">
        <f>SUMIF(Платежи!B:B,VLOOKUP(A976,Платежи!B:B,1,0),Платежи!C:C)</f>
        <v>0</v>
      </c>
    </row>
    <row r="977" spans="1:2" x14ac:dyDescent="0.25">
      <c r="A977" t="s">
        <v>2807</v>
      </c>
      <c r="B977" s="102">
        <f>SUMIF(Платежи!B:B,VLOOKUP(A977,Платежи!B:B,1,0),Платежи!C:C)</f>
        <v>0</v>
      </c>
    </row>
    <row r="978" spans="1:2" x14ac:dyDescent="0.25">
      <c r="A978" t="s">
        <v>2808</v>
      </c>
      <c r="B978" s="102">
        <f>SUMIF(Платежи!B:B,VLOOKUP(A978,Платежи!B:B,1,0),Платежи!C:C)</f>
        <v>0</v>
      </c>
    </row>
    <row r="979" spans="1:2" x14ac:dyDescent="0.25">
      <c r="A979" t="s">
        <v>2809</v>
      </c>
      <c r="B979" s="102">
        <f>SUMIF(Платежи!B:B,VLOOKUP(A979,Платежи!B:B,1,0),Платежи!C:C)</f>
        <v>0</v>
      </c>
    </row>
    <row r="980" spans="1:2" x14ac:dyDescent="0.25">
      <c r="A980" t="s">
        <v>2810</v>
      </c>
      <c r="B980" s="102">
        <f>SUMIF(Платежи!B:B,VLOOKUP(A980,Платежи!B:B,1,0),Платежи!C:C)</f>
        <v>0</v>
      </c>
    </row>
    <row r="981" spans="1:2" x14ac:dyDescent="0.25">
      <c r="A981" t="s">
        <v>2811</v>
      </c>
      <c r="B981" s="102">
        <f>SUMIF(Платежи!B:B,VLOOKUP(A981,Платежи!B:B,1,0),Платежи!C:C)</f>
        <v>0</v>
      </c>
    </row>
    <row r="982" spans="1:2" x14ac:dyDescent="0.25">
      <c r="A982" t="s">
        <v>2812</v>
      </c>
      <c r="B982" s="102">
        <f>SUMIF(Платежи!B:B,VLOOKUP(A982,Платежи!B:B,1,0),Платежи!C:C)</f>
        <v>0</v>
      </c>
    </row>
    <row r="983" spans="1:2" x14ac:dyDescent="0.25">
      <c r="A983" t="s">
        <v>3317</v>
      </c>
      <c r="B983" s="102">
        <f>SUMIF(Платежи!B:B,VLOOKUP(A983,Платежи!B:B,1,0),Платежи!C:C)</f>
        <v>0</v>
      </c>
    </row>
    <row r="984" spans="1:2" x14ac:dyDescent="0.25">
      <c r="A984" t="s">
        <v>3318</v>
      </c>
      <c r="B984" s="102">
        <f>SUMIF(Платежи!B:B,VLOOKUP(A984,Платежи!B:B,1,0),Платежи!C:C)</f>
        <v>0</v>
      </c>
    </row>
    <row r="985" spans="1:2" x14ac:dyDescent="0.25">
      <c r="A985" t="s">
        <v>2813</v>
      </c>
      <c r="B985" s="102">
        <f>SUMIF(Платежи!B:B,VLOOKUP(A985,Платежи!B:B,1,0),Платежи!C:C)</f>
        <v>0</v>
      </c>
    </row>
    <row r="986" spans="1:2" x14ac:dyDescent="0.25">
      <c r="A986" t="s">
        <v>2814</v>
      </c>
      <c r="B986" s="102">
        <f>SUMIF(Платежи!B:B,VLOOKUP(A986,Платежи!B:B,1,0),Платежи!C:C)</f>
        <v>0</v>
      </c>
    </row>
    <row r="987" spans="1:2" x14ac:dyDescent="0.25">
      <c r="A987" t="s">
        <v>2815</v>
      </c>
      <c r="B987" s="102">
        <f>SUMIF(Платежи!B:B,VLOOKUP(A987,Платежи!B:B,1,0),Платежи!C:C)</f>
        <v>0</v>
      </c>
    </row>
    <row r="988" spans="1:2" x14ac:dyDescent="0.25">
      <c r="A988" t="s">
        <v>2816</v>
      </c>
      <c r="B988" s="102">
        <f>SUMIF(Платежи!B:B,VLOOKUP(A988,Платежи!B:B,1,0),Платежи!C:C)</f>
        <v>0</v>
      </c>
    </row>
    <row r="989" spans="1:2" x14ac:dyDescent="0.25">
      <c r="A989" t="s">
        <v>2817</v>
      </c>
      <c r="B989" s="102">
        <f>SUMIF(Платежи!B:B,VLOOKUP(A989,Платежи!B:B,1,0),Платежи!C:C)</f>
        <v>0</v>
      </c>
    </row>
    <row r="990" spans="1:2" x14ac:dyDescent="0.25">
      <c r="A990" t="s">
        <v>2818</v>
      </c>
      <c r="B990" s="102">
        <f>SUMIF(Платежи!B:B,VLOOKUP(A990,Платежи!B:B,1,0),Платежи!C:C)</f>
        <v>0</v>
      </c>
    </row>
    <row r="991" spans="1:2" x14ac:dyDescent="0.25">
      <c r="A991" t="s">
        <v>711</v>
      </c>
      <c r="B991" s="102">
        <f>SUMIF(Платежи!B:B,VLOOKUP(A991,Платежи!B:B,1,0),Платежи!C:C)</f>
        <v>0</v>
      </c>
    </row>
    <row r="992" spans="1:2" x14ac:dyDescent="0.25">
      <c r="A992" t="s">
        <v>2819</v>
      </c>
      <c r="B992" s="102">
        <f>SUMIF(Платежи!B:B,VLOOKUP(A992,Платежи!B:B,1,0),Платежи!C:C)</f>
        <v>0</v>
      </c>
    </row>
    <row r="993" spans="1:2" x14ac:dyDescent="0.25">
      <c r="A993" t="s">
        <v>2820</v>
      </c>
      <c r="B993" s="102">
        <f>SUMIF(Платежи!B:B,VLOOKUP(A993,Платежи!B:B,1,0),Платежи!C:C)</f>
        <v>0</v>
      </c>
    </row>
    <row r="994" spans="1:2" x14ac:dyDescent="0.25">
      <c r="A994" t="s">
        <v>2821</v>
      </c>
      <c r="B994" s="102">
        <f>SUMIF(Платежи!B:B,VLOOKUP(A994,Платежи!B:B,1,0),Платежи!C:C)</f>
        <v>0</v>
      </c>
    </row>
    <row r="995" spans="1:2" x14ac:dyDescent="0.25">
      <c r="A995" t="s">
        <v>2822</v>
      </c>
      <c r="B995" s="102">
        <f>SUMIF(Платежи!B:B,VLOOKUP(A995,Платежи!B:B,1,0),Платежи!C:C)</f>
        <v>0</v>
      </c>
    </row>
    <row r="996" spans="1:2" x14ac:dyDescent="0.25">
      <c r="A996" t="s">
        <v>2823</v>
      </c>
      <c r="B996" s="102">
        <f>SUMIF(Платежи!B:B,VLOOKUP(A996,Платежи!B:B,1,0),Платежи!C:C)</f>
        <v>0</v>
      </c>
    </row>
    <row r="997" spans="1:2" x14ac:dyDescent="0.25">
      <c r="A997" t="s">
        <v>2824</v>
      </c>
      <c r="B997" s="102">
        <f>SUMIF(Платежи!B:B,VLOOKUP(A997,Платежи!B:B,1,0),Платежи!C:C)</f>
        <v>0</v>
      </c>
    </row>
    <row r="998" spans="1:2" x14ac:dyDescent="0.25">
      <c r="A998" t="s">
        <v>2825</v>
      </c>
      <c r="B998" s="102">
        <f>SUMIF(Платежи!B:B,VLOOKUP(A998,Платежи!B:B,1,0),Платежи!C:C)</f>
        <v>0</v>
      </c>
    </row>
    <row r="999" spans="1:2" x14ac:dyDescent="0.25">
      <c r="A999" t="s">
        <v>2826</v>
      </c>
      <c r="B999" s="102">
        <f>SUMIF(Платежи!B:B,VLOOKUP(A999,Платежи!B:B,1,0),Платежи!C:C)</f>
        <v>0</v>
      </c>
    </row>
    <row r="1000" spans="1:2" x14ac:dyDescent="0.25">
      <c r="A1000" t="s">
        <v>2827</v>
      </c>
      <c r="B1000" s="102">
        <f>SUMIF(Платежи!B:B,VLOOKUP(A1000,Платежи!B:B,1,0),Платежи!C:C)</f>
        <v>0</v>
      </c>
    </row>
    <row r="1001" spans="1:2" x14ac:dyDescent="0.25">
      <c r="A1001" t="s">
        <v>2828</v>
      </c>
      <c r="B1001" s="102">
        <f>SUMIF(Платежи!B:B,VLOOKUP(A1001,Платежи!B:B,1,0),Платежи!C:C)</f>
        <v>0</v>
      </c>
    </row>
    <row r="1002" spans="1:2" x14ac:dyDescent="0.25">
      <c r="A1002" t="s">
        <v>2829</v>
      </c>
      <c r="B1002" s="102">
        <f>SUMIF(Платежи!B:B,VLOOKUP(A1002,Платежи!B:B,1,0),Платежи!C:C)</f>
        <v>0</v>
      </c>
    </row>
    <row r="1003" spans="1:2" x14ac:dyDescent="0.25">
      <c r="A1003" t="s">
        <v>3319</v>
      </c>
      <c r="B1003" s="102">
        <f>SUMIF(Платежи!B:B,VLOOKUP(A1003,Платежи!B:B,1,0),Платежи!C:C)</f>
        <v>2010</v>
      </c>
    </row>
    <row r="1004" spans="1:2" x14ac:dyDescent="0.25">
      <c r="A1004" t="s">
        <v>2830</v>
      </c>
      <c r="B1004" s="102">
        <f>SUMIF(Платежи!B:B,VLOOKUP(A1004,Платежи!B:B,1,0),Платежи!C:C)</f>
        <v>0</v>
      </c>
    </row>
    <row r="1005" spans="1:2" x14ac:dyDescent="0.25">
      <c r="A1005" t="s">
        <v>2831</v>
      </c>
      <c r="B1005" s="102">
        <f>SUMIF(Платежи!B:B,VLOOKUP(A1005,Платежи!B:B,1,0),Платежи!C:C)</f>
        <v>0</v>
      </c>
    </row>
    <row r="1006" spans="1:2" x14ac:dyDescent="0.25">
      <c r="A1006" t="s">
        <v>3320</v>
      </c>
      <c r="B1006" s="102">
        <f>SUMIF(Платежи!B:B,VLOOKUP(A1006,Платежи!B:B,1,0),Платежи!C:C)</f>
        <v>0</v>
      </c>
    </row>
    <row r="1007" spans="1:2" x14ac:dyDescent="0.25">
      <c r="A1007" t="s">
        <v>2832</v>
      </c>
      <c r="B1007" s="102">
        <f>SUMIF(Платежи!B:B,VLOOKUP(A1007,Платежи!B:B,1,0),Платежи!C:C)</f>
        <v>0</v>
      </c>
    </row>
    <row r="1008" spans="1:2" x14ac:dyDescent="0.25">
      <c r="A1008" t="s">
        <v>3321</v>
      </c>
      <c r="B1008" s="102">
        <f>SUMIF(Платежи!B:B,VLOOKUP(A1008,Платежи!B:B,1,0),Платежи!C:C)</f>
        <v>0</v>
      </c>
    </row>
    <row r="1009" spans="1:2" x14ac:dyDescent="0.25">
      <c r="A1009" t="s">
        <v>2833</v>
      </c>
      <c r="B1009" s="102">
        <f>SUMIF(Платежи!B:B,VLOOKUP(A1009,Платежи!B:B,1,0),Платежи!C:C)</f>
        <v>0</v>
      </c>
    </row>
    <row r="1010" spans="1:2" x14ac:dyDescent="0.25">
      <c r="A1010" t="s">
        <v>2834</v>
      </c>
      <c r="B1010" s="102">
        <f>SUMIF(Платежи!B:B,VLOOKUP(A1010,Платежи!B:B,1,0),Платежи!C:C)</f>
        <v>0</v>
      </c>
    </row>
    <row r="1011" spans="1:2" x14ac:dyDescent="0.25">
      <c r="A1011" t="s">
        <v>2835</v>
      </c>
      <c r="B1011" s="102">
        <f>SUMIF(Платежи!B:B,VLOOKUP(A1011,Платежи!B:B,1,0),Платежи!C:C)</f>
        <v>0</v>
      </c>
    </row>
    <row r="1012" spans="1:2" x14ac:dyDescent="0.25">
      <c r="A1012" t="s">
        <v>2836</v>
      </c>
      <c r="B1012" s="102">
        <f>SUMIF(Платежи!B:B,VLOOKUP(A1012,Платежи!B:B,1,0),Платежи!C:C)</f>
        <v>0</v>
      </c>
    </row>
    <row r="1013" spans="1:2" x14ac:dyDescent="0.25">
      <c r="A1013" t="s">
        <v>714</v>
      </c>
      <c r="B1013" s="102">
        <f>SUMIF(Платежи!B:B,VLOOKUP(A1013,Платежи!B:B,1,0),Платежи!C:C)</f>
        <v>0</v>
      </c>
    </row>
    <row r="1014" spans="1:2" x14ac:dyDescent="0.25">
      <c r="A1014" t="s">
        <v>716</v>
      </c>
      <c r="B1014" s="102">
        <f>SUMIF(Платежи!B:B,VLOOKUP(A1014,Платежи!B:B,1,0),Платежи!C:C)</f>
        <v>0</v>
      </c>
    </row>
    <row r="1015" spans="1:2" x14ac:dyDescent="0.25">
      <c r="A1015" t="s">
        <v>3322</v>
      </c>
      <c r="B1015" s="102">
        <f>SUMIF(Платежи!B:B,VLOOKUP(A1015,Платежи!B:B,1,0),Платежи!C:C)</f>
        <v>0</v>
      </c>
    </row>
    <row r="1016" spans="1:2" x14ac:dyDescent="0.25">
      <c r="A1016" t="s">
        <v>2837</v>
      </c>
      <c r="B1016" s="102">
        <f>SUMIF(Платежи!B:B,VLOOKUP(A1016,Платежи!B:B,1,0),Платежи!C:C)</f>
        <v>0</v>
      </c>
    </row>
    <row r="1017" spans="1:2" x14ac:dyDescent="0.25">
      <c r="A1017" t="s">
        <v>2838</v>
      </c>
      <c r="B1017" s="102">
        <f>SUMIF(Платежи!B:B,VLOOKUP(A1017,Платежи!B:B,1,0),Платежи!C:C)</f>
        <v>0</v>
      </c>
    </row>
    <row r="1018" spans="1:2" x14ac:dyDescent="0.25">
      <c r="A1018" t="s">
        <v>2839</v>
      </c>
      <c r="B1018" s="102">
        <f>SUMIF(Платежи!B:B,VLOOKUP(A1018,Платежи!B:B,1,0),Платежи!C:C)</f>
        <v>0</v>
      </c>
    </row>
    <row r="1019" spans="1:2" x14ac:dyDescent="0.25">
      <c r="A1019" t="s">
        <v>2840</v>
      </c>
      <c r="B1019" s="102">
        <f>SUMIF(Платежи!B:B,VLOOKUP(A1019,Платежи!B:B,1,0),Платежи!C:C)</f>
        <v>0</v>
      </c>
    </row>
    <row r="1020" spans="1:2" x14ac:dyDescent="0.25">
      <c r="A1020" t="s">
        <v>2841</v>
      </c>
      <c r="B1020" s="102">
        <f>SUMIF(Платежи!B:B,VLOOKUP(A1020,Платежи!B:B,1,0),Платежи!C:C)</f>
        <v>0</v>
      </c>
    </row>
    <row r="1021" spans="1:2" x14ac:dyDescent="0.25">
      <c r="A1021" t="s">
        <v>3323</v>
      </c>
      <c r="B1021" s="102">
        <f>SUMIF(Платежи!B:B,VLOOKUP(A1021,Платежи!B:B,1,0),Платежи!C:C)</f>
        <v>0</v>
      </c>
    </row>
    <row r="1022" spans="1:2" x14ac:dyDescent="0.25">
      <c r="A1022" t="s">
        <v>2842</v>
      </c>
      <c r="B1022" s="102">
        <f>SUMIF(Платежи!B:B,VLOOKUP(A1022,Платежи!B:B,1,0),Платежи!C:C)</f>
        <v>0</v>
      </c>
    </row>
    <row r="1023" spans="1:2" x14ac:dyDescent="0.25">
      <c r="A1023" t="s">
        <v>2843</v>
      </c>
      <c r="B1023" s="102">
        <f>SUMIF(Платежи!B:B,VLOOKUP(A1023,Платежи!B:B,1,0),Платежи!C:C)</f>
        <v>0</v>
      </c>
    </row>
    <row r="1024" spans="1:2" x14ac:dyDescent="0.25">
      <c r="A1024" t="s">
        <v>2844</v>
      </c>
      <c r="B1024" s="102">
        <f>SUMIF(Платежи!B:B,VLOOKUP(A1024,Платежи!B:B,1,0),Платежи!C:C)</f>
        <v>0</v>
      </c>
    </row>
    <row r="1025" spans="1:2" x14ac:dyDescent="0.25">
      <c r="A1025" t="s">
        <v>2845</v>
      </c>
      <c r="B1025" s="102">
        <f>SUMIF(Платежи!B:B,VLOOKUP(A1025,Платежи!B:B,1,0),Платежи!C:C)</f>
        <v>0</v>
      </c>
    </row>
    <row r="1026" spans="1:2" x14ac:dyDescent="0.25">
      <c r="A1026" t="s">
        <v>2846</v>
      </c>
      <c r="B1026" s="102">
        <f>SUMIF(Платежи!B:B,VLOOKUP(A1026,Платежи!B:B,1,0),Платежи!C:C)</f>
        <v>0</v>
      </c>
    </row>
    <row r="1027" spans="1:2" x14ac:dyDescent="0.25">
      <c r="A1027" t="s">
        <v>2847</v>
      </c>
      <c r="B1027" s="102">
        <f>SUMIF(Платежи!B:B,VLOOKUP(A1027,Платежи!B:B,1,0),Платежи!C:C)</f>
        <v>0</v>
      </c>
    </row>
    <row r="1028" spans="1:2" x14ac:dyDescent="0.25">
      <c r="A1028" t="s">
        <v>2848</v>
      </c>
      <c r="B1028" s="102">
        <f>SUMIF(Платежи!B:B,VLOOKUP(A1028,Платежи!B:B,1,0),Платежи!C:C)</f>
        <v>0</v>
      </c>
    </row>
    <row r="1029" spans="1:2" x14ac:dyDescent="0.25">
      <c r="A1029" t="s">
        <v>2849</v>
      </c>
      <c r="B1029" s="102">
        <f>SUMIF(Платежи!B:B,VLOOKUP(A1029,Платежи!B:B,1,0),Платежи!C:C)</f>
        <v>0</v>
      </c>
    </row>
    <row r="1030" spans="1:2" x14ac:dyDescent="0.25">
      <c r="A1030" t="s">
        <v>2850</v>
      </c>
      <c r="B1030" s="102">
        <f>SUMIF(Платежи!B:B,VLOOKUP(A1030,Платежи!B:B,1,0),Платежи!C:C)</f>
        <v>0</v>
      </c>
    </row>
    <row r="1031" spans="1:2" x14ac:dyDescent="0.25">
      <c r="A1031" t="s">
        <v>2851</v>
      </c>
      <c r="B1031" s="102">
        <f>SUMIF(Платежи!B:B,VLOOKUP(A1031,Платежи!B:B,1,0),Платежи!C:C)</f>
        <v>0</v>
      </c>
    </row>
    <row r="1032" spans="1:2" x14ac:dyDescent="0.25">
      <c r="A1032" t="s">
        <v>2852</v>
      </c>
      <c r="B1032" s="102">
        <f>SUMIF(Платежи!B:B,VLOOKUP(A1032,Платежи!B:B,1,0),Платежи!C:C)</f>
        <v>0</v>
      </c>
    </row>
    <row r="1033" spans="1:2" x14ac:dyDescent="0.25">
      <c r="A1033" t="s">
        <v>2853</v>
      </c>
      <c r="B1033" s="102">
        <f>SUMIF(Платежи!B:B,VLOOKUP(A1033,Платежи!B:B,1,0),Платежи!C:C)</f>
        <v>0</v>
      </c>
    </row>
    <row r="1034" spans="1:2" x14ac:dyDescent="0.25">
      <c r="A1034" t="s">
        <v>2854</v>
      </c>
      <c r="B1034" s="102">
        <f>SUMIF(Платежи!B:B,VLOOKUP(A1034,Платежи!B:B,1,0),Платежи!C:C)</f>
        <v>0</v>
      </c>
    </row>
    <row r="1035" spans="1:2" x14ac:dyDescent="0.25">
      <c r="A1035" t="s">
        <v>2855</v>
      </c>
      <c r="B1035" s="102">
        <f>SUMIF(Платежи!B:B,VLOOKUP(A1035,Платежи!B:B,1,0),Платежи!C:C)</f>
        <v>0</v>
      </c>
    </row>
    <row r="1036" spans="1:2" x14ac:dyDescent="0.25">
      <c r="A1036" t="s">
        <v>2856</v>
      </c>
      <c r="B1036" s="102">
        <f>SUMIF(Платежи!B:B,VLOOKUP(A1036,Платежи!B:B,1,0),Платежи!C:C)</f>
        <v>0</v>
      </c>
    </row>
    <row r="1037" spans="1:2" x14ac:dyDescent="0.25">
      <c r="A1037" t="s">
        <v>2857</v>
      </c>
      <c r="B1037" s="102">
        <f>SUMIF(Платежи!B:B,VLOOKUP(A1037,Платежи!B:B,1,0),Платежи!C:C)</f>
        <v>0</v>
      </c>
    </row>
    <row r="1038" spans="1:2" x14ac:dyDescent="0.25">
      <c r="A1038" t="s">
        <v>2858</v>
      </c>
      <c r="B1038" s="102">
        <f>SUMIF(Платежи!B:B,VLOOKUP(A1038,Платежи!B:B,1,0),Платежи!C:C)</f>
        <v>0</v>
      </c>
    </row>
    <row r="1039" spans="1:2" x14ac:dyDescent="0.25">
      <c r="A1039" t="s">
        <v>729</v>
      </c>
      <c r="B1039" s="102">
        <f>SUMIF(Платежи!B:B,VLOOKUP(A1039,Платежи!B:B,1,0),Платежи!C:C)</f>
        <v>0</v>
      </c>
    </row>
    <row r="1040" spans="1:2" x14ac:dyDescent="0.25">
      <c r="A1040" t="s">
        <v>3324</v>
      </c>
      <c r="B1040" s="102">
        <f>SUMIF(Платежи!B:B,VLOOKUP(A1040,Платежи!B:B,1,0),Платежи!C:C)</f>
        <v>0</v>
      </c>
    </row>
    <row r="1041" spans="1:2" x14ac:dyDescent="0.25">
      <c r="A1041" t="s">
        <v>2859</v>
      </c>
      <c r="B1041" s="102">
        <f>SUMIF(Платежи!B:B,VLOOKUP(A1041,Платежи!B:B,1,0),Платежи!C:C)</f>
        <v>0</v>
      </c>
    </row>
    <row r="1042" spans="1:2" x14ac:dyDescent="0.25">
      <c r="A1042" t="s">
        <v>2860</v>
      </c>
      <c r="B1042" s="102">
        <f>SUMIF(Платежи!B:B,VLOOKUP(A1042,Платежи!B:B,1,0),Платежи!C:C)</f>
        <v>0</v>
      </c>
    </row>
    <row r="1043" spans="1:2" x14ac:dyDescent="0.25">
      <c r="A1043" t="s">
        <v>2861</v>
      </c>
      <c r="B1043" s="102">
        <f>SUMIF(Платежи!B:B,VLOOKUP(A1043,Платежи!B:B,1,0),Платежи!C:C)</f>
        <v>0</v>
      </c>
    </row>
    <row r="1044" spans="1:2" x14ac:dyDescent="0.25">
      <c r="A1044" t="s">
        <v>2862</v>
      </c>
      <c r="B1044" s="102">
        <f>SUMIF(Платежи!B:B,VLOOKUP(A1044,Платежи!B:B,1,0),Платежи!C:C)</f>
        <v>0</v>
      </c>
    </row>
    <row r="1045" spans="1:2" x14ac:dyDescent="0.25">
      <c r="A1045" t="s">
        <v>2863</v>
      </c>
      <c r="B1045" s="102">
        <f>SUMIF(Платежи!B:B,VLOOKUP(A1045,Платежи!B:B,1,0),Платежи!C:C)</f>
        <v>0</v>
      </c>
    </row>
    <row r="1046" spans="1:2" x14ac:dyDescent="0.25">
      <c r="A1046" t="s">
        <v>2864</v>
      </c>
      <c r="B1046" s="102">
        <f>SUMIF(Платежи!B:B,VLOOKUP(A1046,Платежи!B:B,1,0),Платежи!C:C)</f>
        <v>0</v>
      </c>
    </row>
    <row r="1047" spans="1:2" x14ac:dyDescent="0.25">
      <c r="A1047" t="s">
        <v>2865</v>
      </c>
      <c r="B1047" s="102">
        <f>SUMIF(Платежи!B:B,VLOOKUP(A1047,Платежи!B:B,1,0),Платежи!C:C)</f>
        <v>0</v>
      </c>
    </row>
    <row r="1048" spans="1:2" x14ac:dyDescent="0.25">
      <c r="A1048" t="s">
        <v>2866</v>
      </c>
      <c r="B1048" s="102">
        <f>SUMIF(Платежи!B:B,VLOOKUP(A1048,Платежи!B:B,1,0),Платежи!C:C)</f>
        <v>0</v>
      </c>
    </row>
    <row r="1049" spans="1:2" x14ac:dyDescent="0.25">
      <c r="A1049" t="s">
        <v>2867</v>
      </c>
      <c r="B1049" s="102">
        <f>SUMIF(Платежи!B:B,VLOOKUP(A1049,Платежи!B:B,1,0),Платежи!C:C)</f>
        <v>0</v>
      </c>
    </row>
    <row r="1050" spans="1:2" x14ac:dyDescent="0.25">
      <c r="A1050" t="s">
        <v>3325</v>
      </c>
      <c r="B1050" s="102">
        <f>SUMIF(Платежи!B:B,VLOOKUP(A1050,Платежи!B:B,1,0),Платежи!C:C)</f>
        <v>0</v>
      </c>
    </row>
    <row r="1051" spans="1:2" x14ac:dyDescent="0.25">
      <c r="A1051" t="s">
        <v>2868</v>
      </c>
      <c r="B1051" s="102">
        <f>SUMIF(Платежи!B:B,VLOOKUP(A1051,Платежи!B:B,1,0),Платежи!C:C)</f>
        <v>0</v>
      </c>
    </row>
    <row r="1052" spans="1:2" x14ac:dyDescent="0.25">
      <c r="A1052" t="s">
        <v>744</v>
      </c>
      <c r="B1052" s="102">
        <f>SUMIF(Платежи!B:B,VLOOKUP(A1052,Платежи!B:B,1,0),Платежи!C:C)</f>
        <v>0</v>
      </c>
    </row>
    <row r="1053" spans="1:2" x14ac:dyDescent="0.25">
      <c r="A1053" t="s">
        <v>2869</v>
      </c>
      <c r="B1053" s="102">
        <f>SUMIF(Платежи!B:B,VLOOKUP(A1053,Платежи!B:B,1,0),Платежи!C:C)</f>
        <v>0</v>
      </c>
    </row>
    <row r="1054" spans="1:2" x14ac:dyDescent="0.25">
      <c r="A1054" t="s">
        <v>2870</v>
      </c>
      <c r="B1054" s="102">
        <f>SUMIF(Платежи!B:B,VLOOKUP(A1054,Платежи!B:B,1,0),Платежи!C:C)</f>
        <v>0</v>
      </c>
    </row>
    <row r="1055" spans="1:2" x14ac:dyDescent="0.25">
      <c r="A1055" t="s">
        <v>2871</v>
      </c>
      <c r="B1055" s="102">
        <f>SUMIF(Платежи!B:B,VLOOKUP(A1055,Платежи!B:B,1,0),Платежи!C:C)</f>
        <v>0</v>
      </c>
    </row>
    <row r="1056" spans="1:2" x14ac:dyDescent="0.25">
      <c r="A1056" t="s">
        <v>2872</v>
      </c>
      <c r="B1056" s="102">
        <f>SUMIF(Платежи!B:B,VLOOKUP(A1056,Платежи!B:B,1,0),Платежи!C:C)</f>
        <v>0</v>
      </c>
    </row>
    <row r="1057" spans="1:2" x14ac:dyDescent="0.25">
      <c r="A1057" t="s">
        <v>2873</v>
      </c>
      <c r="B1057" s="102">
        <f>SUMIF(Платежи!B:B,VLOOKUP(A1057,Платежи!B:B,1,0),Платежи!C:C)</f>
        <v>0</v>
      </c>
    </row>
    <row r="1058" spans="1:2" x14ac:dyDescent="0.25">
      <c r="A1058" t="s">
        <v>2874</v>
      </c>
      <c r="B1058" s="102">
        <f>SUMIF(Платежи!B:B,VLOOKUP(A1058,Платежи!B:B,1,0),Платежи!C:C)</f>
        <v>0</v>
      </c>
    </row>
    <row r="1059" spans="1:2" x14ac:dyDescent="0.25">
      <c r="A1059" t="s">
        <v>2875</v>
      </c>
      <c r="B1059" s="102">
        <f>SUMIF(Платежи!B:B,VLOOKUP(A1059,Платежи!B:B,1,0),Платежи!C:C)</f>
        <v>0</v>
      </c>
    </row>
    <row r="1060" spans="1:2" x14ac:dyDescent="0.25">
      <c r="A1060" t="s">
        <v>2876</v>
      </c>
      <c r="B1060" s="102">
        <f>SUMIF(Платежи!B:B,VLOOKUP(A1060,Платежи!B:B,1,0),Платежи!C:C)</f>
        <v>0</v>
      </c>
    </row>
    <row r="1061" spans="1:2" x14ac:dyDescent="0.25">
      <c r="A1061" t="s">
        <v>2877</v>
      </c>
      <c r="B1061" s="102">
        <f>SUMIF(Платежи!B:B,VLOOKUP(A1061,Платежи!B:B,1,0),Платежи!C:C)</f>
        <v>0</v>
      </c>
    </row>
    <row r="1062" spans="1:2" x14ac:dyDescent="0.25">
      <c r="A1062" t="s">
        <v>2878</v>
      </c>
      <c r="B1062" s="102">
        <f>SUMIF(Платежи!B:B,VLOOKUP(A1062,Платежи!B:B,1,0),Платежи!C:C)</f>
        <v>0</v>
      </c>
    </row>
    <row r="1063" spans="1:2" x14ac:dyDescent="0.25">
      <c r="A1063" t="s">
        <v>2879</v>
      </c>
      <c r="B1063" s="102">
        <f>SUMIF(Платежи!B:B,VLOOKUP(A1063,Платежи!B:B,1,0),Платежи!C:C)</f>
        <v>0</v>
      </c>
    </row>
    <row r="1064" spans="1:2" x14ac:dyDescent="0.25">
      <c r="A1064" t="s">
        <v>2880</v>
      </c>
      <c r="B1064" s="102">
        <f>SUMIF(Платежи!B:B,VLOOKUP(A1064,Платежи!B:B,1,0),Платежи!C:C)</f>
        <v>0</v>
      </c>
    </row>
    <row r="1065" spans="1:2" x14ac:dyDescent="0.25">
      <c r="A1065" t="s">
        <v>3326</v>
      </c>
      <c r="B1065" s="102">
        <f>SUMIF(Платежи!B:B,VLOOKUP(A1065,Платежи!B:B,1,0),Платежи!C:C)</f>
        <v>0</v>
      </c>
    </row>
    <row r="1066" spans="1:2" x14ac:dyDescent="0.25">
      <c r="A1066" t="s">
        <v>3327</v>
      </c>
      <c r="B1066" s="102">
        <f>SUMIF(Платежи!B:B,VLOOKUP(A1066,Платежи!B:B,1,0),Платежи!C:C)</f>
        <v>0</v>
      </c>
    </row>
    <row r="1067" spans="1:2" x14ac:dyDescent="0.25">
      <c r="A1067" t="s">
        <v>2881</v>
      </c>
      <c r="B1067" s="102">
        <f>SUMIF(Платежи!B:B,VLOOKUP(A1067,Платежи!B:B,1,0),Платежи!C:C)</f>
        <v>0</v>
      </c>
    </row>
    <row r="1068" spans="1:2" x14ac:dyDescent="0.25">
      <c r="A1068" t="s">
        <v>2882</v>
      </c>
      <c r="B1068" s="102">
        <f>SUMIF(Платежи!B:B,VLOOKUP(A1068,Платежи!B:B,1,0),Платежи!C:C)</f>
        <v>0</v>
      </c>
    </row>
    <row r="1069" spans="1:2" x14ac:dyDescent="0.25">
      <c r="A1069" t="s">
        <v>3328</v>
      </c>
      <c r="B1069" s="102">
        <f>SUMIF(Платежи!B:B,VLOOKUP(A1069,Платежи!B:B,1,0),Платежи!C:C)</f>
        <v>0</v>
      </c>
    </row>
    <row r="1070" spans="1:2" x14ac:dyDescent="0.25">
      <c r="A1070" t="s">
        <v>3329</v>
      </c>
      <c r="B1070" s="102">
        <f>SUMIF(Платежи!B:B,VLOOKUP(A1070,Платежи!B:B,1,0),Платежи!C:C)</f>
        <v>0</v>
      </c>
    </row>
    <row r="1071" spans="1:2" x14ac:dyDescent="0.25">
      <c r="A1071" t="s">
        <v>3330</v>
      </c>
      <c r="B1071" s="102">
        <f>SUMIF(Платежи!B:B,VLOOKUP(A1071,Платежи!B:B,1,0),Платежи!C:C)</f>
        <v>0</v>
      </c>
    </row>
    <row r="1072" spans="1:2" x14ac:dyDescent="0.25">
      <c r="A1072" t="s">
        <v>3331</v>
      </c>
      <c r="B1072" s="102">
        <f>SUMIF(Платежи!B:B,VLOOKUP(A1072,Платежи!B:B,1,0),Платежи!C:C)</f>
        <v>0</v>
      </c>
    </row>
    <row r="1073" spans="1:2" x14ac:dyDescent="0.25">
      <c r="A1073" t="s">
        <v>2883</v>
      </c>
      <c r="B1073" s="102">
        <f>SUMIF(Платежи!B:B,VLOOKUP(A1073,Платежи!B:B,1,0),Платежи!C:C)</f>
        <v>0</v>
      </c>
    </row>
    <row r="1074" spans="1:2" x14ac:dyDescent="0.25">
      <c r="A1074" t="s">
        <v>2884</v>
      </c>
      <c r="B1074" s="102">
        <f>SUMIF(Платежи!B:B,VLOOKUP(A1074,Платежи!B:B,1,0),Платежи!C:C)</f>
        <v>0</v>
      </c>
    </row>
    <row r="1075" spans="1:2" x14ac:dyDescent="0.25">
      <c r="A1075" t="s">
        <v>3332</v>
      </c>
      <c r="B1075" s="102">
        <f>SUMIF(Платежи!B:B,VLOOKUP(A1075,Платежи!B:B,1,0),Платежи!C:C)</f>
        <v>0</v>
      </c>
    </row>
    <row r="1076" spans="1:2" x14ac:dyDescent="0.25">
      <c r="A1076" t="s">
        <v>2885</v>
      </c>
      <c r="B1076" s="102">
        <f>SUMIF(Платежи!B:B,VLOOKUP(A1076,Платежи!B:B,1,0),Платежи!C:C)</f>
        <v>0</v>
      </c>
    </row>
    <row r="1077" spans="1:2" x14ac:dyDescent="0.25">
      <c r="A1077" t="s">
        <v>2886</v>
      </c>
      <c r="B1077" s="102">
        <f>SUMIF(Платежи!B:B,VLOOKUP(A1077,Платежи!B:B,1,0),Платежи!C:C)</f>
        <v>0</v>
      </c>
    </row>
    <row r="1078" spans="1:2" x14ac:dyDescent="0.25">
      <c r="A1078" t="s">
        <v>2887</v>
      </c>
      <c r="B1078" s="102">
        <f>SUMIF(Платежи!B:B,VLOOKUP(A1078,Платежи!B:B,1,0),Платежи!C:C)</f>
        <v>0</v>
      </c>
    </row>
    <row r="1079" spans="1:2" x14ac:dyDescent="0.25">
      <c r="A1079" t="s">
        <v>2888</v>
      </c>
      <c r="B1079" s="102">
        <f>SUMIF(Платежи!B:B,VLOOKUP(A1079,Платежи!B:B,1,0),Платежи!C:C)</f>
        <v>0</v>
      </c>
    </row>
    <row r="1080" spans="1:2" x14ac:dyDescent="0.25">
      <c r="A1080" t="s">
        <v>2889</v>
      </c>
      <c r="B1080" s="102">
        <f>SUMIF(Платежи!B:B,VLOOKUP(A1080,Платежи!B:B,1,0),Платежи!C:C)</f>
        <v>0</v>
      </c>
    </row>
    <row r="1081" spans="1:2" x14ac:dyDescent="0.25">
      <c r="A1081" t="s">
        <v>2890</v>
      </c>
      <c r="B1081" s="102">
        <f>SUMIF(Платежи!B:B,VLOOKUP(A1081,Платежи!B:B,1,0),Платежи!C:C)</f>
        <v>0</v>
      </c>
    </row>
    <row r="1082" spans="1:2" x14ac:dyDescent="0.25">
      <c r="A1082" t="s">
        <v>2891</v>
      </c>
      <c r="B1082" s="102">
        <f>SUMIF(Платежи!B:B,VLOOKUP(A1082,Платежи!B:B,1,0),Платежи!C:C)</f>
        <v>0</v>
      </c>
    </row>
    <row r="1083" spans="1:2" x14ac:dyDescent="0.25">
      <c r="A1083" t="s">
        <v>2892</v>
      </c>
      <c r="B1083" s="102">
        <f>SUMIF(Платежи!B:B,VLOOKUP(A1083,Платежи!B:B,1,0),Платежи!C:C)</f>
        <v>0</v>
      </c>
    </row>
    <row r="1084" spans="1:2" x14ac:dyDescent="0.25">
      <c r="A1084" t="s">
        <v>2893</v>
      </c>
      <c r="B1084" s="102">
        <f>SUMIF(Платежи!B:B,VLOOKUP(A1084,Платежи!B:B,1,0),Платежи!C:C)</f>
        <v>0</v>
      </c>
    </row>
    <row r="1085" spans="1:2" x14ac:dyDescent="0.25">
      <c r="A1085" t="s">
        <v>2894</v>
      </c>
      <c r="B1085" s="102">
        <f>SUMIF(Платежи!B:B,VLOOKUP(A1085,Платежи!B:B,1,0),Платежи!C:C)</f>
        <v>0</v>
      </c>
    </row>
    <row r="1086" spans="1:2" x14ac:dyDescent="0.25">
      <c r="A1086" t="s">
        <v>2895</v>
      </c>
      <c r="B1086" s="102">
        <f>SUMIF(Платежи!B:B,VLOOKUP(A1086,Платежи!B:B,1,0),Платежи!C:C)</f>
        <v>0</v>
      </c>
    </row>
    <row r="1087" spans="1:2" x14ac:dyDescent="0.25">
      <c r="A1087" t="s">
        <v>2896</v>
      </c>
      <c r="B1087" s="102">
        <f>SUMIF(Платежи!B:B,VLOOKUP(A1087,Платежи!B:B,1,0),Платежи!C:C)</f>
        <v>0</v>
      </c>
    </row>
    <row r="1088" spans="1:2" x14ac:dyDescent="0.25">
      <c r="A1088" t="s">
        <v>3333</v>
      </c>
      <c r="B1088" s="102">
        <f>SUMIF(Платежи!B:B,VLOOKUP(A1088,Платежи!B:B,1,0),Платежи!C:C)</f>
        <v>0</v>
      </c>
    </row>
    <row r="1089" spans="1:2" x14ac:dyDescent="0.25">
      <c r="A1089" t="s">
        <v>2897</v>
      </c>
      <c r="B1089" s="102">
        <f>SUMIF(Платежи!B:B,VLOOKUP(A1089,Платежи!B:B,1,0),Платежи!C:C)</f>
        <v>0</v>
      </c>
    </row>
    <row r="1090" spans="1:2" x14ac:dyDescent="0.25">
      <c r="A1090" t="s">
        <v>2898</v>
      </c>
      <c r="B1090" s="102">
        <f>SUMIF(Платежи!B:B,VLOOKUP(A1090,Платежи!B:B,1,0),Платежи!C:C)</f>
        <v>0</v>
      </c>
    </row>
    <row r="1091" spans="1:2" x14ac:dyDescent="0.25">
      <c r="A1091" t="s">
        <v>2899</v>
      </c>
      <c r="B1091" s="102">
        <f>SUMIF(Платежи!B:B,VLOOKUP(A1091,Платежи!B:B,1,0),Платежи!C:C)</f>
        <v>0</v>
      </c>
    </row>
    <row r="1092" spans="1:2" x14ac:dyDescent="0.25">
      <c r="A1092" t="s">
        <v>3334</v>
      </c>
      <c r="B1092" s="102">
        <f>SUMIF(Платежи!B:B,VLOOKUP(A1092,Платежи!B:B,1,0),Платежи!C:C)</f>
        <v>0</v>
      </c>
    </row>
    <row r="1093" spans="1:2" x14ac:dyDescent="0.25">
      <c r="A1093" t="s">
        <v>2900</v>
      </c>
      <c r="B1093" s="102">
        <f>SUMIF(Платежи!B:B,VLOOKUP(A1093,Платежи!B:B,1,0),Платежи!C:C)</f>
        <v>0</v>
      </c>
    </row>
    <row r="1094" spans="1:2" x14ac:dyDescent="0.25">
      <c r="A1094" t="s">
        <v>2901</v>
      </c>
      <c r="B1094" s="102">
        <f>SUMIF(Платежи!B:B,VLOOKUP(A1094,Платежи!B:B,1,0),Платежи!C:C)</f>
        <v>0</v>
      </c>
    </row>
    <row r="1095" spans="1:2" x14ac:dyDescent="0.25">
      <c r="A1095" t="s">
        <v>2902</v>
      </c>
      <c r="B1095" s="102">
        <f>SUMIF(Платежи!B:B,VLOOKUP(A1095,Платежи!B:B,1,0),Платежи!C:C)</f>
        <v>0</v>
      </c>
    </row>
    <row r="1096" spans="1:2" x14ac:dyDescent="0.25">
      <c r="A1096" t="s">
        <v>2903</v>
      </c>
      <c r="B1096" s="102">
        <f>SUMIF(Платежи!B:B,VLOOKUP(A1096,Платежи!B:B,1,0),Платежи!C:C)</f>
        <v>0</v>
      </c>
    </row>
    <row r="1097" spans="1:2" x14ac:dyDescent="0.25">
      <c r="A1097" t="s">
        <v>2904</v>
      </c>
      <c r="B1097" s="102">
        <f>SUMIF(Платежи!B:B,VLOOKUP(A1097,Платежи!B:B,1,0),Платежи!C:C)</f>
        <v>0</v>
      </c>
    </row>
    <row r="1098" spans="1:2" x14ac:dyDescent="0.25">
      <c r="A1098" t="s">
        <v>2905</v>
      </c>
      <c r="B1098" s="102">
        <f>SUMIF(Платежи!B:B,VLOOKUP(A1098,Платежи!B:B,1,0),Платежи!C:C)</f>
        <v>0</v>
      </c>
    </row>
    <row r="1099" spans="1:2" x14ac:dyDescent="0.25">
      <c r="A1099" t="s">
        <v>2906</v>
      </c>
      <c r="B1099" s="102">
        <f>SUMIF(Платежи!B:B,VLOOKUP(A1099,Платежи!B:B,1,0),Платежи!C:C)</f>
        <v>0</v>
      </c>
    </row>
    <row r="1100" spans="1:2" x14ac:dyDescent="0.25">
      <c r="A1100" t="s">
        <v>2907</v>
      </c>
      <c r="B1100" s="102">
        <f>SUMIF(Платежи!B:B,VLOOKUP(A1100,Платежи!B:B,1,0),Платежи!C:C)</f>
        <v>0</v>
      </c>
    </row>
    <row r="1101" spans="1:2" x14ac:dyDescent="0.25">
      <c r="A1101" t="s">
        <v>2908</v>
      </c>
      <c r="B1101" s="102">
        <f>SUMIF(Платежи!B:B,VLOOKUP(A1101,Платежи!B:B,1,0),Платежи!C:C)</f>
        <v>0</v>
      </c>
    </row>
    <row r="1102" spans="1:2" x14ac:dyDescent="0.25">
      <c r="A1102" t="s">
        <v>2909</v>
      </c>
      <c r="B1102" s="102">
        <f>SUMIF(Платежи!B:B,VLOOKUP(A1102,Платежи!B:B,1,0),Платежи!C:C)</f>
        <v>0</v>
      </c>
    </row>
    <row r="1103" spans="1:2" x14ac:dyDescent="0.25">
      <c r="A1103" t="s">
        <v>2910</v>
      </c>
      <c r="B1103" s="102">
        <f>SUMIF(Платежи!B:B,VLOOKUP(A1103,Платежи!B:B,1,0),Платежи!C:C)</f>
        <v>0</v>
      </c>
    </row>
    <row r="1104" spans="1:2" x14ac:dyDescent="0.25">
      <c r="A1104" t="s">
        <v>2911</v>
      </c>
      <c r="B1104" s="102">
        <f>SUMIF(Платежи!B:B,VLOOKUP(A1104,Платежи!B:B,1,0),Платежи!C:C)</f>
        <v>0</v>
      </c>
    </row>
    <row r="1105" spans="1:2" x14ac:dyDescent="0.25">
      <c r="A1105" t="s">
        <v>3335</v>
      </c>
      <c r="B1105" s="102">
        <f>SUMIF(Платежи!B:B,VLOOKUP(A1105,Платежи!B:B,1,0),Платежи!C:C)</f>
        <v>0</v>
      </c>
    </row>
    <row r="1106" spans="1:2" x14ac:dyDescent="0.25">
      <c r="A1106" t="s">
        <v>3336</v>
      </c>
      <c r="B1106" s="102">
        <f>SUMIF(Платежи!B:B,VLOOKUP(A1106,Платежи!B:B,1,0),Платежи!C:C)</f>
        <v>0</v>
      </c>
    </row>
    <row r="1107" spans="1:2" x14ac:dyDescent="0.25">
      <c r="A1107" t="s">
        <v>2912</v>
      </c>
      <c r="B1107" s="102">
        <f>SUMIF(Платежи!B:B,VLOOKUP(A1107,Платежи!B:B,1,0),Платежи!C:C)</f>
        <v>0</v>
      </c>
    </row>
    <row r="1108" spans="1:2" x14ac:dyDescent="0.25">
      <c r="A1108" t="s">
        <v>2913</v>
      </c>
      <c r="B1108" s="102">
        <f>SUMIF(Платежи!B:B,VLOOKUP(A1108,Платежи!B:B,1,0),Платежи!C:C)</f>
        <v>0</v>
      </c>
    </row>
    <row r="1109" spans="1:2" x14ac:dyDescent="0.25">
      <c r="A1109" t="s">
        <v>2914</v>
      </c>
      <c r="B1109" s="102">
        <f>SUMIF(Платежи!B:B,VLOOKUP(A1109,Платежи!B:B,1,0),Платежи!C:C)</f>
        <v>0</v>
      </c>
    </row>
    <row r="1110" spans="1:2" x14ac:dyDescent="0.25">
      <c r="A1110" t="s">
        <v>2915</v>
      </c>
      <c r="B1110" s="102">
        <f>SUMIF(Платежи!B:B,VLOOKUP(A1110,Платежи!B:B,1,0),Платежи!C:C)</f>
        <v>0</v>
      </c>
    </row>
    <row r="1111" spans="1:2" x14ac:dyDescent="0.25">
      <c r="A1111" t="s">
        <v>3337</v>
      </c>
      <c r="B1111" s="102">
        <f>SUMIF(Платежи!B:B,VLOOKUP(A1111,Платежи!B:B,1,0),Платежи!C:C)</f>
        <v>0</v>
      </c>
    </row>
    <row r="1112" spans="1:2" x14ac:dyDescent="0.25">
      <c r="A1112" t="s">
        <v>2916</v>
      </c>
      <c r="B1112" s="102">
        <f>SUMIF(Платежи!B:B,VLOOKUP(A1112,Платежи!B:B,1,0),Платежи!C:C)</f>
        <v>0</v>
      </c>
    </row>
    <row r="1113" spans="1:2" x14ac:dyDescent="0.25">
      <c r="A1113" t="s">
        <v>2917</v>
      </c>
      <c r="B1113" s="102">
        <f>SUMIF(Платежи!B:B,VLOOKUP(A1113,Платежи!B:B,1,0),Платежи!C:C)</f>
        <v>0</v>
      </c>
    </row>
    <row r="1114" spans="1:2" x14ac:dyDescent="0.25">
      <c r="A1114" t="s">
        <v>2918</v>
      </c>
      <c r="B1114" s="102">
        <f>SUMIF(Платежи!B:B,VLOOKUP(A1114,Платежи!B:B,1,0),Платежи!C:C)</f>
        <v>0</v>
      </c>
    </row>
    <row r="1115" spans="1:2" x14ac:dyDescent="0.25">
      <c r="A1115" t="s">
        <v>2919</v>
      </c>
      <c r="B1115" s="102">
        <f>SUMIF(Платежи!B:B,VLOOKUP(A1115,Платежи!B:B,1,0),Платежи!C:C)</f>
        <v>0</v>
      </c>
    </row>
    <row r="1116" spans="1:2" x14ac:dyDescent="0.25">
      <c r="A1116" t="s">
        <v>2920</v>
      </c>
      <c r="B1116" s="102">
        <f>SUMIF(Платежи!B:B,VLOOKUP(A1116,Платежи!B:B,1,0),Платежи!C:C)</f>
        <v>0</v>
      </c>
    </row>
    <row r="1117" spans="1:2" x14ac:dyDescent="0.25">
      <c r="A1117" t="s">
        <v>2921</v>
      </c>
      <c r="B1117" s="102">
        <f>SUMIF(Платежи!B:B,VLOOKUP(A1117,Платежи!B:B,1,0),Платежи!C:C)</f>
        <v>0</v>
      </c>
    </row>
    <row r="1118" spans="1:2" x14ac:dyDescent="0.25">
      <c r="A1118" t="s">
        <v>2922</v>
      </c>
      <c r="B1118" s="102">
        <f>SUMIF(Платежи!B:B,VLOOKUP(A1118,Платежи!B:B,1,0),Платежи!C:C)</f>
        <v>0</v>
      </c>
    </row>
    <row r="1119" spans="1:2" x14ac:dyDescent="0.25">
      <c r="A1119" t="s">
        <v>2923</v>
      </c>
      <c r="B1119" s="102">
        <f>SUMIF(Платежи!B:B,VLOOKUP(A1119,Платежи!B:B,1,0),Платежи!C:C)</f>
        <v>0</v>
      </c>
    </row>
    <row r="1120" spans="1:2" x14ac:dyDescent="0.25">
      <c r="A1120" t="s">
        <v>2924</v>
      </c>
      <c r="B1120" s="102">
        <f>SUMIF(Платежи!B:B,VLOOKUP(A1120,Платежи!B:B,1,0),Платежи!C:C)</f>
        <v>0</v>
      </c>
    </row>
    <row r="1121" spans="1:2" x14ac:dyDescent="0.25">
      <c r="A1121" t="s">
        <v>2925</v>
      </c>
      <c r="B1121" s="102">
        <f>SUMIF(Платежи!B:B,VLOOKUP(A1121,Платежи!B:B,1,0),Платежи!C:C)</f>
        <v>0</v>
      </c>
    </row>
    <row r="1122" spans="1:2" x14ac:dyDescent="0.25">
      <c r="A1122" t="s">
        <v>2926</v>
      </c>
      <c r="B1122" s="102">
        <f>SUMIF(Платежи!B:B,VLOOKUP(A1122,Платежи!B:B,1,0),Платежи!C:C)</f>
        <v>0</v>
      </c>
    </row>
    <row r="1123" spans="1:2" x14ac:dyDescent="0.25">
      <c r="A1123" t="s">
        <v>2927</v>
      </c>
      <c r="B1123" s="102">
        <f>SUMIF(Платежи!B:B,VLOOKUP(A1123,Платежи!B:B,1,0),Платежи!C:C)</f>
        <v>0</v>
      </c>
    </row>
    <row r="1124" spans="1:2" x14ac:dyDescent="0.25">
      <c r="A1124" t="s">
        <v>2928</v>
      </c>
      <c r="B1124" s="102">
        <f>SUMIF(Платежи!B:B,VLOOKUP(A1124,Платежи!B:B,1,0),Платежи!C:C)</f>
        <v>0</v>
      </c>
    </row>
    <row r="1125" spans="1:2" x14ac:dyDescent="0.25">
      <c r="A1125" t="s">
        <v>3338</v>
      </c>
      <c r="B1125" s="102">
        <f>SUMIF(Платежи!B:B,VLOOKUP(A1125,Платежи!B:B,1,0),Платежи!C:C)</f>
        <v>0</v>
      </c>
    </row>
    <row r="1126" spans="1:2" x14ac:dyDescent="0.25">
      <c r="A1126" t="s">
        <v>2929</v>
      </c>
      <c r="B1126" s="102">
        <f>SUMIF(Платежи!B:B,VLOOKUP(A1126,Платежи!B:B,1,0),Платежи!C:C)</f>
        <v>0</v>
      </c>
    </row>
    <row r="1127" spans="1:2" x14ac:dyDescent="0.25">
      <c r="A1127" t="s">
        <v>2930</v>
      </c>
      <c r="B1127" s="102">
        <f>SUMIF(Платежи!B:B,VLOOKUP(A1127,Платежи!B:B,1,0),Платежи!C:C)</f>
        <v>0</v>
      </c>
    </row>
    <row r="1128" spans="1:2" x14ac:dyDescent="0.25">
      <c r="A1128" t="s">
        <v>2931</v>
      </c>
      <c r="B1128" s="102">
        <f>SUMIF(Платежи!B:B,VLOOKUP(A1128,Платежи!B:B,1,0),Платежи!C:C)</f>
        <v>0</v>
      </c>
    </row>
    <row r="1129" spans="1:2" x14ac:dyDescent="0.25">
      <c r="A1129" t="s">
        <v>2932</v>
      </c>
      <c r="B1129" s="102">
        <f>SUMIF(Платежи!B:B,VLOOKUP(A1129,Платежи!B:B,1,0),Платежи!C:C)</f>
        <v>0</v>
      </c>
    </row>
    <row r="1130" spans="1:2" x14ac:dyDescent="0.25">
      <c r="A1130" t="s">
        <v>2933</v>
      </c>
      <c r="B1130" s="102">
        <f>SUMIF(Платежи!B:B,VLOOKUP(A1130,Платежи!B:B,1,0),Платежи!C:C)</f>
        <v>0</v>
      </c>
    </row>
    <row r="1131" spans="1:2" x14ac:dyDescent="0.25">
      <c r="A1131" t="s">
        <v>2934</v>
      </c>
      <c r="B1131" s="102">
        <f>SUMIF(Платежи!B:B,VLOOKUP(A1131,Платежи!B:B,1,0),Платежи!C:C)</f>
        <v>0</v>
      </c>
    </row>
    <row r="1132" spans="1:2" x14ac:dyDescent="0.25">
      <c r="A1132" t="s">
        <v>3339</v>
      </c>
      <c r="B1132" s="102">
        <f>SUMIF(Платежи!B:B,VLOOKUP(A1132,Платежи!B:B,1,0),Платежи!C:C)</f>
        <v>0</v>
      </c>
    </row>
    <row r="1133" spans="1:2" x14ac:dyDescent="0.25">
      <c r="A1133" t="s">
        <v>2935</v>
      </c>
      <c r="B1133" s="102">
        <f>SUMIF(Платежи!B:B,VLOOKUP(A1133,Платежи!B:B,1,0),Платежи!C:C)</f>
        <v>0</v>
      </c>
    </row>
    <row r="1134" spans="1:2" x14ac:dyDescent="0.25">
      <c r="A1134" t="s">
        <v>2936</v>
      </c>
      <c r="B1134" s="102">
        <f>SUMIF(Платежи!B:B,VLOOKUP(A1134,Платежи!B:B,1,0),Платежи!C:C)</f>
        <v>0</v>
      </c>
    </row>
    <row r="1135" spans="1:2" x14ac:dyDescent="0.25">
      <c r="A1135" t="s">
        <v>2937</v>
      </c>
      <c r="B1135" s="102">
        <f>SUMIF(Платежи!B:B,VLOOKUP(A1135,Платежи!B:B,1,0),Платежи!C:C)</f>
        <v>0</v>
      </c>
    </row>
    <row r="1136" spans="1:2" x14ac:dyDescent="0.25">
      <c r="A1136" t="s">
        <v>2938</v>
      </c>
      <c r="B1136" s="102">
        <f>SUMIF(Платежи!B:B,VLOOKUP(A1136,Платежи!B:B,1,0),Платежи!C:C)</f>
        <v>0</v>
      </c>
    </row>
    <row r="1137" spans="1:2" x14ac:dyDescent="0.25">
      <c r="A1137" t="s">
        <v>2939</v>
      </c>
      <c r="B1137" s="102">
        <f>SUMIF(Платежи!B:B,VLOOKUP(A1137,Платежи!B:B,1,0),Платежи!C:C)</f>
        <v>0</v>
      </c>
    </row>
    <row r="1138" spans="1:2" x14ac:dyDescent="0.25">
      <c r="A1138" t="s">
        <v>727</v>
      </c>
      <c r="B1138" s="102">
        <f>SUMIF(Платежи!B:B,VLOOKUP(A1138,Платежи!B:B,1,0),Платежи!C:C)</f>
        <v>0</v>
      </c>
    </row>
    <row r="1139" spans="1:2" x14ac:dyDescent="0.25">
      <c r="A1139" t="s">
        <v>2940</v>
      </c>
      <c r="B1139" s="102">
        <f>SUMIF(Платежи!B:B,VLOOKUP(A1139,Платежи!B:B,1,0),Платежи!C:C)</f>
        <v>0</v>
      </c>
    </row>
    <row r="1140" spans="1:2" x14ac:dyDescent="0.25">
      <c r="A1140" t="s">
        <v>2941</v>
      </c>
      <c r="B1140" s="102">
        <f>SUMIF(Платежи!B:B,VLOOKUP(A1140,Платежи!B:B,1,0),Платежи!C:C)</f>
        <v>0</v>
      </c>
    </row>
    <row r="1141" spans="1:2" x14ac:dyDescent="0.25">
      <c r="A1141" t="s">
        <v>2942</v>
      </c>
      <c r="B1141" s="102">
        <f>SUMIF(Платежи!B:B,VLOOKUP(A1141,Платежи!B:B,1,0),Платежи!C:C)</f>
        <v>0</v>
      </c>
    </row>
    <row r="1142" spans="1:2" x14ac:dyDescent="0.25">
      <c r="A1142" t="s">
        <v>2943</v>
      </c>
      <c r="B1142" s="102">
        <f>SUMIF(Платежи!B:B,VLOOKUP(A1142,Платежи!B:B,1,0),Платежи!C:C)</f>
        <v>0</v>
      </c>
    </row>
    <row r="1143" spans="1:2" x14ac:dyDescent="0.25">
      <c r="A1143" t="s">
        <v>2944</v>
      </c>
      <c r="B1143" s="102">
        <f>SUMIF(Платежи!B:B,VLOOKUP(A1143,Платежи!B:B,1,0),Платежи!C:C)</f>
        <v>0</v>
      </c>
    </row>
    <row r="1144" spans="1:2" x14ac:dyDescent="0.25">
      <c r="A1144" t="s">
        <v>3340</v>
      </c>
      <c r="B1144" s="102">
        <f>SUMIF(Платежи!B:B,VLOOKUP(A1144,Платежи!B:B,1,0),Платежи!C:C)</f>
        <v>0</v>
      </c>
    </row>
    <row r="1145" spans="1:2" x14ac:dyDescent="0.25">
      <c r="A1145" t="s">
        <v>3341</v>
      </c>
      <c r="B1145" s="102">
        <f>SUMIF(Платежи!B:B,VLOOKUP(A1145,Платежи!B:B,1,0),Платежи!C:C)</f>
        <v>0</v>
      </c>
    </row>
    <row r="1146" spans="1:2" x14ac:dyDescent="0.25">
      <c r="A1146" t="s">
        <v>2945</v>
      </c>
      <c r="B1146" s="102">
        <f>SUMIF(Платежи!B:B,VLOOKUP(A1146,Платежи!B:B,1,0),Платежи!C:C)</f>
        <v>0</v>
      </c>
    </row>
    <row r="1147" spans="1:2" x14ac:dyDescent="0.25">
      <c r="A1147" t="s">
        <v>2946</v>
      </c>
      <c r="B1147" s="102">
        <f>SUMIF(Платежи!B:B,VLOOKUP(A1147,Платежи!B:B,1,0),Платежи!C:C)</f>
        <v>0</v>
      </c>
    </row>
    <row r="1148" spans="1:2" x14ac:dyDescent="0.25">
      <c r="A1148" t="s">
        <v>2947</v>
      </c>
      <c r="B1148" s="102">
        <f>SUMIF(Платежи!B:B,VLOOKUP(A1148,Платежи!B:B,1,0),Платежи!C:C)</f>
        <v>0</v>
      </c>
    </row>
    <row r="1149" spans="1:2" x14ac:dyDescent="0.25">
      <c r="A1149" t="s">
        <v>3342</v>
      </c>
      <c r="B1149" s="102">
        <f>SUMIF(Платежи!B:B,VLOOKUP(A1149,Платежи!B:B,1,0),Платежи!C:C)</f>
        <v>0</v>
      </c>
    </row>
    <row r="1150" spans="1:2" x14ac:dyDescent="0.25">
      <c r="A1150" t="s">
        <v>2948</v>
      </c>
      <c r="B1150" s="102">
        <f>SUMIF(Платежи!B:B,VLOOKUP(A1150,Платежи!B:B,1,0),Платежи!C:C)</f>
        <v>0</v>
      </c>
    </row>
    <row r="1151" spans="1:2" x14ac:dyDescent="0.25">
      <c r="A1151" t="s">
        <v>3343</v>
      </c>
      <c r="B1151" s="102">
        <f>SUMIF(Платежи!B:B,VLOOKUP(A1151,Платежи!B:B,1,0),Платежи!C:C)</f>
        <v>0</v>
      </c>
    </row>
    <row r="1152" spans="1:2" x14ac:dyDescent="0.25">
      <c r="A1152" t="s">
        <v>3344</v>
      </c>
      <c r="B1152" s="102">
        <f>SUMIF(Платежи!B:B,VLOOKUP(A1152,Платежи!B:B,1,0),Платежи!C:C)</f>
        <v>2590</v>
      </c>
    </row>
    <row r="1153" spans="1:2" x14ac:dyDescent="0.25">
      <c r="A1153" t="s">
        <v>3345</v>
      </c>
      <c r="B1153" s="102">
        <f>SUMIF(Платежи!B:B,VLOOKUP(A1153,Платежи!B:B,1,0),Платежи!C:C)</f>
        <v>0</v>
      </c>
    </row>
    <row r="1154" spans="1:2" x14ac:dyDescent="0.25">
      <c r="A1154" t="s">
        <v>3346</v>
      </c>
      <c r="B1154" s="102">
        <f>SUMIF(Платежи!B:B,VLOOKUP(A1154,Платежи!B:B,1,0),Платежи!C:C)</f>
        <v>0</v>
      </c>
    </row>
    <row r="1155" spans="1:2" x14ac:dyDescent="0.25">
      <c r="A1155" t="s">
        <v>769</v>
      </c>
      <c r="B1155" s="102">
        <f>SUMIF(Платежи!B:B,VLOOKUP(A1155,Платежи!B:B,1,0),Платежи!C:C)</f>
        <v>0</v>
      </c>
    </row>
    <row r="1156" spans="1:2" x14ac:dyDescent="0.25">
      <c r="A1156" t="s">
        <v>2949</v>
      </c>
      <c r="B1156" s="102">
        <f>SUMIF(Платежи!B:B,VLOOKUP(A1156,Платежи!B:B,1,0),Платежи!C:C)</f>
        <v>0</v>
      </c>
    </row>
    <row r="1157" spans="1:2" x14ac:dyDescent="0.25">
      <c r="A1157" t="s">
        <v>2950</v>
      </c>
      <c r="B1157" s="102">
        <f>SUMIF(Платежи!B:B,VLOOKUP(A1157,Платежи!B:B,1,0),Платежи!C:C)</f>
        <v>0</v>
      </c>
    </row>
    <row r="1158" spans="1:2" x14ac:dyDescent="0.25">
      <c r="A1158" t="s">
        <v>3347</v>
      </c>
      <c r="B1158" s="102">
        <f>SUMIF(Платежи!B:B,VLOOKUP(A1158,Платежи!B:B,1,0),Платежи!C:C)</f>
        <v>0</v>
      </c>
    </row>
    <row r="1159" spans="1:2" x14ac:dyDescent="0.25">
      <c r="A1159" t="s">
        <v>3348</v>
      </c>
      <c r="B1159" s="102">
        <f>SUMIF(Платежи!B:B,VLOOKUP(A1159,Платежи!B:B,1,0),Платежи!C:C)</f>
        <v>0</v>
      </c>
    </row>
    <row r="1160" spans="1:2" x14ac:dyDescent="0.25">
      <c r="A1160" t="s">
        <v>2951</v>
      </c>
      <c r="B1160" s="102">
        <f>SUMIF(Платежи!B:B,VLOOKUP(A1160,Платежи!B:B,1,0),Платежи!C:C)</f>
        <v>0</v>
      </c>
    </row>
    <row r="1161" spans="1:2" x14ac:dyDescent="0.25">
      <c r="A1161" t="s">
        <v>3349</v>
      </c>
      <c r="B1161" s="102">
        <f>SUMIF(Платежи!B:B,VLOOKUP(A1161,Платежи!B:B,1,0),Платежи!C:C)</f>
        <v>0</v>
      </c>
    </row>
    <row r="1162" spans="1:2" x14ac:dyDescent="0.25">
      <c r="A1162" t="s">
        <v>2952</v>
      </c>
      <c r="B1162" s="102">
        <f>SUMIF(Платежи!B:B,VLOOKUP(A1162,Платежи!B:B,1,0),Платежи!C:C)</f>
        <v>0</v>
      </c>
    </row>
    <row r="1163" spans="1:2" x14ac:dyDescent="0.25">
      <c r="A1163" t="s">
        <v>2953</v>
      </c>
      <c r="B1163" s="102">
        <f>SUMIF(Платежи!B:B,VLOOKUP(A1163,Платежи!B:B,1,0),Платежи!C:C)</f>
        <v>0</v>
      </c>
    </row>
    <row r="1164" spans="1:2" x14ac:dyDescent="0.25">
      <c r="A1164" t="s">
        <v>2954</v>
      </c>
      <c r="B1164" s="102">
        <f>SUMIF(Платежи!B:B,VLOOKUP(A1164,Платежи!B:B,1,0),Платежи!C:C)</f>
        <v>0</v>
      </c>
    </row>
    <row r="1165" spans="1:2" x14ac:dyDescent="0.25">
      <c r="A1165" t="s">
        <v>2955</v>
      </c>
      <c r="B1165" s="102">
        <f>SUMIF(Платежи!B:B,VLOOKUP(A1165,Платежи!B:B,1,0),Платежи!C:C)</f>
        <v>0</v>
      </c>
    </row>
    <row r="1166" spans="1:2" x14ac:dyDescent="0.25">
      <c r="A1166" t="s">
        <v>3350</v>
      </c>
      <c r="B1166" s="102">
        <f>SUMIF(Платежи!B:B,VLOOKUP(A1166,Платежи!B:B,1,0),Платежи!C:C)</f>
        <v>0</v>
      </c>
    </row>
    <row r="1167" spans="1:2" x14ac:dyDescent="0.25">
      <c r="A1167" t="s">
        <v>3351</v>
      </c>
      <c r="B1167" s="102">
        <f>SUMIF(Платежи!B:B,VLOOKUP(A1167,Платежи!B:B,1,0),Платежи!C:C)</f>
        <v>0</v>
      </c>
    </row>
    <row r="1168" spans="1:2" x14ac:dyDescent="0.25">
      <c r="A1168" t="s">
        <v>2956</v>
      </c>
      <c r="B1168" s="102">
        <f>SUMIF(Платежи!B:B,VLOOKUP(A1168,Платежи!B:B,1,0),Платежи!C:C)</f>
        <v>0</v>
      </c>
    </row>
    <row r="1169" spans="1:2" x14ac:dyDescent="0.25">
      <c r="A1169" t="s">
        <v>3352</v>
      </c>
      <c r="B1169" s="102">
        <f>SUMIF(Платежи!B:B,VLOOKUP(A1169,Платежи!B:B,1,0),Платежи!C:C)</f>
        <v>0</v>
      </c>
    </row>
    <row r="1170" spans="1:2" x14ac:dyDescent="0.25">
      <c r="A1170" t="s">
        <v>3353</v>
      </c>
      <c r="B1170" s="102">
        <f>SUMIF(Платежи!B:B,VLOOKUP(A1170,Платежи!B:B,1,0),Платежи!C:C)</f>
        <v>0</v>
      </c>
    </row>
    <row r="1171" spans="1:2" x14ac:dyDescent="0.25">
      <c r="A1171" t="s">
        <v>2957</v>
      </c>
      <c r="B1171" s="102">
        <f>SUMIF(Платежи!B:B,VLOOKUP(A1171,Платежи!B:B,1,0),Платежи!C:C)</f>
        <v>0</v>
      </c>
    </row>
    <row r="1172" spans="1:2" x14ac:dyDescent="0.25">
      <c r="A1172" t="s">
        <v>2958</v>
      </c>
      <c r="B1172" s="102">
        <f>SUMIF(Платежи!B:B,VLOOKUP(A1172,Платежи!B:B,1,0),Платежи!C:C)</f>
        <v>0</v>
      </c>
    </row>
    <row r="1173" spans="1:2" x14ac:dyDescent="0.25">
      <c r="A1173" t="s">
        <v>2959</v>
      </c>
      <c r="B1173" s="102">
        <f>SUMIF(Платежи!B:B,VLOOKUP(A1173,Платежи!B:B,1,0),Платежи!C:C)</f>
        <v>0</v>
      </c>
    </row>
    <row r="1174" spans="1:2" x14ac:dyDescent="0.25">
      <c r="A1174" t="s">
        <v>3354</v>
      </c>
      <c r="B1174" s="102">
        <f>SUMIF(Платежи!B:B,VLOOKUP(A1174,Платежи!B:B,1,0),Платежи!C:C)</f>
        <v>0</v>
      </c>
    </row>
    <row r="1175" spans="1:2" x14ac:dyDescent="0.25">
      <c r="A1175" t="s">
        <v>2960</v>
      </c>
      <c r="B1175" s="102">
        <f>SUMIF(Платежи!B:B,VLOOKUP(A1175,Платежи!B:B,1,0),Платежи!C:C)</f>
        <v>0</v>
      </c>
    </row>
    <row r="1176" spans="1:2" x14ac:dyDescent="0.25">
      <c r="A1176" t="s">
        <v>2961</v>
      </c>
      <c r="B1176" s="102">
        <f>SUMIF(Платежи!B:B,VLOOKUP(A1176,Платежи!B:B,1,0),Платежи!C:C)</f>
        <v>0</v>
      </c>
    </row>
    <row r="1177" spans="1:2" x14ac:dyDescent="0.25">
      <c r="A1177" t="s">
        <v>2962</v>
      </c>
      <c r="B1177" s="102">
        <f>SUMIF(Платежи!B:B,VLOOKUP(A1177,Платежи!B:B,1,0),Платежи!C:C)</f>
        <v>0</v>
      </c>
    </row>
    <row r="1178" spans="1:2" x14ac:dyDescent="0.25">
      <c r="A1178" t="s">
        <v>2963</v>
      </c>
      <c r="B1178" s="102">
        <f>SUMIF(Платежи!B:B,VLOOKUP(A1178,Платежи!B:B,1,0),Платежи!C:C)</f>
        <v>0</v>
      </c>
    </row>
    <row r="1179" spans="1:2" x14ac:dyDescent="0.25">
      <c r="A1179" t="s">
        <v>2964</v>
      </c>
      <c r="B1179" s="102">
        <f>SUMIF(Платежи!B:B,VLOOKUP(A1179,Платежи!B:B,1,0),Платежи!C:C)</f>
        <v>0</v>
      </c>
    </row>
    <row r="1180" spans="1:2" x14ac:dyDescent="0.25">
      <c r="A1180" t="s">
        <v>2965</v>
      </c>
      <c r="B1180" s="102">
        <f>SUMIF(Платежи!B:B,VLOOKUP(A1180,Платежи!B:B,1,0),Платежи!C:C)</f>
        <v>5344.61</v>
      </c>
    </row>
    <row r="1181" spans="1:2" x14ac:dyDescent="0.25">
      <c r="A1181" t="s">
        <v>2966</v>
      </c>
      <c r="B1181" s="102">
        <f>SUMIF(Платежи!B:B,VLOOKUP(A1181,Платежи!B:B,1,0),Платежи!C:C)</f>
        <v>0</v>
      </c>
    </row>
    <row r="1182" spans="1:2" x14ac:dyDescent="0.25">
      <c r="A1182" t="s">
        <v>2967</v>
      </c>
      <c r="B1182" s="102">
        <f>SUMIF(Платежи!B:B,VLOOKUP(A1182,Платежи!B:B,1,0),Платежи!C:C)</f>
        <v>0</v>
      </c>
    </row>
    <row r="1183" spans="1:2" x14ac:dyDescent="0.25">
      <c r="A1183" t="s">
        <v>3355</v>
      </c>
      <c r="B1183" s="102">
        <f>SUMIF(Платежи!B:B,VLOOKUP(A1183,Платежи!B:B,1,0),Платежи!C:C)</f>
        <v>0</v>
      </c>
    </row>
    <row r="1184" spans="1:2" x14ac:dyDescent="0.25">
      <c r="A1184" t="s">
        <v>2968</v>
      </c>
      <c r="B1184" s="102">
        <f>SUMIF(Платежи!B:B,VLOOKUP(A1184,Платежи!B:B,1,0),Платежи!C:C)</f>
        <v>0</v>
      </c>
    </row>
    <row r="1185" spans="1:2" x14ac:dyDescent="0.25">
      <c r="A1185" t="s">
        <v>2969</v>
      </c>
      <c r="B1185" s="102">
        <f>SUMIF(Платежи!B:B,VLOOKUP(A1185,Платежи!B:B,1,0),Платежи!C:C)</f>
        <v>0</v>
      </c>
    </row>
    <row r="1186" spans="1:2" x14ac:dyDescent="0.25">
      <c r="A1186" t="s">
        <v>3356</v>
      </c>
      <c r="B1186" s="102">
        <f>SUMIF(Платежи!B:B,VLOOKUP(A1186,Платежи!B:B,1,0),Платежи!C:C)</f>
        <v>0</v>
      </c>
    </row>
    <row r="1187" spans="1:2" x14ac:dyDescent="0.25">
      <c r="A1187" t="s">
        <v>3357</v>
      </c>
      <c r="B1187" s="102">
        <f>SUMIF(Платежи!B:B,VLOOKUP(A1187,Платежи!B:B,1,0),Платежи!C:C)</f>
        <v>0</v>
      </c>
    </row>
    <row r="1188" spans="1:2" x14ac:dyDescent="0.25">
      <c r="A1188" t="s">
        <v>3358</v>
      </c>
      <c r="B1188" s="102">
        <f>SUMIF(Платежи!B:B,VLOOKUP(A1188,Платежи!B:B,1,0),Платежи!C:C)</f>
        <v>0</v>
      </c>
    </row>
    <row r="1189" spans="1:2" x14ac:dyDescent="0.25">
      <c r="A1189" t="s">
        <v>2970</v>
      </c>
      <c r="B1189" s="102">
        <f>SUMIF(Платежи!B:B,VLOOKUP(A1189,Платежи!B:B,1,0),Платежи!C:C)</f>
        <v>0</v>
      </c>
    </row>
    <row r="1190" spans="1:2" x14ac:dyDescent="0.25">
      <c r="A1190" t="s">
        <v>2971</v>
      </c>
      <c r="B1190" s="102">
        <f>SUMIF(Платежи!B:B,VLOOKUP(A1190,Платежи!B:B,1,0),Платежи!C:C)</f>
        <v>0</v>
      </c>
    </row>
    <row r="1191" spans="1:2" x14ac:dyDescent="0.25">
      <c r="A1191" t="s">
        <v>2972</v>
      </c>
      <c r="B1191" s="102">
        <f>SUMIF(Платежи!B:B,VLOOKUP(A1191,Платежи!B:B,1,0),Платежи!C:C)</f>
        <v>0</v>
      </c>
    </row>
    <row r="1192" spans="1:2" x14ac:dyDescent="0.25">
      <c r="A1192" t="s">
        <v>2973</v>
      </c>
      <c r="B1192" s="102">
        <f>SUMIF(Платежи!B:B,VLOOKUP(A1192,Платежи!B:B,1,0),Платежи!C:C)</f>
        <v>0</v>
      </c>
    </row>
    <row r="1193" spans="1:2" x14ac:dyDescent="0.25">
      <c r="A1193" t="s">
        <v>2974</v>
      </c>
      <c r="B1193" s="102">
        <f>SUMIF(Платежи!B:B,VLOOKUP(A1193,Платежи!B:B,1,0),Платежи!C:C)</f>
        <v>0</v>
      </c>
    </row>
    <row r="1194" spans="1:2" x14ac:dyDescent="0.25">
      <c r="A1194" t="s">
        <v>817</v>
      </c>
      <c r="B1194" s="102">
        <f>SUMIF(Платежи!B:B,VLOOKUP(A1194,Платежи!B:B,1,0),Платежи!C:C)</f>
        <v>0</v>
      </c>
    </row>
    <row r="1195" spans="1:2" x14ac:dyDescent="0.25">
      <c r="A1195" t="s">
        <v>3359</v>
      </c>
      <c r="B1195" s="102">
        <f>SUMIF(Платежи!B:B,VLOOKUP(A1195,Платежи!B:B,1,0),Платежи!C:C)</f>
        <v>0</v>
      </c>
    </row>
    <row r="1196" spans="1:2" x14ac:dyDescent="0.25">
      <c r="A1196" t="s">
        <v>2975</v>
      </c>
      <c r="B1196" s="102">
        <f>SUMIF(Платежи!B:B,VLOOKUP(A1196,Платежи!B:B,1,0),Платежи!C:C)</f>
        <v>740000</v>
      </c>
    </row>
    <row r="1197" spans="1:2" x14ac:dyDescent="0.25">
      <c r="A1197" t="s">
        <v>2976</v>
      </c>
      <c r="B1197" s="102">
        <f>SUMIF(Платежи!B:B,VLOOKUP(A1197,Платежи!B:B,1,0),Платежи!C:C)</f>
        <v>0</v>
      </c>
    </row>
    <row r="1198" spans="1:2" x14ac:dyDescent="0.25">
      <c r="A1198" t="s">
        <v>3360</v>
      </c>
      <c r="B1198" s="102">
        <f>SUMIF(Платежи!B:B,VLOOKUP(A1198,Платежи!B:B,1,0),Платежи!C:C)</f>
        <v>0</v>
      </c>
    </row>
    <row r="1199" spans="1:2" x14ac:dyDescent="0.25">
      <c r="A1199" t="s">
        <v>2977</v>
      </c>
      <c r="B1199" s="102">
        <f>SUMIF(Платежи!B:B,VLOOKUP(A1199,Платежи!B:B,1,0),Платежи!C:C)</f>
        <v>0</v>
      </c>
    </row>
    <row r="1200" spans="1:2" x14ac:dyDescent="0.25">
      <c r="A1200" t="s">
        <v>3361</v>
      </c>
      <c r="B1200" s="102">
        <f>SUMIF(Платежи!B:B,VLOOKUP(A1200,Платежи!B:B,1,0),Платежи!C:C)</f>
        <v>0</v>
      </c>
    </row>
    <row r="1201" spans="1:2" x14ac:dyDescent="0.25">
      <c r="A1201" t="s">
        <v>2978</v>
      </c>
      <c r="B1201" s="102">
        <f>SUMIF(Платежи!B:B,VLOOKUP(A1201,Платежи!B:B,1,0),Платежи!C:C)</f>
        <v>0</v>
      </c>
    </row>
    <row r="1202" spans="1:2" x14ac:dyDescent="0.25">
      <c r="A1202" t="s">
        <v>3362</v>
      </c>
      <c r="B1202" s="102">
        <f>SUMIF(Платежи!B:B,VLOOKUP(A1202,Платежи!B:B,1,0),Платежи!C:C)</f>
        <v>0</v>
      </c>
    </row>
    <row r="1203" spans="1:2" x14ac:dyDescent="0.25">
      <c r="A1203" t="s">
        <v>2979</v>
      </c>
      <c r="B1203" s="102">
        <f>SUMIF(Платежи!B:B,VLOOKUP(A1203,Платежи!B:B,1,0),Платежи!C:C)</f>
        <v>0</v>
      </c>
    </row>
    <row r="1204" spans="1:2" x14ac:dyDescent="0.25">
      <c r="A1204" t="s">
        <v>3363</v>
      </c>
      <c r="B1204" s="102">
        <f>SUMIF(Платежи!B:B,VLOOKUP(A1204,Платежи!B:B,1,0),Платежи!C:C)</f>
        <v>0</v>
      </c>
    </row>
    <row r="1205" spans="1:2" x14ac:dyDescent="0.25">
      <c r="A1205" t="s">
        <v>3364</v>
      </c>
      <c r="B1205" s="102">
        <f>SUMIF(Платежи!B:B,VLOOKUP(A1205,Платежи!B:B,1,0),Платежи!C:C)</f>
        <v>0</v>
      </c>
    </row>
    <row r="1206" spans="1:2" x14ac:dyDescent="0.25">
      <c r="A1206" t="s">
        <v>2980</v>
      </c>
      <c r="B1206" s="102">
        <f>SUMIF(Платежи!B:B,VLOOKUP(A1206,Платежи!B:B,1,0),Платежи!C:C)</f>
        <v>0</v>
      </c>
    </row>
    <row r="1207" spans="1:2" x14ac:dyDescent="0.25">
      <c r="A1207" t="s">
        <v>2981</v>
      </c>
      <c r="B1207" s="102">
        <f>SUMIF(Платежи!B:B,VLOOKUP(A1207,Платежи!B:B,1,0),Платежи!C:C)</f>
        <v>0</v>
      </c>
    </row>
    <row r="1208" spans="1:2" x14ac:dyDescent="0.25">
      <c r="A1208" t="s">
        <v>2982</v>
      </c>
      <c r="B1208" s="102">
        <f>SUMIF(Платежи!B:B,VLOOKUP(A1208,Платежи!B:B,1,0),Платежи!C:C)</f>
        <v>0</v>
      </c>
    </row>
    <row r="1209" spans="1:2" x14ac:dyDescent="0.25">
      <c r="A1209" t="s">
        <v>2983</v>
      </c>
      <c r="B1209" s="102">
        <f>SUMIF(Платежи!B:B,VLOOKUP(A1209,Платежи!B:B,1,0),Платежи!C:C)</f>
        <v>0</v>
      </c>
    </row>
    <row r="1210" spans="1:2" x14ac:dyDescent="0.25">
      <c r="A1210" t="s">
        <v>2984</v>
      </c>
      <c r="B1210" s="102">
        <f>SUMIF(Платежи!B:B,VLOOKUP(A1210,Платежи!B:B,1,0),Платежи!C:C)</f>
        <v>0</v>
      </c>
    </row>
    <row r="1211" spans="1:2" x14ac:dyDescent="0.25">
      <c r="A1211" t="s">
        <v>2985</v>
      </c>
      <c r="B1211" s="102">
        <f>SUMIF(Платежи!B:B,VLOOKUP(A1211,Платежи!B:B,1,0),Платежи!C:C)</f>
        <v>0</v>
      </c>
    </row>
    <row r="1212" spans="1:2" x14ac:dyDescent="0.25">
      <c r="A1212" t="s">
        <v>2986</v>
      </c>
      <c r="B1212" s="102">
        <f>SUMIF(Платежи!B:B,VLOOKUP(A1212,Платежи!B:B,1,0),Платежи!C:C)</f>
        <v>0</v>
      </c>
    </row>
    <row r="1213" spans="1:2" x14ac:dyDescent="0.25">
      <c r="A1213" t="s">
        <v>3365</v>
      </c>
      <c r="B1213" s="102">
        <f>SUMIF(Платежи!B:B,VLOOKUP(A1213,Платежи!B:B,1,0),Платежи!C:C)</f>
        <v>0</v>
      </c>
    </row>
    <row r="1214" spans="1:2" x14ac:dyDescent="0.25">
      <c r="A1214" t="s">
        <v>3366</v>
      </c>
      <c r="B1214" s="102">
        <f>SUMIF(Платежи!B:B,VLOOKUP(A1214,Платежи!B:B,1,0),Платежи!C:C)</f>
        <v>0</v>
      </c>
    </row>
    <row r="1215" spans="1:2" x14ac:dyDescent="0.25">
      <c r="A1215" t="s">
        <v>3367</v>
      </c>
      <c r="B1215" s="102">
        <f>SUMIF(Платежи!B:B,VLOOKUP(A1215,Платежи!B:B,1,0),Платежи!C:C)</f>
        <v>0</v>
      </c>
    </row>
    <row r="1216" spans="1:2" x14ac:dyDescent="0.25">
      <c r="A1216" t="s">
        <v>3368</v>
      </c>
      <c r="B1216" s="102">
        <f>SUMIF(Платежи!B:B,VLOOKUP(A1216,Платежи!B:B,1,0),Платежи!C:C)</f>
        <v>0</v>
      </c>
    </row>
    <row r="1217" spans="1:2" x14ac:dyDescent="0.25">
      <c r="A1217" t="s">
        <v>841</v>
      </c>
      <c r="B1217" s="102">
        <f>SUMIF(Платежи!B:B,VLOOKUP(A1217,Платежи!B:B,1,0),Платежи!C:C)</f>
        <v>0</v>
      </c>
    </row>
    <row r="1218" spans="1:2" x14ac:dyDescent="0.25">
      <c r="A1218" t="s">
        <v>2987</v>
      </c>
      <c r="B1218" s="102">
        <f>SUMIF(Платежи!B:B,VLOOKUP(A1218,Платежи!B:B,1,0),Платежи!C:C)</f>
        <v>0</v>
      </c>
    </row>
    <row r="1219" spans="1:2" x14ac:dyDescent="0.25">
      <c r="A1219" t="s">
        <v>2988</v>
      </c>
      <c r="B1219" s="102">
        <f>SUMIF(Платежи!B:B,VLOOKUP(A1219,Платежи!B:B,1,0),Платежи!C:C)</f>
        <v>0</v>
      </c>
    </row>
    <row r="1220" spans="1:2" x14ac:dyDescent="0.25">
      <c r="A1220" t="s">
        <v>2989</v>
      </c>
      <c r="B1220" s="102">
        <f>SUMIF(Платежи!B:B,VLOOKUP(A1220,Платежи!B:B,1,0),Платежи!C:C)</f>
        <v>0</v>
      </c>
    </row>
    <row r="1221" spans="1:2" x14ac:dyDescent="0.25">
      <c r="A1221" t="s">
        <v>2990</v>
      </c>
      <c r="B1221" s="102">
        <f>SUMIF(Платежи!B:B,VLOOKUP(A1221,Платежи!B:B,1,0),Платежи!C:C)</f>
        <v>0</v>
      </c>
    </row>
    <row r="1222" spans="1:2" x14ac:dyDescent="0.25">
      <c r="A1222" t="s">
        <v>3369</v>
      </c>
      <c r="B1222" s="102">
        <f>SUMIF(Платежи!B:B,VLOOKUP(A1222,Платежи!B:B,1,0),Платежи!C:C)</f>
        <v>0</v>
      </c>
    </row>
    <row r="1223" spans="1:2" x14ac:dyDescent="0.25">
      <c r="A1223" t="s">
        <v>2991</v>
      </c>
      <c r="B1223" s="102">
        <f>SUMIF(Платежи!B:B,VLOOKUP(A1223,Платежи!B:B,1,0),Платежи!C:C)</f>
        <v>0</v>
      </c>
    </row>
    <row r="1224" spans="1:2" x14ac:dyDescent="0.25">
      <c r="A1224" t="s">
        <v>2992</v>
      </c>
      <c r="B1224" s="102">
        <f>SUMIF(Платежи!B:B,VLOOKUP(A1224,Платежи!B:B,1,0),Платежи!C:C)</f>
        <v>0</v>
      </c>
    </row>
    <row r="1225" spans="1:2" x14ac:dyDescent="0.25">
      <c r="A1225" t="s">
        <v>2993</v>
      </c>
      <c r="B1225" s="102">
        <f>SUMIF(Платежи!B:B,VLOOKUP(A1225,Платежи!B:B,1,0),Платежи!C:C)</f>
        <v>0</v>
      </c>
    </row>
    <row r="1226" spans="1:2" x14ac:dyDescent="0.25">
      <c r="A1226" t="s">
        <v>3370</v>
      </c>
      <c r="B1226" s="102">
        <f>SUMIF(Платежи!B:B,VLOOKUP(A1226,Платежи!B:B,1,0),Платежи!C:C)</f>
        <v>0</v>
      </c>
    </row>
    <row r="1227" spans="1:2" x14ac:dyDescent="0.25">
      <c r="A1227" t="s">
        <v>3371</v>
      </c>
      <c r="B1227" s="102">
        <f>SUMIF(Платежи!B:B,VLOOKUP(A1227,Платежи!B:B,1,0),Платежи!C:C)</f>
        <v>0</v>
      </c>
    </row>
    <row r="1228" spans="1:2" x14ac:dyDescent="0.25">
      <c r="A1228" t="s">
        <v>3372</v>
      </c>
      <c r="B1228" s="102">
        <f>SUMIF(Платежи!B:B,VLOOKUP(A1228,Платежи!B:B,1,0),Платежи!C:C)</f>
        <v>0</v>
      </c>
    </row>
    <row r="1229" spans="1:2" x14ac:dyDescent="0.25">
      <c r="A1229" t="s">
        <v>3373</v>
      </c>
      <c r="B1229" s="102">
        <f>SUMIF(Платежи!B:B,VLOOKUP(A1229,Платежи!B:B,1,0),Платежи!C:C)</f>
        <v>0</v>
      </c>
    </row>
    <row r="1230" spans="1:2" x14ac:dyDescent="0.25">
      <c r="A1230" t="s">
        <v>2994</v>
      </c>
      <c r="B1230" s="102">
        <f>SUMIF(Платежи!B:B,VLOOKUP(A1230,Платежи!B:B,1,0),Платежи!C:C)</f>
        <v>0</v>
      </c>
    </row>
    <row r="1231" spans="1:2" x14ac:dyDescent="0.25">
      <c r="A1231" t="s">
        <v>3374</v>
      </c>
      <c r="B1231" s="102">
        <f>SUMIF(Платежи!B:B,VLOOKUP(A1231,Платежи!B:B,1,0),Платежи!C:C)</f>
        <v>0</v>
      </c>
    </row>
    <row r="1232" spans="1:2" x14ac:dyDescent="0.25">
      <c r="A1232" t="s">
        <v>2995</v>
      </c>
      <c r="B1232" s="102">
        <f>SUMIF(Платежи!B:B,VLOOKUP(A1232,Платежи!B:B,1,0),Платежи!C:C)</f>
        <v>0</v>
      </c>
    </row>
    <row r="1233" spans="1:2" x14ac:dyDescent="0.25">
      <c r="A1233" t="s">
        <v>2996</v>
      </c>
      <c r="B1233" s="102">
        <f>SUMIF(Платежи!B:B,VLOOKUP(A1233,Платежи!B:B,1,0),Платежи!C:C)</f>
        <v>0</v>
      </c>
    </row>
    <row r="1234" spans="1:2" x14ac:dyDescent="0.25">
      <c r="A1234" t="s">
        <v>3375</v>
      </c>
      <c r="B1234" s="102">
        <f>SUMIF(Платежи!B:B,VLOOKUP(A1234,Платежи!B:B,1,0),Платежи!C:C)</f>
        <v>0</v>
      </c>
    </row>
    <row r="1235" spans="1:2" x14ac:dyDescent="0.25">
      <c r="A1235" t="s">
        <v>3376</v>
      </c>
      <c r="B1235" s="102">
        <f>SUMIF(Платежи!B:B,VLOOKUP(A1235,Платежи!B:B,1,0),Платежи!C:C)</f>
        <v>0</v>
      </c>
    </row>
    <row r="1236" spans="1:2" x14ac:dyDescent="0.25">
      <c r="A1236" t="s">
        <v>2997</v>
      </c>
      <c r="B1236" s="102">
        <f>SUMIF(Платежи!B:B,VLOOKUP(A1236,Платежи!B:B,1,0),Платежи!C:C)</f>
        <v>0</v>
      </c>
    </row>
    <row r="1237" spans="1:2" x14ac:dyDescent="0.25">
      <c r="A1237" t="s">
        <v>3377</v>
      </c>
      <c r="B1237" s="102">
        <f>SUMIF(Платежи!B:B,VLOOKUP(A1237,Платежи!B:B,1,0),Платежи!C:C)</f>
        <v>0</v>
      </c>
    </row>
    <row r="1238" spans="1:2" x14ac:dyDescent="0.25">
      <c r="A1238" t="s">
        <v>3378</v>
      </c>
      <c r="B1238" s="102">
        <f>SUMIF(Платежи!B:B,VLOOKUP(A1238,Платежи!B:B,1,0),Платежи!C:C)</f>
        <v>0</v>
      </c>
    </row>
    <row r="1239" spans="1:2" x14ac:dyDescent="0.25">
      <c r="A1239" t="s">
        <v>2998</v>
      </c>
      <c r="B1239" s="102">
        <f>SUMIF(Платежи!B:B,VLOOKUP(A1239,Платежи!B:B,1,0),Платежи!C:C)</f>
        <v>0</v>
      </c>
    </row>
    <row r="1240" spans="1:2" x14ac:dyDescent="0.25">
      <c r="A1240" t="s">
        <v>3379</v>
      </c>
      <c r="B1240" s="102">
        <f>SUMIF(Платежи!B:B,VLOOKUP(A1240,Платежи!B:B,1,0),Платежи!C:C)</f>
        <v>0</v>
      </c>
    </row>
    <row r="1241" spans="1:2" x14ac:dyDescent="0.25">
      <c r="A1241" t="s">
        <v>2999</v>
      </c>
      <c r="B1241" s="102">
        <f>SUMIF(Платежи!B:B,VLOOKUP(A1241,Платежи!B:B,1,0),Платежи!C:C)</f>
        <v>0</v>
      </c>
    </row>
    <row r="1242" spans="1:2" x14ac:dyDescent="0.25">
      <c r="A1242" t="s">
        <v>3000</v>
      </c>
      <c r="B1242" s="102">
        <f>SUMIF(Платежи!B:B,VLOOKUP(A1242,Платежи!B:B,1,0),Платежи!C:C)</f>
        <v>0</v>
      </c>
    </row>
    <row r="1243" spans="1:2" x14ac:dyDescent="0.25">
      <c r="A1243" t="s">
        <v>3380</v>
      </c>
      <c r="B1243" s="102">
        <f>SUMIF(Платежи!B:B,VLOOKUP(A1243,Платежи!B:B,1,0),Платежи!C:C)</f>
        <v>0</v>
      </c>
    </row>
    <row r="1244" spans="1:2" x14ac:dyDescent="0.25">
      <c r="A1244" t="s">
        <v>3001</v>
      </c>
      <c r="B1244" s="102">
        <f>SUMIF(Платежи!B:B,VLOOKUP(A1244,Платежи!B:B,1,0),Платежи!C:C)</f>
        <v>0</v>
      </c>
    </row>
    <row r="1245" spans="1:2" x14ac:dyDescent="0.25">
      <c r="A1245" t="s">
        <v>3381</v>
      </c>
      <c r="B1245" s="102">
        <f>SUMIF(Платежи!B:B,VLOOKUP(A1245,Платежи!B:B,1,0),Платежи!C:C)</f>
        <v>0</v>
      </c>
    </row>
    <row r="1246" spans="1:2" x14ac:dyDescent="0.25">
      <c r="A1246" t="s">
        <v>3002</v>
      </c>
      <c r="B1246" s="102">
        <f>SUMIF(Платежи!B:B,VLOOKUP(A1246,Платежи!B:B,1,0),Платежи!C:C)</f>
        <v>0</v>
      </c>
    </row>
    <row r="1247" spans="1:2" x14ac:dyDescent="0.25">
      <c r="A1247" t="s">
        <v>3003</v>
      </c>
      <c r="B1247" s="102">
        <f>SUMIF(Платежи!B:B,VLOOKUP(A1247,Платежи!B:B,1,0),Платежи!C:C)</f>
        <v>0</v>
      </c>
    </row>
    <row r="1248" spans="1:2" x14ac:dyDescent="0.25">
      <c r="A1248" t="s">
        <v>3382</v>
      </c>
      <c r="B1248" s="102">
        <f>SUMIF(Платежи!B:B,VLOOKUP(A1248,Платежи!B:B,1,0),Платежи!C:C)</f>
        <v>0</v>
      </c>
    </row>
    <row r="1249" spans="1:2" x14ac:dyDescent="0.25">
      <c r="A1249" t="s">
        <v>3383</v>
      </c>
      <c r="B1249" s="102">
        <f>SUMIF(Платежи!B:B,VLOOKUP(A1249,Платежи!B:B,1,0),Платежи!C:C)</f>
        <v>0</v>
      </c>
    </row>
    <row r="1250" spans="1:2" x14ac:dyDescent="0.25">
      <c r="A1250" t="s">
        <v>3004</v>
      </c>
      <c r="B1250" s="102">
        <f>SUMIF(Платежи!B:B,VLOOKUP(A1250,Платежи!B:B,1,0),Платежи!C:C)</f>
        <v>0</v>
      </c>
    </row>
    <row r="1251" spans="1:2" x14ac:dyDescent="0.25">
      <c r="A1251" t="s">
        <v>856</v>
      </c>
      <c r="B1251" s="102">
        <f>SUMIF(Платежи!B:B,VLOOKUP(A1251,Платежи!B:B,1,0),Платежи!C:C)</f>
        <v>6.76</v>
      </c>
    </row>
    <row r="1252" spans="1:2" x14ac:dyDescent="0.25">
      <c r="A1252" t="s">
        <v>3005</v>
      </c>
      <c r="B1252" s="102">
        <f>SUMIF(Платежи!B:B,VLOOKUP(A1252,Платежи!B:B,1,0),Платежи!C:C)</f>
        <v>0</v>
      </c>
    </row>
    <row r="1253" spans="1:2" x14ac:dyDescent="0.25">
      <c r="A1253" t="s">
        <v>3006</v>
      </c>
      <c r="B1253" s="102">
        <f>SUMIF(Платежи!B:B,VLOOKUP(A1253,Платежи!B:B,1,0),Платежи!C:C)</f>
        <v>0</v>
      </c>
    </row>
    <row r="1254" spans="1:2" x14ac:dyDescent="0.25">
      <c r="A1254" t="s">
        <v>3384</v>
      </c>
      <c r="B1254" s="102">
        <f>SUMIF(Платежи!B:B,VLOOKUP(A1254,Платежи!B:B,1,0),Платежи!C:C)</f>
        <v>0</v>
      </c>
    </row>
    <row r="1255" spans="1:2" x14ac:dyDescent="0.25">
      <c r="A1255" t="s">
        <v>3007</v>
      </c>
      <c r="B1255" s="102">
        <f>SUMIF(Платежи!B:B,VLOOKUP(A1255,Платежи!B:B,1,0),Платежи!C:C)</f>
        <v>0</v>
      </c>
    </row>
    <row r="1256" spans="1:2" x14ac:dyDescent="0.25">
      <c r="A1256" t="s">
        <v>3008</v>
      </c>
      <c r="B1256" s="102">
        <f>SUMIF(Платежи!B:B,VLOOKUP(A1256,Платежи!B:B,1,0),Платежи!C:C)</f>
        <v>0</v>
      </c>
    </row>
    <row r="1257" spans="1:2" x14ac:dyDescent="0.25">
      <c r="A1257" t="s">
        <v>3385</v>
      </c>
      <c r="B1257" s="102">
        <f>SUMIF(Платежи!B:B,VLOOKUP(A1257,Платежи!B:B,1,0),Платежи!C:C)</f>
        <v>0</v>
      </c>
    </row>
    <row r="1258" spans="1:2" x14ac:dyDescent="0.25">
      <c r="A1258" t="s">
        <v>28</v>
      </c>
      <c r="B1258" s="102">
        <f>SUMIF(Платежи!B:B,VLOOKUP(A1258,Платежи!B:B,1,0),Платежи!C:C)</f>
        <v>0</v>
      </c>
    </row>
    <row r="1259" spans="1:2" x14ac:dyDescent="0.25">
      <c r="A1259" t="s">
        <v>3009</v>
      </c>
      <c r="B1259" s="102">
        <f>SUMIF(Платежи!B:B,VLOOKUP(A1259,Платежи!B:B,1,0),Платежи!C:C)</f>
        <v>0</v>
      </c>
    </row>
    <row r="1260" spans="1:2" x14ac:dyDescent="0.25">
      <c r="A1260" t="s">
        <v>878</v>
      </c>
      <c r="B1260" s="102">
        <f>SUMIF(Платежи!B:B,VLOOKUP(A1260,Платежи!B:B,1,0),Платежи!C:C)</f>
        <v>0</v>
      </c>
    </row>
    <row r="1261" spans="1:2" x14ac:dyDescent="0.25">
      <c r="A1261" t="s">
        <v>3010</v>
      </c>
      <c r="B1261" s="102">
        <f>SUMIF(Платежи!B:B,VLOOKUP(A1261,Платежи!B:B,1,0),Платежи!C:C)</f>
        <v>0</v>
      </c>
    </row>
    <row r="1262" spans="1:2" x14ac:dyDescent="0.25">
      <c r="A1262" t="s">
        <v>3011</v>
      </c>
      <c r="B1262" s="102">
        <f>SUMIF(Платежи!B:B,VLOOKUP(A1262,Платежи!B:B,1,0),Платежи!C:C)</f>
        <v>0</v>
      </c>
    </row>
    <row r="1263" spans="1:2" x14ac:dyDescent="0.25">
      <c r="A1263" t="s">
        <v>3386</v>
      </c>
      <c r="B1263" s="102">
        <f>SUMIF(Платежи!B:B,VLOOKUP(A1263,Платежи!B:B,1,0),Платежи!C:C)</f>
        <v>0</v>
      </c>
    </row>
    <row r="1264" spans="1:2" x14ac:dyDescent="0.25">
      <c r="A1264" t="s">
        <v>3387</v>
      </c>
      <c r="B1264" s="102">
        <f>SUMIF(Платежи!B:B,VLOOKUP(A1264,Платежи!B:B,1,0),Платежи!C:C)</f>
        <v>0</v>
      </c>
    </row>
    <row r="1265" spans="1:2" x14ac:dyDescent="0.25">
      <c r="A1265" t="s">
        <v>3012</v>
      </c>
      <c r="B1265" s="102">
        <f>SUMIF(Платежи!B:B,VLOOKUP(A1265,Платежи!B:B,1,0),Платежи!C:C)</f>
        <v>0</v>
      </c>
    </row>
    <row r="1266" spans="1:2" x14ac:dyDescent="0.25">
      <c r="A1266" t="s">
        <v>3013</v>
      </c>
      <c r="B1266" s="102">
        <f>SUMIF(Платежи!B:B,VLOOKUP(A1266,Платежи!B:B,1,0),Платежи!C:C)</f>
        <v>0</v>
      </c>
    </row>
    <row r="1267" spans="1:2" x14ac:dyDescent="0.25">
      <c r="A1267" t="s">
        <v>3014</v>
      </c>
      <c r="B1267" s="102">
        <f>SUMIF(Платежи!B:B,VLOOKUP(A1267,Платежи!B:B,1,0),Платежи!C:C)</f>
        <v>0</v>
      </c>
    </row>
    <row r="1268" spans="1:2" x14ac:dyDescent="0.25">
      <c r="A1268" t="s">
        <v>3015</v>
      </c>
      <c r="B1268" s="102">
        <f>SUMIF(Платежи!B:B,VLOOKUP(A1268,Платежи!B:B,1,0),Платежи!C:C)</f>
        <v>0</v>
      </c>
    </row>
    <row r="1269" spans="1:2" x14ac:dyDescent="0.25">
      <c r="A1269" t="s">
        <v>3016</v>
      </c>
      <c r="B1269" s="102">
        <f>SUMIF(Платежи!B:B,VLOOKUP(A1269,Платежи!B:B,1,0),Платежи!C:C)</f>
        <v>0</v>
      </c>
    </row>
    <row r="1270" spans="1:2" x14ac:dyDescent="0.25">
      <c r="A1270" t="s">
        <v>3388</v>
      </c>
      <c r="B1270" s="102">
        <f>SUMIF(Платежи!B:B,VLOOKUP(A1270,Платежи!B:B,1,0),Платежи!C:C)</f>
        <v>0</v>
      </c>
    </row>
    <row r="1271" spans="1:2" x14ac:dyDescent="0.25">
      <c r="A1271" t="s">
        <v>3389</v>
      </c>
      <c r="B1271" s="102">
        <f>SUMIF(Платежи!B:B,VLOOKUP(A1271,Платежи!B:B,1,0),Платежи!C:C)</f>
        <v>0</v>
      </c>
    </row>
    <row r="1272" spans="1:2" x14ac:dyDescent="0.25">
      <c r="A1272" t="s">
        <v>3390</v>
      </c>
      <c r="B1272" s="102">
        <f>SUMIF(Платежи!B:B,VLOOKUP(A1272,Платежи!B:B,1,0),Платежи!C:C)</f>
        <v>0</v>
      </c>
    </row>
    <row r="1273" spans="1:2" x14ac:dyDescent="0.25">
      <c r="A1273" t="s">
        <v>3017</v>
      </c>
      <c r="B1273" s="102">
        <f>SUMIF(Платежи!B:B,VLOOKUP(A1273,Платежи!B:B,1,0),Платежи!C:C)</f>
        <v>0</v>
      </c>
    </row>
    <row r="1274" spans="1:2" x14ac:dyDescent="0.25">
      <c r="A1274" t="s">
        <v>3018</v>
      </c>
      <c r="B1274" s="102">
        <f>SUMIF(Платежи!B:B,VLOOKUP(A1274,Платежи!B:B,1,0),Платежи!C:C)</f>
        <v>0</v>
      </c>
    </row>
    <row r="1275" spans="1:2" x14ac:dyDescent="0.25">
      <c r="A1275" t="s">
        <v>3391</v>
      </c>
      <c r="B1275" s="102">
        <f>SUMIF(Платежи!B:B,VLOOKUP(A1275,Платежи!B:B,1,0),Платежи!C:C)</f>
        <v>0</v>
      </c>
    </row>
    <row r="1276" spans="1:2" x14ac:dyDescent="0.25">
      <c r="A1276" t="s">
        <v>894</v>
      </c>
      <c r="B1276" s="102">
        <f>SUMIF(Платежи!B:B,VLOOKUP(A1276,Платежи!B:B,1,0),Платежи!C:C)</f>
        <v>0</v>
      </c>
    </row>
    <row r="1277" spans="1:2" x14ac:dyDescent="0.25">
      <c r="A1277" t="s">
        <v>3392</v>
      </c>
      <c r="B1277" s="102">
        <f>SUMIF(Платежи!B:B,VLOOKUP(A1277,Платежи!B:B,1,0),Платежи!C:C)</f>
        <v>0</v>
      </c>
    </row>
    <row r="1278" spans="1:2" x14ac:dyDescent="0.25">
      <c r="A1278" t="s">
        <v>3019</v>
      </c>
      <c r="B1278" s="102">
        <f>SUMIF(Платежи!B:B,VLOOKUP(A1278,Платежи!B:B,1,0),Платежи!C:C)</f>
        <v>0</v>
      </c>
    </row>
    <row r="1279" spans="1:2" x14ac:dyDescent="0.25">
      <c r="A1279" t="s">
        <v>3393</v>
      </c>
      <c r="B1279" s="102">
        <f>SUMIF(Платежи!B:B,VLOOKUP(A1279,Платежи!B:B,1,0),Платежи!C:C)</f>
        <v>0</v>
      </c>
    </row>
    <row r="1280" spans="1:2" x14ac:dyDescent="0.25">
      <c r="A1280" t="s">
        <v>3394</v>
      </c>
      <c r="B1280" s="102">
        <f>SUMIF(Платежи!B:B,VLOOKUP(A1280,Платежи!B:B,1,0),Платежи!C:C)</f>
        <v>0</v>
      </c>
    </row>
    <row r="1281" spans="1:2" x14ac:dyDescent="0.25">
      <c r="A1281" t="s">
        <v>902</v>
      </c>
      <c r="B1281" s="102">
        <f>SUMIF(Платежи!B:B,VLOOKUP(A1281,Платежи!B:B,1,0),Платежи!C:C)</f>
        <v>0</v>
      </c>
    </row>
    <row r="1282" spans="1:2" x14ac:dyDescent="0.25">
      <c r="A1282" t="s">
        <v>3020</v>
      </c>
      <c r="B1282" s="102">
        <f>SUMIF(Платежи!B:B,VLOOKUP(A1282,Платежи!B:B,1,0),Платежи!C:C)</f>
        <v>0</v>
      </c>
    </row>
    <row r="1283" spans="1:2" x14ac:dyDescent="0.25">
      <c r="A1283" t="s">
        <v>3021</v>
      </c>
      <c r="B1283" s="102">
        <f>SUMIF(Платежи!B:B,VLOOKUP(A1283,Платежи!B:B,1,0),Платежи!C:C)</f>
        <v>0</v>
      </c>
    </row>
    <row r="1284" spans="1:2" x14ac:dyDescent="0.25">
      <c r="A1284" t="s">
        <v>3395</v>
      </c>
      <c r="B1284" s="102">
        <f>SUMIF(Платежи!B:B,VLOOKUP(A1284,Платежи!B:B,1,0),Платежи!C:C)</f>
        <v>0</v>
      </c>
    </row>
    <row r="1285" spans="1:2" x14ac:dyDescent="0.25">
      <c r="A1285" t="s">
        <v>3396</v>
      </c>
      <c r="B1285" s="102">
        <f>SUMIF(Платежи!B:B,VLOOKUP(A1285,Платежи!B:B,1,0),Платежи!C:C)</f>
        <v>0</v>
      </c>
    </row>
    <row r="1286" spans="1:2" x14ac:dyDescent="0.25">
      <c r="A1286" t="s">
        <v>3397</v>
      </c>
      <c r="B1286" s="102">
        <f>SUMIF(Платежи!B:B,VLOOKUP(A1286,Платежи!B:B,1,0),Платежи!C:C)</f>
        <v>0</v>
      </c>
    </row>
    <row r="1287" spans="1:2" x14ac:dyDescent="0.25">
      <c r="A1287" t="s">
        <v>3398</v>
      </c>
      <c r="B1287" s="102">
        <f>SUMIF(Платежи!B:B,VLOOKUP(A1287,Платежи!B:B,1,0),Платежи!C:C)</f>
        <v>0</v>
      </c>
    </row>
    <row r="1288" spans="1:2" x14ac:dyDescent="0.25">
      <c r="A1288" t="s">
        <v>3022</v>
      </c>
      <c r="B1288" s="102">
        <f>SUMIF(Платежи!B:B,VLOOKUP(A1288,Платежи!B:B,1,0),Платежи!C:C)</f>
        <v>0</v>
      </c>
    </row>
    <row r="1289" spans="1:2" x14ac:dyDescent="0.25">
      <c r="A1289" t="s">
        <v>3023</v>
      </c>
      <c r="B1289" s="102">
        <f>SUMIF(Платежи!B:B,VLOOKUP(A1289,Платежи!B:B,1,0),Платежи!C:C)</f>
        <v>0</v>
      </c>
    </row>
    <row r="1290" spans="1:2" x14ac:dyDescent="0.25">
      <c r="A1290" t="s">
        <v>3399</v>
      </c>
      <c r="B1290" s="102">
        <f>SUMIF(Платежи!B:B,VLOOKUP(A1290,Платежи!B:B,1,0),Платежи!C:C)</f>
        <v>0</v>
      </c>
    </row>
    <row r="1291" spans="1:2" x14ac:dyDescent="0.25">
      <c r="A1291" t="s">
        <v>3024</v>
      </c>
      <c r="B1291" s="102">
        <f>SUMIF(Платежи!B:B,VLOOKUP(A1291,Платежи!B:B,1,0),Платежи!C:C)</f>
        <v>0</v>
      </c>
    </row>
    <row r="1292" spans="1:2" x14ac:dyDescent="0.25">
      <c r="A1292" t="s">
        <v>3400</v>
      </c>
      <c r="B1292" s="102">
        <f>SUMIF(Платежи!B:B,VLOOKUP(A1292,Платежи!B:B,1,0),Платежи!C:C)</f>
        <v>0</v>
      </c>
    </row>
    <row r="1293" spans="1:2" x14ac:dyDescent="0.25">
      <c r="A1293" t="s">
        <v>3401</v>
      </c>
      <c r="B1293" s="102">
        <f>SUMIF(Платежи!B:B,VLOOKUP(A1293,Платежи!B:B,1,0),Платежи!C:C)</f>
        <v>0</v>
      </c>
    </row>
    <row r="1294" spans="1:2" x14ac:dyDescent="0.25">
      <c r="A1294" t="s">
        <v>3025</v>
      </c>
      <c r="B1294" s="102">
        <f>SUMIF(Платежи!B:B,VLOOKUP(A1294,Платежи!B:B,1,0),Платежи!C:C)</f>
        <v>0</v>
      </c>
    </row>
    <row r="1295" spans="1:2" x14ac:dyDescent="0.25">
      <c r="A1295" t="s">
        <v>3026</v>
      </c>
      <c r="B1295" s="102">
        <f>SUMIF(Платежи!B:B,VLOOKUP(A1295,Платежи!B:B,1,0),Платежи!C:C)</f>
        <v>0</v>
      </c>
    </row>
    <row r="1296" spans="1:2" x14ac:dyDescent="0.25">
      <c r="A1296" t="s">
        <v>3402</v>
      </c>
      <c r="B1296" s="102">
        <f>SUMIF(Платежи!B:B,VLOOKUP(A1296,Платежи!B:B,1,0),Платежи!C:C)</f>
        <v>0</v>
      </c>
    </row>
    <row r="1297" spans="1:2" x14ac:dyDescent="0.25">
      <c r="A1297" t="s">
        <v>3403</v>
      </c>
      <c r="B1297" s="102">
        <f>SUMIF(Платежи!B:B,VLOOKUP(A1297,Платежи!B:B,1,0),Платежи!C:C)</f>
        <v>0</v>
      </c>
    </row>
    <row r="1298" spans="1:2" x14ac:dyDescent="0.25">
      <c r="A1298" t="s">
        <v>3027</v>
      </c>
      <c r="B1298" s="102">
        <f>SUMIF(Платежи!B:B,VLOOKUP(A1298,Платежи!B:B,1,0),Платежи!C:C)</f>
        <v>0</v>
      </c>
    </row>
    <row r="1299" spans="1:2" x14ac:dyDescent="0.25">
      <c r="A1299" t="s">
        <v>3028</v>
      </c>
      <c r="B1299" s="102">
        <f>SUMIF(Платежи!B:B,VLOOKUP(A1299,Платежи!B:B,1,0),Платежи!C:C)</f>
        <v>25750</v>
      </c>
    </row>
    <row r="1300" spans="1:2" x14ac:dyDescent="0.25">
      <c r="A1300" t="s">
        <v>3404</v>
      </c>
      <c r="B1300" s="102">
        <f>SUMIF(Платежи!B:B,VLOOKUP(A1300,Платежи!B:B,1,0),Платежи!C:C)</f>
        <v>0</v>
      </c>
    </row>
    <row r="1301" spans="1:2" x14ac:dyDescent="0.25">
      <c r="A1301" t="s">
        <v>3029</v>
      </c>
      <c r="B1301" s="102">
        <f>SUMIF(Платежи!B:B,VLOOKUP(A1301,Платежи!B:B,1,0),Платежи!C:C)</f>
        <v>0</v>
      </c>
    </row>
    <row r="1302" spans="1:2" x14ac:dyDescent="0.25">
      <c r="A1302" t="s">
        <v>3405</v>
      </c>
      <c r="B1302" s="102">
        <f>SUMIF(Платежи!B:B,VLOOKUP(A1302,Платежи!B:B,1,0),Платежи!C:C)</f>
        <v>0</v>
      </c>
    </row>
    <row r="1303" spans="1:2" x14ac:dyDescent="0.25">
      <c r="A1303" t="s">
        <v>3406</v>
      </c>
      <c r="B1303" s="102">
        <f>SUMIF(Платежи!B:B,VLOOKUP(A1303,Платежи!B:B,1,0),Платежи!C:C)</f>
        <v>0</v>
      </c>
    </row>
    <row r="1304" spans="1:2" x14ac:dyDescent="0.25">
      <c r="A1304" t="s">
        <v>3407</v>
      </c>
      <c r="B1304" s="102">
        <f>SUMIF(Платежи!B:B,VLOOKUP(A1304,Платежи!B:B,1,0),Платежи!C:C)</f>
        <v>0</v>
      </c>
    </row>
    <row r="1305" spans="1:2" x14ac:dyDescent="0.25">
      <c r="A1305" t="s">
        <v>3408</v>
      </c>
      <c r="B1305" s="102">
        <f>SUMIF(Платежи!B:B,VLOOKUP(A1305,Платежи!B:B,1,0),Платежи!C:C)</f>
        <v>0</v>
      </c>
    </row>
    <row r="1306" spans="1:2" x14ac:dyDescent="0.25">
      <c r="A1306" t="s">
        <v>3030</v>
      </c>
      <c r="B1306" s="102">
        <f>SUMIF(Платежи!B:B,VLOOKUP(A1306,Платежи!B:B,1,0),Платежи!C:C)</f>
        <v>0</v>
      </c>
    </row>
    <row r="1307" spans="1:2" x14ac:dyDescent="0.25">
      <c r="A1307" t="s">
        <v>3409</v>
      </c>
      <c r="B1307" s="102">
        <f>SUMIF(Платежи!B:B,VLOOKUP(A1307,Платежи!B:B,1,0),Платежи!C:C)</f>
        <v>0</v>
      </c>
    </row>
    <row r="1308" spans="1:2" x14ac:dyDescent="0.25">
      <c r="A1308" t="s">
        <v>3031</v>
      </c>
      <c r="B1308" s="102">
        <f>SUMIF(Платежи!B:B,VLOOKUP(A1308,Платежи!B:B,1,0),Платежи!C:C)</f>
        <v>0</v>
      </c>
    </row>
    <row r="1309" spans="1:2" x14ac:dyDescent="0.25">
      <c r="A1309" t="s">
        <v>3410</v>
      </c>
      <c r="B1309" s="102">
        <f>SUMIF(Платежи!B:B,VLOOKUP(A1309,Платежи!B:B,1,0),Платежи!C:C)</f>
        <v>0</v>
      </c>
    </row>
    <row r="1310" spans="1:2" x14ac:dyDescent="0.25">
      <c r="A1310" t="s">
        <v>3032</v>
      </c>
      <c r="B1310" s="102">
        <f>SUMIF(Платежи!B:B,VLOOKUP(A1310,Платежи!B:B,1,0),Платежи!C:C)</f>
        <v>0</v>
      </c>
    </row>
    <row r="1311" spans="1:2" x14ac:dyDescent="0.25">
      <c r="A1311" t="s">
        <v>930</v>
      </c>
      <c r="B1311" s="102">
        <f>SUMIF(Платежи!B:B,VLOOKUP(A1311,Платежи!B:B,1,0),Платежи!C:C)</f>
        <v>0</v>
      </c>
    </row>
    <row r="1312" spans="1:2" x14ac:dyDescent="0.25">
      <c r="A1312" t="s">
        <v>3033</v>
      </c>
      <c r="B1312" s="102">
        <f>SUMIF(Платежи!B:B,VLOOKUP(A1312,Платежи!B:B,1,0),Платежи!C:C)</f>
        <v>0</v>
      </c>
    </row>
    <row r="1313" spans="1:2" x14ac:dyDescent="0.25">
      <c r="A1313" t="s">
        <v>3411</v>
      </c>
      <c r="B1313" s="102">
        <f>SUMIF(Платежи!B:B,VLOOKUP(A1313,Платежи!B:B,1,0),Платежи!C:C)</f>
        <v>0</v>
      </c>
    </row>
    <row r="1314" spans="1:2" x14ac:dyDescent="0.25">
      <c r="A1314" t="s">
        <v>3034</v>
      </c>
      <c r="B1314" s="102">
        <f>SUMIF(Платежи!B:B,VLOOKUP(A1314,Платежи!B:B,1,0),Платежи!C:C)</f>
        <v>0</v>
      </c>
    </row>
    <row r="1315" spans="1:2" x14ac:dyDescent="0.25">
      <c r="A1315" t="s">
        <v>3412</v>
      </c>
      <c r="B1315" s="102">
        <f>SUMIF(Платежи!B:B,VLOOKUP(A1315,Платежи!B:B,1,0),Платежи!C:C)</f>
        <v>0</v>
      </c>
    </row>
    <row r="1316" spans="1:2" x14ac:dyDescent="0.25">
      <c r="A1316" t="s">
        <v>3035</v>
      </c>
      <c r="B1316" s="102">
        <f>SUMIF(Платежи!B:B,VLOOKUP(A1316,Платежи!B:B,1,0),Платежи!C:C)</f>
        <v>0</v>
      </c>
    </row>
    <row r="1317" spans="1:2" x14ac:dyDescent="0.25">
      <c r="A1317" t="s">
        <v>3036</v>
      </c>
      <c r="B1317" s="102">
        <f>SUMIF(Платежи!B:B,VLOOKUP(A1317,Платежи!B:B,1,0),Платежи!C:C)</f>
        <v>0</v>
      </c>
    </row>
    <row r="1318" spans="1:2" x14ac:dyDescent="0.25">
      <c r="A1318" t="s">
        <v>3413</v>
      </c>
      <c r="B1318" s="102">
        <f>SUMIF(Платежи!B:B,VLOOKUP(A1318,Платежи!B:B,1,0),Платежи!C:C)</f>
        <v>0</v>
      </c>
    </row>
    <row r="1319" spans="1:2" x14ac:dyDescent="0.25">
      <c r="A1319" t="s">
        <v>3037</v>
      </c>
      <c r="B1319" s="102">
        <f>SUMIF(Платежи!B:B,VLOOKUP(A1319,Платежи!B:B,1,0),Платежи!C:C)</f>
        <v>0</v>
      </c>
    </row>
    <row r="1320" spans="1:2" x14ac:dyDescent="0.25">
      <c r="A1320" t="s">
        <v>3414</v>
      </c>
      <c r="B1320" s="102">
        <f>SUMIF(Платежи!B:B,VLOOKUP(A1320,Платежи!B:B,1,0),Платежи!C:C)</f>
        <v>0</v>
      </c>
    </row>
    <row r="1321" spans="1:2" x14ac:dyDescent="0.25">
      <c r="A1321" t="s">
        <v>3038</v>
      </c>
      <c r="B1321" s="102">
        <f>SUMIF(Платежи!B:B,VLOOKUP(A1321,Платежи!B:B,1,0),Платежи!C:C)</f>
        <v>0</v>
      </c>
    </row>
    <row r="1322" spans="1:2" x14ac:dyDescent="0.25">
      <c r="A1322" t="s">
        <v>3039</v>
      </c>
      <c r="B1322" s="102">
        <f>SUMIF(Платежи!B:B,VLOOKUP(A1322,Платежи!B:B,1,0),Платежи!C:C)</f>
        <v>0</v>
      </c>
    </row>
    <row r="1323" spans="1:2" x14ac:dyDescent="0.25">
      <c r="A1323" t="s">
        <v>3040</v>
      </c>
      <c r="B1323" s="102">
        <f>SUMIF(Платежи!B:B,VLOOKUP(A1323,Платежи!B:B,1,0),Платежи!C:C)</f>
        <v>0</v>
      </c>
    </row>
    <row r="1324" spans="1:2" x14ac:dyDescent="0.25">
      <c r="A1324" t="s">
        <v>3415</v>
      </c>
      <c r="B1324" s="102">
        <f>SUMIF(Платежи!B:B,VLOOKUP(A1324,Платежи!B:B,1,0),Платежи!C:C)</f>
        <v>0</v>
      </c>
    </row>
    <row r="1325" spans="1:2" x14ac:dyDescent="0.25">
      <c r="A1325" t="s">
        <v>3041</v>
      </c>
      <c r="B1325" s="102">
        <f>SUMIF(Платежи!B:B,VLOOKUP(A1325,Платежи!B:B,1,0),Платежи!C:C)</f>
        <v>0</v>
      </c>
    </row>
    <row r="1326" spans="1:2" x14ac:dyDescent="0.25">
      <c r="A1326" t="s">
        <v>3042</v>
      </c>
      <c r="B1326" s="102">
        <f>SUMIF(Платежи!B:B,VLOOKUP(A1326,Платежи!B:B,1,0),Платежи!C:C)</f>
        <v>0</v>
      </c>
    </row>
    <row r="1327" spans="1:2" x14ac:dyDescent="0.25">
      <c r="A1327" t="s">
        <v>3416</v>
      </c>
      <c r="B1327" s="102">
        <f>SUMIF(Платежи!B:B,VLOOKUP(A1327,Платежи!B:B,1,0),Платежи!C:C)</f>
        <v>0</v>
      </c>
    </row>
    <row r="1328" spans="1:2" x14ac:dyDescent="0.25">
      <c r="A1328" t="s">
        <v>3043</v>
      </c>
      <c r="B1328" s="102">
        <f>SUMIF(Платежи!B:B,VLOOKUP(A1328,Платежи!B:B,1,0),Платежи!C:C)</f>
        <v>0</v>
      </c>
    </row>
    <row r="1329" spans="1:2" x14ac:dyDescent="0.25">
      <c r="A1329" t="s">
        <v>3044</v>
      </c>
      <c r="B1329" s="102">
        <f>SUMIF(Платежи!B:B,VLOOKUP(A1329,Платежи!B:B,1,0),Платежи!C:C)</f>
        <v>0</v>
      </c>
    </row>
    <row r="1330" spans="1:2" x14ac:dyDescent="0.25">
      <c r="A1330" t="s">
        <v>3417</v>
      </c>
      <c r="B1330" s="102">
        <f>SUMIF(Платежи!B:B,VLOOKUP(A1330,Платежи!B:B,1,0),Платежи!C:C)</f>
        <v>0</v>
      </c>
    </row>
    <row r="1331" spans="1:2" x14ac:dyDescent="0.25">
      <c r="A1331" t="s">
        <v>3045</v>
      </c>
      <c r="B1331" s="102">
        <f>SUMIF(Платежи!B:B,VLOOKUP(A1331,Платежи!B:B,1,0),Платежи!C:C)</f>
        <v>0</v>
      </c>
    </row>
    <row r="1332" spans="1:2" x14ac:dyDescent="0.25">
      <c r="A1332" t="s">
        <v>3418</v>
      </c>
      <c r="B1332" s="102">
        <f>SUMIF(Платежи!B:B,VLOOKUP(A1332,Платежи!B:B,1,0),Платежи!C:C)</f>
        <v>0</v>
      </c>
    </row>
    <row r="1333" spans="1:2" x14ac:dyDescent="0.25">
      <c r="A1333" t="s">
        <v>3046</v>
      </c>
      <c r="B1333" s="102">
        <f>SUMIF(Платежи!B:B,VLOOKUP(A1333,Платежи!B:B,1,0),Платежи!C:C)</f>
        <v>0</v>
      </c>
    </row>
    <row r="1334" spans="1:2" x14ac:dyDescent="0.25">
      <c r="A1334" t="s">
        <v>3047</v>
      </c>
      <c r="B1334" s="102">
        <f>SUMIF(Платежи!B:B,VLOOKUP(A1334,Платежи!B:B,1,0),Платежи!C:C)</f>
        <v>0</v>
      </c>
    </row>
    <row r="1335" spans="1:2" x14ac:dyDescent="0.25">
      <c r="A1335" t="s">
        <v>3048</v>
      </c>
      <c r="B1335" s="102">
        <f>SUMIF(Платежи!B:B,VLOOKUP(A1335,Платежи!B:B,1,0),Платежи!C:C)</f>
        <v>0</v>
      </c>
    </row>
    <row r="1336" spans="1:2" x14ac:dyDescent="0.25">
      <c r="A1336" t="s">
        <v>3419</v>
      </c>
      <c r="B1336" s="102">
        <f>SUMIF(Платежи!B:B,VLOOKUP(A1336,Платежи!B:B,1,0),Платежи!C:C)</f>
        <v>0</v>
      </c>
    </row>
    <row r="1337" spans="1:2" x14ac:dyDescent="0.25">
      <c r="A1337" t="s">
        <v>3420</v>
      </c>
      <c r="B1337" s="102">
        <f>SUMIF(Платежи!B:B,VLOOKUP(A1337,Платежи!B:B,1,0),Платежи!C:C)</f>
        <v>0</v>
      </c>
    </row>
    <row r="1338" spans="1:2" x14ac:dyDescent="0.25">
      <c r="A1338" t="s">
        <v>3049</v>
      </c>
      <c r="B1338" s="102">
        <f>SUMIF(Платежи!B:B,VLOOKUP(A1338,Платежи!B:B,1,0),Платежи!C:C)</f>
        <v>0</v>
      </c>
    </row>
    <row r="1339" spans="1:2" x14ac:dyDescent="0.25">
      <c r="A1339" t="s">
        <v>3421</v>
      </c>
      <c r="B1339" s="102">
        <f>SUMIF(Платежи!B:B,VLOOKUP(A1339,Платежи!B:B,1,0),Платежи!C:C)</f>
        <v>0</v>
      </c>
    </row>
    <row r="1340" spans="1:2" x14ac:dyDescent="0.25">
      <c r="A1340" t="s">
        <v>3422</v>
      </c>
      <c r="B1340" s="102">
        <f>SUMIF(Платежи!B:B,VLOOKUP(A1340,Платежи!B:B,1,0),Платежи!C:C)</f>
        <v>0</v>
      </c>
    </row>
    <row r="1341" spans="1:2" x14ac:dyDescent="0.25">
      <c r="A1341" t="s">
        <v>3423</v>
      </c>
      <c r="B1341" s="102">
        <f>SUMIF(Платежи!B:B,VLOOKUP(A1341,Платежи!B:B,1,0),Платежи!C:C)</f>
        <v>0</v>
      </c>
    </row>
    <row r="1342" spans="1:2" x14ac:dyDescent="0.25">
      <c r="A1342" t="s">
        <v>3050</v>
      </c>
      <c r="B1342" s="102">
        <f>SUMIF(Платежи!B:B,VLOOKUP(A1342,Платежи!B:B,1,0),Платежи!C:C)</f>
        <v>0</v>
      </c>
    </row>
    <row r="1343" spans="1:2" x14ac:dyDescent="0.25">
      <c r="A1343" t="s">
        <v>3051</v>
      </c>
      <c r="B1343" s="102">
        <f>SUMIF(Платежи!B:B,VLOOKUP(A1343,Платежи!B:B,1,0),Платежи!C:C)</f>
        <v>0</v>
      </c>
    </row>
    <row r="1344" spans="1:2" x14ac:dyDescent="0.25">
      <c r="A1344" t="s">
        <v>3424</v>
      </c>
      <c r="B1344" s="102">
        <f>SUMIF(Платежи!B:B,VLOOKUP(A1344,Платежи!B:B,1,0),Платежи!C:C)</f>
        <v>0</v>
      </c>
    </row>
    <row r="1345" spans="1:2" x14ac:dyDescent="0.25">
      <c r="A1345" t="s">
        <v>3052</v>
      </c>
      <c r="B1345" s="102">
        <f>SUMIF(Платежи!B:B,VLOOKUP(A1345,Платежи!B:B,1,0),Платежи!C:C)</f>
        <v>0</v>
      </c>
    </row>
    <row r="1346" spans="1:2" x14ac:dyDescent="0.25">
      <c r="A1346" t="s">
        <v>3425</v>
      </c>
      <c r="B1346" s="102">
        <f>SUMIF(Платежи!B:B,VLOOKUP(A1346,Платежи!B:B,1,0),Платежи!C:C)</f>
        <v>0</v>
      </c>
    </row>
    <row r="1347" spans="1:2" x14ac:dyDescent="0.25">
      <c r="A1347" t="s">
        <v>3426</v>
      </c>
      <c r="B1347" s="102">
        <f>SUMIF(Платежи!B:B,VLOOKUP(A1347,Платежи!B:B,1,0),Платежи!C:C)</f>
        <v>0</v>
      </c>
    </row>
    <row r="1348" spans="1:2" x14ac:dyDescent="0.25">
      <c r="A1348" t="s">
        <v>3053</v>
      </c>
      <c r="B1348" s="102">
        <f>SUMIF(Платежи!B:B,VLOOKUP(A1348,Платежи!B:B,1,0),Платежи!C:C)</f>
        <v>0</v>
      </c>
    </row>
    <row r="1349" spans="1:2" x14ac:dyDescent="0.25">
      <c r="A1349" t="s">
        <v>3054</v>
      </c>
      <c r="B1349" s="102">
        <f>SUMIF(Платежи!B:B,VLOOKUP(A1349,Платежи!B:B,1,0),Платежи!C:C)</f>
        <v>0</v>
      </c>
    </row>
    <row r="1350" spans="1:2" x14ac:dyDescent="0.25">
      <c r="A1350" t="s">
        <v>3055</v>
      </c>
      <c r="B1350" s="102">
        <f>SUMIF(Платежи!B:B,VLOOKUP(A1350,Платежи!B:B,1,0),Платежи!C:C)</f>
        <v>0</v>
      </c>
    </row>
    <row r="1351" spans="1:2" x14ac:dyDescent="0.25">
      <c r="A1351" t="s">
        <v>3056</v>
      </c>
      <c r="B1351" s="102">
        <f>SUMIF(Платежи!B:B,VLOOKUP(A1351,Платежи!B:B,1,0),Платежи!C:C)</f>
        <v>0</v>
      </c>
    </row>
    <row r="1352" spans="1:2" x14ac:dyDescent="0.25">
      <c r="A1352" t="s">
        <v>3427</v>
      </c>
      <c r="B1352" s="102">
        <f>SUMIF(Платежи!B:B,VLOOKUP(A1352,Платежи!B:B,1,0),Платежи!C:C)</f>
        <v>0</v>
      </c>
    </row>
    <row r="1353" spans="1:2" x14ac:dyDescent="0.25">
      <c r="A1353" t="s">
        <v>3428</v>
      </c>
      <c r="B1353" s="102">
        <f>SUMIF(Платежи!B:B,VLOOKUP(A1353,Платежи!B:B,1,0),Платежи!C:C)</f>
        <v>0</v>
      </c>
    </row>
    <row r="1354" spans="1:2" x14ac:dyDescent="0.25">
      <c r="A1354" t="s">
        <v>3429</v>
      </c>
      <c r="B1354" s="102">
        <f>SUMIF(Платежи!B:B,VLOOKUP(A1354,Платежи!B:B,1,0),Платежи!C:C)</f>
        <v>0</v>
      </c>
    </row>
    <row r="1355" spans="1:2" x14ac:dyDescent="0.25">
      <c r="A1355" t="s">
        <v>3430</v>
      </c>
      <c r="B1355" s="102">
        <f>SUMIF(Платежи!B:B,VLOOKUP(A1355,Платежи!B:B,1,0),Платежи!C:C)</f>
        <v>0</v>
      </c>
    </row>
    <row r="1356" spans="1:2" x14ac:dyDescent="0.25">
      <c r="A1356" t="s">
        <v>3057</v>
      </c>
      <c r="B1356" s="102">
        <f>SUMIF(Платежи!B:B,VLOOKUP(A1356,Платежи!B:B,1,0),Платежи!C:C)</f>
        <v>0</v>
      </c>
    </row>
    <row r="1357" spans="1:2" x14ac:dyDescent="0.25">
      <c r="A1357" t="s">
        <v>3058</v>
      </c>
      <c r="B1357" s="102">
        <f>SUMIF(Платежи!B:B,VLOOKUP(A1357,Платежи!B:B,1,0),Платежи!C:C)</f>
        <v>0</v>
      </c>
    </row>
    <row r="1358" spans="1:2" x14ac:dyDescent="0.25">
      <c r="A1358" t="s">
        <v>3431</v>
      </c>
      <c r="B1358" s="102">
        <f>SUMIF(Платежи!B:B,VLOOKUP(A1358,Платежи!B:B,1,0),Платежи!C:C)</f>
        <v>0</v>
      </c>
    </row>
    <row r="1359" spans="1:2" x14ac:dyDescent="0.25">
      <c r="A1359" t="s">
        <v>3432</v>
      </c>
      <c r="B1359" s="102">
        <f>SUMIF(Платежи!B:B,VLOOKUP(A1359,Платежи!B:B,1,0),Платежи!C:C)</f>
        <v>0</v>
      </c>
    </row>
    <row r="1360" spans="1:2" x14ac:dyDescent="0.25">
      <c r="A1360" t="s">
        <v>3059</v>
      </c>
      <c r="B1360" s="102">
        <f>SUMIF(Платежи!B:B,VLOOKUP(A1360,Платежи!B:B,1,0),Платежи!C:C)</f>
        <v>0</v>
      </c>
    </row>
    <row r="1361" spans="1:2" x14ac:dyDescent="0.25">
      <c r="A1361" t="s">
        <v>3433</v>
      </c>
      <c r="B1361" s="102">
        <f>SUMIF(Платежи!B:B,VLOOKUP(A1361,Платежи!B:B,1,0),Платежи!C:C)</f>
        <v>0</v>
      </c>
    </row>
    <row r="1362" spans="1:2" x14ac:dyDescent="0.25">
      <c r="A1362" t="s">
        <v>3060</v>
      </c>
      <c r="B1362" s="102">
        <f>SUMIF(Платежи!B:B,VLOOKUP(A1362,Платежи!B:B,1,0),Платежи!C:C)</f>
        <v>0</v>
      </c>
    </row>
    <row r="1363" spans="1:2" x14ac:dyDescent="0.25">
      <c r="A1363" t="s">
        <v>3061</v>
      </c>
      <c r="B1363" s="102">
        <f>SUMIF(Платежи!B:B,VLOOKUP(A1363,Платежи!B:B,1,0),Платежи!C:C)</f>
        <v>0</v>
      </c>
    </row>
    <row r="1364" spans="1:2" x14ac:dyDescent="0.25">
      <c r="A1364" t="s">
        <v>3434</v>
      </c>
      <c r="B1364" s="102">
        <f>SUMIF(Платежи!B:B,VLOOKUP(A1364,Платежи!B:B,1,0),Платежи!C:C)</f>
        <v>0</v>
      </c>
    </row>
    <row r="1365" spans="1:2" x14ac:dyDescent="0.25">
      <c r="A1365" t="s">
        <v>3435</v>
      </c>
      <c r="B1365" s="102">
        <f>SUMIF(Платежи!B:B,VLOOKUP(A1365,Платежи!B:B,1,0),Платежи!C:C)</f>
        <v>0</v>
      </c>
    </row>
    <row r="1366" spans="1:2" x14ac:dyDescent="0.25">
      <c r="A1366" t="s">
        <v>3062</v>
      </c>
      <c r="B1366" s="102">
        <f>SUMIF(Платежи!B:B,VLOOKUP(A1366,Платежи!B:B,1,0),Платежи!C:C)</f>
        <v>0</v>
      </c>
    </row>
    <row r="1367" spans="1:2" x14ac:dyDescent="0.25">
      <c r="A1367" t="s">
        <v>3063</v>
      </c>
      <c r="B1367" s="102">
        <f>SUMIF(Платежи!B:B,VLOOKUP(A1367,Платежи!B:B,1,0),Платежи!C:C)</f>
        <v>0</v>
      </c>
    </row>
    <row r="1368" spans="1:2" x14ac:dyDescent="0.25">
      <c r="A1368" t="s">
        <v>3436</v>
      </c>
      <c r="B1368" s="102">
        <f>SUMIF(Платежи!B:B,VLOOKUP(A1368,Платежи!B:B,1,0),Платежи!C:C)</f>
        <v>0</v>
      </c>
    </row>
    <row r="1369" spans="1:2" x14ac:dyDescent="0.25">
      <c r="A1369" t="s">
        <v>3437</v>
      </c>
      <c r="B1369" s="102">
        <f>SUMIF(Платежи!B:B,VLOOKUP(A1369,Платежи!B:B,1,0),Платежи!C:C)</f>
        <v>0</v>
      </c>
    </row>
    <row r="1370" spans="1:2" x14ac:dyDescent="0.25">
      <c r="A1370" t="s">
        <v>3438</v>
      </c>
      <c r="B1370" s="102">
        <f>SUMIF(Платежи!B:B,VLOOKUP(A1370,Платежи!B:B,1,0),Платежи!C:C)</f>
        <v>0</v>
      </c>
    </row>
    <row r="1371" spans="1:2" x14ac:dyDescent="0.25">
      <c r="A1371" t="s">
        <v>3439</v>
      </c>
      <c r="B1371" s="102">
        <f>SUMIF(Платежи!B:B,VLOOKUP(A1371,Платежи!B:B,1,0),Платежи!C:C)</f>
        <v>0</v>
      </c>
    </row>
    <row r="1372" spans="1:2" x14ac:dyDescent="0.25">
      <c r="A1372" t="s">
        <v>3064</v>
      </c>
      <c r="B1372" s="102">
        <f>SUMIF(Платежи!B:B,VLOOKUP(A1372,Платежи!B:B,1,0),Платежи!C:C)</f>
        <v>0</v>
      </c>
    </row>
    <row r="1373" spans="1:2" x14ac:dyDescent="0.25">
      <c r="A1373" t="s">
        <v>3065</v>
      </c>
      <c r="B1373" s="102">
        <f>SUMIF(Платежи!B:B,VLOOKUP(A1373,Платежи!B:B,1,0),Платежи!C:C)</f>
        <v>0</v>
      </c>
    </row>
    <row r="1374" spans="1:2" x14ac:dyDescent="0.25">
      <c r="A1374" t="s">
        <v>3066</v>
      </c>
      <c r="B1374" s="102">
        <f>SUMIF(Платежи!B:B,VLOOKUP(A1374,Платежи!B:B,1,0),Платежи!C:C)</f>
        <v>0</v>
      </c>
    </row>
    <row r="1375" spans="1:2" x14ac:dyDescent="0.25">
      <c r="A1375" t="s">
        <v>3067</v>
      </c>
      <c r="B1375" s="102">
        <f>SUMIF(Платежи!B:B,VLOOKUP(A1375,Платежи!B:B,1,0),Платежи!C:C)</f>
        <v>0</v>
      </c>
    </row>
    <row r="1376" spans="1:2" x14ac:dyDescent="0.25">
      <c r="A1376" t="s">
        <v>3440</v>
      </c>
      <c r="B1376" s="102">
        <f>SUMIF(Платежи!B:B,VLOOKUP(A1376,Платежи!B:B,1,0),Платежи!C:C)</f>
        <v>0</v>
      </c>
    </row>
    <row r="1377" spans="1:2" x14ac:dyDescent="0.25">
      <c r="A1377" t="s">
        <v>3068</v>
      </c>
      <c r="B1377" s="102">
        <f>SUMIF(Платежи!B:B,VLOOKUP(A1377,Платежи!B:B,1,0),Платежи!C:C)</f>
        <v>0</v>
      </c>
    </row>
    <row r="1378" spans="1:2" x14ac:dyDescent="0.25">
      <c r="A1378" t="s">
        <v>935</v>
      </c>
      <c r="B1378" s="102">
        <f>SUMIF(Платежи!B:B,VLOOKUP(A1378,Платежи!B:B,1,0),Платежи!C:C)</f>
        <v>0</v>
      </c>
    </row>
    <row r="1379" spans="1:2" x14ac:dyDescent="0.25">
      <c r="A1379" t="s">
        <v>989</v>
      </c>
      <c r="B1379" s="102">
        <f>SUMIF(Платежи!B:B,VLOOKUP(A1379,Платежи!B:B,1,0),Платежи!C:C)</f>
        <v>0</v>
      </c>
    </row>
    <row r="1380" spans="1:2" x14ac:dyDescent="0.25">
      <c r="A1380" t="s">
        <v>827</v>
      </c>
      <c r="B1380" s="102">
        <f>SUMIF(Платежи!B:B,VLOOKUP(A1380,Платежи!B:B,1,0),Платежи!C:C)</f>
        <v>0</v>
      </c>
    </row>
    <row r="1381" spans="1:2" x14ac:dyDescent="0.25">
      <c r="A1381" t="s">
        <v>3069</v>
      </c>
      <c r="B1381" s="102">
        <f>SUMIF(Платежи!B:B,VLOOKUP(A1381,Платежи!B:B,1,0),Платежи!C:C)</f>
        <v>0</v>
      </c>
    </row>
    <row r="1382" spans="1:2" x14ac:dyDescent="0.25">
      <c r="A1382" t="s">
        <v>3070</v>
      </c>
      <c r="B1382" s="102">
        <f>SUMIF(Платежи!B:B,VLOOKUP(A1382,Платежи!B:B,1,0),Платежи!C:C)</f>
        <v>0</v>
      </c>
    </row>
    <row r="1383" spans="1:2" x14ac:dyDescent="0.25">
      <c r="A1383" t="s">
        <v>3071</v>
      </c>
      <c r="B1383" s="102">
        <f>SUMIF(Платежи!B:B,VLOOKUP(A1383,Платежи!B:B,1,0),Платежи!C:C)</f>
        <v>0</v>
      </c>
    </row>
    <row r="1384" spans="1:2" x14ac:dyDescent="0.25">
      <c r="A1384" t="s">
        <v>3072</v>
      </c>
      <c r="B1384" s="102">
        <f>SUMIF(Платежи!B:B,VLOOKUP(A1384,Платежи!B:B,1,0),Платежи!C:C)</f>
        <v>0</v>
      </c>
    </row>
    <row r="1385" spans="1:2" x14ac:dyDescent="0.25">
      <c r="A1385" t="s">
        <v>3441</v>
      </c>
      <c r="B1385" s="102">
        <f>SUMIF(Платежи!B:B,VLOOKUP(A1385,Платежи!B:B,1,0),Платежи!C:C)</f>
        <v>0</v>
      </c>
    </row>
    <row r="1386" spans="1:2" x14ac:dyDescent="0.25">
      <c r="A1386" t="s">
        <v>3073</v>
      </c>
      <c r="B1386" s="102">
        <f>SUMIF(Платежи!B:B,VLOOKUP(A1386,Платежи!B:B,1,0),Платежи!C:C)</f>
        <v>0</v>
      </c>
    </row>
    <row r="1387" spans="1:2" x14ac:dyDescent="0.25">
      <c r="A1387" t="s">
        <v>3442</v>
      </c>
      <c r="B1387" s="102">
        <f>SUMIF(Платежи!B:B,VLOOKUP(A1387,Платежи!B:B,1,0),Платежи!C:C)</f>
        <v>0</v>
      </c>
    </row>
    <row r="1388" spans="1:2" x14ac:dyDescent="0.25">
      <c r="A1388" t="s">
        <v>3443</v>
      </c>
      <c r="B1388" s="102">
        <f>SUMIF(Платежи!B:B,VLOOKUP(A1388,Платежи!B:B,1,0),Платежи!C:C)</f>
        <v>0</v>
      </c>
    </row>
    <row r="1389" spans="1:2" x14ac:dyDescent="0.25">
      <c r="A1389" t="s">
        <v>3444</v>
      </c>
      <c r="B1389" s="102">
        <f>SUMIF(Платежи!B:B,VLOOKUP(A1389,Платежи!B:B,1,0),Платежи!C:C)</f>
        <v>0</v>
      </c>
    </row>
    <row r="1390" spans="1:2" x14ac:dyDescent="0.25">
      <c r="A1390" t="s">
        <v>3445</v>
      </c>
      <c r="B1390" s="102">
        <f>SUMIF(Платежи!B:B,VLOOKUP(A1390,Платежи!B:B,1,0),Платежи!C:C)</f>
        <v>0</v>
      </c>
    </row>
    <row r="1391" spans="1:2" x14ac:dyDescent="0.25">
      <c r="A1391" t="s">
        <v>3446</v>
      </c>
      <c r="B1391" s="102">
        <f>SUMIF(Платежи!B:B,VLOOKUP(A1391,Платежи!B:B,1,0),Платежи!C:C)</f>
        <v>0</v>
      </c>
    </row>
    <row r="1392" spans="1:2" x14ac:dyDescent="0.25">
      <c r="A1392" t="s">
        <v>3074</v>
      </c>
      <c r="B1392" s="102">
        <f>SUMIF(Платежи!B:B,VLOOKUP(A1392,Платежи!B:B,1,0),Платежи!C:C)</f>
        <v>0</v>
      </c>
    </row>
    <row r="1393" spans="1:2" x14ac:dyDescent="0.25">
      <c r="A1393" t="s">
        <v>3075</v>
      </c>
      <c r="B1393" s="102">
        <f>SUMIF(Платежи!B:B,VLOOKUP(A1393,Платежи!B:B,1,0),Платежи!C:C)</f>
        <v>0</v>
      </c>
    </row>
    <row r="1394" spans="1:2" x14ac:dyDescent="0.25">
      <c r="A1394" t="s">
        <v>3447</v>
      </c>
      <c r="B1394" s="102">
        <f>SUMIF(Платежи!B:B,VLOOKUP(A1394,Платежи!B:B,1,0),Платежи!C:C)</f>
        <v>0</v>
      </c>
    </row>
    <row r="1395" spans="1:2" x14ac:dyDescent="0.25">
      <c r="A1395" t="s">
        <v>3448</v>
      </c>
      <c r="B1395" s="102">
        <f>SUMIF(Платежи!B:B,VLOOKUP(A1395,Платежи!B:B,1,0),Платежи!C:C)</f>
        <v>0</v>
      </c>
    </row>
    <row r="1396" spans="1:2" x14ac:dyDescent="0.25">
      <c r="A1396" t="s">
        <v>3449</v>
      </c>
      <c r="B1396" s="102">
        <f>SUMIF(Платежи!B:B,VLOOKUP(A1396,Платежи!B:B,1,0),Платежи!C:C)</f>
        <v>0</v>
      </c>
    </row>
    <row r="1397" spans="1:2" x14ac:dyDescent="0.25">
      <c r="A1397" t="s">
        <v>3076</v>
      </c>
      <c r="B1397" s="102">
        <f>SUMIF(Платежи!B:B,VLOOKUP(A1397,Платежи!B:B,1,0),Платежи!C:C)</f>
        <v>0</v>
      </c>
    </row>
    <row r="1398" spans="1:2" x14ac:dyDescent="0.25">
      <c r="A1398" t="s">
        <v>3077</v>
      </c>
      <c r="B1398" s="102">
        <f>SUMIF(Платежи!B:B,VLOOKUP(A1398,Платежи!B:B,1,0),Платежи!C:C)</f>
        <v>0</v>
      </c>
    </row>
    <row r="1399" spans="1:2" x14ac:dyDescent="0.25">
      <c r="A1399" t="s">
        <v>3078</v>
      </c>
      <c r="B1399" s="102">
        <f>SUMIF(Платежи!B:B,VLOOKUP(A1399,Платежи!B:B,1,0),Платежи!C:C)</f>
        <v>0</v>
      </c>
    </row>
    <row r="1400" spans="1:2" x14ac:dyDescent="0.25">
      <c r="A1400" t="s">
        <v>3450</v>
      </c>
      <c r="B1400" s="102">
        <f>SUMIF(Платежи!B:B,VLOOKUP(A1400,Платежи!B:B,1,0),Платежи!C:C)</f>
        <v>0</v>
      </c>
    </row>
    <row r="1401" spans="1:2" x14ac:dyDescent="0.25">
      <c r="A1401" t="s">
        <v>3451</v>
      </c>
      <c r="B1401" s="102">
        <f>SUMIF(Платежи!B:B,VLOOKUP(A1401,Платежи!B:B,1,0),Платежи!C:C)</f>
        <v>0</v>
      </c>
    </row>
    <row r="1402" spans="1:2" x14ac:dyDescent="0.25">
      <c r="A1402" t="s">
        <v>862</v>
      </c>
      <c r="B1402" s="102">
        <f>SUMIF(Платежи!B:B,VLOOKUP(A1402,Платежи!B:B,1,0),Платежи!C:C)</f>
        <v>0</v>
      </c>
    </row>
    <row r="1403" spans="1:2" x14ac:dyDescent="0.25">
      <c r="A1403" t="s">
        <v>3079</v>
      </c>
      <c r="B1403" s="102">
        <f>SUMIF(Платежи!B:B,VLOOKUP(A1403,Платежи!B:B,1,0),Платежи!C:C)</f>
        <v>0</v>
      </c>
    </row>
    <row r="1404" spans="1:2" x14ac:dyDescent="0.25">
      <c r="A1404" t="s">
        <v>3452</v>
      </c>
      <c r="B1404" s="102">
        <f>SUMIF(Платежи!B:B,VLOOKUP(A1404,Платежи!B:B,1,0),Платежи!C:C)</f>
        <v>0</v>
      </c>
    </row>
    <row r="1405" spans="1:2" x14ac:dyDescent="0.25">
      <c r="A1405" t="s">
        <v>3080</v>
      </c>
      <c r="B1405" s="102">
        <f>SUMIF(Платежи!B:B,VLOOKUP(A1405,Платежи!B:B,1,0),Платежи!C:C)</f>
        <v>0</v>
      </c>
    </row>
    <row r="1406" spans="1:2" x14ac:dyDescent="0.25">
      <c r="A1406" t="s">
        <v>3453</v>
      </c>
      <c r="B1406" s="102">
        <f>SUMIF(Платежи!B:B,VLOOKUP(A1406,Платежи!B:B,1,0),Платежи!C:C)</f>
        <v>0</v>
      </c>
    </row>
    <row r="1407" spans="1:2" x14ac:dyDescent="0.25">
      <c r="A1407" t="s">
        <v>3081</v>
      </c>
      <c r="B1407" s="102">
        <f>SUMIF(Платежи!B:B,VLOOKUP(A1407,Платежи!B:B,1,0),Платежи!C:C)</f>
        <v>0</v>
      </c>
    </row>
    <row r="1408" spans="1:2" x14ac:dyDescent="0.25">
      <c r="A1408" t="s">
        <v>3454</v>
      </c>
      <c r="B1408" s="102">
        <f>SUMIF(Платежи!B:B,VLOOKUP(A1408,Платежи!B:B,1,0),Платежи!C:C)</f>
        <v>0</v>
      </c>
    </row>
    <row r="1409" spans="1:2" x14ac:dyDescent="0.25">
      <c r="A1409" t="s">
        <v>3455</v>
      </c>
      <c r="B1409" s="102">
        <f>SUMIF(Платежи!B:B,VLOOKUP(A1409,Платежи!B:B,1,0),Платежи!C:C)</f>
        <v>0</v>
      </c>
    </row>
    <row r="1410" spans="1:2" x14ac:dyDescent="0.25">
      <c r="A1410" t="s">
        <v>3456</v>
      </c>
      <c r="B1410" s="102">
        <f>SUMIF(Платежи!B:B,VLOOKUP(A1410,Платежи!B:B,1,0),Платежи!C:C)</f>
        <v>0</v>
      </c>
    </row>
    <row r="1411" spans="1:2" x14ac:dyDescent="0.25">
      <c r="A1411" t="s">
        <v>3082</v>
      </c>
      <c r="B1411" s="102">
        <f>SUMIF(Платежи!B:B,VLOOKUP(A1411,Платежи!B:B,1,0),Платежи!C:C)</f>
        <v>0</v>
      </c>
    </row>
    <row r="1412" spans="1:2" x14ac:dyDescent="0.25">
      <c r="A1412" t="s">
        <v>3083</v>
      </c>
      <c r="B1412" s="102">
        <f>SUMIF(Платежи!B:B,VLOOKUP(A1412,Платежи!B:B,1,0),Платежи!C:C)</f>
        <v>0</v>
      </c>
    </row>
    <row r="1413" spans="1:2" x14ac:dyDescent="0.25">
      <c r="A1413" t="s">
        <v>3457</v>
      </c>
      <c r="B1413" s="102">
        <f>SUMIF(Платежи!B:B,VLOOKUP(A1413,Платежи!B:B,1,0),Платежи!C:C)</f>
        <v>0</v>
      </c>
    </row>
    <row r="1414" spans="1:2" x14ac:dyDescent="0.25">
      <c r="A1414" t="s">
        <v>3458</v>
      </c>
      <c r="B1414" s="102">
        <f>SUMIF(Платежи!B:B,VLOOKUP(A1414,Платежи!B:B,1,0),Платежи!C:C)</f>
        <v>0</v>
      </c>
    </row>
    <row r="1415" spans="1:2" x14ac:dyDescent="0.25">
      <c r="A1415" t="s">
        <v>3459</v>
      </c>
      <c r="B1415" s="102">
        <f>SUMIF(Платежи!B:B,VLOOKUP(A1415,Платежи!B:B,1,0),Платежи!C:C)</f>
        <v>0</v>
      </c>
    </row>
    <row r="1416" spans="1:2" x14ac:dyDescent="0.25">
      <c r="A1416" t="s">
        <v>3084</v>
      </c>
      <c r="B1416" s="102">
        <f>SUMIF(Платежи!B:B,VLOOKUP(A1416,Платежи!B:B,1,0),Платежи!C:C)</f>
        <v>0</v>
      </c>
    </row>
    <row r="1417" spans="1:2" x14ac:dyDescent="0.25">
      <c r="A1417" t="s">
        <v>3085</v>
      </c>
      <c r="B1417" s="102">
        <f>SUMIF(Платежи!B:B,VLOOKUP(A1417,Платежи!B:B,1,0),Платежи!C:C)</f>
        <v>0</v>
      </c>
    </row>
    <row r="1418" spans="1:2" x14ac:dyDescent="0.25">
      <c r="A1418" t="s">
        <v>3086</v>
      </c>
      <c r="B1418" s="102">
        <f>SUMIF(Платежи!B:B,VLOOKUP(A1418,Платежи!B:B,1,0),Платежи!C:C)</f>
        <v>0</v>
      </c>
    </row>
    <row r="1419" spans="1:2" x14ac:dyDescent="0.25">
      <c r="A1419" t="s">
        <v>3087</v>
      </c>
      <c r="B1419" s="102">
        <f>SUMIF(Платежи!B:B,VLOOKUP(A1419,Платежи!B:B,1,0),Платежи!C:C)</f>
        <v>0</v>
      </c>
    </row>
    <row r="1420" spans="1:2" x14ac:dyDescent="0.25">
      <c r="A1420" t="s">
        <v>3460</v>
      </c>
      <c r="B1420" s="102">
        <f>SUMIF(Платежи!B:B,VLOOKUP(A1420,Платежи!B:B,1,0),Платежи!C:C)</f>
        <v>0</v>
      </c>
    </row>
    <row r="1421" spans="1:2" x14ac:dyDescent="0.25">
      <c r="A1421" t="s">
        <v>3461</v>
      </c>
      <c r="B1421" s="102">
        <f>SUMIF(Платежи!B:B,VLOOKUP(A1421,Платежи!B:B,1,0),Платежи!C:C)</f>
        <v>0</v>
      </c>
    </row>
    <row r="1422" spans="1:2" x14ac:dyDescent="0.25">
      <c r="A1422" t="s">
        <v>3462</v>
      </c>
      <c r="B1422" s="102">
        <f>SUMIF(Платежи!B:B,VLOOKUP(A1422,Платежи!B:B,1,0),Платежи!C:C)</f>
        <v>0</v>
      </c>
    </row>
    <row r="1423" spans="1:2" x14ac:dyDescent="0.25">
      <c r="A1423" t="s">
        <v>3463</v>
      </c>
      <c r="B1423" s="102">
        <f>SUMIF(Платежи!B:B,VLOOKUP(A1423,Платежи!B:B,1,0),Платежи!C:C)</f>
        <v>281.35000000000002</v>
      </c>
    </row>
    <row r="1424" spans="1:2" x14ac:dyDescent="0.25">
      <c r="A1424" t="s">
        <v>3464</v>
      </c>
      <c r="B1424" s="102">
        <f>SUMIF(Платежи!B:B,VLOOKUP(A1424,Платежи!B:B,1,0),Платежи!C:C)</f>
        <v>0</v>
      </c>
    </row>
    <row r="1425" spans="1:2" x14ac:dyDescent="0.25">
      <c r="A1425" t="s">
        <v>3465</v>
      </c>
      <c r="B1425" s="102">
        <f>SUMIF(Платежи!B:B,VLOOKUP(A1425,Платежи!B:B,1,0),Платежи!C:C)</f>
        <v>0</v>
      </c>
    </row>
    <row r="1426" spans="1:2" x14ac:dyDescent="0.25">
      <c r="A1426" t="s">
        <v>3088</v>
      </c>
      <c r="B1426" s="102">
        <f>SUMIF(Платежи!B:B,VLOOKUP(A1426,Платежи!B:B,1,0),Платежи!C:C)</f>
        <v>0</v>
      </c>
    </row>
    <row r="1427" spans="1:2" x14ac:dyDescent="0.25">
      <c r="A1427" t="s">
        <v>3466</v>
      </c>
      <c r="B1427" s="102">
        <f>SUMIF(Платежи!B:B,VLOOKUP(A1427,Платежи!B:B,1,0),Платежи!C:C)</f>
        <v>0</v>
      </c>
    </row>
    <row r="1428" spans="1:2" x14ac:dyDescent="0.25">
      <c r="A1428" t="s">
        <v>3089</v>
      </c>
      <c r="B1428" s="102">
        <f>SUMIF(Платежи!B:B,VLOOKUP(A1428,Платежи!B:B,1,0),Платежи!C:C)</f>
        <v>0</v>
      </c>
    </row>
    <row r="1429" spans="1:2" x14ac:dyDescent="0.25">
      <c r="A1429" t="s">
        <v>3090</v>
      </c>
      <c r="B1429" s="102">
        <f>SUMIF(Платежи!B:B,VLOOKUP(A1429,Платежи!B:B,1,0),Платежи!C:C)</f>
        <v>0</v>
      </c>
    </row>
    <row r="1430" spans="1:2" x14ac:dyDescent="0.25">
      <c r="A1430" t="s">
        <v>3467</v>
      </c>
      <c r="B1430" s="102">
        <f>SUMIF(Платежи!B:B,VLOOKUP(A1430,Платежи!B:B,1,0),Платежи!C:C)</f>
        <v>0</v>
      </c>
    </row>
    <row r="1431" spans="1:2" x14ac:dyDescent="0.25">
      <c r="A1431" t="s">
        <v>3091</v>
      </c>
      <c r="B1431" s="102">
        <f>SUMIF(Платежи!B:B,VLOOKUP(A1431,Платежи!B:B,1,0),Платежи!C:C)</f>
        <v>0</v>
      </c>
    </row>
    <row r="1432" spans="1:2" x14ac:dyDescent="0.25">
      <c r="A1432" t="s">
        <v>3092</v>
      </c>
      <c r="B1432" s="102">
        <f>SUMIF(Платежи!B:B,VLOOKUP(A1432,Платежи!B:B,1,0),Платежи!C:C)</f>
        <v>0</v>
      </c>
    </row>
    <row r="1433" spans="1:2" x14ac:dyDescent="0.25">
      <c r="A1433" t="s">
        <v>3093</v>
      </c>
      <c r="B1433" s="102">
        <f>SUMIF(Платежи!B:B,VLOOKUP(A1433,Платежи!B:B,1,0),Платежи!C:C)</f>
        <v>0</v>
      </c>
    </row>
    <row r="1434" spans="1:2" x14ac:dyDescent="0.25">
      <c r="A1434" t="s">
        <v>3094</v>
      </c>
      <c r="B1434" s="102">
        <f>SUMIF(Платежи!B:B,VLOOKUP(A1434,Платежи!B:B,1,0),Платежи!C:C)</f>
        <v>0</v>
      </c>
    </row>
    <row r="1435" spans="1:2" x14ac:dyDescent="0.25">
      <c r="A1435" t="s">
        <v>3095</v>
      </c>
      <c r="B1435" s="102">
        <f>SUMIF(Платежи!B:B,VLOOKUP(A1435,Платежи!B:B,1,0),Платежи!C:C)</f>
        <v>0</v>
      </c>
    </row>
    <row r="1436" spans="1:2" x14ac:dyDescent="0.25">
      <c r="A1436" t="s">
        <v>3468</v>
      </c>
      <c r="B1436" s="102">
        <f>SUMIF(Платежи!B:B,VLOOKUP(A1436,Платежи!B:B,1,0),Платежи!C:C)</f>
        <v>0</v>
      </c>
    </row>
    <row r="1437" spans="1:2" x14ac:dyDescent="0.25">
      <c r="A1437" t="s">
        <v>3096</v>
      </c>
      <c r="B1437" s="102">
        <f>SUMIF(Платежи!B:B,VLOOKUP(A1437,Платежи!B:B,1,0),Платежи!C:C)</f>
        <v>0</v>
      </c>
    </row>
    <row r="1438" spans="1:2" x14ac:dyDescent="0.25">
      <c r="A1438" t="s">
        <v>3097</v>
      </c>
      <c r="B1438" s="102">
        <f>SUMIF(Платежи!B:B,VLOOKUP(A1438,Платежи!B:B,1,0),Платежи!C:C)</f>
        <v>0</v>
      </c>
    </row>
    <row r="1439" spans="1:2" x14ac:dyDescent="0.25">
      <c r="A1439" t="s">
        <v>3469</v>
      </c>
      <c r="B1439" s="102">
        <f>SUMIF(Платежи!B:B,VLOOKUP(A1439,Платежи!B:B,1,0),Платежи!C:C)</f>
        <v>0</v>
      </c>
    </row>
    <row r="1440" spans="1:2" x14ac:dyDescent="0.25">
      <c r="A1440" t="s">
        <v>3098</v>
      </c>
      <c r="B1440" s="102">
        <f>SUMIF(Платежи!B:B,VLOOKUP(A1440,Платежи!B:B,1,0),Платежи!C:C)</f>
        <v>14308.9</v>
      </c>
    </row>
    <row r="1441" spans="1:2" x14ac:dyDescent="0.25">
      <c r="A1441" t="s">
        <v>3099</v>
      </c>
      <c r="B1441" s="102">
        <f>SUMIF(Платежи!B:B,VLOOKUP(A1441,Платежи!B:B,1,0),Платежи!C:C)</f>
        <v>0</v>
      </c>
    </row>
    <row r="1442" spans="1:2" x14ac:dyDescent="0.25">
      <c r="A1442" t="s">
        <v>3100</v>
      </c>
      <c r="B1442" s="102">
        <f>SUMIF(Платежи!B:B,VLOOKUP(A1442,Платежи!B:B,1,0),Платежи!C:C)</f>
        <v>0</v>
      </c>
    </row>
    <row r="1443" spans="1:2" x14ac:dyDescent="0.25">
      <c r="A1443" t="s">
        <v>3101</v>
      </c>
      <c r="B1443" s="102">
        <f>SUMIF(Платежи!B:B,VLOOKUP(A1443,Платежи!B:B,1,0),Платежи!C:C)</f>
        <v>0</v>
      </c>
    </row>
    <row r="1444" spans="1:2" x14ac:dyDescent="0.25">
      <c r="A1444" t="s">
        <v>3470</v>
      </c>
      <c r="B1444" s="102">
        <f>SUMIF(Платежи!B:B,VLOOKUP(A1444,Платежи!B:B,1,0),Платежи!C:C)</f>
        <v>0</v>
      </c>
    </row>
    <row r="1445" spans="1:2" x14ac:dyDescent="0.25">
      <c r="A1445" t="s">
        <v>3471</v>
      </c>
      <c r="B1445" s="102">
        <f>SUMIF(Платежи!B:B,VLOOKUP(A1445,Платежи!B:B,1,0),Платежи!C:C)</f>
        <v>0</v>
      </c>
    </row>
    <row r="1446" spans="1:2" x14ac:dyDescent="0.25">
      <c r="A1446" t="s">
        <v>3472</v>
      </c>
      <c r="B1446" s="102">
        <f>SUMIF(Платежи!B:B,VLOOKUP(A1446,Платежи!B:B,1,0),Платежи!C:C)</f>
        <v>0</v>
      </c>
    </row>
    <row r="1447" spans="1:2" x14ac:dyDescent="0.25">
      <c r="A1447" t="s">
        <v>3473</v>
      </c>
      <c r="B1447" s="102">
        <f>SUMIF(Платежи!B:B,VLOOKUP(A1447,Платежи!B:B,1,0),Платежи!C:C)</f>
        <v>0</v>
      </c>
    </row>
    <row r="1448" spans="1:2" x14ac:dyDescent="0.25">
      <c r="A1448" t="s">
        <v>3474</v>
      </c>
      <c r="B1448" s="102">
        <f>SUMIF(Платежи!B:B,VLOOKUP(A1448,Платежи!B:B,1,0),Платежи!C:C)</f>
        <v>24937.759999999995</v>
      </c>
    </row>
    <row r="1449" spans="1:2" x14ac:dyDescent="0.25">
      <c r="A1449" t="s">
        <v>3102</v>
      </c>
      <c r="B1449" s="102">
        <f>SUMIF(Платежи!B:B,VLOOKUP(A1449,Платежи!B:B,1,0),Платежи!C:C)</f>
        <v>0</v>
      </c>
    </row>
    <row r="1450" spans="1:2" x14ac:dyDescent="0.25">
      <c r="A1450" t="s">
        <v>3475</v>
      </c>
      <c r="B1450" s="102">
        <f>SUMIF(Платежи!B:B,VLOOKUP(A1450,Платежи!B:B,1,0),Платежи!C:C)</f>
        <v>0</v>
      </c>
    </row>
    <row r="1451" spans="1:2" x14ac:dyDescent="0.25">
      <c r="A1451" t="s">
        <v>3476</v>
      </c>
      <c r="B1451" s="102">
        <f>SUMIF(Платежи!B:B,VLOOKUP(A1451,Платежи!B:B,1,0),Платежи!C:C)</f>
        <v>31627.489999999998</v>
      </c>
    </row>
    <row r="1452" spans="1:2" x14ac:dyDescent="0.25">
      <c r="A1452" t="s">
        <v>3103</v>
      </c>
      <c r="B1452" s="102">
        <f>SUMIF(Платежи!B:B,VLOOKUP(A1452,Платежи!B:B,1,0),Платежи!C:C)</f>
        <v>0</v>
      </c>
    </row>
    <row r="1453" spans="1:2" x14ac:dyDescent="0.25">
      <c r="A1453" t="s">
        <v>3477</v>
      </c>
      <c r="B1453" s="102">
        <f>SUMIF(Платежи!B:B,VLOOKUP(A1453,Платежи!B:B,1,0),Платежи!C:C)</f>
        <v>0</v>
      </c>
    </row>
    <row r="1454" spans="1:2" x14ac:dyDescent="0.25">
      <c r="A1454" t="s">
        <v>3104</v>
      </c>
      <c r="B1454" s="102">
        <f>SUMIF(Платежи!B:B,VLOOKUP(A1454,Платежи!B:B,1,0),Платежи!C:C)</f>
        <v>0</v>
      </c>
    </row>
    <row r="1455" spans="1:2" x14ac:dyDescent="0.25">
      <c r="A1455" t="s">
        <v>3105</v>
      </c>
      <c r="B1455" s="102">
        <f>SUMIF(Платежи!B:B,VLOOKUP(A1455,Платежи!B:B,1,0),Платежи!C:C)</f>
        <v>0</v>
      </c>
    </row>
    <row r="1456" spans="1:2" x14ac:dyDescent="0.25">
      <c r="A1456" t="s">
        <v>3478</v>
      </c>
      <c r="B1456" s="102">
        <f>SUMIF(Платежи!B:B,VLOOKUP(A1456,Платежи!B:B,1,0),Платежи!C:C)</f>
        <v>0</v>
      </c>
    </row>
    <row r="1457" spans="1:2" x14ac:dyDescent="0.25">
      <c r="A1457" t="s">
        <v>3479</v>
      </c>
      <c r="B1457" s="102">
        <f>SUMIF(Платежи!B:B,VLOOKUP(A1457,Платежи!B:B,1,0),Платежи!C:C)</f>
        <v>0</v>
      </c>
    </row>
    <row r="1458" spans="1:2" x14ac:dyDescent="0.25">
      <c r="A1458" t="s">
        <v>3480</v>
      </c>
      <c r="B1458" s="102">
        <f>SUMIF(Платежи!B:B,VLOOKUP(A1458,Платежи!B:B,1,0),Платежи!C:C)</f>
        <v>0</v>
      </c>
    </row>
    <row r="1459" spans="1:2" x14ac:dyDescent="0.25">
      <c r="A1459" t="s">
        <v>3481</v>
      </c>
      <c r="B1459" s="102">
        <f>SUMIF(Платежи!B:B,VLOOKUP(A1459,Платежи!B:B,1,0),Платежи!C:C)</f>
        <v>0</v>
      </c>
    </row>
    <row r="1460" spans="1:2" x14ac:dyDescent="0.25">
      <c r="A1460" t="s">
        <v>3106</v>
      </c>
      <c r="B1460" s="102">
        <f>SUMIF(Платежи!B:B,VLOOKUP(A1460,Платежи!B:B,1,0),Платежи!C:C)</f>
        <v>0</v>
      </c>
    </row>
    <row r="1461" spans="1:2" x14ac:dyDescent="0.25">
      <c r="A1461" t="s">
        <v>3482</v>
      </c>
      <c r="B1461" s="102">
        <f>SUMIF(Платежи!B:B,VLOOKUP(A1461,Платежи!B:B,1,0),Платежи!C:C)</f>
        <v>0</v>
      </c>
    </row>
    <row r="1462" spans="1:2" x14ac:dyDescent="0.25">
      <c r="A1462" t="s">
        <v>3483</v>
      </c>
      <c r="B1462" s="102">
        <f>SUMIF(Платежи!B:B,VLOOKUP(A1462,Платежи!B:B,1,0),Платежи!C:C)</f>
        <v>0</v>
      </c>
    </row>
    <row r="1463" spans="1:2" x14ac:dyDescent="0.25">
      <c r="A1463" t="s">
        <v>3484</v>
      </c>
      <c r="B1463" s="102">
        <f>SUMIF(Платежи!B:B,VLOOKUP(A1463,Платежи!B:B,1,0),Платежи!C:C)</f>
        <v>0</v>
      </c>
    </row>
    <row r="1464" spans="1:2" x14ac:dyDescent="0.25">
      <c r="A1464" t="s">
        <v>3485</v>
      </c>
      <c r="B1464" s="102">
        <f>SUMIF(Платежи!B:B,VLOOKUP(A1464,Платежи!B:B,1,0),Платежи!C:C)</f>
        <v>0</v>
      </c>
    </row>
    <row r="1465" spans="1:2" x14ac:dyDescent="0.25">
      <c r="A1465" t="s">
        <v>3486</v>
      </c>
      <c r="B1465" s="102">
        <f>SUMIF(Платежи!B:B,VLOOKUP(A1465,Платежи!B:B,1,0),Платежи!C:C)</f>
        <v>0</v>
      </c>
    </row>
    <row r="1466" spans="1:2" x14ac:dyDescent="0.25">
      <c r="A1466" t="s">
        <v>1006</v>
      </c>
      <c r="B1466" s="102">
        <f>SUMIF(Платежи!B:B,VLOOKUP(A1466,Платежи!B:B,1,0),Платежи!C:C)</f>
        <v>0</v>
      </c>
    </row>
    <row r="1467" spans="1:2" x14ac:dyDescent="0.25">
      <c r="A1467" t="s">
        <v>3487</v>
      </c>
      <c r="B1467" s="102">
        <f>SUMIF(Платежи!B:B,VLOOKUP(A1467,Платежи!B:B,1,0),Платежи!C:C)</f>
        <v>0</v>
      </c>
    </row>
    <row r="1468" spans="1:2" x14ac:dyDescent="0.25">
      <c r="A1468" t="s">
        <v>3488</v>
      </c>
      <c r="B1468" s="102">
        <f>SUMIF(Платежи!B:B,VLOOKUP(A1468,Платежи!B:B,1,0),Платежи!C:C)</f>
        <v>36708.720000000001</v>
      </c>
    </row>
    <row r="1469" spans="1:2" x14ac:dyDescent="0.25">
      <c r="A1469" t="s">
        <v>3107</v>
      </c>
      <c r="B1469" s="102">
        <f>SUMIF(Платежи!B:B,VLOOKUP(A1469,Платежи!B:B,1,0),Платежи!C:C)</f>
        <v>0</v>
      </c>
    </row>
    <row r="1470" spans="1:2" x14ac:dyDescent="0.25">
      <c r="A1470" t="s">
        <v>3489</v>
      </c>
      <c r="B1470" s="102">
        <f>SUMIF(Платежи!B:B,VLOOKUP(A1470,Платежи!B:B,1,0),Платежи!C:C)</f>
        <v>0</v>
      </c>
    </row>
    <row r="1471" spans="1:2" x14ac:dyDescent="0.25">
      <c r="A1471" t="s">
        <v>3490</v>
      </c>
      <c r="B1471" s="102">
        <f>SUMIF(Платежи!B:B,VLOOKUP(A1471,Платежи!B:B,1,0),Платежи!C:C)</f>
        <v>0</v>
      </c>
    </row>
    <row r="1472" spans="1:2" x14ac:dyDescent="0.25">
      <c r="A1472" t="s">
        <v>3491</v>
      </c>
      <c r="B1472" s="102">
        <f>SUMIF(Платежи!B:B,VLOOKUP(A1472,Платежи!B:B,1,0),Платежи!C:C)</f>
        <v>0</v>
      </c>
    </row>
    <row r="1473" spans="1:2" x14ac:dyDescent="0.25">
      <c r="A1473" t="s">
        <v>3492</v>
      </c>
      <c r="B1473" s="102">
        <f>SUMIF(Платежи!B:B,VLOOKUP(A1473,Платежи!B:B,1,0),Платежи!C:C)</f>
        <v>0</v>
      </c>
    </row>
    <row r="1474" spans="1:2" x14ac:dyDescent="0.25">
      <c r="A1474" t="s">
        <v>3493</v>
      </c>
      <c r="B1474" s="102">
        <f>SUMIF(Платежи!B:B,VLOOKUP(A1474,Платежи!B:B,1,0),Платежи!C:C)</f>
        <v>0</v>
      </c>
    </row>
    <row r="1475" spans="1:2" x14ac:dyDescent="0.25">
      <c r="A1475" t="s">
        <v>3108</v>
      </c>
      <c r="B1475" s="102">
        <f>SUMIF(Платежи!B:B,VLOOKUP(A1475,Платежи!B:B,1,0),Платежи!C:C)</f>
        <v>387432.32</v>
      </c>
    </row>
    <row r="1476" spans="1:2" x14ac:dyDescent="0.25">
      <c r="A1476" t="s">
        <v>3109</v>
      </c>
      <c r="B1476" s="102">
        <f>SUMIF(Платежи!B:B,VLOOKUP(A1476,Платежи!B:B,1,0),Платежи!C:C)</f>
        <v>311039.73</v>
      </c>
    </row>
    <row r="1477" spans="1:2" x14ac:dyDescent="0.25">
      <c r="A1477" t="s">
        <v>3494</v>
      </c>
      <c r="B1477" s="102">
        <f>SUMIF(Платежи!B:B,VLOOKUP(A1477,Платежи!B:B,1,0),Платежи!C:C)</f>
        <v>0</v>
      </c>
    </row>
    <row r="1478" spans="1:2" x14ac:dyDescent="0.25">
      <c r="A1478" t="s">
        <v>3495</v>
      </c>
      <c r="B1478" s="102">
        <f>SUMIF(Платежи!B:B,VLOOKUP(A1478,Платежи!B:B,1,0),Платежи!C:C)</f>
        <v>0</v>
      </c>
    </row>
    <row r="1479" spans="1:2" x14ac:dyDescent="0.25">
      <c r="A1479" t="s">
        <v>3110</v>
      </c>
      <c r="B1479" s="102">
        <f>SUMIF(Платежи!B:B,VLOOKUP(A1479,Платежи!B:B,1,0),Платежи!C:C)</f>
        <v>0</v>
      </c>
    </row>
    <row r="1480" spans="1:2" x14ac:dyDescent="0.25">
      <c r="A1480" t="s">
        <v>3496</v>
      </c>
      <c r="B1480" s="102">
        <f>SUMIF(Платежи!B:B,VLOOKUP(A1480,Платежи!B:B,1,0),Платежи!C:C)</f>
        <v>0</v>
      </c>
    </row>
    <row r="1481" spans="1:2" x14ac:dyDescent="0.25">
      <c r="A1481" t="s">
        <v>3497</v>
      </c>
      <c r="B1481" s="102">
        <f>SUMIF(Платежи!B:B,VLOOKUP(A1481,Платежи!B:B,1,0),Платежи!C:C)</f>
        <v>338084.36</v>
      </c>
    </row>
    <row r="1482" spans="1:2" x14ac:dyDescent="0.25">
      <c r="A1482" t="s">
        <v>3498</v>
      </c>
      <c r="B1482" s="102">
        <f>SUMIF(Платежи!B:B,VLOOKUP(A1482,Платежи!B:B,1,0),Платежи!C:C)</f>
        <v>0</v>
      </c>
    </row>
    <row r="1483" spans="1:2" x14ac:dyDescent="0.25">
      <c r="A1483" t="s">
        <v>3499</v>
      </c>
      <c r="B1483" s="102">
        <f>SUMIF(Платежи!B:B,VLOOKUP(A1483,Платежи!B:B,1,0),Платежи!C:C)</f>
        <v>0</v>
      </c>
    </row>
    <row r="1484" spans="1:2" x14ac:dyDescent="0.25">
      <c r="A1484" t="s">
        <v>3111</v>
      </c>
      <c r="B1484" s="102">
        <f>SUMIF(Платежи!B:B,VLOOKUP(A1484,Платежи!B:B,1,0),Платежи!C:C)</f>
        <v>0</v>
      </c>
    </row>
    <row r="1485" spans="1:2" x14ac:dyDescent="0.25">
      <c r="A1485" t="s">
        <v>3500</v>
      </c>
      <c r="B1485" s="102">
        <f>SUMIF(Платежи!B:B,VLOOKUP(A1485,Платежи!B:B,1,0),Платежи!C:C)</f>
        <v>0</v>
      </c>
    </row>
    <row r="1486" spans="1:2" x14ac:dyDescent="0.25">
      <c r="A1486" t="s">
        <v>3501</v>
      </c>
      <c r="B1486" s="102">
        <f>SUMIF(Платежи!B:B,VLOOKUP(A1486,Платежи!B:B,1,0),Платежи!C:C)</f>
        <v>0</v>
      </c>
    </row>
    <row r="1487" spans="1:2" x14ac:dyDescent="0.25">
      <c r="A1487" t="s">
        <v>3502</v>
      </c>
      <c r="B1487" s="102">
        <f>SUMIF(Платежи!B:B,VLOOKUP(A1487,Платежи!B:B,1,0),Платежи!C:C)</f>
        <v>0</v>
      </c>
    </row>
    <row r="1488" spans="1:2" x14ac:dyDescent="0.25">
      <c r="A1488" t="s">
        <v>3503</v>
      </c>
      <c r="B1488" s="102">
        <f>SUMIF(Платежи!B:B,VLOOKUP(A1488,Платежи!B:B,1,0),Платежи!C:C)</f>
        <v>0</v>
      </c>
    </row>
    <row r="1489" spans="1:2" x14ac:dyDescent="0.25">
      <c r="A1489" t="s">
        <v>3504</v>
      </c>
      <c r="B1489" s="102">
        <f>SUMIF(Платежи!B:B,VLOOKUP(A1489,Платежи!B:B,1,0),Платежи!C:C)</f>
        <v>0</v>
      </c>
    </row>
    <row r="1490" spans="1:2" x14ac:dyDescent="0.25">
      <c r="A1490" t="s">
        <v>3505</v>
      </c>
      <c r="B1490" s="102">
        <f>SUMIF(Платежи!B:B,VLOOKUP(A1490,Платежи!B:B,1,0),Платежи!C:C)</f>
        <v>0</v>
      </c>
    </row>
    <row r="1491" spans="1:2" x14ac:dyDescent="0.25">
      <c r="A1491" t="s">
        <v>3506</v>
      </c>
      <c r="B1491" s="102">
        <f>SUMIF(Платежи!B:B,VLOOKUP(A1491,Платежи!B:B,1,0),Платежи!C:C)</f>
        <v>0</v>
      </c>
    </row>
    <row r="1492" spans="1:2" x14ac:dyDescent="0.25">
      <c r="A1492" t="s">
        <v>3507</v>
      </c>
      <c r="B1492" s="102">
        <f>SUMIF(Платежи!B:B,VLOOKUP(A1492,Платежи!B:B,1,0),Платежи!C:C)</f>
        <v>0</v>
      </c>
    </row>
    <row r="1493" spans="1:2" x14ac:dyDescent="0.25">
      <c r="A1493" t="s">
        <v>3508</v>
      </c>
      <c r="B1493" s="102">
        <f>SUMIF(Платежи!B:B,VLOOKUP(A1493,Платежи!B:B,1,0),Платежи!C:C)</f>
        <v>0</v>
      </c>
    </row>
    <row r="1494" spans="1:2" x14ac:dyDescent="0.25">
      <c r="A1494" t="s">
        <v>3509</v>
      </c>
      <c r="B1494" s="102">
        <f>SUMIF(Платежи!B:B,VLOOKUP(A1494,Платежи!B:B,1,0),Платежи!C:C)</f>
        <v>0</v>
      </c>
    </row>
    <row r="1495" spans="1:2" x14ac:dyDescent="0.25">
      <c r="A1495" t="s">
        <v>3510</v>
      </c>
      <c r="B1495" s="102">
        <f>SUMIF(Платежи!B:B,VLOOKUP(A1495,Платежи!B:B,1,0),Платежи!C:C)</f>
        <v>0</v>
      </c>
    </row>
    <row r="1496" spans="1:2" x14ac:dyDescent="0.25">
      <c r="A1496" t="s">
        <v>3112</v>
      </c>
      <c r="B1496" s="102">
        <f>SUMIF(Платежи!B:B,VLOOKUP(A1496,Платежи!B:B,1,0),Платежи!C:C)</f>
        <v>0</v>
      </c>
    </row>
    <row r="1497" spans="1:2" x14ac:dyDescent="0.25">
      <c r="A1497" t="s">
        <v>3511</v>
      </c>
      <c r="B1497" s="102">
        <f>SUMIF(Платежи!B:B,VLOOKUP(A1497,Платежи!B:B,1,0),Платежи!C:C)</f>
        <v>0</v>
      </c>
    </row>
    <row r="1498" spans="1:2" x14ac:dyDescent="0.25">
      <c r="A1498" t="s">
        <v>3512</v>
      </c>
      <c r="B1498" s="102">
        <f>SUMIF(Платежи!B:B,VLOOKUP(A1498,Платежи!B:B,1,0),Платежи!C:C)</f>
        <v>0</v>
      </c>
    </row>
    <row r="1499" spans="1:2" x14ac:dyDescent="0.25">
      <c r="A1499" t="s">
        <v>3513</v>
      </c>
      <c r="B1499" s="102">
        <f>SUMIF(Платежи!B:B,VLOOKUP(A1499,Платежи!B:B,1,0),Платежи!C:C)</f>
        <v>0</v>
      </c>
    </row>
    <row r="1500" spans="1:2" x14ac:dyDescent="0.25">
      <c r="A1500" t="s">
        <v>3514</v>
      </c>
      <c r="B1500" s="102">
        <f>SUMIF(Платежи!B:B,VLOOKUP(A1500,Платежи!B:B,1,0),Платежи!C:C)</f>
        <v>0</v>
      </c>
    </row>
    <row r="1501" spans="1:2" x14ac:dyDescent="0.25">
      <c r="A1501" t="s">
        <v>3515</v>
      </c>
      <c r="B1501" s="102">
        <f>SUMIF(Платежи!B:B,VLOOKUP(A1501,Платежи!B:B,1,0),Платежи!C:C)</f>
        <v>0</v>
      </c>
    </row>
    <row r="1502" spans="1:2" x14ac:dyDescent="0.25">
      <c r="A1502" t="s">
        <v>3113</v>
      </c>
      <c r="B1502" s="102">
        <f>SUMIF(Платежи!B:B,VLOOKUP(A1502,Платежи!B:B,1,0),Платежи!C:C)</f>
        <v>0</v>
      </c>
    </row>
    <row r="1503" spans="1:2" x14ac:dyDescent="0.25">
      <c r="A1503" t="s">
        <v>3516</v>
      </c>
      <c r="B1503" s="102">
        <f>SUMIF(Платежи!B:B,VLOOKUP(A1503,Платежи!B:B,1,0),Платежи!C:C)</f>
        <v>0</v>
      </c>
    </row>
    <row r="1504" spans="1:2" x14ac:dyDescent="0.25">
      <c r="A1504" t="s">
        <v>3517</v>
      </c>
      <c r="B1504" s="102">
        <f>SUMIF(Платежи!B:B,VLOOKUP(A1504,Платежи!B:B,1,0),Платежи!C:C)</f>
        <v>0</v>
      </c>
    </row>
    <row r="1505" spans="1:2" x14ac:dyDescent="0.25">
      <c r="A1505" t="s">
        <v>3114</v>
      </c>
      <c r="B1505" s="102">
        <f>SUMIF(Платежи!B:B,VLOOKUP(A1505,Платежи!B:B,1,0),Платежи!C:C)</f>
        <v>0</v>
      </c>
    </row>
    <row r="1506" spans="1:2" x14ac:dyDescent="0.25">
      <c r="A1506" t="s">
        <v>3518</v>
      </c>
      <c r="B1506" s="102">
        <f>SUMIF(Платежи!B:B,VLOOKUP(A1506,Платежи!B:B,1,0),Платежи!C:C)</f>
        <v>0</v>
      </c>
    </row>
    <row r="1507" spans="1:2" x14ac:dyDescent="0.25">
      <c r="A1507" t="s">
        <v>3519</v>
      </c>
      <c r="B1507" s="102">
        <f>SUMIF(Платежи!B:B,VLOOKUP(A1507,Платежи!B:B,1,0),Платежи!C:C)</f>
        <v>0</v>
      </c>
    </row>
    <row r="1508" spans="1:2" x14ac:dyDescent="0.25">
      <c r="A1508" t="s">
        <v>3115</v>
      </c>
      <c r="B1508" s="102">
        <f>SUMIF(Платежи!B:B,VLOOKUP(A1508,Платежи!B:B,1,0),Платежи!C:C)</f>
        <v>0</v>
      </c>
    </row>
    <row r="1509" spans="1:2" x14ac:dyDescent="0.25">
      <c r="A1509" t="s">
        <v>3520</v>
      </c>
      <c r="B1509" s="102">
        <f>SUMIF(Платежи!B:B,VLOOKUP(A1509,Платежи!B:B,1,0),Платежи!C:C)</f>
        <v>0</v>
      </c>
    </row>
    <row r="1510" spans="1:2" x14ac:dyDescent="0.25">
      <c r="A1510" t="s">
        <v>3521</v>
      </c>
      <c r="B1510" s="102">
        <f>SUMIF(Платежи!B:B,VLOOKUP(A1510,Платежи!B:B,1,0),Платежи!C:C)</f>
        <v>0</v>
      </c>
    </row>
    <row r="1511" spans="1:2" x14ac:dyDescent="0.25">
      <c r="A1511" t="s">
        <v>3522</v>
      </c>
      <c r="B1511" s="102">
        <f>SUMIF(Платежи!B:B,VLOOKUP(A1511,Платежи!B:B,1,0),Платежи!C:C)</f>
        <v>0</v>
      </c>
    </row>
    <row r="1512" spans="1:2" x14ac:dyDescent="0.25">
      <c r="A1512" t="s">
        <v>3523</v>
      </c>
      <c r="B1512" s="102">
        <f>SUMIF(Платежи!B:B,VLOOKUP(A1512,Платежи!B:B,1,0),Платежи!C:C)</f>
        <v>0</v>
      </c>
    </row>
    <row r="1513" spans="1:2" x14ac:dyDescent="0.25">
      <c r="A1513" t="s">
        <v>3116</v>
      </c>
      <c r="B1513" s="102">
        <f>SUMIF(Платежи!B:B,VLOOKUP(A1513,Платежи!B:B,1,0),Платежи!C:C)</f>
        <v>0</v>
      </c>
    </row>
    <row r="1514" spans="1:2" x14ac:dyDescent="0.25">
      <c r="A1514" t="s">
        <v>3524</v>
      </c>
      <c r="B1514" s="102">
        <f>SUMIF(Платежи!B:B,VLOOKUP(A1514,Платежи!B:B,1,0),Платежи!C:C)</f>
        <v>0</v>
      </c>
    </row>
    <row r="1515" spans="1:2" x14ac:dyDescent="0.25">
      <c r="A1515" t="s">
        <v>3525</v>
      </c>
      <c r="B1515" s="102">
        <f>SUMIF(Платежи!B:B,VLOOKUP(A1515,Платежи!B:B,1,0),Платежи!C:C)</f>
        <v>0</v>
      </c>
    </row>
    <row r="1516" spans="1:2" x14ac:dyDescent="0.25">
      <c r="A1516" t="s">
        <v>3526</v>
      </c>
      <c r="B1516" s="102">
        <f>SUMIF(Платежи!B:B,VLOOKUP(A1516,Платежи!B:B,1,0),Платежи!C:C)</f>
        <v>0</v>
      </c>
    </row>
    <row r="1517" spans="1:2" x14ac:dyDescent="0.25">
      <c r="A1517" t="s">
        <v>3527</v>
      </c>
      <c r="B1517" s="102">
        <f>SUMIF(Платежи!B:B,VLOOKUP(A1517,Платежи!B:B,1,0),Платежи!C:C)</f>
        <v>0</v>
      </c>
    </row>
    <row r="1518" spans="1:2" x14ac:dyDescent="0.25">
      <c r="A1518" t="s">
        <v>3528</v>
      </c>
      <c r="B1518" s="102">
        <f>SUMIF(Платежи!B:B,VLOOKUP(A1518,Платежи!B:B,1,0),Платежи!C:C)</f>
        <v>0</v>
      </c>
    </row>
    <row r="1519" spans="1:2" x14ac:dyDescent="0.25">
      <c r="A1519" t="s">
        <v>3529</v>
      </c>
      <c r="B1519" s="102">
        <f>SUMIF(Платежи!B:B,VLOOKUP(A1519,Платежи!B:B,1,0),Платежи!C:C)</f>
        <v>0</v>
      </c>
    </row>
    <row r="1520" spans="1:2" x14ac:dyDescent="0.25">
      <c r="A1520" t="s">
        <v>3530</v>
      </c>
      <c r="B1520" s="102">
        <f>SUMIF(Платежи!B:B,VLOOKUP(A1520,Платежи!B:B,1,0),Платежи!C:C)</f>
        <v>0</v>
      </c>
    </row>
    <row r="1521" spans="1:2" x14ac:dyDescent="0.25">
      <c r="A1521" t="s">
        <v>3531</v>
      </c>
      <c r="B1521" s="102">
        <f>SUMIF(Платежи!B:B,VLOOKUP(A1521,Платежи!B:B,1,0),Платежи!C:C)</f>
        <v>0</v>
      </c>
    </row>
    <row r="1522" spans="1:2" x14ac:dyDescent="0.25">
      <c r="A1522" t="s">
        <v>3117</v>
      </c>
      <c r="B1522" s="102">
        <f>SUMIF(Платежи!B:B,VLOOKUP(A1522,Платежи!B:B,1,0),Платежи!C:C)</f>
        <v>0</v>
      </c>
    </row>
    <row r="1523" spans="1:2" x14ac:dyDescent="0.25">
      <c r="A1523" t="s">
        <v>3118</v>
      </c>
      <c r="B1523" s="102">
        <f>SUMIF(Платежи!B:B,VLOOKUP(A1523,Платежи!B:B,1,0),Платежи!C:C)</f>
        <v>0</v>
      </c>
    </row>
    <row r="1524" spans="1:2" x14ac:dyDescent="0.25">
      <c r="A1524" t="s">
        <v>3119</v>
      </c>
      <c r="B1524" s="102">
        <f>SUMIF(Платежи!B:B,VLOOKUP(A1524,Платежи!B:B,1,0),Платежи!C:C)</f>
        <v>0</v>
      </c>
    </row>
    <row r="1525" spans="1:2" x14ac:dyDescent="0.25">
      <c r="A1525" t="s">
        <v>3120</v>
      </c>
      <c r="B1525" s="102">
        <f>SUMIF(Платежи!B:B,VLOOKUP(A1525,Платежи!B:B,1,0),Платежи!C:C)</f>
        <v>0</v>
      </c>
    </row>
    <row r="1526" spans="1:2" x14ac:dyDescent="0.25">
      <c r="A1526" t="s">
        <v>3532</v>
      </c>
      <c r="B1526" s="102">
        <f>SUMIF(Платежи!B:B,VLOOKUP(A1526,Платежи!B:B,1,0),Платежи!C:C)</f>
        <v>0</v>
      </c>
    </row>
    <row r="1527" spans="1:2" x14ac:dyDescent="0.25">
      <c r="A1527" t="s">
        <v>3533</v>
      </c>
      <c r="B1527" s="102">
        <f>SUMIF(Платежи!B:B,VLOOKUP(A1527,Платежи!B:B,1,0),Платежи!C:C)</f>
        <v>0</v>
      </c>
    </row>
    <row r="1528" spans="1:2" x14ac:dyDescent="0.25">
      <c r="A1528" t="s">
        <v>3534</v>
      </c>
      <c r="B1528" s="102">
        <f>SUMIF(Платежи!B:B,VLOOKUP(A1528,Платежи!B:B,1,0),Платежи!C:C)</f>
        <v>0</v>
      </c>
    </row>
    <row r="1529" spans="1:2" x14ac:dyDescent="0.25">
      <c r="A1529" t="s">
        <v>3535</v>
      </c>
      <c r="B1529" s="102">
        <f>SUMIF(Платежи!B:B,VLOOKUP(A1529,Платежи!B:B,1,0),Платежи!C:C)</f>
        <v>0</v>
      </c>
    </row>
    <row r="1530" spans="1:2" x14ac:dyDescent="0.25">
      <c r="A1530" t="s">
        <v>3121</v>
      </c>
      <c r="B1530" s="102">
        <f>SUMIF(Платежи!B:B,VLOOKUP(A1530,Платежи!B:B,1,0),Платежи!C:C)</f>
        <v>0</v>
      </c>
    </row>
    <row r="1531" spans="1:2" x14ac:dyDescent="0.25">
      <c r="A1531" t="s">
        <v>3536</v>
      </c>
      <c r="B1531" s="102">
        <f>SUMIF(Платежи!B:B,VLOOKUP(A1531,Платежи!B:B,1,0),Платежи!C:C)</f>
        <v>0</v>
      </c>
    </row>
    <row r="1532" spans="1:2" x14ac:dyDescent="0.25">
      <c r="A1532" t="s">
        <v>3122</v>
      </c>
      <c r="B1532" s="102">
        <f>SUMIF(Платежи!B:B,VLOOKUP(A1532,Платежи!B:B,1,0),Платежи!C:C)</f>
        <v>0</v>
      </c>
    </row>
    <row r="1533" spans="1:2" x14ac:dyDescent="0.25">
      <c r="A1533" t="s">
        <v>3123</v>
      </c>
      <c r="B1533" s="102">
        <f>SUMIF(Платежи!B:B,VLOOKUP(A1533,Платежи!B:B,1,0),Платежи!C:C)</f>
        <v>0</v>
      </c>
    </row>
    <row r="1534" spans="1:2" x14ac:dyDescent="0.25">
      <c r="A1534" t="s">
        <v>3537</v>
      </c>
      <c r="B1534" s="102">
        <f>SUMIF(Платежи!B:B,VLOOKUP(A1534,Платежи!B:B,1,0),Платежи!C:C)</f>
        <v>0</v>
      </c>
    </row>
    <row r="1535" spans="1:2" x14ac:dyDescent="0.25">
      <c r="A1535" t="s">
        <v>3124</v>
      </c>
      <c r="B1535" s="102">
        <f>SUMIF(Платежи!B:B,VLOOKUP(A1535,Платежи!B:B,1,0),Платежи!C:C)</f>
        <v>0</v>
      </c>
    </row>
    <row r="1536" spans="1:2" x14ac:dyDescent="0.25">
      <c r="A1536" t="s">
        <v>3538</v>
      </c>
      <c r="B1536" s="102">
        <f>SUMIF(Платежи!B:B,VLOOKUP(A1536,Платежи!B:B,1,0),Платежи!C:C)</f>
        <v>0</v>
      </c>
    </row>
    <row r="1537" spans="1:2" x14ac:dyDescent="0.25">
      <c r="A1537" t="s">
        <v>3539</v>
      </c>
      <c r="B1537" s="102">
        <f>SUMIF(Платежи!B:B,VLOOKUP(A1537,Платежи!B:B,1,0),Платежи!C:C)</f>
        <v>0</v>
      </c>
    </row>
    <row r="1538" spans="1:2" x14ac:dyDescent="0.25">
      <c r="A1538" t="s">
        <v>3540</v>
      </c>
      <c r="B1538" s="102">
        <f>SUMIF(Платежи!B:B,VLOOKUP(A1538,Платежи!B:B,1,0),Платежи!C:C)</f>
        <v>0</v>
      </c>
    </row>
    <row r="1539" spans="1:2" x14ac:dyDescent="0.25">
      <c r="A1539" t="s">
        <v>3541</v>
      </c>
      <c r="B1539" s="102">
        <f>SUMIF(Платежи!B:B,VLOOKUP(A1539,Платежи!B:B,1,0),Платежи!C:C)</f>
        <v>0</v>
      </c>
    </row>
    <row r="1540" spans="1:2" x14ac:dyDescent="0.25">
      <c r="A1540" t="s">
        <v>3542</v>
      </c>
      <c r="B1540" s="102">
        <f>SUMIF(Платежи!B:B,VLOOKUP(A1540,Платежи!B:B,1,0),Платежи!C:C)</f>
        <v>0</v>
      </c>
    </row>
    <row r="1541" spans="1:2" x14ac:dyDescent="0.25">
      <c r="A1541" t="s">
        <v>3543</v>
      </c>
      <c r="B1541" s="102">
        <f>SUMIF(Платежи!B:B,VLOOKUP(A1541,Платежи!B:B,1,0),Платежи!C:C)</f>
        <v>0</v>
      </c>
    </row>
    <row r="1542" spans="1:2" x14ac:dyDescent="0.25">
      <c r="A1542" t="s">
        <v>3544</v>
      </c>
      <c r="B1542" s="102">
        <f>SUMIF(Платежи!B:B,VLOOKUP(A1542,Платежи!B:B,1,0),Платежи!C:C)</f>
        <v>0</v>
      </c>
    </row>
    <row r="1543" spans="1:2" x14ac:dyDescent="0.25">
      <c r="A1543" t="s">
        <v>3545</v>
      </c>
      <c r="B1543" s="102">
        <f>SUMIF(Платежи!B:B,VLOOKUP(A1543,Платежи!B:B,1,0),Платежи!C:C)</f>
        <v>0</v>
      </c>
    </row>
    <row r="1544" spans="1:2" x14ac:dyDescent="0.25">
      <c r="A1544" t="s">
        <v>3125</v>
      </c>
      <c r="B1544" s="102">
        <f>SUMIF(Платежи!B:B,VLOOKUP(A1544,Платежи!B:B,1,0),Платежи!C:C)</f>
        <v>0</v>
      </c>
    </row>
    <row r="1545" spans="1:2" x14ac:dyDescent="0.25">
      <c r="A1545" t="s">
        <v>3546</v>
      </c>
      <c r="B1545" s="102">
        <f>SUMIF(Платежи!B:B,VLOOKUP(A1545,Платежи!B:B,1,0),Платежи!C:C)</f>
        <v>0</v>
      </c>
    </row>
    <row r="1546" spans="1:2" x14ac:dyDescent="0.25">
      <c r="A1546" t="s">
        <v>3547</v>
      </c>
      <c r="B1546" s="102">
        <f>SUMIF(Платежи!B:B,VLOOKUP(A1546,Платежи!B:B,1,0),Платежи!C:C)</f>
        <v>0</v>
      </c>
    </row>
    <row r="1547" spans="1:2" x14ac:dyDescent="0.25">
      <c r="A1547" t="s">
        <v>3548</v>
      </c>
      <c r="B1547" s="102">
        <f>SUMIF(Платежи!B:B,VLOOKUP(A1547,Платежи!B:B,1,0),Платежи!C:C)</f>
        <v>0</v>
      </c>
    </row>
    <row r="1548" spans="1:2" x14ac:dyDescent="0.25">
      <c r="A1548" t="s">
        <v>3549</v>
      </c>
      <c r="B1548" s="102">
        <f>SUMIF(Платежи!B:B,VLOOKUP(A1548,Платежи!B:B,1,0),Платежи!C:C)</f>
        <v>0</v>
      </c>
    </row>
    <row r="1549" spans="1:2" x14ac:dyDescent="0.25">
      <c r="A1549" t="s">
        <v>3550</v>
      </c>
      <c r="B1549" s="102">
        <f>SUMIF(Платежи!B:B,VLOOKUP(A1549,Платежи!B:B,1,0),Платежи!C:C)</f>
        <v>0</v>
      </c>
    </row>
    <row r="1550" spans="1:2" x14ac:dyDescent="0.25">
      <c r="A1550" t="s">
        <v>3126</v>
      </c>
      <c r="B1550" s="102">
        <f>SUMIF(Платежи!B:B,VLOOKUP(A1550,Платежи!B:B,1,0),Платежи!C:C)</f>
        <v>0</v>
      </c>
    </row>
    <row r="1551" spans="1:2" x14ac:dyDescent="0.25">
      <c r="A1551" t="s">
        <v>3551</v>
      </c>
      <c r="B1551" s="102">
        <f>SUMIF(Платежи!B:B,VLOOKUP(A1551,Платежи!B:B,1,0),Платежи!C:C)</f>
        <v>0</v>
      </c>
    </row>
    <row r="1552" spans="1:2" x14ac:dyDescent="0.25">
      <c r="A1552" t="s">
        <v>3127</v>
      </c>
      <c r="B1552" s="102">
        <f>SUMIF(Платежи!B:B,VLOOKUP(A1552,Платежи!B:B,1,0),Платежи!C:C)</f>
        <v>0</v>
      </c>
    </row>
    <row r="1553" spans="1:2" x14ac:dyDescent="0.25">
      <c r="A1553" t="s">
        <v>3128</v>
      </c>
      <c r="B1553" s="102">
        <f>SUMIF(Платежи!B:B,VLOOKUP(A1553,Платежи!B:B,1,0),Платежи!C:C)</f>
        <v>0</v>
      </c>
    </row>
    <row r="1554" spans="1:2" x14ac:dyDescent="0.25">
      <c r="A1554" t="s">
        <v>3129</v>
      </c>
      <c r="B1554" s="102">
        <f>SUMIF(Платежи!B:B,VLOOKUP(A1554,Платежи!B:B,1,0),Платежи!C:C)</f>
        <v>0</v>
      </c>
    </row>
    <row r="1555" spans="1:2" x14ac:dyDescent="0.25">
      <c r="A1555" t="s">
        <v>3552</v>
      </c>
      <c r="B1555" s="102">
        <f>SUMIF(Платежи!B:B,VLOOKUP(A1555,Платежи!B:B,1,0),Платежи!C:C)</f>
        <v>0</v>
      </c>
    </row>
    <row r="1556" spans="1:2" x14ac:dyDescent="0.25">
      <c r="A1556" t="s">
        <v>3553</v>
      </c>
      <c r="B1556" s="102">
        <f>SUMIF(Платежи!B:B,VLOOKUP(A1556,Платежи!B:B,1,0),Платежи!C:C)</f>
        <v>0</v>
      </c>
    </row>
    <row r="1557" spans="1:2" x14ac:dyDescent="0.25">
      <c r="A1557" t="s">
        <v>3554</v>
      </c>
      <c r="B1557" s="102">
        <f>SUMIF(Платежи!B:B,VLOOKUP(A1557,Платежи!B:B,1,0),Платежи!C:C)</f>
        <v>0</v>
      </c>
    </row>
    <row r="1558" spans="1:2" x14ac:dyDescent="0.25">
      <c r="A1558" t="s">
        <v>1164</v>
      </c>
      <c r="B1558" s="102">
        <f>SUMIF(Платежи!B:B,VLOOKUP(A1558,Платежи!B:B,1,0),Платежи!C:C)</f>
        <v>0</v>
      </c>
    </row>
    <row r="1559" spans="1:2" x14ac:dyDescent="0.25">
      <c r="A1559" t="s">
        <v>3555</v>
      </c>
      <c r="B1559" s="102">
        <f>SUMIF(Платежи!B:B,VLOOKUP(A1559,Платежи!B:B,1,0),Платежи!C:C)</f>
        <v>0</v>
      </c>
    </row>
    <row r="1560" spans="1:2" x14ac:dyDescent="0.25">
      <c r="A1560" t="s">
        <v>3556</v>
      </c>
      <c r="B1560" s="102">
        <f>SUMIF(Платежи!B:B,VLOOKUP(A1560,Платежи!B:B,1,0),Платежи!C:C)</f>
        <v>0</v>
      </c>
    </row>
    <row r="1561" spans="1:2" x14ac:dyDescent="0.25">
      <c r="A1561" t="s">
        <v>3130</v>
      </c>
      <c r="B1561" s="102">
        <f>SUMIF(Платежи!B:B,VLOOKUP(A1561,Платежи!B:B,1,0),Платежи!C:C)</f>
        <v>0</v>
      </c>
    </row>
    <row r="1562" spans="1:2" x14ac:dyDescent="0.25">
      <c r="A1562" t="s">
        <v>3131</v>
      </c>
      <c r="B1562" s="102">
        <f>SUMIF(Платежи!B:B,VLOOKUP(A1562,Платежи!B:B,1,0),Платежи!C:C)</f>
        <v>0</v>
      </c>
    </row>
    <row r="1563" spans="1:2" x14ac:dyDescent="0.25">
      <c r="A1563" t="s">
        <v>3557</v>
      </c>
      <c r="B1563" s="102">
        <f>SUMIF(Платежи!B:B,VLOOKUP(A1563,Платежи!B:B,1,0),Платежи!C:C)</f>
        <v>0</v>
      </c>
    </row>
    <row r="1564" spans="1:2" x14ac:dyDescent="0.25">
      <c r="A1564" t="s">
        <v>3558</v>
      </c>
      <c r="B1564" s="102">
        <f>SUMIF(Платежи!B:B,VLOOKUP(A1564,Платежи!B:B,1,0),Платежи!C:C)</f>
        <v>0</v>
      </c>
    </row>
    <row r="1565" spans="1:2" x14ac:dyDescent="0.25">
      <c r="A1565" t="s">
        <v>3559</v>
      </c>
      <c r="B1565" s="102">
        <f>SUMIF(Платежи!B:B,VLOOKUP(A1565,Платежи!B:B,1,0),Платежи!C:C)</f>
        <v>0</v>
      </c>
    </row>
    <row r="1566" spans="1:2" x14ac:dyDescent="0.25">
      <c r="A1566" t="s">
        <v>3560</v>
      </c>
      <c r="B1566" s="102">
        <f>SUMIF(Платежи!B:B,VLOOKUP(A1566,Платежи!B:B,1,0),Платежи!C:C)</f>
        <v>0</v>
      </c>
    </row>
    <row r="1567" spans="1:2" x14ac:dyDescent="0.25">
      <c r="A1567" t="s">
        <v>3132</v>
      </c>
      <c r="B1567" s="102">
        <f>SUMIF(Платежи!B:B,VLOOKUP(A1567,Платежи!B:B,1,0),Платежи!C:C)</f>
        <v>0</v>
      </c>
    </row>
    <row r="1568" spans="1:2" x14ac:dyDescent="0.25">
      <c r="A1568" t="s">
        <v>3561</v>
      </c>
      <c r="B1568" s="102">
        <f>SUMIF(Платежи!B:B,VLOOKUP(A1568,Платежи!B:B,1,0),Платежи!C:C)</f>
        <v>0</v>
      </c>
    </row>
    <row r="1569" spans="1:2" x14ac:dyDescent="0.25">
      <c r="A1569" t="s">
        <v>3562</v>
      </c>
      <c r="B1569" s="102">
        <f>SUMIF(Платежи!B:B,VLOOKUP(A1569,Платежи!B:B,1,0),Платежи!C:C)</f>
        <v>0</v>
      </c>
    </row>
    <row r="1570" spans="1:2" x14ac:dyDescent="0.25">
      <c r="A1570" t="s">
        <v>3563</v>
      </c>
      <c r="B1570" s="102">
        <f>SUMIF(Платежи!B:B,VLOOKUP(A1570,Платежи!B:B,1,0),Платежи!C:C)</f>
        <v>0</v>
      </c>
    </row>
    <row r="1571" spans="1:2" x14ac:dyDescent="0.25">
      <c r="A1571" t="s">
        <v>3133</v>
      </c>
      <c r="B1571" s="102">
        <f>SUMIF(Платежи!B:B,VLOOKUP(A1571,Платежи!B:B,1,0),Платежи!C:C)</f>
        <v>0</v>
      </c>
    </row>
    <row r="1572" spans="1:2" x14ac:dyDescent="0.25">
      <c r="A1572" t="s">
        <v>1744</v>
      </c>
      <c r="B1572" s="102">
        <f>SUMIF(Платежи!B:B,VLOOKUP(A1572,Платежи!B:B,1,0),Платежи!C:C)</f>
        <v>0</v>
      </c>
    </row>
    <row r="1573" spans="1:2" x14ac:dyDescent="0.25">
      <c r="A1573" t="s">
        <v>3134</v>
      </c>
      <c r="B1573" s="102">
        <f>SUMIF(Платежи!B:B,VLOOKUP(A1573,Платежи!B:B,1,0),Платежи!C:C)</f>
        <v>0</v>
      </c>
    </row>
    <row r="1574" spans="1:2" x14ac:dyDescent="0.25">
      <c r="A1574" t="s">
        <v>3564</v>
      </c>
      <c r="B1574" s="102">
        <f>SUMIF(Платежи!B:B,VLOOKUP(A1574,Платежи!B:B,1,0),Платежи!C:C)</f>
        <v>0</v>
      </c>
    </row>
    <row r="1575" spans="1:2" x14ac:dyDescent="0.25">
      <c r="A1575" t="s">
        <v>3565</v>
      </c>
      <c r="B1575" s="102">
        <f>SUMIF(Платежи!B:B,VLOOKUP(A1575,Платежи!B:B,1,0),Платежи!C:C)</f>
        <v>0</v>
      </c>
    </row>
    <row r="1576" spans="1:2" x14ac:dyDescent="0.25">
      <c r="A1576" t="s">
        <v>3566</v>
      </c>
      <c r="B1576" s="102">
        <f>SUMIF(Платежи!B:B,VLOOKUP(A1576,Платежи!B:B,1,0),Платежи!C:C)</f>
        <v>0</v>
      </c>
    </row>
    <row r="1577" spans="1:2" x14ac:dyDescent="0.25">
      <c r="A1577" t="s">
        <v>3567</v>
      </c>
      <c r="B1577" s="102">
        <f>SUMIF(Платежи!B:B,VLOOKUP(A1577,Платежи!B:B,1,0),Платежи!C:C)</f>
        <v>0</v>
      </c>
    </row>
    <row r="1578" spans="1:2" x14ac:dyDescent="0.25">
      <c r="A1578" t="s">
        <v>3568</v>
      </c>
      <c r="B1578" s="102">
        <f>SUMIF(Платежи!B:B,VLOOKUP(A1578,Платежи!B:B,1,0),Платежи!C:C)</f>
        <v>0</v>
      </c>
    </row>
    <row r="1579" spans="1:2" x14ac:dyDescent="0.25">
      <c r="A1579" t="s">
        <v>3569</v>
      </c>
      <c r="B1579" s="102">
        <f>SUMIF(Платежи!B:B,VLOOKUP(A1579,Платежи!B:B,1,0),Платежи!C:C)</f>
        <v>0</v>
      </c>
    </row>
    <row r="1580" spans="1:2" x14ac:dyDescent="0.25">
      <c r="A1580" t="s">
        <v>3570</v>
      </c>
      <c r="B1580" s="102">
        <f>SUMIF(Платежи!B:B,VLOOKUP(A1580,Платежи!B:B,1,0),Платежи!C:C)</f>
        <v>0</v>
      </c>
    </row>
    <row r="1581" spans="1:2" x14ac:dyDescent="0.25">
      <c r="A1581" t="s">
        <v>3571</v>
      </c>
      <c r="B1581" s="102">
        <f>SUMIF(Платежи!B:B,VLOOKUP(A1581,Платежи!B:B,1,0),Платежи!C:C)</f>
        <v>0</v>
      </c>
    </row>
    <row r="1582" spans="1:2" x14ac:dyDescent="0.25">
      <c r="A1582" t="s">
        <v>3572</v>
      </c>
      <c r="B1582" s="102">
        <f>SUMIF(Платежи!B:B,VLOOKUP(A1582,Платежи!B:B,1,0),Платежи!C:C)</f>
        <v>0</v>
      </c>
    </row>
    <row r="1583" spans="1:2" x14ac:dyDescent="0.25">
      <c r="A1583" t="s">
        <v>3573</v>
      </c>
      <c r="B1583" s="102">
        <f>SUMIF(Платежи!B:B,VLOOKUP(A1583,Платежи!B:B,1,0),Платежи!C:C)</f>
        <v>0</v>
      </c>
    </row>
    <row r="1584" spans="1:2" x14ac:dyDescent="0.25">
      <c r="A1584" t="s">
        <v>3574</v>
      </c>
      <c r="B1584" s="102">
        <f>SUMIF(Платежи!B:B,VLOOKUP(A1584,Платежи!B:B,1,0),Платежи!C:C)</f>
        <v>0</v>
      </c>
    </row>
    <row r="1585" spans="1:2" x14ac:dyDescent="0.25">
      <c r="A1585" t="s">
        <v>3575</v>
      </c>
      <c r="B1585" s="102">
        <f>SUMIF(Платежи!B:B,VLOOKUP(A1585,Платежи!B:B,1,0),Платежи!C:C)</f>
        <v>0</v>
      </c>
    </row>
    <row r="1586" spans="1:2" x14ac:dyDescent="0.25">
      <c r="A1586" t="s">
        <v>3576</v>
      </c>
      <c r="B1586" s="102">
        <f>SUMIF(Платежи!B:B,VLOOKUP(A1586,Платежи!B:B,1,0),Платежи!C:C)</f>
        <v>0</v>
      </c>
    </row>
    <row r="1587" spans="1:2" x14ac:dyDescent="0.25">
      <c r="A1587" t="s">
        <v>3577</v>
      </c>
      <c r="B1587" s="102">
        <f>SUMIF(Платежи!B:B,VLOOKUP(A1587,Платежи!B:B,1,0),Платежи!C:C)</f>
        <v>0</v>
      </c>
    </row>
    <row r="1588" spans="1:2" x14ac:dyDescent="0.25">
      <c r="A1588" t="s">
        <v>3135</v>
      </c>
      <c r="B1588" s="102">
        <f>SUMIF(Платежи!B:B,VLOOKUP(A1588,Платежи!B:B,1,0),Платежи!C:C)</f>
        <v>0</v>
      </c>
    </row>
    <row r="1589" spans="1:2" x14ac:dyDescent="0.25">
      <c r="A1589" t="s">
        <v>3578</v>
      </c>
      <c r="B1589" s="102">
        <f>SUMIF(Платежи!B:B,VLOOKUP(A1589,Платежи!B:B,1,0),Платежи!C:C)</f>
        <v>0</v>
      </c>
    </row>
    <row r="1590" spans="1:2" x14ac:dyDescent="0.25">
      <c r="A1590" t="s">
        <v>3579</v>
      </c>
      <c r="B1590" s="102">
        <f>SUMIF(Платежи!B:B,VLOOKUP(A1590,Платежи!B:B,1,0),Платежи!C:C)</f>
        <v>0</v>
      </c>
    </row>
    <row r="1591" spans="1:2" x14ac:dyDescent="0.25">
      <c r="A1591" t="s">
        <v>3580</v>
      </c>
      <c r="B1591" s="102">
        <f>SUMIF(Платежи!B:B,VLOOKUP(A1591,Платежи!B:B,1,0),Платежи!C:C)</f>
        <v>0</v>
      </c>
    </row>
    <row r="1592" spans="1:2" x14ac:dyDescent="0.25">
      <c r="A1592" t="s">
        <v>3136</v>
      </c>
      <c r="B1592" s="102">
        <f>SUMIF(Платежи!B:B,VLOOKUP(A1592,Платежи!B:B,1,0),Платежи!C:C)</f>
        <v>0</v>
      </c>
    </row>
    <row r="1593" spans="1:2" x14ac:dyDescent="0.25">
      <c r="A1593" t="s">
        <v>3581</v>
      </c>
      <c r="B1593" s="102">
        <f>SUMIF(Платежи!B:B,VLOOKUP(A1593,Платежи!B:B,1,0),Платежи!C:C)</f>
        <v>0</v>
      </c>
    </row>
    <row r="1594" spans="1:2" x14ac:dyDescent="0.25">
      <c r="A1594" t="s">
        <v>3582</v>
      </c>
      <c r="B1594" s="102">
        <f>SUMIF(Платежи!B:B,VLOOKUP(A1594,Платежи!B:B,1,0),Платежи!C:C)</f>
        <v>0</v>
      </c>
    </row>
    <row r="1595" spans="1:2" x14ac:dyDescent="0.25">
      <c r="A1595" t="s">
        <v>3137</v>
      </c>
      <c r="B1595" s="102">
        <f>SUMIF(Платежи!B:B,VLOOKUP(A1595,Платежи!B:B,1,0),Платежи!C:C)</f>
        <v>0</v>
      </c>
    </row>
    <row r="1596" spans="1:2" x14ac:dyDescent="0.25">
      <c r="A1596" t="s">
        <v>3583</v>
      </c>
      <c r="B1596" s="102">
        <f>SUMIF(Платежи!B:B,VLOOKUP(A1596,Платежи!B:B,1,0),Платежи!C:C)</f>
        <v>0</v>
      </c>
    </row>
    <row r="1597" spans="1:2" x14ac:dyDescent="0.25">
      <c r="A1597" t="s">
        <v>3584</v>
      </c>
      <c r="B1597" s="102">
        <f>SUMIF(Платежи!B:B,VLOOKUP(A1597,Платежи!B:B,1,0),Платежи!C:C)</f>
        <v>0</v>
      </c>
    </row>
    <row r="1598" spans="1:2" x14ac:dyDescent="0.25">
      <c r="A1598" t="s">
        <v>3585</v>
      </c>
      <c r="B1598" s="102">
        <f>SUMIF(Платежи!B:B,VLOOKUP(A1598,Платежи!B:B,1,0),Платежи!C:C)</f>
        <v>0</v>
      </c>
    </row>
    <row r="1599" spans="1:2" x14ac:dyDescent="0.25">
      <c r="A1599" t="s">
        <v>3138</v>
      </c>
      <c r="B1599" s="102">
        <f>SUMIF(Платежи!B:B,VLOOKUP(A1599,Платежи!B:B,1,0),Платежи!C:C)</f>
        <v>0</v>
      </c>
    </row>
    <row r="1600" spans="1:2" x14ac:dyDescent="0.25">
      <c r="A1600" t="s">
        <v>3586</v>
      </c>
      <c r="B1600" s="102">
        <f>SUMIF(Платежи!B:B,VLOOKUP(A1600,Платежи!B:B,1,0),Платежи!C:C)</f>
        <v>0</v>
      </c>
    </row>
    <row r="1601" spans="1:2" x14ac:dyDescent="0.25">
      <c r="A1601" t="s">
        <v>1415</v>
      </c>
      <c r="B1601" s="102">
        <f>SUMIF(Платежи!B:B,VLOOKUP(A1601,Платежи!B:B,1,0),Платежи!C:C)</f>
        <v>0.12</v>
      </c>
    </row>
    <row r="1602" spans="1:2" x14ac:dyDescent="0.25">
      <c r="A1602" t="s">
        <v>3139</v>
      </c>
      <c r="B1602" s="102">
        <f>SUMIF(Платежи!B:B,VLOOKUP(A1602,Платежи!B:B,1,0),Платежи!C:C)</f>
        <v>0</v>
      </c>
    </row>
    <row r="1603" spans="1:2" x14ac:dyDescent="0.25">
      <c r="A1603" t="s">
        <v>3587</v>
      </c>
      <c r="B1603" s="102">
        <f>SUMIF(Платежи!B:B,VLOOKUP(A1603,Платежи!B:B,1,0),Платежи!C:C)</f>
        <v>0</v>
      </c>
    </row>
    <row r="1604" spans="1:2" x14ac:dyDescent="0.25">
      <c r="A1604" t="s">
        <v>3588</v>
      </c>
      <c r="B1604" s="102">
        <f>SUMIF(Платежи!B:B,VLOOKUP(A1604,Платежи!B:B,1,0),Платежи!C:C)</f>
        <v>0</v>
      </c>
    </row>
    <row r="1605" spans="1:2" x14ac:dyDescent="0.25">
      <c r="A1605" t="s">
        <v>3589</v>
      </c>
      <c r="B1605" s="102">
        <f>SUMIF(Платежи!B:B,VLOOKUP(A1605,Платежи!B:B,1,0),Платежи!C:C)</f>
        <v>0</v>
      </c>
    </row>
    <row r="1606" spans="1:2" x14ac:dyDescent="0.25">
      <c r="A1606" t="s">
        <v>3590</v>
      </c>
      <c r="B1606" s="102">
        <f>SUMIF(Платежи!B:B,VLOOKUP(A1606,Платежи!B:B,1,0),Платежи!C:C)</f>
        <v>0</v>
      </c>
    </row>
    <row r="1607" spans="1:2" x14ac:dyDescent="0.25">
      <c r="A1607" t="s">
        <v>3591</v>
      </c>
      <c r="B1607" s="102">
        <f>SUMIF(Платежи!B:B,VLOOKUP(A1607,Платежи!B:B,1,0),Платежи!C:C)</f>
        <v>0</v>
      </c>
    </row>
    <row r="1608" spans="1:2" x14ac:dyDescent="0.25">
      <c r="A1608" t="s">
        <v>3592</v>
      </c>
      <c r="B1608" s="102">
        <f>SUMIF(Платежи!B:B,VLOOKUP(A1608,Платежи!B:B,1,0),Платежи!C:C)</f>
        <v>0</v>
      </c>
    </row>
    <row r="1609" spans="1:2" x14ac:dyDescent="0.25">
      <c r="A1609" t="s">
        <v>3593</v>
      </c>
      <c r="B1609" s="102">
        <f>SUMIF(Платежи!B:B,VLOOKUP(A1609,Платежи!B:B,1,0),Платежи!C:C)</f>
        <v>10001.82</v>
      </c>
    </row>
    <row r="1610" spans="1:2" x14ac:dyDescent="0.25">
      <c r="A1610" t="s">
        <v>3594</v>
      </c>
      <c r="B1610" s="102">
        <f>SUMIF(Платежи!B:B,VLOOKUP(A1610,Платежи!B:B,1,0),Платежи!C:C)</f>
        <v>0</v>
      </c>
    </row>
    <row r="1611" spans="1:2" x14ac:dyDescent="0.25">
      <c r="A1611" t="s">
        <v>3595</v>
      </c>
      <c r="B1611" s="102">
        <f>SUMIF(Платежи!B:B,VLOOKUP(A1611,Платежи!B:B,1,0),Платежи!C:C)</f>
        <v>0</v>
      </c>
    </row>
    <row r="1612" spans="1:2" x14ac:dyDescent="0.25">
      <c r="A1612" t="s">
        <v>3596</v>
      </c>
      <c r="B1612" s="102">
        <f>SUMIF(Платежи!B:B,VLOOKUP(A1612,Платежи!B:B,1,0),Платежи!C:C)</f>
        <v>0</v>
      </c>
    </row>
    <row r="1613" spans="1:2" x14ac:dyDescent="0.25">
      <c r="A1613" t="s">
        <v>3597</v>
      </c>
      <c r="B1613" s="102">
        <f>SUMIF(Платежи!B:B,VLOOKUP(A1613,Платежи!B:B,1,0),Платежи!C:C)</f>
        <v>0</v>
      </c>
    </row>
    <row r="1614" spans="1:2" x14ac:dyDescent="0.25">
      <c r="A1614" t="s">
        <v>3598</v>
      </c>
      <c r="B1614" s="102">
        <f>SUMIF(Платежи!B:B,VLOOKUP(A1614,Платежи!B:B,1,0),Платежи!C:C)</f>
        <v>0</v>
      </c>
    </row>
    <row r="1615" spans="1:2" x14ac:dyDescent="0.25">
      <c r="A1615" t="s">
        <v>3140</v>
      </c>
      <c r="B1615" s="102">
        <f>SUMIF(Платежи!B:B,VLOOKUP(A1615,Платежи!B:B,1,0),Платежи!C:C)</f>
        <v>0</v>
      </c>
    </row>
    <row r="1616" spans="1:2" x14ac:dyDescent="0.25">
      <c r="A1616" t="s">
        <v>3599</v>
      </c>
      <c r="B1616" s="102">
        <f>SUMIF(Платежи!B:B,VLOOKUP(A1616,Платежи!B:B,1,0),Платежи!C:C)</f>
        <v>0</v>
      </c>
    </row>
    <row r="1617" spans="1:2" x14ac:dyDescent="0.25">
      <c r="A1617" t="s">
        <v>3600</v>
      </c>
      <c r="B1617" s="102">
        <f>SUMIF(Платежи!B:B,VLOOKUP(A1617,Платежи!B:B,1,0),Платежи!C:C)</f>
        <v>0</v>
      </c>
    </row>
    <row r="1618" spans="1:2" x14ac:dyDescent="0.25">
      <c r="A1618" t="s">
        <v>3601</v>
      </c>
      <c r="B1618" s="102">
        <f>SUMIF(Платежи!B:B,VLOOKUP(A1618,Платежи!B:B,1,0),Платежи!C:C)</f>
        <v>0</v>
      </c>
    </row>
    <row r="1619" spans="1:2" x14ac:dyDescent="0.25">
      <c r="A1619" t="s">
        <v>3602</v>
      </c>
      <c r="B1619" s="102">
        <f>SUMIF(Платежи!B:B,VLOOKUP(A1619,Платежи!B:B,1,0),Платежи!C:C)</f>
        <v>0</v>
      </c>
    </row>
    <row r="1620" spans="1:2" x14ac:dyDescent="0.25">
      <c r="A1620" t="s">
        <v>3603</v>
      </c>
      <c r="B1620" s="102">
        <f>SUMIF(Платежи!B:B,VLOOKUP(A1620,Платежи!B:B,1,0),Платежи!C:C)</f>
        <v>0</v>
      </c>
    </row>
    <row r="1621" spans="1:2" x14ac:dyDescent="0.25">
      <c r="A1621" t="s">
        <v>3141</v>
      </c>
      <c r="B1621" s="102">
        <f>SUMIF(Платежи!B:B,VLOOKUP(A1621,Платежи!B:B,1,0),Платежи!C:C)</f>
        <v>0</v>
      </c>
    </row>
    <row r="1622" spans="1:2" x14ac:dyDescent="0.25">
      <c r="A1622" t="s">
        <v>3604</v>
      </c>
      <c r="B1622" s="102">
        <f>SUMIF(Платежи!B:B,VLOOKUP(A1622,Платежи!B:B,1,0),Платежи!C:C)</f>
        <v>0</v>
      </c>
    </row>
    <row r="1623" spans="1:2" x14ac:dyDescent="0.25">
      <c r="A1623" t="s">
        <v>3605</v>
      </c>
      <c r="B1623" s="102">
        <f>SUMIF(Платежи!B:B,VLOOKUP(A1623,Платежи!B:B,1,0),Платежи!C:C)</f>
        <v>0</v>
      </c>
    </row>
    <row r="1624" spans="1:2" x14ac:dyDescent="0.25">
      <c r="A1624" t="s">
        <v>3606</v>
      </c>
      <c r="B1624" s="102">
        <f>SUMIF(Платежи!B:B,VLOOKUP(A1624,Платежи!B:B,1,0),Платежи!C:C)</f>
        <v>0</v>
      </c>
    </row>
    <row r="1625" spans="1:2" x14ac:dyDescent="0.25">
      <c r="A1625" t="s">
        <v>3607</v>
      </c>
      <c r="B1625" s="102">
        <f>SUMIF(Платежи!B:B,VLOOKUP(A1625,Платежи!B:B,1,0),Платежи!C:C)</f>
        <v>0</v>
      </c>
    </row>
    <row r="1626" spans="1:2" x14ac:dyDescent="0.25">
      <c r="A1626" t="s">
        <v>3608</v>
      </c>
      <c r="B1626" s="102">
        <f>SUMIF(Платежи!B:B,VLOOKUP(A1626,Платежи!B:B,1,0),Платежи!C:C)</f>
        <v>0</v>
      </c>
    </row>
    <row r="1627" spans="1:2" x14ac:dyDescent="0.25">
      <c r="A1627" t="s">
        <v>3609</v>
      </c>
      <c r="B1627" s="102">
        <f>SUMIF(Платежи!B:B,VLOOKUP(A1627,Платежи!B:B,1,0),Платежи!C:C)</f>
        <v>0</v>
      </c>
    </row>
    <row r="1628" spans="1:2" x14ac:dyDescent="0.25">
      <c r="A1628" t="s">
        <v>3610</v>
      </c>
      <c r="B1628" s="102">
        <f>SUMIF(Платежи!B:B,VLOOKUP(A1628,Платежи!B:B,1,0),Платежи!C:C)</f>
        <v>0</v>
      </c>
    </row>
    <row r="1629" spans="1:2" x14ac:dyDescent="0.25">
      <c r="A1629" t="s">
        <v>923</v>
      </c>
      <c r="B1629" s="102">
        <f>SUMIF(Платежи!B:B,VLOOKUP(A1629,Платежи!B:B,1,0),Платежи!C:C)</f>
        <v>0</v>
      </c>
    </row>
    <row r="1630" spans="1:2" x14ac:dyDescent="0.25">
      <c r="A1630" t="s">
        <v>3142</v>
      </c>
      <c r="B1630" s="102">
        <f>SUMIF(Платежи!B:B,VLOOKUP(A1630,Платежи!B:B,1,0),Платежи!C:C)</f>
        <v>0</v>
      </c>
    </row>
    <row r="1631" spans="1:2" x14ac:dyDescent="0.25">
      <c r="A1631" t="s">
        <v>3143</v>
      </c>
      <c r="B1631" s="102">
        <f>SUMIF(Платежи!B:B,VLOOKUP(A1631,Платежи!B:B,1,0),Платежи!C:C)</f>
        <v>0</v>
      </c>
    </row>
    <row r="1632" spans="1:2" x14ac:dyDescent="0.25">
      <c r="A1632" t="s">
        <v>3144</v>
      </c>
      <c r="B1632" s="102">
        <f>SUMIF(Платежи!B:B,VLOOKUP(A1632,Платежи!B:B,1,0),Платежи!C:C)</f>
        <v>0</v>
      </c>
    </row>
    <row r="1633" spans="1:2" x14ac:dyDescent="0.25">
      <c r="A1633" t="s">
        <v>3611</v>
      </c>
      <c r="B1633" s="102">
        <f>SUMIF(Платежи!B:B,VLOOKUP(A1633,Платежи!B:B,1,0),Платежи!C:C)</f>
        <v>0</v>
      </c>
    </row>
    <row r="1634" spans="1:2" x14ac:dyDescent="0.25">
      <c r="A1634" t="s">
        <v>3145</v>
      </c>
      <c r="B1634" s="102">
        <f>SUMIF(Платежи!B:B,VLOOKUP(A1634,Платежи!B:B,1,0),Платежи!C:C)</f>
        <v>0</v>
      </c>
    </row>
    <row r="1635" spans="1:2" x14ac:dyDescent="0.25">
      <c r="A1635" t="s">
        <v>3612</v>
      </c>
      <c r="B1635" s="102">
        <f>SUMIF(Платежи!B:B,VLOOKUP(A1635,Платежи!B:B,1,0),Платежи!C:C)</f>
        <v>0</v>
      </c>
    </row>
    <row r="1636" spans="1:2" x14ac:dyDescent="0.25">
      <c r="A1636" t="s">
        <v>3613</v>
      </c>
      <c r="B1636" s="102">
        <f>SUMIF(Платежи!B:B,VLOOKUP(A1636,Платежи!B:B,1,0),Платежи!C:C)</f>
        <v>0</v>
      </c>
    </row>
    <row r="1637" spans="1:2" x14ac:dyDescent="0.25">
      <c r="A1637" t="s">
        <v>3614</v>
      </c>
      <c r="B1637" s="102">
        <f>SUMIF(Платежи!B:B,VLOOKUP(A1637,Платежи!B:B,1,0),Платежи!C:C)</f>
        <v>0</v>
      </c>
    </row>
    <row r="1638" spans="1:2" x14ac:dyDescent="0.25">
      <c r="A1638" t="s">
        <v>3146</v>
      </c>
      <c r="B1638" s="102">
        <f>SUMIF(Платежи!B:B,VLOOKUP(A1638,Платежи!B:B,1,0),Платежи!C:C)</f>
        <v>0</v>
      </c>
    </row>
    <row r="1639" spans="1:2" x14ac:dyDescent="0.25">
      <c r="A1639" t="s">
        <v>3615</v>
      </c>
      <c r="B1639" s="102">
        <f>SUMIF(Платежи!B:B,VLOOKUP(A1639,Платежи!B:B,1,0),Платежи!C:C)</f>
        <v>0</v>
      </c>
    </row>
    <row r="1640" spans="1:2" x14ac:dyDescent="0.25">
      <c r="A1640" t="s">
        <v>3616</v>
      </c>
      <c r="B1640" s="102">
        <f>SUMIF(Платежи!B:B,VLOOKUP(A1640,Платежи!B:B,1,0),Платежи!C:C)</f>
        <v>0</v>
      </c>
    </row>
    <row r="1641" spans="1:2" x14ac:dyDescent="0.25">
      <c r="A1641" t="s">
        <v>3617</v>
      </c>
      <c r="B1641" s="102">
        <f>SUMIF(Платежи!B:B,VLOOKUP(A1641,Платежи!B:B,1,0),Платежи!C:C)</f>
        <v>0</v>
      </c>
    </row>
    <row r="1642" spans="1:2" x14ac:dyDescent="0.25">
      <c r="A1642" t="s">
        <v>3147</v>
      </c>
      <c r="B1642" s="102">
        <f>SUMIF(Платежи!B:B,VLOOKUP(A1642,Платежи!B:B,1,0),Платежи!C:C)</f>
        <v>0</v>
      </c>
    </row>
    <row r="1643" spans="1:2" x14ac:dyDescent="0.25">
      <c r="A1643" t="s">
        <v>3618</v>
      </c>
      <c r="B1643" s="102">
        <f>SUMIF(Платежи!B:B,VLOOKUP(A1643,Платежи!B:B,1,0),Платежи!C:C)</f>
        <v>0</v>
      </c>
    </row>
    <row r="1644" spans="1:2" x14ac:dyDescent="0.25">
      <c r="A1644" t="s">
        <v>3619</v>
      </c>
      <c r="B1644" s="102">
        <f>SUMIF(Платежи!B:B,VLOOKUP(A1644,Платежи!B:B,1,0),Платежи!C:C)</f>
        <v>0</v>
      </c>
    </row>
    <row r="1645" spans="1:2" x14ac:dyDescent="0.25">
      <c r="A1645" t="s">
        <v>3620</v>
      </c>
      <c r="B1645" s="102">
        <f>SUMIF(Платежи!B:B,VLOOKUP(A1645,Платежи!B:B,1,0),Платежи!C:C)</f>
        <v>0</v>
      </c>
    </row>
    <row r="1646" spans="1:2" x14ac:dyDescent="0.25">
      <c r="A1646" t="s">
        <v>3621</v>
      </c>
      <c r="B1646" s="102">
        <f>SUMIF(Платежи!B:B,VLOOKUP(A1646,Платежи!B:B,1,0),Платежи!C:C)</f>
        <v>0</v>
      </c>
    </row>
    <row r="1647" spans="1:2" x14ac:dyDescent="0.25">
      <c r="A1647" t="s">
        <v>3622</v>
      </c>
      <c r="B1647" s="102">
        <f>SUMIF(Платежи!B:B,VLOOKUP(A1647,Платежи!B:B,1,0),Платежи!C:C)</f>
        <v>0</v>
      </c>
    </row>
    <row r="1648" spans="1:2" x14ac:dyDescent="0.25">
      <c r="A1648" t="s">
        <v>3623</v>
      </c>
      <c r="B1648" s="102">
        <f>SUMIF(Платежи!B:B,VLOOKUP(A1648,Платежи!B:B,1,0),Платежи!C:C)</f>
        <v>0</v>
      </c>
    </row>
    <row r="1649" spans="1:2" x14ac:dyDescent="0.25">
      <c r="A1649" t="s">
        <v>3624</v>
      </c>
      <c r="B1649" s="102">
        <f>SUMIF(Платежи!B:B,VLOOKUP(A1649,Платежи!B:B,1,0),Платежи!C:C)</f>
        <v>0</v>
      </c>
    </row>
    <row r="1650" spans="1:2" x14ac:dyDescent="0.25">
      <c r="A1650" t="s">
        <v>3625</v>
      </c>
      <c r="B1650" s="102">
        <f>SUMIF(Платежи!B:B,VLOOKUP(A1650,Платежи!B:B,1,0),Платежи!C:C)</f>
        <v>0</v>
      </c>
    </row>
    <row r="1651" spans="1:2" x14ac:dyDescent="0.25">
      <c r="A1651" t="s">
        <v>3148</v>
      </c>
      <c r="B1651" s="102">
        <f>SUMIF(Платежи!B:B,VLOOKUP(A1651,Платежи!B:B,1,0),Платежи!C:C)</f>
        <v>0</v>
      </c>
    </row>
    <row r="1652" spans="1:2" x14ac:dyDescent="0.25">
      <c r="A1652" t="s">
        <v>3626</v>
      </c>
      <c r="B1652" s="102">
        <f>SUMIF(Платежи!B:B,VLOOKUP(A1652,Платежи!B:B,1,0),Платежи!C:C)</f>
        <v>0</v>
      </c>
    </row>
    <row r="1653" spans="1:2" x14ac:dyDescent="0.25">
      <c r="A1653" t="s">
        <v>3627</v>
      </c>
      <c r="B1653" s="102">
        <f>SUMIF(Платежи!B:B,VLOOKUP(A1653,Платежи!B:B,1,0),Платежи!C:C)</f>
        <v>0</v>
      </c>
    </row>
    <row r="1654" spans="1:2" x14ac:dyDescent="0.25">
      <c r="A1654" t="s">
        <v>3628</v>
      </c>
      <c r="B1654" s="102">
        <f>SUMIF(Платежи!B:B,VLOOKUP(A1654,Платежи!B:B,1,0),Платежи!C:C)</f>
        <v>0</v>
      </c>
    </row>
    <row r="1655" spans="1:2" x14ac:dyDescent="0.25">
      <c r="A1655" t="s">
        <v>3629</v>
      </c>
      <c r="B1655" s="102">
        <f>SUMIF(Платежи!B:B,VLOOKUP(A1655,Платежи!B:B,1,0),Платежи!C:C)</f>
        <v>0</v>
      </c>
    </row>
    <row r="1656" spans="1:2" x14ac:dyDescent="0.25">
      <c r="A1656" t="s">
        <v>3630</v>
      </c>
      <c r="B1656" s="102">
        <f>SUMIF(Платежи!B:B,VLOOKUP(A1656,Платежи!B:B,1,0),Платежи!C:C)</f>
        <v>0</v>
      </c>
    </row>
    <row r="1657" spans="1:2" x14ac:dyDescent="0.25">
      <c r="A1657" t="s">
        <v>1239</v>
      </c>
      <c r="B1657" s="102">
        <f>SUMIF(Платежи!B:B,VLOOKUP(A1657,Платежи!B:B,1,0),Платежи!C:C)</f>
        <v>0</v>
      </c>
    </row>
    <row r="1658" spans="1:2" x14ac:dyDescent="0.25">
      <c r="A1658" t="s">
        <v>3149</v>
      </c>
      <c r="B1658" s="102">
        <f>SUMIF(Платежи!B:B,VLOOKUP(A1658,Платежи!B:B,1,0),Платежи!C:C)</f>
        <v>0</v>
      </c>
    </row>
    <row r="1659" spans="1:2" x14ac:dyDescent="0.25">
      <c r="A1659" t="s">
        <v>3631</v>
      </c>
      <c r="B1659" s="102">
        <f>SUMIF(Платежи!B:B,VLOOKUP(A1659,Платежи!B:B,1,0),Платежи!C:C)</f>
        <v>0</v>
      </c>
    </row>
    <row r="1660" spans="1:2" x14ac:dyDescent="0.25">
      <c r="A1660" t="s">
        <v>3632</v>
      </c>
      <c r="B1660" s="102">
        <f>SUMIF(Платежи!B:B,VLOOKUP(A1660,Платежи!B:B,1,0),Платежи!C:C)</f>
        <v>0</v>
      </c>
    </row>
    <row r="1661" spans="1:2" x14ac:dyDescent="0.25">
      <c r="A1661" t="s">
        <v>3633</v>
      </c>
      <c r="B1661" s="102">
        <f>SUMIF(Платежи!B:B,VLOOKUP(A1661,Платежи!B:B,1,0),Платежи!C:C)</f>
        <v>0</v>
      </c>
    </row>
    <row r="1662" spans="1:2" x14ac:dyDescent="0.25">
      <c r="A1662" t="s">
        <v>3634</v>
      </c>
      <c r="B1662" s="102">
        <f>SUMIF(Платежи!B:B,VLOOKUP(A1662,Платежи!B:B,1,0),Платежи!C:C)</f>
        <v>0</v>
      </c>
    </row>
    <row r="1663" spans="1:2" x14ac:dyDescent="0.25">
      <c r="A1663" t="s">
        <v>3635</v>
      </c>
      <c r="B1663" s="102">
        <f>SUMIF(Платежи!B:B,VLOOKUP(A1663,Платежи!B:B,1,0),Платежи!C:C)</f>
        <v>0</v>
      </c>
    </row>
    <row r="1664" spans="1:2" x14ac:dyDescent="0.25">
      <c r="A1664" t="s">
        <v>3636</v>
      </c>
      <c r="B1664" s="102">
        <f>SUMIF(Платежи!B:B,VLOOKUP(A1664,Платежи!B:B,1,0),Платежи!C:C)</f>
        <v>0</v>
      </c>
    </row>
    <row r="1665" spans="1:2" x14ac:dyDescent="0.25">
      <c r="A1665" t="s">
        <v>3637</v>
      </c>
      <c r="B1665" s="102">
        <f>SUMIF(Платежи!B:B,VLOOKUP(A1665,Платежи!B:B,1,0),Платежи!C:C)</f>
        <v>0</v>
      </c>
    </row>
    <row r="1666" spans="1:2" x14ac:dyDescent="0.25">
      <c r="A1666" t="s">
        <v>3638</v>
      </c>
      <c r="B1666" s="102">
        <f>SUMIF(Платежи!B:B,VLOOKUP(A1666,Платежи!B:B,1,0),Платежи!C:C)</f>
        <v>0</v>
      </c>
    </row>
    <row r="1667" spans="1:2" x14ac:dyDescent="0.25">
      <c r="A1667" t="s">
        <v>3639</v>
      </c>
      <c r="B1667" s="102">
        <f>SUMIF(Платежи!B:B,VLOOKUP(A1667,Платежи!B:B,1,0),Платежи!C:C)</f>
        <v>0</v>
      </c>
    </row>
    <row r="1668" spans="1:2" x14ac:dyDescent="0.25">
      <c r="A1668" t="s">
        <v>3640</v>
      </c>
      <c r="B1668" s="102">
        <f>SUMIF(Платежи!B:B,VLOOKUP(A1668,Платежи!B:B,1,0),Платежи!C:C)</f>
        <v>0</v>
      </c>
    </row>
    <row r="1669" spans="1:2" x14ac:dyDescent="0.25">
      <c r="A1669" t="s">
        <v>3641</v>
      </c>
      <c r="B1669" s="102">
        <f>SUMIF(Платежи!B:B,VLOOKUP(A1669,Платежи!B:B,1,0),Платежи!C:C)</f>
        <v>0</v>
      </c>
    </row>
    <row r="1670" spans="1:2" x14ac:dyDescent="0.25">
      <c r="A1670" t="s">
        <v>3150</v>
      </c>
      <c r="B1670" s="102">
        <f>SUMIF(Платежи!B:B,VLOOKUP(A1670,Платежи!B:B,1,0),Платежи!C:C)</f>
        <v>0</v>
      </c>
    </row>
    <row r="1671" spans="1:2" x14ac:dyDescent="0.25">
      <c r="A1671" t="s">
        <v>3151</v>
      </c>
      <c r="B1671" s="102">
        <f>SUMIF(Платежи!B:B,VLOOKUP(A1671,Платежи!B:B,1,0),Платежи!C:C)</f>
        <v>0</v>
      </c>
    </row>
    <row r="1672" spans="1:2" x14ac:dyDescent="0.25">
      <c r="A1672" t="s">
        <v>3152</v>
      </c>
      <c r="B1672" s="102">
        <f>SUMIF(Платежи!B:B,VLOOKUP(A1672,Платежи!B:B,1,0),Платежи!C:C)</f>
        <v>0</v>
      </c>
    </row>
    <row r="1673" spans="1:2" x14ac:dyDescent="0.25">
      <c r="A1673" t="s">
        <v>3642</v>
      </c>
      <c r="B1673" s="102">
        <f>SUMIF(Платежи!B:B,VLOOKUP(A1673,Платежи!B:B,1,0),Платежи!C:C)</f>
        <v>0</v>
      </c>
    </row>
    <row r="1674" spans="1:2" x14ac:dyDescent="0.25">
      <c r="A1674" t="s">
        <v>3643</v>
      </c>
      <c r="B1674" s="102">
        <f>SUMIF(Платежи!B:B,VLOOKUP(A1674,Платежи!B:B,1,0),Платежи!C:C)</f>
        <v>0</v>
      </c>
    </row>
    <row r="1675" spans="1:2" x14ac:dyDescent="0.25">
      <c r="A1675" t="s">
        <v>3153</v>
      </c>
      <c r="B1675" s="102">
        <f>SUMIF(Платежи!B:B,VLOOKUP(A1675,Платежи!B:B,1,0),Платежи!C:C)</f>
        <v>0</v>
      </c>
    </row>
    <row r="1676" spans="1:2" x14ac:dyDescent="0.25">
      <c r="A1676" t="s">
        <v>3644</v>
      </c>
      <c r="B1676" s="102">
        <f>SUMIF(Платежи!B:B,VLOOKUP(A1676,Платежи!B:B,1,0),Платежи!C:C)</f>
        <v>0</v>
      </c>
    </row>
    <row r="1677" spans="1:2" x14ac:dyDescent="0.25">
      <c r="A1677" t="s">
        <v>3645</v>
      </c>
      <c r="B1677" s="102">
        <f>SUMIF(Платежи!B:B,VLOOKUP(A1677,Платежи!B:B,1,0),Платежи!C:C)</f>
        <v>0</v>
      </c>
    </row>
    <row r="1678" spans="1:2" x14ac:dyDescent="0.25">
      <c r="A1678" t="s">
        <v>3646</v>
      </c>
      <c r="B1678" s="102">
        <f>SUMIF(Платежи!B:B,VLOOKUP(A1678,Платежи!B:B,1,0),Платежи!C:C)</f>
        <v>0</v>
      </c>
    </row>
    <row r="1679" spans="1:2" x14ac:dyDescent="0.25">
      <c r="A1679" t="s">
        <v>3647</v>
      </c>
      <c r="B1679" s="102">
        <f>SUMIF(Платежи!B:B,VLOOKUP(A1679,Платежи!B:B,1,0),Платежи!C:C)</f>
        <v>0</v>
      </c>
    </row>
    <row r="1680" spans="1:2" x14ac:dyDescent="0.25">
      <c r="A1680" t="s">
        <v>3648</v>
      </c>
      <c r="B1680" s="102">
        <f>SUMIF(Платежи!B:B,VLOOKUP(A1680,Платежи!B:B,1,0),Платежи!C:C)</f>
        <v>0</v>
      </c>
    </row>
    <row r="1681" spans="1:2" x14ac:dyDescent="0.25">
      <c r="A1681" t="s">
        <v>3649</v>
      </c>
      <c r="B1681" s="102">
        <f>SUMIF(Платежи!B:B,VLOOKUP(A1681,Платежи!B:B,1,0),Платежи!C:C)</f>
        <v>0</v>
      </c>
    </row>
    <row r="1682" spans="1:2" x14ac:dyDescent="0.25">
      <c r="A1682" t="s">
        <v>3650</v>
      </c>
      <c r="B1682" s="102">
        <f>SUMIF(Платежи!B:B,VLOOKUP(A1682,Платежи!B:B,1,0),Платежи!C:C)</f>
        <v>0</v>
      </c>
    </row>
    <row r="1683" spans="1:2" x14ac:dyDescent="0.25">
      <c r="A1683" t="s">
        <v>3651</v>
      </c>
      <c r="B1683" s="102">
        <f>SUMIF(Платежи!B:B,VLOOKUP(A1683,Платежи!B:B,1,0),Платежи!C:C)</f>
        <v>0</v>
      </c>
    </row>
    <row r="1684" spans="1:2" x14ac:dyDescent="0.25">
      <c r="A1684" t="s">
        <v>3652</v>
      </c>
      <c r="B1684" s="102">
        <f>SUMIF(Платежи!B:B,VLOOKUP(A1684,Платежи!B:B,1,0),Платежи!C:C)</f>
        <v>0</v>
      </c>
    </row>
    <row r="1685" spans="1:2" x14ac:dyDescent="0.25">
      <c r="A1685" t="s">
        <v>3653</v>
      </c>
      <c r="B1685" s="102">
        <f>SUMIF(Платежи!B:B,VLOOKUP(A1685,Платежи!B:B,1,0),Платежи!C:C)</f>
        <v>0</v>
      </c>
    </row>
    <row r="1686" spans="1:2" x14ac:dyDescent="0.25">
      <c r="A1686" t="s">
        <v>3654</v>
      </c>
      <c r="B1686" s="102">
        <f>SUMIF(Платежи!B:B,VLOOKUP(A1686,Платежи!B:B,1,0),Платежи!C:C)</f>
        <v>0</v>
      </c>
    </row>
    <row r="1687" spans="1:2" x14ac:dyDescent="0.25">
      <c r="A1687" t="s">
        <v>3655</v>
      </c>
      <c r="B1687" s="102">
        <f>SUMIF(Платежи!B:B,VLOOKUP(A1687,Платежи!B:B,1,0),Платежи!C:C)</f>
        <v>0</v>
      </c>
    </row>
    <row r="1688" spans="1:2" x14ac:dyDescent="0.25">
      <c r="A1688" t="s">
        <v>3656</v>
      </c>
      <c r="B1688" s="102">
        <f>SUMIF(Платежи!B:B,VLOOKUP(A1688,Платежи!B:B,1,0),Платежи!C:C)</f>
        <v>0</v>
      </c>
    </row>
    <row r="1689" spans="1:2" x14ac:dyDescent="0.25">
      <c r="A1689" t="s">
        <v>3657</v>
      </c>
      <c r="B1689" s="102">
        <f>SUMIF(Платежи!B:B,VLOOKUP(A1689,Платежи!B:B,1,0),Платежи!C:C)</f>
        <v>0</v>
      </c>
    </row>
    <row r="1690" spans="1:2" x14ac:dyDescent="0.25">
      <c r="A1690" t="s">
        <v>3154</v>
      </c>
      <c r="B1690" s="102">
        <f>SUMIF(Платежи!B:B,VLOOKUP(A1690,Платежи!B:B,1,0),Платежи!C:C)</f>
        <v>0</v>
      </c>
    </row>
    <row r="1691" spans="1:2" x14ac:dyDescent="0.25">
      <c r="A1691" t="s">
        <v>3658</v>
      </c>
      <c r="B1691" s="102">
        <f>SUMIF(Платежи!B:B,VLOOKUP(A1691,Платежи!B:B,1,0),Платежи!C:C)</f>
        <v>0</v>
      </c>
    </row>
    <row r="1692" spans="1:2" x14ac:dyDescent="0.25">
      <c r="A1692" t="s">
        <v>3659</v>
      </c>
      <c r="B1692" s="102">
        <f>SUMIF(Платежи!B:B,VLOOKUP(A1692,Платежи!B:B,1,0),Платежи!C:C)</f>
        <v>0</v>
      </c>
    </row>
    <row r="1693" spans="1:2" x14ac:dyDescent="0.25">
      <c r="A1693" t="s">
        <v>3660</v>
      </c>
      <c r="B1693" s="102">
        <f>SUMIF(Платежи!B:B,VLOOKUP(A1693,Платежи!B:B,1,0),Платежи!C:C)</f>
        <v>0</v>
      </c>
    </row>
    <row r="1694" spans="1:2" x14ac:dyDescent="0.25">
      <c r="A1694" t="s">
        <v>3661</v>
      </c>
      <c r="B1694" s="102">
        <f>SUMIF(Платежи!B:B,VLOOKUP(A1694,Платежи!B:B,1,0),Платежи!C:C)</f>
        <v>0</v>
      </c>
    </row>
    <row r="1695" spans="1:2" x14ac:dyDescent="0.25">
      <c r="A1695" t="s">
        <v>3662</v>
      </c>
      <c r="B1695" s="102">
        <f>SUMIF(Платежи!B:B,VLOOKUP(A1695,Платежи!B:B,1,0),Платежи!C:C)</f>
        <v>0</v>
      </c>
    </row>
    <row r="1696" spans="1:2" x14ac:dyDescent="0.25">
      <c r="A1696" t="s">
        <v>3155</v>
      </c>
      <c r="B1696" s="102">
        <f>SUMIF(Платежи!B:B,VLOOKUP(A1696,Платежи!B:B,1,0),Платежи!C:C)</f>
        <v>0</v>
      </c>
    </row>
    <row r="1697" spans="1:2" x14ac:dyDescent="0.25">
      <c r="A1697" t="s">
        <v>3663</v>
      </c>
      <c r="B1697" s="102">
        <f>SUMIF(Платежи!B:B,VLOOKUP(A1697,Платежи!B:B,1,0),Платежи!C:C)</f>
        <v>0</v>
      </c>
    </row>
    <row r="1698" spans="1:2" x14ac:dyDescent="0.25">
      <c r="A1698" t="s">
        <v>3664</v>
      </c>
      <c r="B1698" s="102">
        <f>SUMIF(Платежи!B:B,VLOOKUP(A1698,Платежи!B:B,1,0),Платежи!C:C)</f>
        <v>0</v>
      </c>
    </row>
    <row r="1699" spans="1:2" x14ac:dyDescent="0.25">
      <c r="A1699" t="s">
        <v>3665</v>
      </c>
      <c r="B1699" s="102">
        <f>SUMIF(Платежи!B:B,VLOOKUP(A1699,Платежи!B:B,1,0),Платежи!C:C)</f>
        <v>0</v>
      </c>
    </row>
    <row r="1700" spans="1:2" x14ac:dyDescent="0.25">
      <c r="A1700" t="s">
        <v>3156</v>
      </c>
      <c r="B1700" s="102">
        <f>SUMIF(Платежи!B:B,VLOOKUP(A1700,Платежи!B:B,1,0),Платежи!C:C)</f>
        <v>0</v>
      </c>
    </row>
    <row r="1701" spans="1:2" x14ac:dyDescent="0.25">
      <c r="A1701" t="s">
        <v>3666</v>
      </c>
      <c r="B1701" s="102">
        <f>SUMIF(Платежи!B:B,VLOOKUP(A1701,Платежи!B:B,1,0),Платежи!C:C)</f>
        <v>0</v>
      </c>
    </row>
    <row r="1702" spans="1:2" x14ac:dyDescent="0.25">
      <c r="A1702" t="s">
        <v>3667</v>
      </c>
      <c r="B1702" s="102">
        <f>SUMIF(Платежи!B:B,VLOOKUP(A1702,Платежи!B:B,1,0),Платежи!C:C)</f>
        <v>0</v>
      </c>
    </row>
    <row r="1703" spans="1:2" x14ac:dyDescent="0.25">
      <c r="A1703" t="s">
        <v>3668</v>
      </c>
      <c r="B1703" s="102">
        <f>SUMIF(Платежи!B:B,VLOOKUP(A1703,Платежи!B:B,1,0),Платежи!C:C)</f>
        <v>0</v>
      </c>
    </row>
    <row r="1704" spans="1:2" x14ac:dyDescent="0.25">
      <c r="A1704" t="s">
        <v>3669</v>
      </c>
      <c r="B1704" s="102">
        <f>SUMIF(Платежи!B:B,VLOOKUP(A1704,Платежи!B:B,1,0),Платежи!C:C)</f>
        <v>0</v>
      </c>
    </row>
    <row r="1705" spans="1:2" x14ac:dyDescent="0.25">
      <c r="A1705" t="s">
        <v>3670</v>
      </c>
      <c r="B1705" s="102">
        <f>SUMIF(Платежи!B:B,VLOOKUP(A1705,Платежи!B:B,1,0),Платежи!C:C)</f>
        <v>0</v>
      </c>
    </row>
    <row r="1706" spans="1:2" x14ac:dyDescent="0.25">
      <c r="A1706" t="s">
        <v>3671</v>
      </c>
      <c r="B1706" s="102">
        <f>SUMIF(Платежи!B:B,VLOOKUP(A1706,Платежи!B:B,1,0),Платежи!C:C)</f>
        <v>0</v>
      </c>
    </row>
    <row r="1707" spans="1:2" x14ac:dyDescent="0.25">
      <c r="A1707" t="s">
        <v>3672</v>
      </c>
      <c r="B1707" s="102">
        <f>SUMIF(Платежи!B:B,VLOOKUP(A1707,Платежи!B:B,1,0),Платежи!C:C)</f>
        <v>0</v>
      </c>
    </row>
    <row r="1708" spans="1:2" x14ac:dyDescent="0.25">
      <c r="A1708" t="s">
        <v>3673</v>
      </c>
      <c r="B1708" s="102">
        <f>SUMIF(Платежи!B:B,VLOOKUP(A1708,Платежи!B:B,1,0),Платежи!C:C)</f>
        <v>0</v>
      </c>
    </row>
    <row r="1709" spans="1:2" x14ac:dyDescent="0.25">
      <c r="A1709" t="s">
        <v>3674</v>
      </c>
      <c r="B1709" s="102">
        <f>SUMIF(Платежи!B:B,VLOOKUP(A1709,Платежи!B:B,1,0),Платежи!C:C)</f>
        <v>0</v>
      </c>
    </row>
    <row r="1710" spans="1:2" x14ac:dyDescent="0.25">
      <c r="A1710" t="s">
        <v>3675</v>
      </c>
      <c r="B1710" s="102">
        <f>SUMIF(Платежи!B:B,VLOOKUP(A1710,Платежи!B:B,1,0),Платежи!C:C)</f>
        <v>0</v>
      </c>
    </row>
    <row r="1711" spans="1:2" x14ac:dyDescent="0.25">
      <c r="A1711" t="s">
        <v>3676</v>
      </c>
      <c r="B1711" s="102">
        <f>SUMIF(Платежи!B:B,VLOOKUP(A1711,Платежи!B:B,1,0),Платежи!C:C)</f>
        <v>0</v>
      </c>
    </row>
    <row r="1712" spans="1:2" x14ac:dyDescent="0.25">
      <c r="A1712" t="s">
        <v>3677</v>
      </c>
      <c r="B1712" s="102">
        <f>SUMIF(Платежи!B:B,VLOOKUP(A1712,Платежи!B:B,1,0),Платежи!C:C)</f>
        <v>0</v>
      </c>
    </row>
    <row r="1713" spans="1:2" x14ac:dyDescent="0.25">
      <c r="A1713" t="s">
        <v>3678</v>
      </c>
      <c r="B1713" s="102">
        <f>SUMIF(Платежи!B:B,VLOOKUP(A1713,Платежи!B:B,1,0),Платежи!C:C)</f>
        <v>0</v>
      </c>
    </row>
    <row r="1714" spans="1:2" x14ac:dyDescent="0.25">
      <c r="A1714" t="s">
        <v>3679</v>
      </c>
      <c r="B1714" s="102">
        <f>SUMIF(Платежи!B:B,VLOOKUP(A1714,Платежи!B:B,1,0),Платежи!C:C)</f>
        <v>0</v>
      </c>
    </row>
    <row r="1715" spans="1:2" x14ac:dyDescent="0.25">
      <c r="A1715" t="s">
        <v>3680</v>
      </c>
      <c r="B1715" s="102">
        <f>SUMIF(Платежи!B:B,VLOOKUP(A1715,Платежи!B:B,1,0),Платежи!C:C)</f>
        <v>0</v>
      </c>
    </row>
    <row r="1716" spans="1:2" x14ac:dyDescent="0.25">
      <c r="A1716" t="s">
        <v>3681</v>
      </c>
      <c r="B1716" s="102">
        <f>SUMIF(Платежи!B:B,VLOOKUP(A1716,Платежи!B:B,1,0),Платежи!C:C)</f>
        <v>0</v>
      </c>
    </row>
    <row r="1717" spans="1:2" x14ac:dyDescent="0.25">
      <c r="A1717" t="s">
        <v>3682</v>
      </c>
      <c r="B1717" s="102">
        <f>SUMIF(Платежи!B:B,VLOOKUP(A1717,Платежи!B:B,1,0),Платежи!C:C)</f>
        <v>71216.5</v>
      </c>
    </row>
    <row r="1718" spans="1:2" x14ac:dyDescent="0.25">
      <c r="A1718" t="s">
        <v>3683</v>
      </c>
      <c r="B1718" s="102">
        <f>SUMIF(Платежи!B:B,VLOOKUP(A1718,Платежи!B:B,1,0),Платежи!C:C)</f>
        <v>0</v>
      </c>
    </row>
    <row r="1719" spans="1:2" x14ac:dyDescent="0.25">
      <c r="A1719" t="s">
        <v>3157</v>
      </c>
      <c r="B1719" s="102">
        <f>SUMIF(Платежи!B:B,VLOOKUP(A1719,Платежи!B:B,1,0),Платежи!C:C)</f>
        <v>0</v>
      </c>
    </row>
    <row r="1720" spans="1:2" x14ac:dyDescent="0.25">
      <c r="A1720" t="s">
        <v>3158</v>
      </c>
      <c r="B1720" s="102">
        <f>SUMIF(Платежи!B:B,VLOOKUP(A1720,Платежи!B:B,1,0),Платежи!C:C)</f>
        <v>0</v>
      </c>
    </row>
    <row r="1721" spans="1:2" x14ac:dyDescent="0.25">
      <c r="A1721" t="s">
        <v>3159</v>
      </c>
      <c r="B1721" s="102">
        <f>SUMIF(Платежи!B:B,VLOOKUP(A1721,Платежи!B:B,1,0),Платежи!C:C)</f>
        <v>0</v>
      </c>
    </row>
    <row r="1722" spans="1:2" x14ac:dyDescent="0.25">
      <c r="A1722" t="s">
        <v>3684</v>
      </c>
      <c r="B1722" s="102">
        <f>SUMIF(Платежи!B:B,VLOOKUP(A1722,Платежи!B:B,1,0),Платежи!C:C)</f>
        <v>0</v>
      </c>
    </row>
    <row r="1723" spans="1:2" x14ac:dyDescent="0.25">
      <c r="A1723" t="s">
        <v>3685</v>
      </c>
      <c r="B1723" s="102">
        <f>SUMIF(Платежи!B:B,VLOOKUP(A1723,Платежи!B:B,1,0),Платежи!C:C)</f>
        <v>0</v>
      </c>
    </row>
    <row r="1724" spans="1:2" x14ac:dyDescent="0.25">
      <c r="A1724" t="s">
        <v>3686</v>
      </c>
      <c r="B1724" s="102">
        <f>SUMIF(Платежи!B:B,VLOOKUP(A1724,Платежи!B:B,1,0),Платежи!C:C)</f>
        <v>0</v>
      </c>
    </row>
    <row r="1725" spans="1:2" x14ac:dyDescent="0.25">
      <c r="A1725" t="s">
        <v>3687</v>
      </c>
      <c r="B1725" s="102">
        <f>SUMIF(Платежи!B:B,VLOOKUP(A1725,Платежи!B:B,1,0),Платежи!C:C)</f>
        <v>0</v>
      </c>
    </row>
    <row r="1726" spans="1:2" x14ac:dyDescent="0.25">
      <c r="A1726" t="s">
        <v>3160</v>
      </c>
      <c r="B1726" s="102">
        <f>SUMIF(Платежи!B:B,VLOOKUP(A1726,Платежи!B:B,1,0),Платежи!C:C)</f>
        <v>971.27</v>
      </c>
    </row>
    <row r="1727" spans="1:2" x14ac:dyDescent="0.25">
      <c r="A1727" t="s">
        <v>3688</v>
      </c>
      <c r="B1727" s="102">
        <f>SUMIF(Платежи!B:B,VLOOKUP(A1727,Платежи!B:B,1,0),Платежи!C:C)</f>
        <v>0</v>
      </c>
    </row>
    <row r="1728" spans="1:2" x14ac:dyDescent="0.25">
      <c r="A1728" t="s">
        <v>3689</v>
      </c>
      <c r="B1728" s="102">
        <f>SUMIF(Платежи!B:B,VLOOKUP(A1728,Платежи!B:B,1,0),Платежи!C:C)</f>
        <v>0</v>
      </c>
    </row>
    <row r="1729" spans="1:2" x14ac:dyDescent="0.25">
      <c r="A1729" t="s">
        <v>3690</v>
      </c>
      <c r="B1729" s="102">
        <f>SUMIF(Платежи!B:B,VLOOKUP(A1729,Платежи!B:B,1,0),Платежи!C:C)</f>
        <v>0</v>
      </c>
    </row>
    <row r="1730" spans="1:2" x14ac:dyDescent="0.25">
      <c r="A1730" t="s">
        <v>3691</v>
      </c>
      <c r="B1730" s="102">
        <f>SUMIF(Платежи!B:B,VLOOKUP(A1730,Платежи!B:B,1,0),Платежи!C:C)</f>
        <v>0</v>
      </c>
    </row>
    <row r="1731" spans="1:2" x14ac:dyDescent="0.25">
      <c r="A1731" t="s">
        <v>3161</v>
      </c>
      <c r="B1731" s="102">
        <f>SUMIF(Платежи!B:B,VLOOKUP(A1731,Платежи!B:B,1,0),Платежи!C:C)</f>
        <v>0</v>
      </c>
    </row>
    <row r="1732" spans="1:2" x14ac:dyDescent="0.25">
      <c r="A1732" t="s">
        <v>3692</v>
      </c>
      <c r="B1732" s="102">
        <f>SUMIF(Платежи!B:B,VLOOKUP(A1732,Платежи!B:B,1,0),Платежи!C:C)</f>
        <v>0</v>
      </c>
    </row>
    <row r="1733" spans="1:2" x14ac:dyDescent="0.25">
      <c r="A1733" t="s">
        <v>3693</v>
      </c>
      <c r="B1733" s="102">
        <f>SUMIF(Платежи!B:B,VLOOKUP(A1733,Платежи!B:B,1,0),Платежи!C:C)</f>
        <v>0</v>
      </c>
    </row>
    <row r="1734" spans="1:2" x14ac:dyDescent="0.25">
      <c r="A1734" t="s">
        <v>3694</v>
      </c>
      <c r="B1734" s="102">
        <f>SUMIF(Платежи!B:B,VLOOKUP(A1734,Платежи!B:B,1,0),Платежи!C:C)</f>
        <v>0</v>
      </c>
    </row>
    <row r="1735" spans="1:2" x14ac:dyDescent="0.25">
      <c r="A1735" t="s">
        <v>3695</v>
      </c>
      <c r="B1735" s="102">
        <f>SUMIF(Платежи!B:B,VLOOKUP(A1735,Платежи!B:B,1,0),Платежи!C:C)</f>
        <v>0</v>
      </c>
    </row>
    <row r="1736" spans="1:2" x14ac:dyDescent="0.25">
      <c r="A1736" t="s">
        <v>3696</v>
      </c>
      <c r="B1736" s="102">
        <f>SUMIF(Платежи!B:B,VLOOKUP(A1736,Платежи!B:B,1,0),Платежи!C:C)</f>
        <v>0</v>
      </c>
    </row>
    <row r="1737" spans="1:2" x14ac:dyDescent="0.25">
      <c r="A1737" t="s">
        <v>3697</v>
      </c>
      <c r="B1737" s="102">
        <f>SUMIF(Платежи!B:B,VLOOKUP(A1737,Платежи!B:B,1,0),Платежи!C:C)</f>
        <v>0</v>
      </c>
    </row>
    <row r="1738" spans="1:2" x14ac:dyDescent="0.25">
      <c r="A1738" t="s">
        <v>3698</v>
      </c>
      <c r="B1738" s="102">
        <f>SUMIF(Платежи!B:B,VLOOKUP(A1738,Платежи!B:B,1,0),Платежи!C:C)</f>
        <v>0</v>
      </c>
    </row>
    <row r="1739" spans="1:2" x14ac:dyDescent="0.25">
      <c r="A1739" t="s">
        <v>3699</v>
      </c>
      <c r="B1739" s="102">
        <f>SUMIF(Платежи!B:B,VLOOKUP(A1739,Платежи!B:B,1,0),Платежи!C:C)</f>
        <v>0</v>
      </c>
    </row>
    <row r="1740" spans="1:2" x14ac:dyDescent="0.25">
      <c r="A1740" t="s">
        <v>3700</v>
      </c>
      <c r="B1740" s="102">
        <f>SUMIF(Платежи!B:B,VLOOKUP(A1740,Платежи!B:B,1,0),Платежи!C:C)</f>
        <v>0</v>
      </c>
    </row>
    <row r="1741" spans="1:2" x14ac:dyDescent="0.25">
      <c r="A1741" t="s">
        <v>3701</v>
      </c>
      <c r="B1741" s="102">
        <f>SUMIF(Платежи!B:B,VLOOKUP(A1741,Платежи!B:B,1,0),Платежи!C:C)</f>
        <v>0</v>
      </c>
    </row>
    <row r="1742" spans="1:2" x14ac:dyDescent="0.25">
      <c r="A1742" t="s">
        <v>3702</v>
      </c>
      <c r="B1742" s="102">
        <f>SUMIF(Платежи!B:B,VLOOKUP(A1742,Платежи!B:B,1,0),Платежи!C:C)</f>
        <v>0</v>
      </c>
    </row>
    <row r="1743" spans="1:2" x14ac:dyDescent="0.25">
      <c r="A1743" t="s">
        <v>3162</v>
      </c>
      <c r="B1743" s="102">
        <f>SUMIF(Платежи!B:B,VLOOKUP(A1743,Платежи!B:B,1,0),Платежи!C:C)</f>
        <v>0</v>
      </c>
    </row>
    <row r="1744" spans="1:2" x14ac:dyDescent="0.25">
      <c r="A1744" t="s">
        <v>3703</v>
      </c>
      <c r="B1744" s="102">
        <f>SUMIF(Платежи!B:B,VLOOKUP(A1744,Платежи!B:B,1,0),Платежи!C:C)</f>
        <v>0</v>
      </c>
    </row>
    <row r="1745" spans="1:2" x14ac:dyDescent="0.25">
      <c r="A1745" t="s">
        <v>3704</v>
      </c>
      <c r="B1745" s="102">
        <f>SUMIF(Платежи!B:B,VLOOKUP(A1745,Платежи!B:B,1,0),Платежи!C:C)</f>
        <v>0</v>
      </c>
    </row>
    <row r="1746" spans="1:2" x14ac:dyDescent="0.25">
      <c r="A1746" t="s">
        <v>3163</v>
      </c>
      <c r="B1746" s="102">
        <f>SUMIF(Платежи!B:B,VLOOKUP(A1746,Платежи!B:B,1,0),Платежи!C:C)</f>
        <v>0</v>
      </c>
    </row>
    <row r="1747" spans="1:2" x14ac:dyDescent="0.25">
      <c r="A1747" t="s">
        <v>3164</v>
      </c>
      <c r="B1747" s="102">
        <f>SUMIF(Платежи!B:B,VLOOKUP(A1747,Платежи!B:B,1,0),Платежи!C:C)</f>
        <v>0</v>
      </c>
    </row>
    <row r="1748" spans="1:2" x14ac:dyDescent="0.25">
      <c r="A1748" t="s">
        <v>3705</v>
      </c>
      <c r="B1748" s="102">
        <f>SUMIF(Платежи!B:B,VLOOKUP(A1748,Платежи!B:B,1,0),Платежи!C:C)</f>
        <v>0</v>
      </c>
    </row>
    <row r="1749" spans="1:2" x14ac:dyDescent="0.25">
      <c r="A1749" t="s">
        <v>3706</v>
      </c>
      <c r="B1749" s="102">
        <f>SUMIF(Платежи!B:B,VLOOKUP(A1749,Платежи!B:B,1,0),Платежи!C:C)</f>
        <v>0</v>
      </c>
    </row>
    <row r="1750" spans="1:2" x14ac:dyDescent="0.25">
      <c r="A1750" t="s">
        <v>3707</v>
      </c>
      <c r="B1750" s="102">
        <f>SUMIF(Платежи!B:B,VLOOKUP(A1750,Платежи!B:B,1,0),Платежи!C:C)</f>
        <v>0</v>
      </c>
    </row>
    <row r="1751" spans="1:2" x14ac:dyDescent="0.25">
      <c r="A1751" t="s">
        <v>3708</v>
      </c>
      <c r="B1751" s="102">
        <f>SUMIF(Платежи!B:B,VLOOKUP(A1751,Платежи!B:B,1,0),Платежи!C:C)</f>
        <v>0</v>
      </c>
    </row>
    <row r="1752" spans="1:2" x14ac:dyDescent="0.25">
      <c r="A1752" t="s">
        <v>3709</v>
      </c>
      <c r="B1752" s="102">
        <f>SUMIF(Платежи!B:B,VLOOKUP(A1752,Платежи!B:B,1,0),Платежи!C:C)</f>
        <v>0</v>
      </c>
    </row>
    <row r="1753" spans="1:2" x14ac:dyDescent="0.25">
      <c r="A1753" t="s">
        <v>3165</v>
      </c>
      <c r="B1753" s="102">
        <f>SUMIF(Платежи!B:B,VLOOKUP(A1753,Платежи!B:B,1,0),Платежи!C:C)</f>
        <v>0</v>
      </c>
    </row>
    <row r="1754" spans="1:2" x14ac:dyDescent="0.25">
      <c r="A1754" t="s">
        <v>3710</v>
      </c>
      <c r="B1754" s="102">
        <f>SUMIF(Платежи!B:B,VLOOKUP(A1754,Платежи!B:B,1,0),Платежи!C:C)</f>
        <v>0</v>
      </c>
    </row>
    <row r="1755" spans="1:2" x14ac:dyDescent="0.25">
      <c r="A1755" t="s">
        <v>3711</v>
      </c>
      <c r="B1755" s="102">
        <f>SUMIF(Платежи!B:B,VLOOKUP(A1755,Платежи!B:B,1,0),Платежи!C:C)</f>
        <v>0</v>
      </c>
    </row>
    <row r="1756" spans="1:2" x14ac:dyDescent="0.25">
      <c r="A1756" t="s">
        <v>3712</v>
      </c>
      <c r="B1756" s="102">
        <f>SUMIF(Платежи!B:B,VLOOKUP(A1756,Платежи!B:B,1,0),Платежи!C:C)</f>
        <v>0</v>
      </c>
    </row>
    <row r="1757" spans="1:2" x14ac:dyDescent="0.25">
      <c r="A1757" t="s">
        <v>3713</v>
      </c>
      <c r="B1757" s="102">
        <f>SUMIF(Платежи!B:B,VLOOKUP(A1757,Платежи!B:B,1,0),Платежи!C:C)</f>
        <v>0</v>
      </c>
    </row>
    <row r="1758" spans="1:2" x14ac:dyDescent="0.25">
      <c r="A1758" t="s">
        <v>3166</v>
      </c>
      <c r="B1758" s="102">
        <f>SUMIF(Платежи!B:B,VLOOKUP(A1758,Платежи!B:B,1,0),Платежи!C:C)</f>
        <v>0</v>
      </c>
    </row>
    <row r="1759" spans="1:2" x14ac:dyDescent="0.25">
      <c r="A1759" t="s">
        <v>3714</v>
      </c>
      <c r="B1759" s="102">
        <f>SUMIF(Платежи!B:B,VLOOKUP(A1759,Платежи!B:B,1,0),Платежи!C:C)</f>
        <v>0</v>
      </c>
    </row>
    <row r="1760" spans="1:2" x14ac:dyDescent="0.25">
      <c r="A1760" t="s">
        <v>3715</v>
      </c>
      <c r="B1760" s="102">
        <f>SUMIF(Платежи!B:B,VLOOKUP(A1760,Платежи!B:B,1,0),Платежи!C:C)</f>
        <v>0</v>
      </c>
    </row>
    <row r="1761" spans="1:2" x14ac:dyDescent="0.25">
      <c r="A1761" t="s">
        <v>3716</v>
      </c>
      <c r="B1761" s="102">
        <f>SUMIF(Платежи!B:B,VLOOKUP(A1761,Платежи!B:B,1,0),Платежи!C:C)</f>
        <v>0</v>
      </c>
    </row>
    <row r="1762" spans="1:2" x14ac:dyDescent="0.25">
      <c r="A1762" t="s">
        <v>3717</v>
      </c>
      <c r="B1762" s="102">
        <f>SUMIF(Платежи!B:B,VLOOKUP(A1762,Платежи!B:B,1,0),Платежи!C:C)</f>
        <v>0</v>
      </c>
    </row>
    <row r="1763" spans="1:2" x14ac:dyDescent="0.25">
      <c r="A1763" t="s">
        <v>3718</v>
      </c>
      <c r="B1763" s="102">
        <f>SUMIF(Платежи!B:B,VLOOKUP(A1763,Платежи!B:B,1,0),Платежи!C:C)</f>
        <v>0</v>
      </c>
    </row>
    <row r="1764" spans="1:2" x14ac:dyDescent="0.25">
      <c r="A1764" t="s">
        <v>3719</v>
      </c>
      <c r="B1764" s="102">
        <f>SUMIF(Платежи!B:B,VLOOKUP(A1764,Платежи!B:B,1,0),Платежи!C:C)</f>
        <v>0</v>
      </c>
    </row>
    <row r="1765" spans="1:2" x14ac:dyDescent="0.25">
      <c r="A1765" t="s">
        <v>3167</v>
      </c>
      <c r="B1765" s="102">
        <f>SUMIF(Платежи!B:B,VLOOKUP(A1765,Платежи!B:B,1,0),Платежи!C:C)</f>
        <v>0</v>
      </c>
    </row>
    <row r="1766" spans="1:2" x14ac:dyDescent="0.25">
      <c r="A1766" t="s">
        <v>3720</v>
      </c>
      <c r="B1766" s="102">
        <f>SUMIF(Платежи!B:B,VLOOKUP(A1766,Платежи!B:B,1,0),Платежи!C:C)</f>
        <v>0</v>
      </c>
    </row>
    <row r="1767" spans="1:2" x14ac:dyDescent="0.25">
      <c r="A1767" t="s">
        <v>3721</v>
      </c>
      <c r="B1767" s="102">
        <f>SUMIF(Платежи!B:B,VLOOKUP(A1767,Платежи!B:B,1,0),Платежи!C:C)</f>
        <v>0</v>
      </c>
    </row>
    <row r="1768" spans="1:2" x14ac:dyDescent="0.25">
      <c r="A1768" t="s">
        <v>3722</v>
      </c>
      <c r="B1768" s="102">
        <f>SUMIF(Платежи!B:B,VLOOKUP(A1768,Платежи!B:B,1,0),Платежи!C:C)</f>
        <v>0</v>
      </c>
    </row>
    <row r="1769" spans="1:2" x14ac:dyDescent="0.25">
      <c r="A1769" t="s">
        <v>3723</v>
      </c>
      <c r="B1769" s="102">
        <f>SUMIF(Платежи!B:B,VLOOKUP(A1769,Платежи!B:B,1,0),Платежи!C:C)</f>
        <v>0</v>
      </c>
    </row>
    <row r="1770" spans="1:2" x14ac:dyDescent="0.25">
      <c r="A1770" t="s">
        <v>3168</v>
      </c>
      <c r="B1770" s="102">
        <f>SUMIF(Платежи!B:B,VLOOKUP(A1770,Платежи!B:B,1,0),Платежи!C:C)</f>
        <v>25000</v>
      </c>
    </row>
    <row r="1771" spans="1:2" x14ac:dyDescent="0.25">
      <c r="A1771" t="s">
        <v>3169</v>
      </c>
      <c r="B1771" s="102">
        <f>SUMIF(Платежи!B:B,VLOOKUP(A1771,Платежи!B:B,1,0),Платежи!C:C)</f>
        <v>25000</v>
      </c>
    </row>
    <row r="1772" spans="1:2" x14ac:dyDescent="0.25">
      <c r="A1772" t="s">
        <v>3724</v>
      </c>
      <c r="B1772" s="102">
        <f>SUMIF(Платежи!B:B,VLOOKUP(A1772,Платежи!B:B,1,0),Платежи!C:C)</f>
        <v>0</v>
      </c>
    </row>
    <row r="1773" spans="1:2" x14ac:dyDescent="0.25">
      <c r="A1773" t="s">
        <v>3725</v>
      </c>
      <c r="B1773" s="102">
        <f>SUMIF(Платежи!B:B,VLOOKUP(A1773,Платежи!B:B,1,0),Платежи!C:C)</f>
        <v>0</v>
      </c>
    </row>
    <row r="1774" spans="1:2" x14ac:dyDescent="0.25">
      <c r="A1774" t="s">
        <v>3726</v>
      </c>
      <c r="B1774" s="102">
        <f>SUMIF(Платежи!B:B,VLOOKUP(A1774,Платежи!B:B,1,0),Платежи!C:C)</f>
        <v>0</v>
      </c>
    </row>
    <row r="1775" spans="1:2" x14ac:dyDescent="0.25">
      <c r="A1775" t="s">
        <v>3170</v>
      </c>
      <c r="B1775" s="102">
        <f>SUMIF(Платежи!B:B,VLOOKUP(A1775,Платежи!B:B,1,0),Платежи!C:C)</f>
        <v>0</v>
      </c>
    </row>
    <row r="1776" spans="1:2" x14ac:dyDescent="0.25">
      <c r="A1776" t="s">
        <v>3171</v>
      </c>
      <c r="B1776" s="102">
        <f>SUMIF(Платежи!B:B,VLOOKUP(A1776,Платежи!B:B,1,0),Платежи!C:C)</f>
        <v>0</v>
      </c>
    </row>
    <row r="1777" spans="1:2" x14ac:dyDescent="0.25">
      <c r="A1777" t="s">
        <v>3727</v>
      </c>
      <c r="B1777" s="102">
        <f>SUMIF(Платежи!B:B,VLOOKUP(A1777,Платежи!B:B,1,0),Платежи!C:C)</f>
        <v>0</v>
      </c>
    </row>
    <row r="1778" spans="1:2" x14ac:dyDescent="0.25">
      <c r="A1778" t="s">
        <v>3172</v>
      </c>
      <c r="B1778" s="102">
        <f>SUMIF(Платежи!B:B,VLOOKUP(A1778,Платежи!B:B,1,0),Платежи!C:C)</f>
        <v>0</v>
      </c>
    </row>
    <row r="1779" spans="1:2" x14ac:dyDescent="0.25">
      <c r="A1779" t="s">
        <v>3728</v>
      </c>
      <c r="B1779" s="102">
        <f>SUMIF(Платежи!B:B,VLOOKUP(A1779,Платежи!B:B,1,0),Платежи!C:C)</f>
        <v>0</v>
      </c>
    </row>
    <row r="1780" spans="1:2" x14ac:dyDescent="0.25">
      <c r="A1780" t="s">
        <v>3729</v>
      </c>
      <c r="B1780" s="102">
        <f>SUMIF(Платежи!B:B,VLOOKUP(A1780,Платежи!B:B,1,0),Платежи!C:C)</f>
        <v>0</v>
      </c>
    </row>
    <row r="1781" spans="1:2" x14ac:dyDescent="0.25">
      <c r="A1781" t="s">
        <v>3730</v>
      </c>
      <c r="B1781" s="102">
        <f>SUMIF(Платежи!B:B,VLOOKUP(A1781,Платежи!B:B,1,0),Платежи!C:C)</f>
        <v>0</v>
      </c>
    </row>
    <row r="1782" spans="1:2" x14ac:dyDescent="0.25">
      <c r="A1782" t="s">
        <v>3173</v>
      </c>
      <c r="B1782" s="102">
        <f>SUMIF(Платежи!B:B,VLOOKUP(A1782,Платежи!B:B,1,0),Платежи!C:C)</f>
        <v>0</v>
      </c>
    </row>
    <row r="1783" spans="1:2" x14ac:dyDescent="0.25">
      <c r="A1783" t="s">
        <v>3174</v>
      </c>
      <c r="B1783" s="102">
        <f>SUMIF(Платежи!B:B,VLOOKUP(A1783,Платежи!B:B,1,0),Платежи!C:C)</f>
        <v>0</v>
      </c>
    </row>
    <row r="1784" spans="1:2" x14ac:dyDescent="0.25">
      <c r="A1784" t="s">
        <v>3175</v>
      </c>
      <c r="B1784" s="102">
        <f>SUMIF(Платежи!B:B,VLOOKUP(A1784,Платежи!B:B,1,0),Платежи!C:C)</f>
        <v>0</v>
      </c>
    </row>
    <row r="1785" spans="1:2" x14ac:dyDescent="0.25">
      <c r="A1785" t="s">
        <v>3731</v>
      </c>
      <c r="B1785" s="102">
        <f>SUMIF(Платежи!B:B,VLOOKUP(A1785,Платежи!B:B,1,0),Платежи!C:C)</f>
        <v>0</v>
      </c>
    </row>
    <row r="1786" spans="1:2" x14ac:dyDescent="0.25">
      <c r="A1786" t="s">
        <v>3732</v>
      </c>
      <c r="B1786" s="102">
        <f>SUMIF(Платежи!B:B,VLOOKUP(A1786,Платежи!B:B,1,0),Платежи!C:C)</f>
        <v>0</v>
      </c>
    </row>
    <row r="1787" spans="1:2" x14ac:dyDescent="0.25">
      <c r="A1787" t="s">
        <v>3733</v>
      </c>
      <c r="B1787" s="102">
        <f>SUMIF(Платежи!B:B,VLOOKUP(A1787,Платежи!B:B,1,0),Платежи!C:C)</f>
        <v>0</v>
      </c>
    </row>
    <row r="1788" spans="1:2" x14ac:dyDescent="0.25">
      <c r="A1788" t="s">
        <v>3734</v>
      </c>
      <c r="B1788" s="102">
        <f>SUMIF(Платежи!B:B,VLOOKUP(A1788,Платежи!B:B,1,0),Платежи!C:C)</f>
        <v>0</v>
      </c>
    </row>
    <row r="1789" spans="1:2" x14ac:dyDescent="0.25">
      <c r="A1789" t="s">
        <v>3735</v>
      </c>
      <c r="B1789" s="102">
        <f>SUMIF(Платежи!B:B,VLOOKUP(A1789,Платежи!B:B,1,0),Платежи!C:C)</f>
        <v>0</v>
      </c>
    </row>
    <row r="1790" spans="1:2" x14ac:dyDescent="0.25">
      <c r="A1790" t="s">
        <v>3736</v>
      </c>
      <c r="B1790" s="102">
        <f>SUMIF(Платежи!B:B,VLOOKUP(A1790,Платежи!B:B,1,0),Платежи!C:C)</f>
        <v>0</v>
      </c>
    </row>
    <row r="1791" spans="1:2" x14ac:dyDescent="0.25">
      <c r="A1791" t="s">
        <v>3737</v>
      </c>
      <c r="B1791" s="102">
        <f>SUMIF(Платежи!B:B,VLOOKUP(A1791,Платежи!B:B,1,0),Платежи!C:C)</f>
        <v>0</v>
      </c>
    </row>
    <row r="1792" spans="1:2" x14ac:dyDescent="0.25">
      <c r="A1792" t="s">
        <v>3738</v>
      </c>
      <c r="B1792" s="102">
        <f>SUMIF(Платежи!B:B,VLOOKUP(A1792,Платежи!B:B,1,0),Платежи!C:C)</f>
        <v>0</v>
      </c>
    </row>
    <row r="1793" spans="1:2" x14ac:dyDescent="0.25">
      <c r="A1793" t="s">
        <v>3176</v>
      </c>
      <c r="B1793" s="102">
        <f>SUMIF(Платежи!B:B,VLOOKUP(A1793,Платежи!B:B,1,0),Платежи!C:C)</f>
        <v>0</v>
      </c>
    </row>
    <row r="1794" spans="1:2" x14ac:dyDescent="0.25">
      <c r="A1794" t="s">
        <v>3739</v>
      </c>
      <c r="B1794" s="102">
        <f>SUMIF(Платежи!B:B,VLOOKUP(A1794,Платежи!B:B,1,0),Платежи!C:C)</f>
        <v>0</v>
      </c>
    </row>
    <row r="1795" spans="1:2" x14ac:dyDescent="0.25">
      <c r="A1795" t="s">
        <v>3740</v>
      </c>
      <c r="B1795" s="102">
        <f>SUMIF(Платежи!B:B,VLOOKUP(A1795,Платежи!B:B,1,0),Платежи!C:C)</f>
        <v>201277.34</v>
      </c>
    </row>
    <row r="1796" spans="1:2" x14ac:dyDescent="0.25">
      <c r="A1796" t="s">
        <v>3741</v>
      </c>
      <c r="B1796" s="102">
        <f>SUMIF(Платежи!B:B,VLOOKUP(A1796,Платежи!B:B,1,0),Платежи!C:C)</f>
        <v>0</v>
      </c>
    </row>
    <row r="1797" spans="1:2" x14ac:dyDescent="0.25">
      <c r="A1797" t="s">
        <v>3742</v>
      </c>
      <c r="B1797" s="102">
        <f>SUMIF(Платежи!B:B,VLOOKUP(A1797,Платежи!B:B,1,0),Платежи!C:C)</f>
        <v>0</v>
      </c>
    </row>
    <row r="1798" spans="1:2" x14ac:dyDescent="0.25">
      <c r="A1798" t="s">
        <v>3743</v>
      </c>
      <c r="B1798" s="102">
        <f>SUMIF(Платежи!B:B,VLOOKUP(A1798,Платежи!B:B,1,0),Платежи!C:C)</f>
        <v>0</v>
      </c>
    </row>
    <row r="1799" spans="1:2" x14ac:dyDescent="0.25">
      <c r="A1799" t="s">
        <v>3177</v>
      </c>
      <c r="B1799" s="102">
        <f>SUMIF(Платежи!B:B,VLOOKUP(A1799,Платежи!B:B,1,0),Платежи!C:C)</f>
        <v>0</v>
      </c>
    </row>
    <row r="1800" spans="1:2" x14ac:dyDescent="0.25">
      <c r="A1800" t="s">
        <v>3744</v>
      </c>
      <c r="B1800" s="102">
        <f>SUMIF(Платежи!B:B,VLOOKUP(A1800,Платежи!B:B,1,0),Платежи!C:C)</f>
        <v>0</v>
      </c>
    </row>
    <row r="1801" spans="1:2" x14ac:dyDescent="0.25">
      <c r="A1801" t="s">
        <v>3745</v>
      </c>
      <c r="B1801" s="102">
        <f>SUMIF(Платежи!B:B,VLOOKUP(A1801,Платежи!B:B,1,0),Платежи!C:C)</f>
        <v>0</v>
      </c>
    </row>
    <row r="1802" spans="1:2" x14ac:dyDescent="0.25">
      <c r="A1802" t="s">
        <v>3746</v>
      </c>
      <c r="B1802" s="102">
        <f>SUMIF(Платежи!B:B,VLOOKUP(A1802,Платежи!B:B,1,0),Платежи!C:C)</f>
        <v>0</v>
      </c>
    </row>
    <row r="1803" spans="1:2" x14ac:dyDescent="0.25">
      <c r="A1803" t="s">
        <v>3747</v>
      </c>
      <c r="B1803" s="102">
        <f>SUMIF(Платежи!B:B,VLOOKUP(A1803,Платежи!B:B,1,0),Платежи!C:C)</f>
        <v>0</v>
      </c>
    </row>
    <row r="1804" spans="1:2" x14ac:dyDescent="0.25">
      <c r="A1804" t="s">
        <v>3748</v>
      </c>
      <c r="B1804" s="102">
        <f>SUMIF(Платежи!B:B,VLOOKUP(A1804,Платежи!B:B,1,0),Платежи!C:C)</f>
        <v>0</v>
      </c>
    </row>
    <row r="1805" spans="1:2" x14ac:dyDescent="0.25">
      <c r="A1805" t="s">
        <v>3749</v>
      </c>
      <c r="B1805" s="102">
        <f>SUMIF(Платежи!B:B,VLOOKUP(A1805,Платежи!B:B,1,0),Платежи!C:C)</f>
        <v>0</v>
      </c>
    </row>
    <row r="1806" spans="1:2" x14ac:dyDescent="0.25">
      <c r="A1806" t="s">
        <v>3750</v>
      </c>
      <c r="B1806" s="102">
        <f>SUMIF(Платежи!B:B,VLOOKUP(A1806,Платежи!B:B,1,0),Платежи!C:C)</f>
        <v>0</v>
      </c>
    </row>
    <row r="1807" spans="1:2" x14ac:dyDescent="0.25">
      <c r="A1807" t="s">
        <v>3751</v>
      </c>
      <c r="B1807" s="102">
        <f>SUMIF(Платежи!B:B,VLOOKUP(A1807,Платежи!B:B,1,0),Платежи!C:C)</f>
        <v>0</v>
      </c>
    </row>
    <row r="1808" spans="1:2" x14ac:dyDescent="0.25">
      <c r="A1808" t="s">
        <v>3752</v>
      </c>
      <c r="B1808" s="102">
        <f>SUMIF(Платежи!B:B,VLOOKUP(A1808,Платежи!B:B,1,0),Платежи!C:C)</f>
        <v>0</v>
      </c>
    </row>
    <row r="1809" spans="1:2" x14ac:dyDescent="0.25">
      <c r="A1809" t="s">
        <v>3753</v>
      </c>
      <c r="B1809" s="102">
        <f>SUMIF(Платежи!B:B,VLOOKUP(A1809,Платежи!B:B,1,0),Платежи!C:C)</f>
        <v>0</v>
      </c>
    </row>
    <row r="1810" spans="1:2" x14ac:dyDescent="0.25">
      <c r="A1810" t="s">
        <v>3754</v>
      </c>
      <c r="B1810" s="102">
        <f>SUMIF(Платежи!B:B,VLOOKUP(A1810,Платежи!B:B,1,0),Платежи!C:C)</f>
        <v>0</v>
      </c>
    </row>
    <row r="1811" spans="1:2" x14ac:dyDescent="0.25">
      <c r="A1811" t="s">
        <v>3178</v>
      </c>
      <c r="B1811" s="102">
        <f>SUMIF(Платежи!B:B,VLOOKUP(A1811,Платежи!B:B,1,0),Платежи!C:C)</f>
        <v>1000</v>
      </c>
    </row>
    <row r="1812" spans="1:2" x14ac:dyDescent="0.25">
      <c r="A1812" t="s">
        <v>3755</v>
      </c>
      <c r="B1812" s="102">
        <f>SUMIF(Платежи!B:B,VLOOKUP(A1812,Платежи!B:B,1,0),Платежи!C:C)</f>
        <v>0</v>
      </c>
    </row>
    <row r="1813" spans="1:2" x14ac:dyDescent="0.25">
      <c r="A1813" t="s">
        <v>3756</v>
      </c>
      <c r="B1813" s="102">
        <f>SUMIF(Платежи!B:B,VLOOKUP(A1813,Платежи!B:B,1,0),Платежи!C:C)</f>
        <v>0</v>
      </c>
    </row>
    <row r="1814" spans="1:2" x14ac:dyDescent="0.25">
      <c r="A1814" t="s">
        <v>3757</v>
      </c>
      <c r="B1814" s="102">
        <f>SUMIF(Платежи!B:B,VLOOKUP(A1814,Платежи!B:B,1,0),Платежи!C:C)</f>
        <v>0</v>
      </c>
    </row>
    <row r="1815" spans="1:2" x14ac:dyDescent="0.25">
      <c r="A1815" t="s">
        <v>3758</v>
      </c>
      <c r="B1815" s="102">
        <f>SUMIF(Платежи!B:B,VLOOKUP(A1815,Платежи!B:B,1,0),Платежи!C:C)</f>
        <v>0</v>
      </c>
    </row>
    <row r="1816" spans="1:2" x14ac:dyDescent="0.25">
      <c r="A1816" t="s">
        <v>3759</v>
      </c>
      <c r="B1816" s="102">
        <f>SUMIF(Платежи!B:B,VLOOKUP(A1816,Платежи!B:B,1,0),Платежи!C:C)</f>
        <v>0</v>
      </c>
    </row>
    <row r="1817" spans="1:2" x14ac:dyDescent="0.25">
      <c r="A1817" t="s">
        <v>3760</v>
      </c>
      <c r="B1817" s="102">
        <f>SUMIF(Платежи!B:B,VLOOKUP(A1817,Платежи!B:B,1,0),Платежи!C:C)</f>
        <v>0</v>
      </c>
    </row>
    <row r="1818" spans="1:2" x14ac:dyDescent="0.25">
      <c r="A1818" t="s">
        <v>3761</v>
      </c>
      <c r="B1818" s="102">
        <f>SUMIF(Платежи!B:B,VLOOKUP(A1818,Платежи!B:B,1,0),Платежи!C:C)</f>
        <v>0</v>
      </c>
    </row>
    <row r="1819" spans="1:2" x14ac:dyDescent="0.25">
      <c r="A1819" t="s">
        <v>3762</v>
      </c>
      <c r="B1819" s="102">
        <f>SUMIF(Платежи!B:B,VLOOKUP(A1819,Платежи!B:B,1,0),Платежи!C:C)</f>
        <v>0</v>
      </c>
    </row>
    <row r="1820" spans="1:2" x14ac:dyDescent="0.25">
      <c r="A1820" t="s">
        <v>3763</v>
      </c>
      <c r="B1820" s="102">
        <f>SUMIF(Платежи!B:B,VLOOKUP(A1820,Платежи!B:B,1,0),Платежи!C:C)</f>
        <v>0</v>
      </c>
    </row>
    <row r="1821" spans="1:2" x14ac:dyDescent="0.25">
      <c r="A1821" t="s">
        <v>3764</v>
      </c>
      <c r="B1821" s="102">
        <f>SUMIF(Платежи!B:B,VLOOKUP(A1821,Платежи!B:B,1,0),Платежи!C:C)</f>
        <v>0</v>
      </c>
    </row>
    <row r="1822" spans="1:2" x14ac:dyDescent="0.25">
      <c r="A1822" t="s">
        <v>3765</v>
      </c>
      <c r="B1822" s="102">
        <f>SUMIF(Платежи!B:B,VLOOKUP(A1822,Платежи!B:B,1,0),Платежи!C:C)</f>
        <v>0</v>
      </c>
    </row>
    <row r="1823" spans="1:2" x14ac:dyDescent="0.25">
      <c r="A1823" t="s">
        <v>3766</v>
      </c>
      <c r="B1823" s="102">
        <f>SUMIF(Платежи!B:B,VLOOKUP(A1823,Платежи!B:B,1,0),Платежи!C:C)</f>
        <v>0</v>
      </c>
    </row>
    <row r="1824" spans="1:2" x14ac:dyDescent="0.25">
      <c r="A1824" t="s">
        <v>3767</v>
      </c>
      <c r="B1824" s="102">
        <f>SUMIF(Платежи!B:B,VLOOKUP(A1824,Платежи!B:B,1,0),Платежи!C:C)</f>
        <v>0</v>
      </c>
    </row>
    <row r="1825" spans="1:2" x14ac:dyDescent="0.25">
      <c r="A1825" t="s">
        <v>3768</v>
      </c>
      <c r="B1825" s="102">
        <f>SUMIF(Платежи!B:B,VLOOKUP(A1825,Платежи!B:B,1,0),Платежи!C:C)</f>
        <v>18976.150000000001</v>
      </c>
    </row>
    <row r="1826" spans="1:2" x14ac:dyDescent="0.25">
      <c r="A1826" t="s">
        <v>3769</v>
      </c>
      <c r="B1826" s="102">
        <f>SUMIF(Платежи!B:B,VLOOKUP(A1826,Платежи!B:B,1,0),Платежи!C:C)</f>
        <v>0</v>
      </c>
    </row>
    <row r="1827" spans="1:2" x14ac:dyDescent="0.25">
      <c r="A1827" t="s">
        <v>3770</v>
      </c>
      <c r="B1827" s="102">
        <f>SUMIF(Платежи!B:B,VLOOKUP(A1827,Платежи!B:B,1,0),Платежи!C:C)</f>
        <v>0</v>
      </c>
    </row>
    <row r="1828" spans="1:2" x14ac:dyDescent="0.25">
      <c r="A1828" t="s">
        <v>3771</v>
      </c>
      <c r="B1828" s="102">
        <f>SUMIF(Платежи!B:B,VLOOKUP(A1828,Платежи!B:B,1,0),Платежи!C:C)</f>
        <v>0</v>
      </c>
    </row>
    <row r="1829" spans="1:2" x14ac:dyDescent="0.25">
      <c r="A1829" t="s">
        <v>3772</v>
      </c>
      <c r="B1829" s="102">
        <f>SUMIF(Платежи!B:B,VLOOKUP(A1829,Платежи!B:B,1,0),Платежи!C:C)</f>
        <v>0</v>
      </c>
    </row>
    <row r="1830" spans="1:2" x14ac:dyDescent="0.25">
      <c r="A1830" t="s">
        <v>3773</v>
      </c>
      <c r="B1830" s="102">
        <f>SUMIF(Платежи!B:B,VLOOKUP(A1830,Платежи!B:B,1,0),Платежи!C:C)</f>
        <v>0</v>
      </c>
    </row>
    <row r="1831" spans="1:2" x14ac:dyDescent="0.25">
      <c r="A1831" t="s">
        <v>3774</v>
      </c>
      <c r="B1831" s="102">
        <f>SUMIF(Платежи!B:B,VLOOKUP(A1831,Платежи!B:B,1,0),Платежи!C:C)</f>
        <v>0</v>
      </c>
    </row>
    <row r="1832" spans="1:2" x14ac:dyDescent="0.25">
      <c r="A1832" t="s">
        <v>3179</v>
      </c>
      <c r="B1832" s="102">
        <f>SUMIF(Платежи!B:B,VLOOKUP(A1832,Платежи!B:B,1,0),Платежи!C:C)</f>
        <v>0</v>
      </c>
    </row>
    <row r="1833" spans="1:2" x14ac:dyDescent="0.25">
      <c r="A1833" t="s">
        <v>3775</v>
      </c>
      <c r="B1833" s="102">
        <f>SUMIF(Платежи!B:B,VLOOKUP(A1833,Платежи!B:B,1,0),Платежи!C:C)</f>
        <v>0</v>
      </c>
    </row>
    <row r="1834" spans="1:2" x14ac:dyDescent="0.25">
      <c r="A1834" t="s">
        <v>3776</v>
      </c>
      <c r="B1834" s="102">
        <f>SUMIF(Платежи!B:B,VLOOKUP(A1834,Платежи!B:B,1,0),Платежи!C:C)</f>
        <v>0</v>
      </c>
    </row>
    <row r="1835" spans="1:2" x14ac:dyDescent="0.25">
      <c r="A1835" t="s">
        <v>3777</v>
      </c>
      <c r="B1835" s="102">
        <f>SUMIF(Платежи!B:B,VLOOKUP(A1835,Платежи!B:B,1,0),Платежи!C:C)</f>
        <v>0</v>
      </c>
    </row>
    <row r="1836" spans="1:2" x14ac:dyDescent="0.25">
      <c r="A1836" t="s">
        <v>3778</v>
      </c>
      <c r="B1836" s="102">
        <f>SUMIF(Платежи!B:B,VLOOKUP(A1836,Платежи!B:B,1,0),Платежи!C:C)</f>
        <v>0</v>
      </c>
    </row>
    <row r="1837" spans="1:2" x14ac:dyDescent="0.25">
      <c r="A1837" t="s">
        <v>3180</v>
      </c>
      <c r="B1837" s="102">
        <f>SUMIF(Платежи!B:B,VLOOKUP(A1837,Платежи!B:B,1,0),Платежи!C:C)</f>
        <v>0</v>
      </c>
    </row>
    <row r="1838" spans="1:2" x14ac:dyDescent="0.25">
      <c r="A1838" t="s">
        <v>3779</v>
      </c>
      <c r="B1838" s="102">
        <f>SUMIF(Платежи!B:B,VLOOKUP(A1838,Платежи!B:B,1,0),Платежи!C:C)</f>
        <v>51840.950000000004</v>
      </c>
    </row>
    <row r="1839" spans="1:2" x14ac:dyDescent="0.25">
      <c r="A1839" t="s">
        <v>3780</v>
      </c>
      <c r="B1839" s="102">
        <f>SUMIF(Платежи!B:B,VLOOKUP(A1839,Платежи!B:B,1,0),Платежи!C:C)</f>
        <v>227205</v>
      </c>
    </row>
    <row r="1840" spans="1:2" x14ac:dyDescent="0.25">
      <c r="A1840" t="s">
        <v>3781</v>
      </c>
      <c r="B1840" s="102">
        <f>SUMIF(Платежи!B:B,VLOOKUP(A1840,Платежи!B:B,1,0),Платежи!C:C)</f>
        <v>0</v>
      </c>
    </row>
    <row r="1841" spans="1:2" x14ac:dyDescent="0.25">
      <c r="A1841" t="s">
        <v>3782</v>
      </c>
      <c r="B1841" s="102">
        <f>SUMIF(Платежи!B:B,VLOOKUP(A1841,Платежи!B:B,1,0),Платежи!C:C)</f>
        <v>0</v>
      </c>
    </row>
    <row r="1842" spans="1:2" x14ac:dyDescent="0.25">
      <c r="A1842" t="s">
        <v>3783</v>
      </c>
      <c r="B1842" s="102">
        <f>SUMIF(Платежи!B:B,VLOOKUP(A1842,Платежи!B:B,1,0),Платежи!C:C)</f>
        <v>0</v>
      </c>
    </row>
    <row r="1843" spans="1:2" x14ac:dyDescent="0.25">
      <c r="A1843" t="s">
        <v>3784</v>
      </c>
      <c r="B1843" s="102">
        <f>SUMIF(Платежи!B:B,VLOOKUP(A1843,Платежи!B:B,1,0),Платежи!C:C)</f>
        <v>0</v>
      </c>
    </row>
    <row r="1844" spans="1:2" x14ac:dyDescent="0.25">
      <c r="A1844" t="s">
        <v>3785</v>
      </c>
      <c r="B1844" s="102">
        <f>SUMIF(Платежи!B:B,VLOOKUP(A1844,Платежи!B:B,1,0),Платежи!C:C)</f>
        <v>0</v>
      </c>
    </row>
    <row r="1845" spans="1:2" x14ac:dyDescent="0.25">
      <c r="A1845" t="s">
        <v>3786</v>
      </c>
      <c r="B1845" s="102">
        <f>SUMIF(Платежи!B:B,VLOOKUP(A1845,Платежи!B:B,1,0),Платежи!C:C)</f>
        <v>0</v>
      </c>
    </row>
    <row r="1846" spans="1:2" x14ac:dyDescent="0.25">
      <c r="A1846" t="s">
        <v>3787</v>
      </c>
      <c r="B1846" s="102">
        <f>SUMIF(Платежи!B:B,VLOOKUP(A1846,Платежи!B:B,1,0),Платежи!C:C)</f>
        <v>1462.53</v>
      </c>
    </row>
    <row r="1847" spans="1:2" x14ac:dyDescent="0.25">
      <c r="A1847" t="s">
        <v>3788</v>
      </c>
      <c r="B1847" s="102">
        <f>SUMIF(Платежи!B:B,VLOOKUP(A1847,Платежи!B:B,1,0),Платежи!C:C)</f>
        <v>0</v>
      </c>
    </row>
    <row r="1848" spans="1:2" x14ac:dyDescent="0.25">
      <c r="A1848" t="s">
        <v>3789</v>
      </c>
      <c r="B1848" s="102">
        <f>SUMIF(Платежи!B:B,VLOOKUP(A1848,Платежи!B:B,1,0),Платежи!C:C)</f>
        <v>0</v>
      </c>
    </row>
    <row r="1849" spans="1:2" x14ac:dyDescent="0.25">
      <c r="A1849" t="s">
        <v>3181</v>
      </c>
      <c r="B1849" s="102">
        <f>SUMIF(Платежи!B:B,VLOOKUP(A1849,Платежи!B:B,1,0),Платежи!C:C)</f>
        <v>0</v>
      </c>
    </row>
    <row r="1850" spans="1:2" x14ac:dyDescent="0.25">
      <c r="A1850" t="s">
        <v>3790</v>
      </c>
      <c r="B1850" s="102">
        <f>SUMIF(Платежи!B:B,VLOOKUP(A1850,Платежи!B:B,1,0),Платежи!C:C)</f>
        <v>0</v>
      </c>
    </row>
    <row r="1851" spans="1:2" x14ac:dyDescent="0.25">
      <c r="A1851" t="s">
        <v>3791</v>
      </c>
      <c r="B1851" s="102">
        <f>SUMIF(Платежи!B:B,VLOOKUP(A1851,Платежи!B:B,1,0),Платежи!C:C)</f>
        <v>0</v>
      </c>
    </row>
    <row r="1852" spans="1:2" x14ac:dyDescent="0.25">
      <c r="A1852" t="s">
        <v>3792</v>
      </c>
      <c r="B1852" s="102">
        <f>SUMIF(Платежи!B:B,VLOOKUP(A1852,Платежи!B:B,1,0),Платежи!C:C)</f>
        <v>0</v>
      </c>
    </row>
    <row r="1853" spans="1:2" x14ac:dyDescent="0.25">
      <c r="A1853" t="s">
        <v>3793</v>
      </c>
      <c r="B1853" s="102">
        <f>SUMIF(Платежи!B:B,VLOOKUP(A1853,Платежи!B:B,1,0),Платежи!C:C)</f>
        <v>0</v>
      </c>
    </row>
    <row r="1854" spans="1:2" x14ac:dyDescent="0.25">
      <c r="A1854" t="s">
        <v>3794</v>
      </c>
      <c r="B1854" s="102">
        <f>SUMIF(Платежи!B:B,VLOOKUP(A1854,Платежи!B:B,1,0),Платежи!C:C)</f>
        <v>0</v>
      </c>
    </row>
    <row r="1855" spans="1:2" x14ac:dyDescent="0.25">
      <c r="A1855" t="s">
        <v>3795</v>
      </c>
      <c r="B1855" s="102">
        <f>SUMIF(Платежи!B:B,VLOOKUP(A1855,Платежи!B:B,1,0),Платежи!C:C)</f>
        <v>0</v>
      </c>
    </row>
    <row r="1856" spans="1:2" x14ac:dyDescent="0.25">
      <c r="A1856" t="s">
        <v>3796</v>
      </c>
      <c r="B1856" s="102">
        <f>SUMIF(Платежи!B:B,VLOOKUP(A1856,Платежи!B:B,1,0),Платежи!C:C)</f>
        <v>0</v>
      </c>
    </row>
    <row r="1857" spans="1:2" x14ac:dyDescent="0.25">
      <c r="A1857" t="s">
        <v>3797</v>
      </c>
      <c r="B1857" s="102">
        <f>SUMIF(Платежи!B:B,VLOOKUP(A1857,Платежи!B:B,1,0),Платежи!C:C)</f>
        <v>0</v>
      </c>
    </row>
    <row r="1858" spans="1:2" x14ac:dyDescent="0.25">
      <c r="A1858" t="s">
        <v>3798</v>
      </c>
      <c r="B1858" s="102">
        <f>SUMIF(Платежи!B:B,VLOOKUP(A1858,Платежи!B:B,1,0),Платежи!C:C)</f>
        <v>0</v>
      </c>
    </row>
    <row r="1859" spans="1:2" x14ac:dyDescent="0.25">
      <c r="A1859" t="s">
        <v>3799</v>
      </c>
      <c r="B1859" s="102">
        <f>SUMIF(Платежи!B:B,VLOOKUP(A1859,Платежи!B:B,1,0),Платежи!C:C)</f>
        <v>0</v>
      </c>
    </row>
    <row r="1860" spans="1:2" x14ac:dyDescent="0.25">
      <c r="A1860" t="s">
        <v>3800</v>
      </c>
      <c r="B1860" s="102">
        <f>SUMIF(Платежи!B:B,VLOOKUP(A1860,Платежи!B:B,1,0),Платежи!C:C)</f>
        <v>0</v>
      </c>
    </row>
    <row r="1861" spans="1:2" x14ac:dyDescent="0.25">
      <c r="A1861" t="s">
        <v>3801</v>
      </c>
      <c r="B1861" s="102">
        <f>SUMIF(Платежи!B:B,VLOOKUP(A1861,Платежи!B:B,1,0),Платежи!C:C)</f>
        <v>0</v>
      </c>
    </row>
    <row r="1862" spans="1:2" x14ac:dyDescent="0.25">
      <c r="A1862" t="s">
        <v>3802</v>
      </c>
      <c r="B1862" s="102">
        <f>SUMIF(Платежи!B:B,VLOOKUP(A1862,Платежи!B:B,1,0),Платежи!C:C)</f>
        <v>0</v>
      </c>
    </row>
    <row r="1863" spans="1:2" x14ac:dyDescent="0.25">
      <c r="A1863" t="s">
        <v>3803</v>
      </c>
      <c r="B1863" s="102">
        <f>SUMIF(Платежи!B:B,VLOOKUP(A1863,Платежи!B:B,1,0),Платежи!C:C)</f>
        <v>0</v>
      </c>
    </row>
    <row r="1864" spans="1:2" x14ac:dyDescent="0.25">
      <c r="A1864" t="s">
        <v>3804</v>
      </c>
      <c r="B1864" s="102">
        <f>SUMIF(Платежи!B:B,VLOOKUP(A1864,Платежи!B:B,1,0),Платежи!C:C)</f>
        <v>0</v>
      </c>
    </row>
    <row r="1865" spans="1:2" x14ac:dyDescent="0.25">
      <c r="A1865" t="s">
        <v>3805</v>
      </c>
      <c r="B1865" s="102">
        <f>SUMIF(Платежи!B:B,VLOOKUP(A1865,Платежи!B:B,1,0),Платежи!C:C)</f>
        <v>0</v>
      </c>
    </row>
    <row r="1866" spans="1:2" x14ac:dyDescent="0.25">
      <c r="A1866" t="s">
        <v>3806</v>
      </c>
      <c r="B1866" s="102">
        <f>SUMIF(Платежи!B:B,VLOOKUP(A1866,Платежи!B:B,1,0),Платежи!C:C)</f>
        <v>0</v>
      </c>
    </row>
    <row r="1867" spans="1:2" x14ac:dyDescent="0.25">
      <c r="A1867" t="s">
        <v>3807</v>
      </c>
      <c r="B1867" s="102">
        <f>SUMIF(Платежи!B:B,VLOOKUP(A1867,Платежи!B:B,1,0),Платежи!C:C)</f>
        <v>0</v>
      </c>
    </row>
    <row r="1868" spans="1:2" x14ac:dyDescent="0.25">
      <c r="A1868" t="s">
        <v>3808</v>
      </c>
      <c r="B1868" s="102">
        <f>SUMIF(Платежи!B:B,VLOOKUP(A1868,Платежи!B:B,1,0),Платежи!C:C)</f>
        <v>0</v>
      </c>
    </row>
    <row r="1869" spans="1:2" x14ac:dyDescent="0.25">
      <c r="A1869" t="s">
        <v>3809</v>
      </c>
      <c r="B1869" s="102">
        <f>SUMIF(Платежи!B:B,VLOOKUP(A1869,Платежи!B:B,1,0),Платежи!C:C)</f>
        <v>0</v>
      </c>
    </row>
    <row r="1870" spans="1:2" x14ac:dyDescent="0.25">
      <c r="A1870" t="s">
        <v>3810</v>
      </c>
      <c r="B1870" s="102">
        <f>SUMIF(Платежи!B:B,VLOOKUP(A1870,Платежи!B:B,1,0),Платежи!C:C)</f>
        <v>0</v>
      </c>
    </row>
    <row r="1871" spans="1:2" x14ac:dyDescent="0.25">
      <c r="A1871" t="s">
        <v>3811</v>
      </c>
      <c r="B1871" s="102">
        <f>SUMIF(Платежи!B:B,VLOOKUP(A1871,Платежи!B:B,1,0),Платежи!C:C)</f>
        <v>0</v>
      </c>
    </row>
    <row r="1872" spans="1:2" x14ac:dyDescent="0.25">
      <c r="A1872" t="s">
        <v>3812</v>
      </c>
      <c r="B1872" s="102">
        <f>SUMIF(Платежи!B:B,VLOOKUP(A1872,Платежи!B:B,1,0),Платежи!C:C)</f>
        <v>0</v>
      </c>
    </row>
    <row r="1873" spans="1:2" x14ac:dyDescent="0.25">
      <c r="A1873" t="s">
        <v>3813</v>
      </c>
      <c r="B1873" s="102">
        <f>SUMIF(Платежи!B:B,VLOOKUP(A1873,Платежи!B:B,1,0),Платежи!C:C)</f>
        <v>0</v>
      </c>
    </row>
    <row r="1874" spans="1:2" x14ac:dyDescent="0.25">
      <c r="A1874" t="s">
        <v>3814</v>
      </c>
      <c r="B1874" s="102">
        <f>SUMIF(Платежи!B:B,VLOOKUP(A1874,Платежи!B:B,1,0),Платежи!C:C)</f>
        <v>0</v>
      </c>
    </row>
    <row r="1875" spans="1:2" x14ac:dyDescent="0.25">
      <c r="A1875" t="s">
        <v>3815</v>
      </c>
      <c r="B1875" s="102">
        <f>SUMIF(Платежи!B:B,VLOOKUP(A1875,Платежи!B:B,1,0),Платежи!C:C)</f>
        <v>0</v>
      </c>
    </row>
    <row r="1876" spans="1:2" x14ac:dyDescent="0.25">
      <c r="A1876" t="s">
        <v>3816</v>
      </c>
      <c r="B1876" s="102">
        <f>SUMIF(Платежи!B:B,VLOOKUP(A1876,Платежи!B:B,1,0),Платежи!C:C)</f>
        <v>0</v>
      </c>
    </row>
    <row r="1877" spans="1:2" x14ac:dyDescent="0.25">
      <c r="A1877" t="s">
        <v>3817</v>
      </c>
      <c r="B1877" s="102">
        <f>SUMIF(Платежи!B:B,VLOOKUP(A1877,Платежи!B:B,1,0),Платежи!C:C)</f>
        <v>0</v>
      </c>
    </row>
    <row r="1878" spans="1:2" x14ac:dyDescent="0.25">
      <c r="A1878" t="s">
        <v>3818</v>
      </c>
      <c r="B1878" s="102">
        <f>SUMIF(Платежи!B:B,VLOOKUP(A1878,Платежи!B:B,1,0),Платежи!C:C)</f>
        <v>0</v>
      </c>
    </row>
    <row r="1879" spans="1:2" x14ac:dyDescent="0.25">
      <c r="A1879" t="s">
        <v>3819</v>
      </c>
      <c r="B1879" s="102">
        <f>SUMIF(Платежи!B:B,VLOOKUP(A1879,Платежи!B:B,1,0),Платежи!C:C)</f>
        <v>0</v>
      </c>
    </row>
    <row r="1880" spans="1:2" x14ac:dyDescent="0.25">
      <c r="A1880" t="s">
        <v>3820</v>
      </c>
      <c r="B1880" s="102">
        <f>SUMIF(Платежи!B:B,VLOOKUP(A1880,Платежи!B:B,1,0),Платежи!C:C)</f>
        <v>0</v>
      </c>
    </row>
    <row r="1881" spans="1:2" x14ac:dyDescent="0.25">
      <c r="A1881" t="s">
        <v>3821</v>
      </c>
      <c r="B1881" s="102">
        <f>SUMIF(Платежи!B:B,VLOOKUP(A1881,Платежи!B:B,1,0),Платежи!C:C)</f>
        <v>0</v>
      </c>
    </row>
    <row r="1882" spans="1:2" x14ac:dyDescent="0.25">
      <c r="A1882" t="s">
        <v>3822</v>
      </c>
      <c r="B1882" s="102">
        <f>SUMIF(Платежи!B:B,VLOOKUP(A1882,Платежи!B:B,1,0),Платежи!C:C)</f>
        <v>0</v>
      </c>
    </row>
    <row r="1883" spans="1:2" x14ac:dyDescent="0.25">
      <c r="A1883" t="s">
        <v>3823</v>
      </c>
      <c r="B1883" s="102">
        <f>SUMIF(Платежи!B:B,VLOOKUP(A1883,Платежи!B:B,1,0),Платежи!C:C)</f>
        <v>0</v>
      </c>
    </row>
    <row r="1884" spans="1:2" x14ac:dyDescent="0.25">
      <c r="A1884" t="s">
        <v>3824</v>
      </c>
      <c r="B1884" s="102">
        <f>SUMIF(Платежи!B:B,VLOOKUP(A1884,Платежи!B:B,1,0),Платежи!C:C)</f>
        <v>0</v>
      </c>
    </row>
    <row r="1885" spans="1:2" x14ac:dyDescent="0.25">
      <c r="A1885" t="s">
        <v>3825</v>
      </c>
      <c r="B1885" s="102">
        <f>SUMIF(Платежи!B:B,VLOOKUP(A1885,Платежи!B:B,1,0),Платежи!C:C)</f>
        <v>0</v>
      </c>
    </row>
    <row r="1886" spans="1:2" x14ac:dyDescent="0.25">
      <c r="A1886" t="s">
        <v>3826</v>
      </c>
      <c r="B1886" s="102">
        <f>SUMIF(Платежи!B:B,VLOOKUP(A1886,Платежи!B:B,1,0),Платежи!C:C)</f>
        <v>0</v>
      </c>
    </row>
    <row r="1887" spans="1:2" x14ac:dyDescent="0.25">
      <c r="A1887" t="s">
        <v>3827</v>
      </c>
      <c r="B1887" s="102">
        <f>SUMIF(Платежи!B:B,VLOOKUP(A1887,Платежи!B:B,1,0),Платежи!C:C)</f>
        <v>0</v>
      </c>
    </row>
    <row r="1888" spans="1:2" x14ac:dyDescent="0.25">
      <c r="A1888" t="s">
        <v>3828</v>
      </c>
      <c r="B1888" s="102">
        <f>SUMIF(Платежи!B:B,VLOOKUP(A1888,Платежи!B:B,1,0),Платежи!C:C)</f>
        <v>0</v>
      </c>
    </row>
    <row r="1889" spans="1:2" x14ac:dyDescent="0.25">
      <c r="A1889" t="s">
        <v>3829</v>
      </c>
      <c r="B1889" s="102">
        <f>SUMIF(Платежи!B:B,VLOOKUP(A1889,Платежи!B:B,1,0),Платежи!C:C)</f>
        <v>0</v>
      </c>
    </row>
    <row r="1890" spans="1:2" x14ac:dyDescent="0.25">
      <c r="A1890" t="s">
        <v>3830</v>
      </c>
      <c r="B1890" s="102">
        <f>SUMIF(Платежи!B:B,VLOOKUP(A1890,Платежи!B:B,1,0),Платежи!C:C)</f>
        <v>0</v>
      </c>
    </row>
    <row r="1891" spans="1:2" x14ac:dyDescent="0.25">
      <c r="A1891" t="s">
        <v>3831</v>
      </c>
      <c r="B1891" s="102">
        <f>SUMIF(Платежи!B:B,VLOOKUP(A1891,Платежи!B:B,1,0),Платежи!C:C)</f>
        <v>0</v>
      </c>
    </row>
    <row r="1892" spans="1:2" x14ac:dyDescent="0.25">
      <c r="A1892" t="s">
        <v>3832</v>
      </c>
      <c r="B1892" s="102">
        <f>SUMIF(Платежи!B:B,VLOOKUP(A1892,Платежи!B:B,1,0),Платежи!C:C)</f>
        <v>0</v>
      </c>
    </row>
    <row r="1893" spans="1:2" x14ac:dyDescent="0.25">
      <c r="A1893" t="s">
        <v>3833</v>
      </c>
      <c r="B1893" s="102">
        <f>SUMIF(Платежи!B:B,VLOOKUP(A1893,Платежи!B:B,1,0),Платежи!C:C)</f>
        <v>0</v>
      </c>
    </row>
    <row r="1894" spans="1:2" x14ac:dyDescent="0.25">
      <c r="A1894" t="s">
        <v>3182</v>
      </c>
      <c r="B1894" s="102">
        <f>SUMIF(Платежи!B:B,VLOOKUP(A1894,Платежи!B:B,1,0),Платежи!C:C)</f>
        <v>0</v>
      </c>
    </row>
    <row r="1895" spans="1:2" x14ac:dyDescent="0.25">
      <c r="A1895" t="s">
        <v>3834</v>
      </c>
      <c r="B1895" s="102">
        <f>SUMIF(Платежи!B:B,VLOOKUP(A1895,Платежи!B:B,1,0),Платежи!C:C)</f>
        <v>0</v>
      </c>
    </row>
    <row r="1896" spans="1:2" x14ac:dyDescent="0.25">
      <c r="A1896" t="s">
        <v>3835</v>
      </c>
      <c r="B1896" s="102">
        <f>SUMIF(Платежи!B:B,VLOOKUP(A1896,Платежи!B:B,1,0),Платежи!C:C)</f>
        <v>0</v>
      </c>
    </row>
    <row r="1897" spans="1:2" x14ac:dyDescent="0.25">
      <c r="A1897" t="s">
        <v>3836</v>
      </c>
      <c r="B1897" s="102">
        <f>SUMIF(Платежи!B:B,VLOOKUP(A1897,Платежи!B:B,1,0),Платежи!C:C)</f>
        <v>0</v>
      </c>
    </row>
    <row r="1898" spans="1:2" x14ac:dyDescent="0.25">
      <c r="A1898" t="s">
        <v>3837</v>
      </c>
      <c r="B1898" s="102">
        <f>SUMIF(Платежи!B:B,VLOOKUP(A1898,Платежи!B:B,1,0),Платежи!C:C)</f>
        <v>0</v>
      </c>
    </row>
    <row r="1899" spans="1:2" x14ac:dyDescent="0.25">
      <c r="A1899" t="s">
        <v>3838</v>
      </c>
      <c r="B1899" s="102">
        <f>SUMIF(Платежи!B:B,VLOOKUP(A1899,Платежи!B:B,1,0),Платежи!C:C)</f>
        <v>0</v>
      </c>
    </row>
    <row r="1900" spans="1:2" x14ac:dyDescent="0.25">
      <c r="A1900" t="s">
        <v>3839</v>
      </c>
      <c r="B1900" s="102">
        <f>SUMIF(Платежи!B:B,VLOOKUP(A1900,Платежи!B:B,1,0),Платежи!C:C)</f>
        <v>0</v>
      </c>
    </row>
    <row r="1901" spans="1:2" x14ac:dyDescent="0.25">
      <c r="A1901" t="s">
        <v>3183</v>
      </c>
      <c r="B1901" s="102">
        <f>SUMIF(Платежи!B:B,VLOOKUP(A1901,Платежи!B:B,1,0),Платежи!C:C)</f>
        <v>0</v>
      </c>
    </row>
    <row r="1902" spans="1:2" x14ac:dyDescent="0.25">
      <c r="A1902" t="s">
        <v>3184</v>
      </c>
      <c r="B1902" s="102">
        <f>SUMIF(Платежи!B:B,VLOOKUP(A1902,Платежи!B:B,1,0),Платежи!C:C)</f>
        <v>0</v>
      </c>
    </row>
    <row r="1903" spans="1:2" x14ac:dyDescent="0.25">
      <c r="A1903" t="s">
        <v>3185</v>
      </c>
      <c r="B1903" s="102">
        <f>SUMIF(Платежи!B:B,VLOOKUP(A1903,Платежи!B:B,1,0),Платежи!C:C)</f>
        <v>80000</v>
      </c>
    </row>
    <row r="1904" spans="1:2" x14ac:dyDescent="0.25">
      <c r="A1904" t="s">
        <v>3840</v>
      </c>
      <c r="B1904" s="102">
        <f>SUMIF(Платежи!B:B,VLOOKUP(A1904,Платежи!B:B,1,0),Платежи!C:C)</f>
        <v>0</v>
      </c>
    </row>
    <row r="1905" spans="1:2" x14ac:dyDescent="0.25">
      <c r="A1905" t="s">
        <v>3841</v>
      </c>
      <c r="B1905" s="102">
        <f>SUMIF(Платежи!B:B,VLOOKUP(A1905,Платежи!B:B,1,0),Платежи!C:C)</f>
        <v>0</v>
      </c>
    </row>
    <row r="1906" spans="1:2" x14ac:dyDescent="0.25">
      <c r="A1906" t="s">
        <v>3842</v>
      </c>
      <c r="B1906" s="102">
        <f>SUMIF(Платежи!B:B,VLOOKUP(A1906,Платежи!B:B,1,0),Платежи!C:C)</f>
        <v>0</v>
      </c>
    </row>
    <row r="1907" spans="1:2" x14ac:dyDescent="0.25">
      <c r="A1907" t="s">
        <v>3843</v>
      </c>
      <c r="B1907" s="102">
        <f>SUMIF(Платежи!B:B,VLOOKUP(A1907,Платежи!B:B,1,0),Платежи!C:C)</f>
        <v>0</v>
      </c>
    </row>
    <row r="1908" spans="1:2" x14ac:dyDescent="0.25">
      <c r="A1908" t="s">
        <v>3844</v>
      </c>
      <c r="B1908" s="102">
        <f>SUMIF(Платежи!B:B,VLOOKUP(A1908,Платежи!B:B,1,0),Платежи!C:C)</f>
        <v>0</v>
      </c>
    </row>
    <row r="1909" spans="1:2" x14ac:dyDescent="0.25">
      <c r="A1909" t="s">
        <v>3845</v>
      </c>
      <c r="B1909" s="102">
        <f>SUMIF(Платежи!B:B,VLOOKUP(A1909,Платежи!B:B,1,0),Платежи!C:C)</f>
        <v>0</v>
      </c>
    </row>
    <row r="1910" spans="1:2" x14ac:dyDescent="0.25">
      <c r="A1910" t="s">
        <v>3846</v>
      </c>
      <c r="B1910" s="102">
        <f>SUMIF(Платежи!B:B,VLOOKUP(A1910,Платежи!B:B,1,0),Платежи!C:C)</f>
        <v>0</v>
      </c>
    </row>
    <row r="1911" spans="1:2" x14ac:dyDescent="0.25">
      <c r="A1911" t="s">
        <v>130</v>
      </c>
      <c r="B1911" s="102">
        <f>SUMIF(Платежи!B:B,VLOOKUP(A1911,Платежи!B:B,1,0),Платежи!C:C)</f>
        <v>0</v>
      </c>
    </row>
    <row r="1912" spans="1:2" x14ac:dyDescent="0.25">
      <c r="A1912" t="s">
        <v>3186</v>
      </c>
      <c r="B1912" s="102">
        <f>SUMIF(Платежи!B:B,VLOOKUP(A1912,Платежи!B:B,1,0),Платежи!C:C)</f>
        <v>0</v>
      </c>
    </row>
    <row r="1913" spans="1:2" x14ac:dyDescent="0.25">
      <c r="A1913" t="s">
        <v>3187</v>
      </c>
      <c r="B1913" s="102">
        <f>SUMIF(Платежи!B:B,VLOOKUP(A1913,Платежи!B:B,1,0),Платежи!C:C)</f>
        <v>0</v>
      </c>
    </row>
    <row r="1914" spans="1:2" x14ac:dyDescent="0.25">
      <c r="A1914" t="s">
        <v>3847</v>
      </c>
      <c r="B1914" s="102">
        <f>SUMIF(Платежи!B:B,VLOOKUP(A1914,Платежи!B:B,1,0),Платежи!C:C)</f>
        <v>0</v>
      </c>
    </row>
    <row r="1915" spans="1:2" x14ac:dyDescent="0.25">
      <c r="A1915" t="s">
        <v>3848</v>
      </c>
      <c r="B1915" s="102">
        <f>SUMIF(Платежи!B:B,VLOOKUP(A1915,Платежи!B:B,1,0),Платежи!C:C)</f>
        <v>0</v>
      </c>
    </row>
    <row r="1916" spans="1:2" x14ac:dyDescent="0.25">
      <c r="A1916" t="s">
        <v>147</v>
      </c>
      <c r="B1916" s="102">
        <f>SUMIF(Платежи!B:B,VLOOKUP(A1916,Платежи!B:B,1,0),Платежи!C:C)</f>
        <v>0</v>
      </c>
    </row>
    <row r="1917" spans="1:2" x14ac:dyDescent="0.25">
      <c r="A1917" t="s">
        <v>3849</v>
      </c>
      <c r="B1917" s="102">
        <f>SUMIF(Платежи!B:B,VLOOKUP(A1917,Платежи!B:B,1,0),Платежи!C:C)</f>
        <v>0</v>
      </c>
    </row>
    <row r="1918" spans="1:2" x14ac:dyDescent="0.25">
      <c r="A1918" t="s">
        <v>3850</v>
      </c>
      <c r="B1918" s="102">
        <f>SUMIF(Платежи!B:B,VLOOKUP(A1918,Платежи!B:B,1,0),Платежи!C:C)</f>
        <v>0</v>
      </c>
    </row>
    <row r="1919" spans="1:2" x14ac:dyDescent="0.25">
      <c r="A1919" t="s">
        <v>3851</v>
      </c>
      <c r="B1919" s="102">
        <f>SUMIF(Платежи!B:B,VLOOKUP(A1919,Платежи!B:B,1,0),Платежи!C:C)</f>
        <v>0</v>
      </c>
    </row>
    <row r="1920" spans="1:2" x14ac:dyDescent="0.25">
      <c r="A1920" t="s">
        <v>3852</v>
      </c>
      <c r="B1920" s="102">
        <f>SUMIF(Платежи!B:B,VLOOKUP(A1920,Платежи!B:B,1,0),Платежи!C:C)</f>
        <v>0</v>
      </c>
    </row>
    <row r="1921" spans="1:2" x14ac:dyDescent="0.25">
      <c r="A1921" t="s">
        <v>3853</v>
      </c>
      <c r="B1921" s="102">
        <f>SUMIF(Платежи!B:B,VLOOKUP(A1921,Платежи!B:B,1,0),Платежи!C:C)</f>
        <v>0</v>
      </c>
    </row>
    <row r="1922" spans="1:2" x14ac:dyDescent="0.25">
      <c r="A1922" t="s">
        <v>3854</v>
      </c>
      <c r="B1922" s="102">
        <f>SUMIF(Платежи!B:B,VLOOKUP(A1922,Платежи!B:B,1,0),Платежи!C:C)</f>
        <v>0</v>
      </c>
    </row>
    <row r="1923" spans="1:2" x14ac:dyDescent="0.25">
      <c r="A1923" t="s">
        <v>3855</v>
      </c>
      <c r="B1923" s="102">
        <f>SUMIF(Платежи!B:B,VLOOKUP(A1923,Платежи!B:B,1,0),Платежи!C:C)</f>
        <v>0</v>
      </c>
    </row>
    <row r="1924" spans="1:2" x14ac:dyDescent="0.25">
      <c r="A1924" t="s">
        <v>3856</v>
      </c>
      <c r="B1924" s="102">
        <f>SUMIF(Платежи!B:B,VLOOKUP(A1924,Платежи!B:B,1,0),Платежи!C:C)</f>
        <v>0</v>
      </c>
    </row>
    <row r="1925" spans="1:2" x14ac:dyDescent="0.25">
      <c r="A1925" t="s">
        <v>3857</v>
      </c>
      <c r="B1925" s="102">
        <f>SUMIF(Платежи!B:B,VLOOKUP(A1925,Платежи!B:B,1,0),Платежи!C:C)</f>
        <v>0</v>
      </c>
    </row>
    <row r="1926" spans="1:2" x14ac:dyDescent="0.25">
      <c r="A1926" t="s">
        <v>3858</v>
      </c>
      <c r="B1926" s="102">
        <f>SUMIF(Платежи!B:B,VLOOKUP(A1926,Платежи!B:B,1,0),Платежи!C:C)</f>
        <v>0</v>
      </c>
    </row>
    <row r="1927" spans="1:2" x14ac:dyDescent="0.25">
      <c r="A1927" t="s">
        <v>3859</v>
      </c>
      <c r="B1927" s="102">
        <f>SUMIF(Платежи!B:B,VLOOKUP(A1927,Платежи!B:B,1,0),Платежи!C:C)</f>
        <v>0</v>
      </c>
    </row>
    <row r="1928" spans="1:2" x14ac:dyDescent="0.25">
      <c r="A1928" t="s">
        <v>137</v>
      </c>
      <c r="B1928" s="102">
        <f>SUMIF(Платежи!B:B,VLOOKUP(A1928,Платежи!B:B,1,0),Платежи!C:C)</f>
        <v>0</v>
      </c>
    </row>
    <row r="1929" spans="1:2" x14ac:dyDescent="0.25">
      <c r="A1929" t="s">
        <v>138</v>
      </c>
      <c r="B1929" s="102">
        <f>SUMIF(Платежи!B:B,VLOOKUP(A1929,Платежи!B:B,1,0),Платежи!C:C)</f>
        <v>0</v>
      </c>
    </row>
    <row r="1930" spans="1:2" x14ac:dyDescent="0.25">
      <c r="A1930" t="s">
        <v>3860</v>
      </c>
      <c r="B1930" s="102">
        <f>SUMIF(Платежи!B:B,VLOOKUP(A1930,Платежи!B:B,1,0),Платежи!C:C)</f>
        <v>0</v>
      </c>
    </row>
    <row r="1931" spans="1:2" x14ac:dyDescent="0.25">
      <c r="A1931" t="s">
        <v>3861</v>
      </c>
      <c r="B1931" s="102">
        <f>SUMIF(Платежи!B:B,VLOOKUP(A1931,Платежи!B:B,1,0),Платежи!C:C)</f>
        <v>0</v>
      </c>
    </row>
    <row r="1932" spans="1:2" x14ac:dyDescent="0.25">
      <c r="A1932" t="s">
        <v>3862</v>
      </c>
      <c r="B1932" s="102">
        <f>SUMIF(Платежи!B:B,VLOOKUP(A1932,Платежи!B:B,1,0),Платежи!C:C)</f>
        <v>0</v>
      </c>
    </row>
    <row r="1933" spans="1:2" x14ac:dyDescent="0.25">
      <c r="A1933" t="s">
        <v>3863</v>
      </c>
      <c r="B1933" s="102">
        <f>SUMIF(Платежи!B:B,VLOOKUP(A1933,Платежи!B:B,1,0),Платежи!C:C)</f>
        <v>0</v>
      </c>
    </row>
    <row r="1934" spans="1:2" x14ac:dyDescent="0.25">
      <c r="A1934" t="s">
        <v>3864</v>
      </c>
      <c r="B1934" s="102">
        <f>SUMIF(Платежи!B:B,VLOOKUP(A1934,Платежи!B:B,1,0),Платежи!C:C)</f>
        <v>0</v>
      </c>
    </row>
    <row r="1935" spans="1:2" x14ac:dyDescent="0.25">
      <c r="A1935" t="s">
        <v>3865</v>
      </c>
      <c r="B1935" s="102">
        <f>SUMIF(Платежи!B:B,VLOOKUP(A1935,Платежи!B:B,1,0),Платежи!C:C)</f>
        <v>0</v>
      </c>
    </row>
    <row r="1936" spans="1:2" x14ac:dyDescent="0.25">
      <c r="A1936" t="s">
        <v>3866</v>
      </c>
      <c r="B1936" s="102">
        <f>SUMIF(Платежи!B:B,VLOOKUP(A1936,Платежи!B:B,1,0),Платежи!C:C)</f>
        <v>0</v>
      </c>
    </row>
    <row r="1937" spans="1:2" x14ac:dyDescent="0.25">
      <c r="A1937" t="s">
        <v>3867</v>
      </c>
      <c r="B1937" s="102">
        <f>SUMIF(Платежи!B:B,VLOOKUP(A1937,Платежи!B:B,1,0),Платежи!C:C)</f>
        <v>48411.29</v>
      </c>
    </row>
    <row r="1938" spans="1:2" x14ac:dyDescent="0.25">
      <c r="A1938" t="s">
        <v>3868</v>
      </c>
      <c r="B1938" s="102">
        <f>SUMIF(Платежи!B:B,VLOOKUP(A1938,Платежи!B:B,1,0),Платежи!C:C)</f>
        <v>21379.46</v>
      </c>
    </row>
    <row r="1939" spans="1:2" x14ac:dyDescent="0.25">
      <c r="A1939" t="s">
        <v>3188</v>
      </c>
      <c r="B1939" s="102">
        <f>SUMIF(Платежи!B:B,VLOOKUP(A1939,Платежи!B:B,1,0),Платежи!C:C)</f>
        <v>0</v>
      </c>
    </row>
    <row r="1940" spans="1:2" x14ac:dyDescent="0.25">
      <c r="A1940" t="s">
        <v>3869</v>
      </c>
      <c r="B1940" s="102">
        <f>SUMIF(Платежи!B:B,VLOOKUP(A1940,Платежи!B:B,1,0),Платежи!C:C)</f>
        <v>0</v>
      </c>
    </row>
    <row r="1941" spans="1:2" x14ac:dyDescent="0.25">
      <c r="A1941" t="s">
        <v>3870</v>
      </c>
      <c r="B1941" s="102">
        <f>SUMIF(Платежи!B:B,VLOOKUP(A1941,Платежи!B:B,1,0),Платежи!C:C)</f>
        <v>0</v>
      </c>
    </row>
    <row r="1942" spans="1:2" x14ac:dyDescent="0.25">
      <c r="A1942" t="s">
        <v>3871</v>
      </c>
      <c r="B1942" s="102">
        <f>SUMIF(Платежи!B:B,VLOOKUP(A1942,Платежи!B:B,1,0),Платежи!C:C)</f>
        <v>0</v>
      </c>
    </row>
    <row r="1943" spans="1:2" x14ac:dyDescent="0.25">
      <c r="A1943" t="s">
        <v>3872</v>
      </c>
      <c r="B1943" s="102">
        <f>SUMIF(Платежи!B:B,VLOOKUP(A1943,Платежи!B:B,1,0),Платежи!C:C)</f>
        <v>19926.22</v>
      </c>
    </row>
    <row r="1944" spans="1:2" x14ac:dyDescent="0.25">
      <c r="A1944" t="s">
        <v>3873</v>
      </c>
      <c r="B1944" s="102">
        <f>SUMIF(Платежи!B:B,VLOOKUP(A1944,Платежи!B:B,1,0),Платежи!C:C)</f>
        <v>0</v>
      </c>
    </row>
    <row r="1945" spans="1:2" x14ac:dyDescent="0.25">
      <c r="A1945" t="s">
        <v>3874</v>
      </c>
      <c r="B1945" s="102">
        <f>SUMIF(Платежи!B:B,VLOOKUP(A1945,Платежи!B:B,1,0),Платежи!C:C)</f>
        <v>0</v>
      </c>
    </row>
    <row r="1946" spans="1:2" x14ac:dyDescent="0.25">
      <c r="A1946" t="s">
        <v>3875</v>
      </c>
      <c r="B1946" s="102">
        <f>SUMIF(Платежи!B:B,VLOOKUP(A1946,Платежи!B:B,1,0),Платежи!C:C)</f>
        <v>0</v>
      </c>
    </row>
    <row r="1947" spans="1:2" x14ac:dyDescent="0.25">
      <c r="A1947" t="s">
        <v>3876</v>
      </c>
      <c r="B1947" s="102">
        <f>SUMIF(Платежи!B:B,VLOOKUP(A1947,Платежи!B:B,1,0),Платежи!C:C)</f>
        <v>15969.71</v>
      </c>
    </row>
    <row r="1948" spans="1:2" x14ac:dyDescent="0.25">
      <c r="A1948" t="s">
        <v>3877</v>
      </c>
      <c r="B1948" s="102">
        <f>SUMIF(Платежи!B:B,VLOOKUP(A1948,Платежи!B:B,1,0),Платежи!C:C)</f>
        <v>0</v>
      </c>
    </row>
    <row r="1949" spans="1:2" x14ac:dyDescent="0.25">
      <c r="A1949" t="s">
        <v>3878</v>
      </c>
      <c r="B1949" s="102">
        <f>SUMIF(Платежи!B:B,VLOOKUP(A1949,Платежи!B:B,1,0),Платежи!C:C)</f>
        <v>0</v>
      </c>
    </row>
    <row r="1950" spans="1:2" x14ac:dyDescent="0.25">
      <c r="A1950" t="s">
        <v>3879</v>
      </c>
      <c r="B1950" s="102">
        <f>SUMIF(Платежи!B:B,VLOOKUP(A1950,Платежи!B:B,1,0),Платежи!C:C)</f>
        <v>0</v>
      </c>
    </row>
    <row r="1951" spans="1:2" x14ac:dyDescent="0.25">
      <c r="A1951" t="s">
        <v>3880</v>
      </c>
      <c r="B1951" s="102">
        <f>SUMIF(Платежи!B:B,VLOOKUP(A1951,Платежи!B:B,1,0),Платежи!C:C)</f>
        <v>0</v>
      </c>
    </row>
    <row r="1952" spans="1:2" x14ac:dyDescent="0.25">
      <c r="A1952" t="s">
        <v>3881</v>
      </c>
      <c r="B1952" s="102">
        <f>SUMIF(Платежи!B:B,VLOOKUP(A1952,Платежи!B:B,1,0),Платежи!C:C)</f>
        <v>0</v>
      </c>
    </row>
    <row r="1953" spans="1:2" x14ac:dyDescent="0.25">
      <c r="A1953" t="s">
        <v>3882</v>
      </c>
      <c r="B1953" s="102">
        <f>SUMIF(Платежи!B:B,VLOOKUP(A1953,Платежи!B:B,1,0),Платежи!C:C)</f>
        <v>0</v>
      </c>
    </row>
    <row r="1954" spans="1:2" x14ac:dyDescent="0.25">
      <c r="A1954" t="s">
        <v>3883</v>
      </c>
      <c r="B1954" s="102">
        <f>SUMIF(Платежи!B:B,VLOOKUP(A1954,Платежи!B:B,1,0),Платежи!C:C)</f>
        <v>0</v>
      </c>
    </row>
    <row r="1955" spans="1:2" x14ac:dyDescent="0.25">
      <c r="A1955" t="s">
        <v>3884</v>
      </c>
      <c r="B1955" s="102">
        <f>SUMIF(Платежи!B:B,VLOOKUP(A1955,Платежи!B:B,1,0),Платежи!C:C)</f>
        <v>13426.67</v>
      </c>
    </row>
    <row r="1956" spans="1:2" x14ac:dyDescent="0.25">
      <c r="A1956" t="s">
        <v>3885</v>
      </c>
      <c r="B1956" s="102">
        <f>SUMIF(Платежи!B:B,VLOOKUP(A1956,Платежи!B:B,1,0),Платежи!C:C)</f>
        <v>0</v>
      </c>
    </row>
    <row r="1957" spans="1:2" x14ac:dyDescent="0.25">
      <c r="A1957" t="s">
        <v>3886</v>
      </c>
      <c r="B1957" s="102">
        <f>SUMIF(Платежи!B:B,VLOOKUP(A1957,Платежи!B:B,1,0),Платежи!C:C)</f>
        <v>0</v>
      </c>
    </row>
    <row r="1958" spans="1:2" x14ac:dyDescent="0.25">
      <c r="A1958" t="s">
        <v>3887</v>
      </c>
      <c r="B1958" s="102">
        <f>SUMIF(Платежи!B:B,VLOOKUP(A1958,Платежи!B:B,1,0),Платежи!C:C)</f>
        <v>0</v>
      </c>
    </row>
    <row r="1959" spans="1:2" x14ac:dyDescent="0.25">
      <c r="A1959" t="s">
        <v>310</v>
      </c>
      <c r="B1959" s="102">
        <f>SUMIF(Платежи!B:B,VLOOKUP(A1959,Платежи!B:B,1,0),Платежи!C:C)</f>
        <v>0</v>
      </c>
    </row>
    <row r="1960" spans="1:2" x14ac:dyDescent="0.25">
      <c r="A1960" t="s">
        <v>3888</v>
      </c>
      <c r="B1960" s="102">
        <f>SUMIF(Платежи!B:B,VLOOKUP(A1960,Платежи!B:B,1,0),Платежи!C:C)</f>
        <v>0</v>
      </c>
    </row>
    <row r="1961" spans="1:2" x14ac:dyDescent="0.25">
      <c r="A1961" t="s">
        <v>3889</v>
      </c>
      <c r="B1961" s="102">
        <f>SUMIF(Платежи!B:B,VLOOKUP(A1961,Платежи!B:B,1,0),Платежи!C:C)</f>
        <v>0</v>
      </c>
    </row>
    <row r="1962" spans="1:2" x14ac:dyDescent="0.25">
      <c r="A1962" t="s">
        <v>3890</v>
      </c>
      <c r="B1962" s="102">
        <f>SUMIF(Платежи!B:B,VLOOKUP(A1962,Платежи!B:B,1,0),Платежи!C:C)</f>
        <v>0</v>
      </c>
    </row>
    <row r="1963" spans="1:2" x14ac:dyDescent="0.25">
      <c r="A1963" t="s">
        <v>3891</v>
      </c>
      <c r="B1963" s="102">
        <f>SUMIF(Платежи!B:B,VLOOKUP(A1963,Платежи!B:B,1,0),Платежи!C:C)</f>
        <v>0</v>
      </c>
    </row>
    <row r="1964" spans="1:2" x14ac:dyDescent="0.25">
      <c r="A1964" t="s">
        <v>3892</v>
      </c>
      <c r="B1964" s="102">
        <f>SUMIF(Платежи!B:B,VLOOKUP(A1964,Платежи!B:B,1,0),Платежи!C:C)</f>
        <v>0</v>
      </c>
    </row>
    <row r="1965" spans="1:2" x14ac:dyDescent="0.25">
      <c r="A1965" t="s">
        <v>3893</v>
      </c>
      <c r="B1965" s="102">
        <f>SUMIF(Платежи!B:B,VLOOKUP(A1965,Платежи!B:B,1,0),Платежи!C:C)</f>
        <v>0</v>
      </c>
    </row>
    <row r="1966" spans="1:2" x14ac:dyDescent="0.25">
      <c r="A1966" t="s">
        <v>3894</v>
      </c>
      <c r="B1966" s="102">
        <f>SUMIF(Платежи!B:B,VLOOKUP(A1966,Платежи!B:B,1,0),Платежи!C:C)</f>
        <v>0</v>
      </c>
    </row>
    <row r="1967" spans="1:2" x14ac:dyDescent="0.25">
      <c r="A1967" t="s">
        <v>3895</v>
      </c>
      <c r="B1967" s="102">
        <f>SUMIF(Платежи!B:B,VLOOKUP(A1967,Платежи!B:B,1,0),Платежи!C:C)</f>
        <v>0</v>
      </c>
    </row>
    <row r="1968" spans="1:2" x14ac:dyDescent="0.25">
      <c r="A1968" t="s">
        <v>3896</v>
      </c>
      <c r="B1968" s="102">
        <f>SUMIF(Платежи!B:B,VLOOKUP(A1968,Платежи!B:B,1,0),Платежи!C:C)</f>
        <v>0</v>
      </c>
    </row>
    <row r="1969" spans="1:2" x14ac:dyDescent="0.25">
      <c r="A1969" t="s">
        <v>3897</v>
      </c>
      <c r="B1969" s="102">
        <f>SUMIF(Платежи!B:B,VLOOKUP(A1969,Платежи!B:B,1,0),Платежи!C:C)</f>
        <v>0</v>
      </c>
    </row>
    <row r="1970" spans="1:2" x14ac:dyDescent="0.25">
      <c r="A1970" t="s">
        <v>3898</v>
      </c>
      <c r="B1970" s="102">
        <f>SUMIF(Платежи!B:B,VLOOKUP(A1970,Платежи!B:B,1,0),Платежи!C:C)</f>
        <v>0</v>
      </c>
    </row>
    <row r="1971" spans="1:2" x14ac:dyDescent="0.25">
      <c r="A1971" t="s">
        <v>3899</v>
      </c>
      <c r="B1971" s="102">
        <f>SUMIF(Платежи!B:B,VLOOKUP(A1971,Платежи!B:B,1,0),Платежи!C:C)</f>
        <v>0</v>
      </c>
    </row>
    <row r="1972" spans="1:2" x14ac:dyDescent="0.25">
      <c r="A1972" t="s">
        <v>3189</v>
      </c>
      <c r="B1972" s="102">
        <f>SUMIF(Платежи!B:B,VLOOKUP(A1972,Платежи!B:B,1,0),Платежи!C:C)</f>
        <v>0</v>
      </c>
    </row>
    <row r="1973" spans="1:2" x14ac:dyDescent="0.25">
      <c r="A1973" t="s">
        <v>3900</v>
      </c>
      <c r="B1973" s="102">
        <f>SUMIF(Платежи!B:B,VLOOKUP(A1973,Платежи!B:B,1,0),Платежи!C:C)</f>
        <v>0</v>
      </c>
    </row>
    <row r="1974" spans="1:2" x14ac:dyDescent="0.25">
      <c r="A1974" t="s">
        <v>3901</v>
      </c>
      <c r="B1974" s="102">
        <f>SUMIF(Платежи!B:B,VLOOKUP(A1974,Платежи!B:B,1,0),Платежи!C:C)</f>
        <v>0</v>
      </c>
    </row>
    <row r="1975" spans="1:2" x14ac:dyDescent="0.25">
      <c r="A1975" t="s">
        <v>3902</v>
      </c>
      <c r="B1975" s="102">
        <f>SUMIF(Платежи!B:B,VLOOKUP(A1975,Платежи!B:B,1,0),Платежи!C:C)</f>
        <v>0</v>
      </c>
    </row>
    <row r="1976" spans="1:2" x14ac:dyDescent="0.25">
      <c r="A1976" t="s">
        <v>3903</v>
      </c>
      <c r="B1976" s="102">
        <f>SUMIF(Платежи!B:B,VLOOKUP(A1976,Платежи!B:B,1,0),Платежи!C:C)</f>
        <v>0</v>
      </c>
    </row>
    <row r="1977" spans="1:2" x14ac:dyDescent="0.25">
      <c r="A1977" t="s">
        <v>3904</v>
      </c>
      <c r="B1977" s="102">
        <f>SUMIF(Платежи!B:B,VLOOKUP(A1977,Платежи!B:B,1,0),Платежи!C:C)</f>
        <v>0</v>
      </c>
    </row>
    <row r="1978" spans="1:2" x14ac:dyDescent="0.25">
      <c r="A1978" t="s">
        <v>3905</v>
      </c>
      <c r="B1978" s="102">
        <f>SUMIF(Платежи!B:B,VLOOKUP(A1978,Платежи!B:B,1,0),Платежи!C:C)</f>
        <v>0</v>
      </c>
    </row>
    <row r="1979" spans="1:2" x14ac:dyDescent="0.25">
      <c r="A1979" t="s">
        <v>3906</v>
      </c>
      <c r="B1979" s="102">
        <f>SUMIF(Платежи!B:B,VLOOKUP(A1979,Платежи!B:B,1,0),Платежи!C:C)</f>
        <v>0</v>
      </c>
    </row>
    <row r="1980" spans="1:2" x14ac:dyDescent="0.25">
      <c r="A1980" t="s">
        <v>3907</v>
      </c>
      <c r="B1980" s="102">
        <f>SUMIF(Платежи!B:B,VLOOKUP(A1980,Платежи!B:B,1,0),Платежи!C:C)</f>
        <v>0</v>
      </c>
    </row>
    <row r="1981" spans="1:2" x14ac:dyDescent="0.25">
      <c r="A1981" t="s">
        <v>1745</v>
      </c>
      <c r="B1981" s="102">
        <f>SUMIF(Платежи!B:B,VLOOKUP(A1981,Платежи!B:B,1,0),Платежи!C:C)</f>
        <v>0</v>
      </c>
    </row>
    <row r="1982" spans="1:2" x14ac:dyDescent="0.25">
      <c r="A1982" t="s">
        <v>3908</v>
      </c>
      <c r="B1982" s="102">
        <f>SUMIF(Платежи!B:B,VLOOKUP(A1982,Платежи!B:B,1,0),Платежи!C:C)</f>
        <v>0</v>
      </c>
    </row>
    <row r="1983" spans="1:2" x14ac:dyDescent="0.25">
      <c r="A1983" t="s">
        <v>3909</v>
      </c>
      <c r="B1983" s="102">
        <f>SUMIF(Платежи!B:B,VLOOKUP(A1983,Платежи!B:B,1,0),Платежи!C:C)</f>
        <v>0</v>
      </c>
    </row>
    <row r="1984" spans="1:2" x14ac:dyDescent="0.25">
      <c r="A1984" t="s">
        <v>3910</v>
      </c>
      <c r="B1984" s="102">
        <f>SUMIF(Платежи!B:B,VLOOKUP(A1984,Платежи!B:B,1,0),Платежи!C:C)</f>
        <v>0</v>
      </c>
    </row>
    <row r="1985" spans="1:2" x14ac:dyDescent="0.25">
      <c r="A1985" t="s">
        <v>3911</v>
      </c>
      <c r="B1985" s="102">
        <f>SUMIF(Платежи!B:B,VLOOKUP(A1985,Платежи!B:B,1,0),Платежи!C:C)</f>
        <v>0</v>
      </c>
    </row>
    <row r="1986" spans="1:2" x14ac:dyDescent="0.25">
      <c r="A1986" t="s">
        <v>3912</v>
      </c>
      <c r="B1986" s="102">
        <f>SUMIF(Платежи!B:B,VLOOKUP(A1986,Платежи!B:B,1,0),Платежи!C:C)</f>
        <v>0</v>
      </c>
    </row>
    <row r="1987" spans="1:2" x14ac:dyDescent="0.25">
      <c r="A1987" t="s">
        <v>3913</v>
      </c>
      <c r="B1987" s="102">
        <f>SUMIF(Платежи!B:B,VLOOKUP(A1987,Платежи!B:B,1,0),Платежи!C:C)</f>
        <v>0</v>
      </c>
    </row>
    <row r="1988" spans="1:2" x14ac:dyDescent="0.25">
      <c r="A1988" t="s">
        <v>3914</v>
      </c>
      <c r="B1988" s="102">
        <f>SUMIF(Платежи!B:B,VLOOKUP(A1988,Платежи!B:B,1,0),Платежи!C:C)</f>
        <v>0</v>
      </c>
    </row>
    <row r="1989" spans="1:2" x14ac:dyDescent="0.25">
      <c r="A1989" t="s">
        <v>3915</v>
      </c>
      <c r="B1989" s="102">
        <f>SUMIF(Платежи!B:B,VLOOKUP(A1989,Платежи!B:B,1,0),Платежи!C:C)</f>
        <v>0</v>
      </c>
    </row>
    <row r="1990" spans="1:2" x14ac:dyDescent="0.25">
      <c r="A1990" t="s">
        <v>3916</v>
      </c>
      <c r="B1990" s="102">
        <f>SUMIF(Платежи!B:B,VLOOKUP(A1990,Платежи!B:B,1,0),Платежи!C:C)</f>
        <v>0</v>
      </c>
    </row>
    <row r="1991" spans="1:2" x14ac:dyDescent="0.25">
      <c r="A1991" t="s">
        <v>3190</v>
      </c>
      <c r="B1991" s="102">
        <f>SUMIF(Платежи!B:B,VLOOKUP(A1991,Платежи!B:B,1,0),Платежи!C:C)</f>
        <v>0</v>
      </c>
    </row>
    <row r="1992" spans="1:2" x14ac:dyDescent="0.25">
      <c r="A1992" t="s">
        <v>3917</v>
      </c>
      <c r="B1992" s="102">
        <f>SUMIF(Платежи!B:B,VLOOKUP(A1992,Платежи!B:B,1,0),Платежи!C:C)</f>
        <v>0</v>
      </c>
    </row>
    <row r="1993" spans="1:2" x14ac:dyDescent="0.25">
      <c r="A1993" t="s">
        <v>3918</v>
      </c>
      <c r="B1993" s="102">
        <f>SUMIF(Платежи!B:B,VLOOKUP(A1993,Платежи!B:B,1,0),Платежи!C:C)</f>
        <v>0</v>
      </c>
    </row>
    <row r="1994" spans="1:2" x14ac:dyDescent="0.25">
      <c r="A1994" t="s">
        <v>3919</v>
      </c>
      <c r="B1994" s="102">
        <f>SUMIF(Платежи!B:B,VLOOKUP(A1994,Платежи!B:B,1,0),Платежи!C:C)</f>
        <v>0</v>
      </c>
    </row>
    <row r="1995" spans="1:2" x14ac:dyDescent="0.25">
      <c r="A1995" t="s">
        <v>3920</v>
      </c>
      <c r="B1995" s="102">
        <f>SUMIF(Платежи!B:B,VLOOKUP(A1995,Платежи!B:B,1,0),Платежи!C:C)</f>
        <v>0</v>
      </c>
    </row>
    <row r="1996" spans="1:2" x14ac:dyDescent="0.25">
      <c r="A1996" t="s">
        <v>3921</v>
      </c>
      <c r="B1996" s="102">
        <f>SUMIF(Платежи!B:B,VLOOKUP(A1996,Платежи!B:B,1,0),Платежи!C:C)</f>
        <v>0</v>
      </c>
    </row>
    <row r="1997" spans="1:2" x14ac:dyDescent="0.25">
      <c r="A1997" t="s">
        <v>3922</v>
      </c>
      <c r="B1997" s="102">
        <f>SUMIF(Платежи!B:B,VLOOKUP(A1997,Платежи!B:B,1,0),Платежи!C:C)</f>
        <v>0</v>
      </c>
    </row>
    <row r="1998" spans="1:2" x14ac:dyDescent="0.25">
      <c r="A1998" t="s">
        <v>3923</v>
      </c>
      <c r="B1998" s="102">
        <f>SUMIF(Платежи!B:B,VLOOKUP(A1998,Платежи!B:B,1,0),Платежи!C:C)</f>
        <v>0</v>
      </c>
    </row>
    <row r="1999" spans="1:2" x14ac:dyDescent="0.25">
      <c r="A1999" t="s">
        <v>3924</v>
      </c>
      <c r="B1999" s="102">
        <f>SUMIF(Платежи!B:B,VLOOKUP(A1999,Платежи!B:B,1,0),Платежи!C:C)</f>
        <v>0</v>
      </c>
    </row>
    <row r="2000" spans="1:2" x14ac:dyDescent="0.25">
      <c r="A2000" t="s">
        <v>3191</v>
      </c>
      <c r="B2000" s="102">
        <f>SUMIF(Платежи!B:B,VLOOKUP(A2000,Платежи!B:B,1,0),Платежи!C:C)</f>
        <v>0</v>
      </c>
    </row>
    <row r="2001" spans="1:2" x14ac:dyDescent="0.25">
      <c r="A2001" t="s">
        <v>3192</v>
      </c>
      <c r="B2001" s="102">
        <f>SUMIF(Платежи!B:B,VLOOKUP(A2001,Платежи!B:B,1,0),Платежи!C:C)</f>
        <v>0</v>
      </c>
    </row>
    <row r="2002" spans="1:2" x14ac:dyDescent="0.25">
      <c r="A2002" t="s">
        <v>3925</v>
      </c>
      <c r="B2002" s="102">
        <f>SUMIF(Платежи!B:B,VLOOKUP(A2002,Платежи!B:B,1,0),Платежи!C:C)</f>
        <v>0</v>
      </c>
    </row>
    <row r="2003" spans="1:2" x14ac:dyDescent="0.25">
      <c r="A2003" t="s">
        <v>3926</v>
      </c>
      <c r="B2003" s="102">
        <f>SUMIF(Платежи!B:B,VLOOKUP(A2003,Платежи!B:B,1,0),Платежи!C:C)</f>
        <v>0</v>
      </c>
    </row>
    <row r="2004" spans="1:2" x14ac:dyDescent="0.25">
      <c r="A2004" t="s">
        <v>3927</v>
      </c>
      <c r="B2004" s="102">
        <f>SUMIF(Платежи!B:B,VLOOKUP(A2004,Платежи!B:B,1,0),Платежи!C:C)</f>
        <v>0</v>
      </c>
    </row>
    <row r="2005" spans="1:2" x14ac:dyDescent="0.25">
      <c r="A2005" t="s">
        <v>3928</v>
      </c>
      <c r="B2005" s="102">
        <f>SUMIF(Платежи!B:B,VLOOKUP(A2005,Платежи!B:B,1,0),Платежи!C:C)</f>
        <v>0</v>
      </c>
    </row>
    <row r="2006" spans="1:2" x14ac:dyDescent="0.25">
      <c r="A2006" t="s">
        <v>3929</v>
      </c>
      <c r="B2006" s="102">
        <f>SUMIF(Платежи!B:B,VLOOKUP(A2006,Платежи!B:B,1,0),Платежи!C:C)</f>
        <v>0</v>
      </c>
    </row>
    <row r="2007" spans="1:2" x14ac:dyDescent="0.25">
      <c r="A2007" t="s">
        <v>3193</v>
      </c>
      <c r="B2007" s="102">
        <f>SUMIF(Платежи!B:B,VLOOKUP(A2007,Платежи!B:B,1,0),Платежи!C:C)</f>
        <v>0</v>
      </c>
    </row>
    <row r="2008" spans="1:2" x14ac:dyDescent="0.25">
      <c r="A2008" t="s">
        <v>3194</v>
      </c>
      <c r="B2008" s="102">
        <f>SUMIF(Платежи!B:B,VLOOKUP(A2008,Платежи!B:B,1,0),Платежи!C:C)</f>
        <v>0</v>
      </c>
    </row>
    <row r="2009" spans="1:2" x14ac:dyDescent="0.25">
      <c r="A2009" t="s">
        <v>3930</v>
      </c>
      <c r="B2009" s="102">
        <f>SUMIF(Платежи!B:B,VLOOKUP(A2009,Платежи!B:B,1,0),Платежи!C:C)</f>
        <v>0</v>
      </c>
    </row>
    <row r="2010" spans="1:2" x14ac:dyDescent="0.25">
      <c r="A2010" t="s">
        <v>3931</v>
      </c>
      <c r="B2010" s="102">
        <f>SUMIF(Платежи!B:B,VLOOKUP(A2010,Платежи!B:B,1,0),Платежи!C:C)</f>
        <v>0</v>
      </c>
    </row>
    <row r="2011" spans="1:2" x14ac:dyDescent="0.25">
      <c r="A2011" t="s">
        <v>3932</v>
      </c>
      <c r="B2011" s="102">
        <f>SUMIF(Платежи!B:B,VLOOKUP(A2011,Платежи!B:B,1,0),Платежи!C:C)</f>
        <v>2669.36</v>
      </c>
    </row>
    <row r="2012" spans="1:2" x14ac:dyDescent="0.25">
      <c r="A2012" t="s">
        <v>3933</v>
      </c>
      <c r="B2012" s="102">
        <f>SUMIF(Платежи!B:B,VLOOKUP(A2012,Платежи!B:B,1,0),Платежи!C:C)</f>
        <v>0</v>
      </c>
    </row>
    <row r="2013" spans="1:2" x14ac:dyDescent="0.25">
      <c r="A2013" t="s">
        <v>3934</v>
      </c>
      <c r="B2013" s="102">
        <f>SUMIF(Платежи!B:B,VLOOKUP(A2013,Платежи!B:B,1,0),Платежи!C:C)</f>
        <v>0</v>
      </c>
    </row>
    <row r="2014" spans="1:2" x14ac:dyDescent="0.25">
      <c r="A2014" t="s">
        <v>3935</v>
      </c>
      <c r="B2014" s="102">
        <f>SUMIF(Платежи!B:B,VLOOKUP(A2014,Платежи!B:B,1,0),Платежи!C:C)</f>
        <v>0</v>
      </c>
    </row>
    <row r="2015" spans="1:2" x14ac:dyDescent="0.25">
      <c r="A2015" t="s">
        <v>3936</v>
      </c>
      <c r="B2015" s="102">
        <f>SUMIF(Платежи!B:B,VLOOKUP(A2015,Платежи!B:B,1,0),Платежи!C:C)</f>
        <v>0</v>
      </c>
    </row>
    <row r="2016" spans="1:2" x14ac:dyDescent="0.25">
      <c r="A2016" t="s">
        <v>3937</v>
      </c>
      <c r="B2016" s="102">
        <f>SUMIF(Платежи!B:B,VLOOKUP(A2016,Платежи!B:B,1,0),Платежи!C:C)</f>
        <v>0</v>
      </c>
    </row>
    <row r="2017" spans="1:2" x14ac:dyDescent="0.25">
      <c r="A2017" t="s">
        <v>3938</v>
      </c>
      <c r="B2017" s="102">
        <f>SUMIF(Платежи!B:B,VLOOKUP(A2017,Платежи!B:B,1,0),Платежи!C:C)</f>
        <v>0</v>
      </c>
    </row>
    <row r="2018" spans="1:2" x14ac:dyDescent="0.25">
      <c r="A2018" t="s">
        <v>3195</v>
      </c>
      <c r="B2018" s="102">
        <f>SUMIF(Платежи!B:B,VLOOKUP(A2018,Платежи!B:B,1,0),Платежи!C:C)</f>
        <v>0</v>
      </c>
    </row>
    <row r="2019" spans="1:2" x14ac:dyDescent="0.25">
      <c r="A2019" t="s">
        <v>3939</v>
      </c>
      <c r="B2019" s="102">
        <f>SUMIF(Платежи!B:B,VLOOKUP(A2019,Платежи!B:B,1,0),Платежи!C:C)</f>
        <v>0</v>
      </c>
    </row>
    <row r="2020" spans="1:2" x14ac:dyDescent="0.25">
      <c r="A2020" t="s">
        <v>3940</v>
      </c>
      <c r="B2020" s="102">
        <f>SUMIF(Платежи!B:B,VLOOKUP(A2020,Платежи!B:B,1,0),Платежи!C:C)</f>
        <v>0</v>
      </c>
    </row>
    <row r="2021" spans="1:2" x14ac:dyDescent="0.25">
      <c r="A2021" t="s">
        <v>3941</v>
      </c>
      <c r="B2021" s="102">
        <f>SUMIF(Платежи!B:B,VLOOKUP(A2021,Платежи!B:B,1,0),Платежи!C:C)</f>
        <v>0</v>
      </c>
    </row>
    <row r="2022" spans="1:2" x14ac:dyDescent="0.25">
      <c r="A2022" t="s">
        <v>3942</v>
      </c>
      <c r="B2022" s="102">
        <f>SUMIF(Платежи!B:B,VLOOKUP(A2022,Платежи!B:B,1,0),Платежи!C:C)</f>
        <v>0</v>
      </c>
    </row>
    <row r="2023" spans="1:2" x14ac:dyDescent="0.25">
      <c r="A2023" t="s">
        <v>3943</v>
      </c>
      <c r="B2023" s="102">
        <f>SUMIF(Платежи!B:B,VLOOKUP(A2023,Платежи!B:B,1,0),Платежи!C:C)</f>
        <v>0</v>
      </c>
    </row>
    <row r="2024" spans="1:2" x14ac:dyDescent="0.25">
      <c r="A2024" t="s">
        <v>3944</v>
      </c>
      <c r="B2024" s="102">
        <f>SUMIF(Платежи!B:B,VLOOKUP(A2024,Платежи!B:B,1,0),Платежи!C:C)</f>
        <v>0</v>
      </c>
    </row>
    <row r="2025" spans="1:2" x14ac:dyDescent="0.25">
      <c r="A2025" t="s">
        <v>3945</v>
      </c>
      <c r="B2025" s="102">
        <f>SUMIF(Платежи!B:B,VLOOKUP(A2025,Платежи!B:B,1,0),Платежи!C:C)</f>
        <v>0</v>
      </c>
    </row>
    <row r="2026" spans="1:2" x14ac:dyDescent="0.25">
      <c r="A2026" t="s">
        <v>3946</v>
      </c>
      <c r="B2026" s="102">
        <f>SUMIF(Платежи!B:B,VLOOKUP(A2026,Платежи!B:B,1,0),Платежи!C:C)</f>
        <v>0</v>
      </c>
    </row>
    <row r="2027" spans="1:2" x14ac:dyDescent="0.25">
      <c r="A2027" t="s">
        <v>3947</v>
      </c>
      <c r="B2027" s="102">
        <f>SUMIF(Платежи!B:B,VLOOKUP(A2027,Платежи!B:B,1,0),Платежи!C:C)</f>
        <v>0</v>
      </c>
    </row>
    <row r="2028" spans="1:2" x14ac:dyDescent="0.25">
      <c r="A2028" t="s">
        <v>3948</v>
      </c>
      <c r="B2028" s="102">
        <f>SUMIF(Платежи!B:B,VLOOKUP(A2028,Платежи!B:B,1,0),Платежи!C:C)</f>
        <v>0</v>
      </c>
    </row>
    <row r="2029" spans="1:2" x14ac:dyDescent="0.25">
      <c r="A2029" t="s">
        <v>3949</v>
      </c>
      <c r="B2029" s="102">
        <f>SUMIF(Платежи!B:B,VLOOKUP(A2029,Платежи!B:B,1,0),Платежи!C:C)</f>
        <v>0</v>
      </c>
    </row>
    <row r="2030" spans="1:2" x14ac:dyDescent="0.25">
      <c r="A2030" t="s">
        <v>3950</v>
      </c>
      <c r="B2030" s="102">
        <f>SUMIF(Платежи!B:B,VLOOKUP(A2030,Платежи!B:B,1,0),Платежи!C:C)</f>
        <v>0</v>
      </c>
    </row>
    <row r="2031" spans="1:2" x14ac:dyDescent="0.25">
      <c r="A2031" t="s">
        <v>3951</v>
      </c>
      <c r="B2031" s="102">
        <f>SUMIF(Платежи!B:B,VLOOKUP(A2031,Платежи!B:B,1,0),Платежи!C:C)</f>
        <v>0</v>
      </c>
    </row>
    <row r="2032" spans="1:2" x14ac:dyDescent="0.25">
      <c r="A2032" t="s">
        <v>3952</v>
      </c>
      <c r="B2032" s="102">
        <f>SUMIF(Платежи!B:B,VLOOKUP(A2032,Платежи!B:B,1,0),Платежи!C:C)</f>
        <v>0</v>
      </c>
    </row>
    <row r="2033" spans="1:2" x14ac:dyDescent="0.25">
      <c r="A2033" t="s">
        <v>3953</v>
      </c>
      <c r="B2033" s="102">
        <f>SUMIF(Платежи!B:B,VLOOKUP(A2033,Платежи!B:B,1,0),Платежи!C:C)</f>
        <v>0</v>
      </c>
    </row>
    <row r="2034" spans="1:2" x14ac:dyDescent="0.25">
      <c r="A2034" t="s">
        <v>3954</v>
      </c>
      <c r="B2034" s="102">
        <f>SUMIF(Платежи!B:B,VLOOKUP(A2034,Платежи!B:B,1,0),Платежи!C:C)</f>
        <v>0</v>
      </c>
    </row>
    <row r="2035" spans="1:2" x14ac:dyDescent="0.25">
      <c r="A2035" t="s">
        <v>3955</v>
      </c>
      <c r="B2035" s="102">
        <f>SUMIF(Платежи!B:B,VLOOKUP(A2035,Платежи!B:B,1,0),Платежи!C:C)</f>
        <v>0</v>
      </c>
    </row>
    <row r="2036" spans="1:2" x14ac:dyDescent="0.25">
      <c r="A2036" t="s">
        <v>3956</v>
      </c>
      <c r="B2036" s="102">
        <f>SUMIF(Платежи!B:B,VLOOKUP(A2036,Платежи!B:B,1,0),Платежи!C:C)</f>
        <v>0</v>
      </c>
    </row>
    <row r="2037" spans="1:2" x14ac:dyDescent="0.25">
      <c r="A2037" t="s">
        <v>3957</v>
      </c>
      <c r="B2037" s="102">
        <f>SUMIF(Платежи!B:B,VLOOKUP(A2037,Платежи!B:B,1,0),Платежи!C:C)</f>
        <v>0</v>
      </c>
    </row>
    <row r="2038" spans="1:2" x14ac:dyDescent="0.25">
      <c r="A2038" t="s">
        <v>3958</v>
      </c>
      <c r="B2038" s="102">
        <f>SUMIF(Платежи!B:B,VLOOKUP(A2038,Платежи!B:B,1,0),Платежи!C:C)</f>
        <v>0</v>
      </c>
    </row>
    <row r="2039" spans="1:2" x14ac:dyDescent="0.25">
      <c r="A2039" t="s">
        <v>328</v>
      </c>
      <c r="B2039" s="102">
        <f>SUMIF(Платежи!B:B,VLOOKUP(A2039,Платежи!B:B,1,0),Платежи!C:C)</f>
        <v>0</v>
      </c>
    </row>
    <row r="2040" spans="1:2" x14ac:dyDescent="0.25">
      <c r="A2040" t="s">
        <v>3959</v>
      </c>
      <c r="B2040" s="102">
        <f>SUMIF(Платежи!B:B,VLOOKUP(A2040,Платежи!B:B,1,0),Платежи!C:C)</f>
        <v>0</v>
      </c>
    </row>
    <row r="2041" spans="1:2" x14ac:dyDescent="0.25">
      <c r="A2041" t="s">
        <v>3960</v>
      </c>
      <c r="B2041" s="102">
        <f>SUMIF(Платежи!B:B,VLOOKUP(A2041,Платежи!B:B,1,0),Платежи!C:C)</f>
        <v>0</v>
      </c>
    </row>
    <row r="2042" spans="1:2" x14ac:dyDescent="0.25">
      <c r="A2042" t="s">
        <v>3961</v>
      </c>
      <c r="B2042" s="102">
        <f>SUMIF(Платежи!B:B,VLOOKUP(A2042,Платежи!B:B,1,0),Платежи!C:C)</f>
        <v>261158.69</v>
      </c>
    </row>
    <row r="2043" spans="1:2" x14ac:dyDescent="0.25">
      <c r="A2043" t="s">
        <v>3962</v>
      </c>
      <c r="B2043" s="102">
        <f>SUMIF(Платежи!B:B,VLOOKUP(A2043,Платежи!B:B,1,0),Платежи!C:C)</f>
        <v>0</v>
      </c>
    </row>
    <row r="2044" spans="1:2" x14ac:dyDescent="0.25">
      <c r="A2044" t="s">
        <v>3963</v>
      </c>
      <c r="B2044" s="102">
        <f>SUMIF(Платежи!B:B,VLOOKUP(A2044,Платежи!B:B,1,0),Платежи!C:C)</f>
        <v>0</v>
      </c>
    </row>
    <row r="2045" spans="1:2" x14ac:dyDescent="0.25">
      <c r="A2045" t="s">
        <v>3964</v>
      </c>
      <c r="B2045" s="102">
        <f>SUMIF(Платежи!B:B,VLOOKUP(A2045,Платежи!B:B,1,0),Платежи!C:C)</f>
        <v>0</v>
      </c>
    </row>
    <row r="2046" spans="1:2" x14ac:dyDescent="0.25">
      <c r="A2046" t="s">
        <v>3965</v>
      </c>
      <c r="B2046" s="102">
        <f>SUMIF(Платежи!B:B,VLOOKUP(A2046,Платежи!B:B,1,0),Платежи!C:C)</f>
        <v>0</v>
      </c>
    </row>
    <row r="2047" spans="1:2" x14ac:dyDescent="0.25">
      <c r="A2047" t="s">
        <v>3966</v>
      </c>
      <c r="B2047" s="102">
        <f>SUMIF(Платежи!B:B,VLOOKUP(A2047,Платежи!B:B,1,0),Платежи!C:C)</f>
        <v>0</v>
      </c>
    </row>
    <row r="2048" spans="1:2" x14ac:dyDescent="0.25">
      <c r="A2048" t="s">
        <v>3196</v>
      </c>
      <c r="B2048" s="102">
        <f>SUMIF(Платежи!B:B,VLOOKUP(A2048,Платежи!B:B,1,0),Платежи!C:C)</f>
        <v>0</v>
      </c>
    </row>
    <row r="2049" spans="1:2" x14ac:dyDescent="0.25">
      <c r="A2049" t="s">
        <v>3967</v>
      </c>
      <c r="B2049" s="102">
        <f>SUMIF(Платежи!B:B,VLOOKUP(A2049,Платежи!B:B,1,0),Платежи!C:C)</f>
        <v>0</v>
      </c>
    </row>
    <row r="2050" spans="1:2" x14ac:dyDescent="0.25">
      <c r="A2050" t="s">
        <v>3968</v>
      </c>
      <c r="B2050" s="102">
        <f>SUMIF(Платежи!B:B,VLOOKUP(A2050,Платежи!B:B,1,0),Платежи!C:C)</f>
        <v>0</v>
      </c>
    </row>
    <row r="2051" spans="1:2" x14ac:dyDescent="0.25">
      <c r="A2051" t="s">
        <v>3969</v>
      </c>
      <c r="B2051" s="102">
        <f>SUMIF(Платежи!B:B,VLOOKUP(A2051,Платежи!B:B,1,0),Платежи!C:C)</f>
        <v>1198581.21</v>
      </c>
    </row>
    <row r="2052" spans="1:2" x14ac:dyDescent="0.25">
      <c r="A2052" t="s">
        <v>3970</v>
      </c>
      <c r="B2052" s="102">
        <f>SUMIF(Платежи!B:B,VLOOKUP(A2052,Платежи!B:B,1,0),Платежи!C:C)</f>
        <v>0</v>
      </c>
    </row>
    <row r="2053" spans="1:2" x14ac:dyDescent="0.25">
      <c r="A2053" t="s">
        <v>3971</v>
      </c>
      <c r="B2053" s="102">
        <f>SUMIF(Платежи!B:B,VLOOKUP(A2053,Платежи!B:B,1,0),Платежи!C:C)</f>
        <v>0</v>
      </c>
    </row>
    <row r="2054" spans="1:2" x14ac:dyDescent="0.25">
      <c r="A2054" t="s">
        <v>3972</v>
      </c>
      <c r="B2054" s="102">
        <f>SUMIF(Платежи!B:B,VLOOKUP(A2054,Платежи!B:B,1,0),Платежи!C:C)</f>
        <v>0</v>
      </c>
    </row>
    <row r="2055" spans="1:2" x14ac:dyDescent="0.25">
      <c r="A2055" t="s">
        <v>186</v>
      </c>
      <c r="B2055" s="102">
        <f>SUMIF(Платежи!B:B,VLOOKUP(A2055,Платежи!B:B,1,0),Платежи!C:C)</f>
        <v>0</v>
      </c>
    </row>
    <row r="2056" spans="1:2" x14ac:dyDescent="0.25">
      <c r="A2056" t="s">
        <v>3973</v>
      </c>
      <c r="B2056" s="102">
        <f>SUMIF(Платежи!B:B,VLOOKUP(A2056,Платежи!B:B,1,0),Платежи!C:C)</f>
        <v>0</v>
      </c>
    </row>
    <row r="2057" spans="1:2" x14ac:dyDescent="0.25">
      <c r="A2057" t="s">
        <v>3974</v>
      </c>
      <c r="B2057" s="102">
        <f>SUMIF(Платежи!B:B,VLOOKUP(A2057,Платежи!B:B,1,0),Платежи!C:C)</f>
        <v>0</v>
      </c>
    </row>
    <row r="2058" spans="1:2" x14ac:dyDescent="0.25">
      <c r="A2058" t="s">
        <v>3975</v>
      </c>
      <c r="B2058" s="102">
        <f>SUMIF(Платежи!B:B,VLOOKUP(A2058,Платежи!B:B,1,0),Платежи!C:C)</f>
        <v>82950</v>
      </c>
    </row>
    <row r="2059" spans="1:2" x14ac:dyDescent="0.25">
      <c r="A2059" t="s">
        <v>3976</v>
      </c>
      <c r="B2059" s="102">
        <f>SUMIF(Платежи!B:B,VLOOKUP(A2059,Платежи!B:B,1,0),Платежи!C:C)</f>
        <v>0</v>
      </c>
    </row>
    <row r="2060" spans="1:2" x14ac:dyDescent="0.25">
      <c r="A2060" t="s">
        <v>3977</v>
      </c>
      <c r="B2060" s="102">
        <f>SUMIF(Платежи!B:B,VLOOKUP(A2060,Платежи!B:B,1,0),Платежи!C:C)</f>
        <v>0</v>
      </c>
    </row>
    <row r="2061" spans="1:2" x14ac:dyDescent="0.25">
      <c r="A2061" t="s">
        <v>3978</v>
      </c>
      <c r="B2061" s="102">
        <f>SUMIF(Платежи!B:B,VLOOKUP(A2061,Платежи!B:B,1,0),Платежи!C:C)</f>
        <v>0</v>
      </c>
    </row>
    <row r="2062" spans="1:2" x14ac:dyDescent="0.25">
      <c r="A2062" t="s">
        <v>3979</v>
      </c>
      <c r="B2062" s="102">
        <f>SUMIF(Платежи!B:B,VLOOKUP(A2062,Платежи!B:B,1,0),Платежи!C:C)</f>
        <v>0</v>
      </c>
    </row>
    <row r="2063" spans="1:2" x14ac:dyDescent="0.25">
      <c r="A2063" t="s">
        <v>3980</v>
      </c>
      <c r="B2063" s="102">
        <f>SUMIF(Платежи!B:B,VLOOKUP(A2063,Платежи!B:B,1,0),Платежи!C:C)</f>
        <v>0</v>
      </c>
    </row>
    <row r="2064" spans="1:2" x14ac:dyDescent="0.25">
      <c r="A2064" t="s">
        <v>3981</v>
      </c>
      <c r="B2064" s="102">
        <f>SUMIF(Платежи!B:B,VLOOKUP(A2064,Платежи!B:B,1,0),Платежи!C:C)</f>
        <v>0</v>
      </c>
    </row>
    <row r="2065" spans="1:2" x14ac:dyDescent="0.25">
      <c r="A2065" t="s">
        <v>3982</v>
      </c>
      <c r="B2065" s="102">
        <f>SUMIF(Платежи!B:B,VLOOKUP(A2065,Платежи!B:B,1,0),Платежи!C:C)</f>
        <v>0</v>
      </c>
    </row>
    <row r="2066" spans="1:2" x14ac:dyDescent="0.25">
      <c r="A2066" t="s">
        <v>1737</v>
      </c>
      <c r="B2066" s="102">
        <f>SUMIF(Платежи!B:B,VLOOKUP(A2066,Платежи!B:B,1,0),Платежи!C:C)</f>
        <v>0</v>
      </c>
    </row>
    <row r="2067" spans="1:2" x14ac:dyDescent="0.25">
      <c r="A2067" t="s">
        <v>3983</v>
      </c>
      <c r="B2067" s="102">
        <f>SUMIF(Платежи!B:B,VLOOKUP(A2067,Платежи!B:B,1,0),Платежи!C:C)</f>
        <v>0</v>
      </c>
    </row>
    <row r="2068" spans="1:2" x14ac:dyDescent="0.25">
      <c r="A2068" t="s">
        <v>3984</v>
      </c>
      <c r="B2068" s="102">
        <f>SUMIF(Платежи!B:B,VLOOKUP(A2068,Платежи!B:B,1,0),Платежи!C:C)</f>
        <v>0</v>
      </c>
    </row>
    <row r="2069" spans="1:2" x14ac:dyDescent="0.25">
      <c r="A2069" t="s">
        <v>3985</v>
      </c>
      <c r="B2069" s="102">
        <f>SUMIF(Платежи!B:B,VLOOKUP(A2069,Платежи!B:B,1,0),Платежи!C:C)</f>
        <v>0</v>
      </c>
    </row>
    <row r="2070" spans="1:2" x14ac:dyDescent="0.25">
      <c r="A2070" t="s">
        <v>3986</v>
      </c>
      <c r="B2070" s="102">
        <f>SUMIF(Платежи!B:B,VLOOKUP(A2070,Платежи!B:B,1,0),Платежи!C:C)</f>
        <v>0</v>
      </c>
    </row>
    <row r="2071" spans="1:2" x14ac:dyDescent="0.25">
      <c r="A2071" t="s">
        <v>3987</v>
      </c>
      <c r="B2071" s="102">
        <f>SUMIF(Платежи!B:B,VLOOKUP(A2071,Платежи!B:B,1,0),Платежи!C:C)</f>
        <v>0</v>
      </c>
    </row>
    <row r="2072" spans="1:2" x14ac:dyDescent="0.25">
      <c r="A2072" t="s">
        <v>300</v>
      </c>
      <c r="B2072" s="102">
        <f>SUMIF(Платежи!B:B,VLOOKUP(A2072,Платежи!B:B,1,0),Платежи!C:C)</f>
        <v>0</v>
      </c>
    </row>
    <row r="2073" spans="1:2" x14ac:dyDescent="0.25">
      <c r="A2073" t="s">
        <v>3988</v>
      </c>
      <c r="B2073" s="102">
        <f>SUMIF(Платежи!B:B,VLOOKUP(A2073,Платежи!B:B,1,0),Платежи!C:C)</f>
        <v>0</v>
      </c>
    </row>
    <row r="2074" spans="1:2" x14ac:dyDescent="0.25">
      <c r="A2074" t="s">
        <v>3989</v>
      </c>
      <c r="B2074" s="102">
        <f>SUMIF(Платежи!B:B,VLOOKUP(A2074,Платежи!B:B,1,0),Платежи!C:C)</f>
        <v>0</v>
      </c>
    </row>
    <row r="2075" spans="1:2" x14ac:dyDescent="0.25">
      <c r="A2075" t="s">
        <v>3990</v>
      </c>
      <c r="B2075" s="102">
        <f>SUMIF(Платежи!B:B,VLOOKUP(A2075,Платежи!B:B,1,0),Платежи!C:C)</f>
        <v>0</v>
      </c>
    </row>
    <row r="2076" spans="1:2" x14ac:dyDescent="0.25">
      <c r="A2076" t="s">
        <v>3991</v>
      </c>
      <c r="B2076" s="102">
        <f>SUMIF(Платежи!B:B,VLOOKUP(A2076,Платежи!B:B,1,0),Платежи!C:C)</f>
        <v>0</v>
      </c>
    </row>
    <row r="2077" spans="1:2" x14ac:dyDescent="0.25">
      <c r="A2077" t="s">
        <v>3992</v>
      </c>
      <c r="B2077" s="102">
        <f>SUMIF(Платежи!B:B,VLOOKUP(A2077,Платежи!B:B,1,0),Платежи!C:C)</f>
        <v>0</v>
      </c>
    </row>
    <row r="2078" spans="1:2" x14ac:dyDescent="0.25">
      <c r="A2078" t="s">
        <v>3993</v>
      </c>
      <c r="B2078" s="102">
        <f>SUMIF(Платежи!B:B,VLOOKUP(A2078,Платежи!B:B,1,0),Платежи!C:C)</f>
        <v>0</v>
      </c>
    </row>
    <row r="2079" spans="1:2" x14ac:dyDescent="0.25">
      <c r="A2079" t="s">
        <v>3994</v>
      </c>
      <c r="B2079" s="102">
        <f>SUMIF(Платежи!B:B,VLOOKUP(A2079,Платежи!B:B,1,0),Платежи!C:C)</f>
        <v>0</v>
      </c>
    </row>
    <row r="2080" spans="1:2" x14ac:dyDescent="0.25">
      <c r="A2080" t="s">
        <v>3995</v>
      </c>
      <c r="B2080" s="102">
        <f>SUMIF(Платежи!B:B,VLOOKUP(A2080,Платежи!B:B,1,0),Платежи!C:C)</f>
        <v>0</v>
      </c>
    </row>
    <row r="2081" spans="1:2" x14ac:dyDescent="0.25">
      <c r="A2081" t="s">
        <v>3996</v>
      </c>
      <c r="B2081" s="102">
        <f>SUMIF(Платежи!B:B,VLOOKUP(A2081,Платежи!B:B,1,0),Платежи!C:C)</f>
        <v>0</v>
      </c>
    </row>
    <row r="2082" spans="1:2" x14ac:dyDescent="0.25">
      <c r="A2082" t="s">
        <v>3997</v>
      </c>
      <c r="B2082" s="102">
        <f>SUMIF(Платежи!B:B,VLOOKUP(A2082,Платежи!B:B,1,0),Платежи!C:C)</f>
        <v>0</v>
      </c>
    </row>
    <row r="2083" spans="1:2" x14ac:dyDescent="0.25">
      <c r="A2083" t="s">
        <v>3998</v>
      </c>
      <c r="B2083" s="102">
        <f>SUMIF(Платежи!B:B,VLOOKUP(A2083,Платежи!B:B,1,0),Платежи!C:C)</f>
        <v>0</v>
      </c>
    </row>
    <row r="2084" spans="1:2" x14ac:dyDescent="0.25">
      <c r="A2084" t="s">
        <v>3999</v>
      </c>
      <c r="B2084" s="102">
        <f>SUMIF(Платежи!B:B,VLOOKUP(A2084,Платежи!B:B,1,0),Платежи!C:C)</f>
        <v>0</v>
      </c>
    </row>
    <row r="2085" spans="1:2" x14ac:dyDescent="0.25">
      <c r="A2085" t="s">
        <v>1748</v>
      </c>
      <c r="B2085" s="102">
        <f>SUMIF(Платежи!B:B,VLOOKUP(A2085,Платежи!B:B,1,0),Платежи!C:C)</f>
        <v>0</v>
      </c>
    </row>
    <row r="2086" spans="1:2" x14ac:dyDescent="0.25">
      <c r="A2086" t="s">
        <v>341</v>
      </c>
      <c r="B2086" s="102">
        <f>SUMIF(Платежи!B:B,VLOOKUP(A2086,Платежи!B:B,1,0),Платежи!C:C)</f>
        <v>0</v>
      </c>
    </row>
    <row r="2087" spans="1:2" x14ac:dyDescent="0.25">
      <c r="A2087" t="s">
        <v>4000</v>
      </c>
      <c r="B2087" s="102">
        <f>SUMIF(Платежи!B:B,VLOOKUP(A2087,Платежи!B:B,1,0),Платежи!C:C)</f>
        <v>0</v>
      </c>
    </row>
    <row r="2088" spans="1:2" x14ac:dyDescent="0.25">
      <c r="A2088" t="s">
        <v>4001</v>
      </c>
      <c r="B2088" s="102">
        <f>SUMIF(Платежи!B:B,VLOOKUP(A2088,Платежи!B:B,1,0),Платежи!C:C)</f>
        <v>0</v>
      </c>
    </row>
    <row r="2089" spans="1:2" x14ac:dyDescent="0.25">
      <c r="A2089" t="s">
        <v>4002</v>
      </c>
      <c r="B2089" s="102">
        <f>SUMIF(Платежи!B:B,VLOOKUP(A2089,Платежи!B:B,1,0),Платежи!C:C)</f>
        <v>0</v>
      </c>
    </row>
    <row r="2090" spans="1:2" x14ac:dyDescent="0.25">
      <c r="A2090" t="s">
        <v>4003</v>
      </c>
      <c r="B2090" s="102">
        <f>SUMIF(Платежи!B:B,VLOOKUP(A2090,Платежи!B:B,1,0),Платежи!C:C)</f>
        <v>0</v>
      </c>
    </row>
    <row r="2091" spans="1:2" x14ac:dyDescent="0.25">
      <c r="A2091" t="s">
        <v>4004</v>
      </c>
      <c r="B2091" s="102">
        <f>SUMIF(Платежи!B:B,VLOOKUP(A2091,Платежи!B:B,1,0),Платежи!C:C)</f>
        <v>0</v>
      </c>
    </row>
    <row r="2092" spans="1:2" x14ac:dyDescent="0.25">
      <c r="A2092" t="s">
        <v>4005</v>
      </c>
      <c r="B2092" s="102">
        <f>SUMIF(Платежи!B:B,VLOOKUP(A2092,Платежи!B:B,1,0),Платежи!C:C)</f>
        <v>0</v>
      </c>
    </row>
    <row r="2093" spans="1:2" x14ac:dyDescent="0.25">
      <c r="A2093" t="s">
        <v>4006</v>
      </c>
      <c r="B2093" s="102">
        <f>SUMIF(Платежи!B:B,VLOOKUP(A2093,Платежи!B:B,1,0),Платежи!C:C)</f>
        <v>0</v>
      </c>
    </row>
    <row r="2094" spans="1:2" x14ac:dyDescent="0.25">
      <c r="A2094" t="s">
        <v>4007</v>
      </c>
      <c r="B2094" s="102">
        <f>SUMIF(Платежи!B:B,VLOOKUP(A2094,Платежи!B:B,1,0),Платежи!C:C)</f>
        <v>0</v>
      </c>
    </row>
    <row r="2095" spans="1:2" x14ac:dyDescent="0.25">
      <c r="A2095" t="s">
        <v>4008</v>
      </c>
      <c r="B2095" s="102">
        <f>SUMIF(Платежи!B:B,VLOOKUP(A2095,Платежи!B:B,1,0),Платежи!C:C)</f>
        <v>0</v>
      </c>
    </row>
    <row r="2096" spans="1:2" x14ac:dyDescent="0.25">
      <c r="A2096" t="s">
        <v>301</v>
      </c>
      <c r="B2096" s="102">
        <f>SUMIF(Платежи!B:B,VLOOKUP(A2096,Платежи!B:B,1,0),Платежи!C:C)</f>
        <v>0</v>
      </c>
    </row>
    <row r="2097" spans="1:2" x14ac:dyDescent="0.25">
      <c r="A2097" t="s">
        <v>4009</v>
      </c>
      <c r="B2097" s="102">
        <f>SUMIF(Платежи!B:B,VLOOKUP(A2097,Платежи!B:B,1,0),Платежи!C:C)</f>
        <v>0</v>
      </c>
    </row>
    <row r="2098" spans="1:2" x14ac:dyDescent="0.25">
      <c r="A2098" t="s">
        <v>4010</v>
      </c>
      <c r="B2098" s="102">
        <f>SUMIF(Платежи!B:B,VLOOKUP(A2098,Платежи!B:B,1,0),Платежи!C:C)</f>
        <v>0</v>
      </c>
    </row>
    <row r="2099" spans="1:2" x14ac:dyDescent="0.25">
      <c r="A2099" t="s">
        <v>354</v>
      </c>
      <c r="B2099" s="102">
        <f>SUMIF(Платежи!B:B,VLOOKUP(A2099,Платежи!B:B,1,0),Платежи!C:C)</f>
        <v>0</v>
      </c>
    </row>
    <row r="2100" spans="1:2" x14ac:dyDescent="0.25">
      <c r="A2100" t="s">
        <v>345</v>
      </c>
      <c r="B2100" s="102">
        <f>SUMIF(Платежи!B:B,VLOOKUP(A2100,Платежи!B:B,1,0),Платежи!C:C)</f>
        <v>0</v>
      </c>
    </row>
    <row r="2101" spans="1:2" x14ac:dyDescent="0.25">
      <c r="A2101" t="s">
        <v>4011</v>
      </c>
      <c r="B2101" s="102">
        <f>SUMIF(Платежи!B:B,VLOOKUP(A2101,Платежи!B:B,1,0),Платежи!C:C)</f>
        <v>0</v>
      </c>
    </row>
    <row r="2102" spans="1:2" x14ac:dyDescent="0.25">
      <c r="A2102" t="s">
        <v>4012</v>
      </c>
      <c r="B2102" s="102">
        <f>SUMIF(Платежи!B:B,VLOOKUP(A2102,Платежи!B:B,1,0),Платежи!C:C)</f>
        <v>0</v>
      </c>
    </row>
    <row r="2103" spans="1:2" x14ac:dyDescent="0.25">
      <c r="A2103" t="s">
        <v>1751</v>
      </c>
      <c r="B2103" s="102">
        <f>SUMIF(Платежи!B:B,VLOOKUP(A2103,Платежи!B:B,1,0),Платежи!C:C)</f>
        <v>0</v>
      </c>
    </row>
    <row r="2104" spans="1:2" x14ac:dyDescent="0.25">
      <c r="A2104" t="s">
        <v>4013</v>
      </c>
      <c r="B2104" s="102">
        <f>SUMIF(Платежи!B:B,VLOOKUP(A2104,Платежи!B:B,1,0),Платежи!C:C)</f>
        <v>1500</v>
      </c>
    </row>
    <row r="2105" spans="1:2" x14ac:dyDescent="0.25">
      <c r="B2105"/>
    </row>
    <row r="2106" spans="1:2" x14ac:dyDescent="0.25">
      <c r="B2106"/>
    </row>
    <row r="2107" spans="1:2" x14ac:dyDescent="0.25">
      <c r="B2107"/>
    </row>
    <row r="2108" spans="1:2" x14ac:dyDescent="0.25">
      <c r="B2108"/>
    </row>
    <row r="2109" spans="1:2" x14ac:dyDescent="0.25">
      <c r="B2109"/>
    </row>
    <row r="2110" spans="1:2" x14ac:dyDescent="0.25">
      <c r="B2110"/>
    </row>
    <row r="2111" spans="1:2" x14ac:dyDescent="0.25">
      <c r="B2111"/>
    </row>
    <row r="2112" spans="1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</sheetData>
  <sortState xmlns:xlrd2="http://schemas.microsoft.com/office/spreadsheetml/2017/richdata2" ref="A2:C345">
    <sortCondition descending="1" ref="C2:C345"/>
  </sortState>
  <pageMargins left="0.7" right="0.7" top="0.75" bottom="0.75" header="0.3" footer="0.3"/>
  <pageSetup paperSize="9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385B1-9FFF-4AA0-9435-54CC6C8D87DD}">
  <dimension ref="B1:C235"/>
  <sheetViews>
    <sheetView workbookViewId="0">
      <selection activeCell="C1" sqref="C1:C1048576"/>
    </sheetView>
  </sheetViews>
  <sheetFormatPr defaultRowHeight="15" x14ac:dyDescent="0.25"/>
  <cols>
    <col min="2" max="2" width="11.140625" bestFit="1" customWidth="1"/>
  </cols>
  <sheetData>
    <row r="1" spans="2:3" x14ac:dyDescent="0.25">
      <c r="B1" t="s">
        <v>4014</v>
      </c>
      <c r="C1">
        <v>44.5</v>
      </c>
    </row>
    <row r="2" spans="2:3" x14ac:dyDescent="0.25">
      <c r="B2" t="s">
        <v>3160</v>
      </c>
      <c r="C2">
        <v>491.34</v>
      </c>
    </row>
    <row r="3" spans="2:3" x14ac:dyDescent="0.25">
      <c r="B3" t="s">
        <v>3787</v>
      </c>
      <c r="C3">
        <v>1462.53</v>
      </c>
    </row>
    <row r="4" spans="2:3" x14ac:dyDescent="0.25">
      <c r="B4" t="s">
        <v>1908</v>
      </c>
      <c r="C4">
        <v>12492.02</v>
      </c>
    </row>
    <row r="5" spans="2:3" x14ac:dyDescent="0.25">
      <c r="B5" t="s">
        <v>1908</v>
      </c>
      <c r="C5">
        <v>13000</v>
      </c>
    </row>
    <row r="6" spans="2:3" x14ac:dyDescent="0.25">
      <c r="B6" t="s">
        <v>3098</v>
      </c>
      <c r="C6">
        <v>7154.45</v>
      </c>
    </row>
    <row r="7" spans="2:3" x14ac:dyDescent="0.25">
      <c r="B7" t="s">
        <v>4015</v>
      </c>
      <c r="C7">
        <v>1477.68</v>
      </c>
    </row>
    <row r="8" spans="2:3" x14ac:dyDescent="0.25">
      <c r="B8" t="s">
        <v>4015</v>
      </c>
      <c r="C8">
        <v>1500</v>
      </c>
    </row>
    <row r="9" spans="2:3" x14ac:dyDescent="0.25">
      <c r="B9" t="s">
        <v>3108</v>
      </c>
      <c r="C9">
        <v>387432.32</v>
      </c>
    </row>
    <row r="10" spans="2:3" x14ac:dyDescent="0.25">
      <c r="B10" t="s">
        <v>3109</v>
      </c>
      <c r="C10">
        <v>311039.73</v>
      </c>
    </row>
    <row r="11" spans="2:3" x14ac:dyDescent="0.25">
      <c r="B11" t="s">
        <v>4016</v>
      </c>
      <c r="C11">
        <v>9774.56</v>
      </c>
    </row>
    <row r="12" spans="2:3" x14ac:dyDescent="0.25">
      <c r="B12" t="s">
        <v>4014</v>
      </c>
      <c r="C12">
        <v>18656.8</v>
      </c>
    </row>
    <row r="13" spans="2:3" x14ac:dyDescent="0.25">
      <c r="B13" t="s">
        <v>4014</v>
      </c>
      <c r="C13">
        <v>19000</v>
      </c>
    </row>
    <row r="14" spans="2:3" x14ac:dyDescent="0.25">
      <c r="B14" t="s">
        <v>3867</v>
      </c>
      <c r="C14">
        <v>1109.18</v>
      </c>
    </row>
    <row r="15" spans="2:3" x14ac:dyDescent="0.25">
      <c r="B15" t="s">
        <v>4017</v>
      </c>
      <c r="C15">
        <v>31.11</v>
      </c>
    </row>
    <row r="16" spans="2:3" x14ac:dyDescent="0.25">
      <c r="B16" t="s">
        <v>4018</v>
      </c>
      <c r="C16">
        <v>5511.63</v>
      </c>
    </row>
    <row r="17" spans="2:3" x14ac:dyDescent="0.25">
      <c r="B17" t="s">
        <v>1735</v>
      </c>
      <c r="C17">
        <v>0.22</v>
      </c>
    </row>
    <row r="18" spans="2:3" x14ac:dyDescent="0.25">
      <c r="B18" t="s">
        <v>3682</v>
      </c>
      <c r="C18">
        <v>30069.94</v>
      </c>
    </row>
    <row r="19" spans="2:3" x14ac:dyDescent="0.25">
      <c r="B19" t="s">
        <v>4019</v>
      </c>
      <c r="C19">
        <v>12125.59</v>
      </c>
    </row>
    <row r="20" spans="2:3" x14ac:dyDescent="0.25">
      <c r="B20" t="s">
        <v>3474</v>
      </c>
      <c r="C20">
        <v>11703.3</v>
      </c>
    </row>
    <row r="21" spans="2:3" x14ac:dyDescent="0.25">
      <c r="B21" t="s">
        <v>3768</v>
      </c>
      <c r="C21">
        <v>18976.150000000001</v>
      </c>
    </row>
    <row r="22" spans="2:3" x14ac:dyDescent="0.25">
      <c r="B22" t="s">
        <v>4020</v>
      </c>
      <c r="C22">
        <v>3394.58</v>
      </c>
    </row>
    <row r="23" spans="2:3" x14ac:dyDescent="0.25">
      <c r="B23" t="s">
        <v>4021</v>
      </c>
      <c r="C23">
        <v>2343.66</v>
      </c>
    </row>
    <row r="24" spans="2:3" x14ac:dyDescent="0.25">
      <c r="B24" t="s">
        <v>4022</v>
      </c>
      <c r="C24">
        <v>19539.95</v>
      </c>
    </row>
    <row r="25" spans="2:3" x14ac:dyDescent="0.25">
      <c r="B25" t="s">
        <v>4023</v>
      </c>
      <c r="C25">
        <v>13909.1</v>
      </c>
    </row>
    <row r="26" spans="2:3" x14ac:dyDescent="0.25">
      <c r="B26" t="s">
        <v>4017</v>
      </c>
      <c r="C26">
        <v>9557.4</v>
      </c>
    </row>
    <row r="27" spans="2:3" x14ac:dyDescent="0.25">
      <c r="B27" t="s">
        <v>4017</v>
      </c>
      <c r="C27">
        <v>9600</v>
      </c>
    </row>
    <row r="28" spans="2:3" x14ac:dyDescent="0.25">
      <c r="B28" t="s">
        <v>4024</v>
      </c>
      <c r="C28">
        <v>2818.68</v>
      </c>
    </row>
    <row r="29" spans="2:3" x14ac:dyDescent="0.25">
      <c r="B29" t="s">
        <v>4025</v>
      </c>
      <c r="C29">
        <v>32010.77</v>
      </c>
    </row>
    <row r="30" spans="2:3" x14ac:dyDescent="0.25">
      <c r="B30" t="s">
        <v>4025</v>
      </c>
      <c r="C30">
        <v>32100</v>
      </c>
    </row>
    <row r="31" spans="2:3" x14ac:dyDescent="0.25">
      <c r="B31" t="s">
        <v>4025</v>
      </c>
      <c r="C31">
        <v>89.23</v>
      </c>
    </row>
    <row r="32" spans="2:3" x14ac:dyDescent="0.25">
      <c r="B32" t="s">
        <v>4026</v>
      </c>
      <c r="C32">
        <v>35820.83</v>
      </c>
    </row>
    <row r="33" spans="2:3" x14ac:dyDescent="0.25">
      <c r="B33" t="s">
        <v>4027</v>
      </c>
      <c r="C33">
        <v>9920.36</v>
      </c>
    </row>
    <row r="34" spans="2:3" x14ac:dyDescent="0.25">
      <c r="B34" t="s">
        <v>4028</v>
      </c>
      <c r="C34">
        <v>11131.95</v>
      </c>
    </row>
    <row r="35" spans="2:3" x14ac:dyDescent="0.25">
      <c r="B35" t="s">
        <v>3476</v>
      </c>
      <c r="C35">
        <v>17781.07</v>
      </c>
    </row>
    <row r="36" spans="2:3" x14ac:dyDescent="0.25">
      <c r="B36" t="s">
        <v>4029</v>
      </c>
      <c r="C36">
        <v>48224.05</v>
      </c>
    </row>
    <row r="37" spans="2:3" x14ac:dyDescent="0.25">
      <c r="B37" t="s">
        <v>3474</v>
      </c>
      <c r="C37">
        <v>5965.26</v>
      </c>
    </row>
    <row r="38" spans="2:3" x14ac:dyDescent="0.25">
      <c r="B38" t="s">
        <v>3969</v>
      </c>
      <c r="C38">
        <v>1198581.21</v>
      </c>
    </row>
    <row r="39" spans="2:3" x14ac:dyDescent="0.25">
      <c r="B39" t="s">
        <v>4023</v>
      </c>
      <c r="C39">
        <v>5531.84</v>
      </c>
    </row>
    <row r="40" spans="2:3" x14ac:dyDescent="0.25">
      <c r="B40" t="s">
        <v>4030</v>
      </c>
      <c r="C40">
        <v>3571.75</v>
      </c>
    </row>
    <row r="41" spans="2:3" x14ac:dyDescent="0.25">
      <c r="B41" t="s">
        <v>3876</v>
      </c>
      <c r="C41">
        <v>459.84</v>
      </c>
    </row>
    <row r="42" spans="2:3" x14ac:dyDescent="0.25">
      <c r="B42" t="s">
        <v>3868</v>
      </c>
      <c r="C42">
        <v>6591.99</v>
      </c>
    </row>
    <row r="43" spans="2:3" x14ac:dyDescent="0.25">
      <c r="B43" t="s">
        <v>3476</v>
      </c>
      <c r="C43">
        <v>9978.81</v>
      </c>
    </row>
    <row r="44" spans="2:3" x14ac:dyDescent="0.25">
      <c r="B44" t="s">
        <v>4031</v>
      </c>
      <c r="C44">
        <v>14379.28</v>
      </c>
    </row>
    <row r="45" spans="2:3" x14ac:dyDescent="0.25">
      <c r="B45" t="s">
        <v>3682</v>
      </c>
      <c r="C45">
        <v>11540.1</v>
      </c>
    </row>
    <row r="46" spans="2:3" x14ac:dyDescent="0.25">
      <c r="B46" t="s">
        <v>3682</v>
      </c>
      <c r="C46">
        <v>13459.9</v>
      </c>
    </row>
    <row r="47" spans="2:3" x14ac:dyDescent="0.25">
      <c r="B47" t="s">
        <v>3682</v>
      </c>
      <c r="C47">
        <v>10935.97</v>
      </c>
    </row>
    <row r="48" spans="2:3" x14ac:dyDescent="0.25">
      <c r="B48" t="s">
        <v>3682</v>
      </c>
      <c r="C48">
        <v>2523.9299999999998</v>
      </c>
    </row>
    <row r="49" spans="2:3" x14ac:dyDescent="0.25">
      <c r="B49" t="s">
        <v>4032</v>
      </c>
      <c r="C49">
        <v>0.51</v>
      </c>
    </row>
    <row r="50" spans="2:3" x14ac:dyDescent="0.25">
      <c r="B50" t="s">
        <v>4033</v>
      </c>
      <c r="C50">
        <v>32437.74</v>
      </c>
    </row>
    <row r="51" spans="2:3" x14ac:dyDescent="0.25">
      <c r="B51" t="s">
        <v>3867</v>
      </c>
      <c r="C51">
        <v>8378.86</v>
      </c>
    </row>
    <row r="52" spans="2:3" x14ac:dyDescent="0.25">
      <c r="B52" t="s">
        <v>3160</v>
      </c>
      <c r="C52">
        <v>479.93</v>
      </c>
    </row>
    <row r="53" spans="2:3" x14ac:dyDescent="0.25">
      <c r="B53" t="s">
        <v>3497</v>
      </c>
      <c r="C53">
        <v>338084.36</v>
      </c>
    </row>
    <row r="54" spans="2:3" x14ac:dyDescent="0.25">
      <c r="B54" t="s">
        <v>4034</v>
      </c>
      <c r="C54">
        <v>6536.42</v>
      </c>
    </row>
    <row r="55" spans="2:3" x14ac:dyDescent="0.25">
      <c r="B55" t="s">
        <v>3975</v>
      </c>
      <c r="C55">
        <v>32950</v>
      </c>
    </row>
    <row r="56" spans="2:3" x14ac:dyDescent="0.25">
      <c r="B56" t="s">
        <v>4035</v>
      </c>
      <c r="C56">
        <v>14022.74</v>
      </c>
    </row>
    <row r="57" spans="2:3" x14ac:dyDescent="0.25">
      <c r="B57" t="s">
        <v>4036</v>
      </c>
      <c r="C57">
        <v>7778.33</v>
      </c>
    </row>
    <row r="58" spans="2:3" x14ac:dyDescent="0.25">
      <c r="B58" t="s">
        <v>4037</v>
      </c>
      <c r="C58">
        <v>16000</v>
      </c>
    </row>
    <row r="59" spans="2:3" x14ac:dyDescent="0.25">
      <c r="B59" t="s">
        <v>4038</v>
      </c>
      <c r="C59">
        <v>8848.83</v>
      </c>
    </row>
    <row r="60" spans="2:3" x14ac:dyDescent="0.25">
      <c r="B60" t="s">
        <v>4039</v>
      </c>
      <c r="C60">
        <v>651.61</v>
      </c>
    </row>
    <row r="61" spans="2:3" x14ac:dyDescent="0.25">
      <c r="B61" t="s">
        <v>4040</v>
      </c>
      <c r="C61">
        <v>11045.52</v>
      </c>
    </row>
    <row r="62" spans="2:3" x14ac:dyDescent="0.25">
      <c r="B62" t="s">
        <v>3932</v>
      </c>
      <c r="C62">
        <v>2669.36</v>
      </c>
    </row>
    <row r="63" spans="2:3" x14ac:dyDescent="0.25">
      <c r="B63" t="s">
        <v>4041</v>
      </c>
      <c r="C63">
        <v>22046.53</v>
      </c>
    </row>
    <row r="64" spans="2:3" x14ac:dyDescent="0.25">
      <c r="B64" t="s">
        <v>4041</v>
      </c>
      <c r="C64">
        <v>22200</v>
      </c>
    </row>
    <row r="65" spans="2:3" x14ac:dyDescent="0.25">
      <c r="B65" t="s">
        <v>4042</v>
      </c>
      <c r="C65">
        <v>18000</v>
      </c>
    </row>
    <row r="66" spans="2:3" x14ac:dyDescent="0.25">
      <c r="B66" t="s">
        <v>3168</v>
      </c>
      <c r="C66">
        <v>25000</v>
      </c>
    </row>
    <row r="67" spans="2:3" x14ac:dyDescent="0.25">
      <c r="B67" t="s">
        <v>3169</v>
      </c>
      <c r="C67">
        <v>25000</v>
      </c>
    </row>
    <row r="68" spans="2:3" x14ac:dyDescent="0.25">
      <c r="B68" t="s">
        <v>1954</v>
      </c>
      <c r="C68">
        <v>0.95</v>
      </c>
    </row>
    <row r="69" spans="2:3" x14ac:dyDescent="0.25">
      <c r="B69" t="s">
        <v>4022</v>
      </c>
      <c r="C69">
        <v>12885.93</v>
      </c>
    </row>
    <row r="70" spans="2:3" x14ac:dyDescent="0.25">
      <c r="B70" t="s">
        <v>4025</v>
      </c>
      <c r="C70">
        <v>20493.93</v>
      </c>
    </row>
    <row r="71" spans="2:3" x14ac:dyDescent="0.25">
      <c r="B71" t="s">
        <v>4025</v>
      </c>
      <c r="C71">
        <v>20500</v>
      </c>
    </row>
    <row r="72" spans="2:3" x14ac:dyDescent="0.25">
      <c r="B72" t="s">
        <v>4025</v>
      </c>
      <c r="C72">
        <v>10241.35</v>
      </c>
    </row>
    <row r="73" spans="2:3" x14ac:dyDescent="0.25">
      <c r="B73" t="s">
        <v>4025</v>
      </c>
      <c r="C73">
        <v>10250</v>
      </c>
    </row>
    <row r="74" spans="2:3" x14ac:dyDescent="0.25">
      <c r="B74" t="s">
        <v>4037</v>
      </c>
      <c r="C74">
        <v>2000</v>
      </c>
    </row>
    <row r="75" spans="2:3" x14ac:dyDescent="0.25">
      <c r="B75" t="s">
        <v>4043</v>
      </c>
      <c r="C75">
        <v>232213.51</v>
      </c>
    </row>
    <row r="76" spans="2:3" x14ac:dyDescent="0.25">
      <c r="B76" t="s">
        <v>4043</v>
      </c>
      <c r="C76">
        <v>232215</v>
      </c>
    </row>
    <row r="77" spans="2:3" x14ac:dyDescent="0.25">
      <c r="B77" t="s">
        <v>4044</v>
      </c>
      <c r="C77">
        <v>12593.13</v>
      </c>
    </row>
    <row r="78" spans="2:3" x14ac:dyDescent="0.25">
      <c r="B78" t="s">
        <v>4044</v>
      </c>
      <c r="C78">
        <v>12700</v>
      </c>
    </row>
    <row r="79" spans="2:3" x14ac:dyDescent="0.25">
      <c r="B79" t="s">
        <v>4045</v>
      </c>
      <c r="C79">
        <v>5531.84</v>
      </c>
    </row>
    <row r="80" spans="2:3" x14ac:dyDescent="0.25">
      <c r="B80" t="s">
        <v>4019</v>
      </c>
      <c r="C80">
        <v>14901.08</v>
      </c>
    </row>
    <row r="81" spans="2:3" x14ac:dyDescent="0.25">
      <c r="B81" t="s">
        <v>4028</v>
      </c>
      <c r="C81">
        <v>7275.35</v>
      </c>
    </row>
    <row r="82" spans="2:3" x14ac:dyDescent="0.25">
      <c r="B82" t="s">
        <v>1741</v>
      </c>
      <c r="C82">
        <v>64904.84</v>
      </c>
    </row>
    <row r="83" spans="2:3" x14ac:dyDescent="0.25">
      <c r="B83" t="s">
        <v>3975</v>
      </c>
      <c r="C83">
        <v>50000</v>
      </c>
    </row>
    <row r="84" spans="2:3" x14ac:dyDescent="0.25">
      <c r="B84" t="s">
        <v>3463</v>
      </c>
      <c r="C84">
        <v>281.35000000000002</v>
      </c>
    </row>
    <row r="85" spans="2:3" x14ac:dyDescent="0.25">
      <c r="B85" t="s">
        <v>4036</v>
      </c>
      <c r="C85">
        <v>36338.65</v>
      </c>
    </row>
    <row r="86" spans="2:3" x14ac:dyDescent="0.25">
      <c r="B86" t="s">
        <v>4036</v>
      </c>
      <c r="C86">
        <v>36339</v>
      </c>
    </row>
    <row r="87" spans="2:3" x14ac:dyDescent="0.25">
      <c r="B87" t="s">
        <v>1954</v>
      </c>
      <c r="C87">
        <v>28286.47</v>
      </c>
    </row>
    <row r="88" spans="2:3" x14ac:dyDescent="0.25">
      <c r="B88" t="s">
        <v>1954</v>
      </c>
      <c r="C88">
        <v>28287</v>
      </c>
    </row>
    <row r="89" spans="2:3" x14ac:dyDescent="0.25">
      <c r="B89" t="s">
        <v>1736</v>
      </c>
      <c r="C89">
        <v>10000</v>
      </c>
    </row>
    <row r="90" spans="2:3" x14ac:dyDescent="0.25">
      <c r="B90" t="s">
        <v>4021</v>
      </c>
      <c r="C90">
        <v>15000</v>
      </c>
    </row>
    <row r="91" spans="2:3" x14ac:dyDescent="0.25">
      <c r="B91" t="s">
        <v>4023</v>
      </c>
      <c r="C91">
        <v>16687.439999999999</v>
      </c>
    </row>
    <row r="92" spans="2:3" x14ac:dyDescent="0.25">
      <c r="B92" t="s">
        <v>1742</v>
      </c>
      <c r="C92">
        <v>100000</v>
      </c>
    </row>
    <row r="93" spans="2:3" x14ac:dyDescent="0.25">
      <c r="B93" t="s">
        <v>331</v>
      </c>
      <c r="C93">
        <v>12756.77</v>
      </c>
    </row>
    <row r="94" spans="2:3" x14ac:dyDescent="0.25">
      <c r="B94" t="s">
        <v>4025</v>
      </c>
      <c r="C94">
        <v>14.72</v>
      </c>
    </row>
    <row r="95" spans="2:3" x14ac:dyDescent="0.25">
      <c r="B95" t="s">
        <v>2965</v>
      </c>
      <c r="C95">
        <v>24.4</v>
      </c>
    </row>
    <row r="96" spans="2:3" x14ac:dyDescent="0.25">
      <c r="B96" t="s">
        <v>3344</v>
      </c>
      <c r="C96">
        <v>500</v>
      </c>
    </row>
    <row r="97" spans="2:3" x14ac:dyDescent="0.25">
      <c r="B97" t="s">
        <v>3779</v>
      </c>
      <c r="C97">
        <v>3717.98</v>
      </c>
    </row>
    <row r="98" spans="2:3" x14ac:dyDescent="0.25">
      <c r="B98" t="s">
        <v>1899</v>
      </c>
      <c r="C98">
        <v>14993.72</v>
      </c>
    </row>
    <row r="99" spans="2:3" x14ac:dyDescent="0.25">
      <c r="B99" t="s">
        <v>1956</v>
      </c>
      <c r="C99">
        <v>226732.73</v>
      </c>
    </row>
    <row r="100" spans="2:3" x14ac:dyDescent="0.25">
      <c r="B100" t="s">
        <v>1956</v>
      </c>
      <c r="C100">
        <v>300000</v>
      </c>
    </row>
    <row r="101" spans="2:3" x14ac:dyDescent="0.25">
      <c r="B101" t="s">
        <v>1957</v>
      </c>
      <c r="C101">
        <v>226732.73</v>
      </c>
    </row>
    <row r="102" spans="2:3" x14ac:dyDescent="0.25">
      <c r="B102" t="s">
        <v>1957</v>
      </c>
      <c r="C102">
        <v>250000</v>
      </c>
    </row>
    <row r="103" spans="2:3" x14ac:dyDescent="0.25">
      <c r="B103" t="s">
        <v>4046</v>
      </c>
      <c r="C103">
        <v>18186</v>
      </c>
    </row>
    <row r="104" spans="2:3" x14ac:dyDescent="0.25">
      <c r="B104" t="s">
        <v>4047</v>
      </c>
      <c r="C104">
        <v>2107.13</v>
      </c>
    </row>
    <row r="105" spans="2:3" x14ac:dyDescent="0.25">
      <c r="B105" t="s">
        <v>4048</v>
      </c>
      <c r="C105">
        <v>4934.6499999999996</v>
      </c>
    </row>
    <row r="106" spans="2:3" x14ac:dyDescent="0.25">
      <c r="B106" t="s">
        <v>4048</v>
      </c>
      <c r="C106">
        <v>5169.88</v>
      </c>
    </row>
    <row r="107" spans="2:3" x14ac:dyDescent="0.25">
      <c r="B107" t="s">
        <v>4025</v>
      </c>
      <c r="C107">
        <v>30278.63</v>
      </c>
    </row>
    <row r="108" spans="2:3" x14ac:dyDescent="0.25">
      <c r="B108" t="s">
        <v>4025</v>
      </c>
      <c r="C108">
        <v>30300</v>
      </c>
    </row>
    <row r="109" spans="2:3" x14ac:dyDescent="0.25">
      <c r="B109" t="s">
        <v>4049</v>
      </c>
      <c r="C109">
        <v>7549.99</v>
      </c>
    </row>
    <row r="110" spans="2:3" x14ac:dyDescent="0.25">
      <c r="B110" t="s">
        <v>4050</v>
      </c>
      <c r="C110">
        <v>26458.82</v>
      </c>
    </row>
    <row r="111" spans="2:3" x14ac:dyDescent="0.25">
      <c r="B111" t="s">
        <v>4050</v>
      </c>
      <c r="C111">
        <v>26459</v>
      </c>
    </row>
    <row r="112" spans="2:3" x14ac:dyDescent="0.25">
      <c r="B112" t="s">
        <v>4051</v>
      </c>
      <c r="C112">
        <v>8079.48</v>
      </c>
    </row>
    <row r="113" spans="2:3" x14ac:dyDescent="0.25">
      <c r="B113" t="s">
        <v>4051</v>
      </c>
      <c r="C113">
        <v>8100</v>
      </c>
    </row>
    <row r="114" spans="2:3" x14ac:dyDescent="0.25">
      <c r="B114" t="s">
        <v>3867</v>
      </c>
      <c r="C114">
        <v>3256.11</v>
      </c>
    </row>
    <row r="115" spans="2:3" x14ac:dyDescent="0.25">
      <c r="B115" t="s">
        <v>4041</v>
      </c>
      <c r="C115">
        <v>220865.64</v>
      </c>
    </row>
    <row r="116" spans="2:3" x14ac:dyDescent="0.25">
      <c r="B116" t="s">
        <v>4041</v>
      </c>
      <c r="C116">
        <v>220277</v>
      </c>
    </row>
    <row r="117" spans="2:3" x14ac:dyDescent="0.25">
      <c r="B117" t="s">
        <v>4024</v>
      </c>
      <c r="C117">
        <v>1982.83</v>
      </c>
    </row>
    <row r="118" spans="2:3" x14ac:dyDescent="0.25">
      <c r="B118" t="s">
        <v>4031</v>
      </c>
      <c r="C118">
        <v>5116.59</v>
      </c>
    </row>
    <row r="119" spans="2:3" x14ac:dyDescent="0.25">
      <c r="B119" t="s">
        <v>3872</v>
      </c>
      <c r="C119">
        <v>19926.22</v>
      </c>
    </row>
    <row r="120" spans="2:3" x14ac:dyDescent="0.25">
      <c r="B120" t="s">
        <v>3028</v>
      </c>
      <c r="C120">
        <v>25750</v>
      </c>
    </row>
    <row r="121" spans="2:3" x14ac:dyDescent="0.25">
      <c r="B121" t="s">
        <v>4052</v>
      </c>
      <c r="C121">
        <v>9714.84</v>
      </c>
    </row>
    <row r="122" spans="2:3" x14ac:dyDescent="0.25">
      <c r="B122" t="s">
        <v>1742</v>
      </c>
      <c r="C122">
        <v>63476.95</v>
      </c>
    </row>
    <row r="123" spans="2:3" x14ac:dyDescent="0.25">
      <c r="B123" t="s">
        <v>3876</v>
      </c>
      <c r="C123">
        <v>0.94</v>
      </c>
    </row>
    <row r="124" spans="2:3" x14ac:dyDescent="0.25">
      <c r="B124" t="s">
        <v>4015</v>
      </c>
      <c r="C124">
        <v>22.32</v>
      </c>
    </row>
    <row r="125" spans="2:3" x14ac:dyDescent="0.25">
      <c r="B125" t="s">
        <v>4053</v>
      </c>
      <c r="C125">
        <v>6463.8</v>
      </c>
    </row>
    <row r="126" spans="2:3" x14ac:dyDescent="0.25">
      <c r="B126" t="s">
        <v>4019</v>
      </c>
      <c r="C126">
        <v>5913.71</v>
      </c>
    </row>
    <row r="127" spans="2:3" x14ac:dyDescent="0.25">
      <c r="B127" t="s">
        <v>4054</v>
      </c>
      <c r="C127">
        <v>24541.84</v>
      </c>
    </row>
    <row r="128" spans="2:3" x14ac:dyDescent="0.25">
      <c r="B128" t="s">
        <v>4054</v>
      </c>
      <c r="C128">
        <v>24542</v>
      </c>
    </row>
    <row r="129" spans="2:3" x14ac:dyDescent="0.25">
      <c r="B129" t="s">
        <v>4021</v>
      </c>
      <c r="C129">
        <v>11596.56</v>
      </c>
    </row>
    <row r="130" spans="2:3" x14ac:dyDescent="0.25">
      <c r="B130" t="s">
        <v>4021</v>
      </c>
      <c r="C130">
        <v>13500</v>
      </c>
    </row>
    <row r="131" spans="2:3" x14ac:dyDescent="0.25">
      <c r="B131" t="s">
        <v>4055</v>
      </c>
      <c r="C131">
        <v>0.57999999999999996</v>
      </c>
    </row>
    <row r="132" spans="2:3" x14ac:dyDescent="0.25">
      <c r="B132" t="s">
        <v>4056</v>
      </c>
      <c r="C132">
        <v>5000</v>
      </c>
    </row>
    <row r="133" spans="2:3" x14ac:dyDescent="0.25">
      <c r="B133" t="s">
        <v>4056</v>
      </c>
      <c r="C133">
        <v>25000</v>
      </c>
    </row>
    <row r="134" spans="2:3" x14ac:dyDescent="0.25">
      <c r="B134" t="s">
        <v>4057</v>
      </c>
      <c r="C134">
        <v>1208.02</v>
      </c>
    </row>
    <row r="135" spans="2:3" x14ac:dyDescent="0.25">
      <c r="B135" t="s">
        <v>1735</v>
      </c>
      <c r="C135">
        <v>25000</v>
      </c>
    </row>
    <row r="136" spans="2:3" x14ac:dyDescent="0.25">
      <c r="B136" t="s">
        <v>3779</v>
      </c>
      <c r="C136">
        <v>45000</v>
      </c>
    </row>
    <row r="137" spans="2:3" x14ac:dyDescent="0.25">
      <c r="B137" t="s">
        <v>4058</v>
      </c>
      <c r="C137">
        <v>33191.06</v>
      </c>
    </row>
    <row r="138" spans="2:3" x14ac:dyDescent="0.25">
      <c r="B138" t="s">
        <v>4032</v>
      </c>
      <c r="C138">
        <v>6941.77</v>
      </c>
    </row>
    <row r="139" spans="2:3" x14ac:dyDescent="0.25">
      <c r="B139" t="s">
        <v>4032</v>
      </c>
      <c r="C139">
        <v>6942</v>
      </c>
    </row>
    <row r="140" spans="2:3" x14ac:dyDescent="0.25">
      <c r="B140" t="s">
        <v>662</v>
      </c>
      <c r="C140">
        <v>58159.199999999997</v>
      </c>
    </row>
    <row r="141" spans="2:3" x14ac:dyDescent="0.25">
      <c r="B141" t="s">
        <v>4059</v>
      </c>
      <c r="C141">
        <v>6179.66</v>
      </c>
    </row>
    <row r="142" spans="2:3" x14ac:dyDescent="0.25">
      <c r="B142" t="s">
        <v>4051</v>
      </c>
      <c r="C142">
        <v>5000</v>
      </c>
    </row>
    <row r="143" spans="2:3" x14ac:dyDescent="0.25">
      <c r="B143" t="s">
        <v>3593</v>
      </c>
      <c r="C143">
        <v>10001.82</v>
      </c>
    </row>
    <row r="144" spans="2:3" x14ac:dyDescent="0.25">
      <c r="B144" t="s">
        <v>3868</v>
      </c>
      <c r="C144">
        <v>14787.47</v>
      </c>
    </row>
    <row r="145" spans="2:3" x14ac:dyDescent="0.25">
      <c r="B145" t="s">
        <v>3476</v>
      </c>
      <c r="C145">
        <v>3867.61</v>
      </c>
    </row>
    <row r="146" spans="2:3" x14ac:dyDescent="0.25">
      <c r="B146" t="s">
        <v>3098</v>
      </c>
      <c r="C146">
        <v>3577.23</v>
      </c>
    </row>
    <row r="147" spans="2:3" x14ac:dyDescent="0.25">
      <c r="B147" t="s">
        <v>4060</v>
      </c>
      <c r="C147">
        <v>24000</v>
      </c>
    </row>
    <row r="148" spans="2:3" x14ac:dyDescent="0.25">
      <c r="B148" t="s">
        <v>2975</v>
      </c>
      <c r="C148">
        <v>740000</v>
      </c>
    </row>
    <row r="149" spans="2:3" x14ac:dyDescent="0.25">
      <c r="B149" t="s">
        <v>3474</v>
      </c>
      <c r="C149">
        <v>5571.85</v>
      </c>
    </row>
    <row r="150" spans="2:3" x14ac:dyDescent="0.25">
      <c r="B150" t="s">
        <v>4061</v>
      </c>
      <c r="C150">
        <v>0.94</v>
      </c>
    </row>
    <row r="151" spans="2:3" x14ac:dyDescent="0.25">
      <c r="B151" t="s">
        <v>4013</v>
      </c>
      <c r="C151">
        <v>1500</v>
      </c>
    </row>
    <row r="152" spans="2:3" x14ac:dyDescent="0.25">
      <c r="B152" t="s">
        <v>4059</v>
      </c>
      <c r="C152">
        <v>6536.42</v>
      </c>
    </row>
    <row r="153" spans="2:3" x14ac:dyDescent="0.25">
      <c r="B153" t="s">
        <v>3876</v>
      </c>
      <c r="C153">
        <v>14702.22</v>
      </c>
    </row>
    <row r="154" spans="2:3" x14ac:dyDescent="0.25">
      <c r="B154" t="s">
        <v>4062</v>
      </c>
      <c r="C154">
        <v>13779.08</v>
      </c>
    </row>
    <row r="155" spans="2:3" x14ac:dyDescent="0.25">
      <c r="B155" t="s">
        <v>4063</v>
      </c>
      <c r="C155">
        <v>10500</v>
      </c>
    </row>
    <row r="156" spans="2:3" x14ac:dyDescent="0.25">
      <c r="B156" t="s">
        <v>4064</v>
      </c>
      <c r="C156">
        <v>8262.49</v>
      </c>
    </row>
    <row r="157" spans="2:3" x14ac:dyDescent="0.25">
      <c r="B157" t="s">
        <v>4065</v>
      </c>
      <c r="C157">
        <v>0.04</v>
      </c>
    </row>
    <row r="158" spans="2:3" x14ac:dyDescent="0.25">
      <c r="B158" t="s">
        <v>4066</v>
      </c>
      <c r="C158">
        <v>14850</v>
      </c>
    </row>
    <row r="159" spans="2:3" x14ac:dyDescent="0.25">
      <c r="B159" t="s">
        <v>4055</v>
      </c>
      <c r="C159">
        <v>4274.26</v>
      </c>
    </row>
    <row r="160" spans="2:3" x14ac:dyDescent="0.25">
      <c r="B160" t="s">
        <v>4061</v>
      </c>
      <c r="C160">
        <v>26604.720000000001</v>
      </c>
    </row>
    <row r="161" spans="2:3" x14ac:dyDescent="0.25">
      <c r="B161" t="s">
        <v>4023</v>
      </c>
      <c r="C161">
        <v>10646.94</v>
      </c>
    </row>
    <row r="162" spans="2:3" x14ac:dyDescent="0.25">
      <c r="B162" t="s">
        <v>3867</v>
      </c>
      <c r="C162">
        <v>27409.93</v>
      </c>
    </row>
    <row r="163" spans="2:3" x14ac:dyDescent="0.25">
      <c r="B163" t="s">
        <v>4067</v>
      </c>
      <c r="C163">
        <v>8730.42</v>
      </c>
    </row>
    <row r="164" spans="2:3" x14ac:dyDescent="0.25">
      <c r="B164" t="s">
        <v>3098</v>
      </c>
      <c r="C164">
        <v>3577.22</v>
      </c>
    </row>
    <row r="165" spans="2:3" x14ac:dyDescent="0.25">
      <c r="B165" t="s">
        <v>1735</v>
      </c>
      <c r="C165">
        <v>800</v>
      </c>
    </row>
    <row r="166" spans="2:3" x14ac:dyDescent="0.25">
      <c r="B166" t="s">
        <v>4064</v>
      </c>
      <c r="C166">
        <v>46326.25</v>
      </c>
    </row>
    <row r="167" spans="2:3" x14ac:dyDescent="0.25">
      <c r="B167" t="s">
        <v>3319</v>
      </c>
      <c r="C167">
        <v>2010</v>
      </c>
    </row>
    <row r="168" spans="2:3" x14ac:dyDescent="0.25">
      <c r="B168" t="s">
        <v>3779</v>
      </c>
      <c r="C168">
        <v>3122.97</v>
      </c>
    </row>
    <row r="169" spans="2:3" x14ac:dyDescent="0.25">
      <c r="B169" t="s">
        <v>4068</v>
      </c>
      <c r="C169">
        <v>189581.39</v>
      </c>
    </row>
    <row r="170" spans="2:3" x14ac:dyDescent="0.25">
      <c r="B170" t="s">
        <v>4068</v>
      </c>
      <c r="C170">
        <v>65405.04</v>
      </c>
    </row>
    <row r="171" spans="2:3" x14ac:dyDescent="0.25">
      <c r="B171" t="s">
        <v>3961</v>
      </c>
      <c r="C171">
        <v>261158.69</v>
      </c>
    </row>
    <row r="172" spans="2:3" x14ac:dyDescent="0.25">
      <c r="B172" t="s">
        <v>4069</v>
      </c>
      <c r="C172">
        <v>14000</v>
      </c>
    </row>
    <row r="173" spans="2:3" x14ac:dyDescent="0.25">
      <c r="B173" t="s">
        <v>3488</v>
      </c>
      <c r="C173">
        <v>206.22</v>
      </c>
    </row>
    <row r="174" spans="2:3" x14ac:dyDescent="0.25">
      <c r="B174" t="s">
        <v>4070</v>
      </c>
      <c r="C174">
        <v>6850</v>
      </c>
    </row>
    <row r="175" spans="2:3" x14ac:dyDescent="0.25">
      <c r="B175" t="s">
        <v>4071</v>
      </c>
      <c r="C175">
        <v>29779.27</v>
      </c>
    </row>
    <row r="176" spans="2:3" x14ac:dyDescent="0.25">
      <c r="B176" t="s">
        <v>4072</v>
      </c>
      <c r="C176">
        <v>8514.2999999999993</v>
      </c>
    </row>
    <row r="177" spans="2:3" x14ac:dyDescent="0.25">
      <c r="B177" t="s">
        <v>4072</v>
      </c>
      <c r="C177">
        <v>8000</v>
      </c>
    </row>
    <row r="178" spans="2:3" x14ac:dyDescent="0.25">
      <c r="B178" t="s">
        <v>3884</v>
      </c>
      <c r="C178">
        <v>13426.67</v>
      </c>
    </row>
    <row r="179" spans="2:3" x14ac:dyDescent="0.25">
      <c r="B179" t="s">
        <v>3682</v>
      </c>
      <c r="C179">
        <v>2686.66</v>
      </c>
    </row>
    <row r="180" spans="2:3" x14ac:dyDescent="0.25">
      <c r="B180" t="s">
        <v>4066</v>
      </c>
      <c r="C180">
        <v>14846.75</v>
      </c>
    </row>
    <row r="181" spans="2:3" x14ac:dyDescent="0.25">
      <c r="B181" t="s">
        <v>4073</v>
      </c>
      <c r="C181">
        <v>4580</v>
      </c>
    </row>
    <row r="182" spans="2:3" x14ac:dyDescent="0.25">
      <c r="B182" t="s">
        <v>3488</v>
      </c>
      <c r="C182">
        <v>36502.5</v>
      </c>
    </row>
    <row r="183" spans="2:3" x14ac:dyDescent="0.25">
      <c r="B183" t="s">
        <v>4074</v>
      </c>
      <c r="C183">
        <v>607.23</v>
      </c>
    </row>
    <row r="184" spans="2:3" x14ac:dyDescent="0.25">
      <c r="B184" t="s">
        <v>1956</v>
      </c>
      <c r="C184">
        <v>73267</v>
      </c>
    </row>
    <row r="185" spans="2:3" x14ac:dyDescent="0.25">
      <c r="B185" t="s">
        <v>4075</v>
      </c>
      <c r="C185">
        <v>26455.83</v>
      </c>
    </row>
    <row r="186" spans="2:3" x14ac:dyDescent="0.25">
      <c r="B186" t="s">
        <v>4069</v>
      </c>
      <c r="C186">
        <v>13790.66</v>
      </c>
    </row>
    <row r="187" spans="2:3" x14ac:dyDescent="0.25">
      <c r="B187" t="s">
        <v>4076</v>
      </c>
      <c r="C187">
        <v>0.9</v>
      </c>
    </row>
    <row r="188" spans="2:3" x14ac:dyDescent="0.25">
      <c r="B188" t="s">
        <v>4077</v>
      </c>
      <c r="C188">
        <v>9628.57</v>
      </c>
    </row>
    <row r="189" spans="2:3" x14ac:dyDescent="0.25">
      <c r="B189" t="s">
        <v>4078</v>
      </c>
      <c r="C189">
        <v>199.89</v>
      </c>
    </row>
    <row r="190" spans="2:3" x14ac:dyDescent="0.25">
      <c r="B190" t="s">
        <v>3876</v>
      </c>
      <c r="C190">
        <v>806.71</v>
      </c>
    </row>
    <row r="191" spans="2:3" x14ac:dyDescent="0.25">
      <c r="B191" t="s">
        <v>4079</v>
      </c>
      <c r="C191">
        <v>39890.99</v>
      </c>
    </row>
    <row r="192" spans="2:3" x14ac:dyDescent="0.25">
      <c r="B192" t="s">
        <v>4080</v>
      </c>
      <c r="C192">
        <v>5250.16</v>
      </c>
    </row>
    <row r="193" spans="2:3" x14ac:dyDescent="0.25">
      <c r="B193" t="s">
        <v>4076</v>
      </c>
      <c r="C193">
        <v>16223.21</v>
      </c>
    </row>
    <row r="194" spans="2:3" x14ac:dyDescent="0.25">
      <c r="B194" t="s">
        <v>4081</v>
      </c>
      <c r="C194">
        <v>28939.919999999998</v>
      </c>
    </row>
    <row r="195" spans="2:3" x14ac:dyDescent="0.25">
      <c r="B195" t="s">
        <v>4081</v>
      </c>
      <c r="C195">
        <v>28940</v>
      </c>
    </row>
    <row r="196" spans="2:3" x14ac:dyDescent="0.25">
      <c r="B196" t="s">
        <v>4050</v>
      </c>
      <c r="C196">
        <v>0.18</v>
      </c>
    </row>
    <row r="197" spans="2:3" x14ac:dyDescent="0.25">
      <c r="B197" t="s">
        <v>4082</v>
      </c>
      <c r="C197">
        <v>12297.93</v>
      </c>
    </row>
    <row r="198" spans="2:3" x14ac:dyDescent="0.25">
      <c r="B198" t="s">
        <v>4082</v>
      </c>
      <c r="C198">
        <v>12298</v>
      </c>
    </row>
    <row r="199" spans="2:3" x14ac:dyDescent="0.25">
      <c r="B199" t="s">
        <v>3178</v>
      </c>
      <c r="C199">
        <v>1000</v>
      </c>
    </row>
    <row r="200" spans="2:3" x14ac:dyDescent="0.25">
      <c r="B200" t="s">
        <v>4074</v>
      </c>
      <c r="C200">
        <v>27306.15</v>
      </c>
    </row>
    <row r="201" spans="2:3" x14ac:dyDescent="0.25">
      <c r="B201" t="s">
        <v>4074</v>
      </c>
      <c r="C201">
        <v>27558.16</v>
      </c>
    </row>
    <row r="202" spans="2:3" x14ac:dyDescent="0.25">
      <c r="B202" t="s">
        <v>4044</v>
      </c>
      <c r="C202">
        <v>10140.92</v>
      </c>
    </row>
    <row r="203" spans="2:3" x14ac:dyDescent="0.25">
      <c r="B203" t="s">
        <v>4044</v>
      </c>
      <c r="C203">
        <v>10150</v>
      </c>
    </row>
    <row r="204" spans="2:3" x14ac:dyDescent="0.25">
      <c r="B204" t="s">
        <v>1736</v>
      </c>
      <c r="C204">
        <v>105000</v>
      </c>
    </row>
    <row r="205" spans="2:3" x14ac:dyDescent="0.25">
      <c r="B205" t="s">
        <v>4083</v>
      </c>
      <c r="C205">
        <v>67580.789999999994</v>
      </c>
    </row>
    <row r="206" spans="2:3" x14ac:dyDescent="0.25">
      <c r="B206" t="s">
        <v>4083</v>
      </c>
      <c r="C206">
        <v>33069.79</v>
      </c>
    </row>
    <row r="207" spans="2:3" x14ac:dyDescent="0.25">
      <c r="B207" t="s">
        <v>4083</v>
      </c>
      <c r="C207">
        <v>34000</v>
      </c>
    </row>
    <row r="208" spans="2:3" x14ac:dyDescent="0.25">
      <c r="B208" t="s">
        <v>667</v>
      </c>
      <c r="C208">
        <v>688.62</v>
      </c>
    </row>
    <row r="209" spans="2:3" x14ac:dyDescent="0.25">
      <c r="B209" t="s">
        <v>4078</v>
      </c>
      <c r="C209">
        <v>2236.94</v>
      </c>
    </row>
    <row r="210" spans="2:3" x14ac:dyDescent="0.25">
      <c r="B210" t="s">
        <v>4078</v>
      </c>
      <c r="C210">
        <v>2700</v>
      </c>
    </row>
    <row r="211" spans="2:3" x14ac:dyDescent="0.25">
      <c r="B211" t="s">
        <v>1973</v>
      </c>
      <c r="C211">
        <v>6940.62</v>
      </c>
    </row>
    <row r="212" spans="2:3" x14ac:dyDescent="0.25">
      <c r="B212" t="s">
        <v>4051</v>
      </c>
      <c r="C212">
        <v>1100</v>
      </c>
    </row>
    <row r="213" spans="2:3" x14ac:dyDescent="0.25">
      <c r="B213" t="s">
        <v>3740</v>
      </c>
      <c r="C213">
        <v>201277.34</v>
      </c>
    </row>
    <row r="214" spans="2:3" x14ac:dyDescent="0.25">
      <c r="B214" t="s">
        <v>4025</v>
      </c>
      <c r="C214">
        <v>21.37</v>
      </c>
    </row>
    <row r="215" spans="2:3" x14ac:dyDescent="0.25">
      <c r="B215" t="s">
        <v>4084</v>
      </c>
      <c r="C215">
        <v>12125.59</v>
      </c>
    </row>
    <row r="216" spans="2:3" x14ac:dyDescent="0.25">
      <c r="B216" t="s">
        <v>4084</v>
      </c>
      <c r="C216">
        <v>12126</v>
      </c>
    </row>
    <row r="217" spans="2:3" x14ac:dyDescent="0.25">
      <c r="B217" t="s">
        <v>4085</v>
      </c>
      <c r="C217">
        <v>6462.97</v>
      </c>
    </row>
    <row r="218" spans="2:3" x14ac:dyDescent="0.25">
      <c r="B218" t="s">
        <v>3185</v>
      </c>
      <c r="C218">
        <v>80000</v>
      </c>
    </row>
    <row r="219" spans="2:3" x14ac:dyDescent="0.25">
      <c r="B219" t="s">
        <v>3344</v>
      </c>
      <c r="C219">
        <v>1000</v>
      </c>
    </row>
    <row r="220" spans="2:3" x14ac:dyDescent="0.25">
      <c r="B220" t="s">
        <v>3474</v>
      </c>
      <c r="C220">
        <v>1697.35</v>
      </c>
    </row>
    <row r="221" spans="2:3" x14ac:dyDescent="0.25">
      <c r="B221" t="s">
        <v>3867</v>
      </c>
      <c r="C221">
        <v>8257.2099999999991</v>
      </c>
    </row>
    <row r="222" spans="2:3" x14ac:dyDescent="0.25">
      <c r="B222" t="s">
        <v>4025</v>
      </c>
      <c r="C222">
        <v>19640.240000000002</v>
      </c>
    </row>
    <row r="223" spans="2:3" x14ac:dyDescent="0.25">
      <c r="B223" t="s">
        <v>4025</v>
      </c>
      <c r="C223">
        <v>19700</v>
      </c>
    </row>
    <row r="224" spans="2:3" x14ac:dyDescent="0.25">
      <c r="B224" t="s">
        <v>4086</v>
      </c>
      <c r="C224">
        <v>14550.71</v>
      </c>
    </row>
    <row r="225" spans="2:3" x14ac:dyDescent="0.25">
      <c r="B225" t="s">
        <v>3780</v>
      </c>
      <c r="C225">
        <v>227205</v>
      </c>
    </row>
    <row r="226" spans="2:3" x14ac:dyDescent="0.25">
      <c r="B226" t="s">
        <v>2965</v>
      </c>
      <c r="C226">
        <v>5320.21</v>
      </c>
    </row>
    <row r="227" spans="2:3" x14ac:dyDescent="0.25">
      <c r="B227" t="s">
        <v>4065</v>
      </c>
      <c r="C227">
        <v>18828.96</v>
      </c>
    </row>
    <row r="228" spans="2:3" x14ac:dyDescent="0.25">
      <c r="B228" t="s">
        <v>4087</v>
      </c>
      <c r="C228">
        <v>6760.02</v>
      </c>
    </row>
    <row r="229" spans="2:3" x14ac:dyDescent="0.25">
      <c r="B229" t="s">
        <v>4087</v>
      </c>
      <c r="C229">
        <v>6761</v>
      </c>
    </row>
    <row r="230" spans="2:3" x14ac:dyDescent="0.25">
      <c r="B230" t="s">
        <v>856</v>
      </c>
      <c r="C230">
        <v>6.76</v>
      </c>
    </row>
    <row r="231" spans="2:3" x14ac:dyDescent="0.25">
      <c r="B231" t="s">
        <v>1415</v>
      </c>
      <c r="C231">
        <v>0.12</v>
      </c>
    </row>
    <row r="232" spans="2:3" x14ac:dyDescent="0.25">
      <c r="B232" t="s">
        <v>3344</v>
      </c>
      <c r="C232">
        <v>1090</v>
      </c>
    </row>
    <row r="233" spans="2:3" x14ac:dyDescent="0.25">
      <c r="B233" t="s">
        <v>4019</v>
      </c>
      <c r="C233">
        <v>8583.4699999999993</v>
      </c>
    </row>
    <row r="234" spans="2:3" x14ac:dyDescent="0.25">
      <c r="B234" t="s">
        <v>4033</v>
      </c>
      <c r="C234">
        <v>31225.759999999998</v>
      </c>
    </row>
    <row r="235" spans="2:3" x14ac:dyDescent="0.25">
      <c r="B235" t="s">
        <v>4056</v>
      </c>
      <c r="C235">
        <v>12164765.77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BECFE-C10A-4557-8469-94FD256A59BA}">
  <sheetPr codeName="Лист2"/>
  <dimension ref="A1:R39"/>
  <sheetViews>
    <sheetView workbookViewId="0">
      <selection activeCell="C22" sqref="C22"/>
    </sheetView>
  </sheetViews>
  <sheetFormatPr defaultRowHeight="15" x14ac:dyDescent="0.25"/>
  <cols>
    <col min="1" max="1" width="34.140625" bestFit="1" customWidth="1"/>
    <col min="2" max="2" width="15" bestFit="1" customWidth="1"/>
    <col min="3" max="3" width="24.5703125" style="2" bestFit="1" customWidth="1"/>
    <col min="4" max="4" width="24.28515625" style="2" customWidth="1"/>
    <col min="5" max="5" width="13.28515625" style="2" bestFit="1" customWidth="1"/>
    <col min="6" max="6" width="3" bestFit="1" customWidth="1"/>
    <col min="7" max="7" width="10" bestFit="1" customWidth="1"/>
    <col min="8" max="8" width="10.140625" bestFit="1" customWidth="1"/>
    <col min="9" max="9" width="11.42578125" bestFit="1" customWidth="1"/>
    <col min="10" max="10" width="10.140625" bestFit="1" customWidth="1"/>
    <col min="11" max="11" width="11.42578125" style="29" bestFit="1" customWidth="1"/>
    <col min="12" max="12" width="13.140625" bestFit="1" customWidth="1"/>
    <col min="17" max="17" width="13.140625" bestFit="1" customWidth="1"/>
    <col min="18" max="18" width="10.140625" bestFit="1" customWidth="1"/>
  </cols>
  <sheetData>
    <row r="1" spans="1:18" ht="15.75" thickBot="1" x14ac:dyDescent="0.3">
      <c r="A1" s="96" t="s">
        <v>17</v>
      </c>
      <c r="B1" s="97" t="s">
        <v>457</v>
      </c>
      <c r="C1" s="98" t="s">
        <v>622</v>
      </c>
      <c r="D1" s="98" t="s">
        <v>621</v>
      </c>
      <c r="E1" s="99" t="s">
        <v>617</v>
      </c>
      <c r="J1" s="1"/>
    </row>
    <row r="2" spans="1:18" x14ac:dyDescent="0.25">
      <c r="A2" s="44" t="s">
        <v>519</v>
      </c>
      <c r="B2" s="93" t="e">
        <f>VLOOKUP(A2,'реестр просрочников'!B:C,2,0)</f>
        <v>#N/A</v>
      </c>
      <c r="C2" s="94" t="e">
        <f>VLOOKUP(A2,'РП (расш)'!A:E,5,0)</f>
        <v>#N/A</v>
      </c>
      <c r="D2" s="94" t="e">
        <f>VLOOKUP(A2,'реестр просрочников'!B:E,4,0)</f>
        <v>#N/A</v>
      </c>
      <c r="E2" s="95" t="e">
        <f>VLOOKUP(A2,'РП (расш)'!A:F,6,0)</f>
        <v>#N/A</v>
      </c>
      <c r="L2" s="23"/>
      <c r="Q2" s="23"/>
      <c r="R2" s="1"/>
    </row>
    <row r="3" spans="1:18" x14ac:dyDescent="0.25">
      <c r="A3" s="3" t="s">
        <v>520</v>
      </c>
      <c r="B3" s="4" t="e">
        <f>VLOOKUP(A3,'реестр просрочников'!B:C,2,0)</f>
        <v>#N/A</v>
      </c>
      <c r="C3" s="5">
        <f>VLOOKUP(A3,'РП (расш)'!A:E,5,0)</f>
        <v>0</v>
      </c>
      <c r="D3" s="5" t="e">
        <f>VLOOKUP(A3,'реестр просрочников'!B:E,4,0)</f>
        <v>#N/A</v>
      </c>
      <c r="E3" s="92">
        <f>VLOOKUP(A3,'РП (расш)'!A:F,6,0)</f>
        <v>55421.26</v>
      </c>
      <c r="L3" s="23"/>
      <c r="Q3" s="23"/>
    </row>
    <row r="4" spans="1:18" x14ac:dyDescent="0.25">
      <c r="A4" s="3" t="s">
        <v>521</v>
      </c>
      <c r="B4" s="4" t="e">
        <f>VLOOKUP(A4,'реестр просрочников'!B:C,2,0)</f>
        <v>#N/A</v>
      </c>
      <c r="C4" s="5">
        <f>VLOOKUP(A4,'РП (расш)'!A:E,5,0)</f>
        <v>0</v>
      </c>
      <c r="D4" s="5" t="e">
        <f>VLOOKUP(A4,'реестр просрочников'!B:E,4,0)</f>
        <v>#N/A</v>
      </c>
      <c r="E4" s="92">
        <f>VLOOKUP(A4,'РП (расш)'!A:F,6,0)</f>
        <v>45462.65</v>
      </c>
      <c r="L4" s="23"/>
      <c r="Q4" s="23"/>
    </row>
    <row r="5" spans="1:18" hidden="1" x14ac:dyDescent="0.25">
      <c r="A5" s="3"/>
      <c r="B5" s="4"/>
      <c r="C5" s="5"/>
      <c r="D5" s="5"/>
      <c r="E5" s="92"/>
      <c r="L5" s="23"/>
      <c r="Q5" s="23"/>
    </row>
    <row r="6" spans="1:18" hidden="1" x14ac:dyDescent="0.25">
      <c r="A6" s="3"/>
      <c r="B6" s="4"/>
      <c r="C6" s="5"/>
      <c r="D6" s="5"/>
      <c r="E6" s="92"/>
      <c r="L6" s="23"/>
      <c r="Q6" s="23"/>
    </row>
    <row r="7" spans="1:18" hidden="1" x14ac:dyDescent="0.25">
      <c r="A7" s="3"/>
      <c r="B7" s="4"/>
      <c r="C7" s="5"/>
      <c r="D7" s="5"/>
      <c r="E7" s="92"/>
      <c r="L7" s="23"/>
      <c r="Q7" s="23"/>
    </row>
    <row r="8" spans="1:18" hidden="1" x14ac:dyDescent="0.25">
      <c r="A8" s="3"/>
      <c r="B8" s="4"/>
      <c r="C8" s="5"/>
      <c r="D8" s="5"/>
      <c r="E8" s="92"/>
      <c r="L8" s="23"/>
      <c r="Q8" s="23"/>
    </row>
    <row r="9" spans="1:18" hidden="1" x14ac:dyDescent="0.25">
      <c r="A9" s="3"/>
      <c r="B9" s="4"/>
      <c r="C9" s="5"/>
      <c r="D9" s="5"/>
      <c r="E9" s="92"/>
      <c r="L9" s="23"/>
      <c r="Q9" s="23"/>
    </row>
    <row r="10" spans="1:18" ht="16.5" thickBot="1" x14ac:dyDescent="0.3">
      <c r="A10" s="113" t="s">
        <v>623</v>
      </c>
      <c r="B10" s="114"/>
      <c r="C10" s="100" t="e">
        <f>SUM(C2:C9)</f>
        <v>#N/A</v>
      </c>
      <c r="D10" s="100" t="e">
        <f t="shared" ref="D10:E10" si="0">SUM(D2:D9)</f>
        <v>#N/A</v>
      </c>
      <c r="E10" s="101" t="e">
        <f t="shared" si="0"/>
        <v>#N/A</v>
      </c>
      <c r="L10" s="23"/>
      <c r="Q10" s="23"/>
    </row>
    <row r="11" spans="1:18" x14ac:dyDescent="0.25">
      <c r="L11" s="23"/>
      <c r="Q11" s="23"/>
    </row>
    <row r="12" spans="1:18" x14ac:dyDescent="0.25">
      <c r="L12" s="23"/>
      <c r="Q12" s="23"/>
    </row>
    <row r="13" spans="1:18" x14ac:dyDescent="0.25">
      <c r="L13" s="23"/>
      <c r="Q13" s="23"/>
    </row>
    <row r="14" spans="1:18" x14ac:dyDescent="0.25">
      <c r="L14" s="23"/>
      <c r="Q14" s="23"/>
    </row>
    <row r="15" spans="1:18" x14ac:dyDescent="0.25">
      <c r="L15" s="23"/>
      <c r="Q15" s="23"/>
    </row>
    <row r="16" spans="1:18" x14ac:dyDescent="0.25">
      <c r="L16" s="23"/>
      <c r="Q16" s="23"/>
    </row>
    <row r="17" spans="12:17" x14ac:dyDescent="0.25">
      <c r="L17" s="23"/>
      <c r="Q17" s="23"/>
    </row>
    <row r="18" spans="12:17" x14ac:dyDescent="0.25">
      <c r="L18" s="23"/>
      <c r="Q18" s="23"/>
    </row>
    <row r="19" spans="12:17" x14ac:dyDescent="0.25">
      <c r="L19" s="23"/>
      <c r="Q19" s="23"/>
    </row>
    <row r="20" spans="12:17" x14ac:dyDescent="0.25">
      <c r="L20" s="23"/>
      <c r="Q20" s="23"/>
    </row>
    <row r="21" spans="12:17" x14ac:dyDescent="0.25">
      <c r="L21" s="23"/>
      <c r="Q21" s="23"/>
    </row>
    <row r="22" spans="12:17" x14ac:dyDescent="0.25">
      <c r="L22" s="23"/>
      <c r="Q22" s="23"/>
    </row>
    <row r="23" spans="12:17" x14ac:dyDescent="0.25">
      <c r="L23" s="23"/>
      <c r="Q23" s="23"/>
    </row>
    <row r="24" spans="12:17" x14ac:dyDescent="0.25">
      <c r="L24" s="23"/>
      <c r="Q24" s="23"/>
    </row>
    <row r="25" spans="12:17" x14ac:dyDescent="0.25">
      <c r="L25" s="23"/>
      <c r="Q25" s="23"/>
    </row>
    <row r="26" spans="12:17" x14ac:dyDescent="0.25">
      <c r="L26" s="23"/>
      <c r="Q26" s="23"/>
    </row>
    <row r="27" spans="12:17" x14ac:dyDescent="0.25">
      <c r="L27" s="23"/>
      <c r="Q27" s="23"/>
    </row>
    <row r="28" spans="12:17" x14ac:dyDescent="0.25">
      <c r="L28" s="23"/>
      <c r="Q28" s="23"/>
    </row>
    <row r="29" spans="12:17" x14ac:dyDescent="0.25">
      <c r="L29" s="23"/>
      <c r="Q29" s="23"/>
    </row>
    <row r="30" spans="12:17" x14ac:dyDescent="0.25">
      <c r="L30" s="23"/>
      <c r="Q30" s="23"/>
    </row>
    <row r="31" spans="12:17" x14ac:dyDescent="0.25">
      <c r="L31" s="23"/>
      <c r="Q31" s="23"/>
    </row>
    <row r="32" spans="12:17" x14ac:dyDescent="0.25">
      <c r="L32" s="23"/>
      <c r="Q32" s="23"/>
    </row>
    <row r="33" spans="12:17" x14ac:dyDescent="0.25">
      <c r="L33" s="23"/>
      <c r="Q33" s="23"/>
    </row>
    <row r="34" spans="12:17" x14ac:dyDescent="0.25">
      <c r="L34" s="23"/>
      <c r="Q34" s="23"/>
    </row>
    <row r="35" spans="12:17" x14ac:dyDescent="0.25">
      <c r="L35" s="23"/>
      <c r="Q35" s="23"/>
    </row>
    <row r="36" spans="12:17" x14ac:dyDescent="0.25">
      <c r="L36" s="23"/>
      <c r="Q36" s="23"/>
    </row>
    <row r="37" spans="12:17" x14ac:dyDescent="0.25">
      <c r="L37" s="23"/>
      <c r="Q37" s="23"/>
    </row>
    <row r="38" spans="12:17" x14ac:dyDescent="0.25">
      <c r="L38" s="23"/>
      <c r="Q38" s="23"/>
    </row>
    <row r="39" spans="12:17" x14ac:dyDescent="0.25">
      <c r="L39" s="23"/>
      <c r="Q39" s="23"/>
    </row>
  </sheetData>
  <mergeCells count="1">
    <mergeCell ref="A10:B1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097C9-F365-43E8-9AE0-83F482B113D2}">
  <sheetPr codeName="Лист18"/>
  <dimension ref="A1:Q27"/>
  <sheetViews>
    <sheetView workbookViewId="0">
      <selection activeCell="I20" sqref="I20"/>
    </sheetView>
  </sheetViews>
  <sheetFormatPr defaultRowHeight="15" x14ac:dyDescent="0.25"/>
  <cols>
    <col min="1" max="1" width="10.140625" bestFit="1" customWidth="1"/>
    <col min="2" max="2" width="14.42578125" customWidth="1"/>
    <col min="3" max="8" width="12.7109375" customWidth="1"/>
    <col min="9" max="10" width="13.140625" bestFit="1" customWidth="1"/>
    <col min="13" max="13" width="12" bestFit="1" customWidth="1"/>
    <col min="15" max="15" width="12" bestFit="1" customWidth="1"/>
    <col min="16" max="17" width="7.28515625" bestFit="1" customWidth="1"/>
  </cols>
  <sheetData>
    <row r="1" spans="1:17" x14ac:dyDescent="0.25">
      <c r="A1" s="10" t="s">
        <v>126</v>
      </c>
      <c r="B1" s="116" t="s">
        <v>20</v>
      </c>
      <c r="C1" s="117"/>
      <c r="D1" s="117"/>
      <c r="E1" s="117"/>
      <c r="F1" s="117"/>
      <c r="G1" s="118"/>
      <c r="H1" s="35"/>
      <c r="I1" s="115"/>
      <c r="J1" s="115"/>
      <c r="K1" s="115"/>
      <c r="O1" t="s">
        <v>124</v>
      </c>
      <c r="P1" t="str">
        <f>СуммаПрописью(E7)</f>
        <v>Двести восемьдесят девять тысяч двести восемьдесят три рубля 58 коп.</v>
      </c>
      <c r="Q1" t="str">
        <f>СуммаПрописью(G7)</f>
        <v>Сто девятнадцать тысяч двести восемьдесят три рубля 58 коп.</v>
      </c>
    </row>
    <row r="2" spans="1:17" x14ac:dyDescent="0.25">
      <c r="A2" s="10"/>
      <c r="B2" s="11" t="s">
        <v>39</v>
      </c>
      <c r="C2" s="11" t="s">
        <v>40</v>
      </c>
      <c r="D2" s="11" t="s">
        <v>41</v>
      </c>
      <c r="E2" s="11" t="s">
        <v>42</v>
      </c>
      <c r="F2" s="11" t="s">
        <v>57</v>
      </c>
      <c r="G2" s="11" t="s">
        <v>43</v>
      </c>
      <c r="I2" s="11" t="s">
        <v>39</v>
      </c>
      <c r="J2" s="11" t="s">
        <v>40</v>
      </c>
      <c r="K2" s="11" t="s">
        <v>41</v>
      </c>
      <c r="O2" t="s">
        <v>125</v>
      </c>
      <c r="P2" t="str">
        <f>СуммаПрописью(E17)</f>
        <v>Девятьсот семьдесят восемь тысяч пятьсот сорок восемь рублей 17 коп.</v>
      </c>
      <c r="Q2" t="str">
        <f>СуммаПрописью(G17)</f>
        <v>Четыреста шестьдесят две тысячи восемьсот двадцать шесть рублей 61 коп.</v>
      </c>
    </row>
    <row r="3" spans="1:17" x14ac:dyDescent="0.25">
      <c r="A3" s="10" t="s">
        <v>9</v>
      </c>
      <c r="B3" s="12">
        <v>140998.24</v>
      </c>
      <c r="C3" s="12">
        <v>140998.24</v>
      </c>
      <c r="D3" s="12">
        <f>B3-C3</f>
        <v>0</v>
      </c>
      <c r="E3" s="12"/>
      <c r="F3" s="12">
        <v>140998.24</v>
      </c>
      <c r="G3" s="34">
        <f>B3-F3</f>
        <v>0</v>
      </c>
      <c r="I3" s="4">
        <v>530154.12</v>
      </c>
      <c r="J3" s="4">
        <v>530154.12</v>
      </c>
      <c r="K3" s="4">
        <f>I3-J3</f>
        <v>0</v>
      </c>
    </row>
    <row r="4" spans="1:17" x14ac:dyDescent="0.25">
      <c r="A4" s="10" t="s">
        <v>36</v>
      </c>
      <c r="B4" s="12">
        <v>124944.1</v>
      </c>
      <c r="C4" s="12">
        <v>58099</v>
      </c>
      <c r="D4" s="12">
        <f t="shared" ref="D4:D7" si="0">B4-C4</f>
        <v>66845.100000000006</v>
      </c>
      <c r="E4" s="12"/>
      <c r="F4" s="12">
        <v>29001.760000000009</v>
      </c>
      <c r="G4" s="34">
        <f>B4-F4</f>
        <v>95942.34</v>
      </c>
      <c r="I4" s="4">
        <v>561376.81999999995</v>
      </c>
      <c r="J4" s="4">
        <v>326743.67999999999</v>
      </c>
      <c r="K4" s="4">
        <f t="shared" ref="K4:K6" si="1">I4-J4</f>
        <v>234633.13999999996</v>
      </c>
    </row>
    <row r="5" spans="1:17" x14ac:dyDescent="0.25">
      <c r="A5" s="10" t="s">
        <v>37</v>
      </c>
      <c r="B5" s="12">
        <v>56190.62</v>
      </c>
      <c r="C5" s="12">
        <v>12029.97</v>
      </c>
      <c r="D5" s="12">
        <f t="shared" si="0"/>
        <v>44160.65</v>
      </c>
      <c r="E5" s="12"/>
      <c r="F5" s="12"/>
      <c r="G5" s="34">
        <f>C5-F5</f>
        <v>12029.97</v>
      </c>
      <c r="I5" s="4">
        <v>126537.19</v>
      </c>
      <c r="J5" s="4">
        <v>70139.39</v>
      </c>
      <c r="K5" s="4">
        <f t="shared" si="1"/>
        <v>56397.8</v>
      </c>
    </row>
    <row r="6" spans="1:17" x14ac:dyDescent="0.25">
      <c r="A6" s="10" t="s">
        <v>38</v>
      </c>
      <c r="B6" s="12">
        <v>11311.27</v>
      </c>
      <c r="C6" s="12">
        <v>11311.27</v>
      </c>
      <c r="D6" s="12">
        <f t="shared" si="0"/>
        <v>0</v>
      </c>
      <c r="E6" s="12"/>
      <c r="F6" s="12"/>
      <c r="G6" s="34">
        <f>C6-F6</f>
        <v>11311.27</v>
      </c>
      <c r="I6" s="4">
        <v>13981.47</v>
      </c>
      <c r="J6" s="4">
        <v>13981.47</v>
      </c>
      <c r="K6" s="4">
        <f t="shared" si="1"/>
        <v>0</v>
      </c>
      <c r="O6" s="23">
        <f>170000-C3</f>
        <v>29001.760000000009</v>
      </c>
    </row>
    <row r="7" spans="1:17" x14ac:dyDescent="0.25">
      <c r="A7" s="4"/>
      <c r="B7" s="12">
        <f>SUM(B3:B6)</f>
        <v>333444.23</v>
      </c>
      <c r="C7" s="12">
        <f>SUM(C3:C6)</f>
        <v>222438.47999999998</v>
      </c>
      <c r="D7" s="12">
        <f t="shared" si="0"/>
        <v>111005.75</v>
      </c>
      <c r="E7" s="30">
        <f>SUM(C3+B4+C5+C6)</f>
        <v>289283.57999999996</v>
      </c>
      <c r="F7" s="30">
        <f>SUM(F3:F6)</f>
        <v>170000</v>
      </c>
      <c r="G7" s="30">
        <f>SUM(G3:G6)</f>
        <v>119283.58</v>
      </c>
      <c r="I7" s="5">
        <f>SUM(I3:I6)</f>
        <v>1232049.5999999999</v>
      </c>
      <c r="J7" s="5">
        <f>SUM(J3:J6)</f>
        <v>941018.66</v>
      </c>
      <c r="K7" s="4"/>
    </row>
    <row r="8" spans="1:17" x14ac:dyDescent="0.25">
      <c r="E8" t="str">
        <f>"("&amp;LEFT(P1,SEARCH(" руб",P1)-1)&amp;") "&amp;RIGHT(P1,LEN(P1)-SEARCH(" руб",P1))</f>
        <v>(Двести восемьдесят девять тысяч двести восемьдесят три) рубля 58 коп.</v>
      </c>
      <c r="G8" t="str">
        <f>"("&amp;LEFT(Q1,SEARCH(" руб",Q1)-1)&amp;") "&amp;RIGHT(Q1,LEN(Q1)-SEARCH(" руб",Q1))</f>
        <v>(Сто девятнадцать тысяч двести восемьдесят три) рубля 58 коп.</v>
      </c>
      <c r="J8" s="2"/>
    </row>
    <row r="9" spans="1:17" x14ac:dyDescent="0.25">
      <c r="A9" s="9"/>
    </row>
    <row r="11" spans="1:17" x14ac:dyDescent="0.25">
      <c r="A11" s="10" t="s">
        <v>127</v>
      </c>
      <c r="B11" s="116" t="s">
        <v>5</v>
      </c>
      <c r="C11" s="117"/>
      <c r="D11" s="117"/>
      <c r="E11" s="117"/>
      <c r="F11" s="117"/>
      <c r="G11" s="118"/>
    </row>
    <row r="12" spans="1:17" x14ac:dyDescent="0.25">
      <c r="A12" s="10"/>
      <c r="B12" s="11" t="s">
        <v>39</v>
      </c>
      <c r="C12" s="11" t="s">
        <v>40</v>
      </c>
      <c r="D12" s="11" t="s">
        <v>41</v>
      </c>
      <c r="E12" s="11" t="s">
        <v>42</v>
      </c>
      <c r="F12" s="11" t="s">
        <v>57</v>
      </c>
      <c r="G12" s="11" t="s">
        <v>43</v>
      </c>
      <c r="I12" s="11" t="s">
        <v>39</v>
      </c>
      <c r="J12" s="11" t="s">
        <v>40</v>
      </c>
      <c r="K12" s="11" t="s">
        <v>41</v>
      </c>
    </row>
    <row r="13" spans="1:17" x14ac:dyDescent="0.25">
      <c r="A13" s="10" t="s">
        <v>9</v>
      </c>
      <c r="B13" s="12">
        <v>294504.05</v>
      </c>
      <c r="C13" s="12">
        <v>294504.05</v>
      </c>
      <c r="D13" s="12">
        <f>B13-C13</f>
        <v>0</v>
      </c>
      <c r="E13" s="12"/>
      <c r="F13" s="12">
        <v>257002.48</v>
      </c>
      <c r="G13" s="34"/>
      <c r="I13" s="4">
        <v>530154.12</v>
      </c>
      <c r="J13" s="4">
        <v>530154.12</v>
      </c>
      <c r="K13" s="4">
        <f>I13-J13</f>
        <v>0</v>
      </c>
    </row>
    <row r="14" spans="1:17" x14ac:dyDescent="0.25">
      <c r="A14" s="10" t="s">
        <v>36</v>
      </c>
      <c r="B14" s="12">
        <f>263988.59+102551.96</f>
        <v>366540.55000000005</v>
      </c>
      <c r="C14" s="12">
        <v>102551.96</v>
      </c>
      <c r="D14" s="12">
        <f t="shared" ref="D14:D17" si="2">B14-C14</f>
        <v>263988.59000000003</v>
      </c>
      <c r="E14" s="12"/>
      <c r="F14" s="12">
        <v>22997.52</v>
      </c>
      <c r="G14" s="34">
        <f>B14-F14</f>
        <v>343543.03</v>
      </c>
      <c r="H14" s="23">
        <f>G14+G4</f>
        <v>439485.37</v>
      </c>
      <c r="I14" s="4">
        <v>561376.81999999995</v>
      </c>
      <c r="J14" s="4">
        <v>326743.67999999999</v>
      </c>
      <c r="K14" s="4">
        <f t="shared" ref="K14:K16" si="3">I14-J14</f>
        <v>234633.13999999996</v>
      </c>
      <c r="M14" s="19"/>
    </row>
    <row r="15" spans="1:17" x14ac:dyDescent="0.25">
      <c r="A15" s="10" t="s">
        <v>37</v>
      </c>
      <c r="B15" s="12">
        <f>19719.99+83130.46</f>
        <v>102850.45000000001</v>
      </c>
      <c r="C15" s="12">
        <v>19719.990000000002</v>
      </c>
      <c r="D15" s="12">
        <f t="shared" si="2"/>
        <v>83130.460000000006</v>
      </c>
      <c r="E15" s="12"/>
      <c r="F15" s="12"/>
      <c r="G15" s="34"/>
      <c r="I15" s="4">
        <v>126537.19</v>
      </c>
      <c r="J15" s="4">
        <v>70139.39</v>
      </c>
      <c r="K15" s="4">
        <f t="shared" si="3"/>
        <v>56397.8</v>
      </c>
      <c r="M15" s="19"/>
    </row>
    <row r="16" spans="1:17" x14ac:dyDescent="0.25">
      <c r="A16" s="10" t="s">
        <v>38</v>
      </c>
      <c r="B16" s="12"/>
      <c r="C16" s="12">
        <v>8500</v>
      </c>
      <c r="D16" s="12">
        <f t="shared" si="2"/>
        <v>-8500</v>
      </c>
      <c r="E16" s="12"/>
      <c r="F16" s="12"/>
      <c r="G16" s="34"/>
      <c r="H16" s="23"/>
      <c r="I16" s="4">
        <v>13981.47</v>
      </c>
      <c r="J16" s="4">
        <v>13981.47</v>
      </c>
      <c r="K16" s="4">
        <f t="shared" si="3"/>
        <v>0</v>
      </c>
      <c r="M16" s="19"/>
    </row>
    <row r="17" spans="1:13" x14ac:dyDescent="0.25">
      <c r="A17" s="4"/>
      <c r="B17" s="12">
        <f>SUM(B13:B16)</f>
        <v>763895.05</v>
      </c>
      <c r="C17" s="12">
        <f>SUM(C13:C16)</f>
        <v>425276</v>
      </c>
      <c r="D17" s="12">
        <f t="shared" si="2"/>
        <v>338619.05000000005</v>
      </c>
      <c r="E17" s="30">
        <f>SUM(C13+B14+C15+C16)+E7</f>
        <v>978548.17</v>
      </c>
      <c r="F17" s="30">
        <v>410964</v>
      </c>
      <c r="G17" s="30">
        <f>SUM(G13:G16)+G7</f>
        <v>462826.61000000004</v>
      </c>
      <c r="I17" s="5">
        <f>SUM(I13:I16)</f>
        <v>1232049.5999999999</v>
      </c>
      <c r="J17" s="5">
        <f>SUM(J13:J16)</f>
        <v>941018.66</v>
      </c>
      <c r="K17" s="4"/>
      <c r="M17" s="23"/>
    </row>
    <row r="18" spans="1:13" x14ac:dyDescent="0.25">
      <c r="E18" t="str">
        <f>"("&amp;LEFT(P2,SEARCH(" руб",P2)-1)&amp;") "&amp;RIGHT(P2,LEN(P2)-SEARCH(" руб",P2))</f>
        <v>(Девятьсот семьдесят восемь тысяч пятьсот сорок восемь) рублей 17 коп.</v>
      </c>
      <c r="G18" t="str">
        <f>"("&amp;LEFT(Q2,SEARCH(" руб",Q2)-1)&amp;") "&amp;RIGHT(Q2,LEN(Q2)-SEARCH(" руб",Q2))</f>
        <v>(Четыреста шестьдесят две тысячи восемьсот двадцать шесть) рублей 61 коп.</v>
      </c>
      <c r="M18" s="23"/>
    </row>
    <row r="19" spans="1:13" ht="15.75" thickBot="1" x14ac:dyDescent="0.3">
      <c r="E19" s="23"/>
      <c r="F19" s="23"/>
    </row>
    <row r="20" spans="1:13" ht="30.75" thickBot="1" x14ac:dyDescent="0.3">
      <c r="A20" s="15" t="s">
        <v>45</v>
      </c>
      <c r="B20" s="13">
        <v>608500</v>
      </c>
      <c r="C20" t="s">
        <v>58</v>
      </c>
      <c r="D20" s="23">
        <f>B20-SUM(F3:F6)</f>
        <v>438500</v>
      </c>
      <c r="F20" s="23"/>
      <c r="G20" s="23"/>
    </row>
    <row r="21" spans="1:13" ht="15.75" thickBot="1" x14ac:dyDescent="0.3">
      <c r="B21" s="2"/>
    </row>
    <row r="22" spans="1:13" x14ac:dyDescent="0.25">
      <c r="A22" s="16" t="s">
        <v>17</v>
      </c>
      <c r="B22" s="17" t="s">
        <v>12</v>
      </c>
      <c r="C22" s="18" t="s">
        <v>11</v>
      </c>
      <c r="D22" s="20" t="s">
        <v>28</v>
      </c>
      <c r="E22" s="24" t="s">
        <v>46</v>
      </c>
      <c r="F22" s="31"/>
      <c r="G22" s="25" t="s">
        <v>41</v>
      </c>
    </row>
    <row r="23" spans="1:13" x14ac:dyDescent="0.25">
      <c r="A23" s="3" t="s">
        <v>9</v>
      </c>
      <c r="B23" s="12">
        <v>493366.27</v>
      </c>
      <c r="C23" s="12">
        <v>493366.27</v>
      </c>
      <c r="D23" s="21">
        <v>868324.66</v>
      </c>
      <c r="E23" s="26">
        <f>SUM(B23:D23)</f>
        <v>1855057.2000000002</v>
      </c>
      <c r="F23" s="32"/>
      <c r="G23" s="27">
        <f>B20-B23-C23-D23</f>
        <v>-1246557.2000000002</v>
      </c>
    </row>
    <row r="24" spans="1:13" x14ac:dyDescent="0.25">
      <c r="A24" s="3" t="s">
        <v>36</v>
      </c>
      <c r="B24" s="12">
        <v>423605.63</v>
      </c>
      <c r="C24" s="12">
        <v>423605.63</v>
      </c>
      <c r="D24" s="21">
        <v>745545.93</v>
      </c>
      <c r="E24" s="26">
        <f t="shared" ref="E24:E26" si="4">SUM(B24:D24)</f>
        <v>1592757.19</v>
      </c>
      <c r="F24" s="32"/>
      <c r="G24" s="6"/>
    </row>
    <row r="25" spans="1:13" x14ac:dyDescent="0.25">
      <c r="A25" s="3" t="s">
        <v>10</v>
      </c>
      <c r="B25" s="12">
        <v>100705.92</v>
      </c>
      <c r="C25" s="12">
        <v>100705.92</v>
      </c>
      <c r="D25" s="21">
        <v>177242.43</v>
      </c>
      <c r="E25" s="26">
        <f t="shared" si="4"/>
        <v>378654.27</v>
      </c>
      <c r="F25" s="32"/>
      <c r="G25" s="6"/>
    </row>
    <row r="26" spans="1:13" ht="15.75" thickBot="1" x14ac:dyDescent="0.3">
      <c r="A26" s="7" t="s">
        <v>34</v>
      </c>
      <c r="B26" s="14">
        <f>SUM(B23:B25)</f>
        <v>1017677.8200000001</v>
      </c>
      <c r="C26" s="14">
        <f>SUM(C23:C25)</f>
        <v>1017677.8200000001</v>
      </c>
      <c r="D26" s="22">
        <f>SUM(D23:D25)</f>
        <v>1791113.02</v>
      </c>
      <c r="E26" s="28">
        <f t="shared" si="4"/>
        <v>3826468.66</v>
      </c>
      <c r="F26" s="33"/>
      <c r="G26" s="8"/>
    </row>
    <row r="27" spans="1:13" x14ac:dyDescent="0.25">
      <c r="B27" s="19">
        <f>SUM(B23:B24)</f>
        <v>916971.9</v>
      </c>
      <c r="C27" s="19">
        <f t="shared" ref="C27:D27" si="5">SUM(C23:C24)</f>
        <v>916971.9</v>
      </c>
      <c r="D27" s="19">
        <f t="shared" si="5"/>
        <v>1613870.59</v>
      </c>
    </row>
  </sheetData>
  <mergeCells count="3">
    <mergeCell ref="I1:K1"/>
    <mergeCell ref="B1:G1"/>
    <mergeCell ref="B11:G11"/>
  </mergeCell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0E70D-6EEA-4020-B7C4-CCECC825E724}">
  <sheetPr codeName="Лист3"/>
  <dimension ref="A1:H91"/>
  <sheetViews>
    <sheetView topLeftCell="A40" workbookViewId="0">
      <selection activeCell="I91" sqref="I91"/>
    </sheetView>
  </sheetViews>
  <sheetFormatPr defaultRowHeight="15" x14ac:dyDescent="0.25"/>
  <cols>
    <col min="1" max="1" width="11.42578125" bestFit="1" customWidth="1"/>
    <col min="2" max="2" width="9.5703125" bestFit="1" customWidth="1"/>
    <col min="3" max="3" width="10.5703125" bestFit="1" customWidth="1"/>
  </cols>
  <sheetData>
    <row r="1" spans="1:2" x14ac:dyDescent="0.25">
      <c r="A1" t="s">
        <v>4</v>
      </c>
    </row>
    <row r="2" spans="1:2" x14ac:dyDescent="0.25">
      <c r="A2" t="s">
        <v>6</v>
      </c>
    </row>
    <row r="3" spans="1:2" x14ac:dyDescent="0.25">
      <c r="A3" t="s">
        <v>7</v>
      </c>
      <c r="B3" t="s">
        <v>8</v>
      </c>
    </row>
    <row r="4" spans="1:2" x14ac:dyDescent="0.25">
      <c r="A4" t="s">
        <v>13</v>
      </c>
      <c r="B4" t="s">
        <v>14</v>
      </c>
    </row>
    <row r="6" spans="1:2" x14ac:dyDescent="0.25">
      <c r="A6" t="s">
        <v>16</v>
      </c>
      <c r="B6" t="s">
        <v>24</v>
      </c>
    </row>
    <row r="7" spans="1:2" x14ac:dyDescent="0.25">
      <c r="A7" t="s">
        <v>15</v>
      </c>
    </row>
    <row r="9" spans="1:2" x14ac:dyDescent="0.25">
      <c r="A9" t="s">
        <v>18</v>
      </c>
    </row>
    <row r="10" spans="1:2" x14ac:dyDescent="0.25">
      <c r="A10" t="s">
        <v>27</v>
      </c>
    </row>
    <row r="11" spans="1:2" x14ac:dyDescent="0.25">
      <c r="A11" t="s">
        <v>23</v>
      </c>
      <c r="B11" t="s">
        <v>24</v>
      </c>
    </row>
    <row r="13" spans="1:2" x14ac:dyDescent="0.25">
      <c r="A13" t="s">
        <v>32</v>
      </c>
    </row>
    <row r="14" spans="1:2" x14ac:dyDescent="0.25">
      <c r="A14" s="9" t="s">
        <v>33</v>
      </c>
    </row>
    <row r="16" spans="1:2" x14ac:dyDescent="0.25">
      <c r="A16" s="9" t="s">
        <v>35</v>
      </c>
    </row>
    <row r="18" spans="1:4" x14ac:dyDescent="0.25">
      <c r="A18" s="9" t="s">
        <v>48</v>
      </c>
    </row>
    <row r="21" spans="1:4" x14ac:dyDescent="0.25">
      <c r="A21" s="9" t="s">
        <v>54</v>
      </c>
      <c r="B21" s="9" t="s">
        <v>55</v>
      </c>
    </row>
    <row r="23" spans="1:4" x14ac:dyDescent="0.25">
      <c r="A23" t="s">
        <v>59</v>
      </c>
    </row>
    <row r="25" spans="1:4" x14ac:dyDescent="0.25">
      <c r="A25" s="9" t="s">
        <v>61</v>
      </c>
    </row>
    <row r="27" spans="1:4" x14ac:dyDescent="0.25">
      <c r="A27" s="9" t="s">
        <v>62</v>
      </c>
    </row>
    <row r="29" spans="1:4" x14ac:dyDescent="0.25">
      <c r="A29" s="9" t="s">
        <v>91</v>
      </c>
    </row>
    <row r="32" spans="1:4" x14ac:dyDescent="0.25">
      <c r="A32" s="40" t="s">
        <v>117</v>
      </c>
      <c r="B32" s="41" t="s">
        <v>118</v>
      </c>
      <c r="C32" s="42" t="s">
        <v>116</v>
      </c>
      <c r="D32" s="42" t="s">
        <v>100</v>
      </c>
    </row>
    <row r="33" spans="1:8" ht="15.75" thickBot="1" x14ac:dyDescent="0.3"/>
    <row r="34" spans="1:8" ht="15.75" thickBot="1" x14ac:dyDescent="0.3">
      <c r="A34" t="s">
        <v>113</v>
      </c>
      <c r="B34" t="s">
        <v>114</v>
      </c>
      <c r="E34" s="46" t="s">
        <v>112</v>
      </c>
      <c r="F34" s="47" t="s">
        <v>95</v>
      </c>
      <c r="G34" s="43" t="s">
        <v>92</v>
      </c>
      <c r="H34" s="43" t="s">
        <v>92</v>
      </c>
    </row>
    <row r="35" spans="1:8" x14ac:dyDescent="0.25">
      <c r="E35" s="44">
        <v>4</v>
      </c>
      <c r="F35" s="45" t="s">
        <v>121</v>
      </c>
      <c r="G35" t="s">
        <v>93</v>
      </c>
      <c r="H35" t="s">
        <v>96</v>
      </c>
    </row>
    <row r="36" spans="1:8" x14ac:dyDescent="0.25">
      <c r="A36">
        <v>5</v>
      </c>
      <c r="E36" s="3">
        <v>3</v>
      </c>
      <c r="F36" s="6" t="s">
        <v>122</v>
      </c>
      <c r="G36" t="s">
        <v>98</v>
      </c>
      <c r="H36" t="s">
        <v>99</v>
      </c>
    </row>
    <row r="37" spans="1:8" x14ac:dyDescent="0.25">
      <c r="A37">
        <v>4</v>
      </c>
      <c r="E37" s="3">
        <v>2</v>
      </c>
      <c r="F37" s="6" t="s">
        <v>94</v>
      </c>
      <c r="G37" t="s">
        <v>358</v>
      </c>
      <c r="H37" t="s">
        <v>123</v>
      </c>
    </row>
    <row r="38" spans="1:8" ht="15.75" thickBot="1" x14ac:dyDescent="0.3">
      <c r="A38">
        <v>3</v>
      </c>
      <c r="E38" s="7">
        <v>1</v>
      </c>
      <c r="F38" s="8" t="s">
        <v>97</v>
      </c>
    </row>
    <row r="39" spans="1:8" x14ac:dyDescent="0.25">
      <c r="A39">
        <v>2</v>
      </c>
    </row>
    <row r="40" spans="1:8" x14ac:dyDescent="0.25">
      <c r="A40">
        <v>1</v>
      </c>
    </row>
    <row r="42" spans="1:8" x14ac:dyDescent="0.25">
      <c r="A42" s="9" t="s">
        <v>361</v>
      </c>
    </row>
    <row r="44" spans="1:8" x14ac:dyDescent="0.25">
      <c r="A44" s="9" t="s">
        <v>363</v>
      </c>
    </row>
    <row r="46" spans="1:8" x14ac:dyDescent="0.25">
      <c r="A46" t="s">
        <v>364</v>
      </c>
    </row>
    <row r="48" spans="1:8" x14ac:dyDescent="0.25">
      <c r="A48" t="s">
        <v>365</v>
      </c>
    </row>
    <row r="49" spans="1:3" x14ac:dyDescent="0.25">
      <c r="A49" t="s">
        <v>366</v>
      </c>
    </row>
    <row r="50" spans="1:3" x14ac:dyDescent="0.25">
      <c r="A50" t="s">
        <v>367</v>
      </c>
    </row>
    <row r="51" spans="1:3" x14ac:dyDescent="0.25">
      <c r="A51" t="s">
        <v>368</v>
      </c>
    </row>
    <row r="52" spans="1:3" x14ac:dyDescent="0.25">
      <c r="A52" s="48" t="s">
        <v>369</v>
      </c>
    </row>
    <row r="54" spans="1:3" x14ac:dyDescent="0.25">
      <c r="A54" s="9" t="s">
        <v>370</v>
      </c>
    </row>
    <row r="55" spans="1:3" x14ac:dyDescent="0.25">
      <c r="A55" s="9" t="s">
        <v>371</v>
      </c>
    </row>
    <row r="59" spans="1:3" x14ac:dyDescent="0.25">
      <c r="A59" t="s">
        <v>163</v>
      </c>
      <c r="B59" t="s">
        <v>162</v>
      </c>
      <c r="C59" t="s">
        <v>107</v>
      </c>
    </row>
    <row r="60" spans="1:3" x14ac:dyDescent="0.25">
      <c r="A60" t="s">
        <v>268</v>
      </c>
      <c r="B60" t="s">
        <v>267</v>
      </c>
      <c r="C60" t="s">
        <v>372</v>
      </c>
    </row>
    <row r="63" spans="1:3" x14ac:dyDescent="0.25">
      <c r="A63" t="s">
        <v>434</v>
      </c>
      <c r="B63" t="s">
        <v>435</v>
      </c>
    </row>
    <row r="64" spans="1:3" x14ac:dyDescent="0.25">
      <c r="A64" t="s">
        <v>436</v>
      </c>
      <c r="B64" t="s">
        <v>437</v>
      </c>
    </row>
    <row r="65" spans="1:3" x14ac:dyDescent="0.25">
      <c r="A65" t="s">
        <v>438</v>
      </c>
    </row>
    <row r="67" spans="1:3" x14ac:dyDescent="0.25">
      <c r="A67" t="s">
        <v>440</v>
      </c>
      <c r="B67" t="s">
        <v>441</v>
      </c>
    </row>
    <row r="68" spans="1:3" x14ac:dyDescent="0.25">
      <c r="A68" t="s">
        <v>442</v>
      </c>
      <c r="B68" t="s">
        <v>443</v>
      </c>
    </row>
    <row r="69" spans="1:3" x14ac:dyDescent="0.25">
      <c r="A69" t="s">
        <v>444</v>
      </c>
      <c r="B69" t="s">
        <v>445</v>
      </c>
    </row>
    <row r="70" spans="1:3" x14ac:dyDescent="0.25">
      <c r="A70" t="s">
        <v>446</v>
      </c>
      <c r="B70" t="s">
        <v>447</v>
      </c>
    </row>
    <row r="71" spans="1:3" x14ac:dyDescent="0.25">
      <c r="A71" t="s">
        <v>448</v>
      </c>
      <c r="B71" t="s">
        <v>111</v>
      </c>
    </row>
    <row r="73" spans="1:3" ht="10.5" customHeight="1" x14ac:dyDescent="0.25">
      <c r="A73" t="s">
        <v>458</v>
      </c>
    </row>
    <row r="77" spans="1:3" x14ac:dyDescent="0.25">
      <c r="B77" s="80"/>
      <c r="C77" s="80"/>
    </row>
    <row r="78" spans="1:3" x14ac:dyDescent="0.25">
      <c r="B78" s="80"/>
      <c r="C78" s="80"/>
    </row>
    <row r="79" spans="1:3" x14ac:dyDescent="0.25">
      <c r="B79" s="80"/>
      <c r="C79" s="80"/>
    </row>
    <row r="80" spans="1:3" x14ac:dyDescent="0.25">
      <c r="B80" s="80"/>
      <c r="C80" s="80"/>
    </row>
    <row r="81" spans="1:3" x14ac:dyDescent="0.25">
      <c r="B81" s="80"/>
      <c r="C81" s="80"/>
    </row>
    <row r="82" spans="1:3" x14ac:dyDescent="0.25">
      <c r="B82" s="80"/>
      <c r="C82" s="80"/>
    </row>
    <row r="83" spans="1:3" x14ac:dyDescent="0.25">
      <c r="B83" s="80"/>
      <c r="C83" s="80"/>
    </row>
    <row r="84" spans="1:3" x14ac:dyDescent="0.25">
      <c r="A84" s="80"/>
      <c r="B84" s="80"/>
      <c r="C84" s="80"/>
    </row>
    <row r="85" spans="1:3" x14ac:dyDescent="0.25">
      <c r="A85" s="81"/>
      <c r="B85" s="81"/>
      <c r="C85" s="81"/>
    </row>
    <row r="86" spans="1:3" x14ac:dyDescent="0.25">
      <c r="B86" s="80"/>
      <c r="C86" s="80"/>
    </row>
    <row r="87" spans="1:3" x14ac:dyDescent="0.25">
      <c r="B87" s="80"/>
      <c r="C87" s="80"/>
    </row>
    <row r="88" spans="1:3" x14ac:dyDescent="0.25">
      <c r="B88" s="80"/>
      <c r="C88" s="80"/>
    </row>
    <row r="89" spans="1:3" x14ac:dyDescent="0.25">
      <c r="B89" s="80"/>
      <c r="C89" s="80"/>
    </row>
    <row r="90" spans="1:3" x14ac:dyDescent="0.25">
      <c r="A90" s="80"/>
      <c r="B90" s="80"/>
      <c r="C90" s="80"/>
    </row>
    <row r="91" spans="1:3" x14ac:dyDescent="0.25">
      <c r="A91" s="80"/>
      <c r="B91" s="80"/>
      <c r="C91" s="8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B1DE09-DF9D-4EC7-A833-7A8D37A595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текущее дела</vt:lpstr>
      <vt:lpstr>реестр просрочников</vt:lpstr>
      <vt:lpstr>РП (расш)</vt:lpstr>
      <vt:lpstr>сверка</vt:lpstr>
      <vt:lpstr>Платежный календарь</vt:lpstr>
      <vt:lpstr>акция</vt:lpstr>
      <vt:lpstr>КО</vt:lpstr>
      <vt:lpstr>Платежи</vt:lpstr>
      <vt:lpstr>разное</vt:lpstr>
      <vt:lpstr>списание</vt:lpstr>
      <vt:lpstr>xforms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Кваско Сергей Михайлович</dc:creator>
  <cp:lastModifiedBy>Кваско Сергей Михайлович</cp:lastModifiedBy>
  <dcterms:created xsi:type="dcterms:W3CDTF">2015-06-05T18:19:34Z</dcterms:created>
  <dcterms:modified xsi:type="dcterms:W3CDTF">2024-07-26T09:56:52Z</dcterms:modified>
</cp:coreProperties>
</file>
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filterPrivacy="1" codeName="ЭтаКнига" defaultThemeVersion="124226"/>
  <xr:revisionPtr revIDLastSave="0" documentId="13_ncr:1_{0A3F3761-62A1-41BA-9649-DBDC74515CC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Пени" sheetId="1" r:id="rId1"/>
    <sheet name="Email" sheetId="20" r:id="rId2"/>
    <sheet name="WA" sheetId="23" r:id="rId3"/>
    <sheet name="interface" sheetId="22" r:id="rId4"/>
    <sheet name="не звоним" sheetId="16" r:id="rId5"/>
    <sheet name="оплата" sheetId="17" r:id="rId6"/>
    <sheet name="xforms" sheetId="15" r:id="rId7"/>
    <sheet name="Текст" sheetId="3" r:id="rId8"/>
    <sheet name="тесты" sheetId="25" r:id="rId9"/>
    <sheet name="разное" sheetId="26" r:id="rId10"/>
  </sheets>
  <externalReferences>
    <externalReference r:id="rId11"/>
    <externalReference r:id="rId12"/>
    <externalReference r:id="rId13"/>
  </externalReferences>
  <definedNames>
    <definedName name="_xlnm._FilterDatabase" localSheetId="1" hidden="1">Email!$A$1:$A$48</definedName>
    <definedName name="_xlnm._FilterDatabase" localSheetId="0" hidden="1">Пени!$A$1:$O$579</definedName>
    <definedName name="_xlnm._FilterDatabase" localSheetId="9" hidden="1">разное!$A$1:$F$36</definedName>
    <definedName name="_xlnm._FilterDatabase" localSheetId="7" hidden="1">Текст!#REF!</definedName>
    <definedName name="адрес">Текст!$A$76</definedName>
    <definedName name="ВАдоп1">interface!$K$20</definedName>
    <definedName name="ВАдоп2">interface!$K$23</definedName>
    <definedName name="ВАдоп3">interface!$K$29</definedName>
    <definedName name="ВАпродл">interface!$K$26</definedName>
    <definedName name="выгода">Пени!G2</definedName>
    <definedName name="действ2">interface!$P$17</definedName>
    <definedName name="действДО">interface!$K$2</definedName>
    <definedName name="договор">WA!XFC1</definedName>
    <definedName name="ДОдоп">interface!$P$14</definedName>
    <definedName name="ИО">Пени!B2</definedName>
    <definedName name="лого">Текст!$A$75</definedName>
    <definedName name="Меил_до">interface!$F$2</definedName>
    <definedName name="МеилТема1">interface!$F$8</definedName>
    <definedName name="МеилТема2">interface!$F$16</definedName>
    <definedName name="оплата">Пени!H2</definedName>
    <definedName name="перСтр">Текст!$S$75</definedName>
    <definedName name="Приветствие">interface!$K$11</definedName>
    <definedName name="СМС_до">interface!$A$2</definedName>
    <definedName name="СМСшапка">interface!$A$5</definedName>
    <definedName name="текстЧ1">interface!$K$14</definedName>
    <definedName name="текстЧ2">interface!$K$17</definedName>
    <definedName name="Шапка">interface!$K$8</definedName>
  </definedNames>
  <calcPr calcId="181029"/>
</workbook>
</file>

<file path=xl/calcChain.xml><?xml version="1.0" encoding="utf-8"?>
<calcChain xmlns="http://schemas.openxmlformats.org/spreadsheetml/2006/main">
  <c r="I8" i="1" l="1"/>
  <c r="H8" i="1"/>
  <c r="G8" i="1"/>
  <c r="F8" i="1"/>
  <c r="E8" i="1"/>
  <c r="S8" i="1"/>
  <c r="E2" i="1"/>
  <c r="F2" i="1"/>
  <c r="G2" i="1"/>
  <c r="H2" i="1"/>
  <c r="I2" i="1"/>
  <c r="E3" i="1"/>
  <c r="F3" i="1"/>
  <c r="G3" i="1"/>
  <c r="H3" i="1"/>
  <c r="I3" i="1"/>
  <c r="E4" i="1"/>
  <c r="F4" i="1"/>
  <c r="G4" i="1"/>
  <c r="H4" i="1"/>
  <c r="I4" i="1"/>
  <c r="E5" i="1"/>
  <c r="F5" i="1"/>
  <c r="G5" i="1"/>
  <c r="H5" i="1"/>
  <c r="I5" i="1"/>
  <c r="E6" i="1"/>
  <c r="F6" i="1"/>
  <c r="G6" i="1"/>
  <c r="H6" i="1"/>
  <c r="I6" i="1"/>
  <c r="E7" i="1"/>
  <c r="F7" i="1"/>
  <c r="G7" i="1"/>
  <c r="H7" i="1"/>
  <c r="I7" i="1"/>
  <c r="E9" i="1"/>
  <c r="F9" i="1"/>
  <c r="G9" i="1"/>
  <c r="H9" i="1"/>
  <c r="I9" i="1"/>
  <c r="E10" i="1"/>
  <c r="F10" i="1"/>
  <c r="G10" i="1"/>
  <c r="H10" i="1"/>
  <c r="I10" i="1"/>
  <c r="E11" i="1"/>
  <c r="F11" i="1"/>
  <c r="G11" i="1"/>
  <c r="H11" i="1"/>
  <c r="I11" i="1"/>
  <c r="E12" i="1"/>
  <c r="F12" i="1"/>
  <c r="G12" i="1"/>
  <c r="H12" i="1"/>
  <c r="I12" i="1"/>
  <c r="E13" i="1"/>
  <c r="F13" i="1"/>
  <c r="G13" i="1"/>
  <c r="H13" i="1"/>
  <c r="I13" i="1"/>
  <c r="E14" i="1"/>
  <c r="F14" i="1"/>
  <c r="G14" i="1"/>
  <c r="H14" i="1"/>
  <c r="I14" i="1"/>
  <c r="E15" i="1"/>
  <c r="F15" i="1"/>
  <c r="G15" i="1"/>
  <c r="H15" i="1"/>
  <c r="I15" i="1"/>
  <c r="E16" i="1"/>
  <c r="F16" i="1"/>
  <c r="G16" i="1"/>
  <c r="H16" i="1"/>
  <c r="I16" i="1"/>
  <c r="E17" i="1"/>
  <c r="F17" i="1"/>
  <c r="G17" i="1"/>
  <c r="H17" i="1"/>
  <c r="I17" i="1"/>
  <c r="E18" i="1"/>
  <c r="F18" i="1"/>
  <c r="G18" i="1"/>
  <c r="H18" i="1"/>
  <c r="I18" i="1"/>
  <c r="E19" i="1"/>
  <c r="F19" i="1"/>
  <c r="G19" i="1"/>
  <c r="H19" i="1"/>
  <c r="I19" i="1"/>
  <c r="E20" i="1"/>
  <c r="F20" i="1"/>
  <c r="G20" i="1"/>
  <c r="H20" i="1"/>
  <c r="I20" i="1"/>
  <c r="E21" i="1"/>
  <c r="F21" i="1"/>
  <c r="G21" i="1"/>
  <c r="H21" i="1"/>
  <c r="I21" i="1"/>
  <c r="E22" i="1"/>
  <c r="F22" i="1"/>
  <c r="G22" i="1"/>
  <c r="H22" i="1"/>
  <c r="I22" i="1"/>
  <c r="E23" i="1"/>
  <c r="F23" i="1"/>
  <c r="G23" i="1"/>
  <c r="H23" i="1"/>
  <c r="I23" i="1"/>
  <c r="E24" i="1"/>
  <c r="F24" i="1"/>
  <c r="G24" i="1"/>
  <c r="H24" i="1"/>
  <c r="I24" i="1"/>
  <c r="E25" i="1"/>
  <c r="F25" i="1"/>
  <c r="G25" i="1"/>
  <c r="H25" i="1"/>
  <c r="I25" i="1"/>
  <c r="E26" i="1"/>
  <c r="F26" i="1"/>
  <c r="G26" i="1"/>
  <c r="H26" i="1"/>
  <c r="I26" i="1"/>
  <c r="E27" i="1"/>
  <c r="F27" i="1"/>
  <c r="G27" i="1"/>
  <c r="H27" i="1"/>
  <c r="I27" i="1"/>
  <c r="E28" i="1"/>
  <c r="F28" i="1"/>
  <c r="G28" i="1"/>
  <c r="H28" i="1"/>
  <c r="I28" i="1"/>
  <c r="E29" i="1"/>
  <c r="F29" i="1"/>
  <c r="G29" i="1"/>
  <c r="H29" i="1"/>
  <c r="I29" i="1"/>
  <c r="E30" i="1"/>
  <c r="F30" i="1"/>
  <c r="G30" i="1"/>
  <c r="H30" i="1"/>
  <c r="I30" i="1"/>
  <c r="E31" i="1"/>
  <c r="F31" i="1"/>
  <c r="G31" i="1"/>
  <c r="H31" i="1"/>
  <c r="I31" i="1"/>
  <c r="E32" i="1"/>
  <c r="F32" i="1"/>
  <c r="G32" i="1"/>
  <c r="H32" i="1"/>
  <c r="I32" i="1"/>
  <c r="E33" i="1"/>
  <c r="F33" i="1"/>
  <c r="G33" i="1"/>
  <c r="H33" i="1"/>
  <c r="I33" i="1"/>
  <c r="E34" i="1"/>
  <c r="F34" i="1"/>
  <c r="G34" i="1"/>
  <c r="H34" i="1"/>
  <c r="I34" i="1"/>
  <c r="E35" i="1"/>
  <c r="F35" i="1"/>
  <c r="G35" i="1"/>
  <c r="H35" i="1"/>
  <c r="I35" i="1"/>
  <c r="E36" i="1"/>
  <c r="F36" i="1"/>
  <c r="G36" i="1"/>
  <c r="H36" i="1"/>
  <c r="I36" i="1"/>
  <c r="E37" i="1"/>
  <c r="F37" i="1"/>
  <c r="G37" i="1"/>
  <c r="H37" i="1"/>
  <c r="I37" i="1"/>
  <c r="E38" i="1"/>
  <c r="F38" i="1"/>
  <c r="G38" i="1"/>
  <c r="H38" i="1"/>
  <c r="I38" i="1"/>
  <c r="E39" i="1"/>
  <c r="F39" i="1"/>
  <c r="G39" i="1"/>
  <c r="H39" i="1"/>
  <c r="I39" i="1"/>
  <c r="E40" i="1"/>
  <c r="F40" i="1"/>
  <c r="G40" i="1"/>
  <c r="H40" i="1"/>
  <c r="I40" i="1"/>
  <c r="C2" i="1"/>
  <c r="S2" i="1" s="1"/>
  <c r="C3" i="1"/>
  <c r="S3" i="1" s="1"/>
  <c r="C4" i="1"/>
  <c r="S4" i="1" s="1"/>
  <c r="C5" i="1"/>
  <c r="S5" i="1" s="1"/>
  <c r="C6" i="1"/>
  <c r="S6" i="1" s="1"/>
  <c r="C7" i="1"/>
  <c r="S7" i="1" s="1"/>
  <c r="C9" i="1"/>
  <c r="S9" i="1" s="1"/>
  <c r="C10" i="1"/>
  <c r="S10" i="1" s="1"/>
  <c r="C11" i="1"/>
  <c r="S11" i="1" s="1"/>
  <c r="C12" i="1"/>
  <c r="S12" i="1" s="1"/>
  <c r="C13" i="1"/>
  <c r="S13" i="1" s="1"/>
  <c r="C14" i="1"/>
  <c r="S14" i="1" s="1"/>
  <c r="C15" i="1"/>
  <c r="S15" i="1" s="1"/>
  <c r="C16" i="1"/>
  <c r="S16" i="1" s="1"/>
  <c r="C17" i="1"/>
  <c r="S17" i="1" s="1"/>
  <c r="C18" i="1"/>
  <c r="S18" i="1" s="1"/>
  <c r="C19" i="1"/>
  <c r="S19" i="1" s="1"/>
  <c r="C20" i="1"/>
  <c r="S20" i="1" s="1"/>
  <c r="C21" i="1"/>
  <c r="S21" i="1" s="1"/>
  <c r="C22" i="1"/>
  <c r="S22" i="1" s="1"/>
  <c r="C23" i="1"/>
  <c r="S23" i="1" s="1"/>
  <c r="C24" i="1"/>
  <c r="S24" i="1" s="1"/>
  <c r="C25" i="1"/>
  <c r="S25" i="1" s="1"/>
  <c r="C26" i="1"/>
  <c r="S26" i="1" s="1"/>
  <c r="C27" i="1"/>
  <c r="S27" i="1" s="1"/>
  <c r="C28" i="1"/>
  <c r="S28" i="1" s="1"/>
  <c r="C29" i="1"/>
  <c r="S29" i="1" s="1"/>
  <c r="C30" i="1"/>
  <c r="S30" i="1" s="1"/>
  <c r="C31" i="1"/>
  <c r="S31" i="1" s="1"/>
  <c r="C32" i="1"/>
  <c r="S32" i="1" s="1"/>
  <c r="C33" i="1"/>
  <c r="S33" i="1" s="1"/>
  <c r="C34" i="1"/>
  <c r="S34" i="1" s="1"/>
  <c r="C35" i="1"/>
  <c r="S35" i="1" s="1"/>
  <c r="C36" i="1"/>
  <c r="S36" i="1" s="1"/>
  <c r="C37" i="1"/>
  <c r="S37" i="1" s="1"/>
  <c r="C38" i="1"/>
  <c r="S38" i="1" s="1"/>
  <c r="C39" i="1"/>
  <c r="S39" i="1" s="1"/>
  <c r="C40" i="1"/>
  <c r="S40" i="1" s="1"/>
  <c r="F2" i="20" l="1"/>
  <c r="F3" i="20"/>
  <c r="F4" i="20"/>
  <c r="F5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1" i="20"/>
  <c r="E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A2" i="20"/>
  <c r="A3" i="20"/>
  <c r="A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9" i="20"/>
  <c r="E1" i="20"/>
  <c r="A1" i="20"/>
  <c r="E2" i="23" l="1"/>
  <c r="E3" i="23"/>
  <c r="E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E29" i="23"/>
  <c r="E30" i="23"/>
  <c r="E31" i="23"/>
  <c r="E32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E46" i="23"/>
  <c r="E47" i="23"/>
  <c r="E48" i="23"/>
  <c r="E49" i="23"/>
  <c r="E50" i="23"/>
  <c r="E51" i="23"/>
  <c r="E52" i="23"/>
  <c r="E53" i="23"/>
  <c r="E54" i="23"/>
  <c r="E55" i="23"/>
  <c r="E56" i="23"/>
  <c r="E57" i="23"/>
  <c r="E58" i="23"/>
  <c r="E59" i="23"/>
  <c r="E60" i="23"/>
  <c r="E61" i="23"/>
  <c r="E62" i="23"/>
  <c r="E63" i="23"/>
  <c r="E64" i="23"/>
  <c r="E65" i="23"/>
  <c r="E66" i="23"/>
  <c r="E67" i="23"/>
  <c r="E68" i="23"/>
  <c r="E69" i="23"/>
  <c r="E70" i="23"/>
  <c r="E71" i="23"/>
  <c r="E72" i="23"/>
  <c r="E73" i="23"/>
  <c r="E74" i="23"/>
  <c r="E75" i="23"/>
  <c r="E76" i="23"/>
  <c r="E77" i="23"/>
  <c r="E78" i="23"/>
  <c r="E79" i="23"/>
  <c r="E80" i="23"/>
  <c r="E81" i="23"/>
  <c r="E82" i="23"/>
  <c r="E83" i="23"/>
  <c r="E84" i="23"/>
  <c r="E85" i="23"/>
  <c r="E86" i="23"/>
  <c r="E87" i="23"/>
  <c r="E88" i="23"/>
  <c r="E89" i="23"/>
  <c r="E90" i="23"/>
  <c r="E91" i="23"/>
  <c r="E92" i="23"/>
  <c r="E93" i="23"/>
  <c r="E94" i="23"/>
  <c r="E95" i="23"/>
  <c r="E96" i="23"/>
  <c r="E97" i="23"/>
  <c r="E98" i="23"/>
  <c r="E99" i="23"/>
  <c r="E100" i="23"/>
  <c r="E101" i="23"/>
  <c r="E102" i="23"/>
  <c r="E103" i="23"/>
  <c r="E104" i="23"/>
  <c r="E105" i="23"/>
  <c r="E106" i="23"/>
  <c r="E107" i="23"/>
  <c r="E108" i="23"/>
  <c r="E109" i="23"/>
  <c r="E110" i="23"/>
  <c r="E111" i="23"/>
  <c r="E112" i="23"/>
  <c r="E113" i="23"/>
  <c r="E114" i="23"/>
  <c r="E115" i="23"/>
  <c r="E116" i="23"/>
  <c r="E117" i="23"/>
  <c r="E118" i="23"/>
  <c r="E119" i="23"/>
  <c r="E120" i="23"/>
  <c r="E121" i="23"/>
  <c r="E122" i="23"/>
  <c r="E123" i="23"/>
  <c r="E124" i="23"/>
  <c r="E125" i="23"/>
  <c r="E126" i="23"/>
  <c r="E127" i="23"/>
  <c r="E128" i="23"/>
  <c r="E129" i="23"/>
  <c r="E130" i="23"/>
  <c r="E131" i="23"/>
  <c r="E132" i="23"/>
  <c r="E133" i="23"/>
  <c r="E134" i="23"/>
  <c r="E135" i="23"/>
  <c r="E136" i="23"/>
  <c r="E137" i="23"/>
  <c r="E138" i="23"/>
  <c r="E139" i="23"/>
  <c r="E140" i="23"/>
  <c r="E141" i="23"/>
  <c r="E142" i="23"/>
  <c r="E143" i="23"/>
  <c r="E144" i="23"/>
  <c r="E145" i="23"/>
  <c r="E146" i="23"/>
  <c r="E147" i="23"/>
  <c r="E148" i="23"/>
  <c r="E149" i="23"/>
  <c r="E150" i="23"/>
  <c r="E151" i="23"/>
  <c r="E152" i="23"/>
  <c r="E153" i="23"/>
  <c r="E154" i="23"/>
  <c r="E155" i="23"/>
  <c r="E156" i="23"/>
  <c r="E157" i="23"/>
  <c r="E158" i="23"/>
  <c r="E159" i="23"/>
  <c r="E160" i="23"/>
  <c r="E161" i="23"/>
  <c r="E162" i="23"/>
  <c r="E163" i="23"/>
  <c r="E164" i="23"/>
  <c r="E165" i="23"/>
  <c r="E166" i="23"/>
  <c r="E167" i="23"/>
  <c r="E168" i="23"/>
  <c r="E169" i="23"/>
  <c r="E170" i="23"/>
  <c r="E171" i="23"/>
  <c r="E172" i="23"/>
  <c r="E173" i="23"/>
  <c r="E174" i="23"/>
  <c r="E175" i="23"/>
  <c r="E176" i="23"/>
  <c r="E177" i="23"/>
  <c r="E178" i="23"/>
  <c r="E179" i="23"/>
  <c r="E180" i="23"/>
  <c r="E181" i="23"/>
  <c r="E182" i="23"/>
  <c r="E183" i="23"/>
  <c r="E184" i="23"/>
  <c r="E185" i="23"/>
  <c r="E186" i="23"/>
  <c r="E187" i="23"/>
  <c r="E188" i="23"/>
  <c r="E189" i="23"/>
  <c r="E190" i="23"/>
  <c r="E191" i="23"/>
  <c r="E192" i="23"/>
  <c r="E193" i="23"/>
  <c r="E194" i="23"/>
  <c r="E195" i="23"/>
  <c r="E196" i="23"/>
  <c r="E197" i="23"/>
  <c r="E198" i="23"/>
  <c r="E199" i="23"/>
  <c r="E200" i="23"/>
  <c r="E201" i="23"/>
  <c r="E202" i="23"/>
  <c r="E203" i="23"/>
  <c r="E204" i="23"/>
  <c r="E205" i="23"/>
  <c r="E206" i="23"/>
  <c r="E207" i="23"/>
  <c r="E208" i="23"/>
  <c r="E209" i="23"/>
  <c r="E210" i="23"/>
  <c r="E211" i="23"/>
  <c r="E212" i="23"/>
  <c r="E213" i="23"/>
  <c r="E214" i="23"/>
  <c r="E215" i="23"/>
  <c r="E216" i="23"/>
  <c r="E217" i="23"/>
  <c r="E218" i="23"/>
  <c r="E219" i="23"/>
  <c r="E220" i="23"/>
  <c r="E221" i="23"/>
  <c r="E222" i="23"/>
  <c r="E1" i="23"/>
  <c r="B86" i="15" l="1"/>
  <c r="B87" i="15"/>
  <c r="S75" i="3" l="1"/>
  <c r="A48" i="3" l="1"/>
</calcChain>
</file>

<file path=xl/sharedStrings.xml><?xml version="1.0" encoding="utf-8"?>
<sst xmlns="http://schemas.openxmlformats.org/spreadsheetml/2006/main" count="1254" uniqueCount="895">
  <si>
    <t>Договор</t>
  </si>
  <si>
    <t>Контакты</t>
  </si>
  <si>
    <t>ИО</t>
  </si>
  <si>
    <t>пеней</t>
  </si>
  <si>
    <t>%</t>
  </si>
  <si>
    <t>погасите просрочку до 31 мая, а мы простим</t>
  </si>
  <si>
    <t>успейте воспользоваться акцией о прощении пени, погасите задолженность в течение 3 дней и мы простим  текущей неустойки!</t>
  </si>
  <si>
    <t>Об оформлении прощения уточните у своего менеджера по тел.: 84957834836. Системы кредитования "Взаимно".</t>
  </si>
  <si>
    <t>=ЕСЛИОШИБКА(ЕСЛИ(ВПР(D2;[Сергей.xlsm]Лист!$B:$J;9;0)&lt;&gt;"оплачено";"Актуально";"Не актуально");"Не актуально")</t>
  </si>
  <si>
    <t>=B4&amp;","&amp;" "&amp;"погасите просрочку до 30 июня, а мы простим"&amp;" "&amp;D4*100&amp;"%"&amp;" "&amp;"текущих пеней."&amp;" "&amp;"Об оформлении прощения уточните у своего менеджера по тел.: 88005558346. Системы кредитования «Взаимно»."</t>
  </si>
  <si>
    <t>=B4&amp;","&amp;" "&amp;"успейте воспользоваться акцией о прощении части задолженности, погасите задолженность в течение 4 дней и мы простим"&amp;" "&amp;D4*100&amp;"%"&amp;" "&amp;"текущих пеней."&amp;" "&amp;"Об оформлении прощения уточните у своего менеджера по тел.: 88005558346. Системы кредитования «Взаимно»."</t>
  </si>
  <si>
    <t>=B4&amp;","&amp;" "&amp;"имея намерения урегулировать ситуацию в добровольном порядке, мы подготовили для Вас заключительное предложение о прощении существенной части долга!"&amp;" "&amp;"Предложение предусматривает 100% прощения текущей неустойки и до половины начисленных процентов, при полном погашении займа. Предложение действует до 28.02.2018."&amp;" "&amp;"Об оформлении прощения уточните у своего менеджера по тел.: 88005558346. Системы кредитования «Взаимно»."</t>
  </si>
  <si>
    <t>=ЕСЛИ(I5&gt;90;(90-H5)+$L$1;$M$1)</t>
  </si>
  <si>
    <t>=B2&amp;","&amp;" "&amp;"погасите просрочку до " &amp; P2 &amp; " июля, а мы простим"&amp;" "&amp;D2*100&amp;"%"&amp;" "&amp;"текущих пеней."&amp;" "&amp;"Об оформлении прощения уточните у своего менеджера по тел.: 88005558346. Системы кредитования «Взаимно»."</t>
  </si>
  <si>
    <t>напоминаем, что в случае погашения просроченной задолженности в срок до 22.11.2019, вам будет прощено 100% текущих пеней! Все подробности, Вы можете узнать, связавшись с нашими специалистами. Системы кредитования «Взаимно». Тел.: 8-800-555-83-46.</t>
  </si>
  <si>
    <t>напоминаем, что в случае погашения просроченной задолженности в срок до 22.11.2019, вам будет прощено 100% текущих пеней и 1/3 просроченных процентов! Все подробности, Вы можете узнать, связавшись с нашими специалистами. Системы кредитования «Взаимно». Тел.: 8-800-555-83-46.</t>
  </si>
  <si>
    <t>погасите просрочку до 30.11.2019, а мы простим 100% текущих пеней. Все подробности, Вы можете узнать, связавшись с нашими специалистами. Системы кредитования «Взаимно». Тел.: 8-800-555-83-46.</t>
  </si>
  <si>
    <t>погасите просрочку до 30.11.2019, а мы простим 100% текущих пеней и 1/3 просроченных процентов. Все подробности, Вы можете узнать, связавшись с нашими специалистами. Системы кредитования «Взаимно». Тел.: 8-800-555-83-46.</t>
  </si>
  <si>
    <t>'=ЕСЛИОШИБКА(ЕСЛИ(И(ВПР(ЛЕВСИМВ(C2;10);'CRM (П)'!C:C;1;0)&lt;&gt;0;C2&lt;&gt;0);"есть";"");"")</t>
  </si>
  <si>
    <t>'=ВПР(ЛЕВСИМВ(C2;10);заемщ!B:D;3;0)</t>
  </si>
  <si>
    <t>'=ЕСЛИОШИБКА(ВПР(ЛЕВСИМВ(C2;10);поруч.!A:C;3;0);"")</t>
  </si>
  <si>
    <t>'=ЕСЛИ(ДЛСТР(D2)&lt;&gt;11;"проверить номер";D2)</t>
  </si>
  <si>
    <t>'="Прощаем пени, акция до 31.05.2020! "&amp;B2&amp;", предложение действует в случае погашения просроченного основного долга и процентов по договору "&amp;C2&amp;". Ранее достигнутые договоренности остаются в силе. Системы кредитования «Взаимно». Тел: 8-800-555-83-46."</t>
  </si>
  <si>
    <t>'="ПРОЩАЕМ ВСЕ ПЕНИ И 1/2 ПРОСРОЧЕННЫХ ПРОЦЕНТОВ, АКЦИЯ ДО 31.05.2020! "&amp;B2&amp;", предложение действует в случае погашения просроченного основного долга и 1/2 процентов по договору "&amp;C2&amp;". Системы кредитования «Взаимно». Тел: 8-800-555-83-46."</t>
  </si>
  <si>
    <t>="Прощаем часть долга! "&amp;B2&amp;", воспользуйтесь индивидуальным предложением о прощении части долга по договору "&amp;C2&amp;". Погасите 1/3 просроченных процентов до 30.06.2020  для возврата в график платежей. Подробные условия по тел.: 8-800-555-83-46. Системы кредитования «Взаимно»."</t>
  </si>
  <si>
    <t>="Прощаем пени! "&amp;B2&amp;", погасите просроченную задолженность по договору "&amp;C2&amp;" до 31.05.2020, а мы простим 100% пени. Системы кредитовая «Взаимно». Тел.:88005558346."</t>
  </si>
  <si>
    <t>текущие пени</t>
  </si>
  <si>
    <t>все пени</t>
  </si>
  <si>
    <t>1/3 просроченных % и все пени</t>
  </si>
  <si>
    <t>1/2 просроченных % и все пени</t>
  </si>
  <si>
    <t>=ЕСЛИОШИБКА(ВПР(ЛЕВСИМВ(C2;10);заемщ!B:D;3;0);ВПР(C2;заемщ!B:D;3;0))</t>
  </si>
  <si>
    <t>'=ЕСЛИОШИБКА(ВПР(ЛЕВСИМВ(C2;10);заемщ!B:D;3;0);ВПР(C2;заемщ!B:D;3;0))</t>
  </si>
  <si>
    <t>=ЕСЛИОШИБКА(ЕСЛИ(ВПР(ЛЕВСИМВ(C2;10);заемщ!B:D;3;0)="";ВПР(ЛЕВСИМВ(C2;10);заемщ!B:E;4;0);ВПР(ЛЕВСИМВ(C2;10);заемщ!B:D;3;0));ВПР(A2;заемщ!A:D;4;0))</t>
  </si>
  <si>
    <t>1/2 просроченных % и текущие пени</t>
  </si>
  <si>
    <t>Прощаем пени!</t>
  </si>
  <si>
    <t>Заключительное предложение!</t>
  </si>
  <si>
    <t>Повторное предложение!</t>
  </si>
  <si>
    <t>'=$H$2&amp;" "&amp;B2&amp;", погасите просроченную задолженность по договору "&amp;C2&amp;" до "&amp;ТЕКСТ($K$2;"ДД.ММ.ГГГГ")&amp;" (включительно), а Кредитор простит "&amp;$J$2&amp;"! Системы кредитовая «Взаимно». Тел.:88005558346."</t>
  </si>
  <si>
    <t xml:space="preserve">1. Акция «Прощение пени» продолжается! Условия просты, спишем текущие пени по договору В-ххххх/КЛ при погашении просроченной задолженности до 30.09.2020. </t>
  </si>
  <si>
    <t>2. Пени исчезают! ИО, погасите просроченную задолженность 25.09.2020 по договору В-ххххх/КЛ, а мы аннулируем текущие пени.  </t>
  </si>
  <si>
    <t>Акция «Прощение пени» продолжается!</t>
  </si>
  <si>
    <t>Пени исчезают!</t>
  </si>
  <si>
    <t>=I2&amp;" "&amp;B2&amp;", погасите просроченную задолженность по договору "&amp;C2&amp;" до "&amp;ТЕКСТ(interface!$B$4;"ДД.ММ.ГГГГ")&amp;" (включительно), а "&amp;J2&amp;" простит "&amp;interface!$A$4&amp;"! Системы кредитовая «Взаимно». Тел.:88005558346."</t>
  </si>
  <si>
    <t>классика</t>
  </si>
  <si>
    <t>АППП</t>
  </si>
  <si>
    <t>ПИ</t>
  </si>
  <si>
    <t>Закройте займ выгодно!</t>
  </si>
  <si>
    <t>Системы кредитования «Взаимно». Тел.:88005558346.</t>
  </si>
  <si>
    <t>Закройте займ выгодно! Андрей Сергеевич, Кредитор готов простить 1/2 процентов и неустойку, в случае погашения займа В-00621/АЗ до 25.10.2020 (включительно). Подробности у наших специалистов. Системы кредитования «Взаимно». Тел.:88005558346.</t>
  </si>
  <si>
    <t>'=ЕСЛИ(F2="";"Заполни столбцы F и H";ЕСЛИ(НЕ(ЕОШ(ПОИСК("БЭ";F2)&lt;&gt;0));"Кредитор";ЕСЛИ(НЕ(ЕОШ(ПОИСК("АЗ";F2)&lt;&gt;0));"Кредитор";"Займодавец")))</t>
  </si>
  <si>
    <t>тек пени</t>
  </si>
  <si>
    <t>тек пени повт</t>
  </si>
  <si>
    <t>тек пени альт</t>
  </si>
  <si>
    <t>1/2% пени</t>
  </si>
  <si>
    <t>Списание пени!</t>
  </si>
  <si>
    <t>пени (сегодня)</t>
  </si>
  <si>
    <t xml:space="preserve"> =ЕСЛИОШИБКА(ЕСЛИ(И(C2&lt;&gt;"";ВПР(C2;'\\192.168.81.12\share\Отдел сопровождения кредитования\Работа с просрочкой\2020\[20m11_Prosrochka_new_1.xlsm]26'!$B:$B;1;0)&lt;&gt;"");"просрочник";"");"вышел из просрочки")</t>
  </si>
  <si>
    <t xml:space="preserve"> (СЕГОДНЯ)</t>
  </si>
  <si>
    <t xml:space="preserve"> (включительно)</t>
  </si>
  <si>
    <t>пени (сегодня) альт</t>
  </si>
  <si>
    <t>="Акция «Прощение пени» продолжается! Условия просты, спишем текущие пени по договору "&amp;C2&amp;" при погашении просроченной задолженности до "&amp;ТЕКСТ(interface!$B$4;"ДД.ММ.ГГГГ")&amp;" (включительно). "&amp;Текст!$A$9</t>
  </si>
  <si>
    <t>=I2&amp;" "&amp;B2&amp;", погасите просроченную задолженность "&amp;ТЕКСТ(interface!$B$4;"ДД.ММ.ГГГГ")&amp;" (включительно)"&amp;" по договору "&amp;C2&amp;", а мы аннулируем текущие пени. "&amp;Текст!$A$9</t>
  </si>
  <si>
    <t>=I2&amp;" "&amp;B2&amp;", "&amp;J2&amp; " спишет 1/2 процентов и неустойку, в случае погашения займа "&amp;C2&amp;" до "&amp;ТЕКСТ(interface!$B$4;"ДД.ММ.ГГГГ")&amp;" (включительно). Закройте займ выгодно! Подробности у наших специалистов. "&amp; Текст!$A$9</t>
  </si>
  <si>
    <t xml:space="preserve"> простит </t>
  </si>
  <si>
    <t xml:space="preserve"> спишет </t>
  </si>
  <si>
    <t xml:space="preserve"> аннулирует </t>
  </si>
  <si>
    <t xml:space="preserve"> =interface!$A$2&amp;" "&amp;B2&amp;", погасите просроченную задолженность по Договору № "&amp;C2&amp;" до "&amp;ТЕКСТ(interface!$B$4;"ДД.ММ.ГГГГ")&amp;interface!$A$6&amp;", а "&amp;I2&amp;interface!$A$8&amp;interface!$A$4&amp;"! "&amp; Текст!$A$9</t>
  </si>
  <si>
    <t xml:space="preserve"> =I2&amp;" "&amp;B2&amp;", погасите просроченную задолженность по договору "&amp;C2&amp;" "&amp;ТЕКСТ(interface!$B$4;"ДД.ММ.ГГГГ")&amp;" (СЕГОДНЯ), а "&amp;I2&amp;" простит "&amp;interface!$A$4&amp;"! "&amp; Текст!$A$9</t>
  </si>
  <si>
    <t xml:space="preserve"> =interface!$A$2&amp;" "&amp;B2&amp;", "&amp;interface!$B$6&amp;" погасите просроченную задолженность по Договору № "&amp;C2&amp;", а "&amp;I2&amp;interface!$A$8&amp;interface!$A$4&amp;"! "&amp; Текст!$A$9</t>
  </si>
  <si>
    <t xml:space="preserve"> ="Списание пени, акция продлена! "&amp;B2&amp;", погасите просроченную задолженность 30.11.2020 по Договору № "&amp;C2&amp;", а "&amp;I2&amp;interface!$A$8&amp;interface!$A$4&amp;"! "&amp; Текст!$A$9</t>
  </si>
  <si>
    <t xml:space="preserve"> ="Списание пени, акция продлена! "&amp;B2&amp;" не упустите выгоду, погасите просроченную задолженность 30.11.2020 по Договору № "&amp;C2&amp;", а "&amp;I2&amp;interface!$A$8&amp;interface!$A$4&amp;"! "&amp; Текст!$A$9</t>
  </si>
  <si>
    <t xml:space="preserve"> =ВПР(C2;'[из 1С.xlsm]РП (расш)'!$A:$K;11;0)</t>
  </si>
  <si>
    <t xml:space="preserve"> =РУБЛЬ(K2+L2)&amp;", ваша выгода! " &amp;B2&amp;" до 18.12.2020 (включительно) не упустите возможность, погасить Займ № "&amp;C2&amp;" на максимально выгодных условиях! "&amp; Текст!$A$9</t>
  </si>
  <si>
    <t xml:space="preserve"> =ВПР(C2;'[из 1С.xlsm]РП (расш)'!$A:$K;10;0)/2</t>
  </si>
  <si>
    <t xml:space="preserve"> ="Аннулируем проценты и пени! "&amp;B5&amp;", Вы погашаете только основной долг и 1/2 процентов. Ваша выгода "&amp;РУБЛЬ(K5+L5)&amp;". Акция действует при погашении задолженности по Договору № "&amp;C5&amp;" до 18.12.2020 (включительно). Системы кредитования «Взаимно». Тел.: 88005558346."</t>
  </si>
  <si>
    <t xml:space="preserve"> ="Ваша выгода "&amp;РУБЛЬ(K6+L6)&amp;"! Аннулируем проценты и пени! "&amp;B6&amp;", Вы погашаете только основной долг и 1/2 процентов. Акция действует при погашении задолженности по Договору № "&amp;C6&amp;" до 18.12.2020 (включительно). Системы кредитования «Взаимно». Тел.: 88005558346."</t>
  </si>
  <si>
    <t xml:space="preserve"> =ЕСЛИОШИБКА(ЕСЛИ(ВПР(C2;'[20m12_Prosrochka_new_1.xlsm]7'!$B:$D;3;0)&gt;79;"11.12.2020";"18.12.2020");"11.12.2020")</t>
  </si>
  <si>
    <t>Прощение</t>
  </si>
  <si>
    <t xml:space="preserve"> =ОКРВВЕРХ.МАТ(ВПР(C2;'\\192.168.81.12\share\Отдел сопровождения кредитования\Работа с просрочкой\КСМ\подвал\[из 1С.xlsm]РП (расш)'!$A:$K;11;0))</t>
  </si>
  <si>
    <t xml:space="preserve"> ="🎄💰Прощение "&amp;РУБЛЬ(K2;0)&amp;"!  "&amp;B2&amp;",  напоминаем, сегодня (25.12.2020) последний день акции, погасите просроченную задолженность по Договору № "&amp;C2&amp;", а "&amp;I2&amp;" аннулирует пени. Системы кредитования «Взаимно»."</t>
  </si>
  <si>
    <t xml:space="preserve"> ="🎄💰Списываем "&amp;РУБЛЬ(K2;0)&amp;"!  "&amp;I2&amp;" аннулирует пени! "&amp;B2&amp;",  акция действует при погашении просроченной задолженности по Договору № "&amp;C2&amp;", до 30.12.2020 (включительно). Расчет произведен на 28.12.2020. Системы кредитования «Взаимно»."</t>
  </si>
  <si>
    <t xml:space="preserve"> ="🎁Списываем "&amp;РУБЛЬ(K2;0)&amp;".  Новогоднее прощение задолженнности! "&amp;B2&amp;", Вы оплачиваете "&amp;РУБЛЬ(L2;0)&amp;" по Договору № "&amp;C2&amp;", и возвращаетесь в График платежей, акция действует до 30.12.2020 (включительно). Расчет произведен на 28.12.2020. Системы кредитования «Взаимно»."</t>
  </si>
  <si>
    <t xml:space="preserve"> ="🎁Списываем "&amp;РУБЛЬ(K2;0)&amp;". Не упустите выгоду! "&amp;B2&amp;", напоминаем сегодня (30.12.2020), последний день акции. Вы оплачиваете "&amp;РУБЛЬ(L2;0)&amp;" по Договору № "&amp;C2&amp;", и возвращаетесь в График платежей, .Системы кредитования «Взаимно»."</t>
  </si>
  <si>
    <t>1/2% + пени сегодня</t>
  </si>
  <si>
    <t xml:space="preserve"> ="🎁Только сегодня пени = 0 руб! "&amp;B2&amp;", мы продлили акцию еще на один день, погасите просроченную задолженность по Договору № "&amp;C2&amp;", а "&amp;I2&amp;" аннулирует пени. Ваша выгода "&amp;РУБЛЬ(K2;2)&amp;" .Системы кредитования «Взаимно»."</t>
  </si>
  <si>
    <t xml:space="preserve"> ="💸Только два дня пени = 0 руб! "&amp;B2&amp;", погасите просроченную задолженность по Договору № "&amp;C2&amp;" до 22.01.2021 (включительно), а "&amp;I2&amp;" аннулирует пени. Ваша экономия "&amp;РУБЛЬ(K2;0)&amp;" . Системы кредитования «Взаимно»."</t>
  </si>
  <si>
    <t xml:space="preserve"> =ЕСЛИОШИБКА(ЕСЛИ(ВПР(C2;оплата!A:A;1;0)&lt;&gt;1;"💰");"")</t>
  </si>
  <si>
    <t xml:space="preserve"> =ЕСЛИОШИБКА(ПСТР(A2;НАЙТИ(" ";A2;1)+1;НАЙТИ(" ";A2;НАЙТИ(" ";A2;1)+1)-НАЙТИ(" ";A2;1)-1);ПРАВСИМВ(A2;ДЛСТР(A2)-НАЙТИ(" ";A2)))</t>
  </si>
  <si>
    <t>Имя</t>
  </si>
  <si>
    <t xml:space="preserve"> =ЕСЛИ(ОКРВВЕРХ.МАТ(ВПР(C2;'\\192.168.81.12\share\Отдел сопровождения кредитования\Работа с просрочкой\КСМ\подвал\[из 1С.xlsm]РП (расш)'!$A:$K;11;0))&gt;1000;"Ваша выгода: "&amp;РУБЛЬ(ОКРВВЕРХ.МАТ(ВПР(C2;'\\192.168.81.12\share\Отдел сопровождения кредитования\Работа с просрочкой\КСМ\подвал\[из 1С.xlsm]РП (расш)'!$A:$K;11;0));)&amp;". Расчёт выполнен на 28.01.2021г. ";"")</t>
  </si>
  <si>
    <t>пени</t>
  </si>
  <si>
    <t>1/3% + пени</t>
  </si>
  <si>
    <t xml:space="preserve"> ="❗списываем часть долга❗"&amp;J2&amp;", совершите платеж в размере "&amp;L2&amp;" по Договору № "&amp;C2&amp;" до 30.01.2021 (включительно), а "&amp;I2&amp;" простит 1/3% и пени. Ваша выгода: "&amp;K2&amp;". *Расчет выполнен на 28.01.2021г. Системы кредитования «Взаимно»."</t>
  </si>
  <si>
    <t xml:space="preserve"> ="❗ПЕНИ = 0❗"&amp;J2&amp;", погасите просроченную задолженность по Договору № "&amp;C2&amp;" до 27.02.2021 (включительно), а "&amp;I2&amp;" спишет неустойку, начисленную за просрочку последнего ежемесячного платежа. Системы кредитования «Взаимно»."</t>
  </si>
  <si>
    <t xml:space="preserve"> ="❗"&amp;B2&amp;", расторжение Договора"&amp;"❗"&amp;" Вам было выставлено Требование о полном досрочном погашении Договора займа № "&amp;C2&amp;"! "&amp;I2&amp;" требует погасить займ, либо предоставить предмет залога для внесудебной реализации, в срок до 12.03.2021 г. В рамках заключительного предложения, "&amp;I2&amp;" предоставляет Вам возможность погасить Займ на максимально выгодных условиях, предложение предусматривает списание долга в части 1/2 процентов и пени. Системы кредитования «Взаимно»."</t>
  </si>
  <si>
    <t xml:space="preserve"> ="✉"&amp;J2&amp;", сегодня"&amp;"✉"&amp;" Вернитесь в График платежей с выгодой "&amp;K2&amp;". Сегодня (12.03.2021г.) оплатите "&amp;L2&amp;" по Договору займа № "&amp;C2&amp;", а "&amp;I2&amp;" спишет 1/3 просроченных % и пени, просроченная задолженность будет погашена. Предложение действует также при реструктуризации займа. Системы кредитования «Взаимно»."</t>
  </si>
  <si>
    <t xml:space="preserve"> ="❗Срок предложения истекает.❗"&amp;J2&amp;", напоминаем, что сегодня (19.03.2021г.) последний день действия предложения. Не упустите выгоду, погасите просроченную задолженность по Договору № "&amp;C2&amp;", и "&amp;I2&amp;" спишет текущую неустойку. Системы кредитования «Взаимно»."</t>
  </si>
  <si>
    <t>ТЕК ПЕНИ</t>
  </si>
  <si>
    <t>ТЕК ПЕНИ СЕГОДНЯ</t>
  </si>
  <si>
    <t xml:space="preserve"> ="❗ПЕНИ = 0❗"&amp;J2&amp;", погасите просроченные основной долг и проценты по Договору № "&amp;B2&amp;", в срок до 31.03.2021 (включительно), а "&amp;I2&amp;" спишет текущую неустойку. Не упустите выгоду! Системы кредитования «Взаимно»."</t>
  </si>
  <si>
    <t xml:space="preserve"> ="❗списываем часть долга❗"&amp;J113&amp;", совершите платеж в размере "&amp;L113&amp;" по Договору № "&amp;B113&amp;" до 31.03.2021 (включительно), а "&amp;I113&amp;" аннулирует 1/3 просроченных процентов и все непогашенные пени. Ваша выгода: "&amp;K113&amp;". *Расчет выполнен на "&amp;ТЕКСТ(СЕГОДНЯ();"ДД.ММ.ГГГГ")&amp;" г. Системы кредитования «Взаимно»."</t>
  </si>
  <si>
    <t xml:space="preserve"> =ЕСЛИ(ЛЕВСИМВ(B2;1)="В";" МФК «ВЗАИМНО»."; "Системы кредитования «ВЗАИМНО».")</t>
  </si>
  <si>
    <t xml:space="preserve"> =ЕСЛИОШИБКА(ЕСЛИ(ВПР(ЛЕВСИМВ(B2;10);'\\data\share\Отдел сопровождения кредитования\Работа с просрочкой\КСМ\подвал\[КО.xlsx]Лист1'!$A:$A;1;0)&lt;&gt;"";"👎");"👍")</t>
  </si>
  <si>
    <t xml:space="preserve"> =ЕСЛИОШИБКА(ЕСЛИ(ВПР(B2;[КО.xlsx]Лист1!$A:$A;1;0)&lt;&gt;"";"👎");"👍")</t>
  </si>
  <si>
    <t xml:space="preserve"> ="❗ПРОЩАЕМ ПЕНИ❗"&amp;J2&amp;", погасите просроченные основной долг и проценты по Договору № "&amp;B2&amp;", в срок до 24.04.2021, а "&amp;I2&amp;" спишет текущую неустойку. "&amp;M2</t>
  </si>
  <si>
    <t xml:space="preserve"> ="❗СПИСАНИЕ НЕУСТОЙКИ❗"&amp;J2&amp;", не упустите выгоду! Сегодня (31.03.2021) погасите просроченные основной долг и проценты по Договору № "&amp;B2&amp;", и "&amp;I2&amp;" спишет текущую неустойку."&amp;M2</t>
  </si>
  <si>
    <t xml:space="preserve"> ="❗СПИСЫВАЕМ ЧАСТЬ ДОЛГА❗"&amp;J2&amp;", оплатите только просроченные основоной долг и 2/3 процентов по Договору № "&amp;B2&amp;" до 31.05.2021, а "&amp;I2&amp;" спишет остальную часть просроченной задолженности. "&amp;M2</t>
  </si>
  <si>
    <t xml:space="preserve"> =РУБЛЬ(ОКРВВЕРХ.МАТ(СУММ(ВПР(B2;'[из 1С.xlsm]РП (расш)'!$A:$K;9;0)/3;ВПР(B2;'[из 1С.xlsm]РП (расш)'!$A:$K;11;0)));0)</t>
  </si>
  <si>
    <t xml:space="preserve"> =РУБЛЬ(ОКРВВЕРХ.МАТ(СУММ(ВПР(B2;'[из 1С.xlsm]РП (расш)'!$A:$K;9;0)*0,67;ВПР(B2;'[из 1С.xlsm]РП (расш)'!$A:$K;8;0)));0)</t>
  </si>
  <si>
    <t xml:space="preserve"> =ЕСЛИ(P2="new";"❗СПИСАНИЕ НЕУСТОЙКИ❗"&amp;J2&amp;", не упустите выгоду! Сегодня (28.05.2021) погасите просроченные основной долг и проценты по Договору № "&amp;B2&amp;", и "&amp;I2&amp;" спишет текущую неустойку."&amp;M2;"НЕ УСПЕЛИ ОПЛАТИТЬ❓" &amp;J2&amp;", для Вас мы продлили предложение! Сегодня (28.05.2021) погасите просроченные основной долг и проценты по Договору № "&amp;B2&amp;", и "&amp;I2&amp;" спишет текущую неустойку."&amp;M2)</t>
  </si>
  <si>
    <t>new+pre</t>
  </si>
  <si>
    <t xml:space="preserve"> ="❗СПИСЫВАЕМ ЧАСТЬ ДОЛГА❗"&amp;J2&amp;", оплатите "&amp;L2&amp;" (просроченные основной долг и 2/3 процентов) по Договору № "&amp;B2&amp;" до 31.05.2021, а "&amp;I2&amp;" спишет остальную часть просроченной задолженности. Ваша выгода: "&amp;K2&amp;". "&amp;M2</t>
  </si>
  <si>
    <t xml:space="preserve"> ="❗СПИСЫВАЕМ ЧАСТЬ ДОЛГА❗"&amp;J2&amp;", исполните свои обязательства по договору "&amp;B2&amp;" максимально выгодно! Вы экономите до  "&amp;K2&amp;" при оплате до 25.06.2021 г. Подобности по телефону 88005558346. "&amp;M2</t>
  </si>
  <si>
    <t xml:space="preserve">new </t>
  </si>
  <si>
    <t xml:space="preserve"> ="❗СПИСАНИЕ ПЕНИ❗"&amp;J2&amp;", до 30.07.2021 оплатите "&amp;РУБЛЬ(L2;0)&amp;" по Договору № "&amp;B2&amp;", а "&amp;I2&amp;" спишет текущую неустойку"&amp;O2</t>
  </si>
  <si>
    <t xml:space="preserve"> =ЕСЛИ(K2&gt;1000;". Ваша выгода: "&amp;РУБЛЬ(K2;0)&amp;". "&amp;M2;". "&amp;M2)</t>
  </si>
  <si>
    <t xml:space="preserve"> ="⏰ПРОЩЕНИЕ ПЕНИ⏰"&amp;J2&amp;", "&amp;I2&amp;" продлил срок действия предложения! Сегодня (31.07.2021) оплатите "&amp;РУБЛЬ(L2;0)&amp;" по Договору № "&amp;B2&amp;", а "&amp;I2&amp;" спишет текущую неустойку"&amp;O2</t>
  </si>
  <si>
    <t>один день (продление)</t>
  </si>
  <si>
    <t xml:space="preserve"> ="❗ЗАКЛЮЧИТЕЛЬНОЕ ПРЕДЛОЖЕНИЕ⏰"&amp;J2&amp;", оплатите "&amp;РУБЛЬ(L2;0)&amp;" до 15.08.2021, для выхода из просрочки по Договору "&amp;B2&amp;". Ваша выгода "&amp;РУБЛЬ(K2;0)&amp;". Подробности по телефону 88005558346."</t>
  </si>
  <si>
    <t xml:space="preserve"> ="❗ПРОЩЕНИЕ ЧАСТИ ДОЛГА⏰"&amp;J5&amp;", оплатите "&amp;РУБЛЬ(L5;0)&amp;" до 20.08.2021, для выхода из просрочки по Договору "&amp;B5&amp;". Ваша выгода "&amp;РУБЛЬ(K5;0)&amp;". Подробности по телефону 88005558346."</t>
  </si>
  <si>
    <t>Иванов Евгений Владимирович</t>
  </si>
  <si>
    <t>далее</t>
  </si>
  <si>
    <t>Заемщик</t>
  </si>
  <si>
    <t>Текст</t>
  </si>
  <si>
    <t>ПлСег</t>
  </si>
  <si>
    <t>ПорТел</t>
  </si>
  <si>
    <t>ПорФио</t>
  </si>
  <si>
    <t>К Оплате</t>
  </si>
  <si>
    <t>Кред/Займ</t>
  </si>
  <si>
    <t>ВЗ/ост</t>
  </si>
  <si>
    <t>Выгода</t>
  </si>
  <si>
    <t xml:space="preserve"> =ЕСЛИ('[из 1С.xlsm]акция'!$L2=3;"❗СПИСАНИЕ ЧАСТИ ДОЛГА⏰"&amp;F2&amp;", до 31.10.2021 оплатите "&amp;РУБЛЬ(K2;0)&amp;" по Договору № "&amp;B2&amp;", а "&amp;L2&amp;" спишет 1/2 просроченных процентов и пени"&amp;N2;ЕСЛИ('[из 1С.xlsm]акция'!$L2=2;"❗СПИСАНИЕ ЧАСТИ ДОЛГА⏰"&amp;F2&amp;", до 31.10.2021 оплатите "&amp;РУБЛЬ(K2;0)&amp;" по Договору № "&amp;B2&amp;", а "&amp;L2&amp;" спишет 1/3 просроченных процентов и пени"&amp;N2;"❗СПИСАНИЕ ПЕНИ⏰"&amp;F2&amp;", до 31.10.2021 оплатите "&amp;РУБЛЬ(K2;0)&amp;" по Договору № "&amp;B2&amp;", а "&amp;L2&amp;" спишет текущую неустойку"&amp;N2))</t>
  </si>
  <si>
    <t>❗</t>
  </si>
  <si>
    <t>⏰</t>
  </si>
  <si>
    <t>Время</t>
  </si>
  <si>
    <t>&lt;center&gt;&lt;br&gt;&lt;br&gt;&lt;br&gt;&lt;em&gt;Системы кредитования «Взаимно»&lt;br&gt;г. Москва, 1-ый Магистральный тупик, дом 5А.&lt;br&gt;www.mfovzaimno.ru&lt;br&gt;+7 (495) 783 48 36, 8 (800) 555 83 46 (для регионов)&lt;/em&gt;&lt;/center&gt;</t>
  </si>
  <si>
    <t>&lt;center&gt;&lt;img src=https://imgbb.su/images/2021/11/17/b5bc8f9d84f3e7a21f080f6b12170490.png&gt;&lt;/center&gt;&lt;br&gt;&lt;br&gt;&lt;br&gt;</t>
  </si>
  <si>
    <t>действует до</t>
  </si>
  <si>
    <t xml:space="preserve"> =ЕСЛИ('\\192.168.81.12\share\Отдел сопровождения кредитования\Работа с просрочкой\КСМ\подвал\[из 1С.xlsm]акция'!$L2=3;Текст!$A$49&amp;"СПИСАНИЕ ЧАСТИ ДОЛГА"&amp;Текст!$B$49&amp;Пени!F2&amp;", до "&amp;ТЕКСТ(interface!$B$4;"ДД.ММ.ГГГГ")&amp;" оплатите "&amp;РУБЛЬ(Пени!K2;0)&amp;" по Договору № "&amp;Пени!B2&amp;", а "&amp;Пени!L2&amp;" спишет 1/2 просроченных процентов и пени"&amp;Пени!N2;ЕСЛИ('\\192.168.81.12\share\Отдел сопровождения кредитования\Работа с просрочкой\КСМ\подвал\[из 1С.xlsm]акция'!$L2=2;Текст!$A$49&amp;"СПИСАНИЕ ЧАСТИ ДОЛГА"&amp;Текст!$B$49&amp;Пени!F2&amp;", до 31.10.2021 оплатите "&amp;РУБЛЬ(Пени!K2;0)&amp;" по Договору № "&amp;Пени!B2&amp;", а "&amp;Пени!L2&amp;" спишет 1/3 просроченных процентов и пени"&amp;Пени!N2;Текст!$A$49&amp;"СПИСАНИЕ ПЕНИ"&amp;Текст!$B$49&amp;Пени!F2&amp;", до 31.10.2021 оплатите "&amp;РУБЛЬ(Пени!K2;0)&amp;" по Договору № "&amp;Пени!B2&amp;", а "&amp;Пени!L2&amp;" спишет текущую неустойку"&amp;Пени!N2))</t>
  </si>
  <si>
    <t>email</t>
  </si>
  <si>
    <t xml:space="preserve"> =ЕСЛИ('\\192.168.81.12\share\Отдел сопровождения кредитования\Работа с просрочкой\КСМ\подвал\[из 1С.xlsm]акция'!$L2=3;Текст!$A$75&amp;Пени!E2&amp;", добрый день. &lt;br&gt;&lt;br&gt; До "&amp;ТЕКСТ(interface!$C$1;"ДД.ММ.ГГГГ")&amp;" оплатите "&amp;РУБЛЬ(Пени!K2;0)&amp;" по Договору № "&amp;Пени!B2&amp;", а "&amp;Пени!L2&amp;" спишет 1/2 просроченных процентов и пени"&amp;"&lt;br&gt;&lt;strong&gt;"&amp;ПОДСТАВИТЬ(Пени!N2;"МФК «ВЗАИМНО».";"")&amp;Текст!$A$76;ЕСЛИ('\\192.168.81.12\share\Отдел сопровождения кредитования\Работа с просрочкой\КСМ\подвал\[из 1С.xlsm]акция'!$L2=2;Текст!$A$75&amp;Пени!E2&amp;", добрый день. &lt;br&gt;&lt;br&gt; До "&amp;ТЕКСТ(interface!$C$1;"ДД.ММ.ГГГГ")&amp;" оплатите "&amp;" по Договору № "&amp;Пени!B2&amp;", а "&amp;Пени!L2&amp;" спишет 1/3 просроченных процентов и пени"&amp;ПОДСТАВИТЬ(Пени!N2;"МФК «ВЗАИМНО».";"")&amp;Текст!$A$76;Текст!$A$75&amp;Пени!E2&amp;", добрый день. &lt;br&gt;&lt;br&gt; До "&amp;ТЕКСТ(interface!$C$1;"ДД.ММ.ГГГГ")&amp;" оплатите "&amp;" по Договору № "&amp;Пени!B2&amp;", а "&amp;Пени!L2&amp;" спишет текущую неустойку"&amp;ПОДСТАВИТЬ(Пени!N2;"МФК «ВЗАИМНО».";"")&amp;Текст!$A$76))</t>
  </si>
  <si>
    <t xml:space="preserve"> =ЕСЛИ('\\192.168.81.12\share\Отдел сопровождения кредитования\Работа с просрочкой\КСМ\подвал\[из 1С.xlsm]акция'!$L2=3;Текст!$A$75&amp;Пени!E2&amp;", добрый день. &lt;br&gt;&lt;br&gt; До "&amp;ТЕКСТ(interface!$C$1;"ДД.ММ.ГГГГ")&amp;" оплатите "&amp;РУБЛЬ(Пени!K2;0)&amp;" по Договору № "&amp;Пени!B2&amp;", а "&amp;Пени!L2&amp;" спишет 1/2 просроченных процентов и пени."&amp;"&lt;br&gt;&lt;strong&gt;"&amp;ПОДСТАВИТЬ(Пени!N2;".МФК «ВЗАИМНО».";"")&amp;Текст!$A$76;ЕСЛИ('\\192.168.81.12\share\Отдел сопровождения кредитования\Работа с просрочкой\КСМ\подвал\[из 1С.xlsm]акция'!$L2=2;Текст!$A$75&amp;Пени!E2&amp;", добрый день. &lt;br&gt;&lt;br&gt; До "&amp;ТЕКСТ(interface!$C$1;"ДД.ММ.ГГГГ")&amp;" оплатите "&amp;" по Договору № "&amp;Пени!B2&amp;", а "&amp;Пени!L2&amp;" спишет 1/3 просроченных процентов и пени."&amp;"&lt;br&gt;&lt;strong&gt;"&amp;ПОДСТАВИТЬ(Пени!N2;".МФК «ВЗАИМНО».";"")&amp;Текст!$A$76;Текст!$A$75&amp;Пени!E2&amp;", добрый день. &lt;br&gt;&lt;br&gt; До "&amp;ТЕКСТ(interface!$C$1;"ДД.ММ.ГГГГ")&amp;" оплатите "&amp;" по Договору № "&amp;Пени!B2&amp;", а "&amp;Пени!L2&amp;" спишет текущую неустойку."&amp;"&lt;br&gt;&lt;strong&gt;"&amp;ПОДСТАВИТЬ(Пени!N2;".МФК «ВЗАИМНО».";"")&amp;Текст!$A$76))</t>
  </si>
  <si>
    <t xml:space="preserve"> =ЕСЛИ('\\192.168.81.12\share\Отдел сопровождения кредитования\Работа с просрочкой\КСМ\подвал\[из 1С.xlsm]акция'!$L2=3;Текст!$A$75&amp;Пени!E2&amp;", добрый день. &lt;br&gt;&lt;br&gt; До "&amp;ТЕКСТ(interface!$C$1;"ДД.ММ.ГГГГ")&amp;" оплатите "&amp;РУБЛЬ(Пени!K2;0)&amp;" по Договору № "&amp;Пени!B2&amp;", а "&amp;Пени!L2&amp;" спишет 1/2 просроченных процентов и пени."&amp;"&lt;br&gt;&lt;strong&gt;Ваша выгода: "&amp;ТЕКСТ(Пени!J2;"## ##")&amp;" руб.&lt;/strong&gt;"&amp;Текст!$A$76;ЕСЛИ('\\192.168.81.12\share\Отдел сопровождения кредитования\Работа с просрочкой\КСМ\подвал\[из 1С.xlsm]акция'!$L2=2;Текст!$A$75&amp;Пени!E2&amp;", добрый день. &lt;br&gt;&lt;br&gt; До "&amp;ТЕКСТ(interface!$C$1;"ДД.ММ.ГГГГ")&amp;" оплатите "&amp;" по Договору № "&amp;Пени!B2&amp;", а "&amp;Пени!L2&amp;" спишет 1/3 просроченных процентов и пени."&amp;"&lt;br&gt;&lt;strong&gt;Ваша выгода: "&amp;ТЕКСТ(Пени!J2;"## ##")&amp;" руб.&lt;/strong&gt;"&amp;Текст!$A$76;Текст!$A$75&amp;Пени!E2&amp;", добрый день. &lt;br&gt;&lt;br&gt; До "&amp;ТЕКСТ(interface!$C$1;"ДД.ММ.ГГГГ")&amp;" оплатите "&amp;" по Договору № "&amp;Пени!B2&amp;", а "&amp;Пени!L2&amp;" спишет текущую неустойку."&amp;"&lt;br&gt;&lt;strong&gt;Ваша выгода: "&amp;ТЕКСТ(Пени!J2;"## ##")&amp;" руб.&lt;/strong&gt;"&amp;Текст!$A$76))</t>
  </si>
  <si>
    <t xml:space="preserve"> =ЕСЛИ('[из 1С.xlsm]акция'!$L2=3;Текст!$A$49&amp;"СПИСАНИЕ ЧАСТИ ДОЛГА"&amp;Текст!$B$49&amp;F2&amp;", до "&amp;ТЕКСТ(interface!$C$1;"ДД.ММ.ГГГГ")&amp;" оплатите "&amp;РУБЛЬ(K2;0)&amp;" по Договору № "&amp;B2&amp;", а "&amp;L2&amp;" спишет 1/2 просроченных процентов и пени"&amp;N2;ЕСЛИ(И('[из 1С.xlsm]акция'!$L2=2;'[из 1С.xlsm]акция'!$N2="да");Текст!$A$49&amp;"СПИСАНИЕ ЧАСТИ ДОЛГА"&amp;Текст!$B$49&amp;F2&amp;", до "&amp;ТЕКСТ(interface!$C$1;"ДД.ММ.ГГГГ")&amp;" оплатите "&amp;РУБЛЬ(K2;0)&amp;" по Договору № "&amp;B2&amp;", а "&amp;L2&amp;" спишет 1/3 просроченных процентов и пени"&amp;N2;ЕСЛИ('[из 1С.xlsm]акция'!$L2=2;Текст!$A$49&amp;"СПИСАНИЕ ЧАСТИ ДОЛГА"&amp;Текст!$B$49&amp;F2&amp;", до "&amp;ТЕКСТ(interface!$C$1;"ДД.ММ.ГГГГ")&amp;" оплатите "&amp;РУБЛЬ(K2;0)&amp;" по Договору № "&amp;B2&amp;", а "&amp;L2&amp;" спишет 1/3 просроченных процентов и текущую неустойку"&amp;N2;Текст!$A$49&amp;"СПИСАНИЕ ПЕНИ"&amp;Текст!$B$49&amp;F2&amp;", до "&amp;ТЕКСТ(interface!$C$1;"ДД.ММ.ГГГГ")&amp;" оплатите "&amp;РУБЛЬ(K2;0)&amp;" по Договору № "&amp;B2&amp;", а "&amp;L2&amp;" спишет текущую неустойку"&amp;N2)))</t>
  </si>
  <si>
    <t xml:space="preserve"> =ЕСЛИ('[из 1С.xlsm]акция'!$L2=3;Текст!$A$75&amp;Пени!E2&amp;", добрый день. &lt;br&gt;&lt;br&gt; До "&amp;ТЕКСТ(interface!$C$1;"ДД.ММ.ГГГГ")&amp;" оплатите "&amp;ТЕКСТ(Пени!K2;"## ##")&amp;" по Договору № "&amp;Пени!B2&amp;", а "&amp;Пени!L2&amp;" спишет 1/2 просроченных процентов и пени."&amp;ЕСЛИ(Пени!J2&gt;=1000;"&lt;br&gt;&lt;strong&gt;Ваша выгода: "&amp;ТЕКСТ(Пени!J2;"## ##")&amp;" руб.&lt;/strong&gt;";"")&amp;Текст!$A$76;ЕСЛИ(И('[из 1С.xlsm]акция'!$L2=2;'[из 1С.xlsm]акция'!$N2="да");Текст!$A$75&amp;Пени!E2&amp;", добрый день. &lt;br&gt;&lt;br&gt; До "&amp;ТЕКСТ(interface!$C$1;"ДД.ММ.ГГГГ")&amp;" оплатите "&amp;ТЕКСТ(Пени!K2;"## ##")&amp;" по Договору № "&amp;Пени!B2&amp;", а "&amp;Пени!L2&amp;" спишет 1/3 просроченных процентов и пени."&amp;ЕСЛИ(Пени!J2&gt;=1000;"&lt;br&gt;&lt;strong&gt;Ваша выгода: "&amp;ТЕКСТ(Пени!J2;"## ##")&amp;" руб.&lt;/strong&gt;";"");ЕСЛИ('[из 1С.xlsm]акция'!$L2=2;Текст!$A$75&amp;Пени!E2&amp;", добрый день. &lt;br&gt;&lt;br&gt; До "&amp;ТЕКСТ(interface!$C$1;"ДД.ММ.ГГГГ")&amp;"  оплатите "&amp;ТЕКСТ(Пени!K2;"## ##")&amp;" по Договору № "&amp;Пени!B2&amp;", а "&amp;Пени!L2&amp;" спишет 1/3 просроченных процентов и текущую неустойку."&amp;ЕСЛИ(Пени!J2&gt;=1000;"&lt;br&gt;&lt;strong&gt;Ваша выгода: "&amp;ТЕКСТ(Пени!J2;"## ##")&amp;" руб.&lt;/strong&gt;";"")&amp;Текст!$A$76;Текст!$A$75&amp;Пени!E2&amp;", добрый день. &lt;br&gt;&lt;br&gt; До "&amp;ТЕКСТ(interface!$C$1;"ДД.ММ.ГГГГ")&amp;" оплатите "&amp;" по Договору № "&amp;Пени!B2&amp;", а "&amp;Пени!L2&amp;" спишет текущую неустойку."&amp;ЕСЛИ(Пени!J2&gt;=1000;"&lt;br&gt;&lt;strong&gt;Ваша выгода: "&amp;ТЕКСТ(Пени!J2;"## ##")&amp;" руб.&lt;/strong&gt;";"")&amp;Текст!$A$76)))</t>
  </si>
  <si>
    <t>⬅ SMS</t>
  </si>
  <si>
    <t>⬅EMAIL</t>
  </si>
  <si>
    <t>🎁</t>
  </si>
  <si>
    <t xml:space="preserve"> =Текст!$A$75&amp;Пени!E44&amp;", добрый день. &lt;br&gt;&lt;br&gt; Внесите два платежа, по Договору "&amp;Пени!B44&amp;", а мы простим 1/3% и ВСЕ пени! &lt;br&gt;&lt;strong&gt;Акция действует при внесении оплаты до наступления даты очередного платежа.&lt;/strong&gt;"&amp;Текст!$A$76</t>
  </si>
  <si>
    <t xml:space="preserve"> =Текст!$C$49&amp;"прощаеМся с долгами! "&amp;F44&amp;", внесите два платежа, по Договору "&amp;B44&amp;", а мы простим 1/3% и ВСЕ пени! Акция действует при внесении оплаты до наступления даты очередного платежа."</t>
  </si>
  <si>
    <t>прощаеМся с долгами!</t>
  </si>
  <si>
    <t>Категория</t>
  </si>
  <si>
    <t xml:space="preserve"> =ЕСЛИ(ВПР(B2;'[из 1С.xlsm]акция'!$B:$L;11;0)=3;"1/2% и пени";ЕСЛИ(И(ВПР(B2;'[из 1С.xlsm]акция'!$B:$L;11;0)=2;ВПР(B2;'[из 1С.xlsm]акция'!$B:$N;13;0)="да");"1/3% и пени";ЕСЛИ(ВПР(B2;'[из 1С.xlsm]акция'!$B:$L;11;0)=2;"1/3% и тек пени";ЕСЛИ(И(ВПР(B2;'[из 1С.xlsm]акция'!$B:$L;11;0)=1;ВПР(B2;'[из 1С.xlsm]акция'!$B:$N;13;0)="да");"пени";ЕСЛИ(ВПР(B2;'[из 1С.xlsm]акция'!$B:$L;11;0)=1;"тек пени";"свой вариант")))))</t>
  </si>
  <si>
    <t>Приветствие</t>
  </si>
  <si>
    <t xml:space="preserve"> =interface!$A$5&amp;F2&amp;", "&amp;interface!C1&amp;" оплатите "&amp;РУБЛЬ(K2;0)&amp;" по Договору № "&amp;B2&amp;", а "&amp;L2&amp;" "&amp;P2&amp;N2</t>
  </si>
  <si>
    <t>⏰СПИСАНИЕ ЧАСТИ ДОЛГА❗</t>
  </si>
  <si>
    <t>❗СПИСАНИЕ ПЕНИ⏰</t>
  </si>
  <si>
    <t xml:space="preserve">🎁прощаеМся с долгами! </t>
  </si>
  <si>
    <t>Свой вариант</t>
  </si>
  <si>
    <t>Какой-то текст</t>
  </si>
  <si>
    <t>⬅ЛОГОТИП</t>
  </si>
  <si>
    <t>⬅АДРЕС</t>
  </si>
  <si>
    <t>ТЕМА</t>
  </si>
  <si>
    <t xml:space="preserve"> =Текст!$A$75&amp;Пени!E2&amp;", добрый день. &lt;br&gt;&lt;br&gt;"&amp;interface!$F$2&amp;" "&amp;ТЕКСТ(K2;"## ##")&amp;" по Договору № "&amp;Пени!B2&amp;", а "&amp;Пени!L2&amp;" "&amp;Пени!P2&amp;".&lt;br&gt;&lt;strong&gt;Ваша выгода: "&amp;ТЕКСТ(Пени!J2;"## ##")&amp;" руб.&lt;/strong&gt;"&amp;Текст!$A$76</t>
  </si>
  <si>
    <t xml:space="preserve"> =interface!$A$5&amp;F2&amp;", "&amp;interface!$A$2&amp;" "&amp;РУБЛЬ(K2;0)&amp;" по Договору № "&amp;B2&amp;", а "&amp;L2&amp;" "&amp;P2&amp;N2</t>
  </si>
  <si>
    <t xml:space="preserve"> =ЕСЛИ(ВПР(B2;'\\192.168.81.12\share\Отдел сопровождения кредитования\Работа с просрочкой\КСМ\подвал\[из 1С.xlsm]акция'!$B:$L;11;0)=3;"спишет 1/2 просроченных процентов и пени";ЕСЛИ(И(ВПР(B2;'\\192.168.81.12\share\Отдел сопровождения кредитования\Работа с просрочкой\КСМ\подвал\[из 1С.xlsm]акция'!$B:$L;11;0)=2;ВПР(B2;'\\192.168.81.12\share\Отдел сопровождения кредитования\Работа с просрочкой\КСМ\подвал\[из 1С.xlsm]акция'!$B:$N;13;0)="да");"спишет 1/3 просроченных процентов и пени";ЕСЛИ(ВПР(B2;'\\192.168.81.12\share\Отдел сопровождения кредитования\Работа с просрочкой\КСМ\подвал\[из 1С.xlsm]акция'!$B:$L;11;0)=2;"спишет 1/3 просроченных процентов и текущую неустойку";ЕСЛИ(И(ВПР(B2;'\\192.168.81.12\share\Отдел сопровождения кредитования\Работа с просрочкой\КСМ\подвал\[из 1С.xlsm]акция'!$B:$L;11;0)=1;ВПР(B2;'\\192.168.81.12\share\Отдел сопровождения кредитования\Работа с просрочкой\КСМ\подвал\[из 1С.xlsm]акция'!$B:$N;13;0)="да");"спишет все пени";ЕСЛИ(ВПР(B2;'\\192.168.81.12\share\Отдел сопровождения кредитования\Работа с просрочкой\КСМ\подвал\[из 1С.xlsm]акция'!$B:$L;11;0)=1;"текущую неустойку";interface!$A$8)))))</t>
  </si>
  <si>
    <t>СПИСАНИЕ ЧАСТИ ДОЛГА!</t>
  </si>
  <si>
    <t>ПРОЩЕНИЕ ПЕНИ!</t>
  </si>
  <si>
    <t>WA</t>
  </si>
  <si>
    <t>⬅WA</t>
  </si>
  <si>
    <t>СИМВОЛ</t>
  </si>
  <si>
    <t>Предложение</t>
  </si>
  <si>
    <t>Вам индивидуальное предложение о прощении части долга!</t>
  </si>
  <si>
    <t>Списание части долга!</t>
  </si>
  <si>
    <t xml:space="preserve"> =ЕСЛИ(ВПР(Пени!B2;'\\192.168.81.12\share\Отдел сопровождения кредитования\Работа с просрочкой\КСМ\подвал\[из 1С.xlsm]акция'!$B:$L;11;0)=3;"списание 1/2 просроченных процентов и всех пеней,";ЕСЛИ(И(ВПР(Пени!B2;'\\192.168.81.12\share\Отдел сопровождения кредитования\Работа с просрочкой\КСМ\подвал\[из 1С.xlsm]акция'!$B:$L;11;0)=2;ВПР(Пени!B2;'\\192.168.81.12\share\Отдел сопровождения кредитования\Работа с просрочкой\КСМ\подвал\[из 1С.xlsm]акция'!$B:$N;13;0)="да");"списание 1/3 просроченных процентов и всех пеней,";ЕСЛИ(ВПР(Пени!B2;'\\192.168.81.12\share\Отдел сопровождения кредитования\Работа с просрочкой\КСМ\подвал\[из 1С.xlsm]акция'!$B:$L;11;0)=2;"списание 1/3 просроченных процентов и текущей неустойки";ЕСЛИ(И(ВПР(Пени!B2;'\\192.168.81.12\share\Отдел сопровождения кредитования\Работа с просрочкой\КСМ\подвал\[из 1С.xlsm]акция'!$B:$L;11;0)=1;ВПР(B2;'\\192.168.81.12\share\Отдел сопровождения кредитования\Работа с просрочкой\КСМ\подвал\[из 1С.xlsm]акция'!$B:$N;13;0)="да");"спиние всех пеней,";ЕСЛИ(ВПР(Пени!B2;'\\192.168.81.12\share\Отдел сопровождения кредитования\Работа с просрочкой\КСМ\подвал\[из 1С.xlsm]акция'!$B:$L;11;0)=1;"текущей неустойки,";interface!$K$11)))))</t>
  </si>
  <si>
    <t>текстЧ1</t>
  </si>
  <si>
    <t xml:space="preserve">Предложение предусматривает </t>
  </si>
  <si>
    <t>текстЧ2</t>
  </si>
  <si>
    <t>дополнительно</t>
  </si>
  <si>
    <t>, Здравствуйте!</t>
  </si>
  <si>
    <t>, добрый день.</t>
  </si>
  <si>
    <t xml:space="preserve"> =interface!$K$5&amp;СИМВОЛ(10)&amp;"_"&amp;Пени!F2&amp;interface!$K$11&amp;"_"&amp;СИМВОЛ(10)&amp;"_"&amp;interface!$K$8&amp;"_"&amp;СИМВОЛ(10)&amp;"_"&amp;interface!$K$14&amp;J1&amp;interface!$K$17&amp;РУБЛЬ(Пени!K2;0)&amp;interface!$K$2&amp;"_"&amp;СИМВОЛ(10)&amp;"*"&amp;"Вы экономите: "&amp;РУБЛЬ(Пени!J2;0)&amp;"*"</t>
  </si>
  <si>
    <t xml:space="preserve"> в случае внесения платежа в размере </t>
  </si>
  <si>
    <t xml:space="preserve"> при оплате </t>
  </si>
  <si>
    <t xml:space="preserve"> =ЕСЛИОШИБКА(ВПР(B2;'[БД.xlsm]тел(заем)'!$B:$F;5;0);ЕСЛИ(ВПР(ЛЕВСИМВ(B2;10);'[БД.xlsm]тел(заем)'!$B:$F;5;0)&lt;&gt;"";ВПР(ЛЕВСИМВ(B2;10);'[БД.xlsm]тел(заем)'!$B:$F;5;0);ВПР(ЛЕВСИМВ(B2;10);'[БД.xlsm]тел(заем)'!$B:$D;3;0)))</t>
  </si>
  <si>
    <t xml:space="preserve"> =ЕСЛИОШИБКА(ВПР(ЛЕВСИМВ(B2;10);'\\192.168.81.12\share\Отдел сопровождения кредитования\Работа с просрочкой\КСМ\подвал\[БД.xlsm]тел(пор)'!$A:$C;3;0);"")</t>
  </si>
  <si>
    <t xml:space="preserve"> =ЕСЛИОШИБКА(ВПР(ЛЕВСИМВ(B2;10);'\\192.168.81.12\share\Отдел сопровождения кредитования\Работа с просрочкой\КСМ\подвал\[БД.xlsm]тел(пор)'!$A:$B;2;0);"")</t>
  </si>
  <si>
    <t xml:space="preserve"> =ЕСЛИОШИБКА(ВПР(ЛЕВСИМВ(B2;10);'\\192.168.81.12\share\Отдел сопровождения кредитования\Работа с просрочкой\КСМ\подвал\[БД.xlsm]адреса'!$B:$J;9;0);ВПР(B2;'\\192.168.81.12\share\Отдел сопровождения кредитования\Работа с просрочкой\КСМ\подвал\[БД.xlsm]адреса'!$B:$J;9;0))</t>
  </si>
  <si>
    <t xml:space="preserve"> =interface!$K$5&amp;СИМВОЛ(10)&amp;"_"&amp;Пени!E2&amp;interface!$K$11&amp;"_"&amp;СИМВОЛ(10)&amp;"_"&amp;interface!$K$8&amp;"_"&amp;СИМВОЛ(10)&amp;"_"&amp;interface!$K$14&amp;J1&amp;interface!$K$17&amp;РУБЛЬ(Пени!K2;0)&amp;interface!$K$2&amp;"_"&amp;СИМВОЛ(10)&amp;ЕСЛИ(Пени!J2&gt;=1000;"*Вы экономите: "&amp;РУБЛЬ(Пени!J2;0)&amp;"*";"")</t>
  </si>
  <si>
    <t xml:space="preserve">Наш 🎁 Вам! Прощение части долга. </t>
  </si>
  <si>
    <t>Наш подарок Вам! Прощение части долга</t>
  </si>
  <si>
    <t>🎄</t>
  </si>
  <si>
    <t>Наш 🎁 Вам! Прощение части долга.</t>
  </si>
  <si>
    <t xml:space="preserve"> =ЕСЛИОШИБКА(ЕСЛИ(ВПР(ЛЕВСИМВ(B2;10);'[БД.xlsm]тел(заем)'!$B:$F;5;0);ВПР(ЛЕВСИМВ(B2;10);'[БД.xlsm]тел(заем)'!$B:$F;5;0);ВПР(ЛЕВСИМВ(B2;10);'[БД.xlsm]тел(заем)'!$B:$D;3;0));ВПР(B2;'[БД.xlsm]тел(заем)'!$B:$F;5;0))</t>
  </si>
  <si>
    <t>действует до (2)</t>
  </si>
  <si>
    <t>до 30.12.2021 оплатите</t>
  </si>
  <si>
    <t xml:space="preserve">🎁 НОВОГОДНЕЕ СПИСАНИЕ! </t>
  </si>
  <si>
    <t>!!!НОВОГОДНЕЕ СПИСАНИЕ!!!</t>
  </si>
  <si>
    <t xml:space="preserve"> =ЕСЛИ(ВПР(Пени!B123;'[из 1С.xlsm]акция'!$B:$L;11;0)=4;"списание 2/3 просроченных процентов и всех пеней,";ЕСЛИ(ВПР(Пени!B123;'[из 1С.xlsm]акция'!$B:$L;11;0)=3;"списание 1/2 просроченных процентов и всех пеней,";ЕСЛИ(И(ВПР(Пени!B123;'[из 1С.xlsm]акция'!$B:$L;11;0)=2;ВПР(Пени!B123;'[из 1С.xlsm]акция'!$B:$N;13;0)="да");"списание 1/3 просроченных процентов и всех пеней,";ЕСЛИ(ВПР(Пени!B123;'[из 1С.xlsm]акция'!$B:$L;11;0)=2;"списание 1/3 просроченных процентов и текущей неустойки";ЕСЛИ(И(ВПР(Пени!B123;'[из 1С.xlsm]акция'!$B:$L;11;0)=1;ВПР(B2;'[из 1С.xlsm]акция'!$B:$N;13;0)="да");"списание всех пеней,";ЕСЛИ(ВПР(Пени!B123;'[из 1С.xlsm]акция'!$B:$L;11;0)=1;"текущей неустойки,";interface!$K$20))))))</t>
  </si>
  <si>
    <t xml:space="preserve"> =interface!$K$8&amp;СИМВОЛ(10)&amp;Пени!E141&amp;interface!$K$11&amp;СИМВОЛ(10)&amp;interface!$K$14&amp;J1&amp;interface!$K$17&amp;РУБЛЬ(Пени!K141;0)&amp;" по Договору "&amp;Пени!B141&amp;interface!$K$2&amp;СИМВОЛ(10)&amp;ЕСЛИ(Пени!J141&gt;=1000;"*Вы экономите: "&amp;РУБЛЬ(Пени!J141;0)&amp;"*";"")&amp;СИМВОЛ(10)&amp;"Если, Вам интересно данное предложение, укажите точную дату погашения задолженности, в пределах 4 дней."&amp;СИМВОЛ(10)&amp;"В рамках лояльности и снижения финансовой нагрузки, мы делаем разовое предложение, успейте воспользоваться и войти в график платежей."&amp;СИМВОЛ(10)&amp;"ООО «МФК «ВЗАИМНО»"</t>
  </si>
  <si>
    <t xml:space="preserve">, предложение предусматривает </t>
  </si>
  <si>
    <t>? % ?</t>
  </si>
  <si>
    <t>? Пени ?</t>
  </si>
  <si>
    <t>РАЗНОЕ</t>
  </si>
  <si>
    <t>⬅общее</t>
  </si>
  <si>
    <t>какой-то текст</t>
  </si>
  <si>
    <t xml:space="preserve"> какой-то текст</t>
  </si>
  <si>
    <t>*Списание части долга!*</t>
  </si>
  <si>
    <t xml:space="preserve"> списание </t>
  </si>
  <si>
    <t xml:space="preserve"> прощение </t>
  </si>
  <si>
    <t xml:space="preserve">, при оплате </t>
  </si>
  <si>
    <t>⬅ ПЕРЕНОС</t>
  </si>
  <si>
    <t>продление</t>
  </si>
  <si>
    <t>Если, Вам интересно данное предложение, укажите точную дату погашения задолженности, в пределах 4 дней.</t>
  </si>
  <si>
    <t xml:space="preserve">Предложение действует до </t>
  </si>
  <si>
    <t>ВАдоп1</t>
  </si>
  <si>
    <t>ВАдоп2</t>
  </si>
  <si>
    <t>ДОдоп</t>
  </si>
  <si>
    <t>В рамках лояльности и снижения финансовой нагрузки, мы делаем разовое предложение, успейте воспользоваться и войти в график платежей.</t>
  </si>
  <si>
    <t>Продление</t>
  </si>
  <si>
    <t>*Предложение обновлено!*</t>
  </si>
  <si>
    <t>*Акция продлена!*</t>
  </si>
  <si>
    <t>В рамках лояльности и снижения финансовой нагрузки, успейте воспользоваться и войти в график платежей.</t>
  </si>
  <si>
    <t xml:space="preserve">СПИСАНИЕ ЧАСТИ ДОЛГА! </t>
  </si>
  <si>
    <t>действие</t>
  </si>
  <si>
    <t>действие2</t>
  </si>
  <si>
    <t>ТЕМА2</t>
  </si>
  <si>
    <t>ПРЕДЛОЖЕНИЕ ОБНОВЛЕНО!</t>
  </si>
  <si>
    <t xml:space="preserve">ПРОЩЕНИЕ ПЕНИ! </t>
  </si>
  <si>
    <t>*Прощение пени!*</t>
  </si>
  <si>
    <t>В-22163/КЛ.Транш - 1</t>
  </si>
  <si>
    <t xml:space="preserve"> =ЕСЛИОШИБКА(ЕСЛИ(ВПР(ПСТР(C2;2;3)+0;тесты!A:A;1;0);"мегафон");"")</t>
  </si>
  <si>
    <t>оператор</t>
  </si>
  <si>
    <t>Срок предложения до 30.04.2022, оплатите</t>
  </si>
  <si>
    <t>В-24859/АЗ</t>
  </si>
  <si>
    <t>В-25659/КЛ.Транш - 2</t>
  </si>
  <si>
    <t>В-26069/АЗ</t>
  </si>
  <si>
    <t>В-06481/КЛ.Транш - 7</t>
  </si>
  <si>
    <t>В-23074/КЛ</t>
  </si>
  <si>
    <t>В-23074/КЛ.Транш - 1</t>
  </si>
  <si>
    <t>В-16257/КЛ.Транш - 2</t>
  </si>
  <si>
    <t>В-05064/КЛ.Транш - 1</t>
  </si>
  <si>
    <t>В-14937/КЛ.Транш - 4</t>
  </si>
  <si>
    <t>В-15668/КЛ.Транш - 1</t>
  </si>
  <si>
    <t>В-20458/КЛ</t>
  </si>
  <si>
    <t>В-20458/КЛ.Транш - 1</t>
  </si>
  <si>
    <t>В-06411/КЛ</t>
  </si>
  <si>
    <t>В-06411/КЛ.Транш - 1</t>
  </si>
  <si>
    <t>В-28393/КЛ</t>
  </si>
  <si>
    <t>В-28393/КЛ.Транш - 1</t>
  </si>
  <si>
    <t>В-28368/АЗ</t>
  </si>
  <si>
    <t>В-01215/АЗ</t>
  </si>
  <si>
    <t>В-11287/КЛ.Транш - 2</t>
  </si>
  <si>
    <t>В-17423/КЛ.Транш - 1</t>
  </si>
  <si>
    <t>В-28376/КЛ.Транш - 1</t>
  </si>
  <si>
    <t>В-18317/КЛ.Транш - 1</t>
  </si>
  <si>
    <t>В-06130/КЛ.Транш - 5</t>
  </si>
  <si>
    <t>В-06130/КЛ.Транш - 6</t>
  </si>
  <si>
    <t>В-23776/КЛ.Транш - 1</t>
  </si>
  <si>
    <t>В-12818/КЛ</t>
  </si>
  <si>
    <t>В-12818/КЛ.Транш - 1</t>
  </si>
  <si>
    <t xml:space="preserve"> =ЕСЛИОШИБКА(ЕСЛИ(ВПР(ПСТР(C1;2;3)+0;тесты!A:A;1;0);"мегафон");"")</t>
  </si>
  <si>
    <t>Златин Денис Петрович</t>
  </si>
  <si>
    <t>В-24927/КЛ.Транш - 1</t>
  </si>
  <si>
    <t>Петухов Евгений Владимирович</t>
  </si>
  <si>
    <t>Авдошина Светлана Викторовна</t>
  </si>
  <si>
    <t>В-19526/КЛ.Транш - 1</t>
  </si>
  <si>
    <t>Овчинников Виталий Сергеевич</t>
  </si>
  <si>
    <t>В-00634/АЗ</t>
  </si>
  <si>
    <t>Аперян Любовь Артуровна</t>
  </si>
  <si>
    <t>В-14907/КЛ.Транш - 1</t>
  </si>
  <si>
    <t>Невкипелый Дмитрий Валерьевич</t>
  </si>
  <si>
    <t>В-27521/КЛ.Транш - 1</t>
  </si>
  <si>
    <t>Грабовская Вероника Викторовна</t>
  </si>
  <si>
    <t>В-00017/КЛ.Транш - 2</t>
  </si>
  <si>
    <t>Солдатенков Алексей Геннадиевич</t>
  </si>
  <si>
    <t>В-14544/КЛ.Транш - 1</t>
  </si>
  <si>
    <t>Лихачева Мария Николаевна</t>
  </si>
  <si>
    <t>В-22057/КЛ.Транш - 2</t>
  </si>
  <si>
    <t>В-00473/КЛ.Транш - 4</t>
  </si>
  <si>
    <t>Журавлева Анастасия Александровна</t>
  </si>
  <si>
    <t>В-01098/АЗ</t>
  </si>
  <si>
    <t>Гаврин Валентин Николаевич</t>
  </si>
  <si>
    <t>В-25304/АЗ</t>
  </si>
  <si>
    <t>Комаров Андрей Сергеевич</t>
  </si>
  <si>
    <t>В-26776/КЛ.Транш - 1</t>
  </si>
  <si>
    <t>Огурцова Людмила Михайловна</t>
  </si>
  <si>
    <t>В-21075/КЛ.Транш - 1</t>
  </si>
  <si>
    <t>Гусейнов Магомед Динисламович</t>
  </si>
  <si>
    <t>В-27747/КЛ.Транш - 1</t>
  </si>
  <si>
    <t>Дидиев Хасан Асланович</t>
  </si>
  <si>
    <t>В-15163/КЛ.Транш - 1</t>
  </si>
  <si>
    <t>Устинов Максим Викторович</t>
  </si>
  <si>
    <t>В-19451/КЛ.Транш - 2</t>
  </si>
  <si>
    <t>Вартикян Карен Смбатович</t>
  </si>
  <si>
    <t>В-25513/КЛ.Транш - 1</t>
  </si>
  <si>
    <t>Владимиров Сергей Прохорович</t>
  </si>
  <si>
    <t>В-23242/КЛ.Транш - 1</t>
  </si>
  <si>
    <t>Кильдюшкин Андрей Николаевич</t>
  </si>
  <si>
    <t>В-07877/КЛ.Транш - 12</t>
  </si>
  <si>
    <t>Проклов Игорь Петрович</t>
  </si>
  <si>
    <t>В-20218/КЛ.Транш - 1</t>
  </si>
  <si>
    <t>Армяновский Сергей Владимирович</t>
  </si>
  <si>
    <t>В-25806/КЛ.Транш - 1</t>
  </si>
  <si>
    <t>Трунтов Андрей Федорович</t>
  </si>
  <si>
    <t>В-17824/КЛ.Транш - 1</t>
  </si>
  <si>
    <t>Бутурлакин Марк Николаевич</t>
  </si>
  <si>
    <t>В-27050/АЗ</t>
  </si>
  <si>
    <t>Симонов Станислав Валерьевич</t>
  </si>
  <si>
    <t>В-17752/КЛ.Транш - 1</t>
  </si>
  <si>
    <t>Джумаева Муслима Султоновна</t>
  </si>
  <si>
    <t>В-01148/АЗ</t>
  </si>
  <si>
    <t>Муминов Фирдавс Юсуфович</t>
  </si>
  <si>
    <t>В-01147/АЗ</t>
  </si>
  <si>
    <t>Темникова Оксана Дмитриевна</t>
  </si>
  <si>
    <t>В-15393/КЛ.Транш - 1</t>
  </si>
  <si>
    <t>до 23.05.2022, оплатите</t>
  </si>
  <si>
    <t>До 23 мая 2022 оплатите</t>
  </si>
  <si>
    <t>, до 23.05.2022!</t>
  </si>
  <si>
    <t xml:space="preserve">В рамках лояльности и снижения финансовой нагрузки, успейте воспользоваться и войти в график платежей. Либо, предоставить предмет залога, </t>
  </si>
  <si>
    <t>ВАдоп3</t>
  </si>
  <si>
    <t xml:space="preserve">Залоговая стоимость предмета залога согласована Сторонами в размере </t>
  </si>
  <si>
    <t xml:space="preserve"> =ЕСЛИ(M1="Н";Шапка;ВАпродл)&amp;перСтр&amp;ИО&amp;Приветствие&amp;текстЧ1&amp;J1&amp;текстЧ2&amp;РУБЛЬ(оплата;0)&amp;" по Договору "&amp;Пени!B2&amp;действДО&amp;ЕСЛИ(выгода&gt;=1000;перСтр&amp;"*Вы экономите: "&amp;РУБЛЬ(выгода;0)&amp;"*";"")&amp;ЕСЛИ(ВАдоп1="";"";перСтр&amp;ВАдоп1&amp;ЕСЛИ(ДОдоп="";"";ДОдоп))&amp;ЕСЛИ(ВАдоп2="";"";перСтр&amp;ВАдоп2)&amp;" "&amp;ВПР(ЛЕВСИМВ(B1;10);[БД.xlsm]залог!$B:$C;2;0)&amp;" г.в. "&amp;ВАдоп3&amp; РУБЛЬ(ВПР(ЛЕВСИМВ(B1;10);[БД.xlsm]залог!$B:$E;4;0);0)&amp;"."&amp;перСтр&amp;"ООО «МФК «ВЗАИМНО»"</t>
  </si>
  <si>
    <t>СПИСЫВАЕМ ПРОЦЕНТЫ
*Вы экономите: 42 731 ₽*
Оксана Ярославовна, предложение предусматривает списание 1/2 просроченных процентов и все пени, при оплате 36 688 ₽ по Договору В-22627/КЛ.Транш - 1, до 23.05.2022!
В рамках лояльности и снижения финансовой нагрузки, успейте воспользоваться и войти в график платежей. Либо, предоставить предмет залога,  VOLKSWAGEN POLO, 2017 г.в. Залоговая стоимость предмета залога согласована Сторонами в размере 490 000 ₽.
ООО «МФК «ВЗАИМНО»</t>
  </si>
  <si>
    <t xml:space="preserve"> =ЕСЛИ(M1="Н";Шапка;ВАпродл)&amp;ЕСЛИ(выгода&gt;=1000;перСтр&amp;"*Вы экономите: "&amp;РУБЛЬ(выгода;0)&amp;"*";"")&amp;перСтр&amp;ИО&amp;Приветствие&amp;текстЧ1&amp;J1&amp;текстЧ2&amp;РУБЛЬ(оплата;0)&amp;" по Договору "&amp;Пени!B2&amp;действДО&amp;ЕСЛИ(ВАдоп1="";"";перСтр&amp;ВАдоп1&amp;ЕСЛИ(ДОдоп="";"";ДОдоп))&amp;ЕСЛИ(ВАдоп2="";"";перСтр&amp;ВАдоп2)&amp;" "&amp;ВПР(ЛЕВСИМВ(B1;10);[БД.xlsm]залог!$B:$C;2;0)&amp;" г.в. "&amp;ВАдоп3&amp; РУБЛЬ(ВПР(ЛЕВСИМВ(B1;10);[БД.xlsm]залог!$B:$E;4;0);0)&amp;"."&amp;перСтр&amp;"ООО «МФК «ВЗАИМНО»"</t>
  </si>
  <si>
    <t>СПИСЫВАЕМ ПРОЦЕНТЫ!</t>
  </si>
  <si>
    <t>Саркисян Ваган Вартанович</t>
  </si>
  <si>
    <t>В-28224/КЛ.Транш - 1</t>
  </si>
  <si>
    <t>Лапшин Владимир Николаевич</t>
  </si>
  <si>
    <t>В-13202/КЛ.Транш - 3</t>
  </si>
  <si>
    <t>Храмцова Дарья Юрьевна</t>
  </si>
  <si>
    <t>В-26093/КЛ.Транш - 1</t>
  </si>
  <si>
    <t>Жолобов Алексей Юрьевич</t>
  </si>
  <si>
    <t>В-27416/АЗ</t>
  </si>
  <si>
    <t>Ильин Руслан Михайлович</t>
  </si>
  <si>
    <t>В-28544/КЛ.Транш - 1</t>
  </si>
  <si>
    <t>Аминжонов Уктам Раимжонович</t>
  </si>
  <si>
    <t>В-14860/КЛ.Транш - 1</t>
  </si>
  <si>
    <t>Мустафин Ринад Исмаилович</t>
  </si>
  <si>
    <t>В-17199/КЛ.Транш - 1</t>
  </si>
  <si>
    <t>Исаков Иван Владимирович</t>
  </si>
  <si>
    <t>В-20787/КЛ.Транш - 1</t>
  </si>
  <si>
    <t>Ширманов Никита Александрович</t>
  </si>
  <si>
    <t>В-20952/КЛ.Транш - 3</t>
  </si>
  <si>
    <t>Гриб Юрий Валерьевич</t>
  </si>
  <si>
    <t>В-26474/КЛ.Транш - 1</t>
  </si>
  <si>
    <t>Келешян Мария Георгиевна</t>
  </si>
  <si>
    <t>В-18438/КЛ.Транш - 1</t>
  </si>
  <si>
    <t>Ковригина Ирина Евгеньевна</t>
  </si>
  <si>
    <t>В-17380/КЛ.Транш - 1</t>
  </si>
  <si>
    <t>Морозкина Наталья Сергеевна</t>
  </si>
  <si>
    <t>В-00239/КЛ.Транш - 1</t>
  </si>
  <si>
    <t>Богачук Сергей Прокопьевич</t>
  </si>
  <si>
    <t>В-17506/КЛ.Транш - 1</t>
  </si>
  <si>
    <t>Галимов Руслан Рашитович</t>
  </si>
  <si>
    <t>В-03359/КЛ.Транш - 5</t>
  </si>
  <si>
    <t>Хачатрян Лаврент Юрикович</t>
  </si>
  <si>
    <t>В-28872/КЛ.Транш - 1</t>
  </si>
  <si>
    <t>Геворгян Агаси Ашотович</t>
  </si>
  <si>
    <t>В-01169/АЗ</t>
  </si>
  <si>
    <t>Мелоян Вардан Айкович</t>
  </si>
  <si>
    <t>В-27878/АЗ</t>
  </si>
  <si>
    <t>Навоян Георг Анатолевич</t>
  </si>
  <si>
    <t>В-27848/АЗ</t>
  </si>
  <si>
    <t>Алексанян Роберт Робертович</t>
  </si>
  <si>
    <t>В-24336/КЛ.Транш - 1</t>
  </si>
  <si>
    <t>Малинина Оксана Александровна</t>
  </si>
  <si>
    <t>В-16432/КЛ.Транш - 1</t>
  </si>
  <si>
    <t>Пилюгин Олег Васильевич</t>
  </si>
  <si>
    <t>В-21175/КЛ.Транш - 1</t>
  </si>
  <si>
    <t>Буренкова Екатерина Сергеевна</t>
  </si>
  <si>
    <t>В-19179/КЛ.Транш - 2</t>
  </si>
  <si>
    <t>Царев Антон Борисович</t>
  </si>
  <si>
    <t>В-20032/КЛ.Транш - 1</t>
  </si>
  <si>
    <t>Жубоев Дамир Асланович</t>
  </si>
  <si>
    <t>В-16541/КЛ.Транш - 1</t>
  </si>
  <si>
    <t>Петров Денис Александрович</t>
  </si>
  <si>
    <t>Папикян Андраник Климентович</t>
  </si>
  <si>
    <t>В-29072/КЛ.Транш - 1</t>
  </si>
  <si>
    <t>Шустов Иван Сергеевич</t>
  </si>
  <si>
    <t>В-07729/КЛ.Транш - 1</t>
  </si>
  <si>
    <t>Каменев Константин Николаевич</t>
  </si>
  <si>
    <t>В-25687/АЗ</t>
  </si>
  <si>
    <t>Аракелян Михаил Герасимович</t>
  </si>
  <si>
    <t>В-21973/КЛ.Транш - 1</t>
  </si>
  <si>
    <t>Тагиев Рафаел Иса Оглы</t>
  </si>
  <si>
    <t>В-12007/КЛ.Транш - 2</t>
  </si>
  <si>
    <t>Саламатин Максим Витальевич</t>
  </si>
  <si>
    <t>В-05256/КЛ.Транш - 3</t>
  </si>
  <si>
    <t>Клюев Павел Валерьевич</t>
  </si>
  <si>
    <t>В-16768/КЛ.Транш - 1</t>
  </si>
  <si>
    <t>Амбарцумян Франц Григорьевич</t>
  </si>
  <si>
    <t>В-23634/КЛ.Транш - 7</t>
  </si>
  <si>
    <t>Карманов Виталий Петрович</t>
  </si>
  <si>
    <t>В-17597/КЛ.Транш - 2</t>
  </si>
  <si>
    <t>Трененков Александр Николаевич</t>
  </si>
  <si>
    <t>В-01207/АЗ</t>
  </si>
  <si>
    <t>Крюков Сергей Викторович</t>
  </si>
  <si>
    <t>В-00280/КЛ.Транш - 1</t>
  </si>
  <si>
    <t>Дрожжин Андрей Юрьевич</t>
  </si>
  <si>
    <t>В-19897/КЛ.Транш - 1</t>
  </si>
  <si>
    <t>Музыка Евгений Александрович</t>
  </si>
  <si>
    <t>Ярмусь Екатерина Юрьевна</t>
  </si>
  <si>
    <t>В-20172/КЛ.Транш - 1</t>
  </si>
  <si>
    <t>Храмков Евгений Александрович</t>
  </si>
  <si>
    <t>В-28281/КЛ.Транш - 1</t>
  </si>
  <si>
    <t>Палоян Самвел Максимович</t>
  </si>
  <si>
    <t>В-21632/КЛ.Транш - 1</t>
  </si>
  <si>
    <t>Тагаева Ольга Гиниядовна</t>
  </si>
  <si>
    <t>В-20210/КЛ.Транш - 1</t>
  </si>
  <si>
    <t>Абраамян Арут Ширазович</t>
  </si>
  <si>
    <t>В-00172/КЛ.Транш - 1</t>
  </si>
  <si>
    <t>Степанян Тигран Геворгович</t>
  </si>
  <si>
    <t>В-19252/КЛ.Транш - 1</t>
  </si>
  <si>
    <t>Абдуллин Азат Мазитович</t>
  </si>
  <si>
    <t>В-28383/КЛ.Транш - 1</t>
  </si>
  <si>
    <t>Кочнева Наталья Николаевна</t>
  </si>
  <si>
    <t>В-21666/КЛ.Транш - 1</t>
  </si>
  <si>
    <t>Ок Мехмет Салим</t>
  </si>
  <si>
    <t>В-27256/КЛ.Транш - 1</t>
  </si>
  <si>
    <t>Дорохин Артем Олегович</t>
  </si>
  <si>
    <t>В-24493/КЛ.Транш - 1</t>
  </si>
  <si>
    <t>Зуева Мария Михайловна</t>
  </si>
  <si>
    <t>В-22996/КЛ.Транш - 2</t>
  </si>
  <si>
    <t>Царьков Павел Игоревич</t>
  </si>
  <si>
    <t>В-18851/КЛ.Транш - 1</t>
  </si>
  <si>
    <t>Сорочкин Сергей Эдуардович</t>
  </si>
  <si>
    <t>В-01080/КЛ.Транш - 5</t>
  </si>
  <si>
    <t>Кожанов Александр Михайлович</t>
  </si>
  <si>
    <t>В-19104/КЛ.Транш - 1</t>
  </si>
  <si>
    <t>Навасардян Алёна Евгеньевна</t>
  </si>
  <si>
    <t>В-14818/КЛ.Транш - 1</t>
  </si>
  <si>
    <t>Королёв Сергей Николаевич</t>
  </si>
  <si>
    <t>В-18141/КЛ.Транш - 1</t>
  </si>
  <si>
    <t>Мемешев Шабан Юсуфович</t>
  </si>
  <si>
    <t>В-17910/КЛ.Транш - 1</t>
  </si>
  <si>
    <t>Вдовенко Николай Николаевич</t>
  </si>
  <si>
    <t>В-15881/КЛ.Транш - 1</t>
  </si>
  <si>
    <t>Самохин Николай Александрович</t>
  </si>
  <si>
    <t>В-25466/АЗ</t>
  </si>
  <si>
    <t>Насырова Шахлохон Раимжановна</t>
  </si>
  <si>
    <t>В-19286/КЛ.Транш - 1</t>
  </si>
  <si>
    <t>Аманниязова Гулистан Атаевна</t>
  </si>
  <si>
    <t>В-18890/КЛ.Транш - 1</t>
  </si>
  <si>
    <t>Курнакова Надежда Александровна</t>
  </si>
  <si>
    <t>В-23897/КЛ.Транш - 1</t>
  </si>
  <si>
    <t>Кондратюк Алексей Николаевич</t>
  </si>
  <si>
    <t>В-24308/КЛ.Транш - 2</t>
  </si>
  <si>
    <t>Элоян Артур Гамбарович</t>
  </si>
  <si>
    <t>В-18548/КЛ.Транш - 2</t>
  </si>
  <si>
    <t>Алыбаев Долеткельди Ягудович</t>
  </si>
  <si>
    <t>В-13336/КЛ.Транш - 2</t>
  </si>
  <si>
    <t>Скрипичников Егор Сергеевич</t>
  </si>
  <si>
    <t>В-09174/КЛ.Транш - 8</t>
  </si>
  <si>
    <t>Омаров Расул Казибекович</t>
  </si>
  <si>
    <t>В-12919/КЛ.Транш - 1</t>
  </si>
  <si>
    <t>Кудрин Роман Анатольевич</t>
  </si>
  <si>
    <t>В-25529/КЛ.Транш - 1</t>
  </si>
  <si>
    <t>Антипов Антон Михайлович</t>
  </si>
  <si>
    <t>В-28655/КЛ.Транш - 1</t>
  </si>
  <si>
    <t>Кутанов Егор Сергеевич</t>
  </si>
  <si>
    <t>В-15451/КЛ.Транш - 1</t>
  </si>
  <si>
    <t>Крайнева Марина Александровна</t>
  </si>
  <si>
    <t>В-28684/КЛ.Транш - 1</t>
  </si>
  <si>
    <t>Акиньшин Олег Алексеевич</t>
  </si>
  <si>
    <t>В-18334/КЛ.Транш - 1</t>
  </si>
  <si>
    <t>Комарова Марина Владимировна</t>
  </si>
  <si>
    <t>В-11630/КЛ.Транш - 1</t>
  </si>
  <si>
    <t>Демченко Андрей Сергеевич</t>
  </si>
  <si>
    <t>В-01051/АЗ</t>
  </si>
  <si>
    <t>Саблинский Владимир Иванович</t>
  </si>
  <si>
    <t>В-27438/АЗ</t>
  </si>
  <si>
    <t>Исаев Александр Васильевич</t>
  </si>
  <si>
    <t>В-20430/КЛ.Транш - 1</t>
  </si>
  <si>
    <t>Крыгин Илья Владимирович</t>
  </si>
  <si>
    <t>В-18715/КЛ.Транш - 2</t>
  </si>
  <si>
    <t>Багаев Феликс Давидович</t>
  </si>
  <si>
    <t>В-24121/КЛ.Транш - 1</t>
  </si>
  <si>
    <t>Алижанова Олмахон Базарбаевна</t>
  </si>
  <si>
    <t>В-12670/КЛ.Транш - 2</t>
  </si>
  <si>
    <t>Науменко Андрей Николаевич</t>
  </si>
  <si>
    <t>В-25370/АЗ</t>
  </si>
  <si>
    <t>Диакону Сергей Борисович</t>
  </si>
  <si>
    <t>В-25367/АЗ</t>
  </si>
  <si>
    <t>Пронина Кристина Яковлевна</t>
  </si>
  <si>
    <t>В-20140/КЛ.Транш - 5</t>
  </si>
  <si>
    <t>Молчанов Дмитрий Викторович</t>
  </si>
  <si>
    <t>В-19425/КЛ.Транш - 1</t>
  </si>
  <si>
    <t>Гуров Евгений Сергеевич</t>
  </si>
  <si>
    <t>В-18586/КЛ.Транш - 1</t>
  </si>
  <si>
    <t>Белгер Эрнест Владимирович</t>
  </si>
  <si>
    <t>Мощинская Елена Николаевна</t>
  </si>
  <si>
    <t>В-19227/КЛ.Транш - 1</t>
  </si>
  <si>
    <t>Харагезян Армен Вартересович</t>
  </si>
  <si>
    <t>В-19862/КЛ.Транш - 1</t>
  </si>
  <si>
    <t>Самедов Эльдар Абилевич</t>
  </si>
  <si>
    <t>В-18631/КЛ.Транш - 1</t>
  </si>
  <si>
    <t>Доценко Артём Анатольевич</t>
  </si>
  <si>
    <t>В-19715/КЛ.Транш - 1</t>
  </si>
  <si>
    <t>Варданян Ара Лаврентович</t>
  </si>
  <si>
    <t>В-27835/КЛ.Транш - 1</t>
  </si>
  <si>
    <t>Мустафьева Айтан Таджединовна</t>
  </si>
  <si>
    <t>В-24261/КЛ.Транш - 1</t>
  </si>
  <si>
    <t>Соколов Константин Иванович</t>
  </si>
  <si>
    <t>В-28906/КЛ.Транш - 1</t>
  </si>
  <si>
    <t>Савин Евгений Иванович</t>
  </si>
  <si>
    <t>В-19891/КЛ.Транш - 1</t>
  </si>
  <si>
    <t>Азиев Абдурахман Авхадович</t>
  </si>
  <si>
    <t>В-10841/КЛ.Транш - 1</t>
  </si>
  <si>
    <t>Пономарчук Андрей Борисович</t>
  </si>
  <si>
    <t>В-07595/КЛ.Транш - 1</t>
  </si>
  <si>
    <t>Андреев Евгений Петрович</t>
  </si>
  <si>
    <t>В-02100/КЛ.Транш - 5</t>
  </si>
  <si>
    <t>Ларчик Денис Владимирович</t>
  </si>
  <si>
    <t>В-12033/КЛ.Транш - 1</t>
  </si>
  <si>
    <t>В-30001/КЭ.Транш - 1</t>
  </si>
  <si>
    <t>Надеев Алексей Александрович</t>
  </si>
  <si>
    <t>В-21321/КЛ.Транш - 1</t>
  </si>
  <si>
    <t>Фомичев Денис Александрович</t>
  </si>
  <si>
    <t>В-20064/КЛ.Транш - 1</t>
  </si>
  <si>
    <t>Локшина Ольга Владимировна</t>
  </si>
  <si>
    <t>В-23919/КЛ.Транш - 1</t>
  </si>
  <si>
    <t>Гуркин Владимир Рудольфович</t>
  </si>
  <si>
    <t>В-20118/КЛ.Транш - 1</t>
  </si>
  <si>
    <t>Водолазкин Александр Юрьевич</t>
  </si>
  <si>
    <t>В-23383/КЛ.Транш - 1</t>
  </si>
  <si>
    <t>Кравченко Владимир Николаевич</t>
  </si>
  <si>
    <t>В-21960/КЛ.Транш - 2</t>
  </si>
  <si>
    <t>Дробный Александр Олегович</t>
  </si>
  <si>
    <t>В-20084/КЛ.Транш - 1</t>
  </si>
  <si>
    <t>Колесников Михаил Вячеславович</t>
  </si>
  <si>
    <t>В-28090/АЗ</t>
  </si>
  <si>
    <t>Юшков Юрий Валерьевич</t>
  </si>
  <si>
    <t>В-15400/КЛ.Транш - 2</t>
  </si>
  <si>
    <t>Белан Надежда Александровна</t>
  </si>
  <si>
    <t>Подчуфарова Лариса Николаевна</t>
  </si>
  <si>
    <t>В-22449/КЛ.Транш - 1</t>
  </si>
  <si>
    <t>Сутько Максим Николаевич</t>
  </si>
  <si>
    <t>В-01013/КЛ.Транш - 1</t>
  </si>
  <si>
    <t>Дыгова Раиса Мусарбиевна</t>
  </si>
  <si>
    <t>В-10648/КЛ.Транш - 2</t>
  </si>
  <si>
    <t>Набойченко Юлия Александровна</t>
  </si>
  <si>
    <t>В-25865/КЛ.Транш - 1</t>
  </si>
  <si>
    <t>Баранов Аркадий Александрович</t>
  </si>
  <si>
    <t>В-19093/КЛ.Транш - 1</t>
  </si>
  <si>
    <t>Мылов Сергей Геннадьевич</t>
  </si>
  <si>
    <t>В-05402/КЛ.Транш - 4</t>
  </si>
  <si>
    <t>Хадиев Фанис Рафисович</t>
  </si>
  <si>
    <t>В-14816/КЛ.Транш - 2</t>
  </si>
  <si>
    <t>Члоян Геворк Мамбреович</t>
  </si>
  <si>
    <t>В-01039/АЗ</t>
  </si>
  <si>
    <t>Карагезян Шушаник Вачагановна</t>
  </si>
  <si>
    <t>В-28159/КЛ.Транш - 1</t>
  </si>
  <si>
    <t>Садигов Нарман Адждар Оглы</t>
  </si>
  <si>
    <t>В-11050/КЛ.Транш - 1</t>
  </si>
  <si>
    <t>Алексеев Михаил Александрович</t>
  </si>
  <si>
    <t>В-05105/КЛ.Транш - 1</t>
  </si>
  <si>
    <t>Хайдаров Бехруз Сайдуллоевич</t>
  </si>
  <si>
    <t>В-27037/АЗ</t>
  </si>
  <si>
    <t>Яковлев Борис Викторович</t>
  </si>
  <si>
    <t>В-25824/КЛ.Транш - 1</t>
  </si>
  <si>
    <t>Алхименков Даниил Андреевич</t>
  </si>
  <si>
    <t>В-07963/КЛ.Транш - 1</t>
  </si>
  <si>
    <t>Ореховский Евгений Валериевич</t>
  </si>
  <si>
    <t>В-23643/АЗ</t>
  </si>
  <si>
    <t>Кузнецов Иван Михайлович</t>
  </si>
  <si>
    <t>В-16516/КЛ.Транш - 5</t>
  </si>
  <si>
    <t>Мазурин Николай Анатольевич</t>
  </si>
  <si>
    <t>В-07072/КЛ.Транш - 1</t>
  </si>
  <si>
    <t>Лазарева Ирина Михайловна</t>
  </si>
  <si>
    <t>В-04536/КЛ.Транш - 4</t>
  </si>
  <si>
    <t>Павлюк Татьяна Николаевна</t>
  </si>
  <si>
    <t>В-17747/КЛ.Транш - 2</t>
  </si>
  <si>
    <t>Байрамов Сабир Вагифович</t>
  </si>
  <si>
    <t>В-21137/КЛ.Транш - 1</t>
  </si>
  <si>
    <t>Рыбаков Виктор Васильевич</t>
  </si>
  <si>
    <t>В-01425/КЛ.Транш - 1</t>
  </si>
  <si>
    <t>Подтуркин Алексей Сергеевич</t>
  </si>
  <si>
    <t>В-28274/КЛ.Транш - 1</t>
  </si>
  <si>
    <t>Попов Виктор Вячеславович</t>
  </si>
  <si>
    <t>В-21306/КЛ.Транш - 1</t>
  </si>
  <si>
    <t>Макаров Станислав Васильевич</t>
  </si>
  <si>
    <t>В-01196/АЗ</t>
  </si>
  <si>
    <t>Савельев Александр Владимирович</t>
  </si>
  <si>
    <t>В-17853/КЛ.Транш - 6</t>
  </si>
  <si>
    <t>Оганесян Ваге Наириович</t>
  </si>
  <si>
    <t>В-26005/АЗ</t>
  </si>
  <si>
    <t>Шиховцов Игорь Николаевич</t>
  </si>
  <si>
    <t>В-23410/КЛ.Транш - 1</t>
  </si>
  <si>
    <t>Кузьмичев Иван Сергеевич</t>
  </si>
  <si>
    <t>В-20731/КЛ.Транш - 2</t>
  </si>
  <si>
    <t>Мандров Вячеслав Александрович</t>
  </si>
  <si>
    <t>В-24841/КЛ.Транш - 1</t>
  </si>
  <si>
    <t>Сапунов Дмитрий Владимирович</t>
  </si>
  <si>
    <t>В-01188/АЗ</t>
  </si>
  <si>
    <t>Догарева Мария Станиславовна</t>
  </si>
  <si>
    <t>В-03259/КЛ.Транш - 1</t>
  </si>
  <si>
    <t>Мырзалиев Абдырасул Израилович</t>
  </si>
  <si>
    <t>В-13640/КЛ.Транш - 1</t>
  </si>
  <si>
    <t>Мурадян Грачья Юрикович</t>
  </si>
  <si>
    <t>В-26102/АЗ</t>
  </si>
  <si>
    <t>Егиазарян Геворг Рубикович</t>
  </si>
  <si>
    <t>В-28358/КЛ.Транш - 1</t>
  </si>
  <si>
    <t>Алавердян Аракся Хачиковна</t>
  </si>
  <si>
    <t>В-26128/АЗ</t>
  </si>
  <si>
    <t>Матренин Сергей Викторович</t>
  </si>
  <si>
    <t>В-24883/КЛ.Транш - 1</t>
  </si>
  <si>
    <t>Кобахидзе Тэмури Юрьевич</t>
  </si>
  <si>
    <t>В-15778/КЛ.Транш - 1</t>
  </si>
  <si>
    <t>Аракелян Арут Арменович</t>
  </si>
  <si>
    <t>В-06419/КЛ.Транш - 1</t>
  </si>
  <si>
    <t>Мурадян Эдгар Рафаелович</t>
  </si>
  <si>
    <t>В-08077/КЛ.Транш - 1</t>
  </si>
  <si>
    <t>Павлов Вячеслав Игоревич</t>
  </si>
  <si>
    <t>В-12574/КЛ.Транш - 1</t>
  </si>
  <si>
    <t>Кашуба Артем Сергеевич</t>
  </si>
  <si>
    <t>В-06453/КЛ.Транш - 3</t>
  </si>
  <si>
    <t>Сидоров Александр Владимирович</t>
  </si>
  <si>
    <t>В-19355/КЛ.Транш - 1</t>
  </si>
  <si>
    <t>Худомясова Александра Антуановна</t>
  </si>
  <si>
    <t>В-16991/КЛ.Транш - 1</t>
  </si>
  <si>
    <t>Ципис Вадим Яковлевич</t>
  </si>
  <si>
    <t>В-14216/КЛ.Транш - 2</t>
  </si>
  <si>
    <t>Карташова Евгения Анатольевна</t>
  </si>
  <si>
    <t>В-11472/КЛ.Транш - 3</t>
  </si>
  <si>
    <t>Степанов Алексей Владимирович</t>
  </si>
  <si>
    <t>В-00498/КЛ.Транш - 2</t>
  </si>
  <si>
    <t>В-30007/КЭ.Транш - 1</t>
  </si>
  <si>
    <t>Семенов Сергей Юрьевич</t>
  </si>
  <si>
    <t>В-20623/КЛ.Транш - 1</t>
  </si>
  <si>
    <t>Пархоменко Вячеслав Юрьевич</t>
  </si>
  <si>
    <t>В-01180/АЗ</t>
  </si>
  <si>
    <t>Левченков Георгий Михайлович</t>
  </si>
  <si>
    <t>В-28436/АЗ</t>
  </si>
  <si>
    <t>Годуйко Николай Николаевич</t>
  </si>
  <si>
    <t>В-27315/КЛ.Транш - 1</t>
  </si>
  <si>
    <t>Серопян Айк Мгерович</t>
  </si>
  <si>
    <t>В-10466/КЛ.Транш - 1</t>
  </si>
  <si>
    <t>Рикшпун Татьяна Александровна</t>
  </si>
  <si>
    <t>В-03329/КЛ.Транш - 11</t>
  </si>
  <si>
    <t>Жумабаев Умар Сонунбекович</t>
  </si>
  <si>
    <t>В-19597/КЛ.Транш - 5</t>
  </si>
  <si>
    <t>Степанов Игорь Александрович</t>
  </si>
  <si>
    <t>В-12716/КЛ.Транш - 1</t>
  </si>
  <si>
    <t>Есиков Алексей Вячеславович</t>
  </si>
  <si>
    <t>В-09470/КЛ.Транш - 2</t>
  </si>
  <si>
    <t>Поплавков Александр Петрович</t>
  </si>
  <si>
    <t>В-26604/КЛ.Транш - 1</t>
  </si>
  <si>
    <t>Аристанов Булат Рахметунлаевич</t>
  </si>
  <si>
    <t>В-21781/КЛ.Транш - 1</t>
  </si>
  <si>
    <t>Зиновьева Елена Николаевна</t>
  </si>
  <si>
    <t>В-15831/КЛ.Транш - 1</t>
  </si>
  <si>
    <t>Буниатян Арман Арменакович</t>
  </si>
  <si>
    <t>В-20193/КЛ.Транш - 1</t>
  </si>
  <si>
    <t>Аннишинец Вячеслав Иванович</t>
  </si>
  <si>
    <t>В-28497/КЛ.Транш - 1</t>
  </si>
  <si>
    <t>Расулов Ахмедхан Саидбекович</t>
  </si>
  <si>
    <t>В-14168/КЛ.Транш - 3</t>
  </si>
  <si>
    <t>Рузавина Наталья Викторовна</t>
  </si>
  <si>
    <t>В-21245/КЛ.Транш - 2</t>
  </si>
  <si>
    <t>Юров Михаил Витальевич</t>
  </si>
  <si>
    <t>Т-01906/АЗ_Т-20211028/Ц</t>
  </si>
  <si>
    <t>Чикатуева Джульета Аслановна</t>
  </si>
  <si>
    <t>В-25884/КЛ.Транш - 1</t>
  </si>
  <si>
    <t>Алексеева Светлана Николаевна</t>
  </si>
  <si>
    <t>В-02623/КЛ.Транш - 7</t>
  </si>
  <si>
    <t>Гупало Илья Александрович</t>
  </si>
  <si>
    <t>В-01217/АЗ</t>
  </si>
  <si>
    <t>Попова Мария Спиридоновна</t>
  </si>
  <si>
    <t>В-27435/КЛ.Транш - 1</t>
  </si>
  <si>
    <t>Ляхович Александр Александрович</t>
  </si>
  <si>
    <t>В-14837/КЛ.Транш - 1</t>
  </si>
  <si>
    <t>Егупов Дмитрий Сергеевич</t>
  </si>
  <si>
    <t>В-28549/АЗ</t>
  </si>
  <si>
    <t>Бандалак Олег Иванович</t>
  </si>
  <si>
    <t>В-15261/КЛ.Транш - 2</t>
  </si>
  <si>
    <t>Матвеева Дарья Вячеславовна</t>
  </si>
  <si>
    <t>В-13828/КЛ.Транш - 1</t>
  </si>
  <si>
    <t>Диденко Роман Владимирович</t>
  </si>
  <si>
    <t>В-12256/КЛ.Транш - 1</t>
  </si>
  <si>
    <t>Слепцова Маргарита Олеговна</t>
  </si>
  <si>
    <t>В-01017/АЗ</t>
  </si>
  <si>
    <t>Золотарева Марина Владимировна 2</t>
  </si>
  <si>
    <t>В-20713/КЛ.Транш - 1</t>
  </si>
  <si>
    <t>Прохоров Александр Владимирович</t>
  </si>
  <si>
    <t>В-11009/КЛ.Транш - 1</t>
  </si>
  <si>
    <t>Бабокин Евгений Александрович</t>
  </si>
  <si>
    <t>В-00004/КЛ.Транш - 1</t>
  </si>
  <si>
    <t>Лапкин Руслан Евгеньевич</t>
  </si>
  <si>
    <t>В-23930/АЗ</t>
  </si>
  <si>
    <t>Соколов Сергей Юрьевич</t>
  </si>
  <si>
    <t>В-23940/АЗ</t>
  </si>
  <si>
    <t>Худин Виктор Васильевич</t>
  </si>
  <si>
    <t>В-11181/КЛ.Транш - 2</t>
  </si>
  <si>
    <t>Ли Юлия Олеговна</t>
  </si>
  <si>
    <t>В-17171/КЛ.Транш - 2</t>
  </si>
  <si>
    <t>Лякишев Павел Александрович</t>
  </si>
  <si>
    <t>В-16242/КЛ.Транш - 2</t>
  </si>
  <si>
    <t>В-00032/КЭ.Транш - 14</t>
  </si>
  <si>
    <t>Овсепян Жирайр Араевич</t>
  </si>
  <si>
    <t>В-20786/КЛ.Транш - 1</t>
  </si>
  <si>
    <t>Погосян Давид Грачьяевич</t>
  </si>
  <si>
    <t>В-21708/КЛ.Транш - 5</t>
  </si>
  <si>
    <t>Елистратов Сергей Викторович</t>
  </si>
  <si>
    <t>В-11447/КЛ.Транш - 1</t>
  </si>
  <si>
    <t>Сурин Георгий Николаевич</t>
  </si>
  <si>
    <t>Т-01880/АЗ_Т-20211028/Ц</t>
  </si>
  <si>
    <t>Полякова Дарья Евгеньевна</t>
  </si>
  <si>
    <t>В-12897/КЛ.Транш - 1</t>
  </si>
  <si>
    <t>Зозулич Мария Федоровна</t>
  </si>
  <si>
    <t>В-15735/КЛ.Транш - 2</t>
  </si>
  <si>
    <t>Артемов Александр Викторович</t>
  </si>
  <si>
    <t>Силкин Максим Алексеевич</t>
  </si>
  <si>
    <t>Щетников Станислав Александрович</t>
  </si>
  <si>
    <t>В-24892/АЗ</t>
  </si>
  <si>
    <t>Cайт временно не работает, ссылку для оплаты картой и информацию о других способах оплаты вы можете получить по тел.: 8-800-555-83-46. МФК «Взаимно».</t>
  </si>
  <si>
    <t xml:space="preserve"> =ЕСЛИОШИБКА(ЕСЛИ(ВПР(ЛЕВСИМВ(B2;10);'\\192.168.81.12\share\Отдел сопровождения кредитования\Работа с просрочкой\КСМ\подвал\[КО.xlsx]Лист1'!$A:$A;1;0)&lt;&gt;"";"КО");"ОСК")</t>
  </si>
  <si>
    <t>ИП Петров Юрий Викторович</t>
  </si>
  <si>
    <t xml:space="preserve"> =M1&amp;ЕСЛИ(M1&lt;&gt;"";";";"")&amp;A2</t>
  </si>
  <si>
    <t xml:space="preserve"> =F2&amp;ЕСЛИ(F2&lt;&gt;"";";";"")&amp;A3</t>
  </si>
  <si>
    <t>Мироненко Вадим Викторович</t>
  </si>
  <si>
    <t>В-01061/АЗ</t>
  </si>
  <si>
    <t>Бакиров Теймур Бахрам оглы</t>
  </si>
  <si>
    <t>В-26197/КЛ.Транш - 2</t>
  </si>
  <si>
    <t>грядет</t>
  </si>
  <si>
    <t>Белоусов Валерий Владиславович</t>
  </si>
  <si>
    <t>В-25922/КЛ.Транш - 1</t>
  </si>
  <si>
    <t>Билалов Имам Исламович</t>
  </si>
  <si>
    <t>В-01024/АЗ</t>
  </si>
  <si>
    <t>Виноградов Алексей Валерьевич</t>
  </si>
  <si>
    <t>В-23362/КЛ.Транш - 2</t>
  </si>
  <si>
    <t>Зотов Дмитрий Анатольевич</t>
  </si>
  <si>
    <t>В-23555/КЛ.Транш - 1</t>
  </si>
  <si>
    <t>ИП Аракелян Мелине Микаеловна</t>
  </si>
  <si>
    <t>В-00054/КЭ.Транш - 1</t>
  </si>
  <si>
    <t>Коркина Елена Александровна</t>
  </si>
  <si>
    <t>В-19991/КЛ.Транш - 3</t>
  </si>
  <si>
    <t>Мокрицкий Константин Александрович</t>
  </si>
  <si>
    <t>В-22052/КЛ.Транш - 1</t>
  </si>
  <si>
    <t>просрочен</t>
  </si>
  <si>
    <t>Осмаев Ибрагим Исламович</t>
  </si>
  <si>
    <t>В-01023/АЗ</t>
  </si>
  <si>
    <t>Осмаева Зулихан Авхадовна</t>
  </si>
  <si>
    <t>В-01022/АЗ</t>
  </si>
  <si>
    <t>Сбоев Виктор Юрьевич</t>
  </si>
  <si>
    <t>В-22246/КЛ.Транш - 3</t>
  </si>
  <si>
    <t>Юсупов Альберт Гиннатуллаевич</t>
  </si>
  <si>
    <t>В-28235/АЗ</t>
  </si>
  <si>
    <t>КО</t>
  </si>
  <si>
    <t>Авагян Тигран Агванович</t>
  </si>
  <si>
    <t>В-02064/КЛ.Транш - 2</t>
  </si>
  <si>
    <t>Ахмедов Магомедрасул Камаладинович</t>
  </si>
  <si>
    <t>В-26422/КЛ.Транш - 1</t>
  </si>
  <si>
    <t>Баранова Светлана Александровна</t>
  </si>
  <si>
    <t>В-09086/КЛ.Транш - 1</t>
  </si>
  <si>
    <t>Дудин Василий Васильевич</t>
  </si>
  <si>
    <t>В-16067/КЛ.Транш - 1</t>
  </si>
  <si>
    <t>В-10025/КЭ.Транш - 1_В-20211230/Ц</t>
  </si>
  <si>
    <t>Куразян Гарий Рафаэлович</t>
  </si>
  <si>
    <t>В-20384/КЛ.Транш - 1</t>
  </si>
  <si>
    <t>Мисюк Георгий Анатольевич</t>
  </si>
  <si>
    <t>В-22309/АЗ</t>
  </si>
  <si>
    <t>Пивченкова Наталья Александровна</t>
  </si>
  <si>
    <t>В-25950/КЛ.Транш - 1_В-20211230/Ц</t>
  </si>
  <si>
    <t>Соколова Екатерина Николаевна</t>
  </si>
  <si>
    <t>В-25764/КЛ.Транш - 1</t>
  </si>
  <si>
    <t>Чеботкова Полина Михайловна</t>
  </si>
  <si>
    <t>В-10039/КЛ.Транш - 2_В-20211230/Ц</t>
  </si>
  <si>
    <t>Абдурашитов Озодбек Мавланжанович</t>
  </si>
  <si>
    <t>В-25132/КЛ.Транш - 2</t>
  </si>
  <si>
    <t>Амбросиенко Павел Сергеевич</t>
  </si>
  <si>
    <t>В-24374/КЛ.Транш - 1</t>
  </si>
  <si>
    <t>Афонин Сергей Юрьевич</t>
  </si>
  <si>
    <t>В-10204/КЛ.Транш - 1</t>
  </si>
  <si>
    <t>Горбачев Денис Леонидович</t>
  </si>
  <si>
    <t>В-25981/АЗ</t>
  </si>
  <si>
    <t>Губская Светлана Анатольевна</t>
  </si>
  <si>
    <t>В-11396/КЛ.Транш - 2</t>
  </si>
  <si>
    <t>Назаров Всеволод Владимирович</t>
  </si>
  <si>
    <t>В-19740/КЛ.Транш - 7</t>
  </si>
  <si>
    <t>Паронян Егор Каренович</t>
  </si>
  <si>
    <t>В-24687/КЛ.Транш - 1</t>
  </si>
  <si>
    <t>Шаулов Шаул Рамбомович</t>
  </si>
  <si>
    <t>В-06345/КЛ.Транш - 1</t>
  </si>
  <si>
    <t>Шелин Екатерина Вячеславовна</t>
  </si>
  <si>
    <t>Т-01872/АЗ_Т-20211028/Ц</t>
  </si>
  <si>
    <t>ФИО</t>
  </si>
  <si>
    <t>ДОГОВОР</t>
  </si>
  <si>
    <t>ДАТА</t>
  </si>
  <si>
    <t>СУММА</t>
  </si>
  <si>
    <t>ОД</t>
  </si>
  <si>
    <t>СТАТУС</t>
  </si>
  <si>
    <t>на официальном сайте www.mfovzaimno.ru ведутся технические работы, замещающий сайт  https://mfo-vzaimno.ru, доступ в личный кабинет https://mfo-vzaimno.ru/login.</t>
  </si>
  <si>
    <t>ТЕХНИЧЕСКИЕ РАБОТЫ НА САЙТЕ</t>
  </si>
  <si>
    <t>Алексей Валерьевич, на официальном сайте www.mfovzaimno.ru ведутся технические работы, замещающий сайт  https://mfo-vzaimno.ru, доступ в личный кабинет https://mfo-vzaimno.ru/login.</t>
  </si>
  <si>
    <t>Дмитрий Анатольевич, на официальном сайте www.mfovzaimno.ru ведутся технические работы, замещающий сайт  https://mfo-vzaimno.ru, доступ в личный кабинет https://mfo-vzaimno.ru/login.</t>
  </si>
  <si>
    <t>Аракелян Мелине Микаеловна, на официальном сайте www.mfovzaimno.ru ведутся технические работы, замещающий сайт  https://mfo-vzaimno.ru, доступ в личный кабинет https://mfo-vzaimno.ru/login.</t>
  </si>
  <si>
    <t>Аветик Сергеевич, на официальном сайте www.mfovzaimno.ru ведутся технические работы, замещающий сайт  https://mfo-vzaimno.ru, доступ в личный кабинет https://mfo-vzaimno.ru/login.</t>
  </si>
  <si>
    <t>Елена Александровна, на официальном сайте www.mfovzaimno.ru ведутся технические работы, замещающий сайт  https://mfo-vzaimno.ru, доступ в личный кабинет https://mfo-vzaimno.ru/login.</t>
  </si>
  <si>
    <t>Ибрагим Исламович, на официальном сайте www.mfovzaimno.ru ведутся технические работы, замещающий сайт  https://mfo-vzaimno.ru, доступ в личный кабинет https://mfo-vzaimno.ru/login.</t>
  </si>
  <si>
    <t>Зулихан Авхадовна, на официальном сайте www.mfovzaimno.ru ведутся технические работы, замещающий сайт  https://mfo-vzaimno.ru, доступ в личный кабинет https://mfo-vzaimno.ru/login.</t>
  </si>
  <si>
    <t>Виктор Юрьевич, на официальном сайте www.mfovzaimno.ru ведутся технические работы, замещающий сайт  https://mfo-vzaimno.ru, доступ в личный кабинет https://mfo-vzaimno.ru/login.</t>
  </si>
  <si>
    <t>Альберт Гиннатуллаевич, на официальном сайте www.mfovzaimno.ru ведутся технические работы, замещающий сайт  https://mfo-vzaimno.ru, доступ в личный кабинет https://mfo-vzaimno.ru/login.</t>
  </si>
  <si>
    <t>Тигран Агванович, на официальном сайте www.mfovzaimno.ru ведутся технические работы, замещающий сайт  https://mfo-vzaimno.ru, доступ в личный кабинет https://mfo-vzaimno.ru/login.</t>
  </si>
  <si>
    <t>Светлана Александровна, на официальном сайте www.mfovzaimno.ru ведутся технические работы, замещающий сайт  https://mfo-vzaimno.ru, доступ в личный кабинет https://mfo-vzaimno.ru/login.</t>
  </si>
  <si>
    <t>Василий Васильевич, на официальном сайте www.mfovzaimno.ru ведутся технические работы, замещающий сайт  https://mfo-vzaimno.ru, доступ в личный кабинет https://mfo-vzaimno.ru/login.</t>
  </si>
  <si>
    <t>Гарий Рафаэлович, на официальном сайте www.mfovzaimno.ru ведутся технические работы, замещающий сайт  https://mfo-vzaimno.ru, доступ в личный кабинет https://mfo-vzaimno.ru/login.</t>
  </si>
  <si>
    <t>Георгий Анатольевич, на официальном сайте www.mfovzaimno.ru ведутся технические работы, замещающий сайт  https://mfo-vzaimno.ru, доступ в личный кабинет https://mfo-vzaimno.ru/login.</t>
  </si>
  <si>
    <t>Екатерина Николаевна, на официальном сайте www.mfovzaimno.ru ведутся технические работы, замещающий сайт  https://mfo-vzaimno.ru, доступ в личный кабинет https://mfo-vzaimno.ru/login.</t>
  </si>
  <si>
    <t>Озодбек Мавланжанович, на официальном сайте www.mfovzaimno.ru ведутся технические работы, замещающий сайт  https://mfo-vzaimno.ru, доступ в личный кабинет https://mfo-vzaimno.ru/login.</t>
  </si>
  <si>
    <t>Павел Сергеевич, на официальном сайте www.mfovzaimno.ru ведутся технические работы, замещающий сайт  https://mfo-vzaimno.ru, доступ в личный кабинет https://mfo-vzaimno.ru/login.</t>
  </si>
  <si>
    <t>Сергей Юрьевич, на официальном сайте www.mfovzaimno.ru ведутся технические работы, замещающий сайт  https://mfo-vzaimno.ru, доступ в личный кабинет https://mfo-vzaimno.ru/login.</t>
  </si>
  <si>
    <t>Денис Леонидович, на официальном сайте www.mfovzaimno.ru ведутся технические работы, замещающий сайт  https://mfo-vzaimno.ru, доступ в личный кабинет https://mfo-vzaimno.ru/login.</t>
  </si>
  <si>
    <t>Светлана Анатольевна, на официальном сайте www.mfovzaimno.ru ведутся технические работы, замещающий сайт  https://mfo-vzaimno.ru, доступ в личный кабинет https://mfo-vzaimno.ru/login.</t>
  </si>
  <si>
    <t>Всеволод Владимирович, на официальном сайте www.mfovzaimno.ru ведутся технические работы, замещающий сайт  https://mfo-vzaimno.ru, доступ в личный кабинет https://mfo-vzaimno.ru/login.</t>
  </si>
  <si>
    <t>Егор Каренович, на официальном сайте www.mfovzaimno.ru ведутся технические работы, замещающий сайт  https://mfo-vzaimno.ru, доступ в личный кабинет https://mfo-vzaimno.ru/login.</t>
  </si>
  <si>
    <t>Виктор Вячеславович, на официальном сайте www.mfovzaimno.ru ведутся технические работы, замещающий сайт  https://mfo-vzaimno.ru, доступ в личный кабинет https://mfo-vzaimno.ru/login.</t>
  </si>
  <si>
    <t>Дмитрий Владимирович, на официальном сайте www.mfovzaimno.ru ведутся технические работы, замещающий сайт  https://mfo-vzaimno.ru, доступ в личный кабинет https://mfo-vzaimno.ru/login.</t>
  </si>
  <si>
    <t>Шаул Рамбомович, на официальном сайте www.mfovzaimno.ru ведутся технические работы, замещающий сайт  https://mfo-vzaimno.ru, доступ в личный кабинет https://mfo-vzaimno.ru/login.</t>
  </si>
  <si>
    <t>Екатерина Вячеславовна, на официальном сайте www.mfovzaimno.ru ведутся технические работы, замещающий сайт  https://mfo-vzaimno.ru, доступ в личный кабинет https://mfo-vzaimno.ru/login.</t>
  </si>
  <si>
    <t>Теймур Бахрам оглы, на официальном сайте www.mfovzaimno.ru ведутся технические работы, замещающий сайт  https://mfo-vzaimno.ru, доступ в личный кабинет https://mfo-vzaimno.ru/login.</t>
  </si>
  <si>
    <t>Валерий Владиславович, на официальном сайте www.mfovzaimno.ru ведутся технические работы, замещающий сайт  https://mfo-vzaimno.ru, доступ в личный кабинет https://mfo-vzaimno.ru/login.</t>
  </si>
  <si>
    <t>Имам Исламович, на официальном сайте www.mfovzaimno.ru ведутся технические работы, замещающий сайт  https://mfo-vzaimno.ru, доступ в личный кабинет https://mfo-vzaimno.ru/login.</t>
  </si>
  <si>
    <t>неУЧ.</t>
  </si>
  <si>
    <t>s.kvasko@mfovzaimno.ru</t>
  </si>
  <si>
    <t>&lt;b&gt;Пусть осень будет теплой!&lt;/b&gt;, на официальном сайте www.mfovzaimno.ru ведутся технические работы, замещающий сайт  https://mfo-vzaimno.ru, доступ в личный кабинет https://mfo-vzaimno.ru/login.</t>
  </si>
  <si>
    <t>svetach777@gmail.com</t>
  </si>
  <si>
    <t>Наумик Екатерина Андреевна</t>
  </si>
  <si>
    <t>В-14074/КЛ.Транш - 1_В-21082023/Ц</t>
  </si>
  <si>
    <t>Харитонова Ирина Александровна</t>
  </si>
  <si>
    <t>В-13235/КЛ.Транш - 1_В-21082023/Ц</t>
  </si>
  <si>
    <t>Ерофеева Марина Игоревна</t>
  </si>
  <si>
    <t>В-26743/КЛ.Транш - 1_В-21082023/Ц</t>
  </si>
  <si>
    <t>Мамлина Наталия Андреевна</t>
  </si>
  <si>
    <t>В-11605/КЛ.Транш - 1_В-21082023/Ц</t>
  </si>
  <si>
    <t>Сапожников Станислав Михайлович</t>
  </si>
  <si>
    <t>В-26827/КЛ.Транш - 1_В-21082023/Ц</t>
  </si>
  <si>
    <t>Ворошилин Владимир Игоревич</t>
  </si>
  <si>
    <t>В-18600/КЛ.Транш - 1_В-21082023/Ц</t>
  </si>
  <si>
    <t>Колпаков Антон Валерьевич</t>
  </si>
  <si>
    <t>В-19880/КЛ.Транш - 1_В-21082023/Ц</t>
  </si>
  <si>
    <t>Павлов Алексей Георгиевич</t>
  </si>
  <si>
    <t>В-12523/КЛ.Транш - 2_В-21082023/Ц</t>
  </si>
  <si>
    <t>Горбачев Иван Эдуардович</t>
  </si>
  <si>
    <t>В-23229/АЗ_В-21082023/Ц</t>
  </si>
  <si>
    <t>Малхасян Арарат Балабекович</t>
  </si>
  <si>
    <t>В-15138/КЛ.Транш - 1_В-21082023/Ц</t>
  </si>
  <si>
    <t>В-28906/КЛ.Транш - 1_В-21082023/Ц</t>
  </si>
  <si>
    <t>Тарасов Олег Васильевич</t>
  </si>
  <si>
    <t>В-22205/КЛ.Транш - 1_В-21082023/Ц</t>
  </si>
  <si>
    <t>Хоминец Владимир Владимирович</t>
  </si>
  <si>
    <t>В-10474/КЛ.Транш - 5_В-21082023/Ц</t>
  </si>
  <si>
    <t>Аксенчук Александр Вячеславович</t>
  </si>
  <si>
    <t>В-19354/КЛ.Транш - 1_В-21082023/Ц</t>
  </si>
  <si>
    <t>Змиевский Владимир Владимирович</t>
  </si>
  <si>
    <t>В-00953/АЗ_В-21082023/Ц</t>
  </si>
  <si>
    <t>Смолин Виктор Иванович</t>
  </si>
  <si>
    <t>В-27788/КЛ.Транш - 1_В-21082023/Ц</t>
  </si>
  <si>
    <t>В-14216/КЛ.Транш - 1_В-21082023/Ц</t>
  </si>
  <si>
    <t>Ахметова Елена Леонидовна</t>
  </si>
  <si>
    <t>В-21253/КЛ.Транш - 1_В-21082023/Ц</t>
  </si>
  <si>
    <t>В-19991/КЛ.Транш - 1_В-21082023/Ц</t>
  </si>
  <si>
    <t>Наумов Олег Владимирович</t>
  </si>
  <si>
    <t>В-12790/КЛ.Транш - 1_В-21082023/Ц</t>
  </si>
  <si>
    <t>В-14168/КЛ.Транш - 4_В-21082023/Ц</t>
  </si>
  <si>
    <t>Шаламова Татьяна Андреевна</t>
  </si>
  <si>
    <t>В-27929/КЛ.Транш - 1_В-21082023/Ц</t>
  </si>
  <si>
    <t>Блинов Сергей Владимирович</t>
  </si>
  <si>
    <t>В-25548/КЛ.Транш - 1_В-21082023/Ц</t>
  </si>
  <si>
    <t>Кондрашов Василий Игоревич</t>
  </si>
  <si>
    <t>В-16455/КЛ.Транш - 1_В-21082023/Ц</t>
  </si>
  <si>
    <t>В-19286/КЛ.Транш - 1_В-21082023/Ц</t>
  </si>
  <si>
    <t>Терехов Андрей Анатольевич</t>
  </si>
  <si>
    <t>В-20035/КЛ.Транш - 1_В-21082023/Ц</t>
  </si>
  <si>
    <t>Янишевская Анна Сергеевна</t>
  </si>
  <si>
    <t>В-14291/КЛ.Транш - 7_В-21082023/Ц</t>
  </si>
  <si>
    <t>В-02064/КЛ.Транш - 4_В-21082023/Ц</t>
  </si>
  <si>
    <t>В-25922/КЛ.Транш - 2_В-21082023/Ц</t>
  </si>
  <si>
    <t>Мусаев Натиг Байрам Оглы</t>
  </si>
  <si>
    <t>В-25627/КЛ.Транш - 1_В-21082023/Ц</t>
  </si>
  <si>
    <t>В-19740/КЛ.Транш - 5_В-21082023/Ц</t>
  </si>
  <si>
    <t>Тимохин Иван Алексеевич</t>
  </si>
  <si>
    <t>В-20329/КЛ.Транш - 2_В-21082023/Ц</t>
  </si>
  <si>
    <t>В-10474/КЛ.Транш - 6_В-21082023/Ц</t>
  </si>
  <si>
    <t>Тульнова Ольга Владимировна</t>
  </si>
  <si>
    <t>В-12067/КЛ.Транш - 1_В-21082023/Ц</t>
  </si>
  <si>
    <t>Хачатрян Хачик Норайрович</t>
  </si>
  <si>
    <t>В-12066/КЛ.Транш - 1_В-21082023/Ц</t>
  </si>
  <si>
    <t>Хечоян Владимир Левонович</t>
  </si>
  <si>
    <t>В-14430/КЛ.Транш - 2_В-21082023/Ц</t>
  </si>
  <si>
    <t>Бондаренко Светлана Евгеньевна</t>
  </si>
  <si>
    <t>В-28062/КЛ.Транш - 1_В-21082023/Ц</t>
  </si>
  <si>
    <t>Лекторова Екатерина Николаевна</t>
  </si>
  <si>
    <t>В-12098/КЛ.Транш - 2_В-21082023/Ц</t>
  </si>
  <si>
    <t>Тищенко Олег Владимирович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</si>
</sst>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38">
    <xf numFmtId="0" fontId="0" fillId="0" borderId="0" xfId="0"/>
    <xf numFmtId="0" fontId="6" fillId="0" borderId="0" xfId="0" applyFont="1"/>
    <xf numFmtId="0" fontId="0" fillId="0" borderId="0" xfId="0" quotePrefix="1"/>
    <xf numFmtId="0" fontId="7" fillId="2" borderId="1" xfId="0" applyFont="1" applyFill="1" applyBorder="1" applyAlignment="1">
      <alignment horizontal="center"/>
    </xf>
    <xf numFmtId="0" fontId="8" fillId="0" borderId="0" xfId="0" applyFont="1"/>
    <xf numFmtId="0" fontId="5" fillId="0" borderId="0" xfId="0" applyFont="1"/>
    <xf numFmtId="0" fontId="4" fillId="0" borderId="0" xfId="0" applyFont="1"/>
    <xf numFmtId="0" fontId="3" fillId="0" borderId="0" xfId="0" applyFont="1"/>
    <xf numFmtId="0" fontId="10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wrapText="1"/>
    </xf>
    <xf numFmtId="14" fontId="0" fillId="0" borderId="0" xfId="0" applyNumberFormat="1"/>
    <xf numFmtId="0" fontId="2" fillId="0" borderId="0" xfId="0" applyFont="1"/>
    <xf numFmtId="14" fontId="7" fillId="0" borderId="1" xfId="0" applyNumberFormat="1" applyFont="1" applyBorder="1"/>
    <xf numFmtId="14" fontId="7" fillId="0" borderId="0" xfId="0" applyNumberFormat="1" applyFont="1"/>
    <xf numFmtId="14" fontId="7" fillId="0" borderId="5" xfId="0" applyNumberFormat="1" applyFont="1" applyBorder="1"/>
    <xf numFmtId="0" fontId="0" fillId="0" borderId="6" xfId="0" applyBorder="1"/>
    <xf numFmtId="0" fontId="0" fillId="0" borderId="5" xfId="0" applyBorder="1"/>
    <xf numFmtId="0" fontId="7" fillId="0" borderId="3" xfId="0" applyFont="1" applyBorder="1" applyAlignment="1">
      <alignment horizontal="left" vertical="center"/>
    </xf>
    <xf numFmtId="0" fontId="0" fillId="0" borderId="4" xfId="0" applyBorder="1"/>
    <xf numFmtId="0" fontId="1" fillId="0" borderId="0" xfId="0" applyFont="1"/>
    <xf numFmtId="0" fontId="10" fillId="2" borderId="9" xfId="0" applyFont="1" applyFill="1" applyBorder="1" applyAlignment="1">
      <alignment horizontal="center"/>
    </xf>
    <xf numFmtId="0" fontId="7" fillId="0" borderId="0" xfId="0" applyFont="1"/>
    <xf numFmtId="0" fontId="12" fillId="0" borderId="0" xfId="0" applyFont="1"/>
    <xf numFmtId="0" fontId="0" fillId="0" borderId="0" xfId="0" applyAlignment="1">
      <alignment wrapText="1"/>
    </xf>
    <xf numFmtId="0" fontId="8" fillId="2" borderId="2" xfId="0" applyFont="1" applyFill="1" applyBorder="1"/>
    <xf numFmtId="0" fontId="13" fillId="0" borderId="0" xfId="1"/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2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11" fillId="0" borderId="0" xfId="0" applyFont="1" applyAlignment="1">
      <alignment horizontal="center"/>
    </xf>
  </cellXfs>
  <cellStyles count="2">
    <cellStyle name="Гиперссылка" xfId="1" builtinId="8"/>
    <cellStyle name="Обычный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50985</xdr:colOff>
      <xdr:row>0</xdr:row>
      <xdr:rowOff>0</xdr:rowOff>
    </xdr:from>
    <xdr:to>
      <xdr:col>8</xdr:col>
      <xdr:colOff>558614</xdr:colOff>
      <xdr:row>5</xdr:row>
      <xdr:rowOff>73037</xdr:rowOff>
    </xdr:to>
    <xdr:sp macro="[0]!ONEC_clear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49B2F5E5-DFDB-4B0B-8873-FC5B35D17F70}"/>
            </a:ext>
          </a:extLst>
        </xdr:cNvPr>
        <xdr:cNvSpPr/>
      </xdr:nvSpPr>
      <xdr:spPr>
        <a:xfrm>
          <a:off x="4394385" y="0"/>
          <a:ext cx="1117229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🧹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DATA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41;&#1044;.xlsm" TargetMode="External"/><Relationship Id="rId1" Type="http://schemas.openxmlformats.org/officeDocument/2006/relationships/externalLinkPath" Target="&#1041;&#1044;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80;&#1079;%201&#1057;.xlsm" TargetMode="External"/><Relationship Id="rId1" Type="http://schemas.openxmlformats.org/officeDocument/2006/relationships/externalLinkPath" Target="&#1080;&#1079;%201&#1057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41;&#104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тел(заем)"/>
      <sheetName val="тел(заемРасш)"/>
      <sheetName val="email(заем)"/>
      <sheetName val="тел(пор)"/>
      <sheetName val="email(пор)"/>
      <sheetName val="дог-займ"/>
      <sheetName val="адреса"/>
      <sheetName val="ЧасПоя"/>
      <sheetName val="МСП"/>
      <sheetName val="залог"/>
      <sheetName val="БД РЕЕСТР"/>
      <sheetName val="xforms"/>
    </sheetNames>
    <sheetDataSet>
      <sheetData sheetId="0"/>
      <sheetData sheetId="1">
        <row r="1">
          <cell r="B1" t="str">
            <v>Заемщик</v>
          </cell>
          <cell r="C1" t="str">
            <v>Контактное лицо</v>
          </cell>
          <cell r="D1" t="str">
            <v>Личный кабинет (Физические лица)</v>
          </cell>
          <cell r="E1" t="str">
            <v>Мобильный телефон (2)</v>
          </cell>
          <cell r="F1" t="str">
            <v>Телефон мобильный</v>
          </cell>
          <cell r="G1" t="str">
            <v>Телефон мобильный</v>
          </cell>
        </row>
        <row r="2">
          <cell r="B2" t="str">
            <v>Саповский Олег Владимирович</v>
          </cell>
          <cell r="E2">
            <v>79257295462</v>
          </cell>
          <cell r="G2">
            <v>79257295462</v>
          </cell>
        </row>
        <row r="3">
          <cell r="B3" t="str">
            <v>Королёв Дмитрий Евгеньевич</v>
          </cell>
          <cell r="D3">
            <v>79160200226</v>
          </cell>
          <cell r="G3" t="str">
            <v>89160200226, 89067697494</v>
          </cell>
        </row>
        <row r="4">
          <cell r="B4" t="str">
            <v>Потороченков Игорь Сергеевич</v>
          </cell>
          <cell r="E4">
            <v>79150662977</v>
          </cell>
          <cell r="G4">
            <v>79150662977</v>
          </cell>
        </row>
        <row r="5">
          <cell r="B5" t="str">
            <v>Камшилина Татьяна Ивановна</v>
          </cell>
          <cell r="D5">
            <v>79646415781</v>
          </cell>
          <cell r="E5">
            <v>79646415781</v>
          </cell>
          <cell r="G5">
            <v>79646415781</v>
          </cell>
        </row>
        <row r="6">
          <cell r="B6" t="str">
            <v>Камшилин Александр Александрович</v>
          </cell>
          <cell r="D6">
            <v>79153179132</v>
          </cell>
          <cell r="E6">
            <v>79153179132</v>
          </cell>
          <cell r="G6">
            <v>79153179132</v>
          </cell>
        </row>
        <row r="7">
          <cell r="B7" t="str">
            <v>Иванов Евгений Владимирович</v>
          </cell>
          <cell r="D7">
            <v>79037296324</v>
          </cell>
          <cell r="E7">
            <v>79037296324</v>
          </cell>
          <cell r="G7">
            <v>79037296324</v>
          </cell>
        </row>
        <row r="8">
          <cell r="B8" t="str">
            <v>МСККОРП ООО</v>
          </cell>
        </row>
        <row r="9">
          <cell r="B9" t="str">
            <v>ИП Султанова Екатерина Владимировна</v>
          </cell>
          <cell r="D9">
            <v>79166461336</v>
          </cell>
        </row>
        <row r="10">
          <cell r="B10" t="str">
            <v>КРОШКИ ООО</v>
          </cell>
          <cell r="C10" t="str">
            <v>Фомина Галина Вадимовна</v>
          </cell>
        </row>
        <row r="11">
          <cell r="B11" t="str">
            <v>ИП Мехтиев Артём Викторович</v>
          </cell>
          <cell r="D11">
            <v>79258486280</v>
          </cell>
          <cell r="G11">
            <v>89258486280</v>
          </cell>
        </row>
        <row r="12">
          <cell r="B12" t="str">
            <v>ФОРСАЙТ ООО</v>
          </cell>
        </row>
        <row r="13">
          <cell r="B13" t="str">
            <v>ИП Грозин Андрей Викторович</v>
          </cell>
          <cell r="D13">
            <v>79264038833</v>
          </cell>
          <cell r="G13">
            <v>89264038833</v>
          </cell>
        </row>
        <row r="14">
          <cell r="B14" t="str">
            <v>ИП Сбитнева Нелли Игоревна</v>
          </cell>
          <cell r="D14">
            <v>79651080061</v>
          </cell>
        </row>
        <row r="15">
          <cell r="B15" t="str">
            <v>ИП Нартоков Анзор Русланович</v>
          </cell>
          <cell r="D15">
            <v>79036772919</v>
          </cell>
        </row>
        <row r="16">
          <cell r="B16" t="str">
            <v>ИП Мамедов Эльдар Эльдарович</v>
          </cell>
          <cell r="D16">
            <v>79037650087</v>
          </cell>
          <cell r="G16">
            <v>89037650087</v>
          </cell>
        </row>
        <row r="17">
          <cell r="B17" t="str">
            <v>ИП Чеботарь Анжелика Сергеевна</v>
          </cell>
          <cell r="D17">
            <v>79057463369</v>
          </cell>
          <cell r="E17">
            <v>89057463369</v>
          </cell>
        </row>
        <row r="18">
          <cell r="B18" t="str">
            <v>АЛЬЯНС НЕДВИЖИМОСТИ ООО</v>
          </cell>
          <cell r="C18" t="str">
            <v>Хасанов Дмитрий Камильевич</v>
          </cell>
        </row>
        <row r="19">
          <cell r="B19" t="str">
            <v>ИП Чермошенцева Галина Сергеевна</v>
          </cell>
          <cell r="D19">
            <v>79191017348</v>
          </cell>
          <cell r="G19" t="str">
            <v>7919101-73-48</v>
          </cell>
        </row>
        <row r="20">
          <cell r="B20" t="str">
            <v>Строй-Универсал ООО</v>
          </cell>
          <cell r="C20" t="str">
            <v>Павленко Александр Петрович</v>
          </cell>
          <cell r="F20">
            <v>89913134658</v>
          </cell>
        </row>
        <row r="21">
          <cell r="B21" t="str">
            <v>Креатив дизайн ООО</v>
          </cell>
          <cell r="C21" t="str">
            <v>Сытник Сергей Александрович</v>
          </cell>
          <cell r="F21">
            <v>89852905669</v>
          </cell>
        </row>
        <row r="22">
          <cell r="B22" t="str">
            <v>ГК АкоЛет ООО</v>
          </cell>
          <cell r="C22" t="str">
            <v>Ветров Алексей Игоревич</v>
          </cell>
          <cell r="F22">
            <v>79637158808</v>
          </cell>
        </row>
        <row r="23">
          <cell r="B23" t="str">
            <v>ИП Грозин Андрей Викторович</v>
          </cell>
          <cell r="D23">
            <v>79264038833</v>
          </cell>
          <cell r="G23">
            <v>89264038833</v>
          </cell>
        </row>
        <row r="24">
          <cell r="B24" t="str">
            <v>ЛАВиК ООО</v>
          </cell>
        </row>
        <row r="25">
          <cell r="B25" t="str">
            <v>Сервис-Запчасть ООО</v>
          </cell>
          <cell r="C25" t="str">
            <v>Тулупов Илья Владимирович</v>
          </cell>
          <cell r="F25">
            <v>79852982783</v>
          </cell>
        </row>
        <row r="26">
          <cell r="B26" t="str">
            <v>ИП Силютина Анна Геннадьевна</v>
          </cell>
          <cell r="G26">
            <v>79266552454</v>
          </cell>
        </row>
        <row r="27">
          <cell r="B27" t="str">
            <v>Союзметиз ООО</v>
          </cell>
          <cell r="C27" t="str">
            <v>Куренков Илья Маркович</v>
          </cell>
          <cell r="F27">
            <v>89263682963</v>
          </cell>
        </row>
        <row r="28">
          <cell r="B28" t="str">
            <v>РЖДК ООО</v>
          </cell>
        </row>
        <row r="29">
          <cell r="B29" t="str">
            <v>ИП Пулянина Вероника Александровна</v>
          </cell>
          <cell r="D29">
            <v>79686805555</v>
          </cell>
          <cell r="G29">
            <v>79686805555</v>
          </cell>
        </row>
        <row r="30">
          <cell r="B30" t="str">
            <v>ПРОСТРАНСТВО РАЗВИТИЯ ЛЕРНЕР ООО</v>
          </cell>
          <cell r="C30" t="str">
            <v>Дубовская Юлия Олеговна</v>
          </cell>
        </row>
        <row r="31">
          <cell r="B31" t="str">
            <v>НОВАЯ СПАРТА ООО</v>
          </cell>
          <cell r="C31" t="str">
            <v>Сыроватская Полина Александровна</v>
          </cell>
        </row>
        <row r="32">
          <cell r="B32" t="str">
            <v>ИП Удалов Игорь Игоревич</v>
          </cell>
          <cell r="D32">
            <v>79857664406</v>
          </cell>
          <cell r="G32">
            <v>89857664406</v>
          </cell>
        </row>
        <row r="33">
          <cell r="B33" t="str">
            <v>СиБи Групп Рус ООО</v>
          </cell>
        </row>
        <row r="34">
          <cell r="B34" t="str">
            <v>ИП Харин Евгений Александрович</v>
          </cell>
          <cell r="D34">
            <v>79263901989</v>
          </cell>
          <cell r="G34">
            <v>89263901989</v>
          </cell>
        </row>
        <row r="35">
          <cell r="B35" t="str">
            <v>МАРО АРТ ГРУПП ООО</v>
          </cell>
          <cell r="C35" t="str">
            <v>Малыхин Владимир Григорьевич</v>
          </cell>
        </row>
        <row r="36">
          <cell r="B36" t="str">
            <v>ИП Русин Дмитрий Валерьевич</v>
          </cell>
          <cell r="D36">
            <v>79671777722</v>
          </cell>
          <cell r="G36">
            <v>79671777722</v>
          </cell>
        </row>
        <row r="37">
          <cell r="B37" t="str">
            <v>Чекалкин Михаил Михайлович</v>
          </cell>
          <cell r="G37">
            <v>89857769198</v>
          </cell>
        </row>
        <row r="38">
          <cell r="B38" t="str">
            <v>Щербин Виталий Борисович</v>
          </cell>
          <cell r="E38">
            <v>79167270376</v>
          </cell>
          <cell r="G38" t="str">
            <v>79167270376, 79853012910</v>
          </cell>
        </row>
        <row r="39">
          <cell r="B39" t="str">
            <v>Борисов Кирилл Александрович</v>
          </cell>
          <cell r="D39">
            <v>79858186888</v>
          </cell>
          <cell r="E39">
            <v>79261673888</v>
          </cell>
          <cell r="G39">
            <v>79261673888</v>
          </cell>
        </row>
        <row r="40">
          <cell r="B40" t="str">
            <v>Новоселов Евгений Михайлович</v>
          </cell>
          <cell r="D40">
            <v>79153803344</v>
          </cell>
          <cell r="E40">
            <v>79153804488</v>
          </cell>
          <cell r="G40" t="str">
            <v>79153804488, 79153803344</v>
          </cell>
        </row>
        <row r="41">
          <cell r="B41" t="str">
            <v>Халиуллин Шамиль Камалович</v>
          </cell>
          <cell r="D41">
            <v>79274187234</v>
          </cell>
          <cell r="E41">
            <v>79172437512</v>
          </cell>
          <cell r="G41">
            <v>79172437512</v>
          </cell>
        </row>
        <row r="42">
          <cell r="B42" t="str">
            <v>Ковылин Герман Олегович</v>
          </cell>
          <cell r="D42">
            <v>79160847326</v>
          </cell>
          <cell r="E42">
            <v>79160847326</v>
          </cell>
          <cell r="G42">
            <v>79160847326</v>
          </cell>
        </row>
        <row r="43">
          <cell r="B43" t="str">
            <v>Анчутин Павел Александрович</v>
          </cell>
          <cell r="D43">
            <v>79516642918</v>
          </cell>
          <cell r="E43">
            <v>79516642918</v>
          </cell>
          <cell r="G43">
            <v>79516642918</v>
          </cell>
        </row>
        <row r="44">
          <cell r="B44" t="str">
            <v>Дам Вихерс Юлия Владимировна</v>
          </cell>
          <cell r="D44">
            <v>79522711234</v>
          </cell>
          <cell r="E44">
            <v>79522711234</v>
          </cell>
          <cell r="G44">
            <v>79522711234</v>
          </cell>
        </row>
        <row r="45">
          <cell r="B45" t="str">
            <v>Чибисова Елена Валерьевна</v>
          </cell>
          <cell r="D45">
            <v>79197235613</v>
          </cell>
          <cell r="E45">
            <v>79197235613</v>
          </cell>
          <cell r="G45">
            <v>79197235613</v>
          </cell>
        </row>
        <row r="46">
          <cell r="B46" t="str">
            <v>Сердюк Лидия Мянсуровна</v>
          </cell>
          <cell r="D46">
            <v>79818882788</v>
          </cell>
          <cell r="E46">
            <v>79818882788</v>
          </cell>
          <cell r="G46">
            <v>79818882788</v>
          </cell>
        </row>
        <row r="47">
          <cell r="B47" t="str">
            <v>Логачева Светлана Юрьевна</v>
          </cell>
          <cell r="E47">
            <v>79251864064</v>
          </cell>
          <cell r="G47" t="str">
            <v>79251864064, 79104778886</v>
          </cell>
        </row>
        <row r="48">
          <cell r="B48" t="str">
            <v>Матвеев Александр Иванович</v>
          </cell>
          <cell r="D48">
            <v>79161274311</v>
          </cell>
          <cell r="E48">
            <v>79161274311</v>
          </cell>
          <cell r="G48">
            <v>79161274311</v>
          </cell>
        </row>
        <row r="49">
          <cell r="B49" t="str">
            <v>Караваев Евгений Сергеевич</v>
          </cell>
          <cell r="D49">
            <v>79859981646</v>
          </cell>
          <cell r="E49">
            <v>79859981646</v>
          </cell>
          <cell r="G49">
            <v>79859981646</v>
          </cell>
        </row>
        <row r="50">
          <cell r="B50" t="str">
            <v>Морозов Владимир Владимирович</v>
          </cell>
          <cell r="D50">
            <v>79057624635</v>
          </cell>
          <cell r="E50">
            <v>79057624635</v>
          </cell>
          <cell r="G50">
            <v>79057624635</v>
          </cell>
        </row>
        <row r="51">
          <cell r="B51" t="str">
            <v>Прохорова Наталья Васильевна</v>
          </cell>
          <cell r="D51">
            <v>79262446405</v>
          </cell>
          <cell r="E51">
            <v>79268786680</v>
          </cell>
          <cell r="G51">
            <v>79268786680</v>
          </cell>
        </row>
        <row r="52">
          <cell r="B52" t="str">
            <v>Гучуа Натия Геноевна</v>
          </cell>
          <cell r="D52">
            <v>79523954672</v>
          </cell>
          <cell r="E52">
            <v>79523954672</v>
          </cell>
          <cell r="G52">
            <v>79523954672</v>
          </cell>
        </row>
        <row r="53">
          <cell r="B53" t="str">
            <v>Мелитонян Саят Араевич</v>
          </cell>
          <cell r="D53">
            <v>79060615035</v>
          </cell>
          <cell r="E53">
            <v>79060615035</v>
          </cell>
          <cell r="G53">
            <v>79060615035</v>
          </cell>
        </row>
        <row r="54">
          <cell r="B54" t="str">
            <v>Селютин Петр Петрович</v>
          </cell>
          <cell r="D54">
            <v>79112102190</v>
          </cell>
          <cell r="E54">
            <v>79112102190</v>
          </cell>
          <cell r="G54">
            <v>79112102190</v>
          </cell>
        </row>
        <row r="55">
          <cell r="B55" t="str">
            <v>Головач Николай Михайлович</v>
          </cell>
          <cell r="D55">
            <v>79096904002</v>
          </cell>
          <cell r="E55">
            <v>79096904002</v>
          </cell>
          <cell r="G55" t="str">
            <v>79096904002, 79258487276</v>
          </cell>
        </row>
        <row r="56">
          <cell r="B56" t="str">
            <v>Данилин Дмитрий Павлович</v>
          </cell>
          <cell r="D56">
            <v>79998060525</v>
          </cell>
          <cell r="E56">
            <v>79998060525</v>
          </cell>
          <cell r="G56">
            <v>79998060525</v>
          </cell>
        </row>
        <row r="57">
          <cell r="B57" t="str">
            <v>Шишкарев Александр Павлович</v>
          </cell>
          <cell r="D57">
            <v>79037965446</v>
          </cell>
          <cell r="E57">
            <v>79037965446</v>
          </cell>
          <cell r="G57">
            <v>79037965446</v>
          </cell>
        </row>
        <row r="58">
          <cell r="B58" t="str">
            <v>Степанов Алексей Геннадьевич</v>
          </cell>
          <cell r="D58">
            <v>79269363002</v>
          </cell>
          <cell r="E58">
            <v>79269363002</v>
          </cell>
          <cell r="G58">
            <v>79269363002</v>
          </cell>
        </row>
        <row r="59">
          <cell r="B59" t="str">
            <v>Желядинов Рустам Максутович</v>
          </cell>
          <cell r="E59">
            <v>79269400595</v>
          </cell>
          <cell r="G59">
            <v>79269400595</v>
          </cell>
        </row>
        <row r="60">
          <cell r="B60" t="str">
            <v>Рафиев Агалар Сейдага-оглы</v>
          </cell>
          <cell r="D60">
            <v>79672104280</v>
          </cell>
          <cell r="E60">
            <v>79672104280</v>
          </cell>
          <cell r="G60">
            <v>79672104280</v>
          </cell>
        </row>
        <row r="61">
          <cell r="B61" t="str">
            <v>Абубакиров Бату Асхарович</v>
          </cell>
          <cell r="E61">
            <v>79853095796</v>
          </cell>
          <cell r="G61">
            <v>79853095796</v>
          </cell>
        </row>
        <row r="62">
          <cell r="B62" t="str">
            <v>Камшилина Татьяна Ивановна</v>
          </cell>
          <cell r="D62">
            <v>79646415781</v>
          </cell>
          <cell r="E62">
            <v>79646415781</v>
          </cell>
          <cell r="G62">
            <v>79646415781</v>
          </cell>
        </row>
        <row r="63">
          <cell r="B63" t="str">
            <v>Матиев Шодмон Эргашевич</v>
          </cell>
          <cell r="D63">
            <v>79055595757</v>
          </cell>
          <cell r="E63">
            <v>79055595757</v>
          </cell>
          <cell r="G63">
            <v>79055595757</v>
          </cell>
        </row>
        <row r="64">
          <cell r="B64" t="str">
            <v>Платунова Жанна Александровна</v>
          </cell>
          <cell r="E64">
            <v>79267952800</v>
          </cell>
          <cell r="G64">
            <v>79267952800</v>
          </cell>
        </row>
        <row r="65">
          <cell r="B65" t="str">
            <v>Головатинский Лев Витальевич</v>
          </cell>
          <cell r="D65">
            <v>79637101572</v>
          </cell>
          <cell r="E65">
            <v>79637101572</v>
          </cell>
          <cell r="G65">
            <v>79637101572</v>
          </cell>
        </row>
        <row r="66">
          <cell r="B66" t="str">
            <v>Мусаев Рустам Камилжонович</v>
          </cell>
          <cell r="E66">
            <v>79261232390</v>
          </cell>
          <cell r="G66">
            <v>79261232390</v>
          </cell>
        </row>
        <row r="67">
          <cell r="B67" t="str">
            <v>Шахбазян Овсеп Сурикович</v>
          </cell>
          <cell r="D67">
            <v>79167470765</v>
          </cell>
          <cell r="E67">
            <v>79167470765</v>
          </cell>
          <cell r="G67">
            <v>79167470765</v>
          </cell>
        </row>
        <row r="68">
          <cell r="B68" t="str">
            <v>Павлова Светлана Юрьевна</v>
          </cell>
          <cell r="E68">
            <v>79036821800</v>
          </cell>
          <cell r="G68">
            <v>79036821800</v>
          </cell>
        </row>
        <row r="69">
          <cell r="B69" t="str">
            <v>Храмов Антон Иванович</v>
          </cell>
          <cell r="E69">
            <v>79816829828</v>
          </cell>
          <cell r="G69">
            <v>79816829828</v>
          </cell>
        </row>
        <row r="70">
          <cell r="B70" t="str">
            <v>Ерохов Андрей Вячеславович</v>
          </cell>
          <cell r="E70">
            <v>79104164733</v>
          </cell>
          <cell r="G70">
            <v>79104164733</v>
          </cell>
        </row>
        <row r="71">
          <cell r="B71" t="str">
            <v>Петров Александр Владимирович</v>
          </cell>
          <cell r="D71">
            <v>79217789918</v>
          </cell>
          <cell r="E71">
            <v>79217789918</v>
          </cell>
          <cell r="G71">
            <v>79217789918</v>
          </cell>
        </row>
        <row r="72">
          <cell r="B72" t="str">
            <v>Алексеев Юрий Сергеевич</v>
          </cell>
          <cell r="E72">
            <v>79857663443</v>
          </cell>
          <cell r="G72">
            <v>79857663443</v>
          </cell>
        </row>
        <row r="73">
          <cell r="B73" t="str">
            <v>Ковбасенко Александр Анатольевич</v>
          </cell>
          <cell r="E73">
            <v>79057366422</v>
          </cell>
          <cell r="G73">
            <v>79057366422</v>
          </cell>
        </row>
        <row r="74">
          <cell r="B74" t="str">
            <v>Добрица Любовь Анатольевна</v>
          </cell>
          <cell r="E74">
            <v>79162115502</v>
          </cell>
          <cell r="G74">
            <v>79162115502</v>
          </cell>
        </row>
        <row r="75">
          <cell r="B75" t="str">
            <v>Зенин Александр Петрович</v>
          </cell>
          <cell r="E75">
            <v>79623634939</v>
          </cell>
          <cell r="G75">
            <v>79623634939</v>
          </cell>
        </row>
        <row r="76">
          <cell r="B76" t="str">
            <v>Богомилов Михаил Михайлович</v>
          </cell>
          <cell r="E76">
            <v>79689309989</v>
          </cell>
          <cell r="G76">
            <v>79689309989</v>
          </cell>
        </row>
        <row r="77">
          <cell r="B77" t="str">
            <v>Курышев Дмитрий Александрович</v>
          </cell>
          <cell r="E77">
            <v>79269917034</v>
          </cell>
          <cell r="G77">
            <v>79269917034</v>
          </cell>
        </row>
        <row r="78">
          <cell r="B78" t="str">
            <v>Агафонов Алексей Юрьевич</v>
          </cell>
          <cell r="D78">
            <v>79119621549</v>
          </cell>
          <cell r="E78">
            <v>79119621549</v>
          </cell>
          <cell r="G78">
            <v>79119621549</v>
          </cell>
        </row>
        <row r="79">
          <cell r="B79" t="str">
            <v>Мазаев Вадим Викторович</v>
          </cell>
          <cell r="E79">
            <v>79166000550</v>
          </cell>
          <cell r="G79">
            <v>79166000550</v>
          </cell>
        </row>
        <row r="80">
          <cell r="B80" t="str">
            <v>Лянгасова Светлана Юрьевна</v>
          </cell>
          <cell r="E80">
            <v>79851677250</v>
          </cell>
          <cell r="G80">
            <v>79851677250</v>
          </cell>
        </row>
        <row r="81">
          <cell r="B81" t="str">
            <v>Зуева Светлана Григорьевна</v>
          </cell>
          <cell r="E81">
            <v>79859206617</v>
          </cell>
          <cell r="G81">
            <v>79859206617</v>
          </cell>
        </row>
        <row r="82">
          <cell r="B82" t="str">
            <v>Бабаянц Артур Владимирович</v>
          </cell>
          <cell r="E82">
            <v>79169999550</v>
          </cell>
          <cell r="G82">
            <v>79169999550</v>
          </cell>
        </row>
        <row r="83">
          <cell r="B83" t="str">
            <v>Бобров Дмитрий Михайлович</v>
          </cell>
          <cell r="D83">
            <v>79312590644</v>
          </cell>
          <cell r="E83">
            <v>79213756164</v>
          </cell>
          <cell r="G83">
            <v>79213756164</v>
          </cell>
        </row>
        <row r="84">
          <cell r="B84" t="str">
            <v>Фролов Павел Викторович</v>
          </cell>
          <cell r="E84">
            <v>79100000714</v>
          </cell>
          <cell r="G84">
            <v>79100000714</v>
          </cell>
        </row>
        <row r="85">
          <cell r="B85" t="str">
            <v>Шелухин Игорь Вадимович</v>
          </cell>
          <cell r="E85">
            <v>79855552020</v>
          </cell>
          <cell r="G85">
            <v>79855552020</v>
          </cell>
        </row>
        <row r="86">
          <cell r="B86" t="str">
            <v>Гусейнов Муслум Нурали Оглы</v>
          </cell>
          <cell r="E86">
            <v>79160281047</v>
          </cell>
          <cell r="G86">
            <v>79160281047</v>
          </cell>
        </row>
        <row r="87">
          <cell r="B87" t="str">
            <v>Головач Николай Михайлович</v>
          </cell>
          <cell r="D87">
            <v>79096904002</v>
          </cell>
          <cell r="E87">
            <v>79096904002</v>
          </cell>
          <cell r="G87" t="str">
            <v>79096904002, 79258487276</v>
          </cell>
        </row>
        <row r="88">
          <cell r="B88" t="str">
            <v>Михалевский Александр Михайлович</v>
          </cell>
          <cell r="E88">
            <v>79169207370</v>
          </cell>
          <cell r="G88">
            <v>79169207370</v>
          </cell>
        </row>
        <row r="89">
          <cell r="B89" t="str">
            <v>Базаров Бахтиёр Асрорович</v>
          </cell>
          <cell r="E89">
            <v>79030953342</v>
          </cell>
          <cell r="G89">
            <v>79030953342</v>
          </cell>
        </row>
        <row r="90">
          <cell r="B90" t="str">
            <v>Гришенков Николай Викторович</v>
          </cell>
          <cell r="D90">
            <v>79112345357</v>
          </cell>
          <cell r="E90">
            <v>79112345357</v>
          </cell>
          <cell r="G90" t="str">
            <v>79112345357, 79217572301</v>
          </cell>
        </row>
        <row r="91">
          <cell r="B91" t="str">
            <v>Караева Татьяна Сергеевна</v>
          </cell>
          <cell r="E91">
            <v>79162008141</v>
          </cell>
          <cell r="G91">
            <v>79162008141</v>
          </cell>
        </row>
        <row r="92">
          <cell r="B92" t="str">
            <v>Грачев Сергей Владимирович</v>
          </cell>
          <cell r="D92">
            <v>79531567506</v>
          </cell>
          <cell r="E92">
            <v>79531567506</v>
          </cell>
          <cell r="G92">
            <v>79531567506</v>
          </cell>
        </row>
        <row r="93">
          <cell r="B93" t="str">
            <v>Печников Алексей Олегович</v>
          </cell>
          <cell r="D93">
            <v>79263771273</v>
          </cell>
          <cell r="E93">
            <v>79263771273</v>
          </cell>
          <cell r="G93">
            <v>79263771273</v>
          </cell>
        </row>
        <row r="94">
          <cell r="B94" t="str">
            <v>Строчкин Сергей Иванович</v>
          </cell>
          <cell r="E94">
            <v>79266395888</v>
          </cell>
          <cell r="G94">
            <v>79266395888</v>
          </cell>
        </row>
        <row r="95">
          <cell r="B95" t="str">
            <v>Иджян Соломон Сергеевич</v>
          </cell>
          <cell r="E95">
            <v>79881622202</v>
          </cell>
          <cell r="G95">
            <v>79881622202</v>
          </cell>
        </row>
        <row r="96">
          <cell r="B96" t="str">
            <v>Лобачев Дмитрий Анатольевич</v>
          </cell>
          <cell r="E96">
            <v>79067474512</v>
          </cell>
          <cell r="G96">
            <v>79067474512</v>
          </cell>
        </row>
        <row r="97">
          <cell r="B97" t="str">
            <v>Самохин Алексей Владимирович</v>
          </cell>
          <cell r="D97">
            <v>79164153299</v>
          </cell>
          <cell r="E97">
            <v>79164153299</v>
          </cell>
          <cell r="G97">
            <v>79164153299</v>
          </cell>
        </row>
        <row r="98">
          <cell r="B98" t="str">
            <v>Семенов Николай Юрьевич</v>
          </cell>
          <cell r="E98">
            <v>79652559169</v>
          </cell>
          <cell r="G98">
            <v>79652559169</v>
          </cell>
        </row>
        <row r="99">
          <cell r="B99" t="str">
            <v>Иванов Сергей Викторович</v>
          </cell>
          <cell r="D99">
            <v>79163337170</v>
          </cell>
          <cell r="E99">
            <v>79163337170</v>
          </cell>
          <cell r="G99">
            <v>79163337170</v>
          </cell>
        </row>
        <row r="100">
          <cell r="B100" t="str">
            <v>Шодиев Хуснуддин Сулоймонкулович</v>
          </cell>
          <cell r="E100">
            <v>79652644229</v>
          </cell>
          <cell r="G100">
            <v>79652644229</v>
          </cell>
        </row>
        <row r="101">
          <cell r="B101" t="str">
            <v>Ермишин Сергей Михайлович</v>
          </cell>
          <cell r="D101">
            <v>79036299111</v>
          </cell>
          <cell r="E101">
            <v>79036299111</v>
          </cell>
          <cell r="G101">
            <v>79036299111</v>
          </cell>
        </row>
        <row r="102">
          <cell r="B102" t="str">
            <v>Конокотин Леонид Викторович</v>
          </cell>
          <cell r="E102">
            <v>79858567531</v>
          </cell>
          <cell r="G102">
            <v>79858567531</v>
          </cell>
        </row>
        <row r="103">
          <cell r="B103" t="str">
            <v>Косинова Мария Евгеньевна</v>
          </cell>
          <cell r="D103">
            <v>79161419930</v>
          </cell>
          <cell r="E103">
            <v>79857604715</v>
          </cell>
          <cell r="G103">
            <v>79857604715</v>
          </cell>
        </row>
        <row r="104">
          <cell r="B104" t="str">
            <v>Сычев Станислав Геннадьевич</v>
          </cell>
          <cell r="D104">
            <v>79052176333</v>
          </cell>
          <cell r="E104">
            <v>79052176333</v>
          </cell>
          <cell r="G104">
            <v>79052176333</v>
          </cell>
        </row>
        <row r="105">
          <cell r="B105" t="str">
            <v>Четверикова Ирина Алексеевна</v>
          </cell>
          <cell r="D105">
            <v>79099632438</v>
          </cell>
          <cell r="E105">
            <v>79099632438</v>
          </cell>
          <cell r="G105">
            <v>79099632438</v>
          </cell>
        </row>
        <row r="106">
          <cell r="B106" t="str">
            <v>Неборский Андрей Валерьевич</v>
          </cell>
          <cell r="D106">
            <v>79215574252</v>
          </cell>
          <cell r="E106">
            <v>79215574252</v>
          </cell>
          <cell r="G106">
            <v>79215574252</v>
          </cell>
        </row>
        <row r="107">
          <cell r="B107" t="str">
            <v>Баханцов Семен Владимирович</v>
          </cell>
          <cell r="D107">
            <v>79062888444</v>
          </cell>
          <cell r="E107">
            <v>79062888444</v>
          </cell>
          <cell r="G107">
            <v>79062888444</v>
          </cell>
        </row>
        <row r="108">
          <cell r="B108" t="str">
            <v>Осетров Олег Андреевич</v>
          </cell>
          <cell r="E108">
            <v>79636947892</v>
          </cell>
          <cell r="G108">
            <v>79636947892</v>
          </cell>
        </row>
        <row r="109">
          <cell r="B109" t="str">
            <v>Попова Марина Альбертовна</v>
          </cell>
          <cell r="D109">
            <v>79650553434</v>
          </cell>
          <cell r="E109">
            <v>79650553434</v>
          </cell>
          <cell r="G109">
            <v>79650553434</v>
          </cell>
        </row>
        <row r="110">
          <cell r="B110" t="str">
            <v>Акимцева Юлия Анатольевна</v>
          </cell>
          <cell r="D110">
            <v>79684184978</v>
          </cell>
          <cell r="E110">
            <v>79684184978</v>
          </cell>
          <cell r="G110">
            <v>79684184978</v>
          </cell>
        </row>
        <row r="111">
          <cell r="B111" t="str">
            <v>Спичак Вадим Михайлович</v>
          </cell>
          <cell r="D111">
            <v>79153518882</v>
          </cell>
          <cell r="E111">
            <v>79153518882</v>
          </cell>
          <cell r="G111">
            <v>79153518882</v>
          </cell>
        </row>
        <row r="112">
          <cell r="B112" t="str">
            <v>Крюков Сергей Викторович</v>
          </cell>
          <cell r="D112">
            <v>79037968869</v>
          </cell>
          <cell r="E112">
            <v>79037968869</v>
          </cell>
          <cell r="G112">
            <v>79037968869</v>
          </cell>
        </row>
        <row r="113">
          <cell r="B113" t="str">
            <v>Арутюнова Рузанна Георгиевна</v>
          </cell>
          <cell r="D113">
            <v>79181202611</v>
          </cell>
          <cell r="E113">
            <v>79181202611</v>
          </cell>
          <cell r="G113">
            <v>79181202611</v>
          </cell>
        </row>
        <row r="114">
          <cell r="B114" t="str">
            <v>Дарвичева Татьяна Викторовна</v>
          </cell>
          <cell r="D114">
            <v>79649401001</v>
          </cell>
          <cell r="E114">
            <v>79649401001</v>
          </cell>
          <cell r="G114">
            <v>79649401001</v>
          </cell>
        </row>
        <row r="115">
          <cell r="B115" t="str">
            <v>Белов Александр Сергеевич</v>
          </cell>
          <cell r="D115">
            <v>79099391969</v>
          </cell>
          <cell r="G115" t="str">
            <v>89099391969, 89150126184</v>
          </cell>
        </row>
        <row r="116">
          <cell r="B116" t="str">
            <v>Морозов Евгений Станиславович</v>
          </cell>
          <cell r="D116">
            <v>79165890435</v>
          </cell>
          <cell r="G116">
            <v>79165890435</v>
          </cell>
        </row>
        <row r="117">
          <cell r="B117" t="str">
            <v>Кузнецова Елена Витальевна</v>
          </cell>
          <cell r="D117">
            <v>79219738607</v>
          </cell>
          <cell r="E117">
            <v>79219738607</v>
          </cell>
          <cell r="G117">
            <v>79219738607</v>
          </cell>
        </row>
        <row r="118">
          <cell r="B118" t="str">
            <v>ИП Филатов Андрей Анатольевич</v>
          </cell>
          <cell r="D118">
            <v>79213033777</v>
          </cell>
          <cell r="G118">
            <v>79213033777</v>
          </cell>
        </row>
        <row r="119">
          <cell r="B119" t="str">
            <v>ИП Королев Александр Владимирович</v>
          </cell>
          <cell r="D119">
            <v>79516730527</v>
          </cell>
        </row>
        <row r="120">
          <cell r="B120" t="str">
            <v>СТРОЙ ПРОТЕК ООО</v>
          </cell>
          <cell r="C120" t="str">
            <v>Соколов Дмитрий Витальевич</v>
          </cell>
        </row>
        <row r="121">
          <cell r="B121" t="str">
            <v>ИП Фараджов Зейнал Алинаги Оглы</v>
          </cell>
        </row>
        <row r="122">
          <cell r="B122" t="str">
            <v>ИП Аббасов Амин Тофиг Оглы</v>
          </cell>
          <cell r="D122">
            <v>79643724946</v>
          </cell>
          <cell r="G122">
            <v>89643724946</v>
          </cell>
        </row>
        <row r="123">
          <cell r="B123" t="str">
            <v>ИП Акулич Александр Сергеевич</v>
          </cell>
          <cell r="D123">
            <v>79214407990</v>
          </cell>
          <cell r="G123">
            <v>79214407990</v>
          </cell>
        </row>
        <row r="124">
          <cell r="B124" t="str">
            <v>ИП Беляева Виктория Александровна</v>
          </cell>
          <cell r="D124">
            <v>79213460096</v>
          </cell>
          <cell r="G124">
            <v>79213460096</v>
          </cell>
        </row>
        <row r="125">
          <cell r="B125" t="str">
            <v>ИП Махавкина Валентина Николаевна</v>
          </cell>
          <cell r="D125">
            <v>79117829082</v>
          </cell>
          <cell r="G125" t="str">
            <v>89117829082, 89216434249</v>
          </cell>
        </row>
        <row r="126">
          <cell r="B126" t="str">
            <v>ИП Быданов Кирилл Владимирович</v>
          </cell>
          <cell r="D126">
            <v>79110946955</v>
          </cell>
          <cell r="G126">
            <v>79110946955</v>
          </cell>
        </row>
        <row r="127">
          <cell r="B127" t="str">
            <v>СЕВЕРНЫЙ ФЛОТ ООО</v>
          </cell>
          <cell r="C127" t="str">
            <v>Крючков Максим Игоревич</v>
          </cell>
          <cell r="F127">
            <v>79516887171</v>
          </cell>
        </row>
        <row r="128">
          <cell r="B128" t="str">
            <v>ИП Ячменёва Ольга Сергеевна</v>
          </cell>
          <cell r="D128">
            <v>79218777612</v>
          </cell>
          <cell r="G128">
            <v>79218777612</v>
          </cell>
        </row>
        <row r="129">
          <cell r="B129" t="str">
            <v>НОРДИНВЕСТ ООО</v>
          </cell>
          <cell r="C129" t="str">
            <v>Дятко Александр Николаевич</v>
          </cell>
        </row>
        <row r="130">
          <cell r="B130" t="str">
            <v>ЭНЕРГИЯ ООО</v>
          </cell>
          <cell r="C130" t="str">
            <v>Таиров Давран Бахтиярович</v>
          </cell>
        </row>
        <row r="131">
          <cell r="B131" t="str">
            <v>ЭНЕРГИЯ ООО</v>
          </cell>
          <cell r="C131" t="str">
            <v>Таиров Давран Бахтиярович</v>
          </cell>
        </row>
        <row r="132">
          <cell r="B132" t="str">
            <v>ИП Антонов Павел Владимирович</v>
          </cell>
          <cell r="D132">
            <v>79046321557</v>
          </cell>
          <cell r="G132">
            <v>79056321557</v>
          </cell>
        </row>
        <row r="133">
          <cell r="B133" t="str">
            <v>ИП Светлов Виталий Анатольевич</v>
          </cell>
          <cell r="D133">
            <v>79219537332</v>
          </cell>
          <cell r="G133">
            <v>79219537332</v>
          </cell>
        </row>
        <row r="134">
          <cell r="B134" t="str">
            <v>ИП Трескунова Ольга Евгеньевна</v>
          </cell>
          <cell r="D134">
            <v>79602570045</v>
          </cell>
          <cell r="G134">
            <v>79602570045</v>
          </cell>
        </row>
        <row r="135">
          <cell r="B135" t="str">
            <v>ТРАНСЛОГ ООО</v>
          </cell>
          <cell r="C135" t="str">
            <v>Варданян Овик Грачикович</v>
          </cell>
          <cell r="F135">
            <v>79013735823</v>
          </cell>
        </row>
        <row r="136">
          <cell r="B136" t="str">
            <v>ГАЛАКТИКА ООО</v>
          </cell>
          <cell r="C136" t="str">
            <v>Суслеников Игорь Геннадьевич</v>
          </cell>
        </row>
        <row r="137">
          <cell r="B137" t="str">
            <v>ИП Клименченко Ирина Анатольевна</v>
          </cell>
          <cell r="G137">
            <v>89880827319</v>
          </cell>
        </row>
        <row r="138">
          <cell r="B138" t="str">
            <v>ИП Пивкин Константин Леонидович</v>
          </cell>
          <cell r="G138">
            <v>79061878051</v>
          </cell>
        </row>
        <row r="139">
          <cell r="B139" t="str">
            <v>СЕЙЛМЕД ООО</v>
          </cell>
          <cell r="C139" t="str">
            <v>Васильева Наталья Александровна</v>
          </cell>
        </row>
        <row r="140">
          <cell r="B140" t="str">
            <v>Бабокин Евгений Александрович</v>
          </cell>
          <cell r="D140">
            <v>79032337191</v>
          </cell>
          <cell r="G140">
            <v>89032337191</v>
          </cell>
        </row>
        <row r="141">
          <cell r="B141" t="str">
            <v>Городенок Дмитрий Петрович</v>
          </cell>
          <cell r="D141">
            <v>79254950096</v>
          </cell>
          <cell r="G141">
            <v>89254950096</v>
          </cell>
        </row>
        <row r="142">
          <cell r="B142" t="str">
            <v>ЛИДЕР ГРУПП ООО</v>
          </cell>
          <cell r="C142" t="str">
            <v>Оганян Гриша Араикович</v>
          </cell>
          <cell r="F142">
            <v>89661320330</v>
          </cell>
        </row>
        <row r="143">
          <cell r="B143" t="str">
            <v>ИП Тен Елена Манкильевна</v>
          </cell>
          <cell r="D143">
            <v>79032215051</v>
          </cell>
          <cell r="E143">
            <v>89032215051</v>
          </cell>
        </row>
        <row r="144">
          <cell r="B144" t="str">
            <v>Грабовская Вероника Викторовна</v>
          </cell>
          <cell r="D144">
            <v>79255555113</v>
          </cell>
          <cell r="G144">
            <v>89255555113</v>
          </cell>
        </row>
        <row r="145">
          <cell r="B145" t="str">
            <v>Кобальт ООО</v>
          </cell>
          <cell r="C145" t="str">
            <v>Стацик Анатолий Семенович</v>
          </cell>
          <cell r="F145">
            <v>89154755973</v>
          </cell>
        </row>
        <row r="146">
          <cell r="B146" t="str">
            <v>ИП Арутюнян Ваге Андреасович</v>
          </cell>
          <cell r="D146">
            <v>79153880555</v>
          </cell>
          <cell r="G146">
            <v>79153880555</v>
          </cell>
        </row>
        <row r="147">
          <cell r="B147" t="str">
            <v>ИП Харин Евгений Александрович</v>
          </cell>
          <cell r="D147">
            <v>79263901989</v>
          </cell>
          <cell r="G147">
            <v>89263901989</v>
          </cell>
        </row>
        <row r="148">
          <cell r="B148" t="str">
            <v>ВАЛАР ООО</v>
          </cell>
          <cell r="C148" t="str">
            <v>Дрозд Артем Иванович</v>
          </cell>
          <cell r="F148">
            <v>89153044635</v>
          </cell>
        </row>
        <row r="149">
          <cell r="B149" t="str">
            <v>Макси-Строй ООО</v>
          </cell>
          <cell r="C149" t="str">
            <v>Воскресенский Максим Витальевич</v>
          </cell>
          <cell r="F149">
            <v>89774938664</v>
          </cell>
        </row>
        <row r="150">
          <cell r="B150" t="str">
            <v>ИП Силкин Максим Алексеевич</v>
          </cell>
          <cell r="D150">
            <v>79653030110</v>
          </cell>
          <cell r="G150">
            <v>79653030110</v>
          </cell>
        </row>
        <row r="151">
          <cell r="B151" t="str">
            <v>АВТОКОНТИНЕНТ ООО</v>
          </cell>
          <cell r="C151" t="str">
            <v>Злобин Алексей Викторович</v>
          </cell>
          <cell r="F151">
            <v>89099959191</v>
          </cell>
        </row>
        <row r="152">
          <cell r="B152" t="str">
            <v>ТК МЕЖРЕГИОНСЕРВИС-77 ООО</v>
          </cell>
          <cell r="C152" t="str">
            <v>Евсин Иван Евгеньевич</v>
          </cell>
        </row>
        <row r="153">
          <cell r="B153" t="str">
            <v>ОФИС КРАФТ ООО</v>
          </cell>
          <cell r="C153" t="str">
            <v>Спиваков Кирилл Игоревич</v>
          </cell>
        </row>
        <row r="154">
          <cell r="B154" t="str">
            <v>Лого-Трейд ООО</v>
          </cell>
          <cell r="C154" t="str">
            <v>Атабекян Николай Аркадиевич</v>
          </cell>
        </row>
        <row r="155">
          <cell r="B155" t="str">
            <v>Ананчев Ефим Иванович</v>
          </cell>
          <cell r="D155">
            <v>79587777888</v>
          </cell>
          <cell r="G155">
            <v>89587777888</v>
          </cell>
        </row>
        <row r="156">
          <cell r="B156" t="str">
            <v>НПО ПРОЕКТСТРОЙ ООО</v>
          </cell>
          <cell r="C156" t="str">
            <v>Советников Роман Сергеевич</v>
          </cell>
        </row>
        <row r="157">
          <cell r="B157" t="str">
            <v>Эктов Евгений Александрович</v>
          </cell>
          <cell r="D157">
            <v>79017796540</v>
          </cell>
          <cell r="G157">
            <v>89017796540</v>
          </cell>
        </row>
        <row r="158">
          <cell r="B158" t="str">
            <v>ЭЛ-КОМПЛЕКТ ООО</v>
          </cell>
          <cell r="C158" t="str">
            <v>Евстигнеев Дмитрий Станиславович</v>
          </cell>
        </row>
        <row r="159">
          <cell r="B159" t="str">
            <v>Герюгов Расул Азнаурович</v>
          </cell>
          <cell r="D159">
            <v>79226920000</v>
          </cell>
          <cell r="G159">
            <v>79226920000</v>
          </cell>
        </row>
        <row r="160">
          <cell r="B160" t="str">
            <v>КЕЙСТОУН ООО</v>
          </cell>
          <cell r="C160" t="str">
            <v>Фролов Андрей Юрьевич</v>
          </cell>
          <cell r="F160">
            <v>89030116831</v>
          </cell>
        </row>
        <row r="161">
          <cell r="B161" t="str">
            <v>ИП Жаворонков Сергей Владимирович</v>
          </cell>
          <cell r="D161">
            <v>79255898029</v>
          </cell>
          <cell r="G161">
            <v>79255898029</v>
          </cell>
        </row>
        <row r="162">
          <cell r="B162" t="str">
            <v>Лисичкина Елена Александровна</v>
          </cell>
          <cell r="D162">
            <v>79175562011</v>
          </cell>
          <cell r="G162">
            <v>79175562011</v>
          </cell>
        </row>
        <row r="163">
          <cell r="B163" t="str">
            <v>ГТ.Билдинг ООО</v>
          </cell>
          <cell r="C163" t="str">
            <v>Манасян Артур Арменакович</v>
          </cell>
        </row>
        <row r="164">
          <cell r="B164" t="str">
            <v>ПКБ НТТ ООО</v>
          </cell>
          <cell r="C164" t="str">
            <v>Величаев Анатолий Геннадьевич, Коммерческий директор</v>
          </cell>
          <cell r="F164">
            <v>79033458814</v>
          </cell>
        </row>
        <row r="165">
          <cell r="B165" t="str">
            <v>Аванесян Виген Эмикович</v>
          </cell>
          <cell r="D165">
            <v>79268240461</v>
          </cell>
          <cell r="G165">
            <v>89268240461</v>
          </cell>
        </row>
        <row r="166">
          <cell r="B166" t="str">
            <v>ИП Разумова Регина Дмитриевна</v>
          </cell>
          <cell r="D166">
            <v>79777221997</v>
          </cell>
          <cell r="G166">
            <v>7977722199</v>
          </cell>
        </row>
        <row r="167">
          <cell r="B167" t="str">
            <v>Саркисян Геворк Александрович</v>
          </cell>
          <cell r="D167">
            <v>79121701017</v>
          </cell>
          <cell r="G167">
            <v>89121701017</v>
          </cell>
        </row>
        <row r="168">
          <cell r="B168" t="str">
            <v>ИП Керимов Азер Байрам Оглы</v>
          </cell>
          <cell r="G168">
            <v>79256450105</v>
          </cell>
        </row>
        <row r="169">
          <cell r="B169" t="str">
            <v>ИП Окунева Лилия Викторовна</v>
          </cell>
          <cell r="G169">
            <v>79164344394</v>
          </cell>
        </row>
        <row r="170">
          <cell r="B170" t="str">
            <v>ЭльБрус ООО</v>
          </cell>
          <cell r="C170" t="str">
            <v>Борисов Алексей Валерьевич</v>
          </cell>
          <cell r="F170">
            <v>79169998637</v>
          </cell>
        </row>
        <row r="171">
          <cell r="B171" t="str">
            <v>ИП Аракелян Мелине Микаеловна</v>
          </cell>
          <cell r="G171">
            <v>79264361146</v>
          </cell>
        </row>
        <row r="172">
          <cell r="B172" t="str">
            <v>ОРБИТА ООО</v>
          </cell>
          <cell r="C172" t="str">
            <v>Ситникова Елена Николаевна</v>
          </cell>
          <cell r="F172">
            <v>79776904698</v>
          </cell>
        </row>
        <row r="173">
          <cell r="B173" t="str">
            <v>ИП Силкин Максим Алексеевич</v>
          </cell>
          <cell r="D173">
            <v>79653030110</v>
          </cell>
          <cell r="G173">
            <v>79653030110</v>
          </cell>
        </row>
        <row r="174">
          <cell r="B174" t="str">
            <v>ИП Стрельникова Татьяна Владимировна</v>
          </cell>
          <cell r="G174">
            <v>79268711354</v>
          </cell>
        </row>
        <row r="175">
          <cell r="B175" t="str">
            <v>ИП Белов Александр Сергеевич</v>
          </cell>
          <cell r="G175">
            <v>79099391969</v>
          </cell>
        </row>
        <row r="176">
          <cell r="B176" t="str">
            <v>ИП Шумакова Наталья Владимировна</v>
          </cell>
          <cell r="D176">
            <v>79265834643</v>
          </cell>
          <cell r="G176">
            <v>79265834643</v>
          </cell>
        </row>
        <row r="177">
          <cell r="B177" t="str">
            <v>ООО СК ЭВЕРЕСТ</v>
          </cell>
          <cell r="C177" t="str">
            <v>Нургушиев Булат Бегалиевич</v>
          </cell>
        </row>
        <row r="178">
          <cell r="B178" t="str">
            <v>ИП Месропян Аревик Орбеловна</v>
          </cell>
          <cell r="G178">
            <v>79017013028</v>
          </cell>
        </row>
        <row r="179">
          <cell r="B179" t="str">
            <v>Горохов Сергей Владимирович 2</v>
          </cell>
          <cell r="D179">
            <v>79296627026</v>
          </cell>
          <cell r="G179">
            <v>79296627026</v>
          </cell>
        </row>
        <row r="180">
          <cell r="B180" t="str">
            <v>Эврика ООО</v>
          </cell>
          <cell r="C180" t="str">
            <v>Куразян Гарий Рафаэлович, Директор</v>
          </cell>
          <cell r="F180">
            <v>89897033074</v>
          </cell>
        </row>
        <row r="181">
          <cell r="B181" t="str">
            <v>ФСС ООО</v>
          </cell>
          <cell r="C181" t="str">
            <v>Николайцев Юрий Владимирович</v>
          </cell>
          <cell r="F181">
            <v>89099171136</v>
          </cell>
        </row>
        <row r="182">
          <cell r="B182" t="str">
            <v>Бизнес Бухгалтер ООО</v>
          </cell>
          <cell r="C182" t="str">
            <v>Ампрамян Елена Юрьевна</v>
          </cell>
          <cell r="F182">
            <v>79060545576</v>
          </cell>
        </row>
        <row r="183">
          <cell r="B183" t="str">
            <v>ИП Байрахтарян Артём Григорьевич</v>
          </cell>
          <cell r="G183">
            <v>79099695252</v>
          </cell>
        </row>
        <row r="184">
          <cell r="B184" t="str">
            <v>ТехТара ООО</v>
          </cell>
          <cell r="C184" t="str">
            <v>Кочурков Алексей Викторович</v>
          </cell>
          <cell r="F184">
            <v>79509233812</v>
          </cell>
        </row>
        <row r="185">
          <cell r="B185" t="str">
            <v>ПРОМХИМ-ВЭД ООО</v>
          </cell>
          <cell r="C185" t="str">
            <v>Барский Михаил Яковлевич</v>
          </cell>
          <cell r="F185">
            <v>79057124488</v>
          </cell>
        </row>
        <row r="186">
          <cell r="B186" t="str">
            <v>Кобальт ООО</v>
          </cell>
          <cell r="C186" t="str">
            <v>Стацик Анатолий Семенович</v>
          </cell>
          <cell r="F186">
            <v>89154755973</v>
          </cell>
        </row>
        <row r="187">
          <cell r="B187" t="str">
            <v>МСКСТРОЙ ООО</v>
          </cell>
          <cell r="C187" t="str">
            <v>Оганесян Ваге Наириович</v>
          </cell>
          <cell r="F187">
            <v>89661685959</v>
          </cell>
        </row>
        <row r="188">
          <cell r="B188" t="str">
            <v>ГорСтрой ООО</v>
          </cell>
          <cell r="C188" t="str">
            <v>Скобелев Дмитрий Васильевич</v>
          </cell>
        </row>
        <row r="189">
          <cell r="B189" t="str">
            <v>ДОРРЕМСТРОЙ ООО</v>
          </cell>
          <cell r="C189" t="str">
            <v>Арамян Сусана Отариевна</v>
          </cell>
        </row>
        <row r="190">
          <cell r="B190" t="str">
            <v>Лого-Трейд Смоленск ООО</v>
          </cell>
          <cell r="C190" t="str">
            <v>Павлюченков Игорь Александрович</v>
          </cell>
        </row>
        <row r="191">
          <cell r="B191" t="str">
            <v>Адилбеков Алмаз Адилбекович</v>
          </cell>
          <cell r="D191">
            <v>79998431105</v>
          </cell>
          <cell r="G191">
            <v>79998431105</v>
          </cell>
        </row>
        <row r="192">
          <cell r="B192" t="str">
            <v>ИП Деньга Виктор Иванович</v>
          </cell>
          <cell r="G192">
            <v>79197747777</v>
          </cell>
        </row>
        <row r="193">
          <cell r="B193" t="str">
            <v>ИП Мамедов Рамин Алим Оглы</v>
          </cell>
          <cell r="D193">
            <v>79623235380</v>
          </cell>
          <cell r="G193">
            <v>79623235380</v>
          </cell>
        </row>
        <row r="194">
          <cell r="B194" t="str">
            <v>КРАЙСАВТО ООО</v>
          </cell>
          <cell r="C194" t="str">
            <v>Замураев Василий Николаевич</v>
          </cell>
        </row>
        <row r="195">
          <cell r="B195" t="str">
            <v>Ермишин Сергей Михайлович</v>
          </cell>
          <cell r="D195">
            <v>79036299111</v>
          </cell>
          <cell r="E195">
            <v>79036299111</v>
          </cell>
          <cell r="G195">
            <v>79036299111</v>
          </cell>
        </row>
        <row r="196">
          <cell r="B196" t="str">
            <v>Юзбашян Ходедан Зограбович</v>
          </cell>
          <cell r="D196">
            <v>79660098367</v>
          </cell>
          <cell r="G196">
            <v>79660098367</v>
          </cell>
        </row>
        <row r="197">
          <cell r="B197" t="str">
            <v>Федорченко Любовь Сергеевна</v>
          </cell>
          <cell r="D197">
            <v>79687658661</v>
          </cell>
          <cell r="G197">
            <v>79687658661</v>
          </cell>
        </row>
        <row r="198">
          <cell r="B198" t="str">
            <v>Зеленский Альберт Александрович</v>
          </cell>
          <cell r="D198">
            <v>79283343232</v>
          </cell>
          <cell r="G198">
            <v>79283343232</v>
          </cell>
        </row>
        <row r="199">
          <cell r="B199" t="str">
            <v>Муродов Шерзод Пулотхонович</v>
          </cell>
          <cell r="D199">
            <v>79652316060</v>
          </cell>
          <cell r="G199">
            <v>79676666290</v>
          </cell>
        </row>
        <row r="200">
          <cell r="B200" t="str">
            <v>Кучевский Сергей Геннадьевич</v>
          </cell>
          <cell r="D200">
            <v>79854448580</v>
          </cell>
          <cell r="G200">
            <v>89854448580</v>
          </cell>
        </row>
        <row r="201">
          <cell r="B201" t="str">
            <v>Абдурашитов Озодбек Мавланжанович</v>
          </cell>
          <cell r="D201">
            <v>79057756992</v>
          </cell>
          <cell r="G201">
            <v>89057756992</v>
          </cell>
        </row>
        <row r="202">
          <cell r="B202" t="str">
            <v>Черкасов Евгений Викторович</v>
          </cell>
          <cell r="D202">
            <v>79168648888</v>
          </cell>
          <cell r="G202">
            <v>89168648888</v>
          </cell>
        </row>
        <row r="203">
          <cell r="B203" t="str">
            <v>Галёна Ольга Владимировна</v>
          </cell>
          <cell r="D203">
            <v>79052670497</v>
          </cell>
          <cell r="G203">
            <v>89052670497</v>
          </cell>
        </row>
        <row r="204">
          <cell r="B204" t="str">
            <v>Чертов Алексей Владимирович</v>
          </cell>
          <cell r="D204">
            <v>79163203411</v>
          </cell>
          <cell r="G204">
            <v>89163203411</v>
          </cell>
        </row>
        <row r="205">
          <cell r="B205" t="str">
            <v>Миронов Александр Александрович</v>
          </cell>
          <cell r="D205">
            <v>79263554908</v>
          </cell>
          <cell r="G205">
            <v>89263554908</v>
          </cell>
        </row>
        <row r="206">
          <cell r="B206" t="str">
            <v>Трифонов Николай Валентинович</v>
          </cell>
          <cell r="D206">
            <v>79117782442</v>
          </cell>
          <cell r="G206">
            <v>89117782442</v>
          </cell>
        </row>
        <row r="207">
          <cell r="B207" t="str">
            <v>Гулиев Адиль Джангирович</v>
          </cell>
          <cell r="D207">
            <v>79161090060</v>
          </cell>
          <cell r="G207">
            <v>89161090060</v>
          </cell>
        </row>
        <row r="208">
          <cell r="B208" t="str">
            <v>Абраамян Арут Ширазович</v>
          </cell>
          <cell r="D208">
            <v>79647779397</v>
          </cell>
          <cell r="G208">
            <v>79647779397</v>
          </cell>
        </row>
        <row r="209">
          <cell r="B209" t="str">
            <v>Лысяк Яна Вадимовна</v>
          </cell>
          <cell r="D209">
            <v>79653185028</v>
          </cell>
          <cell r="G209">
            <v>89653185028</v>
          </cell>
        </row>
        <row r="210">
          <cell r="B210" t="str">
            <v>Скопинов Иван Алексеевич</v>
          </cell>
          <cell r="D210">
            <v>79267586613</v>
          </cell>
          <cell r="G210">
            <v>79267586613</v>
          </cell>
        </row>
        <row r="211">
          <cell r="B211" t="str">
            <v>Салихов Нурмагамед Гусенович</v>
          </cell>
          <cell r="D211">
            <v>79064466686</v>
          </cell>
          <cell r="G211">
            <v>89064466686</v>
          </cell>
        </row>
        <row r="212">
          <cell r="B212" t="str">
            <v>Ерохина Маргарида дэ Матушь</v>
          </cell>
          <cell r="D212">
            <v>79774130804</v>
          </cell>
          <cell r="G212">
            <v>79774130804</v>
          </cell>
        </row>
        <row r="213">
          <cell r="B213" t="str">
            <v>Островский Кирилл Эдуардович</v>
          </cell>
          <cell r="D213">
            <v>79104122412</v>
          </cell>
          <cell r="E213">
            <v>79853525372</v>
          </cell>
          <cell r="G213">
            <v>79104122412</v>
          </cell>
        </row>
        <row r="214">
          <cell r="B214" t="str">
            <v>Дядченко Елена Валентиновна</v>
          </cell>
          <cell r="D214">
            <v>79852928484</v>
          </cell>
          <cell r="G214">
            <v>79852928484</v>
          </cell>
        </row>
        <row r="215">
          <cell r="B215" t="str">
            <v>Морозкина Наталья Сергеевна</v>
          </cell>
          <cell r="D215">
            <v>79998833823</v>
          </cell>
          <cell r="G215">
            <v>89998833823</v>
          </cell>
        </row>
        <row r="216">
          <cell r="B216" t="str">
            <v>Четверикова Ирина Алексеевна</v>
          </cell>
          <cell r="D216">
            <v>79099632438</v>
          </cell>
          <cell r="E216">
            <v>79099632438</v>
          </cell>
          <cell r="G216">
            <v>79099632438</v>
          </cell>
        </row>
        <row r="217">
          <cell r="B217" t="str">
            <v>Хотенова Елена Витальевна</v>
          </cell>
          <cell r="D217">
            <v>79169479478</v>
          </cell>
          <cell r="G217">
            <v>79169479478</v>
          </cell>
        </row>
        <row r="218">
          <cell r="B218" t="str">
            <v>Теслюк Игорь Анатольевич</v>
          </cell>
          <cell r="D218">
            <v>79096888811</v>
          </cell>
          <cell r="G218">
            <v>79096888811</v>
          </cell>
        </row>
        <row r="219">
          <cell r="B219" t="str">
            <v>Снегирёв Сергей Викторович</v>
          </cell>
          <cell r="D219">
            <v>79161527901</v>
          </cell>
          <cell r="G219">
            <v>89161527901</v>
          </cell>
        </row>
        <row r="220">
          <cell r="B220" t="str">
            <v>Додохова Анна Николаевна</v>
          </cell>
          <cell r="D220">
            <v>79851610177</v>
          </cell>
          <cell r="G220">
            <v>89851610177</v>
          </cell>
        </row>
        <row r="221">
          <cell r="B221" t="str">
            <v>Крюков Сергей Викторович</v>
          </cell>
          <cell r="D221">
            <v>79037968869</v>
          </cell>
          <cell r="E221">
            <v>79037968869</v>
          </cell>
          <cell r="G221">
            <v>79037968869</v>
          </cell>
        </row>
        <row r="222">
          <cell r="B222" t="str">
            <v>Семочкин Владимир Владимирович</v>
          </cell>
          <cell r="D222">
            <v>79251163575</v>
          </cell>
          <cell r="G222">
            <v>89251163575</v>
          </cell>
        </row>
        <row r="223">
          <cell r="B223" t="str">
            <v>Баханцов Семен Владимирович</v>
          </cell>
          <cell r="D223">
            <v>79062888444</v>
          </cell>
          <cell r="E223">
            <v>79062888444</v>
          </cell>
          <cell r="G223">
            <v>79062888444</v>
          </cell>
        </row>
        <row r="224">
          <cell r="B224" t="str">
            <v>Сальников Вячеслав Витальевич</v>
          </cell>
          <cell r="D224">
            <v>79778623009</v>
          </cell>
          <cell r="G224">
            <v>79778623009</v>
          </cell>
        </row>
        <row r="225">
          <cell r="B225" t="str">
            <v>Озёрская Дарья Семеновна</v>
          </cell>
          <cell r="D225">
            <v>79509157587</v>
          </cell>
          <cell r="G225">
            <v>89509157587</v>
          </cell>
        </row>
        <row r="226">
          <cell r="B226" t="str">
            <v>Бардин Андрей Юрьевич</v>
          </cell>
          <cell r="D226">
            <v>79055070028</v>
          </cell>
          <cell r="G226">
            <v>79055070028</v>
          </cell>
        </row>
        <row r="227">
          <cell r="B227" t="str">
            <v>Ильченко Анастасия Сергеевна</v>
          </cell>
          <cell r="D227">
            <v>79261613726</v>
          </cell>
          <cell r="G227">
            <v>89261613726</v>
          </cell>
        </row>
        <row r="228">
          <cell r="B228" t="str">
            <v>Протасов Александр Николаевич</v>
          </cell>
          <cell r="D228">
            <v>79672651789</v>
          </cell>
          <cell r="G228">
            <v>79672651789</v>
          </cell>
        </row>
        <row r="229">
          <cell r="B229" t="str">
            <v>Храпов Андрей Анатольевич</v>
          </cell>
          <cell r="D229">
            <v>79855372096</v>
          </cell>
          <cell r="G229">
            <v>89855372096</v>
          </cell>
        </row>
        <row r="230">
          <cell r="B230" t="str">
            <v>Григорьева Наталья Владимировна</v>
          </cell>
          <cell r="D230">
            <v>79629696550</v>
          </cell>
          <cell r="G230">
            <v>79629696550</v>
          </cell>
        </row>
        <row r="231">
          <cell r="B231" t="str">
            <v>Атакишиев Гасым Гара Оглы</v>
          </cell>
          <cell r="D231">
            <v>79264845959</v>
          </cell>
          <cell r="G231">
            <v>89264845959</v>
          </cell>
        </row>
        <row r="232">
          <cell r="B232" t="str">
            <v>Мамбетов Менглибий Курманбиевич</v>
          </cell>
          <cell r="D232">
            <v>79312169844</v>
          </cell>
          <cell r="G232">
            <v>79312169844</v>
          </cell>
        </row>
        <row r="233">
          <cell r="B233" t="str">
            <v>Голота Илья Викторович</v>
          </cell>
          <cell r="D233">
            <v>79267580129</v>
          </cell>
          <cell r="G233">
            <v>79267580129</v>
          </cell>
        </row>
        <row r="234">
          <cell r="B234" t="str">
            <v>Гайдарлы Андрей Васильевич</v>
          </cell>
          <cell r="D234">
            <v>79104231108</v>
          </cell>
          <cell r="G234">
            <v>79104231108</v>
          </cell>
        </row>
        <row r="235">
          <cell r="B235" t="str">
            <v>Алымов Владимир Алексеевич</v>
          </cell>
          <cell r="D235">
            <v>79154111561</v>
          </cell>
          <cell r="G235">
            <v>79154111561</v>
          </cell>
        </row>
        <row r="236">
          <cell r="B236" t="str">
            <v>Сарибаева Эльнара Исмаиловна</v>
          </cell>
          <cell r="D236">
            <v>79118292202</v>
          </cell>
          <cell r="G236">
            <v>79118292202</v>
          </cell>
        </row>
        <row r="237">
          <cell r="B237" t="str">
            <v>Казанцева Альбина Валерьевна</v>
          </cell>
          <cell r="D237">
            <v>79686636333</v>
          </cell>
          <cell r="G237">
            <v>79150774249</v>
          </cell>
        </row>
        <row r="238">
          <cell r="B238" t="str">
            <v>Ефимчук Олег Николаевич</v>
          </cell>
          <cell r="D238">
            <v>79161465673</v>
          </cell>
          <cell r="G238">
            <v>79161465673</v>
          </cell>
        </row>
        <row r="239">
          <cell r="B239" t="str">
            <v>Алимирзаев Мурад Нурмагомедович</v>
          </cell>
          <cell r="D239">
            <v>79057420923</v>
          </cell>
          <cell r="G239">
            <v>79057420923</v>
          </cell>
        </row>
        <row r="240">
          <cell r="B240" t="str">
            <v>Дагиров Рустам Шамсутдинович</v>
          </cell>
          <cell r="D240">
            <v>79260559936</v>
          </cell>
          <cell r="G240">
            <v>79260559936</v>
          </cell>
        </row>
        <row r="241">
          <cell r="B241" t="str">
            <v>Кисенко Евгений Николаевич</v>
          </cell>
          <cell r="D241">
            <v>79259144229</v>
          </cell>
          <cell r="G241">
            <v>79259144229</v>
          </cell>
        </row>
        <row r="242">
          <cell r="B242" t="str">
            <v>Егоров Сергей Владимирович</v>
          </cell>
          <cell r="D242">
            <v>79017129658</v>
          </cell>
          <cell r="G242">
            <v>79017129658</v>
          </cell>
        </row>
        <row r="243">
          <cell r="B243" t="str">
            <v>Сельцова Наталья Юрьевна</v>
          </cell>
          <cell r="D243">
            <v>79031244788</v>
          </cell>
          <cell r="G243">
            <v>79031244788</v>
          </cell>
        </row>
        <row r="244">
          <cell r="B244" t="str">
            <v>Секриеру Вячеслав Андреевич</v>
          </cell>
          <cell r="D244">
            <v>79257845767</v>
          </cell>
          <cell r="G244">
            <v>89257845767</v>
          </cell>
        </row>
        <row r="245">
          <cell r="B245" t="str">
            <v>Жарков Камиль Орифжонович</v>
          </cell>
          <cell r="D245">
            <v>79036663133</v>
          </cell>
          <cell r="E245">
            <v>79036663133</v>
          </cell>
          <cell r="G245">
            <v>79036663133</v>
          </cell>
        </row>
        <row r="246">
          <cell r="B246" t="str">
            <v>Борисов Максим Валерьевич</v>
          </cell>
          <cell r="D246">
            <v>79164758181</v>
          </cell>
          <cell r="G246">
            <v>89164758181</v>
          </cell>
        </row>
        <row r="247">
          <cell r="B247" t="str">
            <v>Сергеева Светлана Викторовна</v>
          </cell>
          <cell r="D247">
            <v>79036148007</v>
          </cell>
          <cell r="G247">
            <v>89036148007</v>
          </cell>
        </row>
        <row r="248">
          <cell r="B248" t="str">
            <v>Хасанханов Абдул Юсупович</v>
          </cell>
          <cell r="D248">
            <v>79250555742</v>
          </cell>
          <cell r="E248">
            <v>79267504045</v>
          </cell>
          <cell r="G248">
            <v>79250555742</v>
          </cell>
        </row>
        <row r="249">
          <cell r="B249" t="str">
            <v>Мачкалян Оганнес Саргисович</v>
          </cell>
          <cell r="D249">
            <v>79680000208</v>
          </cell>
          <cell r="G249">
            <v>79680000208</v>
          </cell>
        </row>
        <row r="250">
          <cell r="B250" t="str">
            <v>Петухов Евгений Владимирович</v>
          </cell>
          <cell r="D250">
            <v>79213566544</v>
          </cell>
          <cell r="G250">
            <v>79213566544</v>
          </cell>
        </row>
        <row r="251">
          <cell r="B251" t="str">
            <v>Каверин Владимир Геннадьевич</v>
          </cell>
          <cell r="D251">
            <v>79253915548</v>
          </cell>
          <cell r="G251">
            <v>79253915548</v>
          </cell>
        </row>
        <row r="252">
          <cell r="B252" t="str">
            <v>Солохин Александр Игоревич</v>
          </cell>
          <cell r="D252">
            <v>79152122617</v>
          </cell>
          <cell r="G252">
            <v>89152122617</v>
          </cell>
        </row>
        <row r="253">
          <cell r="B253" t="str">
            <v>Пугин Дмитрий Михайлович</v>
          </cell>
          <cell r="D253">
            <v>79260621118</v>
          </cell>
          <cell r="E253">
            <v>79260621118</v>
          </cell>
          <cell r="G253">
            <v>79260621118</v>
          </cell>
        </row>
        <row r="254">
          <cell r="B254" t="str">
            <v>Гусев Владимир Николаевич</v>
          </cell>
          <cell r="D254">
            <v>79060330420</v>
          </cell>
          <cell r="E254">
            <v>89057584727</v>
          </cell>
          <cell r="G254">
            <v>79060330420</v>
          </cell>
        </row>
        <row r="255">
          <cell r="B255" t="str">
            <v>Гусейинов Рафиг Шамил</v>
          </cell>
          <cell r="D255">
            <v>79670963535</v>
          </cell>
          <cell r="G255">
            <v>79670963535</v>
          </cell>
        </row>
        <row r="256">
          <cell r="B256" t="str">
            <v>Степанов Алексей Владимирович</v>
          </cell>
          <cell r="D256">
            <v>79219185170</v>
          </cell>
          <cell r="G256">
            <v>79219185170</v>
          </cell>
        </row>
        <row r="257">
          <cell r="B257" t="str">
            <v>Мошкин Андрей Викторович</v>
          </cell>
          <cell r="D257">
            <v>79164441499</v>
          </cell>
          <cell r="G257">
            <v>79164441499</v>
          </cell>
        </row>
        <row r="258">
          <cell r="B258" t="str">
            <v>Алексанян Карине Размиковна</v>
          </cell>
          <cell r="D258">
            <v>79816981215</v>
          </cell>
          <cell r="G258">
            <v>89816981215</v>
          </cell>
        </row>
        <row r="259">
          <cell r="B259" t="str">
            <v>Ефремов Николай Михайлович</v>
          </cell>
          <cell r="D259">
            <v>79006366037</v>
          </cell>
          <cell r="G259">
            <v>79006366087</v>
          </cell>
        </row>
        <row r="260">
          <cell r="B260" t="str">
            <v>Струнгарь Григорий Васильевич</v>
          </cell>
          <cell r="D260">
            <v>79661018911</v>
          </cell>
          <cell r="G260">
            <v>79661018911</v>
          </cell>
        </row>
        <row r="261">
          <cell r="B261" t="str">
            <v>Тимошинин Сергей Сергеевич</v>
          </cell>
          <cell r="D261">
            <v>79250281798</v>
          </cell>
          <cell r="G261">
            <v>79250281798</v>
          </cell>
        </row>
        <row r="262">
          <cell r="B262" t="str">
            <v>Москалев Ярослав Вячеславович</v>
          </cell>
          <cell r="D262">
            <v>79218649897</v>
          </cell>
          <cell r="G262">
            <v>89218649897</v>
          </cell>
        </row>
        <row r="263">
          <cell r="B263" t="str">
            <v>Печников Алексей Олегович</v>
          </cell>
          <cell r="D263">
            <v>79263771273</v>
          </cell>
          <cell r="E263">
            <v>79263771273</v>
          </cell>
          <cell r="G263">
            <v>79263771273</v>
          </cell>
        </row>
        <row r="264">
          <cell r="B264" t="str">
            <v>Гюльбалаев Азамат Шарфитдинович</v>
          </cell>
          <cell r="D264">
            <v>79672695733</v>
          </cell>
          <cell r="G264">
            <v>79672695733</v>
          </cell>
        </row>
        <row r="265">
          <cell r="B265" t="str">
            <v>Королев Максим Владимирович</v>
          </cell>
          <cell r="D265">
            <v>79852156157</v>
          </cell>
          <cell r="G265">
            <v>79852156157</v>
          </cell>
        </row>
        <row r="266">
          <cell r="B266" t="str">
            <v>Гордеев Дмитрий Романович</v>
          </cell>
          <cell r="D266">
            <v>79689060307</v>
          </cell>
          <cell r="G266">
            <v>79689060307</v>
          </cell>
        </row>
        <row r="267">
          <cell r="B267" t="str">
            <v>Недялков Алексей Иванович</v>
          </cell>
          <cell r="D267">
            <v>79264923565</v>
          </cell>
          <cell r="G267">
            <v>89264923565</v>
          </cell>
        </row>
        <row r="268">
          <cell r="B268" t="str">
            <v>Павлов Владимир Геннадьевич</v>
          </cell>
          <cell r="D268">
            <v>79523718333</v>
          </cell>
          <cell r="E268">
            <v>79523718333</v>
          </cell>
          <cell r="G268">
            <v>79523718333</v>
          </cell>
        </row>
        <row r="269">
          <cell r="B269" t="str">
            <v>Серов Лев Николаевич</v>
          </cell>
          <cell r="D269">
            <v>79637153829</v>
          </cell>
          <cell r="G269">
            <v>79637153829</v>
          </cell>
        </row>
        <row r="270">
          <cell r="B270" t="str">
            <v>Ожован Андриан Васильевич</v>
          </cell>
          <cell r="D270">
            <v>79260353798</v>
          </cell>
          <cell r="G270">
            <v>79260353798</v>
          </cell>
        </row>
        <row r="271">
          <cell r="B271" t="str">
            <v>Поддубный Николай Станиславович</v>
          </cell>
          <cell r="D271">
            <v>79175996075</v>
          </cell>
          <cell r="G271">
            <v>89175996075</v>
          </cell>
        </row>
        <row r="272">
          <cell r="B272" t="str">
            <v>Барчукова Марина Алексеевна</v>
          </cell>
          <cell r="D272">
            <v>79186655116</v>
          </cell>
          <cell r="G272">
            <v>89186655116</v>
          </cell>
        </row>
        <row r="273">
          <cell r="B273" t="str">
            <v>Егоршева Ирина Александровна</v>
          </cell>
          <cell r="D273">
            <v>79037716969</v>
          </cell>
          <cell r="G273">
            <v>79037716969</v>
          </cell>
        </row>
        <row r="274">
          <cell r="B274" t="str">
            <v>Манукян Вардан Эмильевич</v>
          </cell>
          <cell r="G274">
            <v>79182011137</v>
          </cell>
        </row>
        <row r="275">
          <cell r="B275" t="str">
            <v>Овчинников Виталий Сергеевич</v>
          </cell>
          <cell r="D275">
            <v>79181530907</v>
          </cell>
          <cell r="G275">
            <v>89181530907</v>
          </cell>
        </row>
        <row r="276">
          <cell r="B276" t="str">
            <v>Сапрыкин Сергей Владимирович</v>
          </cell>
          <cell r="D276">
            <v>79218744541</v>
          </cell>
          <cell r="G276">
            <v>79218744541</v>
          </cell>
        </row>
        <row r="277">
          <cell r="B277" t="str">
            <v>Барамия Иракли Роинович</v>
          </cell>
          <cell r="D277">
            <v>79181067474</v>
          </cell>
          <cell r="G277">
            <v>89181067474</v>
          </cell>
        </row>
        <row r="278">
          <cell r="B278" t="str">
            <v>Казеев Радмир Рамирович</v>
          </cell>
          <cell r="D278">
            <v>79507357541</v>
          </cell>
          <cell r="G278">
            <v>79507357541</v>
          </cell>
        </row>
        <row r="279">
          <cell r="B279" t="str">
            <v>Шагивалеев Азат Азатович</v>
          </cell>
          <cell r="D279">
            <v>79152585727</v>
          </cell>
          <cell r="G279">
            <v>89152585727</v>
          </cell>
        </row>
        <row r="280">
          <cell r="B280" t="str">
            <v>Заргаров Насиб Зияддин Оглы</v>
          </cell>
          <cell r="D280">
            <v>79031415151</v>
          </cell>
          <cell r="G280">
            <v>89031415151</v>
          </cell>
        </row>
        <row r="281">
          <cell r="B281" t="str">
            <v>Исаченков Сергей Алексеевич</v>
          </cell>
          <cell r="D281">
            <v>79055468135</v>
          </cell>
          <cell r="G281">
            <v>79055468135</v>
          </cell>
        </row>
        <row r="282">
          <cell r="B282" t="str">
            <v>Калантарян Артур Вазгени</v>
          </cell>
          <cell r="D282">
            <v>79263078831</v>
          </cell>
          <cell r="E282">
            <v>79263078831</v>
          </cell>
          <cell r="G282">
            <v>79263078831</v>
          </cell>
        </row>
        <row r="283">
          <cell r="B283" t="str">
            <v>Садкеев Игорь Евгеньевич</v>
          </cell>
          <cell r="D283">
            <v>79851613318</v>
          </cell>
          <cell r="G283">
            <v>89851613318</v>
          </cell>
        </row>
        <row r="284">
          <cell r="B284" t="str">
            <v>Григоренко Андрей Николаевич</v>
          </cell>
          <cell r="D284">
            <v>79811676768</v>
          </cell>
          <cell r="G284">
            <v>79811676768</v>
          </cell>
        </row>
        <row r="285">
          <cell r="B285" t="str">
            <v>Дарвичева Татьяна Викторовна</v>
          </cell>
          <cell r="D285">
            <v>79649401001</v>
          </cell>
          <cell r="E285">
            <v>79649401001</v>
          </cell>
          <cell r="G285">
            <v>79649401001</v>
          </cell>
        </row>
        <row r="286">
          <cell r="B286" t="str">
            <v>Богданова Марина Алексеевна</v>
          </cell>
          <cell r="D286">
            <v>79615943904</v>
          </cell>
          <cell r="G286">
            <v>79282740144</v>
          </cell>
        </row>
        <row r="287">
          <cell r="B287" t="str">
            <v>Трофимов Олег Владимирович</v>
          </cell>
          <cell r="D287">
            <v>79250073343</v>
          </cell>
          <cell r="G287">
            <v>79250073343</v>
          </cell>
        </row>
        <row r="288">
          <cell r="B288" t="str">
            <v>Вдовец Сергей Викторович</v>
          </cell>
          <cell r="D288">
            <v>79037832876</v>
          </cell>
          <cell r="G288">
            <v>79037832876</v>
          </cell>
        </row>
        <row r="289">
          <cell r="B289" t="str">
            <v>Семочкин Владимир Владимирович</v>
          </cell>
          <cell r="D289">
            <v>79251163575</v>
          </cell>
          <cell r="G289">
            <v>89251163575</v>
          </cell>
        </row>
        <row r="290">
          <cell r="B290" t="str">
            <v>Бычков Алексей Александрович</v>
          </cell>
          <cell r="D290">
            <v>79261551735</v>
          </cell>
          <cell r="G290">
            <v>89261551735</v>
          </cell>
        </row>
        <row r="291">
          <cell r="B291" t="str">
            <v>Сорокин Руслан Энриевич</v>
          </cell>
          <cell r="D291">
            <v>79853377416</v>
          </cell>
          <cell r="G291">
            <v>89853377416</v>
          </cell>
        </row>
        <row r="292">
          <cell r="B292" t="str">
            <v>Коцуба Андрей Сергеевич</v>
          </cell>
          <cell r="D292">
            <v>79886733377</v>
          </cell>
          <cell r="G292">
            <v>79886733377</v>
          </cell>
        </row>
        <row r="293">
          <cell r="B293" t="str">
            <v>Харламов Артем Сергеевич</v>
          </cell>
          <cell r="D293">
            <v>79771010404</v>
          </cell>
          <cell r="G293">
            <v>79771010404</v>
          </cell>
        </row>
        <row r="294">
          <cell r="B294" t="str">
            <v>Макаров Алексей Александрович1</v>
          </cell>
          <cell r="D294">
            <v>79099928726</v>
          </cell>
          <cell r="G294">
            <v>89099928726</v>
          </cell>
        </row>
        <row r="295">
          <cell r="B295" t="str">
            <v>Барышникова Александра Андреевна</v>
          </cell>
          <cell r="D295">
            <v>79645995184</v>
          </cell>
          <cell r="G295">
            <v>79645995184</v>
          </cell>
        </row>
        <row r="296">
          <cell r="B296" t="str">
            <v>Коврик Леонид Николаевич</v>
          </cell>
          <cell r="D296">
            <v>79262227441</v>
          </cell>
          <cell r="G296">
            <v>89262227441</v>
          </cell>
        </row>
        <row r="297">
          <cell r="B297" t="str">
            <v>Пашков Андрей Александрович</v>
          </cell>
          <cell r="D297">
            <v>79161085064</v>
          </cell>
          <cell r="E297">
            <v>79161085064</v>
          </cell>
          <cell r="G297">
            <v>79161085064</v>
          </cell>
        </row>
        <row r="298">
          <cell r="B298" t="str">
            <v>Белинский Сергей Игоревич</v>
          </cell>
          <cell r="D298">
            <v>79857777525</v>
          </cell>
          <cell r="G298">
            <v>89857777525</v>
          </cell>
        </row>
        <row r="299">
          <cell r="B299" t="str">
            <v>Лямин Сергей Александрович</v>
          </cell>
          <cell r="D299">
            <v>79811985778</v>
          </cell>
          <cell r="G299">
            <v>79811985778</v>
          </cell>
        </row>
        <row r="300">
          <cell r="B300" t="str">
            <v>Степанян Степан Бахтиярович</v>
          </cell>
          <cell r="D300">
            <v>79897501234</v>
          </cell>
          <cell r="G300">
            <v>79897501234</v>
          </cell>
        </row>
        <row r="301">
          <cell r="B301" t="str">
            <v>Беляев Андрей Сергеевич</v>
          </cell>
          <cell r="D301">
            <v>79628712731</v>
          </cell>
          <cell r="G301">
            <v>89628712731</v>
          </cell>
        </row>
        <row r="302">
          <cell r="B302" t="str">
            <v>Иванец Дмитрий Андреевич</v>
          </cell>
          <cell r="D302">
            <v>79214459367</v>
          </cell>
          <cell r="G302">
            <v>79214459367</v>
          </cell>
        </row>
        <row r="303">
          <cell r="B303" t="str">
            <v>Зияев Азиз Джамшедович</v>
          </cell>
          <cell r="D303">
            <v>79997114444</v>
          </cell>
          <cell r="G303">
            <v>89997114444</v>
          </cell>
        </row>
        <row r="304">
          <cell r="B304" t="str">
            <v>Зияев Азиз Джамшедович</v>
          </cell>
          <cell r="D304">
            <v>79997114444</v>
          </cell>
          <cell r="G304">
            <v>89997114444</v>
          </cell>
        </row>
        <row r="305">
          <cell r="B305" t="str">
            <v>Зияев Азиз Джамшедович</v>
          </cell>
          <cell r="D305">
            <v>79997114444</v>
          </cell>
          <cell r="G305">
            <v>89997114444</v>
          </cell>
        </row>
        <row r="306">
          <cell r="B306" t="str">
            <v>Зияев Азиз Джамшедович</v>
          </cell>
          <cell r="D306">
            <v>79997114444</v>
          </cell>
          <cell r="G306">
            <v>89997114444</v>
          </cell>
        </row>
        <row r="307">
          <cell r="B307" t="str">
            <v>Гребнев Юрий Александрович</v>
          </cell>
          <cell r="D307">
            <v>79627090099</v>
          </cell>
          <cell r="G307">
            <v>79627087474</v>
          </cell>
        </row>
        <row r="308">
          <cell r="B308" t="str">
            <v>Гребнев Юрий Александрович</v>
          </cell>
          <cell r="D308">
            <v>79627090099</v>
          </cell>
          <cell r="G308">
            <v>79627087474</v>
          </cell>
        </row>
        <row r="309">
          <cell r="B309" t="str">
            <v>Никитина Анастасия Витальевна</v>
          </cell>
          <cell r="D309">
            <v>79777226790</v>
          </cell>
          <cell r="G309">
            <v>79777226790</v>
          </cell>
        </row>
        <row r="310">
          <cell r="B310" t="str">
            <v>Батурин Василий Михайлович</v>
          </cell>
          <cell r="D310">
            <v>79251502107</v>
          </cell>
          <cell r="G310">
            <v>89251502107</v>
          </cell>
        </row>
        <row r="311">
          <cell r="B311" t="str">
            <v>Ожован Андриан Васильевич</v>
          </cell>
          <cell r="D311">
            <v>79260353798</v>
          </cell>
          <cell r="G311">
            <v>79260353798</v>
          </cell>
        </row>
        <row r="312">
          <cell r="B312" t="str">
            <v>Петрухин Анатолий Васильевич</v>
          </cell>
          <cell r="D312">
            <v>79183629001</v>
          </cell>
          <cell r="G312">
            <v>89183629001</v>
          </cell>
        </row>
        <row r="313">
          <cell r="B313" t="str">
            <v>Ромайкина Анна Андреевна</v>
          </cell>
          <cell r="D313">
            <v>79031286811</v>
          </cell>
          <cell r="G313">
            <v>79031286811</v>
          </cell>
        </row>
        <row r="314">
          <cell r="B314" t="str">
            <v>Никитенков Владислав Анатольевич</v>
          </cell>
          <cell r="D314">
            <v>79522134949</v>
          </cell>
          <cell r="E314">
            <v>79522134949</v>
          </cell>
          <cell r="G314">
            <v>79522134949</v>
          </cell>
        </row>
        <row r="315">
          <cell r="B315" t="str">
            <v>Груничев Александр Леонидович</v>
          </cell>
          <cell r="D315">
            <v>79213673273</v>
          </cell>
          <cell r="G315">
            <v>79213673273</v>
          </cell>
        </row>
        <row r="316">
          <cell r="B316" t="str">
            <v>Чокуев Жаркынбек Калыбекович</v>
          </cell>
          <cell r="D316">
            <v>79636239373</v>
          </cell>
          <cell r="G316">
            <v>79636239373</v>
          </cell>
        </row>
        <row r="317">
          <cell r="B317" t="str">
            <v>Заманов Сулейман Валех оглы</v>
          </cell>
          <cell r="D317">
            <v>79150554143</v>
          </cell>
          <cell r="G317">
            <v>79150554143</v>
          </cell>
        </row>
        <row r="318">
          <cell r="B318" t="str">
            <v>Потапов Виталий Борисович</v>
          </cell>
          <cell r="D318">
            <v>79885596245</v>
          </cell>
          <cell r="G318">
            <v>79885596245</v>
          </cell>
        </row>
        <row r="319">
          <cell r="B319" t="str">
            <v>Комаров Роман Иванович</v>
          </cell>
          <cell r="D319">
            <v>89165326132</v>
          </cell>
          <cell r="G319">
            <v>89165326132</v>
          </cell>
        </row>
        <row r="320">
          <cell r="B320" t="str">
            <v>Рубайло Андрей Евгеньевич</v>
          </cell>
          <cell r="D320">
            <v>79067751593</v>
          </cell>
          <cell r="G320">
            <v>89067751593</v>
          </cell>
        </row>
        <row r="321">
          <cell r="B321" t="str">
            <v>Соломатин Алексей Юрьевич</v>
          </cell>
          <cell r="D321">
            <v>79856007744</v>
          </cell>
          <cell r="E321">
            <v>79856007744</v>
          </cell>
          <cell r="G321">
            <v>79856007744</v>
          </cell>
        </row>
        <row r="322">
          <cell r="B322" t="str">
            <v>Алихасов Александр Эдуардович</v>
          </cell>
          <cell r="D322">
            <v>79060888688</v>
          </cell>
          <cell r="G322">
            <v>89060888688</v>
          </cell>
        </row>
        <row r="323">
          <cell r="B323" t="str">
            <v>Кандаков Хайдарали Махмадрузиевич</v>
          </cell>
          <cell r="D323">
            <v>79855155844</v>
          </cell>
          <cell r="G323">
            <v>79855155844</v>
          </cell>
        </row>
        <row r="324">
          <cell r="B324" t="str">
            <v>Гуциев Илес Эдильбекович</v>
          </cell>
          <cell r="D324">
            <v>79250599777</v>
          </cell>
          <cell r="G324">
            <v>79250599777</v>
          </cell>
        </row>
        <row r="325">
          <cell r="B325" t="str">
            <v>Обозина Любовь Сергеевна</v>
          </cell>
          <cell r="D325">
            <v>79663397443</v>
          </cell>
          <cell r="G325">
            <v>79663397443</v>
          </cell>
        </row>
        <row r="326">
          <cell r="B326" t="str">
            <v>Чикунов Дмитрий Александрович</v>
          </cell>
          <cell r="D326">
            <v>79099630213</v>
          </cell>
          <cell r="G326">
            <v>89099630213</v>
          </cell>
        </row>
        <row r="327">
          <cell r="B327" t="str">
            <v>Бурков Анатолий Александрович</v>
          </cell>
          <cell r="D327">
            <v>79175659463</v>
          </cell>
          <cell r="G327">
            <v>79175659463</v>
          </cell>
        </row>
        <row r="328">
          <cell r="B328" t="str">
            <v>Гуциев Илес Эдильбекович</v>
          </cell>
          <cell r="D328">
            <v>79250599777</v>
          </cell>
          <cell r="G328">
            <v>79250599777</v>
          </cell>
        </row>
        <row r="329">
          <cell r="B329" t="str">
            <v>Серов Лев Николаевич</v>
          </cell>
          <cell r="D329">
            <v>79637153829</v>
          </cell>
          <cell r="G329">
            <v>79637153829</v>
          </cell>
        </row>
        <row r="330">
          <cell r="B330" t="str">
            <v>Хачатрян Сергей Сейранович</v>
          </cell>
          <cell r="D330">
            <v>79636499539</v>
          </cell>
          <cell r="G330">
            <v>79636499539</v>
          </cell>
        </row>
        <row r="331">
          <cell r="B331" t="str">
            <v>Белов Александр Сергеевич</v>
          </cell>
          <cell r="D331">
            <v>79099391969</v>
          </cell>
          <cell r="G331" t="str">
            <v>89099391969, 89150126184</v>
          </cell>
        </row>
        <row r="332">
          <cell r="B332" t="str">
            <v>Баулин Андрей Валерьевич</v>
          </cell>
          <cell r="D332">
            <v>79653312353</v>
          </cell>
          <cell r="G332">
            <v>79653312353</v>
          </cell>
        </row>
        <row r="333">
          <cell r="B333" t="str">
            <v>Беляев Алексей Васильевич</v>
          </cell>
          <cell r="D333">
            <v>79818488965</v>
          </cell>
          <cell r="G333">
            <v>89818488965</v>
          </cell>
        </row>
        <row r="334">
          <cell r="B334" t="str">
            <v>Громов Вячеслав Александрович</v>
          </cell>
          <cell r="D334">
            <v>79602588237</v>
          </cell>
          <cell r="G334">
            <v>79602588237</v>
          </cell>
        </row>
        <row r="335">
          <cell r="B335" t="str">
            <v>Змиевский Владимир Владимирович</v>
          </cell>
          <cell r="D335">
            <v>79062610803</v>
          </cell>
          <cell r="G335">
            <v>79062610803</v>
          </cell>
        </row>
        <row r="336">
          <cell r="B336" t="str">
            <v>Романов Евгений Юрьевич</v>
          </cell>
          <cell r="D336">
            <v>79161111516</v>
          </cell>
          <cell r="G336">
            <v>79161111516</v>
          </cell>
        </row>
        <row r="337">
          <cell r="B337" t="str">
            <v>Галанина Юлия Александровна</v>
          </cell>
          <cell r="D337">
            <v>79104237555</v>
          </cell>
          <cell r="G337">
            <v>79104237555</v>
          </cell>
        </row>
        <row r="338">
          <cell r="B338" t="str">
            <v>Фролов Геннадий Вольдемарович</v>
          </cell>
          <cell r="D338">
            <v>79167500454</v>
          </cell>
          <cell r="E338">
            <v>79167500454</v>
          </cell>
          <cell r="G338">
            <v>79167500454</v>
          </cell>
        </row>
        <row r="339">
          <cell r="B339" t="str">
            <v>Морозов Евгений Станиславович</v>
          </cell>
          <cell r="D339">
            <v>79165890435</v>
          </cell>
          <cell r="G339">
            <v>79165890435</v>
          </cell>
        </row>
        <row r="340">
          <cell r="B340" t="str">
            <v>Сорокина Наталья Владимировна</v>
          </cell>
          <cell r="D340">
            <v>79267240919</v>
          </cell>
          <cell r="G340">
            <v>89267240919</v>
          </cell>
        </row>
        <row r="341">
          <cell r="B341" t="str">
            <v>Цилевич Александр Сергеевич</v>
          </cell>
          <cell r="D341">
            <v>79660932146</v>
          </cell>
          <cell r="G341">
            <v>89660932146</v>
          </cell>
        </row>
        <row r="342">
          <cell r="B342" t="str">
            <v>Башкатов Егор Иванович</v>
          </cell>
          <cell r="D342">
            <v>79119677172</v>
          </cell>
          <cell r="G342" t="str">
            <v>79119677172, 79110354575</v>
          </cell>
        </row>
        <row r="343">
          <cell r="B343" t="str">
            <v>Ивлева Ольга Николаевна</v>
          </cell>
          <cell r="D343">
            <v>79039650503</v>
          </cell>
          <cell r="G343">
            <v>89039650503</v>
          </cell>
        </row>
        <row r="344">
          <cell r="B344" t="str">
            <v>Биченов Сослан Эдуардович</v>
          </cell>
          <cell r="D344">
            <v>79057199949</v>
          </cell>
          <cell r="G344">
            <v>89057199949</v>
          </cell>
        </row>
        <row r="345">
          <cell r="B345" t="str">
            <v>Гоголев Александр Александрович</v>
          </cell>
          <cell r="D345">
            <v>79219788007</v>
          </cell>
          <cell r="G345">
            <v>79219788007</v>
          </cell>
        </row>
        <row r="346">
          <cell r="B346" t="str">
            <v>Черников Сергей Сергеевич</v>
          </cell>
          <cell r="D346">
            <v>79006556626</v>
          </cell>
          <cell r="G346">
            <v>79819698262</v>
          </cell>
        </row>
        <row r="347">
          <cell r="B347" t="str">
            <v>Захаров Евгений Николаевич 2</v>
          </cell>
          <cell r="D347">
            <v>79060977611</v>
          </cell>
          <cell r="G347">
            <v>89060977611</v>
          </cell>
        </row>
        <row r="348">
          <cell r="B348" t="str">
            <v>Корчагина Татьяна Юрьевна</v>
          </cell>
          <cell r="D348">
            <v>79244480555</v>
          </cell>
          <cell r="G348">
            <v>79244480555</v>
          </cell>
        </row>
        <row r="349">
          <cell r="B349" t="str">
            <v>Шурупова Екатерина Петровна</v>
          </cell>
          <cell r="D349">
            <v>79859707794</v>
          </cell>
          <cell r="G349">
            <v>89859707794</v>
          </cell>
        </row>
        <row r="350">
          <cell r="B350" t="str">
            <v>Кушнер Сергей Сергеевич</v>
          </cell>
          <cell r="D350">
            <v>79119696989</v>
          </cell>
          <cell r="G350">
            <v>79119696989</v>
          </cell>
        </row>
        <row r="351">
          <cell r="B351" t="str">
            <v>ООО "МФК "ВЗАИМНО"</v>
          </cell>
          <cell r="C351" t="str">
            <v>Гарифзянов Рустем Мухаммедович</v>
          </cell>
        </row>
        <row r="352">
          <cell r="B352" t="str">
            <v>ООО "МФК "ВЗАИМНО"</v>
          </cell>
          <cell r="C352" t="str">
            <v>Гарифзянов Рустем Мухаммедович</v>
          </cell>
        </row>
        <row r="353">
          <cell r="B353" t="str">
            <v>Рогальский Алексей Станиславович</v>
          </cell>
          <cell r="D353">
            <v>79296544736</v>
          </cell>
          <cell r="G353">
            <v>79296544736</v>
          </cell>
        </row>
        <row r="354">
          <cell r="B354" t="str">
            <v>Гордеева Наталья Николаевна</v>
          </cell>
          <cell r="D354">
            <v>79531512701</v>
          </cell>
          <cell r="G354">
            <v>79531512701</v>
          </cell>
        </row>
        <row r="355">
          <cell r="B355" t="str">
            <v>Сутько Максим Николаевич</v>
          </cell>
          <cell r="D355">
            <v>79217875907</v>
          </cell>
          <cell r="G355">
            <v>79217875907</v>
          </cell>
        </row>
        <row r="356">
          <cell r="B356" t="str">
            <v>Петрухин Анатолий Васильевич</v>
          </cell>
          <cell r="D356">
            <v>79183629001</v>
          </cell>
          <cell r="G356">
            <v>89183629001</v>
          </cell>
        </row>
        <row r="357">
          <cell r="B357" t="str">
            <v>Ермаков Кирилл Андреевич</v>
          </cell>
          <cell r="D357">
            <v>79055511185</v>
          </cell>
          <cell r="G357">
            <v>79055511185</v>
          </cell>
        </row>
        <row r="358">
          <cell r="B358" t="str">
            <v>Слепцова Маргарита Олеговна</v>
          </cell>
          <cell r="D358">
            <v>79161613613</v>
          </cell>
          <cell r="G358">
            <v>79161613613</v>
          </cell>
        </row>
        <row r="359">
          <cell r="B359" t="str">
            <v>Хижняк Лада Виталиевна</v>
          </cell>
          <cell r="D359">
            <v>79881304486</v>
          </cell>
          <cell r="G359">
            <v>79881304486</v>
          </cell>
        </row>
        <row r="360">
          <cell r="B360" t="str">
            <v>Осмаева Зулихан Авхадовна</v>
          </cell>
          <cell r="D360">
            <v>79261236273</v>
          </cell>
          <cell r="G360">
            <v>79261236273</v>
          </cell>
        </row>
        <row r="361">
          <cell r="B361" t="str">
            <v>Осмаев Ибрагим Исламович</v>
          </cell>
          <cell r="D361">
            <v>79969160095</v>
          </cell>
          <cell r="G361">
            <v>79969160095</v>
          </cell>
        </row>
        <row r="362">
          <cell r="B362" t="str">
            <v>Муллоев Хошимчон Пулотович</v>
          </cell>
          <cell r="D362">
            <v>79251441260</v>
          </cell>
          <cell r="G362">
            <v>79771055875</v>
          </cell>
        </row>
        <row r="363">
          <cell r="B363" t="str">
            <v>Билалов Имам Исламович</v>
          </cell>
          <cell r="D363">
            <v>79153045444</v>
          </cell>
          <cell r="G363">
            <v>79153045444</v>
          </cell>
        </row>
        <row r="364">
          <cell r="B364" t="str">
            <v>Слепцова Маргарита Олеговна</v>
          </cell>
          <cell r="D364">
            <v>79161613613</v>
          </cell>
          <cell r="G364">
            <v>79161613613</v>
          </cell>
        </row>
        <row r="365">
          <cell r="B365" t="str">
            <v>Азоев Стаматис Рудикович</v>
          </cell>
          <cell r="D365">
            <v>79250377827</v>
          </cell>
          <cell r="G365">
            <v>79250377827</v>
          </cell>
        </row>
        <row r="366">
          <cell r="B366" t="str">
            <v>Егоян Вард Баласанович</v>
          </cell>
          <cell r="D366">
            <v>79032135256</v>
          </cell>
          <cell r="E366">
            <v>79032135256</v>
          </cell>
          <cell r="G366">
            <v>79032135256</v>
          </cell>
        </row>
        <row r="367">
          <cell r="B367" t="str">
            <v>Члоян Геворк Мамбреович</v>
          </cell>
          <cell r="D367">
            <v>79032437959</v>
          </cell>
          <cell r="G367">
            <v>79032437959</v>
          </cell>
        </row>
        <row r="368">
          <cell r="B368" t="str">
            <v>Поляруш Ирина Валерьевна</v>
          </cell>
          <cell r="D368">
            <v>79050979789</v>
          </cell>
          <cell r="G368">
            <v>79050979789</v>
          </cell>
        </row>
        <row r="369">
          <cell r="B369" t="str">
            <v>Демченко Андрей Сергеевич</v>
          </cell>
          <cell r="D369">
            <v>79181848343</v>
          </cell>
          <cell r="G369">
            <v>79181848343</v>
          </cell>
        </row>
        <row r="370">
          <cell r="B370" t="str">
            <v>Демченко Андрей Сергеевич</v>
          </cell>
          <cell r="D370">
            <v>79181848343</v>
          </cell>
          <cell r="G370">
            <v>79181848343</v>
          </cell>
        </row>
        <row r="371">
          <cell r="B371" t="str">
            <v>Войцеховский Виталий Геннадьевич</v>
          </cell>
          <cell r="D371">
            <v>79288835903</v>
          </cell>
          <cell r="G371">
            <v>79288835903</v>
          </cell>
        </row>
        <row r="372">
          <cell r="B372" t="str">
            <v>Мироненко Вадим Викторович</v>
          </cell>
          <cell r="D372">
            <v>79778849297</v>
          </cell>
          <cell r="E372">
            <v>89778849297</v>
          </cell>
        </row>
        <row r="373">
          <cell r="B373" t="str">
            <v>Тарасов Дмитрий Алексеевич</v>
          </cell>
          <cell r="D373">
            <v>79165046605</v>
          </cell>
          <cell r="G373">
            <v>89165046605</v>
          </cell>
        </row>
        <row r="374">
          <cell r="B374" t="str">
            <v>Черкасов Евгений Викторович</v>
          </cell>
          <cell r="D374">
            <v>79168648888</v>
          </cell>
          <cell r="G374">
            <v>89168648888</v>
          </cell>
        </row>
        <row r="375">
          <cell r="B375" t="str">
            <v>Головина Екатерина Давидовна</v>
          </cell>
          <cell r="D375">
            <v>79032413858</v>
          </cell>
          <cell r="G375">
            <v>79032413858</v>
          </cell>
        </row>
        <row r="376">
          <cell r="B376" t="str">
            <v>Григорьева Наталья Владимировна</v>
          </cell>
          <cell r="D376">
            <v>79629696550</v>
          </cell>
          <cell r="G376">
            <v>79629696550</v>
          </cell>
        </row>
        <row r="377">
          <cell r="B377" t="str">
            <v>Попков Вадим Борисович</v>
          </cell>
          <cell r="D377">
            <v>79166703637</v>
          </cell>
          <cell r="E377">
            <v>79166220182</v>
          </cell>
          <cell r="G377">
            <v>89166703637</v>
          </cell>
        </row>
        <row r="378">
          <cell r="B378" t="str">
            <v>Сорочкин Сергей Эдуардович</v>
          </cell>
          <cell r="D378">
            <v>79263241855</v>
          </cell>
          <cell r="G378">
            <v>89263241855</v>
          </cell>
        </row>
        <row r="379">
          <cell r="B379" t="str">
            <v>Парфенов Дмитрий Юрьевич</v>
          </cell>
          <cell r="D379">
            <v>79219440419</v>
          </cell>
          <cell r="G379">
            <v>79219440419</v>
          </cell>
        </row>
        <row r="380">
          <cell r="B380" t="str">
            <v>Печеникова Оксана Александровна</v>
          </cell>
          <cell r="D380">
            <v>79258380111</v>
          </cell>
          <cell r="E380">
            <v>79258380111</v>
          </cell>
          <cell r="G380">
            <v>79258380111</v>
          </cell>
        </row>
        <row r="381">
          <cell r="B381" t="str">
            <v>Печеников Александр Иванович</v>
          </cell>
          <cell r="D381">
            <v>79687697000</v>
          </cell>
          <cell r="E381">
            <v>79687697000</v>
          </cell>
          <cell r="G381">
            <v>79687697000</v>
          </cell>
        </row>
        <row r="382">
          <cell r="B382" t="str">
            <v>Андреев Максим Вячеславович</v>
          </cell>
          <cell r="D382">
            <v>79653612744</v>
          </cell>
          <cell r="G382">
            <v>89653612744</v>
          </cell>
        </row>
        <row r="383">
          <cell r="B383" t="str">
            <v>Спичак Вадим Михайлович</v>
          </cell>
          <cell r="D383">
            <v>79153518882</v>
          </cell>
          <cell r="E383">
            <v>79153518882</v>
          </cell>
          <cell r="G383">
            <v>79153518882</v>
          </cell>
        </row>
        <row r="384">
          <cell r="B384" t="str">
            <v>Юдин Александр Сергеевич</v>
          </cell>
          <cell r="D384">
            <v>79099951765</v>
          </cell>
          <cell r="G384">
            <v>89099951765</v>
          </cell>
        </row>
        <row r="385">
          <cell r="B385" t="str">
            <v>Келехсаев Эдуард Павлович</v>
          </cell>
          <cell r="D385">
            <v>79852608668</v>
          </cell>
          <cell r="G385">
            <v>79852608668</v>
          </cell>
        </row>
        <row r="386">
          <cell r="B386" t="str">
            <v>Журавлева Анастасия Александровна</v>
          </cell>
          <cell r="D386">
            <v>79055553616</v>
          </cell>
          <cell r="G386">
            <v>89055553616</v>
          </cell>
        </row>
        <row r="387">
          <cell r="B387" t="str">
            <v>Мазуренко Наталья Владимировна</v>
          </cell>
          <cell r="D387">
            <v>79067385873</v>
          </cell>
          <cell r="G387">
            <v>79067385873</v>
          </cell>
        </row>
        <row r="388">
          <cell r="B388" t="str">
            <v>Хомутов Алексей Николаевич</v>
          </cell>
          <cell r="D388">
            <v>79031066372</v>
          </cell>
          <cell r="G388">
            <v>79031066372</v>
          </cell>
        </row>
        <row r="389">
          <cell r="B389" t="str">
            <v>Озарян Сергей Васильевич</v>
          </cell>
          <cell r="D389">
            <v>79183802057</v>
          </cell>
          <cell r="G389">
            <v>79183802057</v>
          </cell>
        </row>
        <row r="390">
          <cell r="B390" t="str">
            <v>Лещинский Михаил Дмитриевич</v>
          </cell>
          <cell r="D390">
            <v>79213080743</v>
          </cell>
          <cell r="G390">
            <v>79373080743</v>
          </cell>
        </row>
        <row r="391">
          <cell r="B391" t="str">
            <v>Мазуренко Наталья Владимировна</v>
          </cell>
          <cell r="D391">
            <v>79067385873</v>
          </cell>
          <cell r="G391">
            <v>79067385873</v>
          </cell>
        </row>
        <row r="392">
          <cell r="B392" t="str">
            <v>Петров Денис Александрович</v>
          </cell>
          <cell r="D392">
            <v>79251604075</v>
          </cell>
          <cell r="G392">
            <v>89251604075</v>
          </cell>
        </row>
        <row r="393">
          <cell r="B393" t="str">
            <v>Матюнин Алексей Владимирович</v>
          </cell>
          <cell r="D393">
            <v>79263597234</v>
          </cell>
          <cell r="G393">
            <v>79263597234</v>
          </cell>
        </row>
        <row r="394">
          <cell r="B394" t="str">
            <v>Лебедев Мирон Робертович</v>
          </cell>
          <cell r="D394">
            <v>79096257979</v>
          </cell>
          <cell r="G394">
            <v>79096257979</v>
          </cell>
        </row>
        <row r="395">
          <cell r="B395" t="str">
            <v>Акчурин Фирит Кяшафович</v>
          </cell>
          <cell r="D395">
            <v>79647020965</v>
          </cell>
          <cell r="G395">
            <v>79647020965</v>
          </cell>
        </row>
        <row r="396">
          <cell r="B396" t="str">
            <v>Петрухин Анатолий Васильевич</v>
          </cell>
          <cell r="D396">
            <v>79183629001</v>
          </cell>
          <cell r="G396">
            <v>89183629001</v>
          </cell>
        </row>
        <row r="397">
          <cell r="B397" t="str">
            <v>Козин Яков Геннадьевич</v>
          </cell>
          <cell r="D397">
            <v>79778347388</v>
          </cell>
          <cell r="G397">
            <v>89778347388</v>
          </cell>
        </row>
        <row r="398">
          <cell r="B398" t="str">
            <v>Ореховский Евгений Валериевич</v>
          </cell>
          <cell r="D398">
            <v>79675373839</v>
          </cell>
          <cell r="G398">
            <v>79675373839</v>
          </cell>
        </row>
        <row r="399">
          <cell r="B399" t="str">
            <v>Арутюнова Рузанна Георгиевна</v>
          </cell>
          <cell r="D399">
            <v>79181202611</v>
          </cell>
          <cell r="E399">
            <v>79181202611</v>
          </cell>
          <cell r="G399">
            <v>79181202611</v>
          </cell>
        </row>
        <row r="400">
          <cell r="B400" t="str">
            <v>Тимонин Виктор Викторович</v>
          </cell>
          <cell r="D400">
            <v>79189414997</v>
          </cell>
          <cell r="G400">
            <v>79189414997</v>
          </cell>
        </row>
        <row r="401">
          <cell r="B401" t="str">
            <v>Игнатенко Вера Александровна</v>
          </cell>
          <cell r="G401">
            <v>79213793379</v>
          </cell>
        </row>
        <row r="402">
          <cell r="B402" t="str">
            <v>Игнатенко Александр Анатольевич</v>
          </cell>
          <cell r="D402">
            <v>79119225906</v>
          </cell>
          <cell r="E402">
            <v>79119225906</v>
          </cell>
          <cell r="G402">
            <v>79119225906</v>
          </cell>
        </row>
        <row r="403">
          <cell r="B403" t="str">
            <v>Муминов Фирдавс Юсуфович</v>
          </cell>
          <cell r="G403">
            <v>79652300400</v>
          </cell>
        </row>
        <row r="404">
          <cell r="B404" t="str">
            <v>Джумаева Муслима Султоновна</v>
          </cell>
          <cell r="G404">
            <v>79654428428</v>
          </cell>
        </row>
        <row r="405">
          <cell r="B405" t="str">
            <v>Исхаков Олег Дауранович</v>
          </cell>
          <cell r="G405">
            <v>79217799345</v>
          </cell>
        </row>
        <row r="406">
          <cell r="B406" t="str">
            <v>Погосян Мелания Гарниковна</v>
          </cell>
          <cell r="D406">
            <v>79263943440</v>
          </cell>
          <cell r="G406">
            <v>89263943440</v>
          </cell>
        </row>
        <row r="407">
          <cell r="B407" t="str">
            <v>Костанян Нерсик Арамович</v>
          </cell>
          <cell r="G407">
            <v>79168109900</v>
          </cell>
        </row>
        <row r="408">
          <cell r="B408" t="str">
            <v>Ермак Анатолий Антонович</v>
          </cell>
          <cell r="D408">
            <v>79647780138</v>
          </cell>
          <cell r="G408">
            <v>79647780138</v>
          </cell>
        </row>
        <row r="409">
          <cell r="B409" t="str">
            <v>Палакян Ваге Гарникович</v>
          </cell>
          <cell r="D409">
            <v>79161443504</v>
          </cell>
          <cell r="G409">
            <v>79161443504</v>
          </cell>
        </row>
        <row r="410">
          <cell r="B410" t="str">
            <v>Ельшин Владимир Анатольевич</v>
          </cell>
          <cell r="D410">
            <v>79260403500</v>
          </cell>
          <cell r="G410">
            <v>79260403500</v>
          </cell>
        </row>
        <row r="411">
          <cell r="B411" t="str">
            <v>Моисеев Павел Викторович</v>
          </cell>
          <cell r="D411">
            <v>79117752939</v>
          </cell>
          <cell r="G411">
            <v>79117752939</v>
          </cell>
        </row>
        <row r="412">
          <cell r="B412" t="str">
            <v>Геворгян Агаси Ашотович</v>
          </cell>
          <cell r="D412">
            <v>79686660823</v>
          </cell>
          <cell r="G412">
            <v>89686660823</v>
          </cell>
        </row>
        <row r="413">
          <cell r="B413" t="str">
            <v>Шагивалеев Азат Азатович</v>
          </cell>
          <cell r="D413">
            <v>79152585727</v>
          </cell>
          <cell r="G413">
            <v>89152585727</v>
          </cell>
        </row>
        <row r="414">
          <cell r="B414" t="str">
            <v>Аутлева Сусанна Руслановна</v>
          </cell>
          <cell r="D414">
            <v>79604944224</v>
          </cell>
          <cell r="G414">
            <v>79604944224</v>
          </cell>
        </row>
        <row r="415">
          <cell r="B415" t="str">
            <v>Барт Денис Михайлович</v>
          </cell>
          <cell r="D415">
            <v>79213003297</v>
          </cell>
          <cell r="G415">
            <v>79213003297</v>
          </cell>
        </row>
        <row r="416">
          <cell r="B416" t="str">
            <v>Макарова Ирина Сергеевна</v>
          </cell>
          <cell r="D416">
            <v>79216364069</v>
          </cell>
          <cell r="G416">
            <v>79216364069</v>
          </cell>
        </row>
        <row r="417">
          <cell r="B417" t="str">
            <v>Евстигнеев Дмитрий Станиславович</v>
          </cell>
          <cell r="D417">
            <v>79161179491</v>
          </cell>
          <cell r="G417">
            <v>79161179491</v>
          </cell>
        </row>
        <row r="418">
          <cell r="B418" t="str">
            <v>Васильева Екатерина Николаевна</v>
          </cell>
          <cell r="D418">
            <v>79091547030</v>
          </cell>
          <cell r="G418">
            <v>89091547030</v>
          </cell>
        </row>
        <row r="419">
          <cell r="B419" t="str">
            <v>Маренич Иван Евгеньевич</v>
          </cell>
          <cell r="D419">
            <v>79296539667</v>
          </cell>
          <cell r="G419">
            <v>79296539667</v>
          </cell>
        </row>
        <row r="420">
          <cell r="B420" t="str">
            <v>Забиров Ринат Шавкатович</v>
          </cell>
          <cell r="D420">
            <v>79119863113</v>
          </cell>
          <cell r="G420">
            <v>79119863113</v>
          </cell>
        </row>
        <row r="421">
          <cell r="B421" t="str">
            <v>Пархоменко Вячеслав Юрьевич</v>
          </cell>
          <cell r="D421">
            <v>79624223090</v>
          </cell>
          <cell r="G421">
            <v>89624223090</v>
          </cell>
        </row>
        <row r="422">
          <cell r="B422" t="str">
            <v>Фролов Геннадий Вольдемарович</v>
          </cell>
          <cell r="D422">
            <v>79167500454</v>
          </cell>
          <cell r="E422">
            <v>79167500454</v>
          </cell>
          <cell r="G422">
            <v>79167500454</v>
          </cell>
        </row>
        <row r="423">
          <cell r="B423" t="str">
            <v>Горбачев Денис Леонидович</v>
          </cell>
          <cell r="D423">
            <v>79312660646</v>
          </cell>
          <cell r="G423">
            <v>79312660646</v>
          </cell>
        </row>
        <row r="424">
          <cell r="B424" t="str">
            <v>Конев Сергей Арсентьевич</v>
          </cell>
          <cell r="D424">
            <v>79296042566</v>
          </cell>
          <cell r="G424">
            <v>79296042566</v>
          </cell>
        </row>
        <row r="425">
          <cell r="B425" t="str">
            <v>Календжян Вячеслав Вячеславович</v>
          </cell>
          <cell r="D425">
            <v>79882831967</v>
          </cell>
          <cell r="G425">
            <v>79882831967</v>
          </cell>
        </row>
        <row r="426">
          <cell r="B426" t="str">
            <v>Сапунов Дмитрий Владимирович</v>
          </cell>
          <cell r="D426">
            <v>79912401545</v>
          </cell>
          <cell r="G426">
            <v>79912401545</v>
          </cell>
        </row>
        <row r="427">
          <cell r="B427" t="str">
            <v>Косарева Надежда Николаевна</v>
          </cell>
          <cell r="D427">
            <v>79152806029</v>
          </cell>
          <cell r="G427">
            <v>79152806029</v>
          </cell>
        </row>
        <row r="428">
          <cell r="B428" t="str">
            <v>Абдурахманов Ватан Сироджиддинович</v>
          </cell>
          <cell r="D428">
            <v>79096285971</v>
          </cell>
          <cell r="G428">
            <v>89096285971</v>
          </cell>
        </row>
        <row r="429">
          <cell r="B429" t="str">
            <v>Терентьев Антон Николаевич</v>
          </cell>
          <cell r="D429">
            <v>79169337638</v>
          </cell>
          <cell r="G429">
            <v>89169337638</v>
          </cell>
        </row>
        <row r="430">
          <cell r="B430" t="str">
            <v>Макаров Станислав Васильевич</v>
          </cell>
          <cell r="D430">
            <v>79643323292</v>
          </cell>
          <cell r="G430">
            <v>79643323292</v>
          </cell>
        </row>
        <row r="431">
          <cell r="B431" t="str">
            <v>Калинин Алексей Дмитриевич</v>
          </cell>
          <cell r="D431">
            <v>79852862217</v>
          </cell>
          <cell r="G431">
            <v>79852862217</v>
          </cell>
        </row>
        <row r="432">
          <cell r="B432" t="str">
            <v>Самойленко Роман Владимирович</v>
          </cell>
          <cell r="D432">
            <v>79067271326</v>
          </cell>
          <cell r="G432">
            <v>79067271326</v>
          </cell>
        </row>
        <row r="433">
          <cell r="B433" t="str">
            <v>Брынский Артем Сергеевич</v>
          </cell>
          <cell r="D433">
            <v>79099671156</v>
          </cell>
          <cell r="G433">
            <v>79099671156</v>
          </cell>
        </row>
        <row r="434">
          <cell r="B434" t="str">
            <v>Варданян Армен Вазгенович</v>
          </cell>
          <cell r="G434">
            <v>79852579695</v>
          </cell>
        </row>
        <row r="435">
          <cell r="B435" t="str">
            <v>Нахапетов Артур Валерьевич</v>
          </cell>
          <cell r="D435">
            <v>79859229900</v>
          </cell>
          <cell r="E435">
            <v>74997632035</v>
          </cell>
          <cell r="G435">
            <v>79859229900</v>
          </cell>
        </row>
        <row r="436">
          <cell r="B436" t="str">
            <v>Абдул Каюм Мохаммад Рахим</v>
          </cell>
          <cell r="D436">
            <v>79260797820</v>
          </cell>
          <cell r="G436">
            <v>89260797820</v>
          </cell>
        </row>
        <row r="437">
          <cell r="B437" t="str">
            <v>Трененков Александр Николаевич</v>
          </cell>
          <cell r="D437">
            <v>79021231202</v>
          </cell>
          <cell r="E437">
            <v>79603792747</v>
          </cell>
          <cell r="G437">
            <v>79021231202</v>
          </cell>
        </row>
        <row r="438">
          <cell r="B438" t="str">
            <v>Купряков Алексей Игоревич</v>
          </cell>
          <cell r="D438">
            <v>79037971637</v>
          </cell>
          <cell r="G438">
            <v>89037971637</v>
          </cell>
        </row>
        <row r="439">
          <cell r="B439" t="str">
            <v>Азиева Милана Зайнуладаевна</v>
          </cell>
          <cell r="D439">
            <v>79661239595</v>
          </cell>
          <cell r="G439">
            <v>89661239595</v>
          </cell>
        </row>
        <row r="440">
          <cell r="B440" t="str">
            <v>Сазанова Екатерина Владимировна</v>
          </cell>
          <cell r="D440">
            <v>79166743325</v>
          </cell>
          <cell r="G440">
            <v>89166743325</v>
          </cell>
        </row>
        <row r="441">
          <cell r="B441" t="str">
            <v>Гогохия Вероника Валериевна</v>
          </cell>
          <cell r="D441">
            <v>79772506866</v>
          </cell>
          <cell r="G441">
            <v>89772506866</v>
          </cell>
        </row>
        <row r="442">
          <cell r="B442" t="str">
            <v>Муратов Альмурат Муратович</v>
          </cell>
          <cell r="D442">
            <v>79170925912</v>
          </cell>
          <cell r="G442">
            <v>79170925912</v>
          </cell>
        </row>
        <row r="443">
          <cell r="B443" t="str">
            <v>Гупало Илья Александрович</v>
          </cell>
          <cell r="D443">
            <v>79119212562</v>
          </cell>
          <cell r="G443">
            <v>89119212562</v>
          </cell>
        </row>
        <row r="444">
          <cell r="B444" t="str">
            <v>Изотов Александр Анатольевич</v>
          </cell>
          <cell r="D444">
            <v>79257772090</v>
          </cell>
          <cell r="G444">
            <v>79257772090</v>
          </cell>
        </row>
        <row r="445">
          <cell r="B445" t="str">
            <v>Трофименко Артем Алексеевич</v>
          </cell>
          <cell r="D445">
            <v>79036691666</v>
          </cell>
          <cell r="G445">
            <v>79036691666</v>
          </cell>
        </row>
        <row r="446">
          <cell r="B446" t="str">
            <v>Степанова Анна Олеговна</v>
          </cell>
          <cell r="D446">
            <v>79110297773</v>
          </cell>
          <cell r="G446">
            <v>79110297773</v>
          </cell>
        </row>
        <row r="447">
          <cell r="B447" t="str">
            <v>Айриян Николай Эрнестович</v>
          </cell>
          <cell r="D447">
            <v>79015596383</v>
          </cell>
          <cell r="E447">
            <v>89680000101</v>
          </cell>
          <cell r="G447">
            <v>89015596383</v>
          </cell>
        </row>
        <row r="448">
          <cell r="B448" t="str">
            <v>Солодов Михаил Александрович</v>
          </cell>
          <cell r="D448">
            <v>79153197526</v>
          </cell>
          <cell r="G448">
            <v>89153197526</v>
          </cell>
        </row>
        <row r="449">
          <cell r="B449" t="str">
            <v>Циркунова Юлия Владимировна</v>
          </cell>
          <cell r="D449">
            <v>79261535958</v>
          </cell>
          <cell r="G449">
            <v>89261535958</v>
          </cell>
        </row>
        <row r="450">
          <cell r="B450" t="str">
            <v>Щербаков Сергей Валерьевич</v>
          </cell>
          <cell r="D450">
            <v>79859748828</v>
          </cell>
          <cell r="G450">
            <v>89859748828</v>
          </cell>
        </row>
        <row r="451">
          <cell r="B451" t="str">
            <v>Одинцова Ирина Вячеславовна</v>
          </cell>
          <cell r="D451">
            <v>79854310155</v>
          </cell>
          <cell r="G451">
            <v>89854310155</v>
          </cell>
        </row>
        <row r="452">
          <cell r="B452" t="str">
            <v>Рыченков Александр Николаевич</v>
          </cell>
          <cell r="D452">
            <v>79057788090</v>
          </cell>
          <cell r="G452">
            <v>79057788090</v>
          </cell>
        </row>
        <row r="453">
          <cell r="B453" t="str">
            <v>Рыбаков Виктор Васильевич</v>
          </cell>
          <cell r="D453">
            <v>79778192293</v>
          </cell>
          <cell r="G453">
            <v>79778192293</v>
          </cell>
        </row>
        <row r="454">
          <cell r="B454" t="str">
            <v>Афонский Максим Станиславович</v>
          </cell>
          <cell r="D454">
            <v>79038969450</v>
          </cell>
          <cell r="G454">
            <v>79038969450</v>
          </cell>
        </row>
        <row r="455">
          <cell r="B455" t="str">
            <v>Орехова Екатерина Юрьевна</v>
          </cell>
          <cell r="D455">
            <v>79169917475</v>
          </cell>
          <cell r="G455">
            <v>89169917475</v>
          </cell>
        </row>
        <row r="456">
          <cell r="B456" t="str">
            <v>Зюба Наталья Сергеевна</v>
          </cell>
          <cell r="D456">
            <v>79661280456</v>
          </cell>
          <cell r="G456">
            <v>79661280456</v>
          </cell>
        </row>
        <row r="457">
          <cell r="B457" t="str">
            <v>Юрченко Дмитрий Валерьевич</v>
          </cell>
          <cell r="D457">
            <v>79257810598</v>
          </cell>
          <cell r="G457">
            <v>89257810598</v>
          </cell>
        </row>
        <row r="458">
          <cell r="B458" t="str">
            <v>Хозяинов Сергей Александрович</v>
          </cell>
          <cell r="D458">
            <v>79057202038</v>
          </cell>
          <cell r="G458">
            <v>79057202038</v>
          </cell>
        </row>
        <row r="459">
          <cell r="B459" t="str">
            <v>Елисеев Вячеслав Викторович</v>
          </cell>
          <cell r="D459">
            <v>79661279090</v>
          </cell>
          <cell r="G459">
            <v>79661279090</v>
          </cell>
        </row>
        <row r="460">
          <cell r="B460" t="str">
            <v>Антонов Валерий Иванович</v>
          </cell>
          <cell r="D460">
            <v>79268880472</v>
          </cell>
          <cell r="G460">
            <v>79268880472</v>
          </cell>
        </row>
        <row r="461">
          <cell r="B461" t="str">
            <v>Моисеев Михаил Исаевич</v>
          </cell>
          <cell r="D461">
            <v>79219419812</v>
          </cell>
          <cell r="G461">
            <v>79219419812</v>
          </cell>
        </row>
        <row r="462">
          <cell r="B462" t="str">
            <v>Захаркин Алексей Викторович</v>
          </cell>
          <cell r="D462">
            <v>79035496858</v>
          </cell>
          <cell r="G462">
            <v>79035496858</v>
          </cell>
        </row>
        <row r="463">
          <cell r="B463" t="str">
            <v>Каляев Владимир Александрович</v>
          </cell>
          <cell r="D463">
            <v>79096382011</v>
          </cell>
          <cell r="G463">
            <v>79096382011</v>
          </cell>
        </row>
        <row r="464">
          <cell r="B464" t="str">
            <v>Цымбалов Виталий Павлович</v>
          </cell>
          <cell r="D464">
            <v>79332220200</v>
          </cell>
          <cell r="G464">
            <v>79332220200</v>
          </cell>
        </row>
        <row r="465">
          <cell r="B465" t="str">
            <v>Невешкин Роман Викторович</v>
          </cell>
          <cell r="D465">
            <v>79852223626</v>
          </cell>
          <cell r="G465">
            <v>79852223626</v>
          </cell>
        </row>
        <row r="466">
          <cell r="B466" t="str">
            <v>Кошевой Андрей Анатольевич</v>
          </cell>
          <cell r="D466">
            <v>79269094951</v>
          </cell>
          <cell r="G466">
            <v>89269094951</v>
          </cell>
        </row>
        <row r="467">
          <cell r="B467" t="str">
            <v>Авагян Тигран Агванович</v>
          </cell>
          <cell r="D467">
            <v>79015017090</v>
          </cell>
          <cell r="G467">
            <v>79015017090</v>
          </cell>
        </row>
        <row r="468">
          <cell r="B468" t="str">
            <v>Якунин Валерий Викторович</v>
          </cell>
          <cell r="D468">
            <v>79267163266</v>
          </cell>
          <cell r="G468">
            <v>89267163266</v>
          </cell>
        </row>
        <row r="469">
          <cell r="B469" t="str">
            <v>Андреев Евгений Петрович</v>
          </cell>
          <cell r="D469">
            <v>79266499523</v>
          </cell>
          <cell r="G469">
            <v>79266499523</v>
          </cell>
        </row>
        <row r="470">
          <cell r="B470" t="str">
            <v>Сомсиков Антон Николаевич</v>
          </cell>
          <cell r="D470">
            <v>79817100666</v>
          </cell>
          <cell r="G470">
            <v>79817100666</v>
          </cell>
        </row>
        <row r="471">
          <cell r="B471" t="str">
            <v>Саликов Альберт Якубович</v>
          </cell>
          <cell r="D471">
            <v>79882404886</v>
          </cell>
          <cell r="G471">
            <v>89882404886</v>
          </cell>
        </row>
        <row r="472">
          <cell r="B472" t="str">
            <v>Раджабов Рахматулло Хакимович</v>
          </cell>
          <cell r="D472">
            <v>79167836999</v>
          </cell>
          <cell r="G472">
            <v>89167836999</v>
          </cell>
        </row>
        <row r="473">
          <cell r="B473" t="str">
            <v>Шопронку Сергей Харитонович</v>
          </cell>
          <cell r="D473">
            <v>79253219255</v>
          </cell>
          <cell r="G473">
            <v>79253219255</v>
          </cell>
        </row>
        <row r="474">
          <cell r="B474" t="str">
            <v>Бурьянов Андрей Михайлович</v>
          </cell>
          <cell r="D474">
            <v>79032097782</v>
          </cell>
          <cell r="E474">
            <v>79032097782</v>
          </cell>
          <cell r="G474">
            <v>79032097782</v>
          </cell>
        </row>
        <row r="475">
          <cell r="B475" t="str">
            <v>Аркатов Денис Евгеньевич</v>
          </cell>
          <cell r="D475">
            <v>79264762000</v>
          </cell>
          <cell r="G475">
            <v>89264762000</v>
          </cell>
        </row>
        <row r="476">
          <cell r="B476" t="str">
            <v>Тертерян Артур Арамович</v>
          </cell>
          <cell r="D476">
            <v>79037277637</v>
          </cell>
          <cell r="G476">
            <v>89037277637</v>
          </cell>
        </row>
        <row r="477">
          <cell r="B477" t="str">
            <v>Григорьев Эдуард Юрьевич</v>
          </cell>
          <cell r="D477">
            <v>79055504528</v>
          </cell>
          <cell r="G477">
            <v>79055504528</v>
          </cell>
        </row>
        <row r="478">
          <cell r="B478" t="str">
            <v>Харитонов Александр Васильевич</v>
          </cell>
          <cell r="D478">
            <v>79852000240</v>
          </cell>
          <cell r="G478">
            <v>79852000240</v>
          </cell>
        </row>
        <row r="479">
          <cell r="B479" t="str">
            <v>Кривотулов Дмитрий Александрович</v>
          </cell>
          <cell r="D479">
            <v>79154731682</v>
          </cell>
          <cell r="G479">
            <v>79154731682</v>
          </cell>
        </row>
        <row r="480">
          <cell r="B480" t="str">
            <v>Четырина Марина Юрьевна</v>
          </cell>
          <cell r="D480">
            <v>79645244111</v>
          </cell>
          <cell r="G480">
            <v>79645244111</v>
          </cell>
        </row>
        <row r="481">
          <cell r="B481" t="str">
            <v>Филатова Юлия Петровна</v>
          </cell>
          <cell r="D481">
            <v>79257662854</v>
          </cell>
          <cell r="G481">
            <v>89257662854</v>
          </cell>
        </row>
        <row r="482">
          <cell r="B482" t="str">
            <v>Алексеева Светлана Николаевна</v>
          </cell>
          <cell r="D482">
            <v>79858362124</v>
          </cell>
          <cell r="G482">
            <v>79651499800</v>
          </cell>
        </row>
        <row r="483">
          <cell r="B483" t="str">
            <v>Залевский Александр Владиславович</v>
          </cell>
          <cell r="D483">
            <v>79683369352</v>
          </cell>
          <cell r="E483">
            <v>89777011323</v>
          </cell>
          <cell r="G483">
            <v>89683369352</v>
          </cell>
        </row>
        <row r="484">
          <cell r="B484" t="str">
            <v>Быстров Михаил Владимирович</v>
          </cell>
          <cell r="D484">
            <v>79818402754</v>
          </cell>
          <cell r="G484">
            <v>79818402754</v>
          </cell>
        </row>
        <row r="485">
          <cell r="B485" t="str">
            <v>Фоменок Николай Михайлович</v>
          </cell>
          <cell r="D485">
            <v>79772706703</v>
          </cell>
          <cell r="G485">
            <v>89772706703</v>
          </cell>
        </row>
        <row r="486">
          <cell r="B486" t="str">
            <v>Никонов Андрей Георгиевич</v>
          </cell>
          <cell r="D486">
            <v>79295770310</v>
          </cell>
          <cell r="G486">
            <v>79295770310</v>
          </cell>
        </row>
        <row r="487">
          <cell r="B487" t="str">
            <v>Вековищев Андрей Анатольевич</v>
          </cell>
          <cell r="D487">
            <v>79250917656</v>
          </cell>
          <cell r="G487">
            <v>89680917652</v>
          </cell>
        </row>
        <row r="488">
          <cell r="B488" t="str">
            <v>Гавриленко Денис Владимирович</v>
          </cell>
          <cell r="D488">
            <v>79032317868</v>
          </cell>
          <cell r="G488">
            <v>79032317868</v>
          </cell>
        </row>
        <row r="489">
          <cell r="B489" t="str">
            <v>Радев Николай Васильевич</v>
          </cell>
          <cell r="D489">
            <v>79035063758</v>
          </cell>
          <cell r="G489" t="str">
            <v>89035063758, 89057418905</v>
          </cell>
        </row>
        <row r="490">
          <cell r="B490" t="str">
            <v>Тарасов Александр Владимирович</v>
          </cell>
          <cell r="D490">
            <v>79536117014</v>
          </cell>
          <cell r="G490">
            <v>89536117014</v>
          </cell>
        </row>
        <row r="491">
          <cell r="B491" t="str">
            <v>Соколов Игорь Васильевич</v>
          </cell>
          <cell r="D491">
            <v>79611346867</v>
          </cell>
          <cell r="G491">
            <v>89611346867</v>
          </cell>
        </row>
        <row r="492">
          <cell r="B492" t="str">
            <v>Пилосов Павел Петрович</v>
          </cell>
          <cell r="D492">
            <v>79859983172</v>
          </cell>
          <cell r="G492">
            <v>79859983172</v>
          </cell>
        </row>
        <row r="493">
          <cell r="B493" t="str">
            <v>Храмков Евгений Александрович</v>
          </cell>
          <cell r="D493">
            <v>79686377877</v>
          </cell>
          <cell r="G493">
            <v>89686377877</v>
          </cell>
        </row>
        <row r="494">
          <cell r="B494" t="str">
            <v>Любушкин Сергей Васильевич</v>
          </cell>
          <cell r="D494">
            <v>79031255661</v>
          </cell>
          <cell r="G494">
            <v>79031255661</v>
          </cell>
        </row>
        <row r="495">
          <cell r="B495" t="str">
            <v>Сапельников Юрий Александрович</v>
          </cell>
          <cell r="D495">
            <v>79189346497</v>
          </cell>
          <cell r="G495">
            <v>89189346497</v>
          </cell>
        </row>
        <row r="496">
          <cell r="B496" t="str">
            <v>Василевский Константин Дмитриевич</v>
          </cell>
          <cell r="D496">
            <v>79037386274</v>
          </cell>
          <cell r="G496">
            <v>79037386274</v>
          </cell>
        </row>
        <row r="497">
          <cell r="B497" t="str">
            <v>Некрасов Алексей Сергеевич</v>
          </cell>
          <cell r="D497">
            <v>79645007000</v>
          </cell>
          <cell r="G497">
            <v>79645007000</v>
          </cell>
        </row>
        <row r="498">
          <cell r="B498" t="str">
            <v>Павлюченко Михаил Михайлович</v>
          </cell>
          <cell r="D498">
            <v>79186518314</v>
          </cell>
          <cell r="G498">
            <v>79186518314</v>
          </cell>
        </row>
        <row r="499">
          <cell r="B499" t="str">
            <v>Самойлов Дмитрий Анатольевич</v>
          </cell>
          <cell r="D499">
            <v>79660168099</v>
          </cell>
          <cell r="G499">
            <v>79660168099</v>
          </cell>
        </row>
        <row r="500">
          <cell r="B500" t="str">
            <v>Догарева Мария Станиславовна</v>
          </cell>
          <cell r="D500">
            <v>79687969551</v>
          </cell>
          <cell r="G500">
            <v>89687969551</v>
          </cell>
        </row>
        <row r="501">
          <cell r="B501" t="str">
            <v>Тихонова Ирина Анатольевна</v>
          </cell>
          <cell r="D501">
            <v>79153008651</v>
          </cell>
          <cell r="G501">
            <v>89153008651</v>
          </cell>
        </row>
        <row r="502">
          <cell r="B502" t="str">
            <v>Шарапов Евгений Вячеславович</v>
          </cell>
          <cell r="D502">
            <v>79258348796</v>
          </cell>
          <cell r="G502">
            <v>89258348796</v>
          </cell>
        </row>
        <row r="503">
          <cell r="B503" t="str">
            <v>Рикшпун Татьяна Александровна</v>
          </cell>
          <cell r="D503">
            <v>79055552760</v>
          </cell>
          <cell r="E503">
            <v>79055552760</v>
          </cell>
          <cell r="G503">
            <v>79055552760</v>
          </cell>
        </row>
        <row r="504">
          <cell r="B504" t="str">
            <v>Галимов Руслан Рашитович</v>
          </cell>
          <cell r="D504">
            <v>79192567809</v>
          </cell>
          <cell r="G504">
            <v>89192567809</v>
          </cell>
        </row>
        <row r="505">
          <cell r="B505" t="str">
            <v>Сироткин Олег Георгиевич</v>
          </cell>
          <cell r="D505">
            <v>79211820088</v>
          </cell>
          <cell r="G505" t="str">
            <v>79217997111, 79211820088</v>
          </cell>
        </row>
        <row r="506">
          <cell r="B506" t="str">
            <v>Громов Сергей Дмитриевич</v>
          </cell>
          <cell r="D506">
            <v>79167136953</v>
          </cell>
          <cell r="G506">
            <v>89167136953</v>
          </cell>
        </row>
        <row r="507">
          <cell r="B507" t="str">
            <v>Тюменцев Максим Сергеевич</v>
          </cell>
          <cell r="D507">
            <v>79388774050</v>
          </cell>
          <cell r="G507">
            <v>89388774050</v>
          </cell>
        </row>
        <row r="508">
          <cell r="B508" t="str">
            <v>Никоноров Александр Владимирович</v>
          </cell>
          <cell r="D508">
            <v>79220935999</v>
          </cell>
          <cell r="G508">
            <v>79220935999</v>
          </cell>
        </row>
        <row r="509">
          <cell r="B509" t="str">
            <v>Рябоконов Алексей Викторович</v>
          </cell>
          <cell r="D509">
            <v>79164254509</v>
          </cell>
          <cell r="G509">
            <v>89164254509</v>
          </cell>
        </row>
        <row r="510">
          <cell r="B510" t="str">
            <v>Кукушкин Сергей Петрович</v>
          </cell>
          <cell r="D510">
            <v>79035288379</v>
          </cell>
          <cell r="G510">
            <v>89035288379</v>
          </cell>
        </row>
        <row r="511">
          <cell r="B511" t="str">
            <v>Харатян Гегам Арамаисович</v>
          </cell>
          <cell r="D511">
            <v>79873238333</v>
          </cell>
          <cell r="G511">
            <v>89873238333</v>
          </cell>
        </row>
        <row r="512">
          <cell r="B512" t="str">
            <v>Иванов Алексей Александрович</v>
          </cell>
          <cell r="D512">
            <v>79384802224</v>
          </cell>
          <cell r="G512">
            <v>79384802224</v>
          </cell>
        </row>
        <row r="513">
          <cell r="B513" t="str">
            <v>Калошин Павел Сергеевич</v>
          </cell>
          <cell r="D513">
            <v>79263066332</v>
          </cell>
          <cell r="G513">
            <v>89263066332</v>
          </cell>
        </row>
        <row r="514">
          <cell r="B514" t="str">
            <v>Филатов Сергей Юрьевич</v>
          </cell>
          <cell r="D514">
            <v>79017005283</v>
          </cell>
          <cell r="G514">
            <v>79017005283</v>
          </cell>
        </row>
        <row r="515">
          <cell r="B515" t="str">
            <v>Баранов Сергей Алексеевич</v>
          </cell>
          <cell r="D515">
            <v>79998273097</v>
          </cell>
          <cell r="G515">
            <v>79998273097</v>
          </cell>
        </row>
        <row r="516">
          <cell r="B516" t="str">
            <v>Юнусов Акмалдин Акрамович</v>
          </cell>
          <cell r="D516">
            <v>79006519767</v>
          </cell>
          <cell r="G516">
            <v>79006519767</v>
          </cell>
        </row>
        <row r="517">
          <cell r="B517" t="str">
            <v>Морозов Владимир Павлович</v>
          </cell>
          <cell r="D517">
            <v>79169376628</v>
          </cell>
          <cell r="G517">
            <v>89169376628</v>
          </cell>
        </row>
        <row r="518">
          <cell r="B518" t="str">
            <v>Адамян Ваграм Акобович</v>
          </cell>
          <cell r="D518">
            <v>79169407050</v>
          </cell>
          <cell r="G518">
            <v>79169407050</v>
          </cell>
        </row>
        <row r="519">
          <cell r="B519" t="str">
            <v>Маркова Екатерина Викторовна</v>
          </cell>
          <cell r="D519">
            <v>79060744144</v>
          </cell>
          <cell r="G519">
            <v>79060744144</v>
          </cell>
        </row>
        <row r="520">
          <cell r="B520" t="str">
            <v>Бойко Василий Анатольевич</v>
          </cell>
          <cell r="D520">
            <v>79671222197</v>
          </cell>
          <cell r="G520">
            <v>79671222197</v>
          </cell>
        </row>
        <row r="521">
          <cell r="B521" t="str">
            <v>Чернышова Татьяна Николаевна</v>
          </cell>
          <cell r="D521">
            <v>79263473686</v>
          </cell>
          <cell r="G521">
            <v>89263473686</v>
          </cell>
        </row>
        <row r="522">
          <cell r="B522" t="str">
            <v>Павлов Денис Витальевич</v>
          </cell>
          <cell r="D522">
            <v>79011854509</v>
          </cell>
          <cell r="G522">
            <v>79011854509</v>
          </cell>
        </row>
        <row r="523">
          <cell r="B523" t="str">
            <v>Григорян Артур Амраги</v>
          </cell>
          <cell r="D523">
            <v>79856621240</v>
          </cell>
          <cell r="G523">
            <v>79856621240</v>
          </cell>
        </row>
        <row r="524">
          <cell r="B524" t="str">
            <v>Савельев Григорий Алексеевич</v>
          </cell>
          <cell r="D524">
            <v>79998486606</v>
          </cell>
          <cell r="G524">
            <v>79998786606</v>
          </cell>
        </row>
        <row r="525">
          <cell r="B525" t="str">
            <v>Коржев Александр Сергеевич</v>
          </cell>
          <cell r="D525">
            <v>79500277426</v>
          </cell>
          <cell r="G525">
            <v>89500277426</v>
          </cell>
        </row>
        <row r="526">
          <cell r="B526" t="str">
            <v>Толкачева Елена Владимировна</v>
          </cell>
          <cell r="D526">
            <v>79104938470</v>
          </cell>
          <cell r="G526">
            <v>79104938470</v>
          </cell>
        </row>
        <row r="527">
          <cell r="B527" t="str">
            <v>Спирина Полина Витальевна</v>
          </cell>
          <cell r="D527">
            <v>79267166785</v>
          </cell>
          <cell r="G527">
            <v>89267166785</v>
          </cell>
        </row>
        <row r="528">
          <cell r="B528" t="str">
            <v>Новиков Егор Викторович</v>
          </cell>
          <cell r="D528">
            <v>79055088363</v>
          </cell>
          <cell r="G528">
            <v>79055088363</v>
          </cell>
        </row>
        <row r="529">
          <cell r="B529" t="str">
            <v>Корниенко Андрей Юрьевич</v>
          </cell>
          <cell r="D529">
            <v>79856828788</v>
          </cell>
          <cell r="G529">
            <v>79856828788</v>
          </cell>
        </row>
        <row r="530">
          <cell r="B530" t="str">
            <v>Ерошов Дмитрий Иванович</v>
          </cell>
          <cell r="D530">
            <v>79096775510</v>
          </cell>
          <cell r="G530">
            <v>79096775510</v>
          </cell>
        </row>
        <row r="531">
          <cell r="B531" t="str">
            <v>Шелуднев Андрей Валерьевич</v>
          </cell>
          <cell r="D531">
            <v>79037000705</v>
          </cell>
          <cell r="G531">
            <v>79037000705</v>
          </cell>
        </row>
        <row r="532">
          <cell r="B532" t="str">
            <v>Абелян Артак Шагенович</v>
          </cell>
          <cell r="D532">
            <v>79856839982</v>
          </cell>
          <cell r="G532">
            <v>79856839982</v>
          </cell>
        </row>
        <row r="533">
          <cell r="B533" t="str">
            <v>Петрова Елена Владимировна</v>
          </cell>
          <cell r="D533">
            <v>79167743039</v>
          </cell>
          <cell r="G533">
            <v>79167743039</v>
          </cell>
        </row>
        <row r="534">
          <cell r="B534" t="str">
            <v>Травничек Андрей Михайлович</v>
          </cell>
          <cell r="D534">
            <v>79264249787</v>
          </cell>
          <cell r="G534">
            <v>79264249787</v>
          </cell>
        </row>
        <row r="535">
          <cell r="B535" t="str">
            <v>Ерошкин Роман Сергеевич</v>
          </cell>
          <cell r="D535">
            <v>79253754710</v>
          </cell>
          <cell r="G535">
            <v>79253754710</v>
          </cell>
        </row>
        <row r="536">
          <cell r="B536" t="str">
            <v>Громов Алексей Геннадьевич</v>
          </cell>
          <cell r="D536">
            <v>79257820905</v>
          </cell>
          <cell r="G536">
            <v>79257820905</v>
          </cell>
        </row>
        <row r="537">
          <cell r="B537" t="str">
            <v>Крутова Наталья Владимировна</v>
          </cell>
          <cell r="D537">
            <v>79817472301</v>
          </cell>
          <cell r="G537">
            <v>79817472301</v>
          </cell>
        </row>
        <row r="538">
          <cell r="B538" t="str">
            <v>Фейзуллаев Альберт Нефтуллаевич</v>
          </cell>
          <cell r="D538">
            <v>79675918868</v>
          </cell>
          <cell r="G538">
            <v>79675918868</v>
          </cell>
        </row>
        <row r="539">
          <cell r="B539" t="str">
            <v>Матросов Дмитрий Сергеевич</v>
          </cell>
          <cell r="D539">
            <v>79119240316</v>
          </cell>
          <cell r="G539">
            <v>79119240316</v>
          </cell>
        </row>
        <row r="540">
          <cell r="B540" t="str">
            <v>Манин Сергей Викторович</v>
          </cell>
          <cell r="D540">
            <v>79099559554</v>
          </cell>
          <cell r="G540">
            <v>79099559554</v>
          </cell>
        </row>
        <row r="541">
          <cell r="B541" t="str">
            <v>Леднева Елена Владимировна</v>
          </cell>
          <cell r="D541">
            <v>79217555371</v>
          </cell>
          <cell r="G541">
            <v>79217555371</v>
          </cell>
        </row>
        <row r="542">
          <cell r="B542" t="str">
            <v>Заика Денис Викторович</v>
          </cell>
          <cell r="D542">
            <v>79031598282</v>
          </cell>
          <cell r="G542">
            <v>79031598282</v>
          </cell>
        </row>
        <row r="543">
          <cell r="B543" t="str">
            <v>Кузнецова Ирина Геннадьевна</v>
          </cell>
          <cell r="D543">
            <v>79052076286</v>
          </cell>
          <cell r="G543">
            <v>79052076286</v>
          </cell>
        </row>
        <row r="544">
          <cell r="B544" t="str">
            <v>Раджабалиева Саният Рамазановна</v>
          </cell>
          <cell r="D544">
            <v>79284186057</v>
          </cell>
          <cell r="G544">
            <v>89284186057</v>
          </cell>
        </row>
        <row r="545">
          <cell r="B545" t="str">
            <v>Лазарева Ирина Михайловна</v>
          </cell>
          <cell r="D545">
            <v>79112730146</v>
          </cell>
          <cell r="E545">
            <v>79218749181</v>
          </cell>
        </row>
        <row r="546">
          <cell r="B546" t="str">
            <v>Муршудзаде Ягуб Эльхан Оглы</v>
          </cell>
          <cell r="D546">
            <v>79252005859</v>
          </cell>
          <cell r="G546">
            <v>89252005859</v>
          </cell>
        </row>
        <row r="547">
          <cell r="B547" t="str">
            <v>Усиков Андрей Васильевич</v>
          </cell>
          <cell r="D547">
            <v>79035805153</v>
          </cell>
          <cell r="G547">
            <v>79035805153</v>
          </cell>
        </row>
        <row r="548">
          <cell r="B548" t="str">
            <v>Белан Надежда Александровна</v>
          </cell>
          <cell r="D548">
            <v>79183323932</v>
          </cell>
          <cell r="G548">
            <v>79183323932</v>
          </cell>
        </row>
        <row r="549">
          <cell r="B549" t="str">
            <v>Адамов Николай Олегович</v>
          </cell>
          <cell r="D549">
            <v>79217569433</v>
          </cell>
          <cell r="G549" t="str">
            <v>79217569433, 79123055641</v>
          </cell>
        </row>
        <row r="550">
          <cell r="B550" t="str">
            <v>Петку Сергей Владимирович</v>
          </cell>
          <cell r="D550">
            <v>79687088080</v>
          </cell>
          <cell r="G550">
            <v>89687088080</v>
          </cell>
        </row>
        <row r="551">
          <cell r="B551" t="str">
            <v>Горшков Никита Григорьевич</v>
          </cell>
          <cell r="D551">
            <v>79267172165</v>
          </cell>
          <cell r="G551">
            <v>79267172165</v>
          </cell>
        </row>
        <row r="552">
          <cell r="B552" t="str">
            <v>Гарнер Роман Борисович</v>
          </cell>
          <cell r="D552">
            <v>79990446618</v>
          </cell>
          <cell r="E552">
            <v>79990446618</v>
          </cell>
          <cell r="G552">
            <v>79990446618</v>
          </cell>
        </row>
        <row r="553">
          <cell r="B553" t="str">
            <v>Заречкина Светлана Сергеевна</v>
          </cell>
          <cell r="D553">
            <v>79151771236</v>
          </cell>
          <cell r="G553">
            <v>79151771236</v>
          </cell>
        </row>
        <row r="554">
          <cell r="B554" t="str">
            <v>Алексеев Михаил Александрович</v>
          </cell>
          <cell r="D554">
            <v>79817208331</v>
          </cell>
          <cell r="E554">
            <v>79817208331</v>
          </cell>
          <cell r="G554">
            <v>79817208331</v>
          </cell>
        </row>
        <row r="555">
          <cell r="B555" t="str">
            <v>Еремян Артур Корюнович</v>
          </cell>
          <cell r="D555">
            <v>79778044852</v>
          </cell>
          <cell r="G555">
            <v>79778044852</v>
          </cell>
        </row>
        <row r="556">
          <cell r="B556" t="str">
            <v>Посвенчук Владислав Андреевич</v>
          </cell>
          <cell r="D556">
            <v>79779373261</v>
          </cell>
          <cell r="G556">
            <v>79779373261</v>
          </cell>
        </row>
        <row r="557">
          <cell r="B557" t="str">
            <v>Мамедов Динар Рашид Оглы</v>
          </cell>
          <cell r="D557">
            <v>79261760120</v>
          </cell>
          <cell r="G557">
            <v>89261760120</v>
          </cell>
        </row>
        <row r="558">
          <cell r="B558" t="str">
            <v>Саламатин Максим Витальевич</v>
          </cell>
          <cell r="D558">
            <v>79269416891</v>
          </cell>
          <cell r="G558">
            <v>79269416891</v>
          </cell>
        </row>
        <row r="559">
          <cell r="B559" t="str">
            <v>Литвинова Екатерина Викторовна</v>
          </cell>
          <cell r="D559">
            <v>79186107599</v>
          </cell>
          <cell r="G559">
            <v>79186107599</v>
          </cell>
        </row>
        <row r="560">
          <cell r="B560" t="str">
            <v>Соловьев Сергей Сергеевич</v>
          </cell>
          <cell r="D560">
            <v>79254057353</v>
          </cell>
          <cell r="G560">
            <v>79254057353</v>
          </cell>
        </row>
        <row r="561">
          <cell r="B561" t="str">
            <v>Сатаров Андрей Викторович</v>
          </cell>
          <cell r="D561">
            <v>79099323760</v>
          </cell>
          <cell r="E561">
            <v>79099323760</v>
          </cell>
          <cell r="G561">
            <v>79099323760</v>
          </cell>
        </row>
        <row r="562">
          <cell r="B562" t="str">
            <v>Ханукаев Михаил Гавриилович</v>
          </cell>
          <cell r="D562">
            <v>79057597799</v>
          </cell>
          <cell r="E562">
            <v>79057597799</v>
          </cell>
          <cell r="G562">
            <v>79057597799</v>
          </cell>
        </row>
        <row r="563">
          <cell r="B563" t="str">
            <v>Мылов Сергей Геннадьевич</v>
          </cell>
          <cell r="D563">
            <v>79266588248</v>
          </cell>
          <cell r="E563">
            <v>79266588248</v>
          </cell>
          <cell r="G563">
            <v>79266588248</v>
          </cell>
        </row>
        <row r="564">
          <cell r="B564" t="str">
            <v>Мелкумян Масис Владимирович</v>
          </cell>
          <cell r="D564">
            <v>79031617299</v>
          </cell>
          <cell r="G564">
            <v>79031617299</v>
          </cell>
        </row>
        <row r="565">
          <cell r="B565" t="str">
            <v>Фомин Александр Борисович</v>
          </cell>
          <cell r="D565">
            <v>79652066498</v>
          </cell>
          <cell r="G565">
            <v>79652066498</v>
          </cell>
        </row>
        <row r="566">
          <cell r="B566" t="str">
            <v>Кабанов Андрей Павлович</v>
          </cell>
          <cell r="D566">
            <v>79213659169</v>
          </cell>
          <cell r="G566">
            <v>79213659169</v>
          </cell>
        </row>
        <row r="567">
          <cell r="B567" t="str">
            <v>Котляров Алексей Дмитриевич</v>
          </cell>
          <cell r="D567">
            <v>79296414245</v>
          </cell>
          <cell r="G567">
            <v>79296414245</v>
          </cell>
        </row>
        <row r="568">
          <cell r="B568" t="str">
            <v>Торосян Ара Вирапович</v>
          </cell>
          <cell r="D568">
            <v>79999610139</v>
          </cell>
          <cell r="G568">
            <v>79999610139</v>
          </cell>
        </row>
        <row r="569">
          <cell r="B569" t="str">
            <v>Кравченко Вера Юрьевна</v>
          </cell>
          <cell r="D569">
            <v>79254080346</v>
          </cell>
          <cell r="G569">
            <v>79254080346</v>
          </cell>
        </row>
        <row r="570">
          <cell r="B570" t="str">
            <v>Терещенко Дмитрий Андреевич</v>
          </cell>
          <cell r="D570">
            <v>79100000656</v>
          </cell>
          <cell r="E570">
            <v>79100000656</v>
          </cell>
          <cell r="G570">
            <v>79100000656</v>
          </cell>
        </row>
        <row r="571">
          <cell r="B571" t="str">
            <v>Никитина Елена Сергеевна</v>
          </cell>
          <cell r="D571">
            <v>79605088075</v>
          </cell>
          <cell r="G571">
            <v>79605088075</v>
          </cell>
        </row>
        <row r="572">
          <cell r="B572" t="str">
            <v>Сафронова Кристина Руслановна</v>
          </cell>
          <cell r="D572">
            <v>79167930703</v>
          </cell>
          <cell r="G572">
            <v>89167930703</v>
          </cell>
        </row>
        <row r="573">
          <cell r="B573" t="str">
            <v>Дубовская Юлия Олеговна</v>
          </cell>
          <cell r="D573">
            <v>79161251076</v>
          </cell>
          <cell r="E573">
            <v>79161251076</v>
          </cell>
          <cell r="G573">
            <v>79161251076</v>
          </cell>
        </row>
        <row r="574">
          <cell r="B574" t="str">
            <v>Эргюн Кристина Николаевна</v>
          </cell>
          <cell r="D574">
            <v>79770503324</v>
          </cell>
          <cell r="G574">
            <v>89262033088</v>
          </cell>
        </row>
        <row r="575">
          <cell r="B575" t="str">
            <v>Шашков Константин Вячеславович</v>
          </cell>
          <cell r="D575">
            <v>79152939262</v>
          </cell>
          <cell r="G575">
            <v>79152939262</v>
          </cell>
        </row>
        <row r="576">
          <cell r="B576" t="str">
            <v>Ибрагимов Тимирбулат Мусаевич</v>
          </cell>
          <cell r="D576">
            <v>79296335133</v>
          </cell>
          <cell r="G576">
            <v>89296335133</v>
          </cell>
        </row>
        <row r="577">
          <cell r="B577" t="str">
            <v>Торокулов Уланбек Талайбекович</v>
          </cell>
          <cell r="D577">
            <v>79266343296</v>
          </cell>
          <cell r="G577">
            <v>89266343296</v>
          </cell>
        </row>
        <row r="578">
          <cell r="B578" t="str">
            <v>Узаков Пахлавон Муродилович</v>
          </cell>
          <cell r="D578">
            <v>79150005343</v>
          </cell>
          <cell r="G578">
            <v>79150005343</v>
          </cell>
        </row>
        <row r="579">
          <cell r="B579" t="str">
            <v>Станкеев Сергей Николаевич</v>
          </cell>
          <cell r="D579">
            <v>79651049468</v>
          </cell>
          <cell r="G579">
            <v>79651049468</v>
          </cell>
        </row>
        <row r="580">
          <cell r="B580" t="str">
            <v>Станкеев Сергей Николаевич</v>
          </cell>
          <cell r="D580">
            <v>79651049468</v>
          </cell>
          <cell r="G580">
            <v>79651049468</v>
          </cell>
        </row>
        <row r="581">
          <cell r="B581" t="str">
            <v>Баханова Ирина Владимировна</v>
          </cell>
          <cell r="D581">
            <v>79671743590</v>
          </cell>
          <cell r="G581">
            <v>79671743590</v>
          </cell>
        </row>
        <row r="582">
          <cell r="B582" t="str">
            <v>Зубов Виталий Владимирович</v>
          </cell>
          <cell r="D582">
            <v>79035427065</v>
          </cell>
          <cell r="G582">
            <v>79035427065</v>
          </cell>
        </row>
        <row r="583">
          <cell r="B583" t="str">
            <v>Шаулов Шаул Рамбомович</v>
          </cell>
          <cell r="D583">
            <v>79685908978</v>
          </cell>
          <cell r="G583">
            <v>89269492005</v>
          </cell>
        </row>
        <row r="584">
          <cell r="B584" t="str">
            <v>Метлин Семён Петрович</v>
          </cell>
          <cell r="D584">
            <v>79169482628</v>
          </cell>
          <cell r="G584">
            <v>79169482628</v>
          </cell>
        </row>
        <row r="585">
          <cell r="B585" t="str">
            <v>Мурашова Наталья Николаевна</v>
          </cell>
          <cell r="D585">
            <v>79032339637</v>
          </cell>
          <cell r="G585">
            <v>79032339637</v>
          </cell>
        </row>
        <row r="586">
          <cell r="B586" t="str">
            <v>Аракелян Арут Арменович</v>
          </cell>
          <cell r="D586">
            <v>79615012246</v>
          </cell>
          <cell r="G586">
            <v>79615012246</v>
          </cell>
        </row>
        <row r="587">
          <cell r="B587" t="str">
            <v>Кашуба Артем Сергеевич</v>
          </cell>
          <cell r="D587">
            <v>79652274249</v>
          </cell>
          <cell r="G587">
            <v>79652274249</v>
          </cell>
        </row>
        <row r="588">
          <cell r="B588" t="str">
            <v>Джулакян Мартирос Жораевич</v>
          </cell>
          <cell r="D588">
            <v>79166698782</v>
          </cell>
          <cell r="G588">
            <v>89166698782</v>
          </cell>
        </row>
        <row r="589">
          <cell r="B589" t="str">
            <v>Нурмагомедов Тимурлан Алиевич</v>
          </cell>
          <cell r="D589">
            <v>79317112122</v>
          </cell>
          <cell r="G589">
            <v>79317112122</v>
          </cell>
        </row>
        <row r="590">
          <cell r="B590" t="str">
            <v>Васюков Дмитрий Викторович</v>
          </cell>
          <cell r="D590">
            <v>79057379656</v>
          </cell>
          <cell r="G590">
            <v>79057379656</v>
          </cell>
        </row>
        <row r="591">
          <cell r="B591" t="str">
            <v>Собиров Раджабали Карахужаевич</v>
          </cell>
          <cell r="D591">
            <v>79215568512</v>
          </cell>
          <cell r="G591">
            <v>79215568512</v>
          </cell>
        </row>
        <row r="592">
          <cell r="B592" t="str">
            <v>Рязанцев Дмитрий Тимурович</v>
          </cell>
          <cell r="D592">
            <v>79205222976</v>
          </cell>
          <cell r="G592">
            <v>89205222976</v>
          </cell>
        </row>
        <row r="593">
          <cell r="B593" t="str">
            <v>Кузнецова Юлия Сергеевна</v>
          </cell>
          <cell r="D593">
            <v>79959960900</v>
          </cell>
          <cell r="G593">
            <v>79959960900</v>
          </cell>
        </row>
        <row r="594">
          <cell r="B594" t="str">
            <v>Титишин Андрей Геннадьевич</v>
          </cell>
          <cell r="D594">
            <v>79268502310</v>
          </cell>
          <cell r="G594">
            <v>79268502310</v>
          </cell>
        </row>
        <row r="595">
          <cell r="B595" t="str">
            <v>Саакян Людвик Геворгович</v>
          </cell>
          <cell r="D595">
            <v>79160404440</v>
          </cell>
          <cell r="G595">
            <v>79160404440</v>
          </cell>
        </row>
        <row r="596">
          <cell r="B596" t="str">
            <v>Погребняк Федор Олегович</v>
          </cell>
          <cell r="D596">
            <v>79169895491</v>
          </cell>
          <cell r="G596">
            <v>79169895491</v>
          </cell>
        </row>
        <row r="597">
          <cell r="B597" t="str">
            <v>Мазурин Николай Анатольевич</v>
          </cell>
          <cell r="D597">
            <v>79161282203</v>
          </cell>
          <cell r="G597">
            <v>79161282203</v>
          </cell>
        </row>
        <row r="598">
          <cell r="B598" t="str">
            <v>Марецкий Андрей Юрьевич</v>
          </cell>
          <cell r="D598">
            <v>79119671372</v>
          </cell>
          <cell r="G598">
            <v>79119671372</v>
          </cell>
        </row>
        <row r="599">
          <cell r="B599" t="str">
            <v>Руднев Николай Игоревич</v>
          </cell>
          <cell r="D599">
            <v>79128693633</v>
          </cell>
          <cell r="G599" t="str">
            <v>89267291336, 89128693633</v>
          </cell>
        </row>
        <row r="600">
          <cell r="B600" t="str">
            <v>Мурадян Севак Норикович</v>
          </cell>
          <cell r="D600">
            <v>79060486688</v>
          </cell>
          <cell r="G600">
            <v>79060486688</v>
          </cell>
        </row>
        <row r="601">
          <cell r="B601" t="str">
            <v>Глухов Василий Александрович</v>
          </cell>
          <cell r="D601">
            <v>79017991044</v>
          </cell>
          <cell r="G601">
            <v>79017991044</v>
          </cell>
        </row>
        <row r="602">
          <cell r="B602" t="str">
            <v>Волконский Михаил Владимирович</v>
          </cell>
          <cell r="D602">
            <v>79036661667</v>
          </cell>
          <cell r="E602">
            <v>79036661667</v>
          </cell>
          <cell r="G602">
            <v>79036661667</v>
          </cell>
        </row>
        <row r="603">
          <cell r="B603" t="str">
            <v>Корнач Антон Владимирович</v>
          </cell>
          <cell r="D603">
            <v>79052188999</v>
          </cell>
          <cell r="E603">
            <v>79052188999</v>
          </cell>
          <cell r="G603">
            <v>79052188999</v>
          </cell>
        </row>
        <row r="604">
          <cell r="B604" t="str">
            <v>Сукач Галина Александровна</v>
          </cell>
          <cell r="D604">
            <v>79111303089</v>
          </cell>
          <cell r="G604">
            <v>79111303089</v>
          </cell>
        </row>
        <row r="605">
          <cell r="B605" t="str">
            <v>Гудименко Константин Алексеевич</v>
          </cell>
          <cell r="D605">
            <v>79854422722</v>
          </cell>
          <cell r="G605">
            <v>89854422722</v>
          </cell>
        </row>
        <row r="606">
          <cell r="B606" t="str">
            <v>Алмазов Игорь Николаевич</v>
          </cell>
          <cell r="D606">
            <v>79263503990</v>
          </cell>
          <cell r="G606">
            <v>89263503990</v>
          </cell>
        </row>
        <row r="607">
          <cell r="B607" t="str">
            <v>Мишин Александр Александрович</v>
          </cell>
          <cell r="D607">
            <v>79254693138</v>
          </cell>
          <cell r="G607">
            <v>79254693138</v>
          </cell>
        </row>
        <row r="608">
          <cell r="B608" t="str">
            <v>Долгополов Сергей Юрьевич</v>
          </cell>
          <cell r="D608">
            <v>79771848609</v>
          </cell>
          <cell r="G608">
            <v>89771848609</v>
          </cell>
        </row>
        <row r="609">
          <cell r="B609" t="str">
            <v>Мкртчян Григор Рубикович</v>
          </cell>
          <cell r="D609">
            <v>79688871144</v>
          </cell>
          <cell r="G609">
            <v>79688871144</v>
          </cell>
        </row>
        <row r="610">
          <cell r="B610" t="str">
            <v>Пономарчук Андрей Борисович</v>
          </cell>
          <cell r="D610">
            <v>79037970956</v>
          </cell>
          <cell r="G610">
            <v>79037970956</v>
          </cell>
        </row>
        <row r="611">
          <cell r="B611" t="str">
            <v>Крикунов Тимофей Николаевич</v>
          </cell>
          <cell r="D611">
            <v>79608727270</v>
          </cell>
          <cell r="G611">
            <v>79608727270</v>
          </cell>
        </row>
        <row r="612">
          <cell r="B612" t="str">
            <v>Краснов Николай Викторович</v>
          </cell>
          <cell r="D612">
            <v>79649962555</v>
          </cell>
          <cell r="E612">
            <v>79649962555</v>
          </cell>
          <cell r="G612">
            <v>79649962555</v>
          </cell>
        </row>
        <row r="613">
          <cell r="B613" t="str">
            <v>Перевалов Артём Владимирович</v>
          </cell>
          <cell r="D613">
            <v>79871573353</v>
          </cell>
          <cell r="G613">
            <v>79871573353</v>
          </cell>
        </row>
        <row r="614">
          <cell r="B614" t="str">
            <v>Шустов Иван Сергеевич</v>
          </cell>
          <cell r="D614">
            <v>79214061513</v>
          </cell>
          <cell r="G614">
            <v>79214061513</v>
          </cell>
        </row>
        <row r="615">
          <cell r="B615" t="str">
            <v>Кильдюшкин Андрей Николаевич</v>
          </cell>
          <cell r="D615">
            <v>79513421351</v>
          </cell>
          <cell r="G615">
            <v>79513421351</v>
          </cell>
        </row>
        <row r="616">
          <cell r="B616" t="str">
            <v>Сеченова Вера Валерьевна</v>
          </cell>
          <cell r="D616">
            <v>79858095992</v>
          </cell>
          <cell r="G616">
            <v>89858095992</v>
          </cell>
        </row>
        <row r="617">
          <cell r="B617" t="str">
            <v>Хозова Ольга Николаевна</v>
          </cell>
          <cell r="D617">
            <v>79879673606</v>
          </cell>
          <cell r="G617">
            <v>79879673606</v>
          </cell>
        </row>
        <row r="618">
          <cell r="B618" t="str">
            <v>Алхименков Даниил Андреевич</v>
          </cell>
          <cell r="D618">
            <v>79056956259</v>
          </cell>
          <cell r="G618">
            <v>89056956259</v>
          </cell>
        </row>
        <row r="619">
          <cell r="B619" t="str">
            <v>Тихонов Максим Алексеевич</v>
          </cell>
          <cell r="D619">
            <v>79771729998</v>
          </cell>
          <cell r="G619">
            <v>89771729998</v>
          </cell>
        </row>
        <row r="620">
          <cell r="B620" t="str">
            <v>Сердюк Вероника Владимировна</v>
          </cell>
          <cell r="D620">
            <v>79298508291</v>
          </cell>
          <cell r="G620">
            <v>89298508291</v>
          </cell>
        </row>
        <row r="621">
          <cell r="B621" t="str">
            <v>Мурадян Эдгар Рафаелович</v>
          </cell>
          <cell r="D621">
            <v>79161011366</v>
          </cell>
          <cell r="G621">
            <v>79161011366</v>
          </cell>
        </row>
        <row r="622">
          <cell r="B622" t="str">
            <v>Хашидов Имамутдин Салимханович</v>
          </cell>
          <cell r="D622">
            <v>79224068379</v>
          </cell>
          <cell r="G622">
            <v>89224068379</v>
          </cell>
        </row>
        <row r="623">
          <cell r="B623" t="str">
            <v>Тунбаев Максим Валерович</v>
          </cell>
          <cell r="D623">
            <v>79371877777</v>
          </cell>
          <cell r="G623">
            <v>79371877777</v>
          </cell>
        </row>
        <row r="624">
          <cell r="B624" t="str">
            <v>Матченко Олеся Александровна</v>
          </cell>
          <cell r="D624">
            <v>79778088915</v>
          </cell>
          <cell r="G624">
            <v>89778088915</v>
          </cell>
        </row>
        <row r="625">
          <cell r="B625" t="str">
            <v>Белич Валерий Валериевич</v>
          </cell>
          <cell r="D625">
            <v>79186271220</v>
          </cell>
          <cell r="G625">
            <v>79186271220</v>
          </cell>
        </row>
        <row r="626">
          <cell r="B626" t="str">
            <v>Эргашев Баходир Закирович</v>
          </cell>
          <cell r="D626">
            <v>79268786830</v>
          </cell>
          <cell r="G626">
            <v>89268786830</v>
          </cell>
        </row>
        <row r="627">
          <cell r="B627" t="str">
            <v>Абдуллин Игорь Эдуардович</v>
          </cell>
          <cell r="D627">
            <v>79182111772</v>
          </cell>
          <cell r="G627">
            <v>89182111772</v>
          </cell>
        </row>
        <row r="628">
          <cell r="B628" t="str">
            <v>Губайдуллаев Хафиз Рафхатович</v>
          </cell>
          <cell r="D628">
            <v>79272855894</v>
          </cell>
          <cell r="G628">
            <v>79272855894</v>
          </cell>
        </row>
        <row r="629">
          <cell r="B629" t="str">
            <v>Куренкова Марина Анатольевна</v>
          </cell>
          <cell r="D629">
            <v>79690483616</v>
          </cell>
          <cell r="G629">
            <v>79690483616</v>
          </cell>
        </row>
        <row r="630">
          <cell r="B630" t="str">
            <v>Атаманов Максим Владимирович</v>
          </cell>
          <cell r="D630">
            <v>79099829612</v>
          </cell>
          <cell r="G630">
            <v>79099829612</v>
          </cell>
        </row>
        <row r="631">
          <cell r="B631" t="str">
            <v>Голосенин Тимофей Васильевич</v>
          </cell>
          <cell r="D631">
            <v>79785538206</v>
          </cell>
          <cell r="G631">
            <v>79785538206</v>
          </cell>
        </row>
        <row r="632">
          <cell r="B632" t="str">
            <v>Афонин Николай Юрьевич</v>
          </cell>
          <cell r="D632">
            <v>79164059403</v>
          </cell>
          <cell r="G632">
            <v>79164059403</v>
          </cell>
        </row>
        <row r="633">
          <cell r="B633" t="str">
            <v>Князев Алексей Иванович</v>
          </cell>
          <cell r="D633">
            <v>79258916468</v>
          </cell>
          <cell r="G633">
            <v>79258916468</v>
          </cell>
        </row>
        <row r="634">
          <cell r="B634" t="str">
            <v>Луковкин Владимир Федорович</v>
          </cell>
          <cell r="D634">
            <v>79773531063</v>
          </cell>
          <cell r="G634">
            <v>89773531063</v>
          </cell>
        </row>
        <row r="635">
          <cell r="B635" t="str">
            <v>Бажуткин Николай Владимирович</v>
          </cell>
          <cell r="D635">
            <v>79991055035</v>
          </cell>
          <cell r="G635">
            <v>79991055035</v>
          </cell>
        </row>
        <row r="636">
          <cell r="B636" t="str">
            <v>Абраменко Александр Владимирович</v>
          </cell>
          <cell r="D636">
            <v>79114003384</v>
          </cell>
          <cell r="G636">
            <v>79114003384</v>
          </cell>
        </row>
        <row r="637">
          <cell r="B637" t="str">
            <v>Савельев Станислав Валентинович</v>
          </cell>
          <cell r="D637">
            <v>79779410734</v>
          </cell>
          <cell r="G637">
            <v>79779410734</v>
          </cell>
        </row>
        <row r="638">
          <cell r="B638" t="str">
            <v>Коханов Андрей Валентинович</v>
          </cell>
          <cell r="D638">
            <v>79645897667</v>
          </cell>
          <cell r="G638">
            <v>89645897667</v>
          </cell>
        </row>
        <row r="639">
          <cell r="B639" t="str">
            <v>Атрошенко Елена Владимировна</v>
          </cell>
          <cell r="D639">
            <v>79852797978</v>
          </cell>
          <cell r="G639">
            <v>79852797978</v>
          </cell>
        </row>
        <row r="640">
          <cell r="B640" t="str">
            <v>Ваньков Никита Валерьевич</v>
          </cell>
          <cell r="D640">
            <v>79150135838</v>
          </cell>
          <cell r="G640">
            <v>89150135838</v>
          </cell>
        </row>
        <row r="641">
          <cell r="B641" t="str">
            <v>Стародубов Виталий Юрьевич</v>
          </cell>
          <cell r="D641">
            <v>79158532878</v>
          </cell>
          <cell r="G641">
            <v>79158532878</v>
          </cell>
        </row>
        <row r="642">
          <cell r="B642" t="str">
            <v>Рамишвили Марина Зурабовна</v>
          </cell>
          <cell r="D642">
            <v>79035571505</v>
          </cell>
          <cell r="G642">
            <v>79035571505</v>
          </cell>
        </row>
        <row r="643">
          <cell r="B643" t="str">
            <v>Чучаев Адам Аптиевич</v>
          </cell>
          <cell r="D643">
            <v>79377379999</v>
          </cell>
          <cell r="G643">
            <v>79377379999</v>
          </cell>
        </row>
        <row r="644">
          <cell r="B644" t="str">
            <v>Жирнов Игорь Владимирович</v>
          </cell>
          <cell r="D644">
            <v>79997159400</v>
          </cell>
          <cell r="G644">
            <v>79997159400</v>
          </cell>
        </row>
        <row r="645">
          <cell r="B645" t="str">
            <v>Правдивцева Наталья Владимировна</v>
          </cell>
          <cell r="D645">
            <v>79017232908</v>
          </cell>
          <cell r="G645">
            <v>79017232908</v>
          </cell>
        </row>
        <row r="646">
          <cell r="B646" t="str">
            <v>Мазнев Алексей Николаевич</v>
          </cell>
          <cell r="D646">
            <v>79057414221</v>
          </cell>
          <cell r="G646">
            <v>79057414221</v>
          </cell>
        </row>
        <row r="647">
          <cell r="B647" t="str">
            <v>Потёмкина Юлия Сергеевна</v>
          </cell>
          <cell r="D647">
            <v>79107086382</v>
          </cell>
          <cell r="G647">
            <v>79107086382</v>
          </cell>
        </row>
        <row r="648">
          <cell r="B648" t="str">
            <v>Фофанов Михаил Михайлович</v>
          </cell>
          <cell r="D648">
            <v>79261931081</v>
          </cell>
          <cell r="G648">
            <v>79261931081</v>
          </cell>
        </row>
        <row r="649">
          <cell r="B649" t="str">
            <v>Вехова Ирина Александровна</v>
          </cell>
          <cell r="D649">
            <v>79514428393</v>
          </cell>
          <cell r="G649">
            <v>79514428393</v>
          </cell>
        </row>
        <row r="650">
          <cell r="B650" t="str">
            <v>Зеленков Алексей Владимирович</v>
          </cell>
          <cell r="D650">
            <v>79160050904</v>
          </cell>
          <cell r="G650">
            <v>79160050904</v>
          </cell>
        </row>
        <row r="651">
          <cell r="B651" t="str">
            <v>Ходжаев Андрей Леонидович</v>
          </cell>
          <cell r="D651">
            <v>79035494702</v>
          </cell>
          <cell r="G651">
            <v>89035494702</v>
          </cell>
        </row>
        <row r="652">
          <cell r="B652" t="str">
            <v>Тетерин Владимир Михайлович</v>
          </cell>
          <cell r="D652">
            <v>79051449523</v>
          </cell>
          <cell r="G652">
            <v>79051449523</v>
          </cell>
        </row>
        <row r="653">
          <cell r="B653" t="str">
            <v>Гахокидзе Давид Аверионович</v>
          </cell>
          <cell r="D653">
            <v>79268848954</v>
          </cell>
          <cell r="E653">
            <v>79268848954</v>
          </cell>
          <cell r="G653">
            <v>79268848954</v>
          </cell>
        </row>
        <row r="654">
          <cell r="B654" t="str">
            <v>Волегов Николай Владиславович</v>
          </cell>
          <cell r="D654">
            <v>79226439993</v>
          </cell>
          <cell r="G654">
            <v>79226439993</v>
          </cell>
        </row>
        <row r="655">
          <cell r="B655" t="str">
            <v>Баранова Светлана Александровна</v>
          </cell>
          <cell r="D655">
            <v>79522496649</v>
          </cell>
          <cell r="G655">
            <v>79522496649</v>
          </cell>
        </row>
        <row r="656">
          <cell r="B656" t="str">
            <v>Фомин Иван Евгеньевич</v>
          </cell>
          <cell r="D656">
            <v>79773441744</v>
          </cell>
          <cell r="G656">
            <v>79773441744</v>
          </cell>
        </row>
        <row r="657">
          <cell r="B657" t="str">
            <v>Атабоев Каримжон Валижонович</v>
          </cell>
          <cell r="D657">
            <v>79774974812</v>
          </cell>
          <cell r="G657">
            <v>89774974812</v>
          </cell>
        </row>
        <row r="658">
          <cell r="B658" t="str">
            <v>Скрипичников Егор Сергеевич</v>
          </cell>
          <cell r="D658">
            <v>79047520322</v>
          </cell>
          <cell r="G658">
            <v>79047520322</v>
          </cell>
        </row>
        <row r="659">
          <cell r="B659" t="str">
            <v>Ильин Сергей Михайлович</v>
          </cell>
          <cell r="D659">
            <v>79157355780</v>
          </cell>
          <cell r="G659">
            <v>79157355780</v>
          </cell>
        </row>
        <row r="660">
          <cell r="B660" t="str">
            <v>Бакулин Андрей Валерьевич</v>
          </cell>
          <cell r="D660">
            <v>79184390308</v>
          </cell>
          <cell r="G660">
            <v>79184390308</v>
          </cell>
        </row>
        <row r="661">
          <cell r="B661" t="str">
            <v>Стрельцов Денис Николаевич</v>
          </cell>
          <cell r="D661">
            <v>79150995788</v>
          </cell>
          <cell r="E661">
            <v>79035708460</v>
          </cell>
          <cell r="G661">
            <v>79150995788</v>
          </cell>
        </row>
        <row r="662">
          <cell r="B662" t="str">
            <v>Резников Сергей Владимирович</v>
          </cell>
          <cell r="D662">
            <v>79265343777</v>
          </cell>
          <cell r="G662">
            <v>79265343777</v>
          </cell>
        </row>
        <row r="663">
          <cell r="B663" t="str">
            <v>Калашников Алексей Владимирович</v>
          </cell>
          <cell r="D663">
            <v>79520936493</v>
          </cell>
          <cell r="G663">
            <v>79520936493</v>
          </cell>
        </row>
        <row r="664">
          <cell r="B664" t="str">
            <v>Панина Ирина Валентиновна</v>
          </cell>
          <cell r="D664">
            <v>79202543991</v>
          </cell>
          <cell r="G664">
            <v>79202543991</v>
          </cell>
        </row>
        <row r="665">
          <cell r="B665" t="str">
            <v>Че Александр Кенчанович</v>
          </cell>
          <cell r="D665">
            <v>79384930366</v>
          </cell>
          <cell r="G665">
            <v>79384930366</v>
          </cell>
        </row>
        <row r="666">
          <cell r="B666" t="str">
            <v>Корносенков Евгений Алексеевич</v>
          </cell>
          <cell r="D666">
            <v>79227254469</v>
          </cell>
          <cell r="G666">
            <v>79227254469</v>
          </cell>
        </row>
        <row r="667">
          <cell r="B667" t="str">
            <v>Садырбекова Дамира Маматовна</v>
          </cell>
          <cell r="D667">
            <v>79117238178</v>
          </cell>
          <cell r="G667">
            <v>79117238178</v>
          </cell>
        </row>
        <row r="668">
          <cell r="B668" t="str">
            <v>Шквыр Виктор Викторович</v>
          </cell>
          <cell r="D668">
            <v>79066940306</v>
          </cell>
          <cell r="G668">
            <v>79066940306</v>
          </cell>
        </row>
        <row r="669">
          <cell r="B669" t="str">
            <v>Козырев Павел Борисович</v>
          </cell>
          <cell r="D669">
            <v>79777200780</v>
          </cell>
          <cell r="E669">
            <v>89257054048</v>
          </cell>
          <cell r="G669">
            <v>89257054048</v>
          </cell>
        </row>
        <row r="670">
          <cell r="B670" t="str">
            <v>Оверченко Виктория Владимировна</v>
          </cell>
          <cell r="D670">
            <v>79255957929</v>
          </cell>
          <cell r="G670">
            <v>79255957929</v>
          </cell>
        </row>
        <row r="671">
          <cell r="B671" t="str">
            <v>Есиков Алексей Вячеславович</v>
          </cell>
          <cell r="D671">
            <v>79602369556</v>
          </cell>
          <cell r="G671">
            <v>79602369556</v>
          </cell>
        </row>
        <row r="672">
          <cell r="B672" t="str">
            <v>Карпушин Артемий Михайлович</v>
          </cell>
          <cell r="D672">
            <v>79186611695</v>
          </cell>
          <cell r="G672">
            <v>79186611695</v>
          </cell>
        </row>
        <row r="673">
          <cell r="B673" t="str">
            <v>Козлов Александр Борисович</v>
          </cell>
          <cell r="D673">
            <v>79112729349</v>
          </cell>
          <cell r="G673">
            <v>89112729349</v>
          </cell>
        </row>
        <row r="674">
          <cell r="B674" t="str">
            <v>Шалимов Валерий Михайлович</v>
          </cell>
          <cell r="D674">
            <v>79371014128</v>
          </cell>
          <cell r="G674">
            <v>79371014128</v>
          </cell>
        </row>
        <row r="675">
          <cell r="B675" t="str">
            <v>Аблязизов Эдем Рустемович</v>
          </cell>
          <cell r="D675">
            <v>79787145838</v>
          </cell>
          <cell r="G675">
            <v>79787145838</v>
          </cell>
        </row>
        <row r="676">
          <cell r="B676" t="str">
            <v>Шувалов Александр Вячеславович</v>
          </cell>
          <cell r="D676">
            <v>79013890745</v>
          </cell>
          <cell r="G676">
            <v>79013890745</v>
          </cell>
        </row>
        <row r="677">
          <cell r="B677" t="str">
            <v>Ракитенко Николай Сергеевич</v>
          </cell>
          <cell r="D677">
            <v>79779026405</v>
          </cell>
          <cell r="G677">
            <v>79779026405</v>
          </cell>
        </row>
        <row r="678">
          <cell r="B678" t="str">
            <v>Мичурин Евгений Алексеевич</v>
          </cell>
          <cell r="D678">
            <v>79321138882</v>
          </cell>
          <cell r="G678">
            <v>79321138882</v>
          </cell>
        </row>
        <row r="679">
          <cell r="B679" t="str">
            <v>Свинцов Александр Владиславович</v>
          </cell>
          <cell r="D679">
            <v>79223655638</v>
          </cell>
          <cell r="G679">
            <v>79223655638</v>
          </cell>
        </row>
        <row r="680">
          <cell r="B680" t="str">
            <v>Белецкий Григорий Дмитриевич</v>
          </cell>
          <cell r="D680">
            <v>79184490218</v>
          </cell>
          <cell r="G680">
            <v>79184490218</v>
          </cell>
        </row>
        <row r="681">
          <cell r="B681" t="str">
            <v>Матвеев Андрей Александрович</v>
          </cell>
          <cell r="D681">
            <v>79883618694</v>
          </cell>
          <cell r="G681">
            <v>79883618694</v>
          </cell>
        </row>
        <row r="682">
          <cell r="B682" t="str">
            <v>Гнедаш Александр Александрович</v>
          </cell>
          <cell r="D682">
            <v>79885261920</v>
          </cell>
          <cell r="G682">
            <v>79885261920</v>
          </cell>
        </row>
        <row r="683">
          <cell r="B683" t="str">
            <v>Климахина Татьяна Сергеевна</v>
          </cell>
          <cell r="D683">
            <v>79215516110</v>
          </cell>
          <cell r="G683">
            <v>79215516110</v>
          </cell>
        </row>
        <row r="684">
          <cell r="B684" t="str">
            <v>Рогальская Нина Ивановна</v>
          </cell>
          <cell r="D684">
            <v>79096331489</v>
          </cell>
          <cell r="G684">
            <v>79096331489</v>
          </cell>
        </row>
        <row r="685">
          <cell r="B685" t="str">
            <v>Баранов Вадим Викторович</v>
          </cell>
          <cell r="D685">
            <v>79262788314</v>
          </cell>
          <cell r="G685">
            <v>79262788314</v>
          </cell>
        </row>
        <row r="686">
          <cell r="B686" t="str">
            <v>Котелло Марина Юрьевна</v>
          </cell>
          <cell r="D686">
            <v>79787238135</v>
          </cell>
          <cell r="G686">
            <v>79787238135</v>
          </cell>
        </row>
        <row r="687">
          <cell r="B687" t="str">
            <v>Авьюсов Владимир Аркадьевич</v>
          </cell>
          <cell r="D687">
            <v>79615412222</v>
          </cell>
          <cell r="G687">
            <v>79615412222</v>
          </cell>
        </row>
        <row r="688">
          <cell r="B688" t="str">
            <v>Караваев Александр Викторович</v>
          </cell>
          <cell r="D688">
            <v>79515067413</v>
          </cell>
          <cell r="G688">
            <v>79515067413</v>
          </cell>
        </row>
        <row r="689">
          <cell r="B689" t="str">
            <v>ИП Светлов Виталий Анатольевич</v>
          </cell>
          <cell r="D689">
            <v>79219537332</v>
          </cell>
          <cell r="G689">
            <v>79219537332</v>
          </cell>
        </row>
        <row r="690">
          <cell r="B690" t="str">
            <v>ФОРМУЛА КОМФОРТА ООО</v>
          </cell>
          <cell r="C690" t="str">
            <v>Маланка Виталий Владимирович</v>
          </cell>
        </row>
        <row r="691">
          <cell r="B691" t="str">
            <v>АРТЭС ООО</v>
          </cell>
          <cell r="C691" t="str">
            <v>Микаелян Арам Арестакович</v>
          </cell>
        </row>
        <row r="692">
          <cell r="B692" t="str">
            <v>ЭНБЕРЛИ ООО</v>
          </cell>
          <cell r="C692" t="str">
            <v>Ткаченко Александр Яковлевич</v>
          </cell>
          <cell r="F692">
            <v>79215916040</v>
          </cell>
        </row>
        <row r="693">
          <cell r="B693" t="str">
            <v>КАРАВАН ООО</v>
          </cell>
          <cell r="C693" t="str">
            <v>Фридман Михаил Валерьевич</v>
          </cell>
          <cell r="F693">
            <v>79118192010</v>
          </cell>
        </row>
        <row r="694">
          <cell r="B694" t="str">
            <v>АС ООО</v>
          </cell>
          <cell r="C694" t="str">
            <v>Роскошная Евгения Валерьевна</v>
          </cell>
        </row>
        <row r="695">
          <cell r="B695" t="str">
            <v>ГЛОБУС ООО</v>
          </cell>
          <cell r="C695" t="str">
            <v>Кравченко Дмитрий Сергеевич</v>
          </cell>
          <cell r="F695">
            <v>89112127734</v>
          </cell>
        </row>
        <row r="696">
          <cell r="B696" t="str">
            <v>ТРАНСЛОГ ООО</v>
          </cell>
          <cell r="C696" t="str">
            <v>Варданян Овик Грачикович</v>
          </cell>
          <cell r="F696">
            <v>79013735823</v>
          </cell>
        </row>
        <row r="697">
          <cell r="B697" t="str">
            <v>Балт Юнион ООО</v>
          </cell>
          <cell r="C697" t="str">
            <v>Застольская Александра Викторовна</v>
          </cell>
        </row>
        <row r="698">
          <cell r="B698" t="str">
            <v>ИП Светлов Виталий Анатольевич</v>
          </cell>
          <cell r="D698">
            <v>79219537332</v>
          </cell>
          <cell r="G698">
            <v>79219537332</v>
          </cell>
        </row>
        <row r="699">
          <cell r="B699" t="str">
            <v>ИП Петров Юрий Викторович</v>
          </cell>
          <cell r="G699">
            <v>79111440300</v>
          </cell>
        </row>
        <row r="700">
          <cell r="B700" t="str">
            <v>СК ОЛИМП ООО</v>
          </cell>
          <cell r="C700" t="str">
            <v>Васильева Ирина Геннадиевна, Директор</v>
          </cell>
        </row>
        <row r="701">
          <cell r="B701" t="str">
            <v>Макс Технолоджис ООО</v>
          </cell>
          <cell r="C701" t="str">
            <v>Кравченко Максим Владимирович</v>
          </cell>
        </row>
        <row r="702">
          <cell r="B702" t="str">
            <v>Чеботкова Полина Михайловна</v>
          </cell>
          <cell r="D702">
            <v>79122085348</v>
          </cell>
          <cell r="G702">
            <v>79122085348</v>
          </cell>
        </row>
        <row r="703">
          <cell r="B703" t="str">
            <v>Барсикян Эдуард Грачевич</v>
          </cell>
          <cell r="D703">
            <v>79185583434</v>
          </cell>
          <cell r="G703">
            <v>79185583434</v>
          </cell>
        </row>
        <row r="704">
          <cell r="B704" t="str">
            <v>Ларина Анна Ильинична</v>
          </cell>
          <cell r="D704">
            <v>79685265733</v>
          </cell>
          <cell r="G704">
            <v>79685265733</v>
          </cell>
        </row>
        <row r="705">
          <cell r="B705" t="str">
            <v>Лысенкова Инна Ивановна</v>
          </cell>
          <cell r="D705">
            <v>79308049905</v>
          </cell>
          <cell r="G705">
            <v>79200261961</v>
          </cell>
        </row>
        <row r="706">
          <cell r="B706" t="str">
            <v>Галеев Александр Ринатович</v>
          </cell>
          <cell r="D706">
            <v>79780741936</v>
          </cell>
          <cell r="G706">
            <v>79780741936</v>
          </cell>
        </row>
        <row r="707">
          <cell r="B707" t="str">
            <v>Широков Иван Андреевич</v>
          </cell>
          <cell r="D707">
            <v>79521222269</v>
          </cell>
          <cell r="G707">
            <v>79521222269</v>
          </cell>
        </row>
        <row r="708">
          <cell r="B708" t="str">
            <v>Афонин Сергей Юрьевич</v>
          </cell>
          <cell r="D708">
            <v>79129455795</v>
          </cell>
          <cell r="G708">
            <v>79129455795</v>
          </cell>
        </row>
        <row r="709">
          <cell r="B709" t="str">
            <v>Инджелер Фатих</v>
          </cell>
          <cell r="D709">
            <v>79295613402</v>
          </cell>
          <cell r="G709">
            <v>79295613402</v>
          </cell>
        </row>
        <row r="710">
          <cell r="B710" t="str">
            <v>Сорокин Константин Витальевич</v>
          </cell>
          <cell r="D710">
            <v>79268686455</v>
          </cell>
          <cell r="G710">
            <v>79268686455</v>
          </cell>
        </row>
        <row r="711">
          <cell r="B711" t="str">
            <v>Серопян Айк Мгерович</v>
          </cell>
          <cell r="D711">
            <v>79167239743</v>
          </cell>
          <cell r="G711" t="str">
            <v>89167239743, 89096377766</v>
          </cell>
        </row>
        <row r="712">
          <cell r="B712" t="str">
            <v>Хоминец Владимир Владимирович</v>
          </cell>
          <cell r="D712">
            <v>79155979456</v>
          </cell>
          <cell r="G712">
            <v>79155979456</v>
          </cell>
        </row>
        <row r="713">
          <cell r="B713" t="str">
            <v>Евсеев Сергей Анатольевич</v>
          </cell>
          <cell r="D713">
            <v>79080610858</v>
          </cell>
          <cell r="G713">
            <v>79080610858</v>
          </cell>
        </row>
        <row r="714">
          <cell r="B714" t="str">
            <v>Житаренко Юрий Иванович</v>
          </cell>
          <cell r="D714">
            <v>79040121789</v>
          </cell>
          <cell r="G714">
            <v>79040121789</v>
          </cell>
        </row>
        <row r="715">
          <cell r="B715" t="str">
            <v>Казыханова Лилия Расимовна</v>
          </cell>
          <cell r="D715">
            <v>79373458961</v>
          </cell>
          <cell r="G715">
            <v>79373458961</v>
          </cell>
        </row>
        <row r="716">
          <cell r="B716" t="str">
            <v>Панков Петр Владимирович</v>
          </cell>
          <cell r="D716">
            <v>79954096330</v>
          </cell>
          <cell r="G716">
            <v>79954096330</v>
          </cell>
        </row>
        <row r="717">
          <cell r="B717" t="str">
            <v>Сухов Алексей Александрович</v>
          </cell>
          <cell r="D717">
            <v>79096760046</v>
          </cell>
          <cell r="E717">
            <v>79096760046</v>
          </cell>
          <cell r="G717">
            <v>79096760046</v>
          </cell>
        </row>
        <row r="718">
          <cell r="B718" t="str">
            <v>Дыгова Раиса Мусарбиевна</v>
          </cell>
          <cell r="D718">
            <v>79955067888</v>
          </cell>
          <cell r="G718">
            <v>79955067888</v>
          </cell>
        </row>
        <row r="719">
          <cell r="B719" t="str">
            <v>Сорокина Екатерина Васильевна</v>
          </cell>
          <cell r="D719">
            <v>79650346204</v>
          </cell>
          <cell r="G719" t="str">
            <v>79650346204, 89535282032</v>
          </cell>
        </row>
        <row r="720">
          <cell r="B720" t="str">
            <v>Дунаева Любовь Анатольевна</v>
          </cell>
          <cell r="D720">
            <v>79035483254</v>
          </cell>
          <cell r="G720">
            <v>79035483254</v>
          </cell>
        </row>
        <row r="721">
          <cell r="B721" t="str">
            <v>Арутюнян Сережа Теватосович</v>
          </cell>
          <cell r="D721">
            <v>79257950235</v>
          </cell>
          <cell r="G721">
            <v>79257950235</v>
          </cell>
        </row>
        <row r="722">
          <cell r="B722" t="str">
            <v>Азиев Абдурахман Авхадович</v>
          </cell>
          <cell r="D722">
            <v>79899072129</v>
          </cell>
          <cell r="G722">
            <v>79899072129</v>
          </cell>
        </row>
        <row r="723">
          <cell r="B723" t="str">
            <v>Талаев Алексей Анатольевич</v>
          </cell>
          <cell r="D723">
            <v>79241724674</v>
          </cell>
          <cell r="G723">
            <v>79241724674</v>
          </cell>
        </row>
        <row r="724">
          <cell r="B724" t="str">
            <v>Дементьев Василий Алексеевич</v>
          </cell>
          <cell r="D724">
            <v>79370745455</v>
          </cell>
          <cell r="G724">
            <v>79370745455</v>
          </cell>
        </row>
        <row r="725">
          <cell r="B725" t="str">
            <v>Бендас Евгений Васильевич</v>
          </cell>
          <cell r="D725">
            <v>79969318786</v>
          </cell>
          <cell r="G725">
            <v>79969318786</v>
          </cell>
        </row>
        <row r="726">
          <cell r="B726" t="str">
            <v>Прохоров Александр Владимирович</v>
          </cell>
          <cell r="D726">
            <v>89307268930</v>
          </cell>
          <cell r="G726">
            <v>79307268930</v>
          </cell>
        </row>
        <row r="727">
          <cell r="B727" t="str">
            <v>Садигов Нарман Адждар Оглы</v>
          </cell>
          <cell r="D727">
            <v>79851883999</v>
          </cell>
          <cell r="G727">
            <v>79851883999</v>
          </cell>
        </row>
        <row r="728">
          <cell r="B728" t="str">
            <v>Алешин Эдуард Александрович</v>
          </cell>
          <cell r="D728">
            <v>79533334984</v>
          </cell>
          <cell r="G728">
            <v>79533334984</v>
          </cell>
        </row>
        <row r="729">
          <cell r="B729" t="str">
            <v>Березин Виктор Владимирович</v>
          </cell>
          <cell r="D729">
            <v>79500463011</v>
          </cell>
          <cell r="G729">
            <v>79500463011</v>
          </cell>
        </row>
        <row r="730">
          <cell r="B730" t="str">
            <v>Худин Виктор Васильевич</v>
          </cell>
          <cell r="D730">
            <v>79646453922</v>
          </cell>
          <cell r="E730">
            <v>79646453922</v>
          </cell>
          <cell r="G730">
            <v>79646453922</v>
          </cell>
        </row>
        <row r="731">
          <cell r="B731" t="str">
            <v>Гадян Артак Андраникович</v>
          </cell>
          <cell r="D731">
            <v>79645188888</v>
          </cell>
          <cell r="G731">
            <v>79645188888</v>
          </cell>
        </row>
        <row r="732">
          <cell r="B732" t="str">
            <v>Хамидуллов Линар Надырович</v>
          </cell>
          <cell r="D732">
            <v>79969536478</v>
          </cell>
          <cell r="G732">
            <v>79969536478</v>
          </cell>
        </row>
        <row r="733">
          <cell r="B733" t="str">
            <v>Литвинов Дмитрий Геннадьевич</v>
          </cell>
          <cell r="D733">
            <v>79104090933</v>
          </cell>
          <cell r="G733">
            <v>79104090933</v>
          </cell>
        </row>
        <row r="734">
          <cell r="B734" t="str">
            <v>Шушарин Артем Владимирович</v>
          </cell>
          <cell r="D734">
            <v>79028705078</v>
          </cell>
          <cell r="G734">
            <v>79028705078</v>
          </cell>
        </row>
        <row r="735">
          <cell r="B735" t="str">
            <v>Самарина Наталья Александровна</v>
          </cell>
          <cell r="D735">
            <v>79265260275</v>
          </cell>
          <cell r="G735">
            <v>79265260275</v>
          </cell>
        </row>
        <row r="736">
          <cell r="B736" t="str">
            <v>Никифоров Александр Андреевич</v>
          </cell>
          <cell r="D736">
            <v>79252233923</v>
          </cell>
          <cell r="G736">
            <v>79252233923</v>
          </cell>
        </row>
        <row r="737">
          <cell r="B737" t="str">
            <v>Чикирёв Олег Викторович</v>
          </cell>
          <cell r="D737">
            <v>79062462631</v>
          </cell>
          <cell r="E737">
            <v>79062462631</v>
          </cell>
        </row>
        <row r="738">
          <cell r="B738" t="str">
            <v>Нургушиев Нуридин Эдильбийевич</v>
          </cell>
          <cell r="D738">
            <v>79856469898</v>
          </cell>
          <cell r="G738">
            <v>89856469898</v>
          </cell>
        </row>
        <row r="739">
          <cell r="B739" t="str">
            <v>Кольчицкий Захар Викторович</v>
          </cell>
          <cell r="D739">
            <v>79062603305</v>
          </cell>
          <cell r="G739">
            <v>79062603305</v>
          </cell>
        </row>
        <row r="740">
          <cell r="B740" t="str">
            <v>Губская Светлана Анатольевна</v>
          </cell>
          <cell r="D740">
            <v>79852289127</v>
          </cell>
          <cell r="G740">
            <v>79852289127</v>
          </cell>
        </row>
        <row r="741">
          <cell r="B741" t="str">
            <v>Искендеров Рашад Сахиб Оглы</v>
          </cell>
          <cell r="D741">
            <v>79360039999</v>
          </cell>
          <cell r="E741">
            <v>79258719777</v>
          </cell>
          <cell r="G741">
            <v>79360039999</v>
          </cell>
        </row>
        <row r="742">
          <cell r="B742" t="str">
            <v>Елистратов Сергей Викторович</v>
          </cell>
          <cell r="D742">
            <v>79163455552</v>
          </cell>
          <cell r="G742">
            <v>79163455552</v>
          </cell>
        </row>
        <row r="743">
          <cell r="B743" t="str">
            <v>Карташова Евгения Анатольевна</v>
          </cell>
          <cell r="D743">
            <v>79787532105</v>
          </cell>
          <cell r="G743">
            <v>89787532105</v>
          </cell>
        </row>
        <row r="744">
          <cell r="B744" t="str">
            <v>Брежнева Мария Михайловна</v>
          </cell>
          <cell r="D744">
            <v>79629993747</v>
          </cell>
          <cell r="G744">
            <v>79629993747</v>
          </cell>
        </row>
        <row r="745">
          <cell r="B745" t="str">
            <v>Абдульманова Ангелина Рамилевна</v>
          </cell>
          <cell r="D745">
            <v>79872423129</v>
          </cell>
          <cell r="G745">
            <v>79872423129</v>
          </cell>
        </row>
        <row r="746">
          <cell r="B746" t="str">
            <v>Трупиков Дмитрий Станиславович</v>
          </cell>
          <cell r="D746">
            <v>79203522021</v>
          </cell>
          <cell r="G746">
            <v>89203522021</v>
          </cell>
        </row>
        <row r="747">
          <cell r="B747" t="str">
            <v>Иванов Владимир Леонидович</v>
          </cell>
          <cell r="D747">
            <v>79637203035</v>
          </cell>
          <cell r="G747">
            <v>79637203035</v>
          </cell>
        </row>
        <row r="748">
          <cell r="B748" t="str">
            <v>Фадеев Андрей Алексеевич</v>
          </cell>
          <cell r="D748">
            <v>79265859234</v>
          </cell>
          <cell r="G748">
            <v>79265859234</v>
          </cell>
        </row>
        <row r="749">
          <cell r="B749" t="str">
            <v>Григорян Эмма Петросовна</v>
          </cell>
          <cell r="D749">
            <v>79268586463</v>
          </cell>
          <cell r="G749">
            <v>79268586463</v>
          </cell>
        </row>
        <row r="750">
          <cell r="B750" t="str">
            <v>Шиганов Денис Юрьевич</v>
          </cell>
          <cell r="D750">
            <v>79677155001</v>
          </cell>
          <cell r="G750">
            <v>79677155001</v>
          </cell>
        </row>
        <row r="751">
          <cell r="B751" t="str">
            <v>Рожкова Наталья Петровна</v>
          </cell>
          <cell r="D751">
            <v>79260146032</v>
          </cell>
          <cell r="G751">
            <v>79260146032</v>
          </cell>
        </row>
        <row r="752">
          <cell r="B752" t="str">
            <v>Вакорина Екатерина Валентиновна</v>
          </cell>
          <cell r="D752">
            <v>79217947356</v>
          </cell>
          <cell r="G752">
            <v>79217947356</v>
          </cell>
        </row>
        <row r="753">
          <cell r="B753" t="str">
            <v>Мамлина Наталия Андреевна</v>
          </cell>
          <cell r="D753">
            <v>79036514804</v>
          </cell>
          <cell r="G753">
            <v>89036514804</v>
          </cell>
        </row>
        <row r="754">
          <cell r="B754" t="str">
            <v>Комарова Марина Владимировна</v>
          </cell>
          <cell r="D754">
            <v>79534275511</v>
          </cell>
          <cell r="G754">
            <v>79534275511</v>
          </cell>
        </row>
        <row r="755">
          <cell r="B755" t="str">
            <v>Пушкарев Александр Юрьевич</v>
          </cell>
          <cell r="D755">
            <v>79181360267</v>
          </cell>
          <cell r="G755">
            <v>89181360267</v>
          </cell>
        </row>
        <row r="756">
          <cell r="B756" t="str">
            <v>Коконев Николай Александрович</v>
          </cell>
          <cell r="D756">
            <v>79263768117</v>
          </cell>
          <cell r="G756">
            <v>89263768117</v>
          </cell>
        </row>
        <row r="757">
          <cell r="B757" t="str">
            <v>Валеев Рамиль Равилович</v>
          </cell>
          <cell r="D757">
            <v>79178736594</v>
          </cell>
          <cell r="G757">
            <v>79178736594</v>
          </cell>
        </row>
        <row r="758">
          <cell r="B758" t="str">
            <v>Доновский Даниил Дмитриевич</v>
          </cell>
          <cell r="D758">
            <v>79817820994</v>
          </cell>
          <cell r="G758">
            <v>89817820994</v>
          </cell>
        </row>
        <row r="759">
          <cell r="B759" t="str">
            <v>Зюнин Александр Сергеевич</v>
          </cell>
          <cell r="D759">
            <v>79268116094</v>
          </cell>
          <cell r="G759">
            <v>89268116094</v>
          </cell>
        </row>
        <row r="760">
          <cell r="B760" t="str">
            <v>Ангелов Алексей Славов</v>
          </cell>
          <cell r="D760">
            <v>79392222275</v>
          </cell>
          <cell r="G760">
            <v>79180454955</v>
          </cell>
        </row>
        <row r="761">
          <cell r="B761" t="str">
            <v>Шитова Виктория Викторовна</v>
          </cell>
          <cell r="D761">
            <v>79031060506</v>
          </cell>
          <cell r="E761">
            <v>79031060506</v>
          </cell>
        </row>
        <row r="762">
          <cell r="B762" t="str">
            <v>Хачикян Давид Алексеевич</v>
          </cell>
          <cell r="D762">
            <v>79169992772</v>
          </cell>
          <cell r="E762">
            <v>79169992772</v>
          </cell>
          <cell r="G762">
            <v>79169992772</v>
          </cell>
        </row>
        <row r="763">
          <cell r="B763" t="str">
            <v>Скоробогатов Анатолий Николаевич</v>
          </cell>
          <cell r="D763">
            <v>79064381838</v>
          </cell>
        </row>
        <row r="764">
          <cell r="B764" t="str">
            <v>Гильмтдинов Ильдус Вазирович</v>
          </cell>
          <cell r="D764">
            <v>79199012345</v>
          </cell>
          <cell r="E764">
            <v>89199012345</v>
          </cell>
        </row>
        <row r="765">
          <cell r="B765" t="str">
            <v>Захаркова Ирина Валерьевна</v>
          </cell>
        </row>
        <row r="766">
          <cell r="B766" t="str">
            <v>Ярунина Олеся Олеговна</v>
          </cell>
          <cell r="D766">
            <v>79506259515</v>
          </cell>
          <cell r="E766">
            <v>79506259515</v>
          </cell>
        </row>
        <row r="767">
          <cell r="B767" t="str">
            <v>Курмаев Виталий Юрьевич</v>
          </cell>
          <cell r="E767">
            <v>79534227208</v>
          </cell>
        </row>
        <row r="768">
          <cell r="B768" t="str">
            <v>Митясов Вячеслав Владимирович</v>
          </cell>
          <cell r="E768">
            <v>79299604520</v>
          </cell>
        </row>
        <row r="769">
          <cell r="B769" t="str">
            <v>Орехов Александр Викторович</v>
          </cell>
          <cell r="D769">
            <v>79688360986</v>
          </cell>
          <cell r="E769">
            <v>89688360986</v>
          </cell>
        </row>
        <row r="770">
          <cell r="B770" t="str">
            <v>Берберян Эдуард Арутюнович</v>
          </cell>
          <cell r="D770">
            <v>79167875038</v>
          </cell>
          <cell r="E770">
            <v>89167875038</v>
          </cell>
        </row>
        <row r="771">
          <cell r="B771" t="str">
            <v>Попов Роман Николаевич</v>
          </cell>
          <cell r="D771">
            <v>79851150459</v>
          </cell>
          <cell r="E771">
            <v>89851150459</v>
          </cell>
        </row>
        <row r="772">
          <cell r="B772" t="str">
            <v>Романов Алексей Викторович</v>
          </cell>
          <cell r="D772">
            <v>79277774188</v>
          </cell>
          <cell r="E772">
            <v>79277774188</v>
          </cell>
        </row>
        <row r="773">
          <cell r="B773" t="str">
            <v>Левин Сергей Сергеевич</v>
          </cell>
          <cell r="D773">
            <v>79019998830</v>
          </cell>
          <cell r="E773">
            <v>79019998830</v>
          </cell>
        </row>
        <row r="774">
          <cell r="B774" t="str">
            <v>Люшняк Владислав Анатольевич</v>
          </cell>
          <cell r="D774">
            <v>79289013232</v>
          </cell>
          <cell r="E774">
            <v>79508600535</v>
          </cell>
        </row>
        <row r="775">
          <cell r="B775" t="str">
            <v>Тагиев Рафаел Иса Оглы</v>
          </cell>
          <cell r="D775">
            <v>79167908897</v>
          </cell>
          <cell r="E775">
            <v>79167908897</v>
          </cell>
        </row>
        <row r="776">
          <cell r="B776" t="str">
            <v>Павлов Максим Андреевич</v>
          </cell>
          <cell r="D776">
            <v>79108611294</v>
          </cell>
          <cell r="G776">
            <v>79108611294</v>
          </cell>
        </row>
        <row r="777">
          <cell r="B777" t="str">
            <v>Исаков Магомед Владимирович</v>
          </cell>
          <cell r="D777">
            <v>79653763822</v>
          </cell>
          <cell r="E777">
            <v>79653763822</v>
          </cell>
        </row>
        <row r="778">
          <cell r="B778" t="str">
            <v>Ларчик Денис Владимирович</v>
          </cell>
          <cell r="D778">
            <v>79627262124</v>
          </cell>
          <cell r="E778">
            <v>79627262124</v>
          </cell>
        </row>
        <row r="779">
          <cell r="B779" t="str">
            <v>Ергашев Мухаммаджон Абдувалиевич</v>
          </cell>
          <cell r="D779">
            <v>79060407129</v>
          </cell>
          <cell r="E779">
            <v>79060407129</v>
          </cell>
        </row>
        <row r="780">
          <cell r="B780" t="str">
            <v>Хачатрян Хачик Норайрович</v>
          </cell>
          <cell r="D780">
            <v>79779070919</v>
          </cell>
          <cell r="E780">
            <v>79151341191</v>
          </cell>
        </row>
        <row r="781">
          <cell r="B781" t="str">
            <v>Тульнова Ольга Владимировна</v>
          </cell>
          <cell r="D781">
            <v>79204054175</v>
          </cell>
        </row>
        <row r="782">
          <cell r="B782" t="str">
            <v>Голосеев Алексей Анатольевич</v>
          </cell>
          <cell r="D782">
            <v>79264765646</v>
          </cell>
          <cell r="G782">
            <v>79264765646</v>
          </cell>
        </row>
        <row r="783">
          <cell r="B783" t="str">
            <v>Лекторова Екатерина Николаевна</v>
          </cell>
          <cell r="D783">
            <v>79160973836</v>
          </cell>
          <cell r="G783">
            <v>79160973836</v>
          </cell>
        </row>
        <row r="784">
          <cell r="B784" t="str">
            <v>Кузьмин Михаил Юрьевич</v>
          </cell>
          <cell r="D784">
            <v>79213341802</v>
          </cell>
          <cell r="G784">
            <v>89213341802</v>
          </cell>
        </row>
        <row r="785">
          <cell r="B785" t="str">
            <v>Соболев Владимир Александрович</v>
          </cell>
          <cell r="D785">
            <v>79779552327</v>
          </cell>
          <cell r="G785">
            <v>79779552327</v>
          </cell>
        </row>
        <row r="786">
          <cell r="B786" t="str">
            <v>Васильев Дмитрий Сергеевич</v>
          </cell>
          <cell r="D786">
            <v>79632434004</v>
          </cell>
          <cell r="G786">
            <v>79632434004</v>
          </cell>
        </row>
        <row r="787">
          <cell r="B787" t="str">
            <v>Куксова Елена Юрьевна</v>
          </cell>
          <cell r="D787">
            <v>79102220721</v>
          </cell>
          <cell r="G787">
            <v>79102220721</v>
          </cell>
        </row>
        <row r="788">
          <cell r="B788" t="str">
            <v>Мусаелян Вилен Карленович</v>
          </cell>
          <cell r="D788">
            <v>79081980881</v>
          </cell>
          <cell r="G788">
            <v>79081980881</v>
          </cell>
        </row>
        <row r="789">
          <cell r="B789" t="str">
            <v>Свищёва Елена Владимировна</v>
          </cell>
          <cell r="D789">
            <v>79117190979</v>
          </cell>
          <cell r="G789">
            <v>79117190979</v>
          </cell>
        </row>
        <row r="790">
          <cell r="B790" t="str">
            <v>Микаелян Ваге Беникович</v>
          </cell>
          <cell r="D790">
            <v>79253755716</v>
          </cell>
          <cell r="G790">
            <v>79253755716</v>
          </cell>
        </row>
        <row r="791">
          <cell r="B791" t="str">
            <v>Кобзев Олег Викторович</v>
          </cell>
          <cell r="D791">
            <v>79202380239</v>
          </cell>
          <cell r="G791">
            <v>79204982027</v>
          </cell>
        </row>
        <row r="792">
          <cell r="B792" t="str">
            <v>Антонов Сергей Петрович</v>
          </cell>
          <cell r="D792">
            <v>79313615194</v>
          </cell>
          <cell r="G792">
            <v>79313615194</v>
          </cell>
        </row>
        <row r="793">
          <cell r="B793" t="str">
            <v>Диденко Роман Владимирович</v>
          </cell>
          <cell r="D793">
            <v>79040950112</v>
          </cell>
          <cell r="G793">
            <v>79040950112</v>
          </cell>
        </row>
        <row r="794">
          <cell r="B794" t="str">
            <v>Степенко Александр Сергеевич</v>
          </cell>
          <cell r="D794">
            <v>79268140732</v>
          </cell>
          <cell r="G794">
            <v>79268140732</v>
          </cell>
        </row>
        <row r="795">
          <cell r="B795" t="str">
            <v>Минаев Николай Тамазович</v>
          </cell>
          <cell r="D795">
            <v>79661762288</v>
          </cell>
          <cell r="G795">
            <v>79661762288</v>
          </cell>
        </row>
        <row r="796">
          <cell r="B796" t="str">
            <v>Чащин Александр Станиславович</v>
          </cell>
          <cell r="D796">
            <v>79186117000</v>
          </cell>
          <cell r="G796">
            <v>89186117000</v>
          </cell>
        </row>
        <row r="797">
          <cell r="B797" t="str">
            <v>Макаров Алексей Александрович</v>
          </cell>
          <cell r="D797">
            <v>79162703135</v>
          </cell>
          <cell r="G797">
            <v>79162703135</v>
          </cell>
        </row>
        <row r="798">
          <cell r="B798" t="str">
            <v>Масальский Руслан Иванович</v>
          </cell>
          <cell r="D798">
            <v>79516642080</v>
          </cell>
          <cell r="G798">
            <v>79516642080</v>
          </cell>
        </row>
        <row r="799">
          <cell r="B799" t="str">
            <v>Клочихина Ирина Валерьевна</v>
          </cell>
          <cell r="D799">
            <v>79501929924</v>
          </cell>
          <cell r="G799">
            <v>79501929924</v>
          </cell>
        </row>
        <row r="800">
          <cell r="B800" t="str">
            <v>Денисенко Руслана Анатольевна</v>
          </cell>
          <cell r="D800">
            <v>79192213172</v>
          </cell>
          <cell r="G800">
            <v>89192213172</v>
          </cell>
        </row>
        <row r="801">
          <cell r="B801" t="str">
            <v>Саутин Александр Юрьевич</v>
          </cell>
          <cell r="D801">
            <v>79262862881</v>
          </cell>
          <cell r="G801">
            <v>89262862881</v>
          </cell>
        </row>
        <row r="802">
          <cell r="B802" t="str">
            <v>Джабраилов Саид-Хусейн Хасанович</v>
          </cell>
          <cell r="D802">
            <v>79189250990</v>
          </cell>
          <cell r="G802" t="str">
            <v>79189250990, 79286682038</v>
          </cell>
        </row>
        <row r="803">
          <cell r="B803" t="str">
            <v>Глухов Максим Сергеевич</v>
          </cell>
          <cell r="D803">
            <v>79530237298</v>
          </cell>
          <cell r="G803">
            <v>89530237298</v>
          </cell>
        </row>
        <row r="804">
          <cell r="B804" t="str">
            <v>Хуртов Сергей Георгиевич</v>
          </cell>
          <cell r="D804">
            <v>79850899312</v>
          </cell>
          <cell r="G804">
            <v>89850899312</v>
          </cell>
        </row>
        <row r="805">
          <cell r="B805" t="str">
            <v>Унанян Самвел Мартунович</v>
          </cell>
          <cell r="D805">
            <v>79647151845</v>
          </cell>
          <cell r="G805">
            <v>89647151845</v>
          </cell>
        </row>
        <row r="806">
          <cell r="B806" t="str">
            <v>Жалилов Марифжон Махамадаминович</v>
          </cell>
          <cell r="D806">
            <v>79533728902</v>
          </cell>
          <cell r="G806">
            <v>79533728902</v>
          </cell>
        </row>
        <row r="807">
          <cell r="B807" t="str">
            <v>Мурина Оксана Викторовна</v>
          </cell>
          <cell r="D807">
            <v>79163043591</v>
          </cell>
          <cell r="G807">
            <v>89163043591</v>
          </cell>
        </row>
        <row r="808">
          <cell r="B808" t="str">
            <v>Гриднева Татьяна Николаевна</v>
          </cell>
          <cell r="D808">
            <v>79221409471</v>
          </cell>
          <cell r="G808">
            <v>79221409471</v>
          </cell>
        </row>
        <row r="809">
          <cell r="B809" t="str">
            <v>Аладьин Никита Олегович</v>
          </cell>
          <cell r="D809">
            <v>79159781947</v>
          </cell>
          <cell r="G809">
            <v>89159781947</v>
          </cell>
        </row>
        <row r="810">
          <cell r="B810" t="str">
            <v>Павлов Алексей Георгиевич</v>
          </cell>
          <cell r="D810">
            <v>79806869347</v>
          </cell>
          <cell r="G810">
            <v>89806869347</v>
          </cell>
        </row>
        <row r="811">
          <cell r="B811" t="str">
            <v>Маслов Андрей Алексеевич</v>
          </cell>
          <cell r="D811">
            <v>79377406043</v>
          </cell>
          <cell r="E811">
            <v>89962330882</v>
          </cell>
          <cell r="G811">
            <v>89377406043</v>
          </cell>
        </row>
        <row r="812">
          <cell r="B812" t="str">
            <v>Сенченко Анна Станиславовна</v>
          </cell>
          <cell r="D812">
            <v>79687515050</v>
          </cell>
          <cell r="G812">
            <v>89687515050</v>
          </cell>
        </row>
        <row r="813">
          <cell r="B813" t="str">
            <v>Кудрявцев Геннадий Владимирович</v>
          </cell>
          <cell r="D813">
            <v>79264645049</v>
          </cell>
          <cell r="E813">
            <v>79264645049</v>
          </cell>
          <cell r="G813">
            <v>79264645049</v>
          </cell>
        </row>
        <row r="814">
          <cell r="B814" t="str">
            <v>Иванченко Сергей Александрович</v>
          </cell>
          <cell r="D814">
            <v>79123452515</v>
          </cell>
          <cell r="G814">
            <v>89123452515</v>
          </cell>
        </row>
        <row r="815">
          <cell r="B815" t="str">
            <v>Кисель Наталья Александровна</v>
          </cell>
          <cell r="D815">
            <v>79645269797</v>
          </cell>
          <cell r="G815">
            <v>89645269797</v>
          </cell>
        </row>
        <row r="816">
          <cell r="B816" t="str">
            <v>Павлов Вячеслав Игоревич</v>
          </cell>
          <cell r="D816">
            <v>79636718919</v>
          </cell>
          <cell r="G816">
            <v>89636718919</v>
          </cell>
        </row>
        <row r="817">
          <cell r="B817" t="str">
            <v>Фетисов Сергей Владимирович</v>
          </cell>
          <cell r="D817">
            <v>79204797477</v>
          </cell>
          <cell r="E817">
            <v>79672015609</v>
          </cell>
          <cell r="G817">
            <v>79204797477</v>
          </cell>
        </row>
        <row r="818">
          <cell r="B818" t="str">
            <v>Сайдалиева Наталия Владимировна</v>
          </cell>
          <cell r="D818">
            <v>79156940784</v>
          </cell>
          <cell r="G818">
            <v>79156940784</v>
          </cell>
        </row>
        <row r="819">
          <cell r="B819" t="str">
            <v>Алижанова Олмахон Базарбаевна</v>
          </cell>
          <cell r="D819">
            <v>79647177060</v>
          </cell>
          <cell r="G819">
            <v>79647177060</v>
          </cell>
        </row>
        <row r="820">
          <cell r="B820" t="str">
            <v>Алиев Турал Эльдар Оглы</v>
          </cell>
          <cell r="D820">
            <v>79647204074</v>
          </cell>
          <cell r="G820">
            <v>79647204074</v>
          </cell>
        </row>
        <row r="821">
          <cell r="B821" t="str">
            <v>Сеферян Галина Андрониковна</v>
          </cell>
          <cell r="D821">
            <v>79165232608</v>
          </cell>
          <cell r="G821">
            <v>89165232608</v>
          </cell>
        </row>
        <row r="822">
          <cell r="B822" t="str">
            <v>Плотников Николай Алексеевич</v>
          </cell>
          <cell r="D822">
            <v>79169194220</v>
          </cell>
          <cell r="G822">
            <v>89169194220</v>
          </cell>
        </row>
        <row r="823">
          <cell r="B823" t="str">
            <v>Степанов Игорь Александрович</v>
          </cell>
          <cell r="D823">
            <v>79107795024</v>
          </cell>
          <cell r="G823">
            <v>89107795024</v>
          </cell>
        </row>
        <row r="824">
          <cell r="B824" t="str">
            <v>Котов Руслан Геннадьевич</v>
          </cell>
          <cell r="D824">
            <v>79033285823</v>
          </cell>
          <cell r="G824">
            <v>79033285823</v>
          </cell>
        </row>
        <row r="825">
          <cell r="B825" t="str">
            <v>Фролов Сергей Владимирович</v>
          </cell>
          <cell r="D825">
            <v>79190494697</v>
          </cell>
          <cell r="G825">
            <v>89190494697</v>
          </cell>
        </row>
        <row r="826">
          <cell r="B826" t="str">
            <v>Далгатов Гаджимурад Магомедович</v>
          </cell>
          <cell r="D826">
            <v>79259999244</v>
          </cell>
          <cell r="G826">
            <v>79259999244</v>
          </cell>
        </row>
        <row r="827">
          <cell r="B827" t="str">
            <v>Асликян Гарик Самвелович</v>
          </cell>
          <cell r="D827">
            <v>79180081488</v>
          </cell>
          <cell r="G827">
            <v>79180081488</v>
          </cell>
        </row>
        <row r="828">
          <cell r="B828" t="str">
            <v>Агапов Сергей Петрович</v>
          </cell>
          <cell r="D828">
            <v>79035312601</v>
          </cell>
          <cell r="G828">
            <v>89035312601</v>
          </cell>
        </row>
        <row r="829">
          <cell r="B829" t="str">
            <v>Наумов Олег Владимирович</v>
          </cell>
          <cell r="D829">
            <v>79152920318</v>
          </cell>
          <cell r="G829">
            <v>79152920318</v>
          </cell>
        </row>
        <row r="830">
          <cell r="B830" t="str">
            <v>Сергушкин Александр Николаевич</v>
          </cell>
          <cell r="D830">
            <v>79685389779</v>
          </cell>
          <cell r="G830">
            <v>79685389779</v>
          </cell>
        </row>
        <row r="831">
          <cell r="B831" t="str">
            <v>Розанов Сергей Александрович</v>
          </cell>
          <cell r="D831">
            <v>79165419633</v>
          </cell>
          <cell r="G831">
            <v>79165419633</v>
          </cell>
        </row>
        <row r="832">
          <cell r="B832" t="str">
            <v>Щербаков Сергей Васильевич</v>
          </cell>
          <cell r="D832">
            <v>79058936511</v>
          </cell>
          <cell r="G832">
            <v>79058936511</v>
          </cell>
        </row>
        <row r="833">
          <cell r="B833" t="str">
            <v>Бозоян Агаси Климентович</v>
          </cell>
          <cell r="D833">
            <v>79167970100</v>
          </cell>
          <cell r="G833">
            <v>89167970100</v>
          </cell>
        </row>
        <row r="834">
          <cell r="B834" t="str">
            <v>Колебанова Екатерина Александровна</v>
          </cell>
          <cell r="D834">
            <v>79871116379</v>
          </cell>
          <cell r="G834">
            <v>79871116379</v>
          </cell>
        </row>
        <row r="835">
          <cell r="B835" t="str">
            <v>Щеглов Роман Сергеевич</v>
          </cell>
          <cell r="D835">
            <v>79340003444</v>
          </cell>
          <cell r="G835">
            <v>89340003444</v>
          </cell>
        </row>
        <row r="836">
          <cell r="B836" t="str">
            <v>Полякова Дарья Евгеньевна</v>
          </cell>
          <cell r="D836">
            <v>79326199360</v>
          </cell>
          <cell r="G836">
            <v>89326199360</v>
          </cell>
        </row>
        <row r="837">
          <cell r="B837" t="str">
            <v>Захарова Ирина Константиновна</v>
          </cell>
          <cell r="D837">
            <v>79519086580</v>
          </cell>
          <cell r="G837">
            <v>79519086580</v>
          </cell>
        </row>
        <row r="838">
          <cell r="B838" t="str">
            <v>Омаров Расул Казибекович</v>
          </cell>
          <cell r="D838">
            <v>79289741541</v>
          </cell>
          <cell r="G838">
            <v>79289741541</v>
          </cell>
        </row>
        <row r="839">
          <cell r="B839" t="str">
            <v>Дробот Роман Вячеславович</v>
          </cell>
          <cell r="D839">
            <v>79270689752</v>
          </cell>
          <cell r="G839">
            <v>89270689752</v>
          </cell>
        </row>
        <row r="840">
          <cell r="B840" t="str">
            <v>Воронова Татьяна Алексеевна</v>
          </cell>
          <cell r="D840">
            <v>79262665181</v>
          </cell>
          <cell r="G840">
            <v>79262665181</v>
          </cell>
        </row>
        <row r="841">
          <cell r="B841" t="str">
            <v>Тюмин Валерий Александрович</v>
          </cell>
          <cell r="D841">
            <v>79869544879</v>
          </cell>
          <cell r="G841">
            <v>79869544879</v>
          </cell>
        </row>
        <row r="842">
          <cell r="B842" t="str">
            <v>Сомов Денис Валерьевич</v>
          </cell>
          <cell r="D842">
            <v>79223428176</v>
          </cell>
          <cell r="G842">
            <v>89223428176</v>
          </cell>
        </row>
        <row r="843">
          <cell r="B843" t="str">
            <v>Шумилов Валерий Игоревич</v>
          </cell>
          <cell r="D843">
            <v>79201426215</v>
          </cell>
          <cell r="G843">
            <v>89201426215</v>
          </cell>
        </row>
        <row r="844">
          <cell r="B844" t="str">
            <v>Анзорова Инна Руслановна</v>
          </cell>
          <cell r="D844">
            <v>79261264094</v>
          </cell>
          <cell r="G844">
            <v>79261264094</v>
          </cell>
        </row>
        <row r="845">
          <cell r="B845" t="str">
            <v>Царев Кирилл Сергеевич</v>
          </cell>
          <cell r="D845">
            <v>79085497400</v>
          </cell>
          <cell r="G845">
            <v>89085497400</v>
          </cell>
        </row>
        <row r="846">
          <cell r="B846" t="str">
            <v>Османов Расул Магомедович</v>
          </cell>
          <cell r="D846">
            <v>79292444055</v>
          </cell>
          <cell r="G846">
            <v>89679427780</v>
          </cell>
        </row>
        <row r="847">
          <cell r="B847" t="str">
            <v>Деревяга Илья Викторович</v>
          </cell>
          <cell r="D847">
            <v>79292876220</v>
          </cell>
          <cell r="G847">
            <v>79292876220</v>
          </cell>
        </row>
        <row r="848">
          <cell r="B848" t="str">
            <v>Мачнева Галина Петровна</v>
          </cell>
          <cell r="D848">
            <v>79998936010</v>
          </cell>
          <cell r="G848">
            <v>79998936010</v>
          </cell>
        </row>
        <row r="849">
          <cell r="B849" t="str">
            <v>Пахомов Михаил Юрьевич</v>
          </cell>
          <cell r="D849">
            <v>79151530509</v>
          </cell>
          <cell r="G849">
            <v>79151530509</v>
          </cell>
        </row>
        <row r="850">
          <cell r="B850" t="str">
            <v>Гараев Ровшан Гасымович</v>
          </cell>
          <cell r="D850">
            <v>79964500090</v>
          </cell>
          <cell r="G850">
            <v>79964500090</v>
          </cell>
        </row>
        <row r="851">
          <cell r="B851" t="str">
            <v>Моисеев Сергей Алексеевич</v>
          </cell>
          <cell r="D851">
            <v>79258338745</v>
          </cell>
          <cell r="E851">
            <v>79258338745</v>
          </cell>
          <cell r="G851">
            <v>79258338745</v>
          </cell>
        </row>
        <row r="852">
          <cell r="B852" t="str">
            <v>Лапшин Владимир Николаевич</v>
          </cell>
          <cell r="D852">
            <v>79109502279</v>
          </cell>
          <cell r="G852">
            <v>79109502279</v>
          </cell>
        </row>
        <row r="853">
          <cell r="B853" t="str">
            <v>Кочарян Саргис Сетракович</v>
          </cell>
          <cell r="D853">
            <v>79030302121</v>
          </cell>
          <cell r="G853">
            <v>79030302121</v>
          </cell>
        </row>
        <row r="854">
          <cell r="B854" t="str">
            <v>Харитонова Ирина Александровна</v>
          </cell>
          <cell r="D854">
            <v>79612507774</v>
          </cell>
          <cell r="G854">
            <v>79612507774</v>
          </cell>
        </row>
        <row r="855">
          <cell r="B855" t="str">
            <v>Власов Павел Васильевич</v>
          </cell>
          <cell r="D855">
            <v>79258309096</v>
          </cell>
          <cell r="G855">
            <v>79258309096</v>
          </cell>
        </row>
        <row r="856">
          <cell r="B856" t="str">
            <v>Бибнева Анастасия Дмитриевна</v>
          </cell>
          <cell r="D856">
            <v>79219431758</v>
          </cell>
          <cell r="G856">
            <v>79219431758</v>
          </cell>
        </row>
        <row r="857">
          <cell r="B857" t="str">
            <v>Леднев Алексей Иванович</v>
          </cell>
          <cell r="D857">
            <v>79205548825</v>
          </cell>
          <cell r="G857">
            <v>79205548825</v>
          </cell>
        </row>
        <row r="858">
          <cell r="B858" t="str">
            <v>Гиенко Павел Анатольевич</v>
          </cell>
          <cell r="D858">
            <v>79517616983</v>
          </cell>
          <cell r="G858">
            <v>79517616983</v>
          </cell>
        </row>
        <row r="859">
          <cell r="B859" t="str">
            <v>Алыбаев Долеткельди Ягудович</v>
          </cell>
          <cell r="D859">
            <v>79154897142</v>
          </cell>
          <cell r="G859">
            <v>79154897142</v>
          </cell>
        </row>
        <row r="860">
          <cell r="B860" t="str">
            <v>Покатаев Андрей Борисович</v>
          </cell>
          <cell r="D860">
            <v>79162176242</v>
          </cell>
          <cell r="G860">
            <v>89162176242</v>
          </cell>
        </row>
        <row r="861">
          <cell r="B861" t="str">
            <v>Зайцев Иван Владимирович</v>
          </cell>
          <cell r="D861">
            <v>79966163228</v>
          </cell>
          <cell r="G861">
            <v>79966163228</v>
          </cell>
        </row>
        <row r="862">
          <cell r="B862" t="str">
            <v>Клементьев Александр Александрович</v>
          </cell>
          <cell r="D862">
            <v>79966062441</v>
          </cell>
          <cell r="G862">
            <v>79966062441</v>
          </cell>
        </row>
        <row r="863">
          <cell r="B863" t="str">
            <v>Векилянц Екатерина Николаевна</v>
          </cell>
          <cell r="D863">
            <v>79057551169</v>
          </cell>
          <cell r="G863">
            <v>89057551169</v>
          </cell>
        </row>
        <row r="864">
          <cell r="B864" t="str">
            <v>Плющ Татьяна Владимировна</v>
          </cell>
          <cell r="D864">
            <v>79883424571</v>
          </cell>
          <cell r="G864">
            <v>79883424571</v>
          </cell>
        </row>
        <row r="865">
          <cell r="B865" t="str">
            <v>Мазориев Рахматуло Саидович</v>
          </cell>
          <cell r="D865">
            <v>79259119530</v>
          </cell>
          <cell r="G865">
            <v>89167504349</v>
          </cell>
        </row>
        <row r="866">
          <cell r="B866" t="str">
            <v>Гречко Алексей Сергеевич</v>
          </cell>
          <cell r="D866">
            <v>79289054735</v>
          </cell>
          <cell r="G866">
            <v>79289054735</v>
          </cell>
        </row>
        <row r="867">
          <cell r="B867" t="str">
            <v>Оскомова Инна Анатольевна</v>
          </cell>
          <cell r="D867">
            <v>79525173455</v>
          </cell>
          <cell r="G867">
            <v>79525173455</v>
          </cell>
        </row>
        <row r="868">
          <cell r="B868" t="str">
            <v>Карманов Александр Иванович</v>
          </cell>
          <cell r="D868">
            <v>79035579777</v>
          </cell>
          <cell r="G868">
            <v>79035579777</v>
          </cell>
        </row>
        <row r="869">
          <cell r="B869" t="str">
            <v>Рогава Ольга Евгеньевна</v>
          </cell>
          <cell r="D869">
            <v>79856338888</v>
          </cell>
          <cell r="G869">
            <v>89856337777</v>
          </cell>
        </row>
        <row r="870">
          <cell r="B870" t="str">
            <v>Саакян Рафик Самвелович</v>
          </cell>
          <cell r="D870">
            <v>79284176335</v>
          </cell>
          <cell r="G870">
            <v>79284176335</v>
          </cell>
        </row>
        <row r="871">
          <cell r="B871" t="str">
            <v>Суванов Элнур Равшан Оглы</v>
          </cell>
          <cell r="D871">
            <v>79782587570</v>
          </cell>
          <cell r="G871">
            <v>79782587570</v>
          </cell>
        </row>
        <row r="872">
          <cell r="B872" t="str">
            <v>Рыбникова Ольга Ивановна</v>
          </cell>
          <cell r="D872">
            <v>79213231062</v>
          </cell>
          <cell r="G872">
            <v>79213231062</v>
          </cell>
        </row>
        <row r="873">
          <cell r="B873" t="str">
            <v>Мырзалиев Абдырасул Израилович</v>
          </cell>
          <cell r="D873">
            <v>79679070701</v>
          </cell>
          <cell r="G873">
            <v>79679070701</v>
          </cell>
        </row>
        <row r="874">
          <cell r="B874" t="str">
            <v>Почапский Антон Вячеславович</v>
          </cell>
          <cell r="D874">
            <v>79372025353</v>
          </cell>
          <cell r="G874">
            <v>79372025353</v>
          </cell>
        </row>
        <row r="875">
          <cell r="B875" t="str">
            <v>Долгошеев Александр Юрьевич</v>
          </cell>
          <cell r="D875">
            <v>79636517614</v>
          </cell>
          <cell r="G875">
            <v>89636517614</v>
          </cell>
        </row>
        <row r="876">
          <cell r="B876" t="str">
            <v>Семенов Андрей Сергеевич</v>
          </cell>
          <cell r="D876">
            <v>79264150405</v>
          </cell>
          <cell r="G876">
            <v>79264150405</v>
          </cell>
        </row>
        <row r="877">
          <cell r="B877" t="str">
            <v>Мнацаканян Карен Аракелович</v>
          </cell>
          <cell r="D877">
            <v>79150088880</v>
          </cell>
          <cell r="E877">
            <v>79150088880</v>
          </cell>
          <cell r="G877">
            <v>79688618888</v>
          </cell>
        </row>
        <row r="878">
          <cell r="B878" t="str">
            <v>Матвеева Дарья Вячеславовна</v>
          </cell>
          <cell r="D878">
            <v>79652489708</v>
          </cell>
          <cell r="G878">
            <v>79652489708</v>
          </cell>
        </row>
        <row r="879">
          <cell r="B879" t="str">
            <v>Волков Василий Валерьевич</v>
          </cell>
          <cell r="D879">
            <v>79605005696</v>
          </cell>
          <cell r="G879">
            <v>89605005696</v>
          </cell>
        </row>
        <row r="880">
          <cell r="B880" t="str">
            <v>Храпов Андрей Геннадиевич</v>
          </cell>
          <cell r="D880">
            <v>79042896393</v>
          </cell>
          <cell r="E880">
            <v>89155578669</v>
          </cell>
          <cell r="G880">
            <v>89042896393</v>
          </cell>
        </row>
        <row r="881">
          <cell r="B881" t="str">
            <v>Биятов Малик Серекович</v>
          </cell>
          <cell r="D881">
            <v>79534579822</v>
          </cell>
          <cell r="G881">
            <v>89534579822</v>
          </cell>
        </row>
        <row r="882">
          <cell r="B882" t="str">
            <v>Преснецов Андрей Владимирович</v>
          </cell>
          <cell r="D882">
            <v>79821779947</v>
          </cell>
          <cell r="G882">
            <v>79821779947</v>
          </cell>
        </row>
        <row r="883">
          <cell r="B883" t="str">
            <v>Наумик Екатерина Андреевна</v>
          </cell>
          <cell r="D883">
            <v>79002077402</v>
          </cell>
          <cell r="G883">
            <v>79002077402</v>
          </cell>
        </row>
        <row r="884">
          <cell r="B884" t="str">
            <v>Кравчук Андрей Николаевич</v>
          </cell>
          <cell r="D884">
            <v>79081930608</v>
          </cell>
          <cell r="G884">
            <v>79081930608</v>
          </cell>
        </row>
        <row r="885">
          <cell r="B885" t="str">
            <v>Расулов Ахмедхан Саидбекович</v>
          </cell>
          <cell r="D885">
            <v>79684450505</v>
          </cell>
          <cell r="G885">
            <v>79684450505</v>
          </cell>
        </row>
        <row r="886">
          <cell r="B886" t="str">
            <v>Киселев Андрей Владимирович</v>
          </cell>
          <cell r="D886">
            <v>79209797895</v>
          </cell>
          <cell r="G886">
            <v>79209797895</v>
          </cell>
        </row>
        <row r="887">
          <cell r="B887" t="str">
            <v>Зайцев Антон Эдуардович</v>
          </cell>
          <cell r="D887">
            <v>79869500103</v>
          </cell>
          <cell r="G887">
            <v>79869500103</v>
          </cell>
        </row>
        <row r="888">
          <cell r="B888" t="str">
            <v>Борисов Андрей Сергеевич</v>
          </cell>
          <cell r="D888">
            <v>79261353076</v>
          </cell>
          <cell r="G888">
            <v>79261353076</v>
          </cell>
        </row>
        <row r="889">
          <cell r="B889" t="str">
            <v>Ципис Вадим Яковлевич</v>
          </cell>
          <cell r="D889">
            <v>79032249082</v>
          </cell>
          <cell r="G889">
            <v>79032249082</v>
          </cell>
        </row>
        <row r="890">
          <cell r="B890" t="str">
            <v>Эскеров Агаси Эскерович</v>
          </cell>
          <cell r="D890">
            <v>79182841372</v>
          </cell>
          <cell r="G890">
            <v>79182841372</v>
          </cell>
        </row>
        <row r="891">
          <cell r="B891" t="str">
            <v>Беломытцев Илья Алексеевич</v>
          </cell>
          <cell r="D891">
            <v>79637714181</v>
          </cell>
          <cell r="G891">
            <v>79637714181</v>
          </cell>
        </row>
        <row r="892">
          <cell r="B892" t="str">
            <v>Янишевская Анна Сергеевна</v>
          </cell>
          <cell r="D892">
            <v>79859500766</v>
          </cell>
          <cell r="E892">
            <v>79163596977</v>
          </cell>
          <cell r="G892">
            <v>79859500766</v>
          </cell>
        </row>
        <row r="893">
          <cell r="B893" t="str">
            <v>Липницкая Калерия Алексеевна</v>
          </cell>
          <cell r="D893">
            <v>79515824076</v>
          </cell>
          <cell r="G893">
            <v>79515824076</v>
          </cell>
        </row>
        <row r="894">
          <cell r="B894" t="str">
            <v>Трунова Екатерина Юрьевна</v>
          </cell>
          <cell r="D894">
            <v>79858738384</v>
          </cell>
          <cell r="G894">
            <v>79858738384</v>
          </cell>
        </row>
        <row r="895">
          <cell r="B895" t="str">
            <v>Лыжин Андрей Анатольевич</v>
          </cell>
          <cell r="D895">
            <v>79282138735</v>
          </cell>
          <cell r="G895">
            <v>79282138735</v>
          </cell>
        </row>
        <row r="896">
          <cell r="B896" t="str">
            <v>Хечоян Владимир Левонович</v>
          </cell>
          <cell r="D896">
            <v>79110379585</v>
          </cell>
          <cell r="G896">
            <v>79110379585</v>
          </cell>
        </row>
        <row r="897">
          <cell r="B897" t="str">
            <v>Архипов Данил Алексеевич</v>
          </cell>
          <cell r="D897">
            <v>79193953286</v>
          </cell>
          <cell r="G897">
            <v>79193953286</v>
          </cell>
        </row>
        <row r="898">
          <cell r="B898" t="str">
            <v>Агапова Ирина Николаевна</v>
          </cell>
          <cell r="D898">
            <v>79647724385</v>
          </cell>
          <cell r="G898">
            <v>79647724385</v>
          </cell>
        </row>
        <row r="899">
          <cell r="B899" t="str">
            <v>Титов Максим Сергеевич</v>
          </cell>
          <cell r="D899">
            <v>79826356431</v>
          </cell>
          <cell r="G899">
            <v>79826356431</v>
          </cell>
        </row>
        <row r="900">
          <cell r="B900" t="str">
            <v>Емельяненко Александр Николаевич</v>
          </cell>
          <cell r="D900">
            <v>79167185401</v>
          </cell>
          <cell r="G900">
            <v>79167185401</v>
          </cell>
        </row>
        <row r="901">
          <cell r="B901" t="str">
            <v>Солдатенков Алексей Геннадиевич</v>
          </cell>
          <cell r="D901">
            <v>79998242758</v>
          </cell>
          <cell r="G901">
            <v>79998242758</v>
          </cell>
        </row>
        <row r="902">
          <cell r="B902" t="str">
            <v>Козлов Иван Александрович</v>
          </cell>
          <cell r="D902">
            <v>79807009030</v>
          </cell>
          <cell r="G902">
            <v>79807009030</v>
          </cell>
        </row>
        <row r="903">
          <cell r="B903" t="str">
            <v>Зинина Анна Вячеславовна</v>
          </cell>
          <cell r="D903">
            <v>79033812771</v>
          </cell>
          <cell r="G903">
            <v>79033812771</v>
          </cell>
        </row>
        <row r="904">
          <cell r="B904" t="str">
            <v>Ануфриенко Сергей Владимирович</v>
          </cell>
          <cell r="D904">
            <v>79999681438</v>
          </cell>
          <cell r="G904">
            <v>79999681438</v>
          </cell>
        </row>
        <row r="905">
          <cell r="B905" t="str">
            <v>Хазиев Рустам Маратович</v>
          </cell>
          <cell r="D905">
            <v>79378419392</v>
          </cell>
          <cell r="G905">
            <v>89378419392</v>
          </cell>
        </row>
        <row r="906">
          <cell r="B906" t="str">
            <v>Шабанова Элвира Назировна</v>
          </cell>
          <cell r="D906">
            <v>79678666060</v>
          </cell>
          <cell r="G906">
            <v>89678666060</v>
          </cell>
        </row>
        <row r="907">
          <cell r="B907" t="str">
            <v>Нигметов Ренат Ерсаинович</v>
          </cell>
          <cell r="D907">
            <v>79371220706</v>
          </cell>
          <cell r="G907">
            <v>79371220706</v>
          </cell>
        </row>
        <row r="908">
          <cell r="B908" t="str">
            <v>Гукасян Павел Владимирович</v>
          </cell>
          <cell r="D908">
            <v>79670036000</v>
          </cell>
          <cell r="G908">
            <v>79670036000</v>
          </cell>
        </row>
        <row r="909">
          <cell r="B909" t="str">
            <v>Вороновский Евгений Григорьевич</v>
          </cell>
          <cell r="D909">
            <v>79266913548</v>
          </cell>
          <cell r="G909">
            <v>79266913548</v>
          </cell>
        </row>
        <row r="910">
          <cell r="B910" t="str">
            <v>Хадиев Фанис Рафисович</v>
          </cell>
          <cell r="D910">
            <v>79178708672</v>
          </cell>
          <cell r="G910">
            <v>89178708672</v>
          </cell>
        </row>
        <row r="911">
          <cell r="B911" t="str">
            <v>Навасардян Алёна Евгеньевна</v>
          </cell>
          <cell r="D911">
            <v>79081355049</v>
          </cell>
          <cell r="G911">
            <v>89081355049</v>
          </cell>
        </row>
        <row r="912">
          <cell r="B912" t="str">
            <v>Кирейчиков Виктор Николаевич</v>
          </cell>
          <cell r="D912">
            <v>79125918296</v>
          </cell>
          <cell r="G912">
            <v>79125918296</v>
          </cell>
        </row>
        <row r="913">
          <cell r="B913" t="str">
            <v>Ляхович Александр Александрович</v>
          </cell>
          <cell r="D913">
            <v>79272017750</v>
          </cell>
          <cell r="G913">
            <v>89272017750</v>
          </cell>
        </row>
        <row r="914">
          <cell r="B914" t="str">
            <v>Аминжонов Уктам Раимжонович</v>
          </cell>
          <cell r="D914">
            <v>79154624804</v>
          </cell>
          <cell r="G914">
            <v>79154624804</v>
          </cell>
        </row>
        <row r="915">
          <cell r="B915" t="str">
            <v>Рыжкова Ирина Владимировна</v>
          </cell>
          <cell r="D915">
            <v>79657900486</v>
          </cell>
          <cell r="G915">
            <v>79657900486</v>
          </cell>
        </row>
        <row r="916">
          <cell r="B916" t="str">
            <v>Веретошенко Михаил Владимирович</v>
          </cell>
          <cell r="D916">
            <v>79873680989</v>
          </cell>
          <cell r="G916">
            <v>79873680989</v>
          </cell>
        </row>
        <row r="917">
          <cell r="B917" t="str">
            <v>Аперян Любовь Артуровна</v>
          </cell>
          <cell r="D917">
            <v>79006315919</v>
          </cell>
          <cell r="G917">
            <v>79006315919</v>
          </cell>
        </row>
        <row r="918">
          <cell r="B918" t="str">
            <v>Семененко Трофим Игоревич</v>
          </cell>
          <cell r="D918">
            <v>79152990588</v>
          </cell>
          <cell r="G918">
            <v>79152990588</v>
          </cell>
        </row>
        <row r="919">
          <cell r="B919" t="str">
            <v>Булгакова Галия Закиевна</v>
          </cell>
          <cell r="D919">
            <v>79373435931</v>
          </cell>
          <cell r="G919">
            <v>79373435931</v>
          </cell>
        </row>
        <row r="920">
          <cell r="B920" t="str">
            <v>Якубов Ислам Симандуевич</v>
          </cell>
          <cell r="D920">
            <v>79263121881</v>
          </cell>
          <cell r="G920">
            <v>89263121881</v>
          </cell>
        </row>
        <row r="921">
          <cell r="B921" t="str">
            <v>Качев Дмитрий Вячеславович</v>
          </cell>
          <cell r="D921">
            <v>79851800691</v>
          </cell>
          <cell r="G921">
            <v>89851800691</v>
          </cell>
        </row>
        <row r="922">
          <cell r="B922" t="str">
            <v>Валитов Марат Рифагатович</v>
          </cell>
          <cell r="D922">
            <v>79255006562</v>
          </cell>
          <cell r="G922">
            <v>79255006562</v>
          </cell>
        </row>
        <row r="923">
          <cell r="B923" t="str">
            <v>Дубский Денис Николаевич</v>
          </cell>
          <cell r="D923">
            <v>79822759202</v>
          </cell>
          <cell r="G923">
            <v>79822759202</v>
          </cell>
        </row>
        <row r="924">
          <cell r="B924" t="str">
            <v>Зеленский Валентин Викторович</v>
          </cell>
          <cell r="D924">
            <v>79061765159</v>
          </cell>
          <cell r="G924">
            <v>79061765159</v>
          </cell>
        </row>
        <row r="925">
          <cell r="B925" t="str">
            <v>Заворина Елена Георгиевна</v>
          </cell>
          <cell r="D925">
            <v>79055613931</v>
          </cell>
          <cell r="E925">
            <v>79055613931</v>
          </cell>
          <cell r="G925">
            <v>79055613931</v>
          </cell>
        </row>
        <row r="926">
          <cell r="B926" t="str">
            <v>Лещев Андрей Николаевич</v>
          </cell>
          <cell r="D926">
            <v>79165202008</v>
          </cell>
          <cell r="G926">
            <v>79165202008</v>
          </cell>
        </row>
        <row r="927">
          <cell r="B927" t="str">
            <v>Моисеенков Дмитрий Владимирович</v>
          </cell>
          <cell r="D927">
            <v>79263046300</v>
          </cell>
          <cell r="G927">
            <v>79263046300</v>
          </cell>
        </row>
        <row r="928">
          <cell r="B928" t="str">
            <v>Щелков Александр Владимирович</v>
          </cell>
          <cell r="D928">
            <v>79197845073</v>
          </cell>
          <cell r="G928">
            <v>79197845073</v>
          </cell>
        </row>
        <row r="929">
          <cell r="B929" t="str">
            <v>Малхасян Арарат Балабекович</v>
          </cell>
          <cell r="D929">
            <v>79111600980</v>
          </cell>
          <cell r="G929">
            <v>79111600980</v>
          </cell>
        </row>
        <row r="930">
          <cell r="B930" t="str">
            <v>Зарипов Булат Ульфатович</v>
          </cell>
          <cell r="D930">
            <v>79997503686</v>
          </cell>
          <cell r="G930">
            <v>79997503686</v>
          </cell>
        </row>
        <row r="931">
          <cell r="B931" t="str">
            <v>Дидиев Хасан Асланович</v>
          </cell>
          <cell r="D931">
            <v>79100000660</v>
          </cell>
          <cell r="G931">
            <v>79100000660</v>
          </cell>
        </row>
        <row r="932">
          <cell r="B932" t="str">
            <v>Первушина Юлия Владимировна</v>
          </cell>
          <cell r="D932">
            <v>79091318881</v>
          </cell>
          <cell r="G932">
            <v>79091318881</v>
          </cell>
        </row>
        <row r="933">
          <cell r="B933" t="str">
            <v>Семенов Евгений Александрович</v>
          </cell>
          <cell r="D933">
            <v>79858928860</v>
          </cell>
          <cell r="G933">
            <v>79858928860</v>
          </cell>
        </row>
        <row r="934">
          <cell r="B934" t="str">
            <v>Хасанов Рамзан Вахаевич</v>
          </cell>
          <cell r="D934">
            <v>79263733537</v>
          </cell>
          <cell r="G934">
            <v>79263733537</v>
          </cell>
        </row>
        <row r="935">
          <cell r="B935" t="str">
            <v>Акопян Нарине Самвеловна</v>
          </cell>
          <cell r="D935">
            <v>79258022020</v>
          </cell>
          <cell r="G935">
            <v>79258022020</v>
          </cell>
        </row>
        <row r="936">
          <cell r="B936" t="str">
            <v>Лаврухин Сергей Валентинович</v>
          </cell>
          <cell r="D936">
            <v>79262031199</v>
          </cell>
          <cell r="G936">
            <v>79262031199</v>
          </cell>
        </row>
        <row r="937">
          <cell r="B937" t="str">
            <v>Бандалак Олег Иванович</v>
          </cell>
          <cell r="D937">
            <v>79672543796</v>
          </cell>
          <cell r="G937">
            <v>79672543796</v>
          </cell>
        </row>
        <row r="938">
          <cell r="B938" t="str">
            <v>Манукян Артур Агасиевич</v>
          </cell>
          <cell r="D938">
            <v>79652960111</v>
          </cell>
          <cell r="G938">
            <v>79652960111</v>
          </cell>
        </row>
        <row r="939">
          <cell r="B939" t="str">
            <v>Заргарян Марианна Марленовна</v>
          </cell>
          <cell r="D939">
            <v>79661451051</v>
          </cell>
          <cell r="G939">
            <v>79661451051</v>
          </cell>
        </row>
        <row r="940">
          <cell r="B940" t="str">
            <v>Мамедов Рамин Алим Оглы</v>
          </cell>
          <cell r="D940">
            <v>79623235380</v>
          </cell>
          <cell r="G940">
            <v>79623235380</v>
          </cell>
        </row>
        <row r="941">
          <cell r="B941" t="str">
            <v>Темникова Оксана Дмитриевна</v>
          </cell>
          <cell r="D941">
            <v>79297003562</v>
          </cell>
          <cell r="G941">
            <v>79297003562</v>
          </cell>
        </row>
        <row r="942">
          <cell r="B942" t="str">
            <v>Юшков Юрий Валерьевич</v>
          </cell>
          <cell r="D942">
            <v>79220274533</v>
          </cell>
          <cell r="G942">
            <v>79220274533</v>
          </cell>
        </row>
        <row r="943">
          <cell r="B943" t="str">
            <v>Панов Дмитрий Евгеньевич</v>
          </cell>
          <cell r="D943">
            <v>79266232397</v>
          </cell>
          <cell r="G943">
            <v>79266232397</v>
          </cell>
        </row>
        <row r="944">
          <cell r="B944" t="str">
            <v>Акимова Жанна Константиновна</v>
          </cell>
          <cell r="D944">
            <v>79055809480</v>
          </cell>
          <cell r="G944">
            <v>79055809480</v>
          </cell>
        </row>
        <row r="945">
          <cell r="B945" t="str">
            <v>Ведешин Максим Сергеевич</v>
          </cell>
          <cell r="D945">
            <v>79531044496</v>
          </cell>
          <cell r="G945">
            <v>7953104449</v>
          </cell>
        </row>
        <row r="946">
          <cell r="B946" t="str">
            <v>Кутанов Егор Сергеевич</v>
          </cell>
          <cell r="D946">
            <v>79637178904</v>
          </cell>
          <cell r="E946">
            <v>79150327094</v>
          </cell>
          <cell r="G946">
            <v>79637178904</v>
          </cell>
        </row>
        <row r="947">
          <cell r="B947" t="str">
            <v>Бабичев Андрей Юрьевич</v>
          </cell>
          <cell r="D947">
            <v>79898394443</v>
          </cell>
          <cell r="G947">
            <v>79898394443</v>
          </cell>
        </row>
        <row r="948">
          <cell r="B948" t="str">
            <v>Ришко Василий Васильевич</v>
          </cell>
          <cell r="D948">
            <v>79519261579</v>
          </cell>
          <cell r="G948">
            <v>79519261579</v>
          </cell>
        </row>
        <row r="949">
          <cell r="B949" t="str">
            <v>Морозов Олег Валерьевич</v>
          </cell>
          <cell r="D949">
            <v>79009994082</v>
          </cell>
          <cell r="G949">
            <v>79009994082</v>
          </cell>
        </row>
        <row r="950">
          <cell r="B950" t="str">
            <v>Голубева Ольга Петровна</v>
          </cell>
          <cell r="D950">
            <v>79189187170</v>
          </cell>
          <cell r="G950">
            <v>79189187170</v>
          </cell>
        </row>
        <row r="951">
          <cell r="B951" t="str">
            <v>Кокина Татьяна Викторовна</v>
          </cell>
          <cell r="D951">
            <v>79275752020</v>
          </cell>
          <cell r="G951">
            <v>79275752020</v>
          </cell>
        </row>
        <row r="952">
          <cell r="B952" t="str">
            <v>Колосков Александр Михайлович</v>
          </cell>
          <cell r="D952">
            <v>79213465279</v>
          </cell>
          <cell r="G952">
            <v>79213465279</v>
          </cell>
        </row>
        <row r="953">
          <cell r="B953" t="str">
            <v>Мельников Денис Александрович</v>
          </cell>
          <cell r="D953">
            <v>79287785494</v>
          </cell>
          <cell r="G953">
            <v>79287785494</v>
          </cell>
        </row>
        <row r="954">
          <cell r="B954" t="str">
            <v>Рахманов Данил Алексеевич</v>
          </cell>
          <cell r="D954">
            <v>79998195377</v>
          </cell>
          <cell r="G954">
            <v>79998195377</v>
          </cell>
        </row>
        <row r="955">
          <cell r="B955" t="str">
            <v>Зозулич Мария Федоровна</v>
          </cell>
          <cell r="D955">
            <v>79102164993</v>
          </cell>
          <cell r="G955">
            <v>79102164993</v>
          </cell>
        </row>
        <row r="956">
          <cell r="B956" t="str">
            <v>Самойленко Ирина Геннадьевна</v>
          </cell>
          <cell r="D956">
            <v>79057421218</v>
          </cell>
          <cell r="E956">
            <v>79067271326</v>
          </cell>
          <cell r="G956">
            <v>79057421218</v>
          </cell>
        </row>
        <row r="957">
          <cell r="B957" t="str">
            <v>Капанадзе Илья Абелиевич</v>
          </cell>
          <cell r="D957">
            <v>79104377375</v>
          </cell>
          <cell r="G957">
            <v>79104377375</v>
          </cell>
        </row>
        <row r="958">
          <cell r="B958" t="str">
            <v>Кобахидзе Тэмури Юрьевич</v>
          </cell>
          <cell r="D958">
            <v>79057778814</v>
          </cell>
          <cell r="G958">
            <v>79057778814</v>
          </cell>
        </row>
        <row r="959">
          <cell r="B959" t="str">
            <v>Валеев Тимур Сагитович</v>
          </cell>
          <cell r="D959">
            <v>79655754688</v>
          </cell>
          <cell r="G959">
            <v>79655754688</v>
          </cell>
        </row>
        <row r="960">
          <cell r="B960" t="str">
            <v>Зиновьева Елена Николаевна</v>
          </cell>
          <cell r="D960">
            <v>79155238688</v>
          </cell>
          <cell r="G960">
            <v>79155238688</v>
          </cell>
        </row>
        <row r="961">
          <cell r="B961" t="str">
            <v>Белова Ольга Евгеньевна</v>
          </cell>
          <cell r="D961">
            <v>79057749493</v>
          </cell>
          <cell r="G961">
            <v>79057749493</v>
          </cell>
        </row>
        <row r="962">
          <cell r="B962" t="str">
            <v>Вдовенко Николай Николаевич</v>
          </cell>
          <cell r="D962">
            <v>79100001005</v>
          </cell>
          <cell r="G962">
            <v>79100001005</v>
          </cell>
        </row>
        <row r="963">
          <cell r="B963" t="str">
            <v>Базарова Нафиса Ибрагимжановна</v>
          </cell>
          <cell r="D963">
            <v>79529124124</v>
          </cell>
          <cell r="G963">
            <v>79529124124</v>
          </cell>
        </row>
        <row r="964">
          <cell r="B964" t="str">
            <v>Дрогин Дмитрий Владимирович</v>
          </cell>
          <cell r="D964">
            <v>79263555556</v>
          </cell>
          <cell r="G964">
            <v>89263555556</v>
          </cell>
        </row>
        <row r="965">
          <cell r="B965" t="str">
            <v>Пушкарев Александр Борисович</v>
          </cell>
          <cell r="D965">
            <v>79112345885</v>
          </cell>
          <cell r="G965">
            <v>79112345885</v>
          </cell>
        </row>
        <row r="966">
          <cell r="B966" t="str">
            <v>Волохов Юрий Викторович</v>
          </cell>
          <cell r="D966">
            <v>79150507472</v>
          </cell>
          <cell r="G966">
            <v>79150507472</v>
          </cell>
        </row>
        <row r="967">
          <cell r="B967" t="str">
            <v>Лютов Станислав Анатольевич</v>
          </cell>
          <cell r="D967">
            <v>79650654438</v>
          </cell>
          <cell r="E967">
            <v>79650654438</v>
          </cell>
          <cell r="G967">
            <v>79650654438</v>
          </cell>
        </row>
        <row r="968">
          <cell r="B968" t="str">
            <v>Хлебников Владимир Витальевич</v>
          </cell>
          <cell r="D968">
            <v>79608889082</v>
          </cell>
          <cell r="G968">
            <v>79608889082</v>
          </cell>
        </row>
        <row r="969">
          <cell r="B969" t="str">
            <v>Дудин Василий Васильевич</v>
          </cell>
          <cell r="D969">
            <v>79621334524</v>
          </cell>
          <cell r="G969">
            <v>79621334524</v>
          </cell>
        </row>
        <row r="970">
          <cell r="B970" t="str">
            <v>Лукьяненко Руслан Сергеевич</v>
          </cell>
          <cell r="D970">
            <v>79773815084</v>
          </cell>
          <cell r="G970">
            <v>79773815084</v>
          </cell>
        </row>
        <row r="971">
          <cell r="B971" t="str">
            <v>Атцаев Ахмед Шахитович</v>
          </cell>
          <cell r="D971">
            <v>79384486566</v>
          </cell>
          <cell r="G971">
            <v>79384486566</v>
          </cell>
        </row>
        <row r="972">
          <cell r="B972" t="str">
            <v>Аркан Владимир Владимирович</v>
          </cell>
          <cell r="D972">
            <v>79153246736</v>
          </cell>
          <cell r="E972">
            <v>79857339203</v>
          </cell>
          <cell r="G972">
            <v>79153246736</v>
          </cell>
        </row>
        <row r="973">
          <cell r="B973" t="str">
            <v>Лякишев Павел Александрович</v>
          </cell>
          <cell r="D973">
            <v>79167906097</v>
          </cell>
          <cell r="G973">
            <v>79167906097</v>
          </cell>
        </row>
        <row r="974">
          <cell r="B974" t="str">
            <v>Евстратов Игорь Владимирович</v>
          </cell>
          <cell r="D974">
            <v>79019831564</v>
          </cell>
          <cell r="G974">
            <v>89165460080</v>
          </cell>
        </row>
        <row r="975">
          <cell r="B975" t="str">
            <v>Прусаков Максим Владимирович</v>
          </cell>
          <cell r="D975">
            <v>79006904761</v>
          </cell>
          <cell r="G975">
            <v>79006904761</v>
          </cell>
        </row>
        <row r="976">
          <cell r="B976" t="str">
            <v>Белоусова Наталья Анатольевна</v>
          </cell>
          <cell r="D976">
            <v>79168148833</v>
          </cell>
          <cell r="G976">
            <v>79168148833</v>
          </cell>
        </row>
        <row r="977">
          <cell r="B977" t="str">
            <v>Малинина Оксана Александровна</v>
          </cell>
          <cell r="D977">
            <v>79268813850</v>
          </cell>
          <cell r="G977">
            <v>79268813850</v>
          </cell>
        </row>
        <row r="978">
          <cell r="B978" t="str">
            <v>Тюрин Алексей Викторович</v>
          </cell>
          <cell r="D978">
            <v>79033608111</v>
          </cell>
          <cell r="G978">
            <v>79033608111</v>
          </cell>
        </row>
        <row r="979">
          <cell r="B979" t="str">
            <v>Циренов Максим Алексеевич</v>
          </cell>
          <cell r="D979">
            <v>79166202543</v>
          </cell>
          <cell r="G979">
            <v>79166202543</v>
          </cell>
        </row>
        <row r="980">
          <cell r="B980" t="str">
            <v>Кондрашов Василий Игоревич</v>
          </cell>
          <cell r="D980">
            <v>79636642614</v>
          </cell>
          <cell r="G980">
            <v>79636642614</v>
          </cell>
        </row>
        <row r="981">
          <cell r="B981" t="str">
            <v>Мирошниченко Евгений Константинович</v>
          </cell>
          <cell r="D981">
            <v>79785055075</v>
          </cell>
          <cell r="G981">
            <v>79785055075</v>
          </cell>
        </row>
        <row r="982">
          <cell r="B982" t="str">
            <v>Кузнецов Иван Михайлович</v>
          </cell>
          <cell r="D982">
            <v>79959979969</v>
          </cell>
          <cell r="G982">
            <v>79959979969</v>
          </cell>
        </row>
        <row r="983">
          <cell r="B983" t="str">
            <v>Жубоев Дамир Асланович</v>
          </cell>
          <cell r="D983">
            <v>79256466364</v>
          </cell>
          <cell r="G983">
            <v>79256466364</v>
          </cell>
        </row>
        <row r="984">
          <cell r="B984" t="str">
            <v>Танишева Ольга Сергеевна</v>
          </cell>
          <cell r="D984">
            <v>79184362296</v>
          </cell>
          <cell r="E984">
            <v>79086889615</v>
          </cell>
          <cell r="G984">
            <v>79184362296</v>
          </cell>
        </row>
        <row r="985">
          <cell r="B985" t="str">
            <v>Чернецов Василий Николаевич</v>
          </cell>
          <cell r="D985">
            <v>79123175602</v>
          </cell>
          <cell r="G985">
            <v>79123175602</v>
          </cell>
        </row>
        <row r="986">
          <cell r="B986" t="str">
            <v>Козубекова Наргиза Жапарбаевна</v>
          </cell>
          <cell r="G986">
            <v>79257349013</v>
          </cell>
        </row>
        <row r="987">
          <cell r="B987" t="str">
            <v>Чистильников Алексей Вячеславович</v>
          </cell>
          <cell r="G987">
            <v>79689428885</v>
          </cell>
        </row>
        <row r="988">
          <cell r="B988" t="str">
            <v>Клюев Павел Валерьевич</v>
          </cell>
          <cell r="G988">
            <v>79997352009</v>
          </cell>
        </row>
        <row r="989">
          <cell r="B989" t="str">
            <v>Фролов Василий Михайлович</v>
          </cell>
          <cell r="G989">
            <v>79992105871</v>
          </cell>
        </row>
        <row r="990">
          <cell r="B990" t="str">
            <v>Васильева Ольга Владимировна</v>
          </cell>
          <cell r="G990">
            <v>79002935182</v>
          </cell>
        </row>
        <row r="991">
          <cell r="B991" t="str">
            <v>Радыш Сергей Романович</v>
          </cell>
          <cell r="D991">
            <v>79622770058</v>
          </cell>
          <cell r="G991">
            <v>79622770058</v>
          </cell>
        </row>
        <row r="992">
          <cell r="B992" t="str">
            <v>Казанин Игорь Викторович</v>
          </cell>
          <cell r="D992">
            <v>79110906632</v>
          </cell>
          <cell r="G992">
            <v>79110906632</v>
          </cell>
        </row>
        <row r="993">
          <cell r="B993" t="str">
            <v>Перевозников Андрей Анатольевич</v>
          </cell>
          <cell r="D993">
            <v>79271054440</v>
          </cell>
          <cell r="G993">
            <v>79271054440</v>
          </cell>
        </row>
        <row r="994">
          <cell r="B994" t="str">
            <v>Добров Дмитрий Сергеевич</v>
          </cell>
          <cell r="D994">
            <v>79773644183</v>
          </cell>
          <cell r="G994">
            <v>79773644183</v>
          </cell>
        </row>
        <row r="995">
          <cell r="B995" t="str">
            <v>Ильинский Владимир Юрьевич</v>
          </cell>
          <cell r="D995">
            <v>79147072143</v>
          </cell>
          <cell r="G995">
            <v>79147072143</v>
          </cell>
        </row>
        <row r="996">
          <cell r="B996" t="str">
            <v>Кондратьев Андрей Александрович</v>
          </cell>
          <cell r="G996">
            <v>79919296255</v>
          </cell>
        </row>
        <row r="997">
          <cell r="B997" t="str">
            <v>Мотыка Андрей Павлович</v>
          </cell>
          <cell r="E997">
            <v>79853598839</v>
          </cell>
          <cell r="G997">
            <v>79164531259</v>
          </cell>
        </row>
        <row r="998">
          <cell r="B998" t="str">
            <v>Рева Анастасия Владимировна</v>
          </cell>
          <cell r="D998">
            <v>79997966127</v>
          </cell>
          <cell r="G998">
            <v>79997966127</v>
          </cell>
        </row>
        <row r="999">
          <cell r="B999" t="str">
            <v>Буланкин Андрей Сергеевич</v>
          </cell>
          <cell r="E999">
            <v>78889571103</v>
          </cell>
          <cell r="G999">
            <v>79313599363</v>
          </cell>
        </row>
        <row r="1000">
          <cell r="B1000" t="str">
            <v>Худомясова Александра Антуановна</v>
          </cell>
          <cell r="G1000">
            <v>79885403478</v>
          </cell>
        </row>
        <row r="1001">
          <cell r="B1001" t="str">
            <v>Цуриков Яков Владимирович</v>
          </cell>
          <cell r="G1001">
            <v>79604452020</v>
          </cell>
        </row>
        <row r="1002">
          <cell r="B1002" t="str">
            <v>Петров Сергей Анатольевич</v>
          </cell>
          <cell r="G1002">
            <v>79775948292</v>
          </cell>
        </row>
        <row r="1003">
          <cell r="B1003" t="str">
            <v>Гринь Юлия Владимировна</v>
          </cell>
          <cell r="D1003">
            <v>79000019313</v>
          </cell>
          <cell r="G1003">
            <v>79000019313</v>
          </cell>
        </row>
        <row r="1004">
          <cell r="B1004" t="str">
            <v>Иванов Николай Александрович</v>
          </cell>
          <cell r="D1004">
            <v>79033638557</v>
          </cell>
          <cell r="G1004">
            <v>79033638557</v>
          </cell>
        </row>
        <row r="1005">
          <cell r="B1005" t="str">
            <v>Мацола Артём Иванович</v>
          </cell>
          <cell r="D1005">
            <v>79524349798</v>
          </cell>
          <cell r="G1005">
            <v>79524349798</v>
          </cell>
        </row>
        <row r="1006">
          <cell r="B1006" t="str">
            <v>Календиров Зейнадин Равильевич</v>
          </cell>
          <cell r="D1006">
            <v>79266208744</v>
          </cell>
          <cell r="G1006">
            <v>79266208744</v>
          </cell>
        </row>
        <row r="1007">
          <cell r="B1007" t="str">
            <v>Ханбеков Валерий Рифатович</v>
          </cell>
          <cell r="D1007">
            <v>79026517027</v>
          </cell>
          <cell r="G1007">
            <v>79026517027</v>
          </cell>
        </row>
        <row r="1008">
          <cell r="B1008" t="str">
            <v>Хашимов Далерджон Темурович</v>
          </cell>
          <cell r="D1008">
            <v>79773997172</v>
          </cell>
          <cell r="G1008">
            <v>79773997172</v>
          </cell>
        </row>
        <row r="1009">
          <cell r="B1009" t="str">
            <v>Иванов Антон Олегович</v>
          </cell>
          <cell r="D1009">
            <v>79206859288</v>
          </cell>
          <cell r="G1009">
            <v>79206859288</v>
          </cell>
        </row>
        <row r="1010">
          <cell r="B1010" t="str">
            <v>Кебурия Илья Нугзариевич</v>
          </cell>
          <cell r="D1010">
            <v>79670001900</v>
          </cell>
          <cell r="G1010">
            <v>79670001900</v>
          </cell>
        </row>
        <row r="1011">
          <cell r="B1011" t="str">
            <v>Хасанов Жасур Абдурашидович</v>
          </cell>
          <cell r="D1011">
            <v>79184300203</v>
          </cell>
          <cell r="G1011">
            <v>79184300203</v>
          </cell>
        </row>
        <row r="1012">
          <cell r="B1012" t="str">
            <v>Шиляев Алексей Владимирович</v>
          </cell>
          <cell r="D1012">
            <v>79897730623</v>
          </cell>
          <cell r="G1012">
            <v>79897730623</v>
          </cell>
        </row>
        <row r="1013">
          <cell r="B1013" t="str">
            <v>Зинкевич Константин Владимирович</v>
          </cell>
          <cell r="D1013">
            <v>79284641675</v>
          </cell>
          <cell r="G1013">
            <v>79284641675</v>
          </cell>
        </row>
        <row r="1014">
          <cell r="B1014" t="str">
            <v>Ли Юлия Олеговна</v>
          </cell>
          <cell r="D1014">
            <v>79090285655</v>
          </cell>
          <cell r="E1014">
            <v>79030848740</v>
          </cell>
          <cell r="G1014">
            <v>79090285655</v>
          </cell>
        </row>
        <row r="1015">
          <cell r="B1015" t="str">
            <v>Газали Оксана Владимировна</v>
          </cell>
          <cell r="D1015">
            <v>79946666644</v>
          </cell>
          <cell r="G1015">
            <v>79946666644</v>
          </cell>
        </row>
        <row r="1016">
          <cell r="B1016" t="str">
            <v>Мустафин Ринад Исмаилович</v>
          </cell>
          <cell r="D1016">
            <v>79036898056</v>
          </cell>
          <cell r="G1016">
            <v>79036898056</v>
          </cell>
        </row>
        <row r="1017">
          <cell r="B1017" t="str">
            <v>Казарян Валико Беникович</v>
          </cell>
          <cell r="D1017">
            <v>79189768183</v>
          </cell>
          <cell r="G1017">
            <v>79189768183</v>
          </cell>
        </row>
        <row r="1018">
          <cell r="B1018" t="str">
            <v>Баяндин Сергей Петрович</v>
          </cell>
          <cell r="D1018">
            <v>79223681955</v>
          </cell>
          <cell r="G1018">
            <v>79223681955</v>
          </cell>
        </row>
        <row r="1019">
          <cell r="B1019" t="str">
            <v>Зелинский Антон Павлович</v>
          </cell>
          <cell r="D1019">
            <v>79646999991</v>
          </cell>
          <cell r="G1019">
            <v>79646999991</v>
          </cell>
        </row>
        <row r="1020">
          <cell r="B1020" t="str">
            <v>Рагимов Рафик Балайевич</v>
          </cell>
          <cell r="D1020">
            <v>79374216566</v>
          </cell>
          <cell r="G1020">
            <v>79374216566</v>
          </cell>
        </row>
        <row r="1021">
          <cell r="B1021" t="str">
            <v>Анищенкова Оксана Михайловна</v>
          </cell>
          <cell r="D1021">
            <v>79827501106</v>
          </cell>
          <cell r="G1021">
            <v>79827501106</v>
          </cell>
        </row>
        <row r="1022">
          <cell r="B1022" t="str">
            <v>Ивкин Александр Викторович</v>
          </cell>
          <cell r="D1022">
            <v>79034366683</v>
          </cell>
          <cell r="G1022">
            <v>79034366683</v>
          </cell>
        </row>
        <row r="1023">
          <cell r="B1023" t="str">
            <v>Ковригина Ирина Евгеньевна</v>
          </cell>
          <cell r="D1023">
            <v>79167486030</v>
          </cell>
          <cell r="G1023">
            <v>79167486030</v>
          </cell>
        </row>
        <row r="1024">
          <cell r="B1024" t="str">
            <v>Федоткин Константин Михайлович</v>
          </cell>
          <cell r="D1024">
            <v>79531889678</v>
          </cell>
          <cell r="G1024">
            <v>79531889678</v>
          </cell>
        </row>
        <row r="1025">
          <cell r="B1025" t="str">
            <v>Шевелев Олег Андреевич</v>
          </cell>
          <cell r="D1025">
            <v>79818222555</v>
          </cell>
          <cell r="G1025">
            <v>79818222555</v>
          </cell>
        </row>
        <row r="1026">
          <cell r="B1026" t="str">
            <v>Минаева Наталия Анатольевна</v>
          </cell>
          <cell r="D1026">
            <v>79689084760</v>
          </cell>
          <cell r="G1026">
            <v>79689084760</v>
          </cell>
        </row>
        <row r="1027">
          <cell r="B1027" t="str">
            <v>Семенченко Денис Алексеевич</v>
          </cell>
          <cell r="D1027">
            <v>79990870918</v>
          </cell>
          <cell r="G1027">
            <v>79990870918</v>
          </cell>
        </row>
        <row r="1028">
          <cell r="B1028" t="str">
            <v>Белолипцев Дмитрий Олегович</v>
          </cell>
          <cell r="D1028">
            <v>79182351977</v>
          </cell>
          <cell r="G1028">
            <v>79182351977</v>
          </cell>
        </row>
        <row r="1029">
          <cell r="B1029" t="str">
            <v>Копытман Александр Семенович</v>
          </cell>
          <cell r="D1029">
            <v>79647243012</v>
          </cell>
          <cell r="G1029">
            <v>79647243012</v>
          </cell>
        </row>
        <row r="1030">
          <cell r="B1030" t="str">
            <v>Герейханов Фаик Гуснеддинович</v>
          </cell>
          <cell r="D1030">
            <v>79670913478</v>
          </cell>
          <cell r="G1030">
            <v>79670913478</v>
          </cell>
        </row>
        <row r="1031">
          <cell r="B1031" t="str">
            <v>Богачук Сергей Прокопьевич</v>
          </cell>
          <cell r="D1031">
            <v>79165491616</v>
          </cell>
          <cell r="G1031">
            <v>79165491616</v>
          </cell>
        </row>
        <row r="1032">
          <cell r="B1032" t="str">
            <v>Даниялов Марат Алавутдинович</v>
          </cell>
          <cell r="D1032">
            <v>79046045670</v>
          </cell>
          <cell r="G1032">
            <v>79046045670</v>
          </cell>
        </row>
        <row r="1033">
          <cell r="B1033" t="str">
            <v>Карманов Виталий Петрович</v>
          </cell>
          <cell r="D1033">
            <v>79002969088</v>
          </cell>
          <cell r="G1033">
            <v>79002969088</v>
          </cell>
        </row>
        <row r="1034">
          <cell r="B1034" t="str">
            <v>Евтина Яна Анатольевна</v>
          </cell>
          <cell r="D1034">
            <v>79514157455</v>
          </cell>
          <cell r="G1034">
            <v>79514157455</v>
          </cell>
        </row>
        <row r="1035">
          <cell r="B1035" t="str">
            <v>Иванов Борис Александрович</v>
          </cell>
          <cell r="D1035">
            <v>79811123018</v>
          </cell>
          <cell r="G1035">
            <v>79811123018</v>
          </cell>
        </row>
        <row r="1036">
          <cell r="B1036" t="str">
            <v>Мусаев Саид Рамазанович</v>
          </cell>
          <cell r="D1036">
            <v>79993446050</v>
          </cell>
          <cell r="G1036">
            <v>79255580555</v>
          </cell>
        </row>
        <row r="1037">
          <cell r="B1037" t="str">
            <v>Базарнова Татьяна Леонидовна</v>
          </cell>
          <cell r="D1037">
            <v>79004754576</v>
          </cell>
          <cell r="G1037">
            <v>79004754576</v>
          </cell>
        </row>
        <row r="1038">
          <cell r="B1038" t="str">
            <v>Лапин Дмитрий Геннадьевич</v>
          </cell>
          <cell r="D1038">
            <v>79212243720</v>
          </cell>
          <cell r="G1038">
            <v>79212243720</v>
          </cell>
        </row>
        <row r="1039">
          <cell r="B1039" t="str">
            <v>Павлюк Татьяна Николаевна</v>
          </cell>
          <cell r="D1039">
            <v>79629134902</v>
          </cell>
          <cell r="G1039">
            <v>79629134902</v>
          </cell>
        </row>
        <row r="1040">
          <cell r="B1040" t="str">
            <v>Симонов Станислав Валерьевич</v>
          </cell>
          <cell r="D1040">
            <v>79142198143</v>
          </cell>
          <cell r="G1040">
            <v>79142198143</v>
          </cell>
        </row>
        <row r="1041">
          <cell r="B1041" t="str">
            <v>Морин Владимир Александрович</v>
          </cell>
          <cell r="D1041">
            <v>79657591464</v>
          </cell>
          <cell r="G1041">
            <v>79657591464</v>
          </cell>
        </row>
        <row r="1042">
          <cell r="B1042" t="str">
            <v>Ташланова Юлия Юрьевна</v>
          </cell>
          <cell r="D1042">
            <v>79630330171</v>
          </cell>
          <cell r="G1042">
            <v>79630330171</v>
          </cell>
        </row>
        <row r="1043">
          <cell r="B1043" t="str">
            <v>Апухтина Виолетта Байрамовна</v>
          </cell>
          <cell r="D1043">
            <v>79771435088</v>
          </cell>
          <cell r="G1043">
            <v>79771435088</v>
          </cell>
        </row>
        <row r="1044">
          <cell r="B1044" t="str">
            <v>Трунтов Андрей Федорович</v>
          </cell>
          <cell r="D1044">
            <v>79221799222</v>
          </cell>
          <cell r="G1044">
            <v>79221799222</v>
          </cell>
        </row>
        <row r="1045">
          <cell r="B1045" t="str">
            <v>Аликулов Серик Ергалеевич</v>
          </cell>
          <cell r="D1045">
            <v>79088274256</v>
          </cell>
          <cell r="G1045">
            <v>79088274256</v>
          </cell>
        </row>
        <row r="1046">
          <cell r="B1046" t="str">
            <v>Ивакин Тимофей Геннадьевич</v>
          </cell>
          <cell r="D1046">
            <v>79105261243</v>
          </cell>
          <cell r="G1046">
            <v>79105261243</v>
          </cell>
        </row>
        <row r="1047">
          <cell r="B1047" t="str">
            <v>Савельев Александр Владимирович</v>
          </cell>
          <cell r="D1047">
            <v>79773423510</v>
          </cell>
          <cell r="G1047">
            <v>79773423510</v>
          </cell>
        </row>
        <row r="1048">
          <cell r="B1048" t="str">
            <v>Габитов Альберт Наилевич</v>
          </cell>
          <cell r="D1048">
            <v>79991945540</v>
          </cell>
          <cell r="G1048">
            <v>79991945540</v>
          </cell>
        </row>
        <row r="1049">
          <cell r="B1049" t="str">
            <v>Мемешев Шабан Юсуфович</v>
          </cell>
          <cell r="D1049">
            <v>79781440760</v>
          </cell>
          <cell r="G1049">
            <v>79781440760</v>
          </cell>
        </row>
        <row r="1050">
          <cell r="B1050" t="str">
            <v>Рамазанов Абакар Рамазанович</v>
          </cell>
          <cell r="D1050">
            <v>79674060120</v>
          </cell>
          <cell r="G1050">
            <v>79674060120</v>
          </cell>
        </row>
        <row r="1051">
          <cell r="B1051" t="str">
            <v>Николаева Юлия Викторовна</v>
          </cell>
          <cell r="D1051">
            <v>79166199324</v>
          </cell>
          <cell r="G1051">
            <v>79166199324</v>
          </cell>
        </row>
        <row r="1052">
          <cell r="B1052" t="str">
            <v>Шарыгин Семен Михайлович</v>
          </cell>
          <cell r="D1052">
            <v>79533273740</v>
          </cell>
          <cell r="G1052">
            <v>79533273740</v>
          </cell>
        </row>
        <row r="1053">
          <cell r="B1053" t="str">
            <v>Уткин Алексей Александрович</v>
          </cell>
          <cell r="D1053">
            <v>79107961131</v>
          </cell>
          <cell r="G1053">
            <v>79107961131</v>
          </cell>
        </row>
        <row r="1054">
          <cell r="B1054" t="str">
            <v>Загорулько Елена Михайловна</v>
          </cell>
          <cell r="D1054">
            <v>79295634233</v>
          </cell>
          <cell r="G1054">
            <v>89295634233</v>
          </cell>
        </row>
        <row r="1055">
          <cell r="B1055" t="str">
            <v>Цикишев Сергей Николаевич</v>
          </cell>
          <cell r="D1055">
            <v>79604852414</v>
          </cell>
          <cell r="G1055">
            <v>79604852414</v>
          </cell>
        </row>
        <row r="1056">
          <cell r="B1056" t="str">
            <v>Сосков Иван Сергеевич</v>
          </cell>
          <cell r="D1056">
            <v>79143591608</v>
          </cell>
          <cell r="G1056">
            <v>79242511127</v>
          </cell>
        </row>
        <row r="1057">
          <cell r="B1057" t="str">
            <v>Фомичева Маргарита Витальевна</v>
          </cell>
          <cell r="D1057">
            <v>79152836705</v>
          </cell>
          <cell r="G1057">
            <v>79152836705</v>
          </cell>
        </row>
        <row r="1058">
          <cell r="B1058" t="str">
            <v>Владимиров Александр Андреевич</v>
          </cell>
          <cell r="D1058">
            <v>79255145637</v>
          </cell>
          <cell r="G1058" t="str">
            <v>89255145637, 89057046161</v>
          </cell>
        </row>
        <row r="1059">
          <cell r="B1059" t="str">
            <v>Бесаев Заур Маратович</v>
          </cell>
          <cell r="D1059">
            <v>79897485085</v>
          </cell>
          <cell r="G1059">
            <v>79897485085</v>
          </cell>
        </row>
        <row r="1060">
          <cell r="B1060" t="str">
            <v>Чупрынина Лилия Леонидовна</v>
          </cell>
          <cell r="D1060">
            <v>79787442802</v>
          </cell>
          <cell r="G1060">
            <v>79787442802</v>
          </cell>
        </row>
        <row r="1061">
          <cell r="B1061" t="str">
            <v>Королёв Сергей Николаевич</v>
          </cell>
          <cell r="D1061">
            <v>79119272677</v>
          </cell>
          <cell r="G1061">
            <v>79119272677</v>
          </cell>
        </row>
        <row r="1062">
          <cell r="B1062" t="str">
            <v>Магомедов Ахмед Багаутдинович</v>
          </cell>
          <cell r="D1062">
            <v>79850889987</v>
          </cell>
          <cell r="G1062">
            <v>89850889987</v>
          </cell>
        </row>
        <row r="1063">
          <cell r="B1063" t="str">
            <v>Гилаев Флюс Фаусович</v>
          </cell>
          <cell r="D1063">
            <v>79279436825</v>
          </cell>
          <cell r="G1063">
            <v>79279436825</v>
          </cell>
        </row>
        <row r="1064">
          <cell r="B1064" t="str">
            <v>Петров Сергей Владимирович</v>
          </cell>
          <cell r="D1064">
            <v>79033565564</v>
          </cell>
          <cell r="G1064">
            <v>79033565564</v>
          </cell>
        </row>
        <row r="1065">
          <cell r="B1065" t="str">
            <v>Гачегов Дмитрий Сергеевич</v>
          </cell>
          <cell r="D1065">
            <v>79194472584</v>
          </cell>
          <cell r="G1065">
            <v>79194472584</v>
          </cell>
        </row>
        <row r="1066">
          <cell r="B1066" t="str">
            <v>Петрова Ирина Валентиновна</v>
          </cell>
          <cell r="D1066">
            <v>79525327400</v>
          </cell>
          <cell r="G1066">
            <v>79525327400</v>
          </cell>
        </row>
        <row r="1067">
          <cell r="B1067" t="str">
            <v>Иванов Илья Андреевич</v>
          </cell>
          <cell r="D1067">
            <v>79313541669</v>
          </cell>
          <cell r="G1067">
            <v>79313541669</v>
          </cell>
        </row>
        <row r="1068">
          <cell r="B1068" t="str">
            <v>Майорова Наталья Вениаминовна</v>
          </cell>
          <cell r="D1068">
            <v>79627707262</v>
          </cell>
          <cell r="G1068">
            <v>79627707262</v>
          </cell>
        </row>
        <row r="1069">
          <cell r="B1069" t="str">
            <v>Трушникова Инна Олеговна</v>
          </cell>
          <cell r="D1069">
            <v>79150093223</v>
          </cell>
          <cell r="E1069">
            <v>79150093223</v>
          </cell>
          <cell r="G1069">
            <v>79150093223</v>
          </cell>
        </row>
        <row r="1070">
          <cell r="B1070" t="str">
            <v>Галицина Елена Викторовна</v>
          </cell>
          <cell r="D1070">
            <v>79119379115</v>
          </cell>
          <cell r="G1070">
            <v>79119379115</v>
          </cell>
        </row>
        <row r="1071">
          <cell r="B1071" t="str">
            <v>Смирнов Михаил Львович</v>
          </cell>
          <cell r="D1071">
            <v>79036121416</v>
          </cell>
          <cell r="G1071" t="str">
            <v>89036121416, 89057926099</v>
          </cell>
        </row>
        <row r="1072">
          <cell r="B1072" t="str">
            <v>Акиньшин Олег Алексеевич</v>
          </cell>
          <cell r="D1072">
            <v>79259185883</v>
          </cell>
          <cell r="G1072">
            <v>79259185883</v>
          </cell>
        </row>
        <row r="1073">
          <cell r="B1073" t="str">
            <v>Логвинчук Василий Святославович</v>
          </cell>
          <cell r="D1073">
            <v>79778938956</v>
          </cell>
          <cell r="E1073">
            <v>79776115100</v>
          </cell>
          <cell r="G1073">
            <v>79778938956</v>
          </cell>
        </row>
        <row r="1074">
          <cell r="B1074" t="str">
            <v>Левин Сергей Владимирович</v>
          </cell>
          <cell r="D1074">
            <v>79892112978</v>
          </cell>
          <cell r="G1074">
            <v>79892112978</v>
          </cell>
        </row>
        <row r="1075">
          <cell r="B1075" t="str">
            <v>Богданов Борис Владимирович</v>
          </cell>
          <cell r="D1075">
            <v>79652302644</v>
          </cell>
          <cell r="G1075">
            <v>79652302644</v>
          </cell>
        </row>
        <row r="1076">
          <cell r="B1076" t="str">
            <v>Селеверстов Михаил Васильевич</v>
          </cell>
          <cell r="D1076">
            <v>79058451345</v>
          </cell>
          <cell r="G1076">
            <v>79058451345</v>
          </cell>
        </row>
        <row r="1077">
          <cell r="B1077" t="str">
            <v>Келешян Мария Георгиевна</v>
          </cell>
          <cell r="D1077">
            <v>79189086446</v>
          </cell>
          <cell r="G1077">
            <v>79189086446</v>
          </cell>
        </row>
        <row r="1078">
          <cell r="B1078" t="str">
            <v>Корнилова Наталия Владимировна</v>
          </cell>
          <cell r="D1078">
            <v>79051999634</v>
          </cell>
          <cell r="G1078">
            <v>79051999634</v>
          </cell>
        </row>
        <row r="1079">
          <cell r="B1079" t="str">
            <v>Райков Дмитрий Васильевич</v>
          </cell>
          <cell r="D1079">
            <v>79629036084</v>
          </cell>
          <cell r="G1079">
            <v>89629036084</v>
          </cell>
        </row>
        <row r="1080">
          <cell r="B1080" t="str">
            <v>Богданова Ольга Геннадиевна</v>
          </cell>
          <cell r="D1080">
            <v>79036307914</v>
          </cell>
          <cell r="G1080">
            <v>79036307914</v>
          </cell>
        </row>
        <row r="1081">
          <cell r="B1081" t="str">
            <v>Росляков Артем Владимирович</v>
          </cell>
          <cell r="D1081">
            <v>79660036024</v>
          </cell>
          <cell r="G1081">
            <v>79660036024</v>
          </cell>
        </row>
        <row r="1082">
          <cell r="B1082" t="str">
            <v>Элоян Артур Гамбарович</v>
          </cell>
          <cell r="D1082">
            <v>79607319694</v>
          </cell>
          <cell r="G1082">
            <v>79607319694</v>
          </cell>
        </row>
        <row r="1083">
          <cell r="B1083" t="str">
            <v>Хулхачиев Очир Васильевич</v>
          </cell>
          <cell r="G1083">
            <v>79371942044</v>
          </cell>
        </row>
        <row r="1084">
          <cell r="B1084" t="str">
            <v>Гуров Евгений Сергеевич</v>
          </cell>
          <cell r="D1084">
            <v>79154250785</v>
          </cell>
          <cell r="G1084">
            <v>79154250785</v>
          </cell>
        </row>
        <row r="1085">
          <cell r="B1085" t="str">
            <v>Ворошилин Владимир Игоревич</v>
          </cell>
          <cell r="G1085">
            <v>79296012855</v>
          </cell>
        </row>
        <row r="1086">
          <cell r="B1086" t="str">
            <v>Самедов Эльдар Абилевич</v>
          </cell>
          <cell r="D1086">
            <v>79268100105</v>
          </cell>
          <cell r="G1086">
            <v>79268100105</v>
          </cell>
        </row>
        <row r="1087">
          <cell r="B1087" t="str">
            <v>Саакян Оганнес Мнацаканович</v>
          </cell>
          <cell r="D1087">
            <v>79621691503</v>
          </cell>
          <cell r="G1087">
            <v>79621691503</v>
          </cell>
        </row>
        <row r="1088">
          <cell r="B1088" t="str">
            <v>Шаматава Давид Роиниевич</v>
          </cell>
          <cell r="D1088">
            <v>79160120422</v>
          </cell>
          <cell r="G1088">
            <v>79160120422</v>
          </cell>
        </row>
        <row r="1089">
          <cell r="B1089" t="str">
            <v>Крыгин Илья Владимирович</v>
          </cell>
          <cell r="D1089">
            <v>79175621918</v>
          </cell>
          <cell r="G1089">
            <v>79175621918</v>
          </cell>
        </row>
        <row r="1090">
          <cell r="B1090" t="str">
            <v>Машковцев Алексей Валерьевич</v>
          </cell>
          <cell r="D1090">
            <v>79265656981</v>
          </cell>
          <cell r="G1090">
            <v>79265656981</v>
          </cell>
        </row>
        <row r="1091">
          <cell r="B1091" t="str">
            <v>Агаджанян Самвел Амаякович</v>
          </cell>
          <cell r="D1091">
            <v>79307087581</v>
          </cell>
          <cell r="G1091">
            <v>79307087581</v>
          </cell>
        </row>
        <row r="1092">
          <cell r="B1092" t="str">
            <v>Царьков Павел Игоревич</v>
          </cell>
          <cell r="D1092">
            <v>79969224020</v>
          </cell>
          <cell r="G1092">
            <v>79969224020</v>
          </cell>
        </row>
        <row r="1093">
          <cell r="B1093" t="str">
            <v>Аманниязова Гулистан Атаевна</v>
          </cell>
          <cell r="D1093">
            <v>79263972100</v>
          </cell>
          <cell r="G1093">
            <v>79263972100</v>
          </cell>
        </row>
        <row r="1094">
          <cell r="B1094" t="str">
            <v>Григорьев Олег Вячеславович</v>
          </cell>
          <cell r="D1094">
            <v>79255668462</v>
          </cell>
          <cell r="G1094">
            <v>79255668462</v>
          </cell>
        </row>
        <row r="1095">
          <cell r="B1095" t="str">
            <v>Вяткин Евгений Федорович</v>
          </cell>
          <cell r="D1095">
            <v>79851150900</v>
          </cell>
          <cell r="G1095">
            <v>79851150900</v>
          </cell>
        </row>
        <row r="1096">
          <cell r="B1096" t="str">
            <v>Колесников Евгений Михайлович</v>
          </cell>
          <cell r="D1096">
            <v>79501040612</v>
          </cell>
          <cell r="G1096">
            <v>79501040612</v>
          </cell>
        </row>
        <row r="1097">
          <cell r="B1097" t="str">
            <v>Малашкин Алексей Игоревич</v>
          </cell>
          <cell r="D1097">
            <v>79263247300</v>
          </cell>
          <cell r="G1097">
            <v>89263247300</v>
          </cell>
        </row>
        <row r="1098">
          <cell r="B1098" t="str">
            <v>Кузнецова Екатерина Владиславовна</v>
          </cell>
          <cell r="D1098">
            <v>79104398750</v>
          </cell>
          <cell r="G1098">
            <v>79104398750</v>
          </cell>
        </row>
        <row r="1099">
          <cell r="B1099" t="str">
            <v>Голубь Елена Николаевна</v>
          </cell>
          <cell r="D1099">
            <v>79054787383</v>
          </cell>
          <cell r="G1099">
            <v>79054787383</v>
          </cell>
        </row>
        <row r="1100">
          <cell r="B1100" t="str">
            <v>Сырышева Жанна Евгеньевна</v>
          </cell>
          <cell r="D1100">
            <v>79112266824</v>
          </cell>
          <cell r="G1100">
            <v>79112266824</v>
          </cell>
        </row>
        <row r="1101">
          <cell r="B1101" t="str">
            <v>Гойгереев Камал Исаевич</v>
          </cell>
          <cell r="D1101">
            <v>79081691911</v>
          </cell>
          <cell r="G1101">
            <v>79081691911</v>
          </cell>
        </row>
        <row r="1102">
          <cell r="B1102" t="str">
            <v>Лялин Анатолий Геннадьевич</v>
          </cell>
          <cell r="D1102">
            <v>79960475545</v>
          </cell>
          <cell r="G1102">
            <v>79960475545</v>
          </cell>
        </row>
        <row r="1103">
          <cell r="B1103" t="str">
            <v>Коростелкина Татьяна Владимировна</v>
          </cell>
          <cell r="D1103">
            <v>79773424080</v>
          </cell>
          <cell r="G1103">
            <v>79773424080</v>
          </cell>
        </row>
        <row r="1104">
          <cell r="B1104" t="str">
            <v>Баранов Аркадий Александрович</v>
          </cell>
          <cell r="D1104">
            <v>79112208586</v>
          </cell>
          <cell r="G1104">
            <v>79112208586</v>
          </cell>
        </row>
        <row r="1105">
          <cell r="B1105" t="str">
            <v>Павликивский Владимир Васильевич</v>
          </cell>
          <cell r="D1105">
            <v>79615928763</v>
          </cell>
          <cell r="G1105">
            <v>79615928763</v>
          </cell>
        </row>
        <row r="1106">
          <cell r="B1106" t="str">
            <v>Кожанов Александр Михайлович</v>
          </cell>
          <cell r="D1106">
            <v>79885454000</v>
          </cell>
          <cell r="G1106">
            <v>79885454000</v>
          </cell>
        </row>
        <row r="1107">
          <cell r="B1107" t="str">
            <v>Буренкова Екатерина Сергеевна</v>
          </cell>
          <cell r="D1107">
            <v>79158023383</v>
          </cell>
          <cell r="E1107">
            <v>79532951339</v>
          </cell>
          <cell r="G1107">
            <v>79158023383</v>
          </cell>
        </row>
        <row r="1108">
          <cell r="B1108" t="str">
            <v>Мощинская Елена Николаевна</v>
          </cell>
          <cell r="D1108">
            <v>79260461793</v>
          </cell>
          <cell r="G1108">
            <v>79260461793</v>
          </cell>
        </row>
        <row r="1109">
          <cell r="B1109" t="str">
            <v>Фоника Евгений Евгеньевич</v>
          </cell>
          <cell r="D1109">
            <v>79168200304</v>
          </cell>
          <cell r="G1109">
            <v>79168200304</v>
          </cell>
        </row>
        <row r="1110">
          <cell r="B1110" t="str">
            <v>Степанян Тигран Геворгович</v>
          </cell>
          <cell r="D1110">
            <v>79035260173</v>
          </cell>
          <cell r="G1110" t="str">
            <v>89035260173, 84959833436</v>
          </cell>
        </row>
        <row r="1111">
          <cell r="B1111" t="str">
            <v>Селиверстова Евгения Владимировна</v>
          </cell>
          <cell r="D1111">
            <v>79253202640</v>
          </cell>
          <cell r="G1111">
            <v>79253202640</v>
          </cell>
        </row>
        <row r="1112">
          <cell r="B1112" t="str">
            <v>Насырова Шахлохон Раимжановна</v>
          </cell>
          <cell r="D1112">
            <v>79855645225</v>
          </cell>
          <cell r="G1112">
            <v>79855645225</v>
          </cell>
        </row>
        <row r="1113">
          <cell r="B1113" t="str">
            <v>Минаева Елена Викторовна</v>
          </cell>
          <cell r="D1113">
            <v>79857667306</v>
          </cell>
          <cell r="G1113">
            <v>89857667306</v>
          </cell>
        </row>
        <row r="1114">
          <cell r="B1114" t="str">
            <v>Сахимова Анна Владимировна</v>
          </cell>
          <cell r="D1114">
            <v>79621905500</v>
          </cell>
          <cell r="G1114">
            <v>79621905500</v>
          </cell>
        </row>
        <row r="1115">
          <cell r="B1115" t="str">
            <v>Киселев Александр Максимович</v>
          </cell>
          <cell r="D1115">
            <v>79963497388</v>
          </cell>
          <cell r="G1115">
            <v>79963497388</v>
          </cell>
        </row>
        <row r="1116">
          <cell r="B1116" t="str">
            <v>Еременко Сергей Артурович</v>
          </cell>
          <cell r="D1116">
            <v>79309556325</v>
          </cell>
          <cell r="E1116">
            <v>79040021967</v>
          </cell>
          <cell r="G1116">
            <v>79309556325</v>
          </cell>
        </row>
        <row r="1117">
          <cell r="B1117" t="str">
            <v>Аксенчук Александр Вячеславович</v>
          </cell>
          <cell r="D1117">
            <v>79774206754</v>
          </cell>
          <cell r="G1117">
            <v>79774206754</v>
          </cell>
        </row>
        <row r="1118">
          <cell r="B1118" t="str">
            <v>Сидоров Александр Владимирович</v>
          </cell>
          <cell r="D1118">
            <v>79163572699</v>
          </cell>
          <cell r="G1118">
            <v>79163572699</v>
          </cell>
        </row>
        <row r="1119">
          <cell r="B1119" t="str">
            <v>Молчанов Дмитрий Викторович</v>
          </cell>
          <cell r="D1119">
            <v>79152571893</v>
          </cell>
          <cell r="G1119">
            <v>79152571893</v>
          </cell>
        </row>
        <row r="1120">
          <cell r="B1120" t="str">
            <v>Виноградов Александр Александрович</v>
          </cell>
          <cell r="D1120">
            <v>79167565549</v>
          </cell>
          <cell r="G1120">
            <v>79167565549</v>
          </cell>
        </row>
        <row r="1121">
          <cell r="B1121" t="str">
            <v>Устинов Максим Викторович</v>
          </cell>
          <cell r="D1121">
            <v>79263030102</v>
          </cell>
          <cell r="G1121">
            <v>79263030102</v>
          </cell>
        </row>
        <row r="1122">
          <cell r="B1122" t="str">
            <v>Сундуков Сергей Сергеевич</v>
          </cell>
          <cell r="D1122">
            <v>79807162030</v>
          </cell>
          <cell r="G1122">
            <v>79807162030</v>
          </cell>
        </row>
        <row r="1123">
          <cell r="B1123" t="str">
            <v>Манаенко Ольга Владимировна</v>
          </cell>
          <cell r="D1123">
            <v>79096780569</v>
          </cell>
          <cell r="G1123">
            <v>79096780569</v>
          </cell>
        </row>
        <row r="1124">
          <cell r="B1124" t="str">
            <v>Масальский Александр Михайлович</v>
          </cell>
          <cell r="D1124">
            <v>79164732470</v>
          </cell>
          <cell r="G1124">
            <v>79164732470</v>
          </cell>
        </row>
        <row r="1125">
          <cell r="B1125" t="str">
            <v>Манасян Ашот Сергеевич</v>
          </cell>
          <cell r="D1125">
            <v>79258805062</v>
          </cell>
          <cell r="E1125">
            <v>79164624485</v>
          </cell>
          <cell r="G1125">
            <v>79164624485</v>
          </cell>
        </row>
        <row r="1126">
          <cell r="B1126" t="str">
            <v>Скоморохов Максим Дмитриевич</v>
          </cell>
          <cell r="D1126">
            <v>79969217279</v>
          </cell>
          <cell r="G1126">
            <v>79969217279</v>
          </cell>
        </row>
        <row r="1127">
          <cell r="B1127" t="str">
            <v>Авдошина Светлана Викторовна</v>
          </cell>
          <cell r="D1127">
            <v>79777711739</v>
          </cell>
          <cell r="E1127">
            <v>79685887023</v>
          </cell>
          <cell r="G1127">
            <v>79777711739</v>
          </cell>
        </row>
        <row r="1128">
          <cell r="B1128" t="str">
            <v>Новоселов Сергей Владимирович</v>
          </cell>
          <cell r="D1128">
            <v>79504835179</v>
          </cell>
          <cell r="G1128">
            <v>79504835179</v>
          </cell>
        </row>
        <row r="1129">
          <cell r="B1129" t="str">
            <v>Абдуллахи Амина Халифовна</v>
          </cell>
          <cell r="D1129">
            <v>79110281881</v>
          </cell>
          <cell r="G1129">
            <v>79110281881</v>
          </cell>
        </row>
        <row r="1130">
          <cell r="B1130" t="str">
            <v>Дементьев Александр Валерьевич</v>
          </cell>
          <cell r="D1130">
            <v>79875984452</v>
          </cell>
          <cell r="G1130">
            <v>79875984452</v>
          </cell>
        </row>
        <row r="1131">
          <cell r="B1131" t="str">
            <v>Лотонин Александр Олегович</v>
          </cell>
          <cell r="D1131">
            <v>79045527952</v>
          </cell>
          <cell r="G1131">
            <v>79045527952</v>
          </cell>
        </row>
        <row r="1132">
          <cell r="B1132" t="str">
            <v>Клинов Сергей Евгеньевич</v>
          </cell>
          <cell r="D1132">
            <v>79035083364</v>
          </cell>
          <cell r="G1132">
            <v>79035083364</v>
          </cell>
        </row>
        <row r="1133">
          <cell r="B1133" t="str">
            <v>Пыдык Сергей Васильевич</v>
          </cell>
          <cell r="D1133">
            <v>79895113623</v>
          </cell>
          <cell r="G1133">
            <v>79895113623</v>
          </cell>
        </row>
        <row r="1134">
          <cell r="B1134" t="str">
            <v>Жумабаев Умар Сонунбекович</v>
          </cell>
          <cell r="D1134">
            <v>79800046483</v>
          </cell>
          <cell r="G1134">
            <v>79800046483</v>
          </cell>
        </row>
        <row r="1135">
          <cell r="B1135" t="str">
            <v>Башленко Илья Васильевич</v>
          </cell>
          <cell r="D1135">
            <v>79375342111</v>
          </cell>
          <cell r="G1135">
            <v>79375342111</v>
          </cell>
        </row>
        <row r="1136">
          <cell r="B1136" t="str">
            <v>Измайлова Юлия Игоревна</v>
          </cell>
          <cell r="D1136">
            <v>79057510088</v>
          </cell>
          <cell r="G1136">
            <v>79057510088</v>
          </cell>
        </row>
        <row r="1137">
          <cell r="B1137" t="str">
            <v>Насибов Баходур Юсуфджонович</v>
          </cell>
          <cell r="D1137">
            <v>79778614145</v>
          </cell>
          <cell r="G1137">
            <v>79778614145</v>
          </cell>
        </row>
        <row r="1138">
          <cell r="B1138" t="str">
            <v>Корнилова Алена Константиновна</v>
          </cell>
          <cell r="D1138">
            <v>79142988812</v>
          </cell>
          <cell r="G1138">
            <v>79142988812</v>
          </cell>
        </row>
        <row r="1139">
          <cell r="B1139" t="str">
            <v>Белорыбкин Михаил Васильевич</v>
          </cell>
          <cell r="D1139">
            <v>79641320395</v>
          </cell>
          <cell r="G1139">
            <v>79641320395</v>
          </cell>
        </row>
        <row r="1140">
          <cell r="B1140" t="str">
            <v>Доценко Артём Анатольевич</v>
          </cell>
          <cell r="D1140">
            <v>79046461888</v>
          </cell>
          <cell r="G1140">
            <v>79046461888</v>
          </cell>
        </row>
        <row r="1141">
          <cell r="B1141" t="str">
            <v>Бабенышева Наталия Григорьевна</v>
          </cell>
          <cell r="D1141">
            <v>79032711853</v>
          </cell>
          <cell r="E1141">
            <v>79999999991</v>
          </cell>
          <cell r="G1141">
            <v>79032711853</v>
          </cell>
        </row>
        <row r="1142">
          <cell r="B1142" t="str">
            <v>Назаров Всеволод Владимирович</v>
          </cell>
          <cell r="D1142">
            <v>79036798811</v>
          </cell>
          <cell r="G1142">
            <v>89036798811</v>
          </cell>
        </row>
        <row r="1143">
          <cell r="B1143" t="str">
            <v>Камышов Игорь Николаевич</v>
          </cell>
          <cell r="D1143">
            <v>79211160376</v>
          </cell>
          <cell r="G1143">
            <v>79211160376</v>
          </cell>
        </row>
        <row r="1144">
          <cell r="B1144" t="str">
            <v>Кутлуахметов Руслан Зауилович</v>
          </cell>
          <cell r="D1144">
            <v>79786084762</v>
          </cell>
          <cell r="G1144">
            <v>79786084762</v>
          </cell>
        </row>
        <row r="1145">
          <cell r="B1145" t="str">
            <v>Камбулина Ирина Юрьевна</v>
          </cell>
          <cell r="D1145">
            <v>79775081549</v>
          </cell>
          <cell r="G1145">
            <v>79775081549</v>
          </cell>
        </row>
        <row r="1146">
          <cell r="B1146" t="str">
            <v>Харагезян Армен Вартересович</v>
          </cell>
          <cell r="D1146">
            <v>79895096989</v>
          </cell>
          <cell r="G1146">
            <v>79895096989</v>
          </cell>
        </row>
        <row r="1147">
          <cell r="B1147" t="str">
            <v>Колпаков Антон Валерьевич</v>
          </cell>
          <cell r="D1147">
            <v>79672796448</v>
          </cell>
          <cell r="G1147">
            <v>79672796448</v>
          </cell>
        </row>
        <row r="1148">
          <cell r="B1148" t="str">
            <v>Савин Евгений Иванович</v>
          </cell>
          <cell r="D1148">
            <v>79146766666</v>
          </cell>
          <cell r="G1148">
            <v>79146766666</v>
          </cell>
        </row>
        <row r="1149">
          <cell r="B1149" t="str">
            <v>Дрожжин Андрей Юрьевич</v>
          </cell>
          <cell r="D1149">
            <v>79855607848</v>
          </cell>
          <cell r="G1149">
            <v>79855607848</v>
          </cell>
        </row>
        <row r="1150">
          <cell r="B1150" t="str">
            <v>Ермилин Виталий Владимирович</v>
          </cell>
          <cell r="D1150">
            <v>79630996834</v>
          </cell>
          <cell r="G1150">
            <v>79630996834</v>
          </cell>
        </row>
        <row r="1151">
          <cell r="B1151" t="str">
            <v>Михальчук Анна Евгеньевна</v>
          </cell>
          <cell r="D1151">
            <v>79012783847</v>
          </cell>
          <cell r="G1151">
            <v>79012783847</v>
          </cell>
        </row>
        <row r="1152">
          <cell r="B1152" t="str">
            <v>Нуждина Юлия Вадимовна</v>
          </cell>
          <cell r="D1152">
            <v>79042830556</v>
          </cell>
          <cell r="G1152">
            <v>79042830556</v>
          </cell>
        </row>
        <row r="1153">
          <cell r="B1153" t="str">
            <v>Коркина Елена Александровна</v>
          </cell>
          <cell r="D1153">
            <v>79537495179</v>
          </cell>
          <cell r="G1153">
            <v>89537495179</v>
          </cell>
        </row>
        <row r="1154">
          <cell r="B1154" t="str">
            <v>Чернавина Татьяна Дмитриевна</v>
          </cell>
          <cell r="D1154">
            <v>79531948409</v>
          </cell>
          <cell r="G1154">
            <v>79531948409</v>
          </cell>
        </row>
        <row r="1155">
          <cell r="B1155" t="str">
            <v>Царев Антон Борисович</v>
          </cell>
          <cell r="D1155">
            <v>79067777090</v>
          </cell>
          <cell r="G1155">
            <v>79067777090</v>
          </cell>
        </row>
        <row r="1156">
          <cell r="B1156" t="str">
            <v>Терехов Андрей Анатольевич</v>
          </cell>
          <cell r="D1156">
            <v>79104401148</v>
          </cell>
          <cell r="G1156">
            <v>79104401148</v>
          </cell>
        </row>
        <row r="1157">
          <cell r="B1157" t="str">
            <v>Лебедовский Максим Юрьевич</v>
          </cell>
          <cell r="D1157">
            <v>79964765365</v>
          </cell>
          <cell r="G1157">
            <v>79964765365</v>
          </cell>
        </row>
        <row r="1158">
          <cell r="B1158" t="str">
            <v>Поляков Евгений Сергеевич</v>
          </cell>
          <cell r="D1158">
            <v>79065448815</v>
          </cell>
          <cell r="G1158">
            <v>79065448815</v>
          </cell>
        </row>
        <row r="1159">
          <cell r="B1159" t="str">
            <v>Фомичев Денис Александрович</v>
          </cell>
          <cell r="D1159">
            <v>79037926375</v>
          </cell>
          <cell r="G1159">
            <v>89037926375</v>
          </cell>
        </row>
        <row r="1160">
          <cell r="B1160" t="str">
            <v>Сараева Елена Юрьевна</v>
          </cell>
          <cell r="D1160">
            <v>79855141814</v>
          </cell>
          <cell r="G1160">
            <v>79855141814</v>
          </cell>
        </row>
        <row r="1161">
          <cell r="B1161" t="str">
            <v>Дробный Александр Олегович</v>
          </cell>
          <cell r="D1161">
            <v>79629951331</v>
          </cell>
          <cell r="G1161">
            <v>79629951331</v>
          </cell>
        </row>
        <row r="1162">
          <cell r="B1162" t="str">
            <v>Осадчий Сергей Александрович</v>
          </cell>
          <cell r="D1162">
            <v>79616822745</v>
          </cell>
          <cell r="G1162">
            <v>79616822745</v>
          </cell>
        </row>
        <row r="1163">
          <cell r="B1163" t="str">
            <v>Спицын Антон Вадимович</v>
          </cell>
          <cell r="D1163">
            <v>79064511521</v>
          </cell>
          <cell r="G1163">
            <v>79064511521</v>
          </cell>
        </row>
        <row r="1164">
          <cell r="B1164" t="str">
            <v>Гуркин Владимир Рудольфович</v>
          </cell>
          <cell r="D1164">
            <v>79271310093</v>
          </cell>
          <cell r="E1164">
            <v>79881860636</v>
          </cell>
          <cell r="G1164">
            <v>79271310093</v>
          </cell>
        </row>
        <row r="1165">
          <cell r="B1165" t="str">
            <v>Фролов Павел Андреевич</v>
          </cell>
          <cell r="D1165">
            <v>79534139710</v>
          </cell>
          <cell r="G1165">
            <v>79534139710</v>
          </cell>
        </row>
        <row r="1166">
          <cell r="B1166" t="str">
            <v>Пронина Кристина Яковлевна</v>
          </cell>
          <cell r="D1166">
            <v>79645781616</v>
          </cell>
          <cell r="G1166">
            <v>79645781616</v>
          </cell>
        </row>
        <row r="1167">
          <cell r="B1167" t="str">
            <v>Гасанов Ниджат Назим Оглы</v>
          </cell>
          <cell r="D1167">
            <v>79261630665</v>
          </cell>
          <cell r="G1167">
            <v>79261630665</v>
          </cell>
        </row>
        <row r="1168">
          <cell r="B1168" t="str">
            <v>Голубев Михаил Владимирович</v>
          </cell>
          <cell r="D1168">
            <v>79851565362</v>
          </cell>
          <cell r="G1168">
            <v>79851565362</v>
          </cell>
        </row>
        <row r="1169">
          <cell r="B1169" t="str">
            <v>Женихов Александр Николаевич</v>
          </cell>
          <cell r="D1169">
            <v>79536708626</v>
          </cell>
          <cell r="G1169">
            <v>79536708626</v>
          </cell>
        </row>
        <row r="1170">
          <cell r="B1170" t="str">
            <v>Ярмусь Екатерина Юрьевна</v>
          </cell>
          <cell r="D1170">
            <v>79180577034</v>
          </cell>
          <cell r="G1170">
            <v>79180577034</v>
          </cell>
        </row>
        <row r="1171">
          <cell r="B1171" t="str">
            <v>Вершинина Ольга Владимировна</v>
          </cell>
          <cell r="D1171">
            <v>79536007128</v>
          </cell>
          <cell r="G1171">
            <v>79536007128</v>
          </cell>
        </row>
        <row r="1172">
          <cell r="B1172" t="str">
            <v>Буниатян Арман Арменакович</v>
          </cell>
          <cell r="D1172">
            <v>79160973288</v>
          </cell>
          <cell r="G1172">
            <v>79160973288</v>
          </cell>
        </row>
        <row r="1173">
          <cell r="B1173" t="str">
            <v>Лазарян Давид Игоревич</v>
          </cell>
          <cell r="D1173">
            <v>79683330999</v>
          </cell>
          <cell r="G1173">
            <v>79683330999</v>
          </cell>
        </row>
        <row r="1174">
          <cell r="B1174" t="str">
            <v>Мельник Дмитрий Петрович</v>
          </cell>
          <cell r="D1174">
            <v>79787675480</v>
          </cell>
          <cell r="G1174">
            <v>79787675480</v>
          </cell>
        </row>
        <row r="1175">
          <cell r="B1175" t="str">
            <v>Романюк Александр Михайлович</v>
          </cell>
          <cell r="D1175">
            <v>79191771892</v>
          </cell>
          <cell r="G1175">
            <v>79191771892</v>
          </cell>
        </row>
        <row r="1176">
          <cell r="B1176" t="str">
            <v>Тагаева Ольга Гиниядовна</v>
          </cell>
          <cell r="D1176">
            <v>79068500727</v>
          </cell>
          <cell r="G1176">
            <v>79068500727</v>
          </cell>
        </row>
        <row r="1177">
          <cell r="B1177" t="str">
            <v>Проклов Игорь Петрович</v>
          </cell>
          <cell r="D1177">
            <v>79605961359</v>
          </cell>
          <cell r="G1177">
            <v>79605961359</v>
          </cell>
        </row>
        <row r="1178">
          <cell r="B1178" t="str">
            <v>Слепнев Иван Викторович</v>
          </cell>
          <cell r="D1178">
            <v>79264620143</v>
          </cell>
          <cell r="G1178">
            <v>79264620143</v>
          </cell>
        </row>
        <row r="1179">
          <cell r="B1179" t="str">
            <v>Дзейтов Муслим Алиевич</v>
          </cell>
          <cell r="D1179">
            <v>79604328888</v>
          </cell>
          <cell r="G1179">
            <v>79604328888</v>
          </cell>
        </row>
        <row r="1180">
          <cell r="B1180" t="str">
            <v>Тимохин Иван Алексеевич</v>
          </cell>
          <cell r="D1180">
            <v>79154745516</v>
          </cell>
          <cell r="G1180">
            <v>79154745516</v>
          </cell>
        </row>
        <row r="1181">
          <cell r="B1181" t="str">
            <v>Меремьянина Мария Николаевна</v>
          </cell>
          <cell r="D1181">
            <v>79046851020</v>
          </cell>
          <cell r="G1181">
            <v>79046851020</v>
          </cell>
        </row>
        <row r="1182">
          <cell r="B1182" t="str">
            <v>Рыцарева Анжелика Витальевна</v>
          </cell>
          <cell r="D1182">
            <v>79787956719</v>
          </cell>
          <cell r="G1182">
            <v>79787956719</v>
          </cell>
        </row>
        <row r="1183">
          <cell r="B1183" t="str">
            <v>Кириллова Екатерина Александровна</v>
          </cell>
          <cell r="D1183">
            <v>79811854810</v>
          </cell>
          <cell r="G1183">
            <v>79811854810</v>
          </cell>
        </row>
        <row r="1184">
          <cell r="B1184" t="str">
            <v>Ливанов Игорь Викторович</v>
          </cell>
          <cell r="D1184">
            <v>79219956156</v>
          </cell>
          <cell r="G1184">
            <v>79219956156</v>
          </cell>
        </row>
        <row r="1185">
          <cell r="B1185" t="str">
            <v>Куразян Гарий Рафаэлович</v>
          </cell>
          <cell r="D1185">
            <v>79897033074</v>
          </cell>
          <cell r="G1185">
            <v>79897033074</v>
          </cell>
        </row>
        <row r="1186">
          <cell r="B1186" t="str">
            <v>Исаев Александр Васильевич</v>
          </cell>
          <cell r="D1186">
            <v>79803760029</v>
          </cell>
          <cell r="G1186">
            <v>79803760029</v>
          </cell>
        </row>
        <row r="1187">
          <cell r="B1187" t="str">
            <v>Минин Сергей Александрович</v>
          </cell>
          <cell r="D1187">
            <v>79190259596</v>
          </cell>
          <cell r="G1187">
            <v>79190259596</v>
          </cell>
        </row>
        <row r="1188">
          <cell r="B1188" t="str">
            <v>Салимов Шерзод Тохирович</v>
          </cell>
          <cell r="D1188">
            <v>79964265100</v>
          </cell>
          <cell r="G1188">
            <v>79964265100</v>
          </cell>
        </row>
        <row r="1189">
          <cell r="B1189" t="str">
            <v>Сидорович Дмитрий Владимирович</v>
          </cell>
          <cell r="D1189">
            <v>79856935772</v>
          </cell>
          <cell r="G1189">
            <v>79856935772</v>
          </cell>
        </row>
        <row r="1190">
          <cell r="B1190" t="str">
            <v>Музыка Евгений Александрович</v>
          </cell>
          <cell r="D1190">
            <v>79787665046</v>
          </cell>
          <cell r="G1190">
            <v>79787665046</v>
          </cell>
        </row>
        <row r="1191">
          <cell r="B1191" t="str">
            <v>Муравьев Сергей Сергеевич</v>
          </cell>
          <cell r="D1191">
            <v>79961652949</v>
          </cell>
          <cell r="G1191">
            <v>79066640680</v>
          </cell>
        </row>
        <row r="1192">
          <cell r="B1192" t="str">
            <v>Мартазов Вадим Алексеевич</v>
          </cell>
          <cell r="D1192">
            <v>79057123553</v>
          </cell>
          <cell r="G1192">
            <v>79057123553</v>
          </cell>
        </row>
        <row r="1193">
          <cell r="B1193" t="str">
            <v>Ситников Сергей Алексеевич</v>
          </cell>
          <cell r="D1193">
            <v>79038135483</v>
          </cell>
          <cell r="G1193">
            <v>79038135483</v>
          </cell>
        </row>
        <row r="1194">
          <cell r="B1194" t="str">
            <v>Соколова Елена Викторовна</v>
          </cell>
          <cell r="D1194">
            <v>79207306661</v>
          </cell>
          <cell r="E1194">
            <v>79207351666</v>
          </cell>
          <cell r="G1194">
            <v>79207306661</v>
          </cell>
        </row>
        <row r="1195">
          <cell r="B1195" t="str">
            <v>Ломакин Алексей Алексеевич</v>
          </cell>
          <cell r="D1195">
            <v>79601579694</v>
          </cell>
          <cell r="G1195">
            <v>79601579694</v>
          </cell>
        </row>
        <row r="1196">
          <cell r="B1196" t="str">
            <v>Колпакова Валерия Викторовна</v>
          </cell>
          <cell r="D1196">
            <v>79502922324</v>
          </cell>
          <cell r="G1196">
            <v>79502922324</v>
          </cell>
        </row>
        <row r="1197">
          <cell r="B1197" t="str">
            <v>Ярмоц Константин Викторович</v>
          </cell>
          <cell r="D1197">
            <v>79829322655</v>
          </cell>
          <cell r="G1197">
            <v>79829322655</v>
          </cell>
        </row>
        <row r="1198">
          <cell r="B1198" t="str">
            <v>Кончаков Дмитрий Валерьевич</v>
          </cell>
          <cell r="D1198">
            <v>79384389738</v>
          </cell>
          <cell r="G1198">
            <v>79384389738</v>
          </cell>
        </row>
        <row r="1199">
          <cell r="B1199" t="str">
            <v>Тутуев Александр Сергеевич</v>
          </cell>
          <cell r="D1199">
            <v>79065140560</v>
          </cell>
          <cell r="G1199">
            <v>79065140560</v>
          </cell>
        </row>
        <row r="1200">
          <cell r="B1200" t="str">
            <v>Семенов Сергей Юрьевич</v>
          </cell>
          <cell r="D1200">
            <v>79311002444</v>
          </cell>
          <cell r="G1200">
            <v>79311002444</v>
          </cell>
        </row>
        <row r="1201">
          <cell r="B1201" t="str">
            <v>Чурсинов Ярослав Александрович</v>
          </cell>
          <cell r="D1201">
            <v>79530987516</v>
          </cell>
          <cell r="G1201">
            <v>79530987516</v>
          </cell>
        </row>
        <row r="1202">
          <cell r="B1202" t="str">
            <v>Калантаров Артур Григорьевич</v>
          </cell>
          <cell r="D1202">
            <v>79518318177</v>
          </cell>
          <cell r="G1202">
            <v>79518318177</v>
          </cell>
        </row>
        <row r="1203">
          <cell r="B1203" t="str">
            <v>Кириллов Николай Валерьевич</v>
          </cell>
          <cell r="D1203">
            <v>79273218536</v>
          </cell>
          <cell r="G1203">
            <v>79273218536</v>
          </cell>
        </row>
        <row r="1204">
          <cell r="B1204" t="str">
            <v>Золотарева Марина Владимировна 2</v>
          </cell>
          <cell r="D1204">
            <v>79289571255</v>
          </cell>
          <cell r="E1204">
            <v>79281640574</v>
          </cell>
          <cell r="G1204">
            <v>79289571255</v>
          </cell>
        </row>
        <row r="1205">
          <cell r="B1205" t="str">
            <v>Кузьмичев Иван Сергеевич</v>
          </cell>
          <cell r="D1205">
            <v>79996794623</v>
          </cell>
          <cell r="G1205">
            <v>79996794623</v>
          </cell>
        </row>
        <row r="1206">
          <cell r="B1206" t="str">
            <v>Хусаинов Шухрат Джурабоевич</v>
          </cell>
          <cell r="D1206">
            <v>79773406041</v>
          </cell>
          <cell r="G1206">
            <v>79773406041</v>
          </cell>
        </row>
        <row r="1207">
          <cell r="B1207" t="str">
            <v>Васильев Сергей Владимирович</v>
          </cell>
          <cell r="D1207">
            <v>79620237737</v>
          </cell>
          <cell r="G1207">
            <v>79620237737</v>
          </cell>
        </row>
        <row r="1208">
          <cell r="B1208" t="str">
            <v>Овсепян Жирайр Араевич</v>
          </cell>
          <cell r="D1208">
            <v>79102437545</v>
          </cell>
          <cell r="G1208">
            <v>79102437545</v>
          </cell>
        </row>
        <row r="1209">
          <cell r="B1209" t="str">
            <v>Исаков Иван Владимирович</v>
          </cell>
          <cell r="D1209">
            <v>79526609261</v>
          </cell>
          <cell r="G1209">
            <v>79526609261</v>
          </cell>
        </row>
        <row r="1210">
          <cell r="B1210" t="str">
            <v>Хайретдинова Айгуль Ильгизовна</v>
          </cell>
          <cell r="D1210">
            <v>79017789243</v>
          </cell>
          <cell r="G1210">
            <v>79017789243</v>
          </cell>
        </row>
        <row r="1211">
          <cell r="B1211" t="str">
            <v>Лебедева Евгения Александровна</v>
          </cell>
          <cell r="D1211">
            <v>79852570390</v>
          </cell>
          <cell r="G1211">
            <v>79852570390</v>
          </cell>
        </row>
        <row r="1212">
          <cell r="B1212" t="str">
            <v>Юдина Светлана Валерьевна</v>
          </cell>
          <cell r="D1212">
            <v>79145010453</v>
          </cell>
          <cell r="G1212">
            <v>79145010453</v>
          </cell>
        </row>
        <row r="1213">
          <cell r="B1213" t="str">
            <v>Оганесян Наири Миранович</v>
          </cell>
          <cell r="D1213">
            <v>79067090059</v>
          </cell>
          <cell r="G1213">
            <v>79067090059</v>
          </cell>
        </row>
        <row r="1214">
          <cell r="B1214" t="str">
            <v>Скляр Николай Николаевич</v>
          </cell>
          <cell r="D1214">
            <v>79211899999</v>
          </cell>
          <cell r="G1214">
            <v>89211899999</v>
          </cell>
        </row>
        <row r="1215">
          <cell r="B1215" t="str">
            <v>Абакаров Абакар Магомедсалимович</v>
          </cell>
          <cell r="D1215">
            <v>79658884555</v>
          </cell>
          <cell r="G1215">
            <v>79658884555</v>
          </cell>
        </row>
        <row r="1216">
          <cell r="B1216" t="str">
            <v>Пашнин Дмитрий Александрович</v>
          </cell>
          <cell r="D1216">
            <v>79525188327</v>
          </cell>
          <cell r="G1216">
            <v>79525188327</v>
          </cell>
        </row>
        <row r="1217">
          <cell r="B1217" t="str">
            <v>Ширманов Никита Александрович</v>
          </cell>
          <cell r="D1217">
            <v>79785003671</v>
          </cell>
          <cell r="G1217">
            <v>79785003671</v>
          </cell>
        </row>
        <row r="1218">
          <cell r="B1218" t="str">
            <v>Пудлич Ульяна Петровна</v>
          </cell>
          <cell r="D1218">
            <v>79397830641</v>
          </cell>
          <cell r="G1218">
            <v>79397830641</v>
          </cell>
        </row>
        <row r="1219">
          <cell r="B1219" t="str">
            <v>Рассказов Максим Владимирович</v>
          </cell>
          <cell r="D1219">
            <v>79771704067</v>
          </cell>
          <cell r="G1219">
            <v>79771704067</v>
          </cell>
        </row>
        <row r="1220">
          <cell r="B1220" t="str">
            <v>Матузов Алексей Викторович</v>
          </cell>
          <cell r="D1220">
            <v>79154833760</v>
          </cell>
          <cell r="G1220">
            <v>89154833760</v>
          </cell>
        </row>
        <row r="1221">
          <cell r="B1221" t="str">
            <v>Полханов Владимир Николаевич</v>
          </cell>
          <cell r="E1221">
            <v>79267512775</v>
          </cell>
          <cell r="G1221">
            <v>79265668445</v>
          </cell>
        </row>
        <row r="1222">
          <cell r="B1222" t="str">
            <v>Огурцова Людмила Михайловна</v>
          </cell>
          <cell r="D1222">
            <v>79997721003</v>
          </cell>
          <cell r="E1222">
            <v>79104112382</v>
          </cell>
          <cell r="G1222">
            <v>79997721003</v>
          </cell>
        </row>
        <row r="1223">
          <cell r="B1223" t="str">
            <v>Аюпов Данил Мухаметович</v>
          </cell>
          <cell r="D1223">
            <v>79174166442</v>
          </cell>
          <cell r="G1223">
            <v>79174166442</v>
          </cell>
        </row>
        <row r="1224">
          <cell r="B1224" t="str">
            <v>Рогозина Диана Александровна</v>
          </cell>
          <cell r="D1224">
            <v>79811397967</v>
          </cell>
          <cell r="G1224">
            <v>79811397967</v>
          </cell>
        </row>
        <row r="1225">
          <cell r="B1225" t="str">
            <v>Хитров Станислав Валерьевич</v>
          </cell>
          <cell r="D1225">
            <v>79261423862</v>
          </cell>
          <cell r="G1225">
            <v>79261423862</v>
          </cell>
        </row>
        <row r="1226">
          <cell r="B1226" t="str">
            <v>Байрамов Сабир Вагифович</v>
          </cell>
          <cell r="D1226">
            <v>79013396636</v>
          </cell>
          <cell r="G1226">
            <v>79013396636</v>
          </cell>
        </row>
        <row r="1227">
          <cell r="B1227" t="str">
            <v>Тришина Екатерина Викторовна</v>
          </cell>
          <cell r="D1227">
            <v>79641350337</v>
          </cell>
          <cell r="G1227">
            <v>79641350337</v>
          </cell>
        </row>
        <row r="1228">
          <cell r="B1228" t="str">
            <v>Пилюгин Олег Васильевич</v>
          </cell>
          <cell r="D1228">
            <v>79802518283</v>
          </cell>
          <cell r="G1228">
            <v>79802518283</v>
          </cell>
        </row>
        <row r="1229">
          <cell r="B1229" t="str">
            <v>Савиных Татьяна Николаевна</v>
          </cell>
          <cell r="D1229">
            <v>79127395040</v>
          </cell>
          <cell r="G1229">
            <v>89127395040</v>
          </cell>
        </row>
        <row r="1230">
          <cell r="B1230" t="str">
            <v>Журавлева Наталья Юрьевна</v>
          </cell>
          <cell r="D1230">
            <v>79067819144</v>
          </cell>
          <cell r="G1230">
            <v>89067819144</v>
          </cell>
        </row>
        <row r="1231">
          <cell r="B1231" t="str">
            <v>Майоров Олег Владимирович</v>
          </cell>
          <cell r="D1231">
            <v>79089505301</v>
          </cell>
          <cell r="G1231">
            <v>79089505301</v>
          </cell>
        </row>
        <row r="1232">
          <cell r="B1232" t="str">
            <v>Карчун Вероника Витальевна</v>
          </cell>
          <cell r="D1232">
            <v>79776755972</v>
          </cell>
          <cell r="G1232">
            <v>79776755972</v>
          </cell>
        </row>
        <row r="1233">
          <cell r="B1233" t="str">
            <v>Понкратьев Александр Алексеевич</v>
          </cell>
          <cell r="D1233">
            <v>79602221022</v>
          </cell>
          <cell r="E1233">
            <v>79260820822</v>
          </cell>
          <cell r="G1233">
            <v>79602221022</v>
          </cell>
        </row>
        <row r="1234">
          <cell r="B1234" t="str">
            <v>Рузавина Наталья Викторовна</v>
          </cell>
          <cell r="D1234">
            <v>79134929319</v>
          </cell>
          <cell r="G1234">
            <v>79134929319</v>
          </cell>
        </row>
        <row r="1235">
          <cell r="B1235" t="str">
            <v>Ахметова Елена Леонидовна</v>
          </cell>
          <cell r="D1235">
            <v>79223224806</v>
          </cell>
          <cell r="G1235">
            <v>79223224806</v>
          </cell>
        </row>
        <row r="1236">
          <cell r="B1236" t="str">
            <v>Елизарова Виктория Андреевна</v>
          </cell>
          <cell r="D1236">
            <v>79006503653</v>
          </cell>
          <cell r="G1236">
            <v>89006503653</v>
          </cell>
        </row>
        <row r="1237">
          <cell r="B1237" t="str">
            <v>Попов Виктор Вячеславович</v>
          </cell>
          <cell r="D1237">
            <v>79032553195</v>
          </cell>
          <cell r="G1237">
            <v>89032553195</v>
          </cell>
        </row>
        <row r="1238">
          <cell r="B1238" t="str">
            <v>Надеев Алексей Александрович</v>
          </cell>
          <cell r="D1238">
            <v>79160417078</v>
          </cell>
          <cell r="G1238">
            <v>89160417078</v>
          </cell>
        </row>
        <row r="1239">
          <cell r="B1239" t="str">
            <v>Стрельникова Татьяна Владимировна</v>
          </cell>
          <cell r="D1239">
            <v>79268711354</v>
          </cell>
          <cell r="G1239">
            <v>79268711354</v>
          </cell>
        </row>
        <row r="1240">
          <cell r="B1240" t="str">
            <v>Паносян Эдуард Айрапетович</v>
          </cell>
          <cell r="D1240">
            <v>79646447151</v>
          </cell>
          <cell r="G1240">
            <v>79646447151</v>
          </cell>
        </row>
        <row r="1241">
          <cell r="B1241" t="str">
            <v>Насибуллин Илья Назипович</v>
          </cell>
          <cell r="D1241">
            <v>79371714141</v>
          </cell>
          <cell r="G1241">
            <v>89371714141</v>
          </cell>
        </row>
        <row r="1242">
          <cell r="B1242" t="str">
            <v>Пустовойтов Сергей Николаевич</v>
          </cell>
          <cell r="D1242">
            <v>79629392967</v>
          </cell>
          <cell r="G1242">
            <v>89629392967</v>
          </cell>
        </row>
        <row r="1243">
          <cell r="B1243" t="str">
            <v>Шергин Федор Сергеевич</v>
          </cell>
          <cell r="D1243">
            <v>79209788666</v>
          </cell>
          <cell r="E1243">
            <v>79209788666</v>
          </cell>
          <cell r="G1243">
            <v>79209788666</v>
          </cell>
        </row>
        <row r="1244">
          <cell r="B1244" t="str">
            <v>Борисов Александр Михайлович</v>
          </cell>
          <cell r="D1244">
            <v>79671182255</v>
          </cell>
          <cell r="G1244">
            <v>89671182255</v>
          </cell>
        </row>
        <row r="1245">
          <cell r="B1245" t="str">
            <v>Говоруха Андрей Михайлович</v>
          </cell>
          <cell r="D1245">
            <v>79197535350</v>
          </cell>
          <cell r="G1245">
            <v>79197535350</v>
          </cell>
        </row>
        <row r="1246">
          <cell r="B1246" t="str">
            <v>Тряпко Владимир Александрович</v>
          </cell>
          <cell r="D1246">
            <v>79165483213</v>
          </cell>
          <cell r="G1246">
            <v>79165483213</v>
          </cell>
        </row>
        <row r="1247">
          <cell r="B1247" t="str">
            <v>Гончарь Юрий Валерьевич</v>
          </cell>
          <cell r="D1247">
            <v>79020475456</v>
          </cell>
          <cell r="G1247">
            <v>79020475456</v>
          </cell>
        </row>
        <row r="1248">
          <cell r="B1248" t="str">
            <v>Палоян Самвел Максимович</v>
          </cell>
          <cell r="D1248">
            <v>79033874777</v>
          </cell>
          <cell r="G1248">
            <v>89033874777</v>
          </cell>
        </row>
        <row r="1249">
          <cell r="B1249" t="str">
            <v>Кочнева Наталья Николаевна</v>
          </cell>
          <cell r="D1249">
            <v>79995636451</v>
          </cell>
          <cell r="E1249">
            <v>79923341175</v>
          </cell>
          <cell r="G1249">
            <v>79995636451</v>
          </cell>
        </row>
        <row r="1250">
          <cell r="B1250" t="str">
            <v>Шевченко Оксана Анатольевна</v>
          </cell>
          <cell r="D1250">
            <v>79280123970</v>
          </cell>
          <cell r="G1250">
            <v>79280123970</v>
          </cell>
        </row>
        <row r="1251">
          <cell r="B1251" t="str">
            <v>Погосян Давид Грачьяевич</v>
          </cell>
          <cell r="D1251">
            <v>79250295009</v>
          </cell>
          <cell r="G1251">
            <v>89250295009</v>
          </cell>
        </row>
        <row r="1252">
          <cell r="B1252" t="str">
            <v>Виноградова Светлана Витальевна</v>
          </cell>
          <cell r="D1252">
            <v>79262100201</v>
          </cell>
          <cell r="G1252">
            <v>89262100201</v>
          </cell>
        </row>
        <row r="1253">
          <cell r="B1253" t="str">
            <v>Матарыко Александр Валерьевич</v>
          </cell>
          <cell r="D1253">
            <v>79885265904</v>
          </cell>
          <cell r="G1253">
            <v>89885265904</v>
          </cell>
        </row>
        <row r="1254">
          <cell r="B1254" t="str">
            <v>Аристанов Булат Рахметунлаевич</v>
          </cell>
          <cell r="D1254">
            <v>79052130429</v>
          </cell>
          <cell r="G1254">
            <v>89052130429</v>
          </cell>
        </row>
        <row r="1255">
          <cell r="B1255" t="str">
            <v>Белов Вячеслав Сергеевич</v>
          </cell>
          <cell r="D1255">
            <v>79771172294</v>
          </cell>
          <cell r="G1255">
            <v>89771172294</v>
          </cell>
        </row>
        <row r="1256">
          <cell r="B1256" t="str">
            <v>Пантелеев Даниил Александрович</v>
          </cell>
          <cell r="D1256">
            <v>79996211495</v>
          </cell>
          <cell r="G1256">
            <v>79996211495</v>
          </cell>
        </row>
        <row r="1257">
          <cell r="B1257" t="str">
            <v>Тонконогов Артем Андреевич</v>
          </cell>
          <cell r="D1257">
            <v>79209336766</v>
          </cell>
          <cell r="G1257">
            <v>79209336766</v>
          </cell>
        </row>
        <row r="1258">
          <cell r="B1258" t="str">
            <v>Савчук Елена Александровна</v>
          </cell>
          <cell r="D1258">
            <v>79652999878</v>
          </cell>
          <cell r="G1258">
            <v>89652999878</v>
          </cell>
        </row>
        <row r="1259">
          <cell r="B1259" t="str">
            <v>Шилов Владимир Васильевич</v>
          </cell>
          <cell r="D1259">
            <v>79267991516</v>
          </cell>
          <cell r="G1259">
            <v>89267991516</v>
          </cell>
        </row>
        <row r="1260">
          <cell r="B1260" t="str">
            <v>Шестаков Евгений Николаевич</v>
          </cell>
          <cell r="D1260">
            <v>79213878387</v>
          </cell>
          <cell r="G1260">
            <v>89213878387</v>
          </cell>
        </row>
        <row r="1261">
          <cell r="B1261" t="str">
            <v>Рябов Игорь Владимирович</v>
          </cell>
          <cell r="D1261">
            <v>79104846827</v>
          </cell>
          <cell r="G1261">
            <v>79104846827</v>
          </cell>
        </row>
        <row r="1262">
          <cell r="B1262" t="str">
            <v>Кутепов Виктор Николаевич</v>
          </cell>
          <cell r="D1262">
            <v>79911121011</v>
          </cell>
          <cell r="G1262">
            <v>79911121011</v>
          </cell>
        </row>
        <row r="1263">
          <cell r="B1263" t="str">
            <v>Аджаматова Рашия Магомеднуриевна</v>
          </cell>
          <cell r="D1263">
            <v>79266140916</v>
          </cell>
          <cell r="G1263">
            <v>79266140916</v>
          </cell>
        </row>
        <row r="1264">
          <cell r="B1264" t="str">
            <v>Спиридонов Сергей Владимирович</v>
          </cell>
          <cell r="D1264">
            <v>79167958397</v>
          </cell>
          <cell r="G1264">
            <v>89167958397</v>
          </cell>
        </row>
        <row r="1265">
          <cell r="B1265" t="str">
            <v>Кравченко Владимир Николаевич</v>
          </cell>
          <cell r="D1265">
            <v>79091500039</v>
          </cell>
          <cell r="G1265">
            <v>89091500039</v>
          </cell>
        </row>
        <row r="1266">
          <cell r="B1266" t="str">
            <v>Михеев Александр Павлович</v>
          </cell>
          <cell r="D1266">
            <v>79776518458</v>
          </cell>
          <cell r="G1266">
            <v>79776518458</v>
          </cell>
        </row>
        <row r="1267">
          <cell r="B1267" t="str">
            <v>Сиденко Ольга Викторовна</v>
          </cell>
          <cell r="D1267">
            <v>79996313641</v>
          </cell>
          <cell r="E1267">
            <v>79996313641</v>
          </cell>
          <cell r="G1267">
            <v>7999631641</v>
          </cell>
        </row>
        <row r="1268">
          <cell r="B1268" t="str">
            <v>Аракелян Михаил Герасимович</v>
          </cell>
          <cell r="D1268">
            <v>79104212400</v>
          </cell>
          <cell r="G1268">
            <v>79034212400</v>
          </cell>
        </row>
        <row r="1269">
          <cell r="B1269" t="str">
            <v>Петров Артём Валериевич</v>
          </cell>
          <cell r="D1269">
            <v>79787809099</v>
          </cell>
          <cell r="G1269">
            <v>79787809099</v>
          </cell>
        </row>
        <row r="1270">
          <cell r="B1270" t="str">
            <v>Кузьменко Антон Алексеевич</v>
          </cell>
          <cell r="D1270">
            <v>79265959723</v>
          </cell>
          <cell r="G1270">
            <v>79265959723</v>
          </cell>
        </row>
        <row r="1271">
          <cell r="B1271" t="str">
            <v>Гречкин Сергей Петрович</v>
          </cell>
          <cell r="D1271">
            <v>79188891591</v>
          </cell>
          <cell r="G1271">
            <v>79188891591</v>
          </cell>
        </row>
        <row r="1272">
          <cell r="B1272" t="str">
            <v>Кузнецов Алексей Анатольевич</v>
          </cell>
          <cell r="D1272">
            <v>79038153824</v>
          </cell>
          <cell r="G1272">
            <v>89038153824</v>
          </cell>
        </row>
        <row r="1273">
          <cell r="B1273" t="str">
            <v>Мокрицкий Константин Александрович</v>
          </cell>
          <cell r="D1273">
            <v>79165312594</v>
          </cell>
          <cell r="G1273">
            <v>79165312594</v>
          </cell>
        </row>
        <row r="1274">
          <cell r="B1274" t="str">
            <v>Лихачева Мария Николаевна</v>
          </cell>
          <cell r="D1274">
            <v>79144493888</v>
          </cell>
          <cell r="G1274">
            <v>89144493888</v>
          </cell>
        </row>
        <row r="1275">
          <cell r="B1275" t="str">
            <v>Бутов Павел Александрович</v>
          </cell>
          <cell r="D1275">
            <v>79608957993</v>
          </cell>
          <cell r="G1275">
            <v>79608957993</v>
          </cell>
        </row>
        <row r="1276">
          <cell r="B1276" t="str">
            <v>Лапенков Дмитрий Владимирович</v>
          </cell>
          <cell r="D1276">
            <v>79055471148</v>
          </cell>
          <cell r="G1276">
            <v>89055471148</v>
          </cell>
        </row>
        <row r="1277">
          <cell r="B1277" t="str">
            <v>Кострыгина Юлия Викторовна</v>
          </cell>
          <cell r="D1277">
            <v>79267296527</v>
          </cell>
          <cell r="G1277">
            <v>89267296527</v>
          </cell>
        </row>
        <row r="1278">
          <cell r="B1278" t="str">
            <v>Теплякова Оксана Вячеславовна</v>
          </cell>
          <cell r="D1278">
            <v>79678258615</v>
          </cell>
          <cell r="G1278">
            <v>89678258615</v>
          </cell>
        </row>
        <row r="1279">
          <cell r="B1279" t="str">
            <v>Белгер Эрнест Владимирович</v>
          </cell>
          <cell r="D1279">
            <v>79780081478</v>
          </cell>
          <cell r="G1279">
            <v>79780081478</v>
          </cell>
        </row>
        <row r="1280">
          <cell r="B1280" t="str">
            <v>Байтемиров Ахметхан Магарамович</v>
          </cell>
          <cell r="D1280">
            <v>79627567943</v>
          </cell>
          <cell r="G1280">
            <v>79627567943</v>
          </cell>
        </row>
        <row r="1281">
          <cell r="B1281" t="str">
            <v>Хромцова Надежда Владимировна</v>
          </cell>
          <cell r="D1281">
            <v>79032230960</v>
          </cell>
          <cell r="G1281">
            <v>79032230960</v>
          </cell>
        </row>
        <row r="1282">
          <cell r="B1282" t="str">
            <v>Насонов Александр Александрович</v>
          </cell>
          <cell r="D1282">
            <v>79511603201</v>
          </cell>
          <cell r="G1282">
            <v>89511603201</v>
          </cell>
        </row>
        <row r="1283">
          <cell r="B1283" t="str">
            <v>Тарасов Олег Васильевич</v>
          </cell>
          <cell r="C1283" t="str">
            <v>Переверзина Светлана Николаевна</v>
          </cell>
          <cell r="D1283">
            <v>79829081999</v>
          </cell>
          <cell r="F1283">
            <v>79829485076</v>
          </cell>
          <cell r="G1283">
            <v>79829081999</v>
          </cell>
        </row>
        <row r="1284">
          <cell r="B1284" t="str">
            <v>Соловьёв Владимир Павлович</v>
          </cell>
          <cell r="D1284">
            <v>79257376406</v>
          </cell>
          <cell r="G1284">
            <v>89257376406</v>
          </cell>
        </row>
        <row r="1285">
          <cell r="B1285" t="str">
            <v>Ананина Татьяна Григорьевна</v>
          </cell>
          <cell r="D1285">
            <v>79021639695</v>
          </cell>
          <cell r="G1285">
            <v>89021639695</v>
          </cell>
        </row>
        <row r="1286">
          <cell r="B1286" t="str">
            <v>Сбоев Виктор Юрьевич</v>
          </cell>
          <cell r="D1286">
            <v>79167878787</v>
          </cell>
          <cell r="E1286">
            <v>79267878787</v>
          </cell>
          <cell r="G1286">
            <v>79167878787</v>
          </cell>
        </row>
        <row r="1287">
          <cell r="B1287" t="str">
            <v>Мисюк Георгий Анатольевич</v>
          </cell>
          <cell r="G1287">
            <v>79051187073</v>
          </cell>
        </row>
        <row r="1288">
          <cell r="B1288" t="str">
            <v>Файзуллин Марат Равильевич</v>
          </cell>
          <cell r="D1288">
            <v>79030171115</v>
          </cell>
          <cell r="G1288">
            <v>79030171115</v>
          </cell>
        </row>
        <row r="1289">
          <cell r="B1289" t="str">
            <v>Корнилов Александр Дмитриевич</v>
          </cell>
          <cell r="D1289">
            <v>79210981891</v>
          </cell>
          <cell r="G1289">
            <v>79210981891</v>
          </cell>
        </row>
        <row r="1290">
          <cell r="B1290" t="str">
            <v>Марочканич Василий Иванович</v>
          </cell>
          <cell r="D1290">
            <v>79166701820</v>
          </cell>
          <cell r="G1290">
            <v>89166701820</v>
          </cell>
        </row>
        <row r="1291">
          <cell r="B1291" t="str">
            <v>Дзюба Евгений Григорьевич</v>
          </cell>
          <cell r="D1291">
            <v>79243287578</v>
          </cell>
          <cell r="G1291">
            <v>79243287578</v>
          </cell>
        </row>
        <row r="1292">
          <cell r="B1292" t="str">
            <v>Попов Григорий Сергеевич</v>
          </cell>
          <cell r="D1292">
            <v>79691066600</v>
          </cell>
          <cell r="G1292">
            <v>79691066600</v>
          </cell>
        </row>
        <row r="1293">
          <cell r="B1293" t="str">
            <v>Магомедтагиров Ибрахим Мухамадович</v>
          </cell>
          <cell r="D1293">
            <v>79165806666</v>
          </cell>
          <cell r="G1293">
            <v>79165806666</v>
          </cell>
        </row>
        <row r="1294">
          <cell r="B1294" t="str">
            <v>Касутин Евгений Дмитриевич</v>
          </cell>
          <cell r="D1294">
            <v>79261450744</v>
          </cell>
          <cell r="G1294">
            <v>79261450744</v>
          </cell>
        </row>
        <row r="1295">
          <cell r="B1295" t="str">
            <v>Касутина Виктория Алексеевна</v>
          </cell>
          <cell r="D1295">
            <v>79150140495</v>
          </cell>
          <cell r="G1295">
            <v>79150140495</v>
          </cell>
        </row>
        <row r="1296">
          <cell r="B1296" t="str">
            <v>Подчуфарова Лариса Николаевна</v>
          </cell>
          <cell r="D1296">
            <v>79164869058</v>
          </cell>
          <cell r="G1296">
            <v>79164869058</v>
          </cell>
        </row>
        <row r="1297">
          <cell r="B1297" t="str">
            <v>Болквадзе Александр Теймуразович</v>
          </cell>
          <cell r="D1297">
            <v>79857647438</v>
          </cell>
          <cell r="G1297" t="str">
            <v>89857647438, 89104858500</v>
          </cell>
        </row>
        <row r="1298">
          <cell r="B1298" t="str">
            <v>Айрапетянц Гаянэ Вартановна</v>
          </cell>
          <cell r="D1298">
            <v>79035459004</v>
          </cell>
          <cell r="G1298">
            <v>89035459004</v>
          </cell>
        </row>
        <row r="1299">
          <cell r="B1299" t="str">
            <v>Шагинян Геворк Карленович</v>
          </cell>
          <cell r="D1299">
            <v>79265733080</v>
          </cell>
          <cell r="G1299">
            <v>89265733080</v>
          </cell>
        </row>
        <row r="1300">
          <cell r="B1300" t="str">
            <v>Пшеничников Дмитрий Станиславович</v>
          </cell>
          <cell r="D1300">
            <v>79222155131</v>
          </cell>
          <cell r="G1300">
            <v>89222155131</v>
          </cell>
        </row>
        <row r="1301">
          <cell r="B1301" t="str">
            <v>Казаков Александр Викторович</v>
          </cell>
          <cell r="D1301">
            <v>79625559295</v>
          </cell>
          <cell r="G1301">
            <v>79625559295</v>
          </cell>
        </row>
        <row r="1302">
          <cell r="B1302" t="str">
            <v>Андреященко Светлана Анатольевна</v>
          </cell>
          <cell r="D1302">
            <v>79298010070</v>
          </cell>
          <cell r="G1302">
            <v>89296211485</v>
          </cell>
        </row>
        <row r="1303">
          <cell r="B1303" t="str">
            <v>Футыш Оксана Ярославовна</v>
          </cell>
          <cell r="G1303">
            <v>79207063555</v>
          </cell>
        </row>
        <row r="1304">
          <cell r="B1304" t="str">
            <v>Ложкин Денис Юрьевич</v>
          </cell>
          <cell r="D1304">
            <v>79773803362</v>
          </cell>
          <cell r="G1304">
            <v>79773803362</v>
          </cell>
        </row>
        <row r="1305">
          <cell r="B1305" t="str">
            <v>Колобашкин Андрей Владимирович</v>
          </cell>
          <cell r="D1305">
            <v>79852505225</v>
          </cell>
          <cell r="G1305">
            <v>89852505225</v>
          </cell>
        </row>
        <row r="1306">
          <cell r="B1306" t="str">
            <v>Белякова Марина Сергеевна</v>
          </cell>
          <cell r="D1306">
            <v>79283012353</v>
          </cell>
          <cell r="G1306">
            <v>79283012353</v>
          </cell>
        </row>
        <row r="1307">
          <cell r="B1307" t="str">
            <v>Кузнецова Александра Николаевна</v>
          </cell>
          <cell r="D1307">
            <v>79268847323</v>
          </cell>
          <cell r="G1307">
            <v>79268847323</v>
          </cell>
        </row>
        <row r="1308">
          <cell r="B1308" t="str">
            <v>Горбунов Александр Георгиевич</v>
          </cell>
          <cell r="G1308">
            <v>79257780505</v>
          </cell>
        </row>
        <row r="1309">
          <cell r="B1309" t="str">
            <v>Ишутин Станислав Андреевич</v>
          </cell>
          <cell r="D1309">
            <v>79246915179</v>
          </cell>
          <cell r="G1309">
            <v>89246915179</v>
          </cell>
        </row>
        <row r="1310">
          <cell r="B1310" t="str">
            <v>Зайцева Светлана Юрьевна</v>
          </cell>
          <cell r="D1310">
            <v>79517794128</v>
          </cell>
          <cell r="G1310">
            <v>79517794128</v>
          </cell>
        </row>
        <row r="1311">
          <cell r="B1311" t="str">
            <v>Якунчиков Максим Анатольевич</v>
          </cell>
          <cell r="D1311">
            <v>79165971560</v>
          </cell>
          <cell r="G1311">
            <v>89165971560</v>
          </cell>
        </row>
        <row r="1312">
          <cell r="B1312" t="str">
            <v>Богданов Александр Сергеевич</v>
          </cell>
          <cell r="D1312">
            <v>79675332806</v>
          </cell>
          <cell r="G1312">
            <v>79675332806</v>
          </cell>
        </row>
        <row r="1313">
          <cell r="B1313" t="str">
            <v>Алешин Сергей Сергеевич</v>
          </cell>
          <cell r="D1313">
            <v>79775983608</v>
          </cell>
          <cell r="G1313">
            <v>79775983608</v>
          </cell>
        </row>
        <row r="1314">
          <cell r="B1314" t="str">
            <v>Хохлова Ирина Игоревна</v>
          </cell>
          <cell r="D1314">
            <v>79785507555</v>
          </cell>
          <cell r="G1314">
            <v>89785507555</v>
          </cell>
        </row>
        <row r="1315">
          <cell r="B1315" t="str">
            <v>Пушкарева Виолетта Алексеевна</v>
          </cell>
          <cell r="D1315">
            <v>79146692870</v>
          </cell>
          <cell r="G1315">
            <v>89146692870</v>
          </cell>
        </row>
        <row r="1316">
          <cell r="B1316" t="str">
            <v>Масленникова Екатерина Игоревна</v>
          </cell>
        </row>
        <row r="1317">
          <cell r="B1317" t="str">
            <v>Сайфуллин Айнур Чулпанович</v>
          </cell>
          <cell r="D1317">
            <v>79276355045</v>
          </cell>
          <cell r="G1317">
            <v>89276355045</v>
          </cell>
        </row>
        <row r="1318">
          <cell r="B1318" t="str">
            <v>Касаткин Евгений Олегович</v>
          </cell>
          <cell r="D1318">
            <v>79067386886</v>
          </cell>
          <cell r="G1318">
            <v>89067386886</v>
          </cell>
        </row>
        <row r="1319">
          <cell r="B1319" t="str">
            <v>Корелов Виктор Алексеевич</v>
          </cell>
          <cell r="D1319">
            <v>79031435026</v>
          </cell>
          <cell r="G1319">
            <v>79031435026</v>
          </cell>
        </row>
        <row r="1320">
          <cell r="B1320" t="str">
            <v>Мухаев Андрей Игоревич</v>
          </cell>
          <cell r="D1320">
            <v>79094062253</v>
          </cell>
          <cell r="G1320">
            <v>79094062253</v>
          </cell>
        </row>
        <row r="1321">
          <cell r="B1321" t="str">
            <v>Жамлиханов Руслан Мигдятович</v>
          </cell>
          <cell r="D1321">
            <v>79504259973</v>
          </cell>
          <cell r="G1321">
            <v>79504259973</v>
          </cell>
        </row>
        <row r="1322">
          <cell r="B1322" t="str">
            <v>Король Маргарита Игоревна</v>
          </cell>
          <cell r="D1322">
            <v>79189780081</v>
          </cell>
          <cell r="G1322">
            <v>79189780081</v>
          </cell>
        </row>
        <row r="1323">
          <cell r="B1323" t="str">
            <v>Цирамуа Наталия Наполеоновна</v>
          </cell>
          <cell r="D1323">
            <v>79251348884</v>
          </cell>
          <cell r="G1323">
            <v>79251348884</v>
          </cell>
        </row>
        <row r="1324">
          <cell r="B1324" t="str">
            <v>Базаров Атаджан Алланурович</v>
          </cell>
          <cell r="G1324">
            <v>79536201897</v>
          </cell>
        </row>
        <row r="1325">
          <cell r="B1325" t="str">
            <v>Зуева Мария Михайловна</v>
          </cell>
          <cell r="D1325">
            <v>79858917170</v>
          </cell>
          <cell r="G1325">
            <v>89858917170</v>
          </cell>
        </row>
        <row r="1326">
          <cell r="B1326" t="str">
            <v>Певзнер Сергей Ефимович</v>
          </cell>
          <cell r="D1326">
            <v>79787554089</v>
          </cell>
          <cell r="G1326">
            <v>79787554089</v>
          </cell>
        </row>
        <row r="1327">
          <cell r="B1327" t="str">
            <v>Лысак Екатерина Дмитриевна</v>
          </cell>
          <cell r="D1327">
            <v>79873510687</v>
          </cell>
          <cell r="G1327">
            <v>89873510687</v>
          </cell>
        </row>
        <row r="1328">
          <cell r="B1328" t="str">
            <v>Бабичев Геннадий Борисович</v>
          </cell>
          <cell r="D1328">
            <v>79852269001</v>
          </cell>
          <cell r="G1328">
            <v>79852269001</v>
          </cell>
        </row>
        <row r="1329">
          <cell r="B1329" t="str">
            <v>Дорожинская Екатерина Андреевна</v>
          </cell>
          <cell r="D1329">
            <v>79045231800</v>
          </cell>
          <cell r="G1329">
            <v>89045231800</v>
          </cell>
        </row>
        <row r="1330">
          <cell r="B1330" t="str">
            <v>Михайлик Василий Александрович</v>
          </cell>
          <cell r="D1330">
            <v>79246288617</v>
          </cell>
          <cell r="G1330">
            <v>89246288617</v>
          </cell>
        </row>
        <row r="1331">
          <cell r="B1331" t="str">
            <v>Горбачёв Олег Юрьевич</v>
          </cell>
          <cell r="D1331">
            <v>79039678570</v>
          </cell>
          <cell r="G1331">
            <v>89039678570</v>
          </cell>
        </row>
        <row r="1332">
          <cell r="B1332" t="str">
            <v>Барамыков Рамиль Адипович</v>
          </cell>
          <cell r="D1332">
            <v>79629534579</v>
          </cell>
          <cell r="G1332">
            <v>79629534579</v>
          </cell>
        </row>
        <row r="1333">
          <cell r="B1333" t="str">
            <v>Щербаков Владислав Владимирович</v>
          </cell>
          <cell r="D1333">
            <v>79037991513</v>
          </cell>
          <cell r="G1333">
            <v>89037991513</v>
          </cell>
        </row>
        <row r="1334">
          <cell r="B1334" t="str">
            <v>Горбачев Иван Эдуардович</v>
          </cell>
          <cell r="D1334">
            <v>79095704607</v>
          </cell>
          <cell r="G1334">
            <v>89095704607</v>
          </cell>
        </row>
        <row r="1335">
          <cell r="B1335" t="str">
            <v>Афанасенков Андрей Владимирович</v>
          </cell>
          <cell r="D1335">
            <v>79671880888</v>
          </cell>
          <cell r="G1335">
            <v>89671880888</v>
          </cell>
        </row>
        <row r="1336">
          <cell r="B1336" t="str">
            <v>Владимиров Сергей Прохорович</v>
          </cell>
          <cell r="D1336">
            <v>79241777899</v>
          </cell>
          <cell r="G1336">
            <v>79241777899</v>
          </cell>
        </row>
        <row r="1337">
          <cell r="B1337" t="str">
            <v>Омарова Луиза Багамаевна</v>
          </cell>
          <cell r="D1337">
            <v>79663261608</v>
          </cell>
          <cell r="G1337">
            <v>79663261608</v>
          </cell>
        </row>
        <row r="1338">
          <cell r="B1338" t="str">
            <v>Арустамян Диана Артуровна</v>
          </cell>
          <cell r="D1338">
            <v>79892922276</v>
          </cell>
          <cell r="G1338">
            <v>89892922276</v>
          </cell>
        </row>
        <row r="1339">
          <cell r="B1339" t="str">
            <v>Харисов Раниз Мулланурович</v>
          </cell>
          <cell r="D1339">
            <v>79172665812</v>
          </cell>
          <cell r="G1339">
            <v>79172665812</v>
          </cell>
        </row>
        <row r="1340">
          <cell r="B1340" t="str">
            <v>Ермакова Кристина Алексеевна</v>
          </cell>
          <cell r="G1340">
            <v>79031346914</v>
          </cell>
        </row>
        <row r="1341">
          <cell r="B1341" t="str">
            <v>Ермаков Владислав Олегович</v>
          </cell>
          <cell r="G1341">
            <v>79852343377</v>
          </cell>
        </row>
        <row r="1342">
          <cell r="B1342" t="str">
            <v>Панова Наталья Анатольевна</v>
          </cell>
          <cell r="D1342">
            <v>79652991319</v>
          </cell>
          <cell r="G1342">
            <v>79652991319</v>
          </cell>
        </row>
        <row r="1343">
          <cell r="B1343" t="str">
            <v>Виноградов Алексей Валерьевич</v>
          </cell>
          <cell r="D1343">
            <v>79853431147</v>
          </cell>
          <cell r="G1343">
            <v>79853431147</v>
          </cell>
        </row>
        <row r="1344">
          <cell r="B1344" t="str">
            <v>Алешкевич Алексей Викторович</v>
          </cell>
          <cell r="D1344">
            <v>79620558324</v>
          </cell>
          <cell r="G1344">
            <v>79620558324</v>
          </cell>
        </row>
        <row r="1345">
          <cell r="B1345" t="str">
            <v>Водолазкин Александр Юрьевич</v>
          </cell>
          <cell r="D1345">
            <v>79151714744</v>
          </cell>
          <cell r="G1345">
            <v>89151714744</v>
          </cell>
        </row>
        <row r="1346">
          <cell r="B1346" t="str">
            <v>Васильченко Валерий Владимирович</v>
          </cell>
          <cell r="D1346">
            <v>79119503853</v>
          </cell>
          <cell r="G1346">
            <v>79119503853</v>
          </cell>
        </row>
        <row r="1347">
          <cell r="B1347" t="str">
            <v>Двинянина Елена Владимировна</v>
          </cell>
          <cell r="D1347">
            <v>79626794732</v>
          </cell>
          <cell r="G1347">
            <v>79626794732</v>
          </cell>
        </row>
        <row r="1348">
          <cell r="B1348" t="str">
            <v>Шиховцов Игорь Николаевич</v>
          </cell>
          <cell r="D1348">
            <v>79514452677</v>
          </cell>
          <cell r="G1348">
            <v>79514452677</v>
          </cell>
        </row>
        <row r="1349">
          <cell r="B1349" t="str">
            <v>Мжавия Гела Ленгизович</v>
          </cell>
          <cell r="D1349">
            <v>79250690887</v>
          </cell>
          <cell r="G1349">
            <v>79250690887</v>
          </cell>
        </row>
        <row r="1350">
          <cell r="B1350" t="str">
            <v>Круглов Иван Семёнович</v>
          </cell>
          <cell r="D1350">
            <v>79672205225</v>
          </cell>
          <cell r="G1350">
            <v>79672205225</v>
          </cell>
        </row>
        <row r="1351">
          <cell r="B1351" t="str">
            <v>Бурцев Владимир Вячеславович</v>
          </cell>
          <cell r="D1351">
            <v>79818595242</v>
          </cell>
          <cell r="E1351">
            <v>79818595242</v>
          </cell>
          <cell r="G1351">
            <v>89818595242</v>
          </cell>
        </row>
        <row r="1352">
          <cell r="B1352" t="str">
            <v>Ханамиров Ханамир Казахмедович</v>
          </cell>
          <cell r="D1352">
            <v>79884200203</v>
          </cell>
          <cell r="G1352">
            <v>79884200203</v>
          </cell>
        </row>
        <row r="1353">
          <cell r="B1353" t="str">
            <v>Бекетов Алексей Алексеевич</v>
          </cell>
          <cell r="D1353">
            <v>79058318150</v>
          </cell>
          <cell r="G1353">
            <v>89058318150</v>
          </cell>
        </row>
        <row r="1354">
          <cell r="B1354" t="str">
            <v>Зотов Дмитрий Анатольевич</v>
          </cell>
          <cell r="D1354">
            <v>79156605620</v>
          </cell>
          <cell r="G1354">
            <v>79156605620</v>
          </cell>
        </row>
        <row r="1355">
          <cell r="B1355" t="str">
            <v>Пелипенко Алексей Николаевич</v>
          </cell>
          <cell r="D1355">
            <v>79620311278</v>
          </cell>
          <cell r="G1355">
            <v>79620311278</v>
          </cell>
        </row>
        <row r="1356">
          <cell r="B1356" t="str">
            <v>Кошелева Светлана Сергеевна</v>
          </cell>
          <cell r="D1356">
            <v>79671011113</v>
          </cell>
          <cell r="G1356">
            <v>89671011113</v>
          </cell>
        </row>
        <row r="1357">
          <cell r="B1357" t="str">
            <v>Амбарцумян Франц Григорьевич</v>
          </cell>
          <cell r="D1357">
            <v>79295715778</v>
          </cell>
          <cell r="G1357">
            <v>79295715778</v>
          </cell>
        </row>
        <row r="1358">
          <cell r="B1358" t="str">
            <v>Ореховский Евгений Валериевич</v>
          </cell>
          <cell r="D1358">
            <v>79675373839</v>
          </cell>
          <cell r="G1358">
            <v>79675373839</v>
          </cell>
        </row>
        <row r="1359">
          <cell r="B1359" t="str">
            <v>Емелин Сергей Анатольевич</v>
          </cell>
          <cell r="D1359">
            <v>79536694040</v>
          </cell>
          <cell r="G1359">
            <v>79536694040</v>
          </cell>
        </row>
        <row r="1360">
          <cell r="B1360" t="str">
            <v>Петухов Евгений Владимирович</v>
          </cell>
          <cell r="D1360">
            <v>79213566544</v>
          </cell>
          <cell r="G1360">
            <v>79213566544</v>
          </cell>
        </row>
        <row r="1361">
          <cell r="B1361" t="str">
            <v>Меликян Нона Арменовна</v>
          </cell>
          <cell r="D1361">
            <v>79286075151</v>
          </cell>
          <cell r="G1361">
            <v>79286075151</v>
          </cell>
        </row>
        <row r="1362">
          <cell r="B1362" t="str">
            <v>Шалдыбин Данил Геннадьевич</v>
          </cell>
          <cell r="D1362">
            <v>79873909101</v>
          </cell>
          <cell r="G1362">
            <v>79873909101</v>
          </cell>
        </row>
        <row r="1363">
          <cell r="B1363" t="str">
            <v>Иванов Александр Сергеевич</v>
          </cell>
          <cell r="D1363">
            <v>79162049438</v>
          </cell>
          <cell r="G1363">
            <v>79162049438</v>
          </cell>
        </row>
        <row r="1364">
          <cell r="B1364" t="str">
            <v>Панова Наталья Анатольевна</v>
          </cell>
          <cell r="D1364">
            <v>79652991319</v>
          </cell>
          <cell r="G1364">
            <v>79652991319</v>
          </cell>
        </row>
        <row r="1365">
          <cell r="B1365" t="str">
            <v>Золотов Олег Владимирович</v>
          </cell>
          <cell r="D1365">
            <v>79011757052</v>
          </cell>
          <cell r="G1365">
            <v>79011757052</v>
          </cell>
        </row>
        <row r="1366">
          <cell r="B1366" t="str">
            <v>Бикиева Ольга Альбертовна</v>
          </cell>
          <cell r="D1366">
            <v>79135623869</v>
          </cell>
          <cell r="G1366">
            <v>79135623869</v>
          </cell>
        </row>
        <row r="1367">
          <cell r="B1367" t="str">
            <v>Юдин Александр Сергеевич</v>
          </cell>
          <cell r="D1367">
            <v>79099951765</v>
          </cell>
          <cell r="G1367">
            <v>89099951765</v>
          </cell>
        </row>
        <row r="1368">
          <cell r="B1368" t="str">
            <v>Курнакова Надежда Александровна</v>
          </cell>
          <cell r="D1368">
            <v>79517587421</v>
          </cell>
          <cell r="G1368">
            <v>79517587421</v>
          </cell>
        </row>
        <row r="1369">
          <cell r="B1369" t="str">
            <v>Султанова Анна Валерьевна</v>
          </cell>
          <cell r="D1369">
            <v>79263845053</v>
          </cell>
          <cell r="G1369">
            <v>79263845053</v>
          </cell>
        </row>
        <row r="1370">
          <cell r="B1370" t="str">
            <v>Тертишник Павел Валерьевич</v>
          </cell>
          <cell r="D1370">
            <v>79168487359</v>
          </cell>
          <cell r="G1370">
            <v>79168487359</v>
          </cell>
        </row>
        <row r="1371">
          <cell r="B1371" t="str">
            <v>Локшина Ольга Владимировна</v>
          </cell>
          <cell r="D1371">
            <v>79194867647</v>
          </cell>
          <cell r="G1371">
            <v>89194867647</v>
          </cell>
        </row>
        <row r="1372">
          <cell r="B1372" t="str">
            <v>Самошин Дмитрий Сергеевич</v>
          </cell>
          <cell r="D1372">
            <v>79778016312</v>
          </cell>
          <cell r="G1372">
            <v>79778016312</v>
          </cell>
        </row>
        <row r="1373">
          <cell r="B1373" t="str">
            <v>Лапкин Руслан Евгеньевич</v>
          </cell>
          <cell r="D1373">
            <v>79037209373</v>
          </cell>
          <cell r="G1373">
            <v>79037209373</v>
          </cell>
        </row>
        <row r="1374">
          <cell r="B1374" t="str">
            <v>Соколов Сергей Юрьевич</v>
          </cell>
          <cell r="D1374">
            <v>79096579794</v>
          </cell>
          <cell r="G1374">
            <v>79096579794</v>
          </cell>
        </row>
        <row r="1375">
          <cell r="B1375" t="str">
            <v>Ичалов Абдула Гаджиахмедович</v>
          </cell>
          <cell r="D1375">
            <v>79260945209</v>
          </cell>
          <cell r="G1375">
            <v>79260945209</v>
          </cell>
        </row>
        <row r="1376">
          <cell r="B1376" t="str">
            <v>Сывороткин Сергей Валентинович</v>
          </cell>
          <cell r="D1376">
            <v>79616120056</v>
          </cell>
          <cell r="G1376">
            <v>79616120056</v>
          </cell>
        </row>
        <row r="1377">
          <cell r="B1377" t="str">
            <v>Завойских Станислав Вадимович</v>
          </cell>
          <cell r="D1377">
            <v>79168261965</v>
          </cell>
          <cell r="G1377">
            <v>89168261965</v>
          </cell>
        </row>
        <row r="1378">
          <cell r="B1378" t="str">
            <v>Кострюков Сергей Вячеславович</v>
          </cell>
          <cell r="D1378">
            <v>79999709808</v>
          </cell>
          <cell r="G1378">
            <v>89999709808</v>
          </cell>
        </row>
        <row r="1379">
          <cell r="B1379" t="str">
            <v>Макаренко Инна Сергеевна</v>
          </cell>
          <cell r="D1379">
            <v>79233395323</v>
          </cell>
          <cell r="G1379">
            <v>79233395323</v>
          </cell>
        </row>
        <row r="1380">
          <cell r="B1380" t="str">
            <v>Воробьев Андрей Владимирович</v>
          </cell>
          <cell r="D1380">
            <v>79177570712</v>
          </cell>
          <cell r="E1380">
            <v>79272369726</v>
          </cell>
          <cell r="G1380">
            <v>79177570712</v>
          </cell>
        </row>
        <row r="1381">
          <cell r="B1381" t="str">
            <v>Султанов Салим Исламович</v>
          </cell>
          <cell r="D1381">
            <v>79998708670</v>
          </cell>
          <cell r="G1381">
            <v>79998708670</v>
          </cell>
        </row>
        <row r="1382">
          <cell r="B1382" t="str">
            <v>Нефедова Елена Викторовна</v>
          </cell>
          <cell r="D1382">
            <v>79055695968</v>
          </cell>
          <cell r="G1382">
            <v>89055695968</v>
          </cell>
        </row>
        <row r="1383">
          <cell r="B1383" t="str">
            <v>Багаев Феликс Давидович</v>
          </cell>
          <cell r="D1383">
            <v>79854114106</v>
          </cell>
          <cell r="G1383">
            <v>79854114106</v>
          </cell>
        </row>
        <row r="1384">
          <cell r="B1384" t="str">
            <v>Новиков Артем Дмитриевич</v>
          </cell>
          <cell r="D1384">
            <v>79150153386</v>
          </cell>
          <cell r="G1384">
            <v>89150153386</v>
          </cell>
        </row>
        <row r="1385">
          <cell r="B1385" t="str">
            <v>Белов Александр Сергеевич</v>
          </cell>
          <cell r="D1385">
            <v>79099391969</v>
          </cell>
          <cell r="G1385" t="str">
            <v>89099391969, 89150126184</v>
          </cell>
        </row>
        <row r="1386">
          <cell r="B1386" t="str">
            <v>Юн Вадим Вячеславович</v>
          </cell>
          <cell r="D1386">
            <v>79016581077</v>
          </cell>
          <cell r="G1386">
            <v>79016581077</v>
          </cell>
        </row>
        <row r="1387">
          <cell r="B1387" t="str">
            <v>Силуков Александр Андреевич</v>
          </cell>
          <cell r="D1387">
            <v>79002057600</v>
          </cell>
          <cell r="G1387">
            <v>79002057600</v>
          </cell>
        </row>
        <row r="1388">
          <cell r="B1388" t="str">
            <v>Сариди Михаил Арсенович</v>
          </cell>
          <cell r="D1388">
            <v>79258228888</v>
          </cell>
          <cell r="G1388">
            <v>79258228888</v>
          </cell>
        </row>
        <row r="1389">
          <cell r="B1389" t="str">
            <v>Силкин Максим Алексеевич</v>
          </cell>
          <cell r="D1389">
            <v>79653030110</v>
          </cell>
          <cell r="G1389">
            <v>79653030110</v>
          </cell>
        </row>
        <row r="1390">
          <cell r="B1390" t="str">
            <v>Федоров Александр Николаевич</v>
          </cell>
          <cell r="D1390">
            <v>79251110528</v>
          </cell>
          <cell r="G1390">
            <v>79251110528</v>
          </cell>
        </row>
        <row r="1391">
          <cell r="B1391" t="str">
            <v>Никулкин Андрей Викторович</v>
          </cell>
          <cell r="D1391">
            <v>79069003891</v>
          </cell>
          <cell r="G1391">
            <v>79069003891</v>
          </cell>
        </row>
        <row r="1392">
          <cell r="B1392" t="str">
            <v>Абдул Каюм Мохаммад Рахим</v>
          </cell>
          <cell r="D1392">
            <v>79260797820</v>
          </cell>
          <cell r="G1392">
            <v>89260797820</v>
          </cell>
        </row>
        <row r="1393">
          <cell r="B1393" t="str">
            <v>Мустафьева Айтан Таджединовна</v>
          </cell>
          <cell r="D1393">
            <v>79964272738</v>
          </cell>
          <cell r="G1393">
            <v>79964272738</v>
          </cell>
        </row>
        <row r="1394">
          <cell r="B1394" t="str">
            <v>Шевченко Евгений Вячеславович</v>
          </cell>
          <cell r="D1394">
            <v>79618018181</v>
          </cell>
          <cell r="G1394">
            <v>79618018181</v>
          </cell>
        </row>
        <row r="1395">
          <cell r="B1395" t="str">
            <v>Кондратюк Алексей Николаевич</v>
          </cell>
          <cell r="D1395">
            <v>79303799999</v>
          </cell>
          <cell r="G1395">
            <v>79303799999</v>
          </cell>
        </row>
        <row r="1396">
          <cell r="B1396" t="str">
            <v>Хадж Муса Аладдин</v>
          </cell>
          <cell r="D1396">
            <v>79104955005</v>
          </cell>
          <cell r="G1396">
            <v>79104955005</v>
          </cell>
        </row>
        <row r="1397">
          <cell r="B1397" t="str">
            <v>Алексанян Роберт Робертович</v>
          </cell>
          <cell r="D1397">
            <v>79992078749</v>
          </cell>
          <cell r="G1397">
            <v>79992078749</v>
          </cell>
        </row>
        <row r="1398">
          <cell r="B1398" t="str">
            <v>Алахвердиев Насиб Тахирович</v>
          </cell>
          <cell r="D1398">
            <v>79269281888</v>
          </cell>
          <cell r="G1398">
            <v>79269281888</v>
          </cell>
        </row>
        <row r="1399">
          <cell r="B1399" t="str">
            <v>Мусаев Заурбек Хадживелиевич</v>
          </cell>
          <cell r="D1399">
            <v>89055340899</v>
          </cell>
          <cell r="G1399">
            <v>79055340899</v>
          </cell>
        </row>
        <row r="1400">
          <cell r="B1400" t="str">
            <v>Зайцев Владимир Васильевич</v>
          </cell>
          <cell r="D1400">
            <v>79091638358</v>
          </cell>
          <cell r="G1400">
            <v>79091638358</v>
          </cell>
        </row>
        <row r="1401">
          <cell r="B1401" t="str">
            <v>Курехян Жорж Эдуардович</v>
          </cell>
          <cell r="G1401">
            <v>79610700909</v>
          </cell>
        </row>
        <row r="1402">
          <cell r="B1402" t="str">
            <v>Амбросиенко Павел Сергеевич</v>
          </cell>
          <cell r="D1402">
            <v>79996051996</v>
          </cell>
          <cell r="G1402">
            <v>79996051996</v>
          </cell>
        </row>
        <row r="1403">
          <cell r="B1403" t="str">
            <v>Шерстнев Дмитрий Андреевич</v>
          </cell>
          <cell r="D1403">
            <v>79787689635</v>
          </cell>
          <cell r="G1403">
            <v>79787689635</v>
          </cell>
        </row>
        <row r="1404">
          <cell r="B1404" t="str">
            <v>Ускирева Наталья Владимировна</v>
          </cell>
          <cell r="D1404">
            <v>79133053949</v>
          </cell>
          <cell r="G1404">
            <v>79133053949</v>
          </cell>
        </row>
        <row r="1405">
          <cell r="B1405" t="str">
            <v>Дорохин Артем Олегович</v>
          </cell>
          <cell r="D1405">
            <v>79807420517</v>
          </cell>
          <cell r="G1405">
            <v>79807420517</v>
          </cell>
        </row>
        <row r="1406">
          <cell r="B1406" t="str">
            <v>Мерцалов Константин Вадимович</v>
          </cell>
          <cell r="D1406">
            <v>79297750693</v>
          </cell>
          <cell r="G1406">
            <v>79297750693</v>
          </cell>
        </row>
        <row r="1407">
          <cell r="B1407" t="str">
            <v>Сапиева Суанда Анчоковна</v>
          </cell>
          <cell r="D1407">
            <v>79628780000</v>
          </cell>
          <cell r="G1407">
            <v>79628780000</v>
          </cell>
        </row>
        <row r="1408">
          <cell r="B1408" t="str">
            <v>Галивец Андрей Олегович</v>
          </cell>
          <cell r="D1408">
            <v>79995551774</v>
          </cell>
          <cell r="G1408">
            <v>79995551774</v>
          </cell>
        </row>
        <row r="1409">
          <cell r="B1409" t="str">
            <v>Росляков Олег Николаевич</v>
          </cell>
          <cell r="D1409">
            <v>79617141702</v>
          </cell>
          <cell r="G1409">
            <v>79617141702</v>
          </cell>
        </row>
        <row r="1410">
          <cell r="B1410" t="str">
            <v>Смирнов Игорь Александрович</v>
          </cell>
          <cell r="D1410">
            <v>79646299696</v>
          </cell>
          <cell r="G1410">
            <v>89646299696</v>
          </cell>
        </row>
        <row r="1411">
          <cell r="B1411" t="str">
            <v>Джангуланова Амина Бауржановна</v>
          </cell>
          <cell r="D1411">
            <v>79889362730</v>
          </cell>
          <cell r="G1411">
            <v>79889362730</v>
          </cell>
        </row>
        <row r="1412">
          <cell r="B1412" t="str">
            <v>Кудаев Марат Арсенович</v>
          </cell>
          <cell r="D1412">
            <v>79999815353</v>
          </cell>
          <cell r="G1412">
            <v>79999815353</v>
          </cell>
        </row>
        <row r="1413">
          <cell r="B1413" t="str">
            <v>Ибрагимов Асхаб Ибрагимович</v>
          </cell>
          <cell r="D1413">
            <v>79672545999</v>
          </cell>
          <cell r="G1413">
            <v>89672545999</v>
          </cell>
        </row>
        <row r="1414">
          <cell r="B1414" t="str">
            <v>Музыка Марина Александровна</v>
          </cell>
          <cell r="D1414">
            <v>79260298384</v>
          </cell>
          <cell r="G1414">
            <v>79260298384</v>
          </cell>
        </row>
        <row r="1415">
          <cell r="B1415" t="str">
            <v>Кандаков Хайдарали Махмадрузиевич</v>
          </cell>
          <cell r="D1415">
            <v>79855155844</v>
          </cell>
          <cell r="G1415">
            <v>79855155844</v>
          </cell>
        </row>
        <row r="1416">
          <cell r="B1416" t="str">
            <v>Агузов Мурат Вячеславович</v>
          </cell>
          <cell r="D1416">
            <v>79380282288</v>
          </cell>
          <cell r="G1416">
            <v>79380282288</v>
          </cell>
        </row>
        <row r="1417">
          <cell r="B1417" t="str">
            <v>Паронян Егор Каренович</v>
          </cell>
          <cell r="D1417">
            <v>79257145406</v>
          </cell>
          <cell r="G1417">
            <v>79257145406</v>
          </cell>
        </row>
        <row r="1418">
          <cell r="B1418" t="str">
            <v>Булатова Оксана Валерьевна</v>
          </cell>
          <cell r="D1418">
            <v>79882475444</v>
          </cell>
          <cell r="G1418">
            <v>79882475444</v>
          </cell>
        </row>
        <row r="1419">
          <cell r="B1419" t="str">
            <v>Булатов Даниил Владимирович</v>
          </cell>
          <cell r="D1419">
            <v>79181817533</v>
          </cell>
          <cell r="G1419">
            <v>79181817533</v>
          </cell>
        </row>
        <row r="1420">
          <cell r="B1420" t="str">
            <v>Таран Валерий Григорьевич</v>
          </cell>
          <cell r="D1420">
            <v>79184491458</v>
          </cell>
          <cell r="G1420">
            <v>79184491458</v>
          </cell>
        </row>
        <row r="1421">
          <cell r="B1421" t="str">
            <v>Сойников Денис Валерьевич</v>
          </cell>
          <cell r="D1421">
            <v>79852269623</v>
          </cell>
          <cell r="G1421">
            <v>89852269623</v>
          </cell>
        </row>
        <row r="1422">
          <cell r="B1422" t="str">
            <v>Жалилов Руслан Мамасаитович</v>
          </cell>
          <cell r="D1422">
            <v>79261006026</v>
          </cell>
          <cell r="E1422">
            <v>79261006026</v>
          </cell>
          <cell r="G1422">
            <v>79261006026</v>
          </cell>
        </row>
        <row r="1423">
          <cell r="B1423" t="str">
            <v>Горбенко Олег Олегович</v>
          </cell>
          <cell r="D1423">
            <v>79806862303</v>
          </cell>
          <cell r="G1423">
            <v>79186862303</v>
          </cell>
        </row>
        <row r="1424">
          <cell r="B1424" t="str">
            <v>Мандров Вячеслав Александрович</v>
          </cell>
          <cell r="D1424">
            <v>79992164924</v>
          </cell>
          <cell r="G1424">
            <v>79992164924</v>
          </cell>
        </row>
        <row r="1425">
          <cell r="B1425" t="str">
            <v>Арутюнян Карен Варужанович</v>
          </cell>
          <cell r="G1425">
            <v>79788815545</v>
          </cell>
        </row>
        <row r="1426">
          <cell r="B1426" t="str">
            <v>Воронков Сергей Владимирович</v>
          </cell>
          <cell r="D1426">
            <v>79263815241</v>
          </cell>
          <cell r="G1426">
            <v>79263815241</v>
          </cell>
        </row>
        <row r="1427">
          <cell r="B1427" t="str">
            <v>Хайруллин Алексей Зуфарович</v>
          </cell>
          <cell r="D1427">
            <v>79177740858</v>
          </cell>
          <cell r="G1427">
            <v>79177740858</v>
          </cell>
        </row>
        <row r="1428">
          <cell r="B1428" t="str">
            <v>Мовсесян Гарик Вагифович</v>
          </cell>
          <cell r="D1428">
            <v>79093328822</v>
          </cell>
          <cell r="G1428">
            <v>79093328822</v>
          </cell>
        </row>
        <row r="1429">
          <cell r="B1429" t="str">
            <v>Матренин Сергей Викторович</v>
          </cell>
          <cell r="G1429">
            <v>79774447323</v>
          </cell>
        </row>
        <row r="1430">
          <cell r="B1430" t="str">
            <v>Щетников Станислав Александрович</v>
          </cell>
          <cell r="D1430">
            <v>79169286270</v>
          </cell>
          <cell r="G1430">
            <v>79169286270</v>
          </cell>
        </row>
        <row r="1431">
          <cell r="B1431" t="str">
            <v>Серегола Дмитрий Михайлович</v>
          </cell>
          <cell r="D1431">
            <v>79522389764</v>
          </cell>
          <cell r="G1431">
            <v>89522389764</v>
          </cell>
        </row>
        <row r="1432">
          <cell r="B1432" t="str">
            <v>Златин Денис Петрович</v>
          </cell>
          <cell r="D1432">
            <v>79092265724</v>
          </cell>
          <cell r="G1432">
            <v>79092265724</v>
          </cell>
        </row>
        <row r="1433">
          <cell r="B1433" t="str">
            <v>Дортман Ольга Александровна</v>
          </cell>
          <cell r="D1433">
            <v>79645851812</v>
          </cell>
          <cell r="G1433">
            <v>79645851812</v>
          </cell>
        </row>
        <row r="1434">
          <cell r="B1434" t="str">
            <v>Усенко Сергей Константинович</v>
          </cell>
          <cell r="D1434">
            <v>79046317839</v>
          </cell>
          <cell r="G1434">
            <v>79046317839</v>
          </cell>
        </row>
        <row r="1435">
          <cell r="B1435" t="str">
            <v>Васильева Ирина Александровна</v>
          </cell>
          <cell r="D1435">
            <v>79873055995</v>
          </cell>
          <cell r="G1435">
            <v>79873055995</v>
          </cell>
        </row>
        <row r="1436">
          <cell r="B1436" t="str">
            <v>Логинова Татьяна Анатольевна</v>
          </cell>
          <cell r="D1436">
            <v>79539115898</v>
          </cell>
          <cell r="G1436">
            <v>79539115898</v>
          </cell>
        </row>
        <row r="1437">
          <cell r="B1437" t="str">
            <v>Новрузов Марат Абильфас Оглы</v>
          </cell>
          <cell r="D1437">
            <v>79640218461</v>
          </cell>
          <cell r="G1437">
            <v>79640218461</v>
          </cell>
        </row>
        <row r="1438">
          <cell r="B1438" t="str">
            <v>Зайцев Герман Борисович</v>
          </cell>
          <cell r="D1438">
            <v>79082586550</v>
          </cell>
          <cell r="G1438">
            <v>79082586550</v>
          </cell>
        </row>
        <row r="1439">
          <cell r="B1439" t="str">
            <v>Шереметов Мурат Анатольевич</v>
          </cell>
          <cell r="D1439">
            <v>79280092777</v>
          </cell>
          <cell r="G1439">
            <v>89280092777</v>
          </cell>
        </row>
        <row r="1440">
          <cell r="B1440" t="str">
            <v>Агалакова Анжелика Ириковна</v>
          </cell>
          <cell r="D1440">
            <v>79995894101</v>
          </cell>
          <cell r="G1440">
            <v>79995894101</v>
          </cell>
        </row>
        <row r="1441">
          <cell r="B1441" t="str">
            <v>Журавлёв Денис Сергеевич</v>
          </cell>
          <cell r="D1441">
            <v>79229271317</v>
          </cell>
          <cell r="G1441">
            <v>79229271317</v>
          </cell>
        </row>
        <row r="1442">
          <cell r="B1442" t="str">
            <v>Никульченков Сергей Анатольевич</v>
          </cell>
          <cell r="D1442">
            <v>79780184127</v>
          </cell>
          <cell r="G1442">
            <v>79780184127</v>
          </cell>
        </row>
        <row r="1443">
          <cell r="B1443" t="str">
            <v>Мартынов Максим Анатольевич</v>
          </cell>
          <cell r="D1443">
            <v>79779376497</v>
          </cell>
          <cell r="G1443">
            <v>79779376497</v>
          </cell>
        </row>
        <row r="1444">
          <cell r="B1444" t="str">
            <v>Гриценко Дмитрий Владимирович</v>
          </cell>
          <cell r="D1444">
            <v>79379741600</v>
          </cell>
          <cell r="G1444">
            <v>79379741600</v>
          </cell>
        </row>
        <row r="1445">
          <cell r="B1445" t="str">
            <v>Айрапетян Нарек Гайкович</v>
          </cell>
          <cell r="D1445">
            <v>79185287135</v>
          </cell>
          <cell r="G1445">
            <v>79185287135</v>
          </cell>
        </row>
        <row r="1446">
          <cell r="B1446" t="str">
            <v>Абдурашитов Озодбек Мавланжанович</v>
          </cell>
          <cell r="D1446">
            <v>79057756992</v>
          </cell>
          <cell r="G1446">
            <v>89057756992</v>
          </cell>
        </row>
        <row r="1447">
          <cell r="B1447" t="str">
            <v>Султанов Феликс Салаватович</v>
          </cell>
          <cell r="D1447">
            <v>79673777744</v>
          </cell>
          <cell r="G1447">
            <v>79673777744</v>
          </cell>
        </row>
        <row r="1448">
          <cell r="B1448" t="str">
            <v>Сергеев Даниил Борисович</v>
          </cell>
          <cell r="G1448">
            <v>79819406227</v>
          </cell>
        </row>
        <row r="1449">
          <cell r="B1449" t="str">
            <v>Ларичева Ольга Ивановна</v>
          </cell>
          <cell r="D1449">
            <v>79635227014</v>
          </cell>
          <cell r="G1449">
            <v>79635227014</v>
          </cell>
        </row>
        <row r="1450">
          <cell r="B1450" t="str">
            <v>Егоров Павел Евгеньевич</v>
          </cell>
          <cell r="G1450">
            <v>79602316434</v>
          </cell>
        </row>
        <row r="1451">
          <cell r="B1451" t="str">
            <v>Прохорова Лариса Александровна</v>
          </cell>
          <cell r="D1451">
            <v>79536402725</v>
          </cell>
          <cell r="G1451">
            <v>79536402725</v>
          </cell>
        </row>
        <row r="1452">
          <cell r="B1452" t="str">
            <v>Исрапилов Магомед Исрапилович</v>
          </cell>
          <cell r="G1452">
            <v>79676992632</v>
          </cell>
        </row>
        <row r="1453">
          <cell r="B1453" t="str">
            <v>Пеньков Алексей Александрович</v>
          </cell>
          <cell r="D1453">
            <v>79995856356</v>
          </cell>
          <cell r="G1453">
            <v>79995856356</v>
          </cell>
        </row>
        <row r="1454">
          <cell r="B1454" t="str">
            <v>Гаврин Валентин Николаевич</v>
          </cell>
          <cell r="D1454">
            <v>79260416134</v>
          </cell>
          <cell r="G1454">
            <v>79260416134</v>
          </cell>
        </row>
        <row r="1455">
          <cell r="B1455" t="str">
            <v>Сидоренко Надежда Алексеевна</v>
          </cell>
          <cell r="D1455">
            <v>79184037119</v>
          </cell>
          <cell r="G1455">
            <v>79184037119</v>
          </cell>
        </row>
        <row r="1456">
          <cell r="B1456" t="str">
            <v>Ким Александр Эдуардович</v>
          </cell>
          <cell r="D1456">
            <v>79640411161</v>
          </cell>
          <cell r="G1456">
            <v>79640411161</v>
          </cell>
        </row>
        <row r="1457">
          <cell r="B1457" t="str">
            <v>Диакону Сергей Борисович</v>
          </cell>
          <cell r="D1457">
            <v>79653384337</v>
          </cell>
          <cell r="G1457">
            <v>79653384337</v>
          </cell>
        </row>
        <row r="1458">
          <cell r="B1458" t="str">
            <v>Науменко Андрей Николаевич</v>
          </cell>
          <cell r="D1458">
            <v>79237504761</v>
          </cell>
          <cell r="G1458">
            <v>79237504761</v>
          </cell>
        </row>
        <row r="1459">
          <cell r="B1459" t="str">
            <v>Комаров Евгений Николаевич</v>
          </cell>
          <cell r="D1459">
            <v>79232220181</v>
          </cell>
          <cell r="G1459">
            <v>79232220181</v>
          </cell>
        </row>
        <row r="1460">
          <cell r="B1460" t="str">
            <v>Загребельный Юрий Николаевич</v>
          </cell>
          <cell r="D1460">
            <v>79251766003</v>
          </cell>
          <cell r="G1460">
            <v>79251766003</v>
          </cell>
        </row>
        <row r="1461">
          <cell r="B1461" t="str">
            <v>Саркисов Никита Витальевич</v>
          </cell>
          <cell r="D1461">
            <v>79892648701</v>
          </cell>
          <cell r="E1461">
            <v>79892648701</v>
          </cell>
          <cell r="G1461">
            <v>79892648701</v>
          </cell>
        </row>
        <row r="1462">
          <cell r="B1462" t="str">
            <v>Крючковский Сергей Владиславович</v>
          </cell>
          <cell r="D1462">
            <v>79677405071</v>
          </cell>
          <cell r="G1462">
            <v>79677405071</v>
          </cell>
        </row>
        <row r="1463">
          <cell r="B1463" t="str">
            <v>Самохин Николай Александрович</v>
          </cell>
          <cell r="G1463">
            <v>79037409910</v>
          </cell>
        </row>
        <row r="1464">
          <cell r="B1464" t="str">
            <v>Кандаков Хайдарали Махмадрузиевич</v>
          </cell>
          <cell r="D1464">
            <v>79855155844</v>
          </cell>
          <cell r="G1464">
            <v>79855155844</v>
          </cell>
        </row>
        <row r="1465">
          <cell r="B1465" t="str">
            <v>Бархударов Сергей Юрьевич</v>
          </cell>
          <cell r="D1465">
            <v>79099000911</v>
          </cell>
          <cell r="G1465">
            <v>89099000911</v>
          </cell>
        </row>
        <row r="1466">
          <cell r="B1466" t="str">
            <v>Елисеев Вячеслав Викторович</v>
          </cell>
          <cell r="D1466">
            <v>79661279090</v>
          </cell>
          <cell r="G1466">
            <v>79661279090</v>
          </cell>
        </row>
        <row r="1467">
          <cell r="B1467" t="str">
            <v>Вартикян Карен Смбатович</v>
          </cell>
          <cell r="G1467">
            <v>79951139356</v>
          </cell>
        </row>
        <row r="1468">
          <cell r="B1468" t="str">
            <v>Кудрин Роман Анатольевич</v>
          </cell>
          <cell r="G1468">
            <v>79106121114</v>
          </cell>
        </row>
        <row r="1469">
          <cell r="B1469" t="str">
            <v>Гридяева Лариса Павловна</v>
          </cell>
          <cell r="D1469">
            <v>79028711574</v>
          </cell>
          <cell r="G1469">
            <v>79028711574</v>
          </cell>
        </row>
        <row r="1470">
          <cell r="B1470" t="str">
            <v>Блинов Сергей Владимирович</v>
          </cell>
          <cell r="D1470">
            <v>79832020677</v>
          </cell>
          <cell r="G1470">
            <v>79832020677</v>
          </cell>
        </row>
        <row r="1471">
          <cell r="B1471" t="str">
            <v>Кудряшов Савва Романович</v>
          </cell>
          <cell r="D1471">
            <v>79261805555</v>
          </cell>
          <cell r="G1471">
            <v>79261805555</v>
          </cell>
        </row>
        <row r="1472">
          <cell r="B1472" t="str">
            <v>Ахметов Ривкат Багызович</v>
          </cell>
          <cell r="D1472">
            <v>79297934561</v>
          </cell>
          <cell r="G1472">
            <v>79297934561</v>
          </cell>
        </row>
        <row r="1473">
          <cell r="B1473" t="str">
            <v>Махмудов Денис Мамедшарифович</v>
          </cell>
          <cell r="D1473">
            <v>79000099959</v>
          </cell>
          <cell r="G1473">
            <v>79000099959</v>
          </cell>
        </row>
        <row r="1474">
          <cell r="B1474" t="str">
            <v>Мусаев Натиг Байрам Оглы</v>
          </cell>
          <cell r="D1474">
            <v>79219073237</v>
          </cell>
          <cell r="G1474">
            <v>79219073232</v>
          </cell>
        </row>
        <row r="1475">
          <cell r="B1475" t="str">
            <v>Гулканян Наири Гарникович</v>
          </cell>
          <cell r="D1475">
            <v>79261434729</v>
          </cell>
          <cell r="G1475">
            <v>79261434729</v>
          </cell>
        </row>
        <row r="1476">
          <cell r="B1476" t="str">
            <v>Пантелеев Антон Дмитриевич</v>
          </cell>
          <cell r="D1476">
            <v>79771000089</v>
          </cell>
          <cell r="E1476">
            <v>79169343410</v>
          </cell>
          <cell r="G1476">
            <v>79771000089</v>
          </cell>
        </row>
        <row r="1477">
          <cell r="B1477" t="str">
            <v>Бондаренко Александр Александрович</v>
          </cell>
          <cell r="D1477">
            <v>79525901132</v>
          </cell>
          <cell r="E1477">
            <v>79005980224</v>
          </cell>
          <cell r="G1477">
            <v>79525901132</v>
          </cell>
        </row>
        <row r="1478">
          <cell r="B1478" t="str">
            <v>Нагаева Елена Александровна</v>
          </cell>
          <cell r="D1478">
            <v>79149951882</v>
          </cell>
          <cell r="G1478">
            <v>79149951882</v>
          </cell>
        </row>
        <row r="1479">
          <cell r="B1479" t="str">
            <v>Каменев Константин Николаевич</v>
          </cell>
          <cell r="D1479">
            <v>79999722055</v>
          </cell>
          <cell r="G1479">
            <v>79999722055</v>
          </cell>
        </row>
        <row r="1480">
          <cell r="B1480" t="str">
            <v>Бикеев Максим Васильевич</v>
          </cell>
          <cell r="D1480">
            <v>79258884802</v>
          </cell>
          <cell r="G1480">
            <v>79258884802</v>
          </cell>
        </row>
        <row r="1481">
          <cell r="B1481" t="str">
            <v>Эседуллаев Самур Камилович</v>
          </cell>
          <cell r="D1481">
            <v>79311010010</v>
          </cell>
          <cell r="G1481">
            <v>79311010010</v>
          </cell>
        </row>
        <row r="1482">
          <cell r="B1482" t="str">
            <v>Инютин Никита Александрович</v>
          </cell>
          <cell r="D1482">
            <v>79192524444</v>
          </cell>
          <cell r="G1482">
            <v>79192524444</v>
          </cell>
        </row>
        <row r="1483">
          <cell r="B1483" t="str">
            <v>Гулиева Сусан Мубариз Кызы</v>
          </cell>
          <cell r="D1483">
            <v>79913807181</v>
          </cell>
          <cell r="G1483">
            <v>79913807181</v>
          </cell>
        </row>
        <row r="1484">
          <cell r="B1484" t="str">
            <v>Соколова Екатерина Николаевна</v>
          </cell>
          <cell r="D1484">
            <v>79202421917</v>
          </cell>
          <cell r="G1484">
            <v>89202421917</v>
          </cell>
        </row>
        <row r="1485">
          <cell r="B1485" t="str">
            <v>Бакласова Мирабелла Викторовна</v>
          </cell>
          <cell r="D1485">
            <v>79302928808</v>
          </cell>
          <cell r="G1485">
            <v>79302928808</v>
          </cell>
        </row>
        <row r="1486">
          <cell r="B1486" t="str">
            <v>Калинин Андрей Викторович</v>
          </cell>
          <cell r="D1486">
            <v>79161615586</v>
          </cell>
          <cell r="G1486">
            <v>79021615586</v>
          </cell>
        </row>
        <row r="1487">
          <cell r="B1487" t="str">
            <v>Армяновский Сергей Владимирович</v>
          </cell>
          <cell r="D1487">
            <v>79777619786</v>
          </cell>
          <cell r="G1487">
            <v>79777619786</v>
          </cell>
        </row>
        <row r="1488">
          <cell r="B1488" t="str">
            <v>Платонов Николай Владимирович</v>
          </cell>
          <cell r="G1488">
            <v>79821136983</v>
          </cell>
        </row>
        <row r="1489">
          <cell r="B1489" t="str">
            <v>Попов Михаил Александрович</v>
          </cell>
          <cell r="G1489">
            <v>79821033358</v>
          </cell>
        </row>
        <row r="1490">
          <cell r="B1490" t="str">
            <v>Яковлев Борис Викторович</v>
          </cell>
          <cell r="D1490">
            <v>79645796128</v>
          </cell>
          <cell r="G1490">
            <v>79645796128</v>
          </cell>
        </row>
        <row r="1491">
          <cell r="B1491" t="str">
            <v>Пешков Владимир Сергеевич</v>
          </cell>
          <cell r="G1491">
            <v>79615965688</v>
          </cell>
        </row>
        <row r="1492">
          <cell r="B1492" t="str">
            <v>Набойченко Юлия Александровна</v>
          </cell>
          <cell r="G1492">
            <v>79787200413</v>
          </cell>
        </row>
        <row r="1493">
          <cell r="B1493" t="str">
            <v>Чикатуева Джульета Аслановна</v>
          </cell>
          <cell r="D1493">
            <v>79286577777</v>
          </cell>
          <cell r="G1493">
            <v>79286577777</v>
          </cell>
        </row>
        <row r="1494">
          <cell r="B1494" t="str">
            <v>Куканов Максим Владимирович</v>
          </cell>
          <cell r="D1494">
            <v>79162212910</v>
          </cell>
          <cell r="G1494">
            <v>79162212910</v>
          </cell>
        </row>
        <row r="1495">
          <cell r="B1495" t="str">
            <v>Белоусов Валерий Владиславович</v>
          </cell>
          <cell r="D1495">
            <v>79184991950</v>
          </cell>
          <cell r="G1495">
            <v>89184991950</v>
          </cell>
        </row>
        <row r="1496">
          <cell r="B1496" t="str">
            <v>Ратчина Эльвира Олеговна</v>
          </cell>
          <cell r="G1496">
            <v>79197233364</v>
          </cell>
        </row>
        <row r="1497">
          <cell r="B1497" t="str">
            <v>Пивченкова Наталья Александровна</v>
          </cell>
          <cell r="D1497">
            <v>79263206950</v>
          </cell>
          <cell r="G1497">
            <v>79263206950</v>
          </cell>
        </row>
        <row r="1498">
          <cell r="B1498" t="str">
            <v>Савостьянов Илья Сергеевич</v>
          </cell>
          <cell r="D1498">
            <v>79629608240</v>
          </cell>
          <cell r="G1498">
            <v>79629608240</v>
          </cell>
        </row>
        <row r="1499">
          <cell r="B1499" t="str">
            <v>Фатьянов Валерий Михайлович</v>
          </cell>
          <cell r="D1499">
            <v>79996008755</v>
          </cell>
          <cell r="G1499">
            <v>79996008755</v>
          </cell>
        </row>
        <row r="1500">
          <cell r="B1500" t="str">
            <v>Горбачев Денис Леонидович</v>
          </cell>
          <cell r="D1500">
            <v>79312660646</v>
          </cell>
          <cell r="G1500">
            <v>79312660646</v>
          </cell>
        </row>
        <row r="1501">
          <cell r="B1501" t="str">
            <v>Оганесян Ваге Наириович</v>
          </cell>
          <cell r="D1501">
            <v>79661685959</v>
          </cell>
          <cell r="G1501">
            <v>79661685959</v>
          </cell>
        </row>
        <row r="1502">
          <cell r="B1502" t="str">
            <v>Абакумов Алексей Михайлович</v>
          </cell>
          <cell r="D1502">
            <v>79265916535</v>
          </cell>
          <cell r="G1502">
            <v>79265916535</v>
          </cell>
        </row>
        <row r="1503">
          <cell r="B1503" t="str">
            <v>Веселовская Галина Васильевна</v>
          </cell>
          <cell r="D1503">
            <v>79775292388</v>
          </cell>
          <cell r="G1503">
            <v>79775292388</v>
          </cell>
        </row>
        <row r="1504">
          <cell r="B1504" t="str">
            <v>Храмцова Дарья Юрьевна</v>
          </cell>
          <cell r="G1504">
            <v>79206153081</v>
          </cell>
        </row>
        <row r="1505">
          <cell r="B1505" t="str">
            <v>Красников Константин Михайлович</v>
          </cell>
          <cell r="D1505">
            <v>79031850064</v>
          </cell>
          <cell r="G1505">
            <v>89031850064</v>
          </cell>
        </row>
        <row r="1506">
          <cell r="B1506" t="str">
            <v>Мурадян Грачья Юрикович</v>
          </cell>
          <cell r="D1506">
            <v>79660007770</v>
          </cell>
          <cell r="G1506">
            <v>79660007770</v>
          </cell>
        </row>
        <row r="1507">
          <cell r="B1507" t="str">
            <v>Барамыков Рамиль Адипович</v>
          </cell>
          <cell r="D1507">
            <v>79629534579</v>
          </cell>
          <cell r="G1507">
            <v>79629534579</v>
          </cell>
        </row>
        <row r="1508">
          <cell r="B1508" t="str">
            <v>Рахимов Фарход Каримович</v>
          </cell>
          <cell r="D1508">
            <v>79967770177</v>
          </cell>
          <cell r="G1508">
            <v>79967770177</v>
          </cell>
        </row>
        <row r="1509">
          <cell r="B1509" t="str">
            <v>Осмаев Абдул-Латиф Исламович</v>
          </cell>
          <cell r="D1509">
            <v>79887274117</v>
          </cell>
          <cell r="G1509">
            <v>89887274117</v>
          </cell>
        </row>
        <row r="1510">
          <cell r="B1510" t="str">
            <v>Алавердян Аракся Хачиковна</v>
          </cell>
          <cell r="D1510">
            <v>79671714603</v>
          </cell>
          <cell r="G1510">
            <v>79671714603</v>
          </cell>
        </row>
        <row r="1511">
          <cell r="B1511" t="str">
            <v>Терновая Наталия Вячеславовна</v>
          </cell>
          <cell r="D1511">
            <v>79261701103</v>
          </cell>
          <cell r="G1511">
            <v>79261701103</v>
          </cell>
        </row>
        <row r="1512">
          <cell r="B1512" t="str">
            <v>Магомедов Саид Магомедрасулович</v>
          </cell>
          <cell r="D1512">
            <v>79234700010</v>
          </cell>
          <cell r="G1512">
            <v>79234700010</v>
          </cell>
        </row>
        <row r="1513">
          <cell r="B1513" t="str">
            <v>Осмаев Джабраил Исламович</v>
          </cell>
          <cell r="G1513">
            <v>89164682005</v>
          </cell>
        </row>
        <row r="1514">
          <cell r="B1514" t="str">
            <v>Бакиров Теймур Бахрам оглы</v>
          </cell>
          <cell r="D1514">
            <v>79619438260</v>
          </cell>
          <cell r="G1514">
            <v>89619438260</v>
          </cell>
        </row>
        <row r="1515">
          <cell r="B1515" t="str">
            <v>Виноградов Данила Алексеевич</v>
          </cell>
          <cell r="D1515">
            <v>79959974231</v>
          </cell>
          <cell r="G1515">
            <v>79959974231</v>
          </cell>
        </row>
        <row r="1516">
          <cell r="B1516" t="str">
            <v>Элибекян Виген Вагаршакович</v>
          </cell>
          <cell r="G1516">
            <v>79629851010</v>
          </cell>
        </row>
        <row r="1517">
          <cell r="B1517" t="str">
            <v>Липатова Марина Александровна</v>
          </cell>
          <cell r="D1517">
            <v>79002597888</v>
          </cell>
          <cell r="G1517">
            <v>79002597888</v>
          </cell>
        </row>
        <row r="1518">
          <cell r="B1518" t="str">
            <v>Смирнова Наталия Васильевна</v>
          </cell>
          <cell r="D1518">
            <v>79264723692</v>
          </cell>
          <cell r="G1518">
            <v>79264723692</v>
          </cell>
        </row>
        <row r="1519">
          <cell r="B1519" t="str">
            <v>Смирнов Андрей Евгеньевич</v>
          </cell>
          <cell r="G1519">
            <v>79206545207</v>
          </cell>
        </row>
        <row r="1520">
          <cell r="B1520" t="str">
            <v>Марков Владислав Владимирович</v>
          </cell>
          <cell r="G1520">
            <v>79805323834</v>
          </cell>
        </row>
        <row r="1521">
          <cell r="B1521" t="str">
            <v>Егоров Владимир Борисович</v>
          </cell>
          <cell r="D1521">
            <v>79219092868</v>
          </cell>
          <cell r="G1521">
            <v>79219092868</v>
          </cell>
        </row>
        <row r="1522">
          <cell r="B1522" t="str">
            <v>Айвазян Карен Арменович</v>
          </cell>
          <cell r="G1522">
            <v>79853647030</v>
          </cell>
        </row>
        <row r="1523">
          <cell r="B1523" t="str">
            <v>Данелян Рафик Размикович</v>
          </cell>
          <cell r="D1523">
            <v>79151876677</v>
          </cell>
          <cell r="G1523">
            <v>79151876677</v>
          </cell>
        </row>
        <row r="1524">
          <cell r="B1524" t="str">
            <v>Кошевой Андрей Анатольевич</v>
          </cell>
          <cell r="D1524">
            <v>79269094951</v>
          </cell>
          <cell r="G1524">
            <v>89269094951</v>
          </cell>
        </row>
        <row r="1525">
          <cell r="B1525" t="str">
            <v>Павленко Александр Викторович</v>
          </cell>
          <cell r="D1525">
            <v>79800009800</v>
          </cell>
          <cell r="G1525">
            <v>79800009800</v>
          </cell>
        </row>
        <row r="1526">
          <cell r="B1526" t="str">
            <v>Ломакин Александр Валерьевич</v>
          </cell>
          <cell r="G1526">
            <v>89162142226</v>
          </cell>
        </row>
        <row r="1527">
          <cell r="B1527" t="str">
            <v>Ломакина Людмила Викторовна</v>
          </cell>
          <cell r="G1527">
            <v>79162142227</v>
          </cell>
        </row>
        <row r="1528">
          <cell r="B1528" t="str">
            <v>Кожухова Наталья Евгеньевна</v>
          </cell>
          <cell r="G1528">
            <v>79109169642</v>
          </cell>
        </row>
        <row r="1529">
          <cell r="B1529" t="str">
            <v>Ахмедов Магомедрасул Камаладинович</v>
          </cell>
          <cell r="G1529">
            <v>79861111103</v>
          </cell>
        </row>
        <row r="1530">
          <cell r="B1530" t="str">
            <v>Юсупова Екатерина Галимжановна</v>
          </cell>
          <cell r="G1530">
            <v>79085718098</v>
          </cell>
        </row>
        <row r="1531">
          <cell r="B1531" t="str">
            <v>Тарасов Дмитрий Алексеевич</v>
          </cell>
          <cell r="D1531">
            <v>79165046605</v>
          </cell>
          <cell r="G1531">
            <v>89165046605</v>
          </cell>
        </row>
        <row r="1532">
          <cell r="B1532" t="str">
            <v>Светлов Виталий Анатольевич</v>
          </cell>
          <cell r="D1532">
            <v>79219537332</v>
          </cell>
          <cell r="E1532">
            <v>79219537332</v>
          </cell>
          <cell r="G1532">
            <v>79219537332</v>
          </cell>
        </row>
        <row r="1533">
          <cell r="B1533" t="str">
            <v>Петров Юрий Викторович</v>
          </cell>
          <cell r="D1533">
            <v>79111440300</v>
          </cell>
          <cell r="G1533">
            <v>79111440300</v>
          </cell>
        </row>
        <row r="1534">
          <cell r="B1534" t="str">
            <v>Минашвили Юрий Мишаевич</v>
          </cell>
          <cell r="G1534">
            <v>79287712977</v>
          </cell>
        </row>
        <row r="1535">
          <cell r="B1535" t="str">
            <v>Тамбовцев Кирилл Евгеньевич</v>
          </cell>
          <cell r="G1535">
            <v>79031316288</v>
          </cell>
        </row>
        <row r="1536">
          <cell r="B1536" t="str">
            <v>Гриб Юрий Валерьевич</v>
          </cell>
          <cell r="G1536">
            <v>79528209675</v>
          </cell>
        </row>
        <row r="1537">
          <cell r="B1537" t="str">
            <v>Егоян Арарат Хнгяносович</v>
          </cell>
          <cell r="G1537">
            <v>79685452266</v>
          </cell>
        </row>
        <row r="1538">
          <cell r="B1538" t="str">
            <v>Щепин Артём Артурович</v>
          </cell>
          <cell r="D1538">
            <v>79250373497</v>
          </cell>
          <cell r="G1538">
            <v>79250373497</v>
          </cell>
        </row>
        <row r="1539">
          <cell r="B1539" t="str">
            <v>Загорулько Алексей Сергеевич</v>
          </cell>
          <cell r="G1539">
            <v>79654586720</v>
          </cell>
        </row>
        <row r="1540">
          <cell r="B1540" t="str">
            <v>Калядина Кристина Юрьевна</v>
          </cell>
          <cell r="D1540">
            <v>79518558465</v>
          </cell>
          <cell r="G1540">
            <v>79518558465</v>
          </cell>
        </row>
        <row r="1541">
          <cell r="B1541" t="str">
            <v>Сиденко Роман Викторович</v>
          </cell>
          <cell r="D1541">
            <v>79996992736</v>
          </cell>
          <cell r="G1541">
            <v>79996992736</v>
          </cell>
        </row>
        <row r="1542">
          <cell r="B1542" t="str">
            <v>Поплавков Александр Петрович</v>
          </cell>
          <cell r="G1542">
            <v>79254232555</v>
          </cell>
        </row>
        <row r="1543">
          <cell r="B1543" t="str">
            <v>Стрельченкова Мария Владимировна</v>
          </cell>
          <cell r="D1543">
            <v>79660875445</v>
          </cell>
          <cell r="G1543">
            <v>89660875445</v>
          </cell>
        </row>
        <row r="1544">
          <cell r="B1544" t="str">
            <v>Краснокутская Ирина Анатольевна</v>
          </cell>
          <cell r="G1544">
            <v>79819361966</v>
          </cell>
        </row>
        <row r="1545">
          <cell r="B1545" t="str">
            <v>Краснокутский Анатолий Владимирович</v>
          </cell>
          <cell r="G1545">
            <v>79119244780</v>
          </cell>
        </row>
        <row r="1546">
          <cell r="B1546" t="str">
            <v>Лемкин Николай Иванович</v>
          </cell>
          <cell r="G1546">
            <v>79172851122</v>
          </cell>
        </row>
        <row r="1547">
          <cell r="B1547" t="str">
            <v>Бурма Мария Георгиевна</v>
          </cell>
          <cell r="D1547">
            <v>79253310307</v>
          </cell>
          <cell r="G1547">
            <v>79253310307</v>
          </cell>
        </row>
        <row r="1548">
          <cell r="B1548" t="str">
            <v>Куров Владимир Грацианович</v>
          </cell>
          <cell r="D1548">
            <v>79166700238</v>
          </cell>
          <cell r="G1548">
            <v>79166700238</v>
          </cell>
        </row>
        <row r="1549">
          <cell r="B1549" t="str">
            <v>Ерофеева Марина Игоревна</v>
          </cell>
          <cell r="G1549">
            <v>79145195995</v>
          </cell>
        </row>
        <row r="1550">
          <cell r="B1550" t="str">
            <v>Линник Борис Владимирович</v>
          </cell>
          <cell r="G1550">
            <v>79265002272</v>
          </cell>
        </row>
        <row r="1551">
          <cell r="B1551" t="str">
            <v>Комаров Андрей Сергеевич</v>
          </cell>
          <cell r="D1551">
            <v>79185435217</v>
          </cell>
          <cell r="G1551">
            <v>79185435217</v>
          </cell>
        </row>
        <row r="1552">
          <cell r="B1552" t="str">
            <v>Пестерев Андрей Николаевич</v>
          </cell>
          <cell r="G1552">
            <v>89222040824</v>
          </cell>
        </row>
        <row r="1553">
          <cell r="B1553" t="str">
            <v>Мартынко Александра Андреевна</v>
          </cell>
          <cell r="G1553">
            <v>79883677666</v>
          </cell>
        </row>
        <row r="1554">
          <cell r="B1554" t="str">
            <v>Сапожников Станислав Михайлович</v>
          </cell>
          <cell r="G1554">
            <v>79378844883</v>
          </cell>
        </row>
        <row r="1555">
          <cell r="B1555" t="str">
            <v>Бутаков Владимир Владимирович</v>
          </cell>
          <cell r="G1555">
            <v>79193007370</v>
          </cell>
        </row>
        <row r="1556">
          <cell r="B1556" t="str">
            <v>Труханкин Анатолий Васильевич</v>
          </cell>
          <cell r="D1556">
            <v>79877821153</v>
          </cell>
          <cell r="G1556">
            <v>79877821153</v>
          </cell>
        </row>
        <row r="1557">
          <cell r="B1557" t="str">
            <v>Фомичев Павел Петрович</v>
          </cell>
          <cell r="D1557">
            <v>79165909758</v>
          </cell>
          <cell r="G1557">
            <v>79165909758</v>
          </cell>
        </row>
        <row r="1558">
          <cell r="B1558" t="str">
            <v>Макаренко Екатерина Васильевна</v>
          </cell>
          <cell r="D1558">
            <v>79605632818</v>
          </cell>
          <cell r="G1558">
            <v>79605632818</v>
          </cell>
        </row>
        <row r="1559">
          <cell r="B1559" t="str">
            <v>Трахов Заур Шамсудинович</v>
          </cell>
          <cell r="G1559">
            <v>79182202722</v>
          </cell>
        </row>
        <row r="1560">
          <cell r="B1560" t="str">
            <v>Валиков Алексей Анатольевич</v>
          </cell>
          <cell r="D1560">
            <v>79637534949</v>
          </cell>
          <cell r="G1560">
            <v>79637534949</v>
          </cell>
        </row>
        <row r="1561">
          <cell r="B1561" t="str">
            <v>Хайдаров Бехруз Сайдуллоевич</v>
          </cell>
          <cell r="D1561">
            <v>79178658909</v>
          </cell>
          <cell r="G1561">
            <v>79178658909</v>
          </cell>
        </row>
        <row r="1562">
          <cell r="B1562" t="str">
            <v>Кандаков Хайдарали Махмадрузиевич</v>
          </cell>
          <cell r="D1562">
            <v>79855155844</v>
          </cell>
          <cell r="G1562">
            <v>79855155844</v>
          </cell>
        </row>
        <row r="1563">
          <cell r="B1563" t="str">
            <v>Цинская Ольга Игоревна</v>
          </cell>
          <cell r="G1563">
            <v>79096806806</v>
          </cell>
        </row>
        <row r="1564">
          <cell r="B1564" t="str">
            <v>Бутурлакин Марк Николаевич</v>
          </cell>
          <cell r="G1564">
            <v>79204038222</v>
          </cell>
        </row>
        <row r="1565">
          <cell r="B1565" t="str">
            <v>Мордвинцева Елена Александровна</v>
          </cell>
          <cell r="G1565">
            <v>79877848924</v>
          </cell>
        </row>
        <row r="1566">
          <cell r="B1566" t="str">
            <v>Ковтун Денис Александрович</v>
          </cell>
          <cell r="G1566">
            <v>79044400095</v>
          </cell>
        </row>
        <row r="1567">
          <cell r="B1567" t="str">
            <v>Холодков Денис Владимирович</v>
          </cell>
          <cell r="G1567">
            <v>79030058898</v>
          </cell>
        </row>
        <row r="1568">
          <cell r="B1568" t="str">
            <v>Хайдаров Бехруз Сайдуллоевич</v>
          </cell>
          <cell r="D1568">
            <v>79178658909</v>
          </cell>
          <cell r="G1568">
            <v>79178658909</v>
          </cell>
        </row>
        <row r="1569">
          <cell r="B1569" t="str">
            <v>Парфенов Дмитрий Юрьевич</v>
          </cell>
          <cell r="D1569">
            <v>79219440419</v>
          </cell>
          <cell r="G1569">
            <v>79219440419</v>
          </cell>
        </row>
        <row r="1570">
          <cell r="B1570" t="str">
            <v>Сайфуллин Рауль Чулпанович</v>
          </cell>
          <cell r="G1570">
            <v>79377811572</v>
          </cell>
        </row>
        <row r="1571">
          <cell r="B1571" t="str">
            <v>Алешкин Алексей Владиславович</v>
          </cell>
          <cell r="D1571">
            <v>79173144583</v>
          </cell>
          <cell r="G1571">
            <v>79173144583</v>
          </cell>
        </row>
        <row r="1572">
          <cell r="B1572" t="str">
            <v>Ок Мехмет Салим</v>
          </cell>
          <cell r="D1572">
            <v>79185540969</v>
          </cell>
          <cell r="G1572">
            <v>89185540969</v>
          </cell>
        </row>
        <row r="1573">
          <cell r="B1573" t="str">
            <v>Белик Галина Александровна</v>
          </cell>
          <cell r="G1573">
            <v>7927273865</v>
          </cell>
        </row>
        <row r="1574">
          <cell r="B1574" t="str">
            <v>Алиев Рамиль Али Оглы</v>
          </cell>
          <cell r="D1574">
            <v>79166358080</v>
          </cell>
          <cell r="G1574">
            <v>79166358080</v>
          </cell>
        </row>
        <row r="1575">
          <cell r="B1575" t="str">
            <v>Леонова Юлия Вячеславовна</v>
          </cell>
          <cell r="D1575">
            <v>79775819625</v>
          </cell>
          <cell r="G1575">
            <v>79775819625</v>
          </cell>
        </row>
        <row r="1576">
          <cell r="B1576" t="str">
            <v>Шубернецкий Андрей Петрович</v>
          </cell>
          <cell r="D1576">
            <v>79661888666</v>
          </cell>
          <cell r="E1576">
            <v>7966888666</v>
          </cell>
          <cell r="G1576">
            <v>7966888666</v>
          </cell>
        </row>
        <row r="1577">
          <cell r="B1577" t="str">
            <v>Годуйко Николай Николаевич</v>
          </cell>
          <cell r="D1577">
            <v>79113595178</v>
          </cell>
          <cell r="G1577">
            <v>79113595178</v>
          </cell>
        </row>
        <row r="1578">
          <cell r="B1578" t="str">
            <v>Амбарян Манушак Камовна</v>
          </cell>
          <cell r="D1578">
            <v>79151747376</v>
          </cell>
          <cell r="G1578">
            <v>79151747376</v>
          </cell>
        </row>
        <row r="1579">
          <cell r="B1579" t="str">
            <v>Токин Юрий Эдуардович</v>
          </cell>
          <cell r="G1579">
            <v>79778502087</v>
          </cell>
        </row>
        <row r="1580">
          <cell r="B1580" t="str">
            <v>Акопян Мелкон Карапетович</v>
          </cell>
          <cell r="G1580">
            <v>79152989899</v>
          </cell>
        </row>
        <row r="1581">
          <cell r="B1581" t="str">
            <v>Махадибиров Шамиль Магомедханович</v>
          </cell>
          <cell r="G1581">
            <v>79678209099</v>
          </cell>
        </row>
        <row r="1582">
          <cell r="B1582" t="str">
            <v>Бунаков Алексей Вячеславович</v>
          </cell>
          <cell r="D1582">
            <v>79654272020</v>
          </cell>
          <cell r="G1582">
            <v>79654272020</v>
          </cell>
        </row>
        <row r="1583">
          <cell r="B1583" t="str">
            <v>Жолобов Алексей Юрьевич</v>
          </cell>
          <cell r="G1583">
            <v>79637560542</v>
          </cell>
        </row>
        <row r="1584">
          <cell r="B1584" t="str">
            <v>Мамедова Рагиба Алескер Кызы</v>
          </cell>
          <cell r="G1584">
            <v>79100899299</v>
          </cell>
        </row>
        <row r="1585">
          <cell r="B1585" t="str">
            <v>Сытник Александр Владимирович</v>
          </cell>
          <cell r="D1585">
            <v>79806759899</v>
          </cell>
          <cell r="G1585">
            <v>79806759899</v>
          </cell>
        </row>
        <row r="1586">
          <cell r="B1586" t="str">
            <v>Мамалюк Алексей Михайлович</v>
          </cell>
          <cell r="G1586">
            <v>79197761777</v>
          </cell>
        </row>
        <row r="1587">
          <cell r="B1587" t="str">
            <v>Попова Мария Спиридоновна</v>
          </cell>
          <cell r="G1587">
            <v>79383128283</v>
          </cell>
        </row>
        <row r="1588">
          <cell r="B1588" t="str">
            <v>Саблинский Владимир Иванович</v>
          </cell>
          <cell r="D1588">
            <v>79263470289</v>
          </cell>
          <cell r="G1588">
            <v>79263470289</v>
          </cell>
        </row>
        <row r="1589">
          <cell r="B1589" t="str">
            <v>Линючев Дмитрий Владимирович</v>
          </cell>
          <cell r="D1589">
            <v>79200231034</v>
          </cell>
          <cell r="G1589">
            <v>79200231034</v>
          </cell>
        </row>
        <row r="1590">
          <cell r="B1590" t="str">
            <v>Невкипелый Дмитрий Валерьевич</v>
          </cell>
          <cell r="G1590">
            <v>79186930426</v>
          </cell>
        </row>
        <row r="1591">
          <cell r="B1591" t="str">
            <v>Васильчиков Максим Сергеевич</v>
          </cell>
          <cell r="D1591">
            <v>89773334619</v>
          </cell>
          <cell r="G1591">
            <v>79773334619</v>
          </cell>
        </row>
        <row r="1592">
          <cell r="B1592" t="str">
            <v>Маликов Константин Евгеньевич</v>
          </cell>
          <cell r="D1592">
            <v>79166746253</v>
          </cell>
          <cell r="G1592">
            <v>79166746253</v>
          </cell>
        </row>
        <row r="1593">
          <cell r="B1593" t="str">
            <v>Амирханян Эмиль Оганесович</v>
          </cell>
          <cell r="D1593">
            <v>79160538081</v>
          </cell>
          <cell r="G1593">
            <v>79160538081</v>
          </cell>
        </row>
        <row r="1594">
          <cell r="B1594" t="str">
            <v>Амирханян Оганес Николаевич</v>
          </cell>
          <cell r="D1594">
            <v>79037906960</v>
          </cell>
          <cell r="E1594">
            <v>79037906960</v>
          </cell>
          <cell r="G1594">
            <v>79037906960</v>
          </cell>
        </row>
        <row r="1595">
          <cell r="B1595" t="str">
            <v>Худорожков Вячеслав Валерьевич</v>
          </cell>
          <cell r="G1595">
            <v>79826704990</v>
          </cell>
        </row>
        <row r="1596">
          <cell r="B1596" t="str">
            <v>Барсамян Маргарит Сережовна</v>
          </cell>
          <cell r="G1596">
            <v>79180826731</v>
          </cell>
        </row>
        <row r="1597">
          <cell r="B1597" t="str">
            <v>Казачкин Андрей Юрьевич</v>
          </cell>
          <cell r="G1597">
            <v>79176862261</v>
          </cell>
        </row>
        <row r="1598">
          <cell r="B1598" t="str">
            <v>Хрипунов Клим Анатольевич</v>
          </cell>
          <cell r="D1598">
            <v>79280631943</v>
          </cell>
          <cell r="G1598">
            <v>79280631943</v>
          </cell>
        </row>
        <row r="1599">
          <cell r="B1599" t="str">
            <v>Натаров Владимир Валерьевич</v>
          </cell>
          <cell r="D1599">
            <v>79512752606</v>
          </cell>
          <cell r="G1599">
            <v>79512752606</v>
          </cell>
        </row>
        <row r="1600">
          <cell r="B1600" t="str">
            <v>Конуркин Сергей Сергеевич</v>
          </cell>
          <cell r="D1600">
            <v>79166918483</v>
          </cell>
          <cell r="G1600">
            <v>79166918483</v>
          </cell>
        </row>
        <row r="1601">
          <cell r="B1601" t="str">
            <v>Романова Анна Григорьевна</v>
          </cell>
          <cell r="D1601">
            <v>79153885548</v>
          </cell>
          <cell r="G1601">
            <v>89153885548</v>
          </cell>
        </row>
        <row r="1602">
          <cell r="B1602" t="str">
            <v>Погудин Вячеслав Сергеевич</v>
          </cell>
          <cell r="D1602">
            <v>79517690106</v>
          </cell>
          <cell r="G1602">
            <v>79517690106</v>
          </cell>
        </row>
        <row r="1603">
          <cell r="B1603" t="str">
            <v>Гевондян Норайр Беникович</v>
          </cell>
          <cell r="D1603">
            <v>79850970609</v>
          </cell>
          <cell r="G1603">
            <v>79850970609</v>
          </cell>
        </row>
        <row r="1604">
          <cell r="B1604" t="str">
            <v>Гевондян Сергей Норайрович</v>
          </cell>
          <cell r="D1604">
            <v>79099878181</v>
          </cell>
          <cell r="G1604">
            <v>79099878181</v>
          </cell>
        </row>
        <row r="1605">
          <cell r="B1605" t="str">
            <v>Гусейнов Магомед Динисламович</v>
          </cell>
          <cell r="G1605">
            <v>79011808364</v>
          </cell>
        </row>
        <row r="1606">
          <cell r="B1606" t="str">
            <v>Турумбекова Темиркан Кадырбековна</v>
          </cell>
          <cell r="D1606">
            <v>79006229906</v>
          </cell>
          <cell r="G1606">
            <v>89006229906</v>
          </cell>
        </row>
        <row r="1607">
          <cell r="B1607" t="str">
            <v>Смолин Виктор Иванович</v>
          </cell>
          <cell r="G1607">
            <v>79034048781</v>
          </cell>
        </row>
        <row r="1608">
          <cell r="B1608" t="str">
            <v>Варданян Ара Лаврентович</v>
          </cell>
          <cell r="D1608">
            <v>79898099181</v>
          </cell>
          <cell r="G1608">
            <v>79898099181</v>
          </cell>
        </row>
        <row r="1609">
          <cell r="B1609" t="str">
            <v>Тигранян Гор Робертович</v>
          </cell>
          <cell r="D1609">
            <v>79057949299</v>
          </cell>
          <cell r="G1609">
            <v>89057949299</v>
          </cell>
        </row>
        <row r="1610">
          <cell r="B1610" t="str">
            <v>Навоян Георг Анатолевич</v>
          </cell>
          <cell r="G1610">
            <v>79950000030</v>
          </cell>
        </row>
        <row r="1611">
          <cell r="B1611" t="str">
            <v>Калашников Юрий Витальевич</v>
          </cell>
          <cell r="D1611">
            <v>79788555595</v>
          </cell>
          <cell r="G1611">
            <v>79788555595</v>
          </cell>
        </row>
        <row r="1612">
          <cell r="B1612" t="str">
            <v>Аллилуев-Петровский Евгений Викторович</v>
          </cell>
          <cell r="G1612">
            <v>79052568888</v>
          </cell>
        </row>
        <row r="1613">
          <cell r="B1613" t="str">
            <v>Мелоян Вардан Айкович</v>
          </cell>
          <cell r="G1613">
            <v>79251004250</v>
          </cell>
        </row>
        <row r="1614">
          <cell r="B1614" t="str">
            <v>Галактионов Алексей Владимирович</v>
          </cell>
          <cell r="D1614">
            <v>79213210342</v>
          </cell>
          <cell r="G1614" t="str">
            <v>79817000140, 79213210342</v>
          </cell>
        </row>
        <row r="1615">
          <cell r="B1615" t="str">
            <v>Скрябин Сергей Харитонович</v>
          </cell>
          <cell r="G1615">
            <v>79142741040</v>
          </cell>
        </row>
        <row r="1616">
          <cell r="B1616" t="str">
            <v>Чепрасова Галина Александровна</v>
          </cell>
          <cell r="G1616">
            <v>79150326123</v>
          </cell>
        </row>
        <row r="1617">
          <cell r="B1617" t="str">
            <v>Шаламова Татьяна Андреевна</v>
          </cell>
          <cell r="G1617">
            <v>79258836928</v>
          </cell>
        </row>
        <row r="1618">
          <cell r="B1618" t="str">
            <v>Вахонин Александр Владимирович</v>
          </cell>
          <cell r="D1618">
            <v>79032372436</v>
          </cell>
          <cell r="G1618">
            <v>79032372436</v>
          </cell>
        </row>
        <row r="1619">
          <cell r="B1619" t="str">
            <v>Петросян Карен Грайрович</v>
          </cell>
          <cell r="G1619">
            <v>79208000099</v>
          </cell>
        </row>
        <row r="1620">
          <cell r="B1620" t="str">
            <v>Дубров Алексей Владимирович</v>
          </cell>
          <cell r="D1620">
            <v>79881315422</v>
          </cell>
          <cell r="G1620">
            <v>79881315422</v>
          </cell>
        </row>
        <row r="1621">
          <cell r="B1621" t="str">
            <v>Погосян Араик Акобович</v>
          </cell>
          <cell r="G1621">
            <v>79850863266</v>
          </cell>
        </row>
        <row r="1622">
          <cell r="B1622" t="str">
            <v>Бондаренко Светлана Евгеньевна</v>
          </cell>
          <cell r="G1622">
            <v>79255497874</v>
          </cell>
        </row>
        <row r="1623">
          <cell r="B1623" t="str">
            <v>Шиленков Александр Владимирович</v>
          </cell>
          <cell r="E1623">
            <v>79162211179</v>
          </cell>
          <cell r="G1623">
            <v>79162211179</v>
          </cell>
        </row>
        <row r="1624">
          <cell r="B1624" t="str">
            <v>Рыжков Вячеслав Николаевич</v>
          </cell>
          <cell r="D1624">
            <v>79168567622</v>
          </cell>
          <cell r="G1624">
            <v>89168567622</v>
          </cell>
        </row>
        <row r="1625">
          <cell r="B1625" t="str">
            <v>Бурьянов Андрей Михайлович</v>
          </cell>
          <cell r="D1625">
            <v>79032097782</v>
          </cell>
          <cell r="E1625">
            <v>79032097782</v>
          </cell>
          <cell r="G1625">
            <v>79032097782</v>
          </cell>
        </row>
        <row r="1626">
          <cell r="B1626" t="str">
            <v>Березин Валентин Юрьевич</v>
          </cell>
          <cell r="D1626">
            <v>79037118940</v>
          </cell>
          <cell r="G1626">
            <v>89037118940</v>
          </cell>
        </row>
        <row r="1627">
          <cell r="B1627" t="str">
            <v>Галушка Светлана Анатольевна</v>
          </cell>
          <cell r="G1627">
            <v>79689820536</v>
          </cell>
        </row>
        <row r="1628">
          <cell r="B1628" t="str">
            <v>Колесников Михаил Вячеславович</v>
          </cell>
          <cell r="G1628">
            <v>79064793696</v>
          </cell>
        </row>
        <row r="1629">
          <cell r="B1629" t="str">
            <v>Воробьев Илья Александрович</v>
          </cell>
          <cell r="D1629">
            <v>79222113445</v>
          </cell>
          <cell r="G1629">
            <v>79222113445</v>
          </cell>
        </row>
        <row r="1630">
          <cell r="B1630" t="str">
            <v>Шибаев Александр Викторович</v>
          </cell>
          <cell r="D1630">
            <v>79621959070</v>
          </cell>
          <cell r="G1630">
            <v>79621959070</v>
          </cell>
        </row>
        <row r="1631">
          <cell r="B1631" t="str">
            <v>Шевкунова Елена Михайловна</v>
          </cell>
          <cell r="D1631">
            <v>79255970190</v>
          </cell>
          <cell r="E1631">
            <v>79255970190</v>
          </cell>
          <cell r="G1631">
            <v>79255970190</v>
          </cell>
        </row>
        <row r="1632">
          <cell r="B1632" t="str">
            <v>Тарасов Сергей Валерьевич</v>
          </cell>
          <cell r="D1632">
            <v>79788315190</v>
          </cell>
          <cell r="G1632">
            <v>79788315190</v>
          </cell>
        </row>
        <row r="1633">
          <cell r="B1633" t="str">
            <v>Карагезян Шушаник Вачагановна</v>
          </cell>
          <cell r="D1633">
            <v>79892612951</v>
          </cell>
          <cell r="G1633">
            <v>79892612951</v>
          </cell>
        </row>
        <row r="1634">
          <cell r="B1634" t="str">
            <v>Гаджиев Намик Али Оглы</v>
          </cell>
          <cell r="D1634">
            <v>79169966326</v>
          </cell>
          <cell r="G1634">
            <v>79169966326</v>
          </cell>
        </row>
        <row r="1635">
          <cell r="B1635" t="str">
            <v>Ягненков Сергей Васильевич</v>
          </cell>
          <cell r="D1635">
            <v>79165599717</v>
          </cell>
          <cell r="G1635">
            <v>89165599717</v>
          </cell>
        </row>
        <row r="1636">
          <cell r="B1636" t="str">
            <v>Саркисян Ваган Вартанович</v>
          </cell>
          <cell r="G1636">
            <v>79295331111</v>
          </cell>
        </row>
        <row r="1637">
          <cell r="B1637" t="str">
            <v>Юсупов Альберт Гиннатуллаевич</v>
          </cell>
          <cell r="D1637">
            <v>79030156177</v>
          </cell>
          <cell r="G1637">
            <v>79030156177</v>
          </cell>
        </row>
        <row r="1638">
          <cell r="B1638" t="str">
            <v>Кормилицын Максим Геннадиевич</v>
          </cell>
          <cell r="G1638">
            <v>79533203044</v>
          </cell>
        </row>
        <row r="1639">
          <cell r="B1639" t="str">
            <v>Толстолугова Ирина Игорьевна</v>
          </cell>
          <cell r="G1639">
            <v>79164293855</v>
          </cell>
        </row>
        <row r="1640">
          <cell r="B1640" t="str">
            <v>Подтуркин Алексей Сергеевич</v>
          </cell>
          <cell r="D1640">
            <v>79191349401</v>
          </cell>
          <cell r="G1640">
            <v>79191349401</v>
          </cell>
        </row>
        <row r="1641">
          <cell r="B1641" t="str">
            <v>Храмков Евгений Александрович</v>
          </cell>
          <cell r="D1641">
            <v>79686377877</v>
          </cell>
          <cell r="G1641">
            <v>89686377877</v>
          </cell>
        </row>
        <row r="1642">
          <cell r="B1642" t="str">
            <v>Дмитриев Антон Романович</v>
          </cell>
          <cell r="D1642">
            <v>79210605055</v>
          </cell>
          <cell r="G1642">
            <v>89210605055</v>
          </cell>
        </row>
        <row r="1643">
          <cell r="B1643" t="str">
            <v>Оруджов Намаддин Новрузович</v>
          </cell>
          <cell r="G1643">
            <v>79052591870</v>
          </cell>
        </row>
        <row r="1644">
          <cell r="B1644" t="str">
            <v>Черова Ирина Николаевна</v>
          </cell>
          <cell r="G1644">
            <v>79644227920</v>
          </cell>
        </row>
        <row r="1645">
          <cell r="B1645" t="str">
            <v>Парфёнова Наталья Николаевна</v>
          </cell>
          <cell r="D1645">
            <v>79508739431</v>
          </cell>
          <cell r="G1645">
            <v>89508739431</v>
          </cell>
        </row>
        <row r="1646">
          <cell r="B1646" t="str">
            <v>Матвеев Алексей Геннадьевич</v>
          </cell>
          <cell r="D1646">
            <v>79004949749</v>
          </cell>
          <cell r="G1646">
            <v>89004949749</v>
          </cell>
        </row>
        <row r="1647">
          <cell r="B1647" t="str">
            <v>Трошин Владимир Петрович</v>
          </cell>
          <cell r="D1647">
            <v>79202797778</v>
          </cell>
          <cell r="G1647">
            <v>89202797778</v>
          </cell>
        </row>
        <row r="1648">
          <cell r="B1648" t="str">
            <v>Егиазарян Геворг Рубикович</v>
          </cell>
          <cell r="G1648">
            <v>79035900820</v>
          </cell>
        </row>
        <row r="1649">
          <cell r="B1649" t="str">
            <v>Абакумов Вадим Михайлович</v>
          </cell>
          <cell r="G1649">
            <v>79254074074</v>
          </cell>
        </row>
        <row r="1650">
          <cell r="B1650" t="str">
            <v>Романенко Антон Алексеевич</v>
          </cell>
          <cell r="G1650">
            <v>79161186757</v>
          </cell>
        </row>
        <row r="1651">
          <cell r="B1651" t="str">
            <v>Симонова Дарья Павловна</v>
          </cell>
          <cell r="G1651">
            <v>79124972991</v>
          </cell>
        </row>
        <row r="1652">
          <cell r="B1652" t="str">
            <v>Абдуллин Азат Мазитович</v>
          </cell>
          <cell r="G1652">
            <v>79655911940</v>
          </cell>
        </row>
        <row r="1653">
          <cell r="B1653" t="str">
            <v>Петров Николай Анатольевич</v>
          </cell>
          <cell r="G1653">
            <v>79114359104</v>
          </cell>
        </row>
        <row r="1654">
          <cell r="B1654" t="str">
            <v>Оганесян Асмик Самвеловна</v>
          </cell>
          <cell r="G1654">
            <v>79688518888</v>
          </cell>
        </row>
        <row r="1655">
          <cell r="B1655" t="str">
            <v>Соколов Константин Валентинович</v>
          </cell>
          <cell r="G1655">
            <v>79122443945</v>
          </cell>
        </row>
        <row r="1656">
          <cell r="B1656" t="str">
            <v>Левченков Георгий Михайлович</v>
          </cell>
          <cell r="G1656">
            <v>79185881804</v>
          </cell>
        </row>
        <row r="1657">
          <cell r="B1657" t="str">
            <v>Давыдов Игорь Александрович</v>
          </cell>
          <cell r="G1657">
            <v>79996977662</v>
          </cell>
        </row>
        <row r="1658">
          <cell r="B1658" t="str">
            <v>Абрамочкина Ирина Юрьевна</v>
          </cell>
          <cell r="G1658">
            <v>79107180064</v>
          </cell>
        </row>
        <row r="1659">
          <cell r="B1659" t="str">
            <v>Николаев Дмитрий Васильевич</v>
          </cell>
          <cell r="D1659">
            <v>79267201007</v>
          </cell>
          <cell r="G1659">
            <v>89267201007</v>
          </cell>
        </row>
        <row r="1660">
          <cell r="B1660" t="str">
            <v>Аннишинец Вячеслав Иванович</v>
          </cell>
          <cell r="D1660">
            <v>79288446218</v>
          </cell>
          <cell r="G1660">
            <v>89288446218</v>
          </cell>
        </row>
        <row r="1661">
          <cell r="B1661" t="str">
            <v>Вовк Таисия Руслановна</v>
          </cell>
          <cell r="G1661">
            <v>79296069495</v>
          </cell>
        </row>
        <row r="1662">
          <cell r="B1662" t="str">
            <v>Ирицян Армен Дживанович</v>
          </cell>
          <cell r="D1662">
            <v>79260579191</v>
          </cell>
          <cell r="G1662">
            <v>89260579191</v>
          </cell>
        </row>
        <row r="1663">
          <cell r="B1663" t="str">
            <v>Ульбашева Елена Владимировна</v>
          </cell>
          <cell r="D1663">
            <v>79643296845</v>
          </cell>
          <cell r="G1663">
            <v>79643296845</v>
          </cell>
        </row>
        <row r="1664">
          <cell r="B1664" t="str">
            <v>Ильин Руслан Михайлович</v>
          </cell>
          <cell r="G1664">
            <v>79186920208</v>
          </cell>
        </row>
        <row r="1665">
          <cell r="B1665" t="str">
            <v>Егупов Дмитрий Сергеевич</v>
          </cell>
          <cell r="D1665">
            <v>79023113609</v>
          </cell>
          <cell r="G1665">
            <v>89023113609</v>
          </cell>
        </row>
        <row r="1666">
          <cell r="B1666" t="str">
            <v>Видяков Денис Сергеевич</v>
          </cell>
          <cell r="G1666">
            <v>79033982593</v>
          </cell>
        </row>
        <row r="1667">
          <cell r="B1667" t="str">
            <v>Кожинов Дмитрий Сергеевич</v>
          </cell>
          <cell r="G1667">
            <v>79218827998</v>
          </cell>
        </row>
        <row r="1668">
          <cell r="B1668" t="str">
            <v>Усанова Евгения Георгиевна</v>
          </cell>
          <cell r="D1668">
            <v>79166080113</v>
          </cell>
          <cell r="G1668">
            <v>79166080113</v>
          </cell>
        </row>
        <row r="1669">
          <cell r="B1669" t="str">
            <v>Свентковский Анатолий Владимирович</v>
          </cell>
          <cell r="D1669">
            <v>79166080111</v>
          </cell>
          <cell r="G1669">
            <v>79166080111</v>
          </cell>
        </row>
        <row r="1670">
          <cell r="B1670" t="str">
            <v>Усанова Екатерина Евгеньевна</v>
          </cell>
          <cell r="D1670">
            <v>79857609255</v>
          </cell>
          <cell r="G1670">
            <v>79857609255</v>
          </cell>
        </row>
        <row r="1671">
          <cell r="B1671" t="str">
            <v>Антипов Антон Михайлович</v>
          </cell>
          <cell r="D1671">
            <v>79260452980</v>
          </cell>
          <cell r="G1671">
            <v>89260452980</v>
          </cell>
        </row>
        <row r="1672">
          <cell r="B1672" t="str">
            <v>Гатауллин Рафаэль Винерович</v>
          </cell>
          <cell r="D1672">
            <v>79099083731</v>
          </cell>
          <cell r="G1672" t="str">
            <v>89774670933, 89099083731</v>
          </cell>
        </row>
        <row r="1673">
          <cell r="B1673" t="str">
            <v>Сафаралиев Ровшан Гиняз Оглы</v>
          </cell>
          <cell r="D1673">
            <v>79917435696</v>
          </cell>
          <cell r="G1673">
            <v>89917435696</v>
          </cell>
        </row>
        <row r="1674">
          <cell r="B1674" t="str">
            <v>Крайнева Марина Александровна</v>
          </cell>
          <cell r="D1674">
            <v>79370214535</v>
          </cell>
          <cell r="G1674">
            <v>79370214535</v>
          </cell>
        </row>
        <row r="1675">
          <cell r="B1675" t="str">
            <v>Аракелян Лусине Вардановна</v>
          </cell>
          <cell r="D1675">
            <v>79898338400</v>
          </cell>
          <cell r="G1675">
            <v>89898338400</v>
          </cell>
        </row>
        <row r="1676">
          <cell r="B1676" t="str">
            <v>Захаров Виктор Алексеевич</v>
          </cell>
          <cell r="D1676">
            <v>79778809927</v>
          </cell>
          <cell r="G1676">
            <v>89778809927</v>
          </cell>
        </row>
        <row r="1677">
          <cell r="B1677" t="str">
            <v>Петросян Анаит Ервандовна</v>
          </cell>
          <cell r="D1677">
            <v>79032631790</v>
          </cell>
          <cell r="G1677">
            <v>89032631790</v>
          </cell>
        </row>
        <row r="1678">
          <cell r="B1678" t="str">
            <v>Чумакова Екатерина Александровна</v>
          </cell>
          <cell r="D1678">
            <v>79166783580</v>
          </cell>
          <cell r="E1678">
            <v>89264020770</v>
          </cell>
          <cell r="G1678">
            <v>79166783580</v>
          </cell>
        </row>
        <row r="1679">
          <cell r="B1679" t="str">
            <v>Чаплыгина Наталья Владимировна</v>
          </cell>
          <cell r="D1679">
            <v>79055094156</v>
          </cell>
          <cell r="G1679">
            <v>89055094156</v>
          </cell>
        </row>
        <row r="1680">
          <cell r="B1680" t="str">
            <v>Агапова Галина Анатольевна</v>
          </cell>
          <cell r="D1680">
            <v>79851232246</v>
          </cell>
          <cell r="G1680">
            <v>89851232246</v>
          </cell>
        </row>
        <row r="1681">
          <cell r="B1681" t="str">
            <v>Хачатрян Лаврент Юрикович</v>
          </cell>
          <cell r="D1681">
            <v>79687547777</v>
          </cell>
          <cell r="G1681">
            <v>89687547777</v>
          </cell>
        </row>
        <row r="1682">
          <cell r="B1682" t="str">
            <v>Семенчукова Яна Олеговна</v>
          </cell>
          <cell r="G1682">
            <v>79082926524</v>
          </cell>
        </row>
        <row r="1683">
          <cell r="B1683" t="str">
            <v>Соколов Константин Иванович</v>
          </cell>
          <cell r="D1683">
            <v>79622259165</v>
          </cell>
          <cell r="G1683">
            <v>89622259165</v>
          </cell>
        </row>
        <row r="1684">
          <cell r="B1684" t="str">
            <v>Строганова Таисия Александровна</v>
          </cell>
          <cell r="D1684">
            <v>79615278802</v>
          </cell>
          <cell r="G1684">
            <v>89615278802</v>
          </cell>
        </row>
        <row r="1685">
          <cell r="B1685" t="str">
            <v>Кирпищикова Александра Александровна</v>
          </cell>
          <cell r="D1685">
            <v>79124090352</v>
          </cell>
          <cell r="G1685">
            <v>89124090352</v>
          </cell>
        </row>
        <row r="1686">
          <cell r="B1686" t="str">
            <v>Гагарин Юрий Александрович</v>
          </cell>
          <cell r="G1686">
            <v>79502023310</v>
          </cell>
        </row>
        <row r="1687">
          <cell r="B1687" t="str">
            <v>Егупов Дмитрий Сергеевич</v>
          </cell>
          <cell r="D1687">
            <v>79023113609</v>
          </cell>
          <cell r="G1687">
            <v>89023113609</v>
          </cell>
        </row>
        <row r="1688">
          <cell r="B1688" t="str">
            <v>Хайретдинов Ильгиз Гакилович</v>
          </cell>
          <cell r="G1688">
            <v>79268557240</v>
          </cell>
        </row>
        <row r="1689">
          <cell r="B1689" t="str">
            <v>Султанова Анастасия Григорьевна</v>
          </cell>
          <cell r="G1689">
            <v>79378402894</v>
          </cell>
        </row>
        <row r="1690">
          <cell r="B1690" t="str">
            <v>Егоров Андрей Вячеславович</v>
          </cell>
          <cell r="G1690">
            <v>79539657046</v>
          </cell>
        </row>
        <row r="1691">
          <cell r="B1691" t="str">
            <v>Папикян Андраник Климентович</v>
          </cell>
          <cell r="D1691">
            <v>79171740555</v>
          </cell>
          <cell r="G1691">
            <v>89171740555</v>
          </cell>
        </row>
        <row r="1692">
          <cell r="B1692" t="str">
            <v>Климов Павел Александрович</v>
          </cell>
          <cell r="G1692">
            <v>79154087667</v>
          </cell>
        </row>
        <row r="1693">
          <cell r="B1693" t="str">
            <v>Аракелов Александр Сергеевич</v>
          </cell>
          <cell r="G1693">
            <v>79160413044</v>
          </cell>
        </row>
        <row r="1694">
          <cell r="B1694" t="str">
            <v>ИП Белан Надежда Александровна</v>
          </cell>
          <cell r="D1694">
            <v>79183323932</v>
          </cell>
          <cell r="G1694">
            <v>79183323932</v>
          </cell>
        </row>
        <row r="1695">
          <cell r="B1695" t="str">
            <v>ИП Петрухин Анатолий Васильевич</v>
          </cell>
          <cell r="D1695">
            <v>79183629001</v>
          </cell>
          <cell r="E1695">
            <v>89288819932</v>
          </cell>
          <cell r="G1695">
            <v>79183629001</v>
          </cell>
        </row>
        <row r="1696">
          <cell r="B1696" t="str">
            <v>ИП Вертейко Алексей Михайлович</v>
          </cell>
          <cell r="D1696">
            <v>79182987033</v>
          </cell>
          <cell r="G1696">
            <v>79182987033</v>
          </cell>
        </row>
        <row r="1697">
          <cell r="B1697" t="str">
            <v>СПЕЦДОРСТРОЙ ООО</v>
          </cell>
          <cell r="C1697" t="str">
            <v>Литвинова Екатерина Викторовна, Директор</v>
          </cell>
        </row>
        <row r="1698">
          <cell r="B1698" t="str">
            <v>Агросоюз ООО</v>
          </cell>
          <cell r="C1698" t="str">
            <v>Пархоменко Вячеслав Юрьевич, Директор</v>
          </cell>
          <cell r="F1698">
            <v>89264223090</v>
          </cell>
        </row>
        <row r="1699">
          <cell r="B1699" t="str">
            <v>СПЕКТР ООО</v>
          </cell>
          <cell r="C1699" t="str">
            <v>Котляров Олег Иванович, Директор</v>
          </cell>
        </row>
        <row r="1700">
          <cell r="B1700" t="str">
            <v>ИП Артемов Александр Викторович</v>
          </cell>
          <cell r="G1700">
            <v>79184334107</v>
          </cell>
        </row>
        <row r="1701">
          <cell r="B1701" t="str">
            <v>ИП Федотов Тихон Андреевич</v>
          </cell>
          <cell r="G1701">
            <v>79180796816</v>
          </cell>
        </row>
        <row r="1702">
          <cell r="B1702" t="str">
            <v>ТРИТОНН ООО</v>
          </cell>
          <cell r="C1702" t="str">
            <v>Кунижев Адам Нурбиевич</v>
          </cell>
          <cell r="F1702">
            <v>89649151001</v>
          </cell>
        </row>
        <row r="1703">
          <cell r="B1703" t="str">
            <v>ИП Кругляк Наталья Анатольевна</v>
          </cell>
          <cell r="D1703">
            <v>79258274885</v>
          </cell>
          <cell r="G1703">
            <v>89258274885</v>
          </cell>
        </row>
        <row r="1704">
          <cell r="B1704" t="str">
            <v>ИП Клякин Станислав Анатольевич</v>
          </cell>
          <cell r="D1704">
            <v>79168153007</v>
          </cell>
          <cell r="G1704">
            <v>89168153007</v>
          </cell>
        </row>
        <row r="1705">
          <cell r="B1705" t="str">
            <v>КАСКАД ТУРИЗМ ООО</v>
          </cell>
        </row>
        <row r="1706">
          <cell r="B1706" t="str">
            <v>ИП Бойко Василий Анатольевич</v>
          </cell>
          <cell r="E1706">
            <v>79671222197</v>
          </cell>
          <cell r="G1706">
            <v>79671222197</v>
          </cell>
        </row>
        <row r="1707">
          <cell r="B1707" t="str">
            <v>ИП Камшонков Александр Владимирович</v>
          </cell>
          <cell r="D1707">
            <v>79037289950</v>
          </cell>
          <cell r="G1707">
            <v>79037289950</v>
          </cell>
        </row>
        <row r="1708">
          <cell r="B1708" t="str">
            <v>Камшилина Татьяна Ивановна</v>
          </cell>
          <cell r="D1708">
            <v>79646415781</v>
          </cell>
          <cell r="E1708">
            <v>79646415781</v>
          </cell>
          <cell r="G1708">
            <v>79646415781</v>
          </cell>
        </row>
        <row r="1709">
          <cell r="B1709" t="str">
            <v>Иванов Евгений Владимирович</v>
          </cell>
          <cell r="D1709">
            <v>79037296324</v>
          </cell>
          <cell r="E1709">
            <v>79037296324</v>
          </cell>
          <cell r="G1709">
            <v>79037296324</v>
          </cell>
        </row>
        <row r="1710">
          <cell r="B1710" t="str">
            <v>Щербин Виталий Борисович</v>
          </cell>
          <cell r="E1710">
            <v>79167270376</v>
          </cell>
          <cell r="G1710" t="str">
            <v>79167270376, 79853012910</v>
          </cell>
        </row>
        <row r="1711">
          <cell r="B1711" t="str">
            <v>Прохорова Наталья Васильевна</v>
          </cell>
          <cell r="D1711">
            <v>79262446405</v>
          </cell>
          <cell r="E1711">
            <v>79268786680</v>
          </cell>
          <cell r="G1711">
            <v>79268786680</v>
          </cell>
        </row>
        <row r="1712">
          <cell r="B1712" t="str">
            <v>Шишкарев Александр Павлович</v>
          </cell>
          <cell r="D1712">
            <v>79037965446</v>
          </cell>
          <cell r="E1712">
            <v>79037965446</v>
          </cell>
          <cell r="G1712">
            <v>79037965446</v>
          </cell>
        </row>
        <row r="1713">
          <cell r="B1713" t="str">
            <v>Алексеев Юрий Сергеевич</v>
          </cell>
          <cell r="E1713">
            <v>79857663443</v>
          </cell>
          <cell r="G1713">
            <v>79857663443</v>
          </cell>
        </row>
        <row r="1714">
          <cell r="B1714" t="str">
            <v>Ковбасенко Александр Анатольевич</v>
          </cell>
          <cell r="E1714">
            <v>79057366422</v>
          </cell>
          <cell r="G1714">
            <v>79057366422</v>
          </cell>
        </row>
        <row r="1715">
          <cell r="B1715" t="str">
            <v>Агафонов Алексей Юрьевич</v>
          </cell>
          <cell r="D1715">
            <v>79119621549</v>
          </cell>
          <cell r="E1715">
            <v>79119621549</v>
          </cell>
          <cell r="G1715">
            <v>79119621549</v>
          </cell>
        </row>
        <row r="1716">
          <cell r="B1716" t="str">
            <v>Ковылин Герман Олегович</v>
          </cell>
          <cell r="D1716">
            <v>79160847326</v>
          </cell>
          <cell r="E1716">
            <v>79160847326</v>
          </cell>
          <cell r="G1716">
            <v>79160847326</v>
          </cell>
        </row>
        <row r="1717">
          <cell r="B1717" t="str">
            <v>Бабаянц Артур Владимирович</v>
          </cell>
          <cell r="E1717">
            <v>79169999550</v>
          </cell>
          <cell r="G1717">
            <v>79169999550</v>
          </cell>
        </row>
        <row r="1718">
          <cell r="B1718" t="str">
            <v>Рогозин Андрей Иванович</v>
          </cell>
          <cell r="D1718">
            <v>79112263126</v>
          </cell>
          <cell r="G1718">
            <v>79112263126</v>
          </cell>
        </row>
        <row r="1719">
          <cell r="B1719" t="str">
            <v>Караева Татьяна Сергеевна</v>
          </cell>
          <cell r="E1719">
            <v>79162008141</v>
          </cell>
          <cell r="G1719">
            <v>79162008141</v>
          </cell>
        </row>
        <row r="1720">
          <cell r="B1720" t="str">
            <v>Строчкин Сергей Иванович</v>
          </cell>
          <cell r="E1720">
            <v>79266395888</v>
          </cell>
          <cell r="G1720">
            <v>79266395888</v>
          </cell>
        </row>
        <row r="1721">
          <cell r="B1721" t="str">
            <v>Иджян Соломон Сергеевич</v>
          </cell>
          <cell r="E1721">
            <v>79881622202</v>
          </cell>
          <cell r="G1721">
            <v>79881622202</v>
          </cell>
        </row>
        <row r="1722">
          <cell r="B1722" t="str">
            <v>Иванов Сергей Викторович</v>
          </cell>
          <cell r="D1722">
            <v>79163337170</v>
          </cell>
          <cell r="E1722">
            <v>79163337170</v>
          </cell>
          <cell r="G1722">
            <v>79163337170</v>
          </cell>
        </row>
        <row r="1723">
          <cell r="B1723" t="str">
            <v>Косинова Мария Евгеньевна</v>
          </cell>
          <cell r="D1723">
            <v>79161419930</v>
          </cell>
          <cell r="E1723">
            <v>79857604715</v>
          </cell>
          <cell r="G1723">
            <v>79857604715</v>
          </cell>
        </row>
        <row r="1724">
          <cell r="B1724" t="str">
            <v>Сычев Станислав Геннадьевич</v>
          </cell>
          <cell r="D1724">
            <v>79052176333</v>
          </cell>
          <cell r="E1724">
            <v>79052176333</v>
          </cell>
          <cell r="G1724">
            <v>79052176333</v>
          </cell>
        </row>
        <row r="1725">
          <cell r="B1725" t="str">
            <v>Сорокин Александр Вадимович</v>
          </cell>
          <cell r="D1725">
            <v>79220003323</v>
          </cell>
          <cell r="G1725">
            <v>89220003323</v>
          </cell>
        </row>
        <row r="1726">
          <cell r="B1726" t="str">
            <v>Баханцов Семен Владимирович</v>
          </cell>
          <cell r="D1726">
            <v>79062888444</v>
          </cell>
          <cell r="E1726">
            <v>79062888444</v>
          </cell>
          <cell r="G1726">
            <v>79062888444</v>
          </cell>
        </row>
        <row r="1727">
          <cell r="B1727" t="str">
            <v>Попова Марина Альбертовна</v>
          </cell>
          <cell r="D1727">
            <v>79650553434</v>
          </cell>
          <cell r="E1727">
            <v>79650553434</v>
          </cell>
          <cell r="G1727">
            <v>79650553434</v>
          </cell>
        </row>
        <row r="1728">
          <cell r="B1728" t="str">
            <v>Спичак Вадим Михайлович</v>
          </cell>
          <cell r="D1728">
            <v>79153518882</v>
          </cell>
          <cell r="E1728">
            <v>79153518882</v>
          </cell>
          <cell r="G1728">
            <v>79153518882</v>
          </cell>
        </row>
        <row r="1729">
          <cell r="B1729" t="str">
            <v>Крюков Сергей Викторович</v>
          </cell>
          <cell r="D1729">
            <v>79037968869</v>
          </cell>
          <cell r="E1729">
            <v>79037968869</v>
          </cell>
          <cell r="G1729">
            <v>79037968869</v>
          </cell>
        </row>
        <row r="1730">
          <cell r="B1730" t="str">
            <v>Сурагин Владимир Игоревич</v>
          </cell>
          <cell r="E1730">
            <v>79199683989</v>
          </cell>
        </row>
        <row r="1731">
          <cell r="B1731" t="str">
            <v>Дарвичева Татьяна Викторовна</v>
          </cell>
          <cell r="D1731">
            <v>79649401001</v>
          </cell>
          <cell r="E1731">
            <v>79649401001</v>
          </cell>
          <cell r="G1731">
            <v>79649401001</v>
          </cell>
        </row>
        <row r="1732">
          <cell r="B1732" t="str">
            <v>Сукач Олег Константинович</v>
          </cell>
          <cell r="D1732">
            <v>79110944638</v>
          </cell>
          <cell r="G1732">
            <v>89110944638</v>
          </cell>
        </row>
        <row r="1733">
          <cell r="B1733" t="str">
            <v>Степанов Андрей Васильевич</v>
          </cell>
          <cell r="D1733">
            <v>79164885887</v>
          </cell>
          <cell r="G1733">
            <v>79164885887</v>
          </cell>
        </row>
        <row r="1734">
          <cell r="B1734" t="str">
            <v>Гальчук Илья Анатольевич</v>
          </cell>
          <cell r="D1734">
            <v>79217878342</v>
          </cell>
          <cell r="G1734" t="str">
            <v>79217878342, 79819755098</v>
          </cell>
        </row>
        <row r="1735">
          <cell r="B1735" t="str">
            <v>Ростовцев Александр Петрович</v>
          </cell>
          <cell r="D1735">
            <v>89660477576</v>
          </cell>
          <cell r="E1735">
            <v>79660477576</v>
          </cell>
          <cell r="G1735">
            <v>79660477576</v>
          </cell>
        </row>
        <row r="1736">
          <cell r="B1736" t="str">
            <v>Шихалев Вячеслав Николаевич</v>
          </cell>
          <cell r="D1736">
            <v>79096610693</v>
          </cell>
          <cell r="G1736">
            <v>79096610693</v>
          </cell>
        </row>
        <row r="1737">
          <cell r="B1737" t="str">
            <v>Шелин Екатерина Вячеславовна</v>
          </cell>
          <cell r="D1737">
            <v>79252289838</v>
          </cell>
          <cell r="G1737">
            <v>79252289838</v>
          </cell>
        </row>
        <row r="1738">
          <cell r="B1738" t="str">
            <v>Авагян Арман Аветикович</v>
          </cell>
          <cell r="D1738">
            <v>79645325344</v>
          </cell>
          <cell r="E1738">
            <v>79645325344</v>
          </cell>
          <cell r="G1738">
            <v>79645325344</v>
          </cell>
        </row>
        <row r="1739">
          <cell r="B1739" t="str">
            <v>Пинясов Александр Степанович</v>
          </cell>
          <cell r="D1739">
            <v>79774497100</v>
          </cell>
          <cell r="G1739">
            <v>79774497100</v>
          </cell>
        </row>
        <row r="1740">
          <cell r="B1740" t="str">
            <v>Сурин Георгий Николаевич</v>
          </cell>
          <cell r="D1740">
            <v>79651729544</v>
          </cell>
          <cell r="G1740">
            <v>79651729544</v>
          </cell>
        </row>
        <row r="1741">
          <cell r="B1741" t="str">
            <v>Месропян Аревик Орбеловна</v>
          </cell>
          <cell r="D1741">
            <v>79017013028</v>
          </cell>
          <cell r="G1741">
            <v>79017013028</v>
          </cell>
        </row>
        <row r="1742">
          <cell r="B1742" t="str">
            <v>Агамов Карэн Вадимович</v>
          </cell>
          <cell r="D1742">
            <v>79653933606</v>
          </cell>
          <cell r="E1742">
            <v>79653933606</v>
          </cell>
          <cell r="G1742">
            <v>79653933606</v>
          </cell>
        </row>
        <row r="1743">
          <cell r="B1743" t="str">
            <v>Дмитриев Алексей Евгеньевич</v>
          </cell>
          <cell r="D1743">
            <v>79689301685</v>
          </cell>
          <cell r="G1743">
            <v>89689301685</v>
          </cell>
        </row>
        <row r="1744">
          <cell r="B1744" t="str">
            <v>Цуканов Сергей Владимирович</v>
          </cell>
          <cell r="D1744">
            <v>79055799357</v>
          </cell>
          <cell r="E1744">
            <v>79055799357</v>
          </cell>
          <cell r="G1744">
            <v>79055799357</v>
          </cell>
        </row>
        <row r="1745">
          <cell r="B1745" t="str">
            <v>Паладе Иван Петрович</v>
          </cell>
          <cell r="D1745">
            <v>79261662132</v>
          </cell>
          <cell r="E1745">
            <v>79261662132</v>
          </cell>
          <cell r="G1745">
            <v>79261662132</v>
          </cell>
        </row>
        <row r="1746">
          <cell r="B1746" t="str">
            <v>Никитенко Роман Владимирович</v>
          </cell>
          <cell r="D1746">
            <v>79032660077</v>
          </cell>
          <cell r="G1746">
            <v>89032660077</v>
          </cell>
        </row>
        <row r="1747">
          <cell r="B1747" t="str">
            <v>Юров Михаил Витальевич</v>
          </cell>
          <cell r="D1747">
            <v>89606005503</v>
          </cell>
          <cell r="E1747">
            <v>79671852262</v>
          </cell>
          <cell r="G1747">
            <v>79606005503</v>
          </cell>
        </row>
        <row r="1748">
          <cell r="B1748" t="str">
            <v>Нюхов Руслан Нюхович</v>
          </cell>
          <cell r="D1748">
            <v>79268760005</v>
          </cell>
          <cell r="G1748">
            <v>79268760005</v>
          </cell>
        </row>
        <row r="1749">
          <cell r="B1749" t="str">
            <v>Битюцких Александр Александрович</v>
          </cell>
          <cell r="D1749">
            <v>79163131538</v>
          </cell>
          <cell r="G1749">
            <v>79163131538</v>
          </cell>
        </row>
        <row r="1750">
          <cell r="B1750" t="str">
            <v>Погребняк Константин Николаевич</v>
          </cell>
          <cell r="D1750">
            <v>79216590909</v>
          </cell>
          <cell r="G1750">
            <v>79216590909</v>
          </cell>
        </row>
        <row r="1751">
          <cell r="B1751" t="str">
            <v>Громов Вячеслав Александрович</v>
          </cell>
          <cell r="D1751">
            <v>79602588237</v>
          </cell>
          <cell r="G1751">
            <v>79602588237</v>
          </cell>
        </row>
        <row r="1752">
          <cell r="B1752" t="str">
            <v>Морозов Евгений Станиславович</v>
          </cell>
          <cell r="D1752">
            <v>79165890435</v>
          </cell>
          <cell r="G1752">
            <v>79165890435</v>
          </cell>
        </row>
        <row r="1753">
          <cell r="B1753" t="str">
            <v>"ВИВАР" ООО</v>
          </cell>
          <cell r="C1753" t="str">
            <v>Третьяков Виктор Владимирович</v>
          </cell>
          <cell r="F1753">
            <v>79062265999</v>
          </cell>
        </row>
        <row r="1754">
          <cell r="B1754" t="str">
            <v>ИП Богданова Лариса Анатольевна</v>
          </cell>
          <cell r="D1754">
            <v>79112545697</v>
          </cell>
          <cell r="G1754">
            <v>79112545697</v>
          </cell>
        </row>
        <row r="1755">
          <cell r="B1755" t="str">
            <v>ИП Зинченко Аркадий Александрович</v>
          </cell>
          <cell r="D1755">
            <v>79110063666</v>
          </cell>
          <cell r="G1755">
            <v>79110063666</v>
          </cell>
        </row>
        <row r="1756">
          <cell r="B1756" t="str">
            <v>ИП Леднева Елена Владимировна</v>
          </cell>
          <cell r="D1756">
            <v>79217555371</v>
          </cell>
          <cell r="G1756">
            <v>79217555371</v>
          </cell>
        </row>
        <row r="1808">
          <cell r="B1808" t="str">
            <v>ИП Зинченко Аркадий Александрович</v>
          </cell>
          <cell r="D1808">
            <v>79110063666</v>
          </cell>
        </row>
        <row r="1809">
          <cell r="B1809" t="str">
            <v>ИП Леднева Елена Владимировна</v>
          </cell>
          <cell r="D1809">
            <v>79217555371</v>
          </cell>
        </row>
        <row r="1810">
          <cell r="B1810" t="str">
            <v>ИП Леднева Елена Владимировна</v>
          </cell>
          <cell r="D1810">
            <v>79217555371</v>
          </cell>
        </row>
        <row r="1833">
          <cell r="B1833" t="str">
            <v>ИП Зинченко Аркадий Александрович</v>
          </cell>
          <cell r="D1833">
            <v>79110063666</v>
          </cell>
        </row>
        <row r="1834">
          <cell r="B1834" t="str">
            <v>ИП Леднева Елена Владимировна</v>
          </cell>
          <cell r="D1834">
            <v>79217555371</v>
          </cell>
        </row>
      </sheetData>
      <sheetData sheetId="2">
        <row r="1">
          <cell r="A1" t="str">
            <v>Заемщик</v>
          </cell>
          <cell r="B1" t="str">
            <v>Займ предоставленный.Номер договора</v>
          </cell>
          <cell r="C1" t="str">
            <v>Email</v>
          </cell>
          <cell r="D1" t="str">
            <v>Адрес электронной почты</v>
          </cell>
        </row>
        <row r="2">
          <cell r="A2" t="str">
            <v>"ВИВАР" ООО</v>
          </cell>
          <cell r="B2" t="str">
            <v>Т-10003/КЭ_Т-20211028/Ц</v>
          </cell>
          <cell r="C2" t="str">
            <v>tvv@engate.ru</v>
          </cell>
        </row>
        <row r="3">
          <cell r="A3" t="str">
            <v>Абакаров Абакар Магомедсалимович</v>
          </cell>
          <cell r="B3" t="str">
            <v>В-20940/КЛ.Транш - 1</v>
          </cell>
          <cell r="D3" t="str">
            <v>unaizat.72@mail.ru</v>
          </cell>
        </row>
        <row r="4">
          <cell r="A4" t="str">
            <v>Абакумов Алексей Михайлович</v>
          </cell>
          <cell r="B4" t="str">
            <v>В-26054/КЛ.Транш - 1</v>
          </cell>
          <cell r="C4" t="str">
            <v>R.abakumov@mail.ru</v>
          </cell>
        </row>
        <row r="5">
          <cell r="A5" t="str">
            <v>Абакумов Алексей Михайлович</v>
          </cell>
          <cell r="B5" t="str">
            <v>В-26054/КЛ.Транш - 2</v>
          </cell>
          <cell r="C5" t="str">
            <v>R.abakumov@mail.ru</v>
          </cell>
        </row>
        <row r="6">
          <cell r="A6" t="str">
            <v>Абакумов Алексей Михайлович</v>
          </cell>
          <cell r="B6" t="str">
            <v>В-26054/КЛ.Транш - 4</v>
          </cell>
          <cell r="C6" t="str">
            <v>R.abakumov@mail.ru</v>
          </cell>
        </row>
        <row r="7">
          <cell r="A7" t="str">
            <v>Абакумов Вадим Михайлович</v>
          </cell>
          <cell r="B7" t="str">
            <v>В-28360/КЛ.Транш - 1</v>
          </cell>
          <cell r="D7" t="str">
            <v>kumwad@mail.ru</v>
          </cell>
        </row>
        <row r="8">
          <cell r="A8" t="str">
            <v>Абдул Каюм Мохаммад Рахим</v>
          </cell>
          <cell r="B8" t="str">
            <v>В-01204/АЗ</v>
          </cell>
        </row>
        <row r="9">
          <cell r="A9" t="str">
            <v>Абдул Каюм Мохаммад Рахим</v>
          </cell>
          <cell r="B9" t="str">
            <v>В-24257/АЗ</v>
          </cell>
        </row>
        <row r="10">
          <cell r="A10" t="str">
            <v>Абдуллахи Амина Халифовна</v>
          </cell>
          <cell r="B10" t="str">
            <v>В-19549/КЛ.Транш - 1</v>
          </cell>
          <cell r="C10" t="str">
            <v>amina.abdullakhi@mail.ru</v>
          </cell>
        </row>
        <row r="11">
          <cell r="A11" t="str">
            <v>Абдуллин Азат Мазитович</v>
          </cell>
          <cell r="B11" t="str">
            <v>В-28383/КЛ.Транш - 1</v>
          </cell>
          <cell r="D11" t="str">
            <v>aidara888666.abdullin@yandex.ru</v>
          </cell>
        </row>
        <row r="12">
          <cell r="A12" t="str">
            <v>Абдуллин Игорь Эдуардович</v>
          </cell>
          <cell r="B12" t="str">
            <v>В-08251/КЛ.Транш - 1</v>
          </cell>
          <cell r="C12" t="str">
            <v>abdullin_i@inbox.ru</v>
          </cell>
        </row>
        <row r="13">
          <cell r="A13" t="str">
            <v>Абдульманова Ангелина Рамилевна</v>
          </cell>
          <cell r="B13" t="str">
            <v>В-11521/КЛ.Транш - 1</v>
          </cell>
          <cell r="C13" t="str">
            <v>lina.abdulmanova92@mail.ru</v>
          </cell>
        </row>
        <row r="14">
          <cell r="A14" t="str">
            <v>Абдурахманов Ватан Сироджиддинович</v>
          </cell>
          <cell r="B14" t="str">
            <v>В-01192/АЗ</v>
          </cell>
          <cell r="C14" t="str">
            <v>avs-int@yandex.ru</v>
          </cell>
        </row>
        <row r="15">
          <cell r="A15" t="str">
            <v>Абдурашитов Озодбек Мавланжанович</v>
          </cell>
          <cell r="B15" t="str">
            <v>В-00116/КЛ.Транш - 4</v>
          </cell>
          <cell r="C15" t="str">
            <v>azaoshsu@gmail.com</v>
          </cell>
        </row>
        <row r="16">
          <cell r="A16" t="str">
            <v>Абдурашитов Озодбек Мавланжанович</v>
          </cell>
          <cell r="B16" t="str">
            <v>В-25132/КЛ.Транш - 1</v>
          </cell>
          <cell r="C16" t="str">
            <v>azaoshsu@gmail.com</v>
          </cell>
        </row>
        <row r="17">
          <cell r="A17" t="str">
            <v>Абдурашитов Озодбек Мавланжанович</v>
          </cell>
          <cell r="B17" t="str">
            <v>В-25132/КЛ.Транш - 2</v>
          </cell>
          <cell r="C17" t="str">
            <v>azaoshsu@gmail.com</v>
          </cell>
        </row>
        <row r="18">
          <cell r="A18" t="str">
            <v>Абелян Артак Шагенович</v>
          </cell>
          <cell r="B18" t="str">
            <v>В-03960/КЛ.Транш - 1_В-20211230/Ц</v>
          </cell>
          <cell r="C18" t="str">
            <v>abelyan-1981@mail.ru</v>
          </cell>
        </row>
        <row r="19">
          <cell r="A19" t="str">
            <v>Аблязизов Эдем Рустемович</v>
          </cell>
          <cell r="B19" t="str">
            <v>В-09625/КЛ.Транш - 1</v>
          </cell>
          <cell r="C19" t="str">
            <v>ablyazizov_edem@mail.ru</v>
          </cell>
        </row>
        <row r="20">
          <cell r="A20" t="str">
            <v>Абраамян Арут Ширазович</v>
          </cell>
          <cell r="B20" t="str">
            <v>В-00172/КЛ.Транш - 1</v>
          </cell>
          <cell r="C20" t="str">
            <v>aru888@yandex.ru</v>
          </cell>
        </row>
        <row r="21">
          <cell r="A21" t="str">
            <v>Абраменко Александр Владимирович</v>
          </cell>
          <cell r="B21" t="str">
            <v>В-08416/КЛ.Транш - 1</v>
          </cell>
          <cell r="C21" t="str">
            <v>9114003384a@gmail.com</v>
          </cell>
        </row>
        <row r="22">
          <cell r="A22" t="str">
            <v>Абрамочкина Ирина Юрьевна</v>
          </cell>
          <cell r="B22" t="str">
            <v>В-28439/КЛ.Транш - 1</v>
          </cell>
          <cell r="D22" t="str">
            <v>irinafarm54@mail.ru</v>
          </cell>
        </row>
        <row r="23">
          <cell r="A23" t="str">
            <v>Абубакиров Бату Асхарович</v>
          </cell>
          <cell r="B23" t="str">
            <v>А-04275/АЗ</v>
          </cell>
          <cell r="C23" t="str">
            <v>russherion@gmail.com</v>
          </cell>
          <cell r="D23" t="str">
            <v>russherion@gmail.com</v>
          </cell>
        </row>
        <row r="24">
          <cell r="A24" t="str">
            <v>Авагян Арман Аветикович</v>
          </cell>
          <cell r="B24" t="str">
            <v>Т-01875/АЗ_Т-20211028/Ц</v>
          </cell>
          <cell r="C24" t="str">
            <v>armanavagyan2016@mail.ru</v>
          </cell>
          <cell r="D24" t="str">
            <v>armanavagyan2016@mail.ru</v>
          </cell>
        </row>
        <row r="25">
          <cell r="A25" t="str">
            <v>Авагян Тигран Агванович</v>
          </cell>
          <cell r="B25" t="str">
            <v>В-02064/КЛ.Транш - 2</v>
          </cell>
          <cell r="C25" t="str">
            <v>vatantigran@mail.ru</v>
          </cell>
        </row>
        <row r="26">
          <cell r="A26" t="str">
            <v>Авагян Тигран Агванович</v>
          </cell>
          <cell r="B26" t="str">
            <v>В-02064/КЛ.Транш - 3</v>
          </cell>
          <cell r="C26" t="str">
            <v>vatantigran@mail.ru</v>
          </cell>
        </row>
        <row r="27">
          <cell r="A27" t="str">
            <v>Авагян Тигран Агванович</v>
          </cell>
          <cell r="B27" t="str">
            <v>В-02064/КЛ.Транш - 4</v>
          </cell>
          <cell r="C27" t="str">
            <v>vatantigran@mail.ru</v>
          </cell>
        </row>
        <row r="28">
          <cell r="A28" t="str">
            <v>Аванесян Виген Эмикович</v>
          </cell>
          <cell r="B28" t="str">
            <v>В-00046/АЗ</v>
          </cell>
        </row>
        <row r="29">
          <cell r="A29" t="str">
            <v>Авдошина Светлана Викторовна</v>
          </cell>
          <cell r="B29" t="str">
            <v>В-19526/КЛ.Транш - 1</v>
          </cell>
          <cell r="D29" t="str">
            <v>lana-avdoshina@mail.ru</v>
          </cell>
        </row>
        <row r="30">
          <cell r="A30" t="str">
            <v>АВТОКОНТИНЕНТ ООО</v>
          </cell>
          <cell r="B30" t="str">
            <v>В-00033/КЭ.Транш - 1</v>
          </cell>
          <cell r="C30" t="str">
            <v>anastasia@amiwabrake.ru</v>
          </cell>
        </row>
        <row r="31">
          <cell r="A31" t="str">
            <v>АВТОКОНТИНЕНТ ООО</v>
          </cell>
          <cell r="B31" t="str">
            <v>В-00033/КЭ.Транш - 2</v>
          </cell>
          <cell r="C31" t="str">
            <v>anastasia@amiwabrake.ru</v>
          </cell>
        </row>
        <row r="32">
          <cell r="A32" t="str">
            <v>Авьюсов Владимир Аркадьевич</v>
          </cell>
          <cell r="B32" t="str">
            <v>В-09974/КЛ.Транш - 2</v>
          </cell>
          <cell r="C32" t="str">
            <v>avyusov77@rambler.ru</v>
          </cell>
        </row>
        <row r="33">
          <cell r="A33" t="str">
            <v>Агаджанян Самвел Амаякович</v>
          </cell>
          <cell r="B33" t="str">
            <v>В-18791/КЛ.Транш - 1</v>
          </cell>
          <cell r="D33" t="str">
            <v>9430600@mail.ru</v>
          </cell>
        </row>
        <row r="34">
          <cell r="A34" t="str">
            <v>Агалакова Анжелика Ириковна</v>
          </cell>
          <cell r="B34" t="str">
            <v>В-25003/КЛ.Транш - 1</v>
          </cell>
          <cell r="D34" t="str">
            <v>Katee_black@mail.ru</v>
          </cell>
        </row>
        <row r="35">
          <cell r="A35" t="str">
            <v>Агалакова Анжелика Ириковна</v>
          </cell>
          <cell r="B35" t="str">
            <v>В-25003/КЛ.Транш - 2</v>
          </cell>
          <cell r="D35" t="str">
            <v>Katee_black@mail.ru</v>
          </cell>
        </row>
        <row r="36">
          <cell r="A36" t="str">
            <v>Агалакова Анжелика Ириковна</v>
          </cell>
          <cell r="B36" t="str">
            <v>В-25003/КЛ.Транш - 3</v>
          </cell>
          <cell r="D36" t="str">
            <v>Katee_black@mail.ru</v>
          </cell>
        </row>
        <row r="37">
          <cell r="A37" t="str">
            <v>Агамов Карэн Вадимович</v>
          </cell>
          <cell r="B37" t="str">
            <v>Т-01886/АЗ_Т-20211028/Ц</v>
          </cell>
          <cell r="C37" t="str">
            <v>agamov2014@yandex.ru</v>
          </cell>
          <cell r="D37" t="str">
            <v>agamov2014@yandex.ru</v>
          </cell>
        </row>
        <row r="38">
          <cell r="A38" t="str">
            <v>Агапов Сергей Петрович</v>
          </cell>
          <cell r="B38" t="str">
            <v>В-12789/КЛ.Транш - 1</v>
          </cell>
          <cell r="C38" t="str">
            <v>sergejagapov83329@gmail.com</v>
          </cell>
          <cell r="D38" t="str">
            <v>sergejagapov83329@gmail.com</v>
          </cell>
        </row>
        <row r="39">
          <cell r="A39" t="str">
            <v>Агапова Галина Анатольевна</v>
          </cell>
          <cell r="B39" t="str">
            <v>В-28847/КЛ.Транш - 1</v>
          </cell>
          <cell r="C39" t="str">
            <v>utyf453@yandex.ru</v>
          </cell>
          <cell r="D39" t="str">
            <v>utyf453@yandex.ru</v>
          </cell>
        </row>
        <row r="40">
          <cell r="A40" t="str">
            <v>Агапова Ирина Николаевна</v>
          </cell>
          <cell r="B40" t="str">
            <v>В-14482/КЛ.Транш - 1</v>
          </cell>
        </row>
        <row r="41">
          <cell r="A41" t="str">
            <v>Агафонов Алексей Юрьевич</v>
          </cell>
          <cell r="B41" t="str">
            <v>А-04839/АЗ_А-20210903/Ц</v>
          </cell>
          <cell r="C41" t="str">
            <v>zannnuda@gmail.com</v>
          </cell>
          <cell r="D41" t="str">
            <v>zannnuda@gmail.com</v>
          </cell>
        </row>
        <row r="42">
          <cell r="A42" t="str">
            <v>Агафонов Алексей Юрьевич</v>
          </cell>
          <cell r="B42" t="str">
            <v>Т-01675/АЗ_Т-20210903/Ц</v>
          </cell>
          <cell r="C42" t="str">
            <v>zannnuda@gmail.com</v>
          </cell>
          <cell r="D42" t="str">
            <v>zannnuda@gmail.com</v>
          </cell>
        </row>
        <row r="43">
          <cell r="A43" t="str">
            <v>Агросоюз ООО</v>
          </cell>
          <cell r="B43" t="str">
            <v>В-30005/КЭ.Транш - 1</v>
          </cell>
          <cell r="C43" t="str">
            <v>info@agrosouz.moscow</v>
          </cell>
        </row>
        <row r="44">
          <cell r="A44" t="str">
            <v>Агузов Мурат Вячеславович</v>
          </cell>
          <cell r="B44" t="str">
            <v>В-24642/АЗ</v>
          </cell>
          <cell r="C44" t="str">
            <v>mr.aguzov@mail.ru</v>
          </cell>
          <cell r="D44" t="str">
            <v>mr.aguzov@mail.ru</v>
          </cell>
        </row>
        <row r="45">
          <cell r="A45" t="str">
            <v>Адамов Николай Олегович</v>
          </cell>
          <cell r="B45" t="str">
            <v>В-04727/КЛ.Транш - 1</v>
          </cell>
          <cell r="C45" t="str">
            <v>adam_n@list.ru</v>
          </cell>
        </row>
        <row r="46">
          <cell r="A46" t="str">
            <v>Адамян Ваграм Акобович</v>
          </cell>
          <cell r="B46" t="str">
            <v>В-03599/КЛ.Транш - 1</v>
          </cell>
        </row>
        <row r="47">
          <cell r="A47" t="str">
            <v>Аджаматова Рашия Магомеднуриевна</v>
          </cell>
          <cell r="B47" t="str">
            <v>В-21938/КЛ.Транш - 1</v>
          </cell>
          <cell r="D47" t="str">
            <v>kurbanova_r@mail.ru</v>
          </cell>
        </row>
        <row r="48">
          <cell r="A48" t="str">
            <v>Аджаматова Рашия Магомеднуриевна</v>
          </cell>
          <cell r="B48" t="str">
            <v>В-21938/КЛ.Транш - 2</v>
          </cell>
          <cell r="D48" t="str">
            <v>kurbanova_r@mail.ru</v>
          </cell>
        </row>
        <row r="49">
          <cell r="A49" t="str">
            <v>Аджаматова Рашия Магомеднуриевна</v>
          </cell>
          <cell r="B49" t="str">
            <v>В-21938/КЛ.Транш - 3</v>
          </cell>
          <cell r="D49" t="str">
            <v>kurbanova_r@mail.ru</v>
          </cell>
        </row>
        <row r="50">
          <cell r="A50" t="str">
            <v>Адилбеков Алмаз Адилбекович</v>
          </cell>
          <cell r="B50" t="str">
            <v>В-00079/КЛ.Транш - 2</v>
          </cell>
          <cell r="C50" t="str">
            <v>almazsultankulov1908@gmail.com</v>
          </cell>
        </row>
        <row r="51">
          <cell r="A51" t="str">
            <v>Азиев Абдурахман Авхадович</v>
          </cell>
          <cell r="B51" t="str">
            <v>В-10841/КЛ.Транш - 1</v>
          </cell>
        </row>
        <row r="52">
          <cell r="A52" t="str">
            <v>Азиева Милана Зайнуладаевна</v>
          </cell>
          <cell r="B52" t="str">
            <v>В-01211/АЗ</v>
          </cell>
        </row>
        <row r="53">
          <cell r="A53" t="str">
            <v>Азоев Стаматис Рудикович</v>
          </cell>
          <cell r="B53" t="str">
            <v>В-01035/КЛ.Транш - 1_В-20211230/Ц</v>
          </cell>
        </row>
        <row r="54">
          <cell r="A54" t="str">
            <v>Айвазян Карен Арменович</v>
          </cell>
          <cell r="B54" t="str">
            <v>В-26261/АЗ</v>
          </cell>
        </row>
        <row r="55">
          <cell r="A55" t="str">
            <v>Айрапетян Нарек Гайкович</v>
          </cell>
          <cell r="B55" t="str">
            <v>В-25131/КЛ.Транш - 1</v>
          </cell>
          <cell r="D55" t="str">
            <v>narek.ayrapetayn.96@bk.ru</v>
          </cell>
        </row>
        <row r="56">
          <cell r="A56" t="str">
            <v>Айрапетянц Гаянэ Вартановна</v>
          </cell>
          <cell r="B56" t="str">
            <v>В-22453/АЗ</v>
          </cell>
          <cell r="C56" t="str">
            <v>gayane_2014@inbox.ru</v>
          </cell>
          <cell r="D56" t="str">
            <v>gayane-2014@inbox.ru</v>
          </cell>
        </row>
        <row r="57">
          <cell r="A57" t="str">
            <v>Айриян Николай Эрнестович</v>
          </cell>
          <cell r="B57" t="str">
            <v>В-01271/КЛ.Транш - 3</v>
          </cell>
          <cell r="C57" t="str">
            <v>9680000101@mail.ru</v>
          </cell>
        </row>
        <row r="58">
          <cell r="A58" t="str">
            <v>Айриян Николай Эрнестович</v>
          </cell>
          <cell r="B58" t="str">
            <v>В-01271/КЛ.Транш - 4</v>
          </cell>
          <cell r="C58" t="str">
            <v>9680000101@mail.ru</v>
          </cell>
        </row>
        <row r="59">
          <cell r="A59" t="str">
            <v>Айриян Николай Эрнестович</v>
          </cell>
          <cell r="B59" t="str">
            <v>В-01271/КЛ.Транш - 5</v>
          </cell>
          <cell r="C59" t="str">
            <v>9680000101@mail.ru</v>
          </cell>
        </row>
        <row r="60">
          <cell r="A60" t="str">
            <v>Айриян Николай Эрнестович</v>
          </cell>
          <cell r="B60" t="str">
            <v>В-01271/КЛ.Транш - 6</v>
          </cell>
          <cell r="C60" t="str">
            <v>9680000101@mail.ru</v>
          </cell>
        </row>
        <row r="61">
          <cell r="A61" t="str">
            <v>Акимова Жанна Константиновна</v>
          </cell>
          <cell r="B61" t="str">
            <v>В-15412/КЛ.Транш - 1</v>
          </cell>
          <cell r="C61" t="str">
            <v>akimova.web.art@gmail.com</v>
          </cell>
        </row>
        <row r="62">
          <cell r="A62" t="str">
            <v>Акимцева Юлия Анатольевна</v>
          </cell>
          <cell r="B62" t="str">
            <v>А-05360/АЗ</v>
          </cell>
        </row>
        <row r="63">
          <cell r="A63" t="str">
            <v>Акиньшин Олег Алексеевич</v>
          </cell>
          <cell r="B63" t="str">
            <v>В-18334/КЛ.Транш - 1</v>
          </cell>
          <cell r="D63" t="str">
            <v>Oleg-akinshin_1983@mail.ru</v>
          </cell>
        </row>
        <row r="64">
          <cell r="A64" t="str">
            <v>Акопян Мелкон Карапетович</v>
          </cell>
          <cell r="B64" t="str">
            <v>В-27391/КЛ.Транш - 1</v>
          </cell>
          <cell r="D64" t="str">
            <v>akopyan_melkon@gmail.com</v>
          </cell>
        </row>
        <row r="65">
          <cell r="A65" t="str">
            <v>Акопян Нарине Самвеловна</v>
          </cell>
          <cell r="B65" t="str">
            <v>В-15235/КЛ.Транш - 3</v>
          </cell>
        </row>
        <row r="66">
          <cell r="A66" t="str">
            <v>Аксенчук Александр Вячеславович</v>
          </cell>
          <cell r="B66" t="str">
            <v>В-19354/КЛ.Транш - 1</v>
          </cell>
        </row>
        <row r="67">
          <cell r="A67" t="str">
            <v>Акчурин Фирит Кяшафович</v>
          </cell>
          <cell r="B67" t="str">
            <v>В-01122/КЛ.Транш - 3</v>
          </cell>
          <cell r="C67" t="str">
            <v>afirit2365@gmail.com</v>
          </cell>
        </row>
        <row r="68">
          <cell r="A68" t="str">
            <v>Акчурин Фирит Кяшафович</v>
          </cell>
          <cell r="B68" t="str">
            <v>В-01122/КЛ.Транш - 4</v>
          </cell>
          <cell r="C68" t="str">
            <v>afirit2365@gmail.com</v>
          </cell>
        </row>
        <row r="69">
          <cell r="A69" t="str">
            <v>Алавердян Аракся Хачиковна</v>
          </cell>
          <cell r="B69" t="str">
            <v>В-26128/АЗ</v>
          </cell>
          <cell r="D69" t="str">
            <v>gamlet2011@rambler.ru</v>
          </cell>
        </row>
        <row r="70">
          <cell r="A70" t="str">
            <v>Аладьин Никита Олегович</v>
          </cell>
          <cell r="B70" t="str">
            <v>В-12519/КЛ.Транш - 2</v>
          </cell>
          <cell r="D70" t="str">
            <v>aladin.nikita@mail.ru</v>
          </cell>
        </row>
        <row r="71">
          <cell r="A71" t="str">
            <v>Аладьин Никита Олегович</v>
          </cell>
          <cell r="B71" t="str">
            <v>В-12519/КЛ.Транш - 3</v>
          </cell>
          <cell r="D71" t="str">
            <v>aladin.nikita@mail.ru</v>
          </cell>
        </row>
        <row r="72">
          <cell r="A72" t="str">
            <v>Алахвердиев Насиб Тахирович</v>
          </cell>
          <cell r="B72" t="str">
            <v>В-24343/КЛ.Транш - 1</v>
          </cell>
          <cell r="C72" t="str">
            <v>ALAHVERDIEV.NASIB@YANDEX.RU</v>
          </cell>
        </row>
        <row r="73">
          <cell r="A73" t="str">
            <v>Алахвердиев Насиб Тахирович</v>
          </cell>
          <cell r="B73" t="str">
            <v>В-24343/КЛ.Транш - 2</v>
          </cell>
          <cell r="C73" t="str">
            <v>ALAHVERDIEV.NASIB@YANDEX.RU</v>
          </cell>
        </row>
        <row r="74">
          <cell r="A74" t="str">
            <v>Алексанян Карине Размиковна</v>
          </cell>
          <cell r="B74" t="str">
            <v>В-00538/АЗ</v>
          </cell>
          <cell r="C74" t="str">
            <v>karine.a86@mail.ru</v>
          </cell>
        </row>
        <row r="75">
          <cell r="A75" t="str">
            <v>Алексанян Роберт Робертович</v>
          </cell>
          <cell r="B75" t="str">
            <v>В-24336/КЛ.Транш - 1</v>
          </cell>
          <cell r="D75" t="str">
            <v>aleksanyanrobert@yandex.ru</v>
          </cell>
        </row>
        <row r="76">
          <cell r="A76" t="str">
            <v>Алексанян Роберт Робертович</v>
          </cell>
          <cell r="B76" t="str">
            <v>В-24336/КЛ.Транш - 2</v>
          </cell>
          <cell r="D76" t="str">
            <v>aleksanyanrobert@yandex.ru</v>
          </cell>
        </row>
        <row r="77">
          <cell r="A77" t="str">
            <v>Алексанян Роберт Робертович</v>
          </cell>
          <cell r="B77" t="str">
            <v>В-24336/КЛ.Транш - 3</v>
          </cell>
          <cell r="D77" t="str">
            <v>aleksanyanrobert@yandex.ru</v>
          </cell>
        </row>
        <row r="78">
          <cell r="A78" t="str">
            <v>Алексанян Роберт Робертович</v>
          </cell>
          <cell r="B78" t="str">
            <v>В-24336/КЛ.Транш - 4</v>
          </cell>
          <cell r="D78" t="str">
            <v>aleksanyanrobert@yandex.ru</v>
          </cell>
        </row>
        <row r="79">
          <cell r="A79" t="str">
            <v>Алексеев Михаил Александрович</v>
          </cell>
          <cell r="B79" t="str">
            <v>В-05105/КЛ.Транш - 1</v>
          </cell>
        </row>
        <row r="80">
          <cell r="A80" t="str">
            <v>Алексеев Юрий Сергеевич</v>
          </cell>
          <cell r="B80" t="str">
            <v>А-04668/АЗ_Т-20200626/Ц</v>
          </cell>
          <cell r="C80" t="str">
            <v>ALEKSEEV@MULTIHOST.RU</v>
          </cell>
          <cell r="D80" t="str">
            <v>ALEKSEEV@MULTIHOST.RU</v>
          </cell>
        </row>
        <row r="81">
          <cell r="A81" t="str">
            <v>Алексеев Юрий Сергеевич</v>
          </cell>
          <cell r="B81" t="str">
            <v>Т-01642/АЗ_Т-20200626/Ц</v>
          </cell>
          <cell r="C81" t="str">
            <v>ALEKSEEV@MULTIHOST.RU</v>
          </cell>
          <cell r="D81" t="str">
            <v>ALEKSEEV@MULTIHOST.RU</v>
          </cell>
        </row>
        <row r="82">
          <cell r="A82" t="str">
            <v>Алексеева Светлана Николаевна</v>
          </cell>
          <cell r="B82" t="str">
            <v>В-02623/КЛ.Транш - 5</v>
          </cell>
          <cell r="C82" t="str">
            <v>1499800@mail.ru</v>
          </cell>
        </row>
        <row r="83">
          <cell r="A83" t="str">
            <v>Алексеева Светлана Николаевна</v>
          </cell>
          <cell r="B83" t="str">
            <v>В-02623/КЛ.Транш - 7</v>
          </cell>
          <cell r="C83" t="str">
            <v>1499800@mail.ru</v>
          </cell>
        </row>
        <row r="84">
          <cell r="A84" t="str">
            <v>Алешин Сергей Сергеевич</v>
          </cell>
          <cell r="B84" t="str">
            <v>В-22822/КЛ.Транш - 1</v>
          </cell>
          <cell r="D84" t="str">
            <v>SS_irk@mail.ru</v>
          </cell>
        </row>
        <row r="85">
          <cell r="A85" t="str">
            <v>Алешин Эдуард Александрович</v>
          </cell>
          <cell r="B85" t="str">
            <v>В-11085/КЛ.Транш - 1</v>
          </cell>
          <cell r="C85" t="str">
            <v>alesib61@gmail.com</v>
          </cell>
        </row>
        <row r="86">
          <cell r="A86" t="str">
            <v>Алешкевич Алексей Викторович</v>
          </cell>
          <cell r="B86" t="str">
            <v>В-23370/КЛ.Транш - 1</v>
          </cell>
          <cell r="C86" t="str">
            <v>Alex.lehan91@mail.ru</v>
          </cell>
          <cell r="D86" t="str">
            <v>Alex.lehan91@mail.ru</v>
          </cell>
        </row>
        <row r="87">
          <cell r="A87" t="str">
            <v>Алешкевич Алексей Викторович</v>
          </cell>
          <cell r="B87" t="str">
            <v>В-23370/КЛ.Транш - 2</v>
          </cell>
          <cell r="C87" t="str">
            <v>Alex.lehan91@mail.ru</v>
          </cell>
          <cell r="D87" t="str">
            <v>Alex.lehan91@mail.ru</v>
          </cell>
        </row>
        <row r="88">
          <cell r="A88" t="str">
            <v>Алешкин Алексей Владиславович</v>
          </cell>
          <cell r="B88" t="str">
            <v>В-27251/КЛ.Транш - 1</v>
          </cell>
          <cell r="D88" t="str">
            <v>CRIstalbusinessdn@yandex.ru</v>
          </cell>
        </row>
        <row r="89">
          <cell r="A89" t="str">
            <v>Алиев Рамиль Али Оглы</v>
          </cell>
          <cell r="B89" t="str">
            <v>В-27261/КЛ.Транш - 1</v>
          </cell>
          <cell r="D89" t="str">
            <v>Aglarov_Rooden77@bk.ru</v>
          </cell>
        </row>
        <row r="90">
          <cell r="A90" t="str">
            <v>Алиев Рамиль Али Оглы</v>
          </cell>
          <cell r="B90" t="str">
            <v>В-27261/КЛ.Транш - 2</v>
          </cell>
          <cell r="D90" t="str">
            <v>Aglarov_Rooden77@bk.ru</v>
          </cell>
        </row>
        <row r="91">
          <cell r="A91" t="str">
            <v>Алиев Рамиль Али Оглы</v>
          </cell>
          <cell r="B91" t="str">
            <v>В-27261/КЛ.Транш - 3</v>
          </cell>
          <cell r="D91" t="str">
            <v>Aglarov_Rooden77@bk.ru</v>
          </cell>
        </row>
        <row r="92">
          <cell r="A92" t="str">
            <v>Алиев Турал Эльдар Оглы</v>
          </cell>
          <cell r="B92" t="str">
            <v>В-12675/КЛ.Транш - 1_В-20211230/Ц</v>
          </cell>
          <cell r="D92" t="str">
            <v>tural.aliyev2018@icloud.com</v>
          </cell>
        </row>
        <row r="93">
          <cell r="A93" t="str">
            <v>Алиев Турал Эльдар Оглы</v>
          </cell>
          <cell r="B93" t="str">
            <v>В-12675/КЛ.Транш - 2_В-20211230/Ц</v>
          </cell>
          <cell r="D93" t="str">
            <v>tural.aliyev2018@icloud.com</v>
          </cell>
        </row>
        <row r="94">
          <cell r="A94" t="str">
            <v>Алиев Турал Эльдар Оглы</v>
          </cell>
          <cell r="B94" t="str">
            <v>В-12675/КЛ.Транш - 3_В-20211230/Ц</v>
          </cell>
          <cell r="D94" t="str">
            <v>tural.aliyev2018@icloud.com</v>
          </cell>
        </row>
        <row r="95">
          <cell r="A95" t="str">
            <v>Алижанова Олмахон Базарбаевна</v>
          </cell>
          <cell r="B95" t="str">
            <v>В-12670/КЛ.Транш - 2</v>
          </cell>
          <cell r="D95" t="str">
            <v>ali9266827490@mail.ru</v>
          </cell>
        </row>
        <row r="96">
          <cell r="A96" t="str">
            <v>Аликулов Серик Ергалеевич</v>
          </cell>
          <cell r="B96" t="str">
            <v>В-17825/КЛ.Транш - 1</v>
          </cell>
          <cell r="D96" t="str">
            <v>alik21382@mail.ru</v>
          </cell>
        </row>
        <row r="97">
          <cell r="A97" t="str">
            <v>Алимирзаев Мурад Нурмагомедович</v>
          </cell>
          <cell r="B97" t="str">
            <v>В-00428/АЗ</v>
          </cell>
          <cell r="C97" t="str">
            <v>abu-bakra@mail.ru</v>
          </cell>
        </row>
        <row r="98">
          <cell r="A98" t="str">
            <v>Алихасов Александр Эдуардович</v>
          </cell>
          <cell r="B98" t="str">
            <v>В-00900/КЛ.Транш - 1</v>
          </cell>
          <cell r="C98" t="str">
            <v>89060888688@mail.ru</v>
          </cell>
        </row>
        <row r="99">
          <cell r="A99" t="str">
            <v>Алихасов Александр Эдуардович</v>
          </cell>
          <cell r="B99" t="str">
            <v>В-00900/КЛ.Транш - 2</v>
          </cell>
          <cell r="C99" t="str">
            <v>89060888688@mail.ru</v>
          </cell>
        </row>
        <row r="100">
          <cell r="A100" t="str">
            <v>Аллилуев-Петровский Евгений Викторович</v>
          </cell>
          <cell r="B100" t="str">
            <v>В-27864/КЛ.Транш - 1</v>
          </cell>
          <cell r="D100" t="str">
            <v>tech_jen@mail.ru</v>
          </cell>
        </row>
        <row r="101">
          <cell r="A101" t="str">
            <v>Алмазов Игорь Николаевич</v>
          </cell>
          <cell r="B101" t="str">
            <v>В-07430/КЛ.Транш - 1</v>
          </cell>
        </row>
        <row r="102">
          <cell r="A102" t="str">
            <v>Алхименков Даниил Андреевич</v>
          </cell>
          <cell r="B102" t="str">
            <v>В-07963/КЛ.Транш - 1</v>
          </cell>
          <cell r="C102" t="str">
            <v>alkhimenkov99@mail.ru</v>
          </cell>
        </row>
        <row r="103">
          <cell r="A103" t="str">
            <v>Алыбаев Долеткельди Ягудович</v>
          </cell>
          <cell r="B103" t="str">
            <v>В-13336/КЛ.Транш - 1</v>
          </cell>
          <cell r="D103" t="str">
            <v>doletkeldi@bk.ru</v>
          </cell>
        </row>
        <row r="104">
          <cell r="A104" t="str">
            <v>Алыбаев Долеткельди Ягудович</v>
          </cell>
          <cell r="B104" t="str">
            <v>В-13336/КЛ.Транш - 2</v>
          </cell>
          <cell r="D104" t="str">
            <v>doletkeldi@bk.ru</v>
          </cell>
        </row>
        <row r="105">
          <cell r="A105" t="str">
            <v>Алымов Владимир Алексеевич</v>
          </cell>
          <cell r="B105" t="str">
            <v>В-00393/АЗ</v>
          </cell>
          <cell r="C105" t="str">
            <v>Vlad-1010@list.ru</v>
          </cell>
        </row>
        <row r="106">
          <cell r="A106" t="str">
            <v>АЛЬЯНС НЕДВИЖИМОСТИ ООО</v>
          </cell>
          <cell r="B106" t="str">
            <v>А-00328/КЭ.Транш - 1</v>
          </cell>
          <cell r="C106" t="str">
            <v>best.allianseplus@yandex.ru</v>
          </cell>
        </row>
        <row r="107">
          <cell r="A107" t="str">
            <v>Аманниязова Гулистан Атаевна</v>
          </cell>
          <cell r="B107" t="str">
            <v>В-18890/КЛ.Транш - 1</v>
          </cell>
          <cell r="D107" t="str">
            <v>gull61@mail.ru</v>
          </cell>
        </row>
        <row r="108">
          <cell r="A108" t="str">
            <v>Амбарцумян Франц Григорьевич</v>
          </cell>
          <cell r="B108" t="str">
            <v>В-23634/КЛ.Транш - 3</v>
          </cell>
        </row>
        <row r="109">
          <cell r="A109" t="str">
            <v>Амбарцумян Франц Григорьевич</v>
          </cell>
          <cell r="B109" t="str">
            <v>В-23634/КЛ.Транш - 4</v>
          </cell>
        </row>
        <row r="110">
          <cell r="A110" t="str">
            <v>Амбарцумян Франц Григорьевич</v>
          </cell>
          <cell r="B110" t="str">
            <v>В-23634/КЛ.Транш - 6</v>
          </cell>
        </row>
        <row r="111">
          <cell r="A111" t="str">
            <v>Амбарцумян Франц Григорьевич</v>
          </cell>
          <cell r="B111" t="str">
            <v>В-23634/КЛ.Транш - 7</v>
          </cell>
        </row>
        <row r="112">
          <cell r="A112" t="str">
            <v>Амбарцумян Франц Григорьевич</v>
          </cell>
          <cell r="B112" t="str">
            <v>В-23634/КЛ.Транш - 8</v>
          </cell>
        </row>
        <row r="113">
          <cell r="A113" t="str">
            <v>Амбарян Манушак Камовна</v>
          </cell>
          <cell r="B113" t="str">
            <v>В-27332/КЛ.Транш - 1</v>
          </cell>
          <cell r="D113" t="str">
            <v>manushak93@mail.ru</v>
          </cell>
        </row>
        <row r="114">
          <cell r="A114" t="str">
            <v>Амбросиенко Павел Сергеевич</v>
          </cell>
          <cell r="B114" t="str">
            <v>В-24374/КЛ.Транш - 1</v>
          </cell>
          <cell r="D114" t="str">
            <v>pavelamb1996@icloud.com</v>
          </cell>
        </row>
        <row r="115">
          <cell r="A115" t="str">
            <v>Аминжонов Уктам Раимжонович</v>
          </cell>
          <cell r="B115" t="str">
            <v>В-14860/КЛ.Транш - 1</v>
          </cell>
          <cell r="D115" t="str">
            <v>9154624804Y@MAIL.RU</v>
          </cell>
        </row>
        <row r="116">
          <cell r="A116" t="str">
            <v>Амирханян Оганес Николаевич</v>
          </cell>
          <cell r="B116" t="str">
            <v>В-27564/АЗ</v>
          </cell>
        </row>
        <row r="117">
          <cell r="A117" t="str">
            <v>Амирханян Эмиль Оганесович</v>
          </cell>
          <cell r="B117" t="str">
            <v>В-27557/КЛ.Транш - 1</v>
          </cell>
          <cell r="C117" t="str">
            <v>7000701@mail.ru</v>
          </cell>
        </row>
        <row r="118">
          <cell r="A118" t="str">
            <v>Ананина Татьяна Григорьевна</v>
          </cell>
          <cell r="B118" t="str">
            <v>В-22241/КЛ.Транш - 1</v>
          </cell>
          <cell r="D118" t="str">
            <v>tanya.ananina1980@mail.ru</v>
          </cell>
        </row>
        <row r="119">
          <cell r="A119" t="str">
            <v>Ананчев Ефим Иванович</v>
          </cell>
          <cell r="B119" t="str">
            <v>В-00038/АЗ</v>
          </cell>
          <cell r="C119" t="str">
            <v>ananchev_@mail.ru</v>
          </cell>
        </row>
        <row r="120">
          <cell r="A120" t="str">
            <v>Ангелов Алексей Славов</v>
          </cell>
          <cell r="B120" t="str">
            <v>В-11782/КЛ.Транш - 1</v>
          </cell>
          <cell r="D120" t="str">
            <v>dsk1512@mail.ru</v>
          </cell>
        </row>
        <row r="121">
          <cell r="A121" t="str">
            <v>Андреев Евгений Петрович</v>
          </cell>
          <cell r="B121" t="str">
            <v>В-02100/КЛ.Транш - 4</v>
          </cell>
          <cell r="C121" t="str">
            <v>andreew6173@mail.ru</v>
          </cell>
        </row>
        <row r="122">
          <cell r="A122" t="str">
            <v>Андреев Евгений Петрович</v>
          </cell>
          <cell r="B122" t="str">
            <v>В-02100/КЛ.Транш - 5</v>
          </cell>
          <cell r="C122" t="str">
            <v>andreew6173@mail.ru</v>
          </cell>
        </row>
        <row r="123">
          <cell r="A123" t="str">
            <v>Андреев Максим Вячеславович</v>
          </cell>
          <cell r="B123" t="str">
            <v>В-01086/КЛ.Транш - 1</v>
          </cell>
        </row>
        <row r="124">
          <cell r="A124" t="str">
            <v>Андреященко Светлана Анатольевна</v>
          </cell>
          <cell r="B124" t="str">
            <v>В-22601/КЛ.Транш - 1</v>
          </cell>
          <cell r="C124" t="str">
            <v>svkom2015@mail.ru</v>
          </cell>
        </row>
        <row r="125">
          <cell r="A125" t="str">
            <v>Анзорова Инна Руслановна</v>
          </cell>
          <cell r="B125" t="str">
            <v>В-13048/КЛ.Транш - 1</v>
          </cell>
          <cell r="D125" t="str">
            <v>anzorova.inna@yandex.ru</v>
          </cell>
        </row>
        <row r="126">
          <cell r="A126" t="str">
            <v>Анищенкова Оксана Михайловна</v>
          </cell>
          <cell r="B126" t="str">
            <v>В-17318/КЛ.Транш - 1</v>
          </cell>
          <cell r="D126" t="str">
            <v>oksana.anishenkova@yandex.ru</v>
          </cell>
        </row>
        <row r="127">
          <cell r="A127" t="str">
            <v>Аннишинец Вячеслав Иванович</v>
          </cell>
          <cell r="B127" t="str">
            <v>В-28497/КЛ.Транш - 1</v>
          </cell>
        </row>
        <row r="128">
          <cell r="A128" t="str">
            <v>Антипов Антон Михайлович</v>
          </cell>
          <cell r="B128" t="str">
            <v>В-28655/КЛ.Транш - 1</v>
          </cell>
          <cell r="C128" t="str">
            <v>nika-timofeeva@yandex.ru</v>
          </cell>
          <cell r="D128" t="str">
            <v>nika-timofeeva@yandex.ru</v>
          </cell>
        </row>
        <row r="129">
          <cell r="A129" t="str">
            <v>Антонов Валерий Иванович</v>
          </cell>
          <cell r="B129" t="str">
            <v>В-01692/КЛ.Транш - 1</v>
          </cell>
          <cell r="C129" t="str">
            <v>anton-iva99@yandex.ru</v>
          </cell>
        </row>
        <row r="130">
          <cell r="A130" t="str">
            <v>Антонов Валерий Иванович</v>
          </cell>
          <cell r="B130" t="str">
            <v>В-01692/КЛ.Транш - 2</v>
          </cell>
          <cell r="C130" t="str">
            <v>anton-iva99@yandex.ru</v>
          </cell>
        </row>
        <row r="131">
          <cell r="A131" t="str">
            <v>Антонов Сергей Петрович</v>
          </cell>
          <cell r="B131" t="str">
            <v>В-12246/КЛ.Транш - 1</v>
          </cell>
          <cell r="D131" t="str">
            <v>S_antonov@list.ru</v>
          </cell>
        </row>
        <row r="132">
          <cell r="A132" t="str">
            <v>Ануфриенко Сергей Владимирович</v>
          </cell>
          <cell r="B132" t="str">
            <v>В-14569/КЛ.Транш - 1_А-20210929/Ц</v>
          </cell>
          <cell r="D132" t="str">
            <v>fendez3797@icloud.com</v>
          </cell>
        </row>
        <row r="133">
          <cell r="A133" t="str">
            <v>Анчутин Павел Александрович</v>
          </cell>
          <cell r="B133" t="str">
            <v>А-03591/АЗ</v>
          </cell>
          <cell r="C133" t="str">
            <v>konecoiskoteki@gmail.com</v>
          </cell>
          <cell r="D133" t="str">
            <v>konecoiskoteki@gmail.com</v>
          </cell>
        </row>
        <row r="134">
          <cell r="A134" t="str">
            <v>Аперян Любовь Артуровна</v>
          </cell>
          <cell r="B134" t="str">
            <v>В-14907/КЛ.Транш - 1</v>
          </cell>
          <cell r="C134" t="str">
            <v>lyubovaperyan@mail.ru</v>
          </cell>
          <cell r="D134" t="str">
            <v>lyubovaperyan@mail.ru</v>
          </cell>
        </row>
        <row r="135">
          <cell r="A135" t="str">
            <v>Аперян Любовь Артуровна</v>
          </cell>
          <cell r="B135" t="str">
            <v>В-14907/КЛ.Транш - 2</v>
          </cell>
          <cell r="C135" t="str">
            <v>lyubovaperyan@mail.ru</v>
          </cell>
          <cell r="D135" t="str">
            <v>lyubovaperyan@mail.ru</v>
          </cell>
        </row>
        <row r="136">
          <cell r="A136" t="str">
            <v>Апухтина Виолетта Байрамовна</v>
          </cell>
          <cell r="B136" t="str">
            <v>В-17805/КЛ.Транш - 1</v>
          </cell>
          <cell r="D136" t="str">
            <v>viola.apuhtina@yandex.ru</v>
          </cell>
        </row>
        <row r="137">
          <cell r="A137" t="str">
            <v>Апухтина Виолетта Байрамовна</v>
          </cell>
          <cell r="B137" t="str">
            <v>В-17805/КЛ.Транш - 2</v>
          </cell>
          <cell r="D137" t="str">
            <v>viola.apuhtina@yandex.ru</v>
          </cell>
        </row>
        <row r="138">
          <cell r="A138" t="str">
            <v>Апухтина Виолетта Байрамовна</v>
          </cell>
          <cell r="B138" t="str">
            <v>В-17805/КЛ.Транш - 3</v>
          </cell>
          <cell r="D138" t="str">
            <v>viola.apuhtina@yandex.ru</v>
          </cell>
        </row>
        <row r="139">
          <cell r="A139" t="str">
            <v>Аракелов Александр Сергеевич</v>
          </cell>
          <cell r="B139" t="str">
            <v>В-29098/КЛ.Транш - 1</v>
          </cell>
          <cell r="D139" t="str">
            <v>sasha-arake@mail.ru</v>
          </cell>
        </row>
        <row r="140">
          <cell r="A140" t="str">
            <v>Аракелян Арут Арменович</v>
          </cell>
          <cell r="B140" t="str">
            <v>В-06419/КЛ.Транш - 1</v>
          </cell>
          <cell r="C140" t="str">
            <v>Arakelyanaryt28@gmail.com</v>
          </cell>
        </row>
        <row r="141">
          <cell r="A141" t="str">
            <v>Аракелян Лусине Вардановна</v>
          </cell>
          <cell r="B141" t="str">
            <v>В-28694/КЛ.Транш - 1</v>
          </cell>
          <cell r="C141" t="str">
            <v>hga92@icloud.com</v>
          </cell>
          <cell r="D141" t="str">
            <v>hga92@icloud.com</v>
          </cell>
        </row>
        <row r="142">
          <cell r="A142" t="str">
            <v>Аракелян Михаил Герасимович</v>
          </cell>
          <cell r="B142" t="str">
            <v>В-21973/КЛ.Транш - 1</v>
          </cell>
          <cell r="D142" t="str">
            <v>arakelyan15@mail.ru</v>
          </cell>
        </row>
        <row r="143">
          <cell r="A143" t="str">
            <v>Аристанов Булат Рахметунлаевич</v>
          </cell>
          <cell r="B143" t="str">
            <v>В-21781/КЛ.Транш - 1</v>
          </cell>
          <cell r="D143" t="str">
            <v>2130429@mail.ru</v>
          </cell>
        </row>
        <row r="144">
          <cell r="A144" t="str">
            <v>Аркан Владимир Владимирович</v>
          </cell>
          <cell r="B144" t="str">
            <v>В-16224/КЛ.Транш - 1</v>
          </cell>
          <cell r="D144" t="str">
            <v>Arkan1971@icloud.com</v>
          </cell>
        </row>
        <row r="145">
          <cell r="A145" t="str">
            <v>Аркатов Денис Евгеньевич</v>
          </cell>
          <cell r="B145" t="str">
            <v>В-02255/КЛ.Транш - 1</v>
          </cell>
          <cell r="C145" t="str">
            <v>anisim16@mail.ru</v>
          </cell>
        </row>
        <row r="146">
          <cell r="A146" t="str">
            <v>Армяновский Сергей Владимирович</v>
          </cell>
          <cell r="B146" t="str">
            <v>В-25806/КЛ.Транш - 1</v>
          </cell>
          <cell r="D146" t="str">
            <v>armyanovskii76@gmail.com</v>
          </cell>
        </row>
        <row r="147">
          <cell r="A147" t="str">
            <v>АРТЭС ООО</v>
          </cell>
          <cell r="B147" t="str">
            <v>В-10012/КЭ.Транш - 1</v>
          </cell>
        </row>
        <row r="148">
          <cell r="A148" t="str">
            <v>Арустамян Диана Артуровна</v>
          </cell>
          <cell r="B148" t="str">
            <v>В-23311/АЗ</v>
          </cell>
          <cell r="D148" t="str">
            <v>Muradyan2204@icloud.com</v>
          </cell>
        </row>
        <row r="149">
          <cell r="A149" t="str">
            <v>Арутюнова Рузанна Георгиевна</v>
          </cell>
          <cell r="B149" t="str">
            <v>А-05413/АЗ</v>
          </cell>
          <cell r="C149" t="str">
            <v>ruzanna2007@list.ru</v>
          </cell>
          <cell r="D149" t="str">
            <v>ruzanna2007@list.ru</v>
          </cell>
        </row>
        <row r="150">
          <cell r="A150" t="str">
            <v>Арутюнова Рузанна Георгиевна</v>
          </cell>
          <cell r="B150" t="str">
            <v>В-01139/АЗ</v>
          </cell>
          <cell r="C150" t="str">
            <v>ruzanna2007@list.ru</v>
          </cell>
          <cell r="D150" t="str">
            <v>ruzanna2007@list.ru</v>
          </cell>
        </row>
        <row r="151">
          <cell r="A151" t="str">
            <v>Арутюнян Карен Варужанович</v>
          </cell>
          <cell r="B151" t="str">
            <v>В-24859/АЗ</v>
          </cell>
          <cell r="D151" t="str">
            <v>info@mka-pravo.ru</v>
          </cell>
        </row>
        <row r="152">
          <cell r="A152" t="str">
            <v>Арутюнян Сережа Теватосович</v>
          </cell>
          <cell r="B152" t="str">
            <v>В-10789/КЛ.Транш - 1</v>
          </cell>
        </row>
        <row r="153">
          <cell r="A153" t="str">
            <v>Архипов Данил Алексеевич</v>
          </cell>
          <cell r="B153" t="str">
            <v>В-14453/КЛ.Транш - 1</v>
          </cell>
          <cell r="D153" t="str">
            <v>arhi.94@bk.ru</v>
          </cell>
        </row>
        <row r="154">
          <cell r="A154" t="str">
            <v>АС ООО</v>
          </cell>
          <cell r="B154" t="str">
            <v>В-10020/КЭ.Транш - 1</v>
          </cell>
          <cell r="C154" t="str">
            <v>oooartosystemy@gmail.com</v>
          </cell>
        </row>
        <row r="155">
          <cell r="A155" t="str">
            <v>Асликян Гарик Самвелович</v>
          </cell>
          <cell r="B155" t="str">
            <v>В-12767/КЛ.Транш - 1</v>
          </cell>
        </row>
        <row r="156">
          <cell r="A156" t="str">
            <v>Атабоев Каримжон Валижонович</v>
          </cell>
          <cell r="B156" t="str">
            <v>В-09172/КЛ.Транш - 1</v>
          </cell>
          <cell r="C156" t="str">
            <v>karimzhon.ataboyev.81@mail.ru</v>
          </cell>
        </row>
        <row r="157">
          <cell r="A157" t="str">
            <v>Атакишиев Гасым Гара Оглы</v>
          </cell>
          <cell r="B157" t="str">
            <v>В-00346/АЗ</v>
          </cell>
        </row>
        <row r="158">
          <cell r="A158" t="str">
            <v>Атаманов Максим Владимирович</v>
          </cell>
          <cell r="B158" t="str">
            <v>В-08288/КЛ.Транш - 2</v>
          </cell>
          <cell r="C158" t="str">
            <v>maximatamanov@bk.ru</v>
          </cell>
        </row>
        <row r="159">
          <cell r="A159" t="str">
            <v>Атрошенко Елена Владимировна</v>
          </cell>
          <cell r="B159" t="str">
            <v>В-08537/КЛ.Транш - 1</v>
          </cell>
        </row>
        <row r="160">
          <cell r="A160" t="str">
            <v>Атрошенко Елена Владимировна</v>
          </cell>
          <cell r="B160" t="str">
            <v>В-08537/КЛ.Транш - 2</v>
          </cell>
        </row>
        <row r="161">
          <cell r="A161" t="str">
            <v>Атцаев Ахмед Шахитович</v>
          </cell>
          <cell r="B161" t="str">
            <v>В-16186/КЛ.Транш - 1</v>
          </cell>
          <cell r="C161" t="str">
            <v>attsayev@list.ru</v>
          </cell>
        </row>
        <row r="162">
          <cell r="A162" t="str">
            <v>Аутлева Сусанна Руслановна</v>
          </cell>
          <cell r="B162" t="str">
            <v>В-01172/АЗ</v>
          </cell>
          <cell r="C162" t="str">
            <v>doc.autleva@gmail.com</v>
          </cell>
          <cell r="D162" t="str">
            <v>doc.autleva@gmail.com</v>
          </cell>
        </row>
        <row r="163">
          <cell r="A163" t="str">
            <v>Афанасенков Андрей Владимирович</v>
          </cell>
          <cell r="B163" t="str">
            <v>В-23229/КЛ.Транш - 1</v>
          </cell>
        </row>
        <row r="164">
          <cell r="A164" t="str">
            <v>Афанасенков Андрей Владимирович</v>
          </cell>
          <cell r="B164" t="str">
            <v>В-23229/КЛ.Транш - 2</v>
          </cell>
        </row>
        <row r="165">
          <cell r="A165" t="str">
            <v>Афонин Николай Юрьевич</v>
          </cell>
          <cell r="B165" t="str">
            <v>В-08361/КЛ.Транш - 1</v>
          </cell>
          <cell r="C165" t="str">
            <v>afoninn57@mail.ru</v>
          </cell>
        </row>
        <row r="166">
          <cell r="A166" t="str">
            <v>Афонин Сергей Юрьевич</v>
          </cell>
          <cell r="B166" t="str">
            <v>В-10204/КЛ.Транш - 1</v>
          </cell>
          <cell r="C166" t="str">
            <v>afonin2904@yandex.ru</v>
          </cell>
        </row>
        <row r="167">
          <cell r="A167" t="str">
            <v>Афонский Максим Станиславович</v>
          </cell>
          <cell r="B167" t="str">
            <v>В-01428/КЛ.Транш - 1</v>
          </cell>
          <cell r="C167" t="str">
            <v>afonskyi@gmail.com</v>
          </cell>
        </row>
        <row r="168">
          <cell r="A168" t="str">
            <v>Афонский Максим Станиславович</v>
          </cell>
          <cell r="B168" t="str">
            <v>В-01428/КЛ.Транш - 2</v>
          </cell>
          <cell r="C168" t="str">
            <v>afonskyi@gmail.com</v>
          </cell>
        </row>
        <row r="169">
          <cell r="A169" t="str">
            <v>Ахмедов Магомедрасул Камаладинович</v>
          </cell>
          <cell r="B169" t="str">
            <v>В-26422/КЛ.Транш - 1</v>
          </cell>
          <cell r="D169" t="str">
            <v>ahmedov@mail.ru</v>
          </cell>
        </row>
        <row r="170">
          <cell r="A170" t="str">
            <v>Ахметов Ривкат Багызович</v>
          </cell>
          <cell r="B170" t="str">
            <v>В-25581/КЛ.Транш - 1</v>
          </cell>
          <cell r="D170" t="str">
            <v>rivkat2509@mail.ru</v>
          </cell>
        </row>
        <row r="171">
          <cell r="A171" t="str">
            <v>Ахметова Елена Леонидовна</v>
          </cell>
          <cell r="B171" t="str">
            <v>В-21253/КЛ.Транш - 1</v>
          </cell>
          <cell r="D171" t="str">
            <v>elena2akhmetova@yandex.ru</v>
          </cell>
        </row>
        <row r="172">
          <cell r="A172" t="str">
            <v>Аюпов Данил Мухаметович</v>
          </cell>
          <cell r="B172" t="str">
            <v>В-21079/КЛ.Транш - 1</v>
          </cell>
          <cell r="D172" t="str">
            <v>vov_2014@bk.ru</v>
          </cell>
        </row>
        <row r="173">
          <cell r="A173" t="str">
            <v>Бабаянц Артур Владимирович</v>
          </cell>
          <cell r="B173" t="str">
            <v>А-04984/АЗ_Т-20200626/Ц</v>
          </cell>
          <cell r="C173" t="str">
            <v>9999550art@gmail.com</v>
          </cell>
          <cell r="D173" t="str">
            <v>9999550art@gmail.com</v>
          </cell>
        </row>
        <row r="174">
          <cell r="A174" t="str">
            <v>Бабаянц Артур Владимирович</v>
          </cell>
          <cell r="B174" t="str">
            <v>Т-01705/АЗ_Т-20200626/Ц</v>
          </cell>
          <cell r="C174" t="str">
            <v>9999550art@gmail.com</v>
          </cell>
          <cell r="D174" t="str">
            <v>9999550art@gmail.com</v>
          </cell>
        </row>
        <row r="175">
          <cell r="A175" t="str">
            <v>Бабенышева Наталия Григорьевна</v>
          </cell>
          <cell r="B175" t="str">
            <v>В-19736/КЛ.Транш - 1</v>
          </cell>
          <cell r="D175" t="str">
            <v>stanislav0694@mail.ru</v>
          </cell>
        </row>
        <row r="176">
          <cell r="A176" t="str">
            <v>Бабичев Андрей Юрьевич</v>
          </cell>
          <cell r="B176" t="str">
            <v>В-15465/КЛ.Транш - 1</v>
          </cell>
          <cell r="C176" t="str">
            <v>whale82@mail.ru</v>
          </cell>
        </row>
        <row r="177">
          <cell r="A177" t="str">
            <v>Бабичев Геннадий Борисович</v>
          </cell>
          <cell r="B177" t="str">
            <v>В-23072/КЛ.Транш - 1</v>
          </cell>
          <cell r="D177" t="str">
            <v>bdb@k-bb.ru</v>
          </cell>
        </row>
        <row r="178">
          <cell r="A178" t="str">
            <v>Бабокин Евгений Александрович</v>
          </cell>
          <cell r="B178" t="str">
            <v>В-00004/КЛ.Транш - 1</v>
          </cell>
          <cell r="C178" t="str">
            <v>babokin79@mail.ru</v>
          </cell>
        </row>
        <row r="179">
          <cell r="A179" t="str">
            <v>Багаев Феликс Давидович</v>
          </cell>
          <cell r="B179" t="str">
            <v>В-24121/КЛ.Транш - 1</v>
          </cell>
        </row>
        <row r="180">
          <cell r="A180" t="str">
            <v>Багаев Феликс Давидович</v>
          </cell>
          <cell r="B180" t="str">
            <v>В-24121/КЛ.Транш - 2</v>
          </cell>
        </row>
        <row r="181">
          <cell r="A181" t="str">
            <v>Бажуткин Николай Владимирович</v>
          </cell>
          <cell r="B181" t="str">
            <v>В-08393/КЛ.Транш - 1</v>
          </cell>
          <cell r="C181" t="str">
            <v>Bazhutkin.78@mail.ru</v>
          </cell>
        </row>
        <row r="182">
          <cell r="A182" t="str">
            <v>Базарнова Татьяна Леонидовна</v>
          </cell>
          <cell r="B182" t="str">
            <v>В-17708/КЛ.Транш - 1</v>
          </cell>
          <cell r="D182" t="str">
            <v>bazarnova61@mail.ru</v>
          </cell>
        </row>
        <row r="183">
          <cell r="A183" t="str">
            <v>Базаров Атаджан Алланурович</v>
          </cell>
          <cell r="B183" t="str">
            <v>В-22991/КЛ.Транш - 1</v>
          </cell>
          <cell r="D183" t="str">
            <v>bazarov995ata@gmail.com</v>
          </cell>
        </row>
        <row r="184">
          <cell r="A184" t="str">
            <v>Базаров Бахтиёр Асрорович</v>
          </cell>
          <cell r="B184" t="str">
            <v>А-05138/АЗ</v>
          </cell>
        </row>
        <row r="185">
          <cell r="A185" t="str">
            <v>Базарова Нафиса Ибрагимжановна</v>
          </cell>
          <cell r="B185" t="str">
            <v>В-15908/КЛ.Транш - 1</v>
          </cell>
          <cell r="D185" t="str">
            <v>нет</v>
          </cell>
        </row>
        <row r="186">
          <cell r="A186" t="str">
            <v>Байрамов Сабир Вагифович</v>
          </cell>
          <cell r="B186" t="str">
            <v>В-21137/КЛ.Транш - 1</v>
          </cell>
          <cell r="D186" t="str">
            <v>sabir_bayramov_93@mail.ru</v>
          </cell>
        </row>
        <row r="187">
          <cell r="A187" t="str">
            <v>Байтемиров Ахметхан Магарамович</v>
          </cell>
          <cell r="B187" t="str">
            <v>В-22173/КЛ.Транш - 1</v>
          </cell>
          <cell r="D187" t="str">
            <v>bam.61@mail.ru</v>
          </cell>
        </row>
        <row r="188">
          <cell r="A188" t="str">
            <v>Бакиров Теймур Бахрам оглы</v>
          </cell>
          <cell r="B188" t="str">
            <v>В-26197/КЛ.Транш - 1</v>
          </cell>
          <cell r="D188" t="str">
            <v>Tejmurb@mail.ru</v>
          </cell>
        </row>
        <row r="189">
          <cell r="A189" t="str">
            <v>Бакиров Теймур Бахрам оглы</v>
          </cell>
          <cell r="B189" t="str">
            <v>В-26197/КЛ.Транш - 2</v>
          </cell>
          <cell r="D189" t="str">
            <v>Tejmurb@mail.ru</v>
          </cell>
        </row>
        <row r="190">
          <cell r="A190" t="str">
            <v>Бакласова Мирабелла Викторовна</v>
          </cell>
          <cell r="B190" t="str">
            <v>В-25792/КЛ.Транш - 1</v>
          </cell>
          <cell r="D190" t="str">
            <v>m.batlasova@gmail.com</v>
          </cell>
        </row>
        <row r="191">
          <cell r="A191" t="str">
            <v>Бакласова Мирабелла Викторовна</v>
          </cell>
          <cell r="B191" t="str">
            <v>В-25792/КЛ.Транш - 2</v>
          </cell>
          <cell r="D191" t="str">
            <v>m.batlasova@gmail.com</v>
          </cell>
        </row>
        <row r="192">
          <cell r="A192" t="str">
            <v>Бакулин Андрей Валерьевич</v>
          </cell>
          <cell r="B192" t="str">
            <v>В-09206/КЛ.Транш - 1</v>
          </cell>
          <cell r="C192" t="str">
            <v>andrey-bakulin80@mail.ru</v>
          </cell>
        </row>
        <row r="193">
          <cell r="A193" t="str">
            <v>Балт Юнион ООО</v>
          </cell>
          <cell r="B193" t="str">
            <v>В-10023/КЭ.Транш - 1</v>
          </cell>
          <cell r="C193" t="str">
            <v>info@baltunion.com</v>
          </cell>
        </row>
        <row r="194">
          <cell r="A194" t="str">
            <v>Бандалак Олег Иванович</v>
          </cell>
          <cell r="B194" t="str">
            <v>В-15261/КЛ.Транш - 1</v>
          </cell>
          <cell r="C194" t="str">
            <v>Bandalak-oleg@mail.ru</v>
          </cell>
        </row>
        <row r="195">
          <cell r="A195" t="str">
            <v>Бандалак Олег Иванович</v>
          </cell>
          <cell r="B195" t="str">
            <v>В-15261/КЛ.Транш - 2</v>
          </cell>
          <cell r="C195" t="str">
            <v>Bandalak-oleg@mail.ru</v>
          </cell>
        </row>
        <row r="196">
          <cell r="A196" t="str">
            <v>Барамия Иракли Роинович</v>
          </cell>
          <cell r="B196" t="str">
            <v>В-00648/АЗ</v>
          </cell>
        </row>
        <row r="197">
          <cell r="A197" t="str">
            <v>Барамыков Рамиль Адипович</v>
          </cell>
          <cell r="B197" t="str">
            <v>В-23136/АЗ</v>
          </cell>
          <cell r="C197" t="str">
            <v>b.r.a@mail.ru</v>
          </cell>
          <cell r="D197" t="str">
            <v>b.r.a@mail.ru</v>
          </cell>
        </row>
        <row r="198">
          <cell r="A198" t="str">
            <v>Барамыков Рамиль Адипович</v>
          </cell>
          <cell r="B198" t="str">
            <v>В-26110/АЗ</v>
          </cell>
          <cell r="C198" t="str">
            <v>b.r.a@mail.ru</v>
          </cell>
          <cell r="D198" t="str">
            <v>b.r.a@mail.ru</v>
          </cell>
        </row>
        <row r="199">
          <cell r="A199" t="str">
            <v>Баранов Аркадий Александрович</v>
          </cell>
          <cell r="B199" t="str">
            <v>В-19093/КЛ.Транш - 1</v>
          </cell>
          <cell r="D199" t="str">
            <v>arkad2002@mail.ru</v>
          </cell>
        </row>
        <row r="200">
          <cell r="A200" t="str">
            <v>Баранов Вадим Викторович</v>
          </cell>
          <cell r="B200" t="str">
            <v>В-09916/КЛ.Транш - 1</v>
          </cell>
          <cell r="C200" t="str">
            <v>2788314@mail.ru</v>
          </cell>
        </row>
        <row r="201">
          <cell r="A201" t="str">
            <v>Баранов Сергей Алексеевич</v>
          </cell>
          <cell r="B201" t="str">
            <v>В-03541/КЛ.Транш - 1</v>
          </cell>
          <cell r="C201" t="str">
            <v>abdumutalib.abdurakhimov@mail.ru</v>
          </cell>
        </row>
        <row r="202">
          <cell r="A202" t="str">
            <v>Баранова Светлана Александровна</v>
          </cell>
          <cell r="B202" t="str">
            <v>В-09086/КЛ.Транш - 1</v>
          </cell>
          <cell r="C202" t="str">
            <v>lana0091@mail.ru</v>
          </cell>
        </row>
        <row r="203">
          <cell r="A203" t="str">
            <v>Баранова Светлана Александровна</v>
          </cell>
          <cell r="B203" t="str">
            <v>В-09086/КЛ.Транш - 2</v>
          </cell>
          <cell r="C203" t="str">
            <v>lana0091@mail.ru</v>
          </cell>
        </row>
        <row r="204">
          <cell r="A204" t="str">
            <v>Баранова Светлана Александровна</v>
          </cell>
          <cell r="B204" t="str">
            <v>В-09086/КЛ.Транш - 3</v>
          </cell>
          <cell r="C204" t="str">
            <v>lana0091@mail.ru</v>
          </cell>
        </row>
        <row r="205">
          <cell r="A205" t="str">
            <v>Бардин Андрей Юрьевич</v>
          </cell>
          <cell r="B205" t="str">
            <v>В-00319/КЛ.Транш - 2</v>
          </cell>
          <cell r="C205" t="str">
            <v>bar1978din@mail.ru</v>
          </cell>
        </row>
        <row r="206">
          <cell r="A206" t="str">
            <v>Барсамян Маргарит Сережовна</v>
          </cell>
          <cell r="B206" t="str">
            <v>В-27587/АЗ</v>
          </cell>
          <cell r="C206" t="str">
            <v>narine_barsamyan@mail.ru</v>
          </cell>
          <cell r="D206" t="str">
            <v>narine_barsamyan@mail.ru</v>
          </cell>
        </row>
        <row r="207">
          <cell r="A207" t="str">
            <v>Барсикян Эдуард Грачевич</v>
          </cell>
          <cell r="B207" t="str">
            <v>В-10041/КЛ.Транш - 2</v>
          </cell>
        </row>
        <row r="208">
          <cell r="A208" t="str">
            <v>Барсикян Эдуард Грачевич</v>
          </cell>
          <cell r="B208" t="str">
            <v>В-10041/КЛ.Транш - 3</v>
          </cell>
        </row>
        <row r="209">
          <cell r="A209" t="str">
            <v>Барсикян Эдуард Грачевич</v>
          </cell>
          <cell r="B209" t="str">
            <v>В-10041/КЛ.Транш - 4</v>
          </cell>
        </row>
        <row r="210">
          <cell r="A210" t="str">
            <v>Барт Денис Михайлович</v>
          </cell>
          <cell r="B210" t="str">
            <v>В-01174/АЗ</v>
          </cell>
        </row>
        <row r="211">
          <cell r="A211" t="str">
            <v>Бархударов Сергей Юрьевич</v>
          </cell>
          <cell r="B211" t="str">
            <v>В-25499/АЗ</v>
          </cell>
        </row>
        <row r="212">
          <cell r="A212" t="str">
            <v>Барчукова Марина Алексеевна</v>
          </cell>
          <cell r="B212" t="str">
            <v>В-00614/АЗ</v>
          </cell>
          <cell r="C212" t="str">
            <v>barchukova.87@mail.ru</v>
          </cell>
        </row>
        <row r="213">
          <cell r="A213" t="str">
            <v>Барышникова Александра Андреевна</v>
          </cell>
          <cell r="B213" t="str">
            <v>В-00772/АЗ</v>
          </cell>
          <cell r="C213" t="str">
            <v>alexa.baryshnikova@gmail.com</v>
          </cell>
        </row>
        <row r="214">
          <cell r="A214" t="str">
            <v>Батурин Василий Михайлович</v>
          </cell>
          <cell r="B214" t="str">
            <v>В-00840/АЗ</v>
          </cell>
        </row>
        <row r="215">
          <cell r="A215" t="str">
            <v>Баулин Андрей Валерьевич</v>
          </cell>
          <cell r="B215" t="str">
            <v>В-00947/КЛ.Транш - 1</v>
          </cell>
          <cell r="C215" t="str">
            <v>b4ulinandrei@yandex.ru</v>
          </cell>
        </row>
        <row r="216">
          <cell r="A216" t="str">
            <v>Баханова Ирина Владимировна</v>
          </cell>
          <cell r="B216" t="str">
            <v>В-06215/КЛ.Транш - 1</v>
          </cell>
          <cell r="C216" t="str">
            <v>iri-bakhanova@yandex.ru</v>
          </cell>
        </row>
        <row r="217">
          <cell r="A217" t="str">
            <v>Баханцов Семен Владимирович</v>
          </cell>
          <cell r="B217" t="str">
            <v>А-05346/АЗ_Т-20211028/Ц</v>
          </cell>
          <cell r="C217" t="str">
            <v>semen.2013@yandex.ru</v>
          </cell>
          <cell r="D217" t="str">
            <v>semen.2013@yandex.ru</v>
          </cell>
        </row>
        <row r="218">
          <cell r="A218" t="str">
            <v>Баханцов Семен Владимирович</v>
          </cell>
          <cell r="B218" t="str">
            <v>В-00313/АЗ_Т-20211028/Ц</v>
          </cell>
          <cell r="C218" t="str">
            <v>semen.2013@yandex.ru</v>
          </cell>
          <cell r="D218" t="str">
            <v>semen.2013@yandex.ru</v>
          </cell>
        </row>
        <row r="219">
          <cell r="A219" t="str">
            <v>Баханцов Семен Владимирович</v>
          </cell>
          <cell r="B219" t="str">
            <v>Т-01805/АЗ_Т-20211028/Ц</v>
          </cell>
          <cell r="C219" t="str">
            <v>semen.2013@yandex.ru</v>
          </cell>
          <cell r="D219" t="str">
            <v>semen.2013@yandex.ru</v>
          </cell>
        </row>
        <row r="220">
          <cell r="A220" t="str">
            <v>Башкатов Егор Иванович</v>
          </cell>
          <cell r="B220" t="str">
            <v>В-00970/АЗ</v>
          </cell>
          <cell r="C220" t="str">
            <v>89119677172@mail.ru</v>
          </cell>
        </row>
        <row r="221">
          <cell r="A221" t="str">
            <v>Башленко Илья Васильевич</v>
          </cell>
          <cell r="B221" t="str">
            <v>В-19655/КЛ.Транш - 1</v>
          </cell>
          <cell r="D221" t="str">
            <v>ps71-71@mail.ru</v>
          </cell>
        </row>
        <row r="222">
          <cell r="A222" t="str">
            <v>Баяндин Сергей Петрович</v>
          </cell>
          <cell r="B222" t="str">
            <v>В-17232/КЛ.Транш - 1</v>
          </cell>
          <cell r="D222" t="str">
            <v>Bayandin97@bk.ru</v>
          </cell>
        </row>
        <row r="223">
          <cell r="A223" t="str">
            <v>Бекетов Алексей Алексеевич</v>
          </cell>
          <cell r="B223" t="str">
            <v>В-23509/КЛ.Транш - 1</v>
          </cell>
          <cell r="D223" t="str">
            <v>Beketov-a@mail.ru</v>
          </cell>
        </row>
        <row r="224">
          <cell r="A224" t="str">
            <v>Бекетов Алексей Алексеевич</v>
          </cell>
          <cell r="B224" t="str">
            <v>В-23509/КЛ.Транш - 2</v>
          </cell>
          <cell r="D224" t="str">
            <v>Beketov-a@mail.ru</v>
          </cell>
        </row>
        <row r="225">
          <cell r="A225" t="str">
            <v>Белан Надежда Александровна</v>
          </cell>
          <cell r="B225" t="str">
            <v>В-04724/КЛ.Транш - 3</v>
          </cell>
          <cell r="C225" t="str">
            <v>dom-kuchugury@yandex.ru</v>
          </cell>
        </row>
        <row r="226">
          <cell r="A226" t="str">
            <v>Белгер Эрнест Владимирович</v>
          </cell>
          <cell r="B226" t="str">
            <v>В-22163/КЛ.Транш - 1</v>
          </cell>
          <cell r="C226" t="str">
            <v>belgernie@gmail.com</v>
          </cell>
          <cell r="D226" t="str">
            <v>belgernie@gmail.com</v>
          </cell>
        </row>
        <row r="227">
          <cell r="A227" t="str">
            <v>Белецкий Григорий Дмитриевич</v>
          </cell>
          <cell r="B227" t="str">
            <v>В-09725/КЛ.Транш - 1</v>
          </cell>
        </row>
        <row r="228">
          <cell r="A228" t="str">
            <v>Белик Галина Александровна</v>
          </cell>
          <cell r="B228" t="str">
            <v>В-27260/АЗ</v>
          </cell>
          <cell r="D228" t="str">
            <v>Winter2312@bk.ru</v>
          </cell>
        </row>
        <row r="229">
          <cell r="A229" t="str">
            <v>Белинский Сергей Игоревич</v>
          </cell>
          <cell r="B229" t="str">
            <v>В-00806/АЗ_В-20211230/Ц</v>
          </cell>
        </row>
        <row r="230">
          <cell r="A230" t="str">
            <v>Белич Валерий Валериевич</v>
          </cell>
          <cell r="B230" t="str">
            <v>В-08212/КЛ.Транш - 4</v>
          </cell>
          <cell r="C230" t="str">
            <v>exklyziv07@rambler.ru</v>
          </cell>
        </row>
        <row r="231">
          <cell r="A231" t="str">
            <v>Белич Валерий Валериевич</v>
          </cell>
          <cell r="B231" t="str">
            <v>В-08212/КЛ.Транш - 5</v>
          </cell>
          <cell r="C231" t="str">
            <v>exklyziv07@rambler.ru</v>
          </cell>
        </row>
        <row r="232">
          <cell r="A232" t="str">
            <v>Белич Валерий Валериевич</v>
          </cell>
          <cell r="B232" t="str">
            <v>В-08212/КЛ.Транш - 6</v>
          </cell>
          <cell r="C232" t="str">
            <v>exklyziv07@rambler.ru</v>
          </cell>
        </row>
        <row r="233">
          <cell r="A233" t="str">
            <v>Белич Валерий Валериевич</v>
          </cell>
          <cell r="B233" t="str">
            <v>В-08212/КЛ.Транш - 7</v>
          </cell>
          <cell r="C233" t="str">
            <v>exklyziv07@rambler.ru</v>
          </cell>
        </row>
        <row r="234">
          <cell r="A234" t="str">
            <v>Белов Александр Сергеевич</v>
          </cell>
          <cell r="B234" t="str">
            <v>А-05459/АЗ</v>
          </cell>
          <cell r="C234" t="str">
            <v>bil955@mail.ru</v>
          </cell>
        </row>
        <row r="235">
          <cell r="A235" t="str">
            <v>Белов Александр Сергеевич</v>
          </cell>
          <cell r="B235" t="str">
            <v>В-00942/АЗ</v>
          </cell>
          <cell r="C235" t="str">
            <v>bil955@mail.ru</v>
          </cell>
        </row>
        <row r="236">
          <cell r="A236" t="str">
            <v>Белов Александр Сергеевич</v>
          </cell>
          <cell r="B236" t="str">
            <v>В-24140/АЗ</v>
          </cell>
          <cell r="C236" t="str">
            <v>bil955@mail.ru</v>
          </cell>
        </row>
        <row r="237">
          <cell r="A237" t="str">
            <v>Белов Вячеслав Сергеевич</v>
          </cell>
          <cell r="B237" t="str">
            <v>В-21795/КЛ.Транш - 1</v>
          </cell>
          <cell r="D237" t="str">
            <v>VYACHESLAV_BELOV_2021@mail.ru</v>
          </cell>
        </row>
        <row r="238">
          <cell r="A238" t="str">
            <v>Белова Ольга Евгеньевна</v>
          </cell>
          <cell r="B238" t="str">
            <v>В-15838/КЛ.Транш - 1</v>
          </cell>
          <cell r="D238" t="str">
            <v>belova-bep@mail.ru</v>
          </cell>
        </row>
        <row r="239">
          <cell r="A239" t="str">
            <v>Белова Ольга Евгеньевна</v>
          </cell>
          <cell r="B239" t="str">
            <v>В-15838/КЛ.Транш - 2</v>
          </cell>
          <cell r="D239" t="str">
            <v>belova-bep@mail.ru</v>
          </cell>
        </row>
        <row r="240">
          <cell r="A240" t="str">
            <v>Белолипцев Дмитрий Олегович</v>
          </cell>
          <cell r="B240" t="str">
            <v>В-17458/КЛ.Транш - 1</v>
          </cell>
          <cell r="D240" t="str">
            <v>chubr_90@mail.ru</v>
          </cell>
        </row>
        <row r="241">
          <cell r="A241" t="str">
            <v>Беломытцев Илья Алексеевич</v>
          </cell>
          <cell r="B241" t="str">
            <v>В-14254/КЛ.Транш - 1</v>
          </cell>
          <cell r="D241" t="str">
            <v>iljyab@gmail.com</v>
          </cell>
        </row>
        <row r="242">
          <cell r="A242" t="str">
            <v>Белорыбкин Михаил Васильевич</v>
          </cell>
          <cell r="B242" t="str">
            <v>В-19684/КЛ.Транш - 1</v>
          </cell>
          <cell r="D242" t="str">
            <v>belrybuin@mail.ru</v>
          </cell>
        </row>
        <row r="243">
          <cell r="A243" t="str">
            <v>Белоусов Валерий Владиславович</v>
          </cell>
          <cell r="B243" t="str">
            <v>В-25922/КЛ.Транш - 1</v>
          </cell>
          <cell r="C243" t="str">
            <v>stihl-krasnodar@mail.ru</v>
          </cell>
        </row>
        <row r="244">
          <cell r="A244" t="str">
            <v>Белоусов Валерий Владиславович</v>
          </cell>
          <cell r="B244" t="str">
            <v>В-25922/КЛ.Транш - 2</v>
          </cell>
          <cell r="C244" t="str">
            <v>stihl-krasnodar@mail.ru</v>
          </cell>
        </row>
        <row r="245">
          <cell r="A245" t="str">
            <v>Белоусова Наталья Анатольевна</v>
          </cell>
          <cell r="B245" t="str">
            <v>В-16357/КЛ.Транш - 1</v>
          </cell>
          <cell r="D245" t="str">
            <v>belousovanatali@gmail.com</v>
          </cell>
        </row>
        <row r="246">
          <cell r="A246" t="str">
            <v>Белоусова Наталья Анатольевна</v>
          </cell>
          <cell r="B246" t="str">
            <v>В-16357/КЛ.Транш - 2</v>
          </cell>
          <cell r="D246" t="str">
            <v>belousovanatali@gmail.com</v>
          </cell>
        </row>
        <row r="247">
          <cell r="A247" t="str">
            <v>Беляев Алексей Васильевич</v>
          </cell>
          <cell r="B247" t="str">
            <v>В-00948/КЛ.Транш - 1</v>
          </cell>
          <cell r="C247" t="str">
            <v>belyai77@mail.ru</v>
          </cell>
        </row>
        <row r="248">
          <cell r="A248" t="str">
            <v>Беляев Андрей Сергеевич</v>
          </cell>
          <cell r="B248" t="str">
            <v>В-00820/АЗ</v>
          </cell>
        </row>
        <row r="249">
          <cell r="A249" t="str">
            <v>Белякова Марина Сергеевна</v>
          </cell>
          <cell r="B249" t="str">
            <v>В-22677/КЛ.Транш - 1</v>
          </cell>
          <cell r="C249" t="str">
            <v>marysa855@gmail.com</v>
          </cell>
          <cell r="D249" t="str">
            <v>marysa855@gmail.com</v>
          </cell>
        </row>
        <row r="250">
          <cell r="A250" t="str">
            <v>Бендас Евгений Васильевич</v>
          </cell>
          <cell r="B250" t="str">
            <v>В-10934/КЛ.Транш - 1</v>
          </cell>
          <cell r="C250" t="str">
            <v>evgeniy.kostroma44@mail.ru</v>
          </cell>
        </row>
        <row r="251">
          <cell r="A251" t="str">
            <v>Бендас Евгений Васильевич</v>
          </cell>
          <cell r="B251" t="str">
            <v>В-10934/КЛ.Транш - 2</v>
          </cell>
          <cell r="C251" t="str">
            <v>evgeniy.kostroma44@mail.ru</v>
          </cell>
        </row>
        <row r="252">
          <cell r="A252" t="str">
            <v>Берберян Эдуард Арутюнович</v>
          </cell>
          <cell r="B252" t="str">
            <v>В-11934/КЛ.Транш - 2</v>
          </cell>
          <cell r="C252" t="str">
            <v>Berberyane87@mail.ru</v>
          </cell>
        </row>
        <row r="253">
          <cell r="A253" t="str">
            <v>Берберян Эдуард Арутюнович</v>
          </cell>
          <cell r="B253" t="str">
            <v>В-11934/КЛ.Транш - 4</v>
          </cell>
          <cell r="C253" t="str">
            <v>Berberyane87@mail.ru</v>
          </cell>
        </row>
        <row r="254">
          <cell r="A254" t="str">
            <v>Березин Валентин Юрьевич</v>
          </cell>
          <cell r="B254" t="str">
            <v>В-28088/КЛ.Транш - 1</v>
          </cell>
          <cell r="C254" t="str">
            <v>9037118940@mail.ru</v>
          </cell>
          <cell r="D254" t="str">
            <v>9037118940@mail.ru</v>
          </cell>
        </row>
        <row r="255">
          <cell r="A255" t="str">
            <v>Березин Валентин Юрьевич</v>
          </cell>
          <cell r="B255" t="str">
            <v>В-28088/КЛ.Транш - 2</v>
          </cell>
          <cell r="C255" t="str">
            <v>9037118940@mail.ru</v>
          </cell>
          <cell r="D255" t="str">
            <v>9037118940@mail.ru</v>
          </cell>
        </row>
        <row r="256">
          <cell r="A256" t="str">
            <v>Березин Виктор Владимирович</v>
          </cell>
          <cell r="B256" t="str">
            <v>В-11162/КЛ.Транш - 1</v>
          </cell>
          <cell r="C256" t="str">
            <v>viktorbiz.spb@gmail.com</v>
          </cell>
        </row>
        <row r="257">
          <cell r="A257" t="str">
            <v>Бесаев Заур Маратович</v>
          </cell>
          <cell r="B257" t="str">
            <v>В-18050/КЛ.Транш - 1</v>
          </cell>
        </row>
        <row r="258">
          <cell r="A258" t="str">
            <v>Бесаев Заур Маратович</v>
          </cell>
          <cell r="B258" t="str">
            <v>В-18050/КЛ.Транш - 2</v>
          </cell>
        </row>
        <row r="259">
          <cell r="A259" t="str">
            <v>Бибнева Анастасия Дмитриевна</v>
          </cell>
          <cell r="B259" t="str">
            <v>В-13254/КЛ.Транш - 1</v>
          </cell>
        </row>
        <row r="260">
          <cell r="A260" t="str">
            <v>Бизнес Бухгалтер ООО</v>
          </cell>
          <cell r="B260" t="str">
            <v>В-00068/КЭ.Транш - 1</v>
          </cell>
          <cell r="C260" t="str">
            <v>ampramian@yandex.ru</v>
          </cell>
        </row>
        <row r="261">
          <cell r="A261" t="str">
            <v>Бикеев Максим Васильевич</v>
          </cell>
          <cell r="B261" t="str">
            <v>В-25705/КЛ.Транш - 1</v>
          </cell>
          <cell r="D261" t="str">
            <v>maksbikeev3@gmail.com</v>
          </cell>
        </row>
        <row r="262">
          <cell r="A262" t="str">
            <v>Бикиева Ольга Альбертовна</v>
          </cell>
          <cell r="B262" t="str">
            <v>В-23881/КЛ.Транш - 1</v>
          </cell>
          <cell r="D262" t="str">
            <v>Bagira.95@mail.ru</v>
          </cell>
        </row>
        <row r="263">
          <cell r="A263" t="str">
            <v>Бикиева Ольга Альбертовна</v>
          </cell>
          <cell r="B263" t="str">
            <v>В-23881/КЛ.Транш - 2</v>
          </cell>
          <cell r="D263" t="str">
            <v>Bagira.95@mail.ru</v>
          </cell>
        </row>
        <row r="264">
          <cell r="A264" t="str">
            <v>Билалов Имам Исламович</v>
          </cell>
          <cell r="B264" t="str">
            <v>В-01024/АЗ</v>
          </cell>
          <cell r="C264" t="str">
            <v>imam_4525@mail.ru</v>
          </cell>
        </row>
        <row r="265">
          <cell r="A265" t="str">
            <v>Битюцких Александр Александрович</v>
          </cell>
          <cell r="B265" t="str">
            <v>Т-01914/АЗ_Т-20211028/Ц</v>
          </cell>
          <cell r="C265" t="str">
            <v>bityutzckih@yandex.ru</v>
          </cell>
        </row>
        <row r="266">
          <cell r="A266" t="str">
            <v>Биченов Сослан Эдуардович</v>
          </cell>
          <cell r="B266" t="str">
            <v>В-00974/АЗ</v>
          </cell>
          <cell r="C266" t="str">
            <v>bitchenov_s@mail.ru</v>
          </cell>
        </row>
        <row r="267">
          <cell r="A267" t="str">
            <v>Биятов Малик Серекович</v>
          </cell>
          <cell r="B267" t="str">
            <v>В-14005/КЛ.Транш - 1</v>
          </cell>
          <cell r="D267" t="str">
            <v>mbiyatov@bk.ru</v>
          </cell>
        </row>
        <row r="268">
          <cell r="A268" t="str">
            <v>Биятов Малик Серекович</v>
          </cell>
          <cell r="B268" t="str">
            <v>В-14005/КЛ.Транш - 2</v>
          </cell>
          <cell r="D268" t="str">
            <v>mbiyatov@bk.ru</v>
          </cell>
        </row>
        <row r="269">
          <cell r="A269" t="str">
            <v>Биятов Малик Серекович</v>
          </cell>
          <cell r="B269" t="str">
            <v>В-14005/КЛ.Транш - 3</v>
          </cell>
          <cell r="D269" t="str">
            <v>mbiyatov@bk.ru</v>
          </cell>
        </row>
        <row r="270">
          <cell r="A270" t="str">
            <v>Блинов Сергей Владимирович</v>
          </cell>
          <cell r="B270" t="str">
            <v>В-25548/КЛ.Транш - 1</v>
          </cell>
          <cell r="D270" t="str">
            <v>sergeblinov775@gmail.com</v>
          </cell>
        </row>
        <row r="271">
          <cell r="A271" t="str">
            <v>Бобров Дмитрий Михайлович</v>
          </cell>
          <cell r="B271" t="str">
            <v>А-05082/АЗ</v>
          </cell>
          <cell r="C271" t="str">
            <v>dmitrii_bobrov@mail.ru</v>
          </cell>
          <cell r="D271" t="str">
            <v>dmitrii_bobrov@mail.ru</v>
          </cell>
        </row>
        <row r="272">
          <cell r="A272" t="str">
            <v>Богачук Сергей Прокопьевич</v>
          </cell>
          <cell r="B272" t="str">
            <v>В-17506/КЛ.Транш - 1</v>
          </cell>
          <cell r="D272" t="str">
            <v>sergheibogacius@gmail.com</v>
          </cell>
        </row>
        <row r="273">
          <cell r="A273" t="str">
            <v>Богданов Александр Сергеевич</v>
          </cell>
          <cell r="B273" t="str">
            <v>В-22763/КЛ.Транш - 1</v>
          </cell>
          <cell r="C273" t="str">
            <v>alexbogdanov.2015@mail.ru</v>
          </cell>
        </row>
        <row r="274">
          <cell r="A274" t="str">
            <v>Богданов Борис Владимирович</v>
          </cell>
          <cell r="B274" t="str">
            <v>В-18370/КЛ.Транш - 1</v>
          </cell>
          <cell r="D274" t="str">
            <v>borisbogdanov2@yandex.ru</v>
          </cell>
        </row>
        <row r="275">
          <cell r="A275" t="str">
            <v>Богданова Марина Алексеевна</v>
          </cell>
          <cell r="B275" t="str">
            <v>В-00708/АЗ</v>
          </cell>
          <cell r="C275" t="str">
            <v>bogdanova-m82@mail.ru</v>
          </cell>
        </row>
        <row r="276">
          <cell r="A276" t="str">
            <v>Богданова Ольга Геннадиевна</v>
          </cell>
          <cell r="B276" t="str">
            <v>В-18536/КЛ.Транш - 1</v>
          </cell>
          <cell r="D276" t="str">
            <v>obogdanova76@mail.ru</v>
          </cell>
        </row>
        <row r="277">
          <cell r="A277" t="str">
            <v>Богомилов Михаил Михайлович</v>
          </cell>
          <cell r="B277" t="str">
            <v>А-04793/АЗ</v>
          </cell>
        </row>
        <row r="278">
          <cell r="A278" t="str">
            <v>Бозоян Агаси Климентович</v>
          </cell>
          <cell r="B278" t="str">
            <v>В-12853/КЛ.Транш - 5</v>
          </cell>
          <cell r="C278" t="str">
            <v>agasi999@list.ru</v>
          </cell>
          <cell r="D278" t="str">
            <v>agasi999@list.ru</v>
          </cell>
        </row>
        <row r="279">
          <cell r="A279" t="str">
            <v>Бозоян Агаси Климентович</v>
          </cell>
          <cell r="B279" t="str">
            <v>В-12853/КЛ.Транш - 6</v>
          </cell>
          <cell r="C279" t="str">
            <v>agasi999@list.ru</v>
          </cell>
          <cell r="D279" t="str">
            <v>agasi999@list.ru</v>
          </cell>
        </row>
        <row r="280">
          <cell r="A280" t="str">
            <v>Бойко Василий Анатольевич</v>
          </cell>
          <cell r="B280" t="str">
            <v>В-03629/КЛ.Транш - 1</v>
          </cell>
          <cell r="C280" t="str">
            <v>v.boyko89@yandex.ru</v>
          </cell>
        </row>
        <row r="281">
          <cell r="A281" t="str">
            <v>Болквадзе Александр Теймуразович</v>
          </cell>
          <cell r="B281" t="str">
            <v>В-22451/АЗ</v>
          </cell>
          <cell r="C281" t="str">
            <v>abolk@rambler.ru</v>
          </cell>
        </row>
        <row r="282">
          <cell r="A282" t="str">
            <v>Бондаренко Александр Александрович</v>
          </cell>
          <cell r="B282" t="str">
            <v>В-25659/КЛ.Транш - 1</v>
          </cell>
          <cell r="D282" t="str">
            <v>mama4899anna@gmail.com</v>
          </cell>
        </row>
        <row r="283">
          <cell r="A283" t="str">
            <v>Бондаренко Александр Александрович</v>
          </cell>
          <cell r="B283" t="str">
            <v>В-25659/КЛ.Транш - 2</v>
          </cell>
          <cell r="D283" t="str">
            <v>mama4899anna@gmail.com</v>
          </cell>
        </row>
        <row r="284">
          <cell r="A284" t="str">
            <v>Бондаренко Светлана Евгеньевна</v>
          </cell>
          <cell r="B284" t="str">
            <v>В-28062/КЛ.Транш - 1</v>
          </cell>
          <cell r="D284" t="str">
            <v>0087078@mail.ru</v>
          </cell>
        </row>
        <row r="285">
          <cell r="A285" t="str">
            <v>Борисов Александр Михайлович</v>
          </cell>
          <cell r="B285" t="str">
            <v>В-21523/КЛ.Транш - 1</v>
          </cell>
          <cell r="C285" t="str">
            <v>buh@emerg.ru</v>
          </cell>
        </row>
        <row r="286">
          <cell r="A286" t="str">
            <v>Борисов Александр Михайлович</v>
          </cell>
          <cell r="B286" t="str">
            <v>В-21523/КЛ.Транш - 2</v>
          </cell>
          <cell r="C286" t="str">
            <v>buh@emerg.ru</v>
          </cell>
        </row>
        <row r="287">
          <cell r="A287" t="str">
            <v>Борисов Андрей Сергеевич</v>
          </cell>
          <cell r="B287" t="str">
            <v>В-14198/КЛ.Транш - 1</v>
          </cell>
          <cell r="D287" t="str">
            <v>andreystreetball@yandex.ru</v>
          </cell>
        </row>
        <row r="288">
          <cell r="A288" t="str">
            <v>Борисов Кирилл Александрович</v>
          </cell>
          <cell r="B288" t="str">
            <v>А-02635/АЗ</v>
          </cell>
          <cell r="C288" t="str">
            <v>soulloki@yandex.ru</v>
          </cell>
          <cell r="D288" t="str">
            <v>soulloki@yandex.ru</v>
          </cell>
        </row>
        <row r="289">
          <cell r="A289" t="str">
            <v>Борисов Максим Валерьевич</v>
          </cell>
          <cell r="B289" t="str">
            <v>В-00461/АЗ</v>
          </cell>
          <cell r="C289" t="str">
            <v>maxx2011@yandex.ru</v>
          </cell>
        </row>
        <row r="290">
          <cell r="A290" t="str">
            <v>Брежнева Мария Михайловна</v>
          </cell>
          <cell r="B290" t="str">
            <v>В-11477/КЛ.Транш - 1</v>
          </cell>
          <cell r="C290" t="str">
            <v>brejnevamm@mail.ru</v>
          </cell>
        </row>
        <row r="291">
          <cell r="A291" t="str">
            <v>Брежнева Мария Михайловна</v>
          </cell>
          <cell r="B291" t="str">
            <v>В-11477/КЛ.Транш - 3</v>
          </cell>
          <cell r="C291" t="str">
            <v>brejnevamm@mail.ru</v>
          </cell>
        </row>
        <row r="292">
          <cell r="A292" t="str">
            <v>Брынский Артем Сергеевич</v>
          </cell>
          <cell r="B292" t="str">
            <v>В-01201/АЗ</v>
          </cell>
          <cell r="C292" t="str">
            <v>abrynskiy@yandex.ru</v>
          </cell>
          <cell r="D292" t="str">
            <v>abrynskiy@yandex.ru</v>
          </cell>
        </row>
        <row r="293">
          <cell r="A293" t="str">
            <v>Буланкин Андрей Сергеевич</v>
          </cell>
          <cell r="B293" t="str">
            <v>В-16983/КЛ.Транш - 1</v>
          </cell>
          <cell r="D293" t="str">
            <v>Bulankin73@gmail.com</v>
          </cell>
        </row>
        <row r="294">
          <cell r="A294" t="str">
            <v>Буланкин Андрей Сергеевич</v>
          </cell>
          <cell r="B294" t="str">
            <v>В-16983/КЛ.Транш - 2</v>
          </cell>
          <cell r="D294" t="str">
            <v>Bulankin73@gmail.com</v>
          </cell>
        </row>
        <row r="295">
          <cell r="A295" t="str">
            <v>Булатов Даниил Владимирович</v>
          </cell>
          <cell r="B295" t="str">
            <v>В-24710/АЗ</v>
          </cell>
          <cell r="D295" t="str">
            <v>danya.bulatov.2002@bk.ru</v>
          </cell>
        </row>
        <row r="296">
          <cell r="A296" t="str">
            <v>Булатова Оксана Валерьевна</v>
          </cell>
          <cell r="B296" t="str">
            <v>В-24691/АЗ</v>
          </cell>
          <cell r="D296" t="str">
            <v>ksbulatova@yandex.ru</v>
          </cell>
        </row>
        <row r="297">
          <cell r="A297" t="str">
            <v>Булгакова Галия Закиевна</v>
          </cell>
          <cell r="B297" t="str">
            <v>В-14915/КЛ.Транш - 5</v>
          </cell>
          <cell r="C297" t="str">
            <v>bulgakova_d@mail.ru</v>
          </cell>
          <cell r="D297" t="str">
            <v>bulgakova_d@mail.ru</v>
          </cell>
        </row>
        <row r="298">
          <cell r="A298" t="str">
            <v>Бунаков Алексей Вячеславович</v>
          </cell>
          <cell r="B298" t="str">
            <v>В-27410/КЛ.Транш - 1</v>
          </cell>
          <cell r="C298" t="str">
            <v>dgefff777@yandex.ru</v>
          </cell>
        </row>
        <row r="299">
          <cell r="A299" t="str">
            <v>Буниатян Арман Арменакович</v>
          </cell>
          <cell r="B299" t="str">
            <v>В-20193/КЛ.Транш - 1</v>
          </cell>
          <cell r="D299" t="str">
            <v>buniatyan84@list.ru</v>
          </cell>
        </row>
        <row r="300">
          <cell r="A300" t="str">
            <v>Буренкова Екатерина Сергеевна</v>
          </cell>
          <cell r="B300" t="str">
            <v>В-19179/КЛ.Транш - 1</v>
          </cell>
          <cell r="D300" t="str">
            <v>ekaterinaburenkova3@gmail.com</v>
          </cell>
        </row>
        <row r="301">
          <cell r="A301" t="str">
            <v>Буренкова Екатерина Сергеевна</v>
          </cell>
          <cell r="B301" t="str">
            <v>В-19179/КЛ.Транш - 2</v>
          </cell>
          <cell r="D301" t="str">
            <v>ekaterinaburenkova3@gmail.com</v>
          </cell>
        </row>
        <row r="302">
          <cell r="A302" t="str">
            <v>Бурков Анатолий Александрович</v>
          </cell>
          <cell r="B302" t="str">
            <v>В-00923/АЗ</v>
          </cell>
          <cell r="C302" t="str">
            <v>stroyproekttehnika@yandex.ru</v>
          </cell>
        </row>
        <row r="303">
          <cell r="A303" t="str">
            <v>Бурма Мария Георгиевна</v>
          </cell>
          <cell r="B303" t="str">
            <v>В-26733/КЛ.Транш - 1</v>
          </cell>
          <cell r="C303" t="str">
            <v>maria.burma@yandex.ru</v>
          </cell>
        </row>
        <row r="304">
          <cell r="A304" t="str">
            <v>Бурцев Владимир Вячеславович</v>
          </cell>
          <cell r="B304" t="str">
            <v>В-23458/КЛ.Транш - 1</v>
          </cell>
          <cell r="D304" t="str">
            <v>volodaburtsev@list.ru</v>
          </cell>
        </row>
        <row r="305">
          <cell r="A305" t="str">
            <v>Бурцев Владимир Вячеславович</v>
          </cell>
          <cell r="B305" t="str">
            <v>В-23458/КЛ.Транш - 2</v>
          </cell>
          <cell r="D305" t="str">
            <v>volodaburtsev@list.ru</v>
          </cell>
        </row>
        <row r="306">
          <cell r="A306" t="str">
            <v>Бурцев Владимир Вячеславович</v>
          </cell>
          <cell r="B306" t="str">
            <v>В-23458/КЛ.Транш - 3</v>
          </cell>
          <cell r="D306" t="str">
            <v>volodaburtsev@list.ru</v>
          </cell>
        </row>
        <row r="307">
          <cell r="A307" t="str">
            <v>Бурцев Владимир Вячеславович</v>
          </cell>
          <cell r="B307" t="str">
            <v>В-23458/КЛ.Транш - 4</v>
          </cell>
          <cell r="D307" t="str">
            <v>volodaburtsev@list.ru</v>
          </cell>
        </row>
        <row r="308">
          <cell r="A308" t="str">
            <v>Бурцев Владимир Вячеславович</v>
          </cell>
          <cell r="B308" t="str">
            <v>В-23458/КЛ.Транш - 5</v>
          </cell>
          <cell r="D308" t="str">
            <v>volodaburtsev@list.ru</v>
          </cell>
        </row>
        <row r="309">
          <cell r="A309" t="str">
            <v>Бурьянов Андрей Михайлович</v>
          </cell>
          <cell r="B309" t="str">
            <v>В-02202/КЛ.Транш - 3</v>
          </cell>
          <cell r="C309" t="str">
            <v>a61130@yandex.ru</v>
          </cell>
          <cell r="D309" t="str">
            <v>a61130@yandex.ru</v>
          </cell>
        </row>
        <row r="310">
          <cell r="A310" t="str">
            <v>Бурьянов Андрей Михайлович</v>
          </cell>
          <cell r="B310" t="str">
            <v>В-28087/КЛ.Транш - 1</v>
          </cell>
          <cell r="C310" t="str">
            <v>a61130@yandex.ru</v>
          </cell>
          <cell r="D310" t="str">
            <v>a61130@yandex.ru</v>
          </cell>
        </row>
        <row r="311">
          <cell r="A311" t="str">
            <v>Бутаков Владимир Владимирович</v>
          </cell>
          <cell r="B311" t="str">
            <v>В-26847/КЛ.Транш - 1</v>
          </cell>
          <cell r="D311" t="str">
            <v>Butakov066@gmail.com</v>
          </cell>
        </row>
        <row r="312">
          <cell r="A312" t="str">
            <v>Бутов Павел Александрович</v>
          </cell>
          <cell r="B312" t="str">
            <v>В-22077/КЛ.Транш - 1</v>
          </cell>
        </row>
        <row r="313">
          <cell r="A313" t="str">
            <v>Бутурлакин Марк Николаевич</v>
          </cell>
          <cell r="B313" t="str">
            <v>В-27050/АЗ</v>
          </cell>
          <cell r="D313" t="str">
            <v>lichcraft@bk.ru</v>
          </cell>
        </row>
        <row r="314">
          <cell r="A314" t="str">
            <v>Быстров Михаил Владимирович</v>
          </cell>
          <cell r="B314" t="str">
            <v>В-02644/КЛ.Транш - 1_В-20211230/Ц</v>
          </cell>
          <cell r="C314" t="str">
            <v>artushok@yandex.ru</v>
          </cell>
        </row>
        <row r="315">
          <cell r="A315" t="str">
            <v>Бычков Алексей Александрович</v>
          </cell>
          <cell r="B315" t="str">
            <v>В-00730/АЗ</v>
          </cell>
          <cell r="C315" t="str">
            <v>RANGEHELPER@MAIL.RU</v>
          </cell>
        </row>
        <row r="316">
          <cell r="A316" t="str">
            <v>Вакорина Екатерина Валентиновна</v>
          </cell>
          <cell r="B316" t="str">
            <v>В-11603/КЛ.Транш - 1</v>
          </cell>
          <cell r="C316" t="str">
            <v>vakorina.k@yandex.ru</v>
          </cell>
        </row>
        <row r="317">
          <cell r="A317" t="str">
            <v>ВАЛАР ООО</v>
          </cell>
          <cell r="B317" t="str">
            <v>В-00023/КЭ.Транш - 1</v>
          </cell>
          <cell r="C317" t="str">
            <v>info@valar-service.ru</v>
          </cell>
        </row>
        <row r="318">
          <cell r="A318" t="str">
            <v>Валеев Рамиль Равилович</v>
          </cell>
          <cell r="B318" t="str">
            <v>В-11716/КЛ.Транш - 1</v>
          </cell>
          <cell r="C318" t="str">
            <v>RAMIL.VALEEV.1996@inbox.ru</v>
          </cell>
        </row>
        <row r="319">
          <cell r="A319" t="str">
            <v>Валеев Тимур Сагитович</v>
          </cell>
          <cell r="B319" t="str">
            <v>В-15822/КЛ.Транш - 1</v>
          </cell>
        </row>
        <row r="320">
          <cell r="A320" t="str">
            <v>Валиков Алексей Анатольевич</v>
          </cell>
          <cell r="B320" t="str">
            <v>В-27006/КЛ.Транш - 1</v>
          </cell>
          <cell r="D320" t="str">
            <v>aleshka.valikov@yandex.ru</v>
          </cell>
        </row>
        <row r="321">
          <cell r="A321" t="str">
            <v>Валитов Марат Рифагатович</v>
          </cell>
          <cell r="B321" t="str">
            <v>В-14944/КЛ.Транш - 1</v>
          </cell>
          <cell r="D321" t="str">
            <v>maratos@ya.ru</v>
          </cell>
        </row>
        <row r="322">
          <cell r="A322" t="str">
            <v>Валитов Марат Рифагатович</v>
          </cell>
          <cell r="B322" t="str">
            <v>В-14944/КЛ.Транш - 2</v>
          </cell>
          <cell r="D322" t="str">
            <v>maratos@ya.ru</v>
          </cell>
        </row>
        <row r="323">
          <cell r="A323" t="str">
            <v>Валитов Марат Рифагатович</v>
          </cell>
          <cell r="B323" t="str">
            <v>В-14944/КЛ.Транш - 3</v>
          </cell>
          <cell r="D323" t="str">
            <v>maratos@ya.ru</v>
          </cell>
        </row>
        <row r="324">
          <cell r="A324" t="str">
            <v>Ваньков Никита Валерьевич</v>
          </cell>
          <cell r="B324" t="str">
            <v>В-08584/КЛ.Транш - 2</v>
          </cell>
          <cell r="C324" t="str">
            <v>vankov.n@mail.ru</v>
          </cell>
        </row>
        <row r="325">
          <cell r="A325" t="str">
            <v>Ваньков Никита Валерьевич</v>
          </cell>
          <cell r="B325" t="str">
            <v>В-08584/КЛ.Транш - 3</v>
          </cell>
          <cell r="C325" t="str">
            <v>vankov.n@mail.ru</v>
          </cell>
        </row>
        <row r="326">
          <cell r="A326" t="str">
            <v>Ваньков Никита Валерьевич</v>
          </cell>
          <cell r="B326" t="str">
            <v>В-08584/КЛ.Транш - 4</v>
          </cell>
          <cell r="C326" t="str">
            <v>vankov.n@mail.ru</v>
          </cell>
        </row>
        <row r="327">
          <cell r="A327" t="str">
            <v>Ваньков Никита Валерьевич</v>
          </cell>
          <cell r="B327" t="str">
            <v>В-08584/КЛ.Транш - 5</v>
          </cell>
          <cell r="C327" t="str">
            <v>vankov.n@mail.ru</v>
          </cell>
        </row>
        <row r="328">
          <cell r="A328" t="str">
            <v>Варданян Ара Лаврентович</v>
          </cell>
          <cell r="B328" t="str">
            <v>В-27835/КЛ.Транш - 1</v>
          </cell>
          <cell r="C328" t="str">
            <v>ugrosinter@mail.ru</v>
          </cell>
          <cell r="D328" t="str">
            <v>ugrosinter@mail.ru</v>
          </cell>
        </row>
        <row r="329">
          <cell r="A329" t="str">
            <v>Варданян Ара Лаврентович</v>
          </cell>
          <cell r="B329" t="str">
            <v>В-27835/КЛ.Транш - 2</v>
          </cell>
          <cell r="C329" t="str">
            <v>ugrosinter@mail.ru</v>
          </cell>
          <cell r="D329" t="str">
            <v>ugrosinter@mail.ru</v>
          </cell>
        </row>
        <row r="330">
          <cell r="A330" t="str">
            <v>Варданян Армен Вазгенович</v>
          </cell>
          <cell r="B330" t="str">
            <v>В-01202/АЗ</v>
          </cell>
          <cell r="C330" t="str">
            <v>vazgenchik82@mail.ru</v>
          </cell>
          <cell r="D330" t="str">
            <v>vazgenchik82@mail.ru</v>
          </cell>
        </row>
        <row r="331">
          <cell r="A331" t="str">
            <v>Вартикян Карен Смбатович</v>
          </cell>
          <cell r="B331" t="str">
            <v>В-25513/КЛ.Транш - 1</v>
          </cell>
          <cell r="D331" t="str">
            <v>VARTIKYAN78@BK.RU</v>
          </cell>
        </row>
        <row r="332">
          <cell r="A332" t="str">
            <v>Василевский Константин Дмитриевич</v>
          </cell>
          <cell r="B332" t="str">
            <v>В-02995/КЛ.Транш - 4</v>
          </cell>
          <cell r="C332" t="str">
            <v>kosvas@mail.ru</v>
          </cell>
        </row>
        <row r="333">
          <cell r="A333" t="str">
            <v>Васильев Дмитрий Сергеевич</v>
          </cell>
          <cell r="B333" t="str">
            <v>В-12157/КЛ.Транш - 1</v>
          </cell>
          <cell r="D333" t="str">
            <v>vbs.5181@yandex.ru</v>
          </cell>
        </row>
        <row r="334">
          <cell r="A334" t="str">
            <v>Васильев Сергей Владимирович</v>
          </cell>
          <cell r="B334" t="str">
            <v>В-20766/КЛ.Транш - 1</v>
          </cell>
        </row>
        <row r="335">
          <cell r="A335" t="str">
            <v>Васильева Екатерина Николаевна</v>
          </cell>
          <cell r="B335" t="str">
            <v>В-01175/КЛ.Транш - 1_В-20211230/Ц</v>
          </cell>
          <cell r="C335" t="str">
            <v>ekaterina-vasileva-1977@mail.ru</v>
          </cell>
        </row>
        <row r="336">
          <cell r="A336" t="str">
            <v>Васильева Ирина Александровна</v>
          </cell>
          <cell r="B336" t="str">
            <v>В-24956/КЛ.Транш - 1</v>
          </cell>
          <cell r="D336" t="str">
            <v>nuikiniv@gmail.com</v>
          </cell>
        </row>
        <row r="337">
          <cell r="A337" t="str">
            <v>Васильева Ольга Владимировна</v>
          </cell>
          <cell r="B337" t="str">
            <v>В-16796/КЛ.Транш - 2</v>
          </cell>
          <cell r="D337" t="str">
            <v>нет</v>
          </cell>
        </row>
        <row r="338">
          <cell r="A338" t="str">
            <v>Васильченко Валерий Владимирович</v>
          </cell>
          <cell r="B338" t="str">
            <v>В-23403/КЛ.Транш - 1</v>
          </cell>
          <cell r="C338" t="str">
            <v>Prestizhstroy@mail.ru</v>
          </cell>
          <cell r="D338" t="str">
            <v>Prestizhstroy@mail.ru</v>
          </cell>
        </row>
        <row r="339">
          <cell r="A339" t="str">
            <v>Васильчиков Максим Сергеевич</v>
          </cell>
          <cell r="B339" t="str">
            <v>В-27532/КЛ.Транш - 1</v>
          </cell>
          <cell r="D339" t="str">
            <v>maxim.v.92@list.ru</v>
          </cell>
        </row>
        <row r="340">
          <cell r="A340" t="str">
            <v>Васюков Дмитрий Викторович</v>
          </cell>
          <cell r="B340" t="str">
            <v>В-06800/КЛ.Транш - 1</v>
          </cell>
          <cell r="C340" t="str">
            <v>spr.mos@ya.ru</v>
          </cell>
        </row>
        <row r="341">
          <cell r="A341" t="str">
            <v>Васюков Дмитрий Викторович</v>
          </cell>
          <cell r="B341" t="str">
            <v>В-06800/КЛ.Транш - 2</v>
          </cell>
          <cell r="C341" t="str">
            <v>spr.mos@ya.ru</v>
          </cell>
        </row>
        <row r="342">
          <cell r="A342" t="str">
            <v>Вахонин Александр Владимирович</v>
          </cell>
          <cell r="B342" t="str">
            <v>В-27957/КЛ.Транш - 1</v>
          </cell>
          <cell r="C342" t="str">
            <v>elmore1981@gmail.com</v>
          </cell>
        </row>
        <row r="343">
          <cell r="A343" t="str">
            <v>Вдовенко Николай Николаевич</v>
          </cell>
          <cell r="B343" t="str">
            <v>В-15881/КЛ.Транш - 1</v>
          </cell>
          <cell r="C343" t="str">
            <v>mos-les@list.ru</v>
          </cell>
        </row>
        <row r="344">
          <cell r="A344" t="str">
            <v>Вдовец Сергей Викторович</v>
          </cell>
          <cell r="B344" t="str">
            <v>В-00722/АЗ</v>
          </cell>
          <cell r="C344" t="str">
            <v>ks1982@mail.ru</v>
          </cell>
        </row>
        <row r="345">
          <cell r="A345" t="str">
            <v>Ведешин Максим Сергеевич</v>
          </cell>
          <cell r="B345" t="str">
            <v>В-15448/КЛ.Транш - 1</v>
          </cell>
          <cell r="C345" t="str">
            <v>maksak1986@mail.ru</v>
          </cell>
        </row>
        <row r="346">
          <cell r="A346" t="str">
            <v>Векилянц Екатерина Николаевна</v>
          </cell>
          <cell r="B346" t="str">
            <v>В-13507/КЛ.Транш - 1</v>
          </cell>
          <cell r="C346" t="str">
            <v>plusewii1579@yandex.ru</v>
          </cell>
          <cell r="D346" t="str">
            <v>plusewii1579@yandex.ru</v>
          </cell>
        </row>
        <row r="347">
          <cell r="A347" t="str">
            <v>Вековищев Андрей Анатольевич</v>
          </cell>
          <cell r="B347" t="str">
            <v>В-02691/КЛ.Транш - 1</v>
          </cell>
          <cell r="C347" t="str">
            <v>pandrejek182@gmail.com</v>
          </cell>
        </row>
        <row r="348">
          <cell r="A348" t="str">
            <v>Веретошенко Михаил Владимирович</v>
          </cell>
          <cell r="B348" t="str">
            <v>В-14906/КЛ.Транш - 2</v>
          </cell>
          <cell r="D348" t="str">
            <v>mveretoshenko@mail.ru</v>
          </cell>
        </row>
        <row r="349">
          <cell r="A349" t="str">
            <v>Веретошенко Михаил Владимирович</v>
          </cell>
          <cell r="B349" t="str">
            <v>В-14906/КЛ.Транш - 3</v>
          </cell>
          <cell r="D349" t="str">
            <v>mveretoshenko@mail.ru</v>
          </cell>
        </row>
        <row r="350">
          <cell r="A350" t="str">
            <v>Вершинина Ольга Владимировна</v>
          </cell>
          <cell r="B350" t="str">
            <v>В-20180/КЛ.Транш - 1</v>
          </cell>
          <cell r="D350" t="str">
            <v>psm-2405@mail.ru</v>
          </cell>
        </row>
        <row r="351">
          <cell r="A351" t="str">
            <v>Веселовская Галина Васильевна</v>
          </cell>
          <cell r="B351" t="str">
            <v>В-26069/АЗ</v>
          </cell>
        </row>
        <row r="352">
          <cell r="A352" t="str">
            <v>Вехова Ирина Александровна</v>
          </cell>
          <cell r="B352" t="str">
            <v>В-08934/КЛ.Транш - 3</v>
          </cell>
          <cell r="C352" t="str">
            <v>Irishka220595@gmail.com</v>
          </cell>
        </row>
        <row r="353">
          <cell r="A353" t="str">
            <v>Видяков Денис Сергеевич</v>
          </cell>
          <cell r="B353" t="str">
            <v>В-28587/КЛ.Транш - 1</v>
          </cell>
          <cell r="D353" t="str">
            <v>denis-vidyakov@yandex.ru</v>
          </cell>
        </row>
        <row r="354">
          <cell r="A354" t="str">
            <v>Виноградов Александр Александрович</v>
          </cell>
          <cell r="B354" t="str">
            <v>В-19446/КЛ.Транш - 4</v>
          </cell>
          <cell r="D354" t="str">
            <v>vinogradov.1991@mail.ru</v>
          </cell>
        </row>
        <row r="355">
          <cell r="A355" t="str">
            <v>Виноградов Алексей Валерьевич</v>
          </cell>
          <cell r="B355" t="str">
            <v>В-23362/КЛ.Транш - 1</v>
          </cell>
          <cell r="C355" t="str">
            <v>V6324@yandex.ru</v>
          </cell>
          <cell r="D355" t="str">
            <v>V6324@yandex.ru</v>
          </cell>
        </row>
        <row r="356">
          <cell r="A356" t="str">
            <v>Виноградов Алексей Валерьевич</v>
          </cell>
          <cell r="B356" t="str">
            <v>В-23362/КЛ.Транш - 2</v>
          </cell>
          <cell r="C356" t="str">
            <v>V6324@yandex.ru</v>
          </cell>
          <cell r="D356" t="str">
            <v>V6324@yandex.ru</v>
          </cell>
        </row>
        <row r="357">
          <cell r="A357" t="str">
            <v>Виноградов Данила Алексеевич</v>
          </cell>
          <cell r="B357" t="str">
            <v>В-26203/КЛ.Транш - 1</v>
          </cell>
        </row>
        <row r="358">
          <cell r="A358" t="str">
            <v>Виноградова Светлана Витальевна</v>
          </cell>
          <cell r="B358" t="str">
            <v>В-21731/КЛ.Транш - 1</v>
          </cell>
          <cell r="D358" t="str">
            <v>sveta198nog@bk.ru</v>
          </cell>
        </row>
        <row r="359">
          <cell r="A359" t="str">
            <v>Виноградова Светлана Витальевна</v>
          </cell>
          <cell r="B359" t="str">
            <v>В-21731/КЛ.Транш - 2</v>
          </cell>
          <cell r="D359" t="str">
            <v>sveta198nog@bk.ru</v>
          </cell>
        </row>
        <row r="360">
          <cell r="A360" t="str">
            <v>Владимиров Александр Андреевич</v>
          </cell>
          <cell r="B360" t="str">
            <v>В-18036/КЛ.Транш - 1</v>
          </cell>
        </row>
        <row r="361">
          <cell r="A361" t="str">
            <v>Владимиров Сергей Прохорович</v>
          </cell>
          <cell r="B361" t="str">
            <v>В-23242/КЛ.Транш - 1</v>
          </cell>
          <cell r="C361" t="str">
            <v>Prohorovich82@bk.ru</v>
          </cell>
          <cell r="D361" t="str">
            <v>Prohorovich82@bk.ru</v>
          </cell>
        </row>
        <row r="362">
          <cell r="A362" t="str">
            <v>Владимиров Сергей Прохорович</v>
          </cell>
          <cell r="B362" t="str">
            <v>В-23242/КЛ.Транш - 2</v>
          </cell>
          <cell r="C362" t="str">
            <v>Prohorovich82@bk.ru</v>
          </cell>
          <cell r="D362" t="str">
            <v>Prohorovich82@bk.ru</v>
          </cell>
        </row>
        <row r="363">
          <cell r="A363" t="str">
            <v>Власов Павел Васильевич</v>
          </cell>
          <cell r="B363" t="str">
            <v>В-13238/КЛ.Транш - 1</v>
          </cell>
        </row>
        <row r="364">
          <cell r="A364" t="str">
            <v>Вовк Таисия Руслановна</v>
          </cell>
          <cell r="B364" t="str">
            <v>В-28501/КЛ.Транш - 1</v>
          </cell>
          <cell r="D364" t="str">
            <v>taisiya-vovk@mail.ru</v>
          </cell>
        </row>
        <row r="365">
          <cell r="A365" t="str">
            <v>Вовк Таисия Руслановна</v>
          </cell>
          <cell r="B365" t="str">
            <v>В-28501/КЛ.Транш - 2</v>
          </cell>
          <cell r="D365" t="str">
            <v>taisiya-vovk@mail.ru</v>
          </cell>
        </row>
        <row r="366">
          <cell r="A366" t="str">
            <v>Водолазкин Александр Юрьевич</v>
          </cell>
          <cell r="B366" t="str">
            <v>В-23383/КЛ.Транш - 1</v>
          </cell>
          <cell r="C366" t="str">
            <v>ayv@bizzo.ru</v>
          </cell>
        </row>
        <row r="367">
          <cell r="A367" t="str">
            <v>Войцеховский Виталий Геннадьевич</v>
          </cell>
          <cell r="B367" t="str">
            <v>В-01055/АЗ</v>
          </cell>
        </row>
        <row r="368">
          <cell r="A368" t="str">
            <v>Волегов Николай Владиславович</v>
          </cell>
          <cell r="B368" t="str">
            <v>В-09037/КЛ.Транш - 1</v>
          </cell>
        </row>
        <row r="369">
          <cell r="A369" t="str">
            <v>Волков Василий Валерьевич</v>
          </cell>
          <cell r="B369" t="str">
            <v>В-13886/КЛ.Транш - 1</v>
          </cell>
          <cell r="D369" t="str">
            <v>volkov.vv89@mail.ru</v>
          </cell>
        </row>
        <row r="370">
          <cell r="A370" t="str">
            <v>Волконский Михаил Владимирович</v>
          </cell>
          <cell r="B370" t="str">
            <v>В-07290/КЛ.Транш - 1</v>
          </cell>
          <cell r="C370" t="str">
            <v>mikew@mail.ru</v>
          </cell>
          <cell r="D370" t="str">
            <v>mikew@mail.ru</v>
          </cell>
        </row>
        <row r="371">
          <cell r="A371" t="str">
            <v>Волконский Михаил Владимирович</v>
          </cell>
          <cell r="B371" t="str">
            <v>В-07290/КЛ.Транш - 2</v>
          </cell>
          <cell r="C371" t="str">
            <v>mikew@mail.ru</v>
          </cell>
          <cell r="D371" t="str">
            <v>mikew@mail.ru</v>
          </cell>
        </row>
        <row r="372">
          <cell r="A372" t="str">
            <v>Волконский Михаил Владимирович</v>
          </cell>
          <cell r="B372" t="str">
            <v>В-07290/КЛ.Транш - 3</v>
          </cell>
          <cell r="C372" t="str">
            <v>mikew@mail.ru</v>
          </cell>
          <cell r="D372" t="str">
            <v>mikew@mail.ru</v>
          </cell>
        </row>
        <row r="373">
          <cell r="A373" t="str">
            <v>Волохов Юрий Викторович</v>
          </cell>
          <cell r="B373" t="str">
            <v>В-16023/КЛ.Транш - 1</v>
          </cell>
          <cell r="C373" t="str">
            <v>volohov17021990@mail.ru</v>
          </cell>
        </row>
        <row r="374">
          <cell r="A374" t="str">
            <v>Воробьев Андрей Владимирович</v>
          </cell>
          <cell r="B374" t="str">
            <v>В-24071/КЛ.Транш - 1</v>
          </cell>
          <cell r="D374" t="str">
            <v>Sof1304@ya.ru</v>
          </cell>
        </row>
        <row r="375">
          <cell r="A375" t="str">
            <v>Воробьев Илья Александрович</v>
          </cell>
          <cell r="B375" t="str">
            <v>В-28127/КЛ.Транш - 1</v>
          </cell>
          <cell r="C375" t="str">
            <v>Vorobev16031991@mail.ru</v>
          </cell>
          <cell r="D375" t="str">
            <v>Vorobev16031991@mail.ru</v>
          </cell>
        </row>
        <row r="376">
          <cell r="A376" t="str">
            <v>Воронков Сергей Владимирович</v>
          </cell>
          <cell r="B376" t="str">
            <v>В-24871/КЛ.Транш - 1</v>
          </cell>
          <cell r="D376" t="str">
            <v>voronok912@mail.ru</v>
          </cell>
        </row>
        <row r="377">
          <cell r="A377" t="str">
            <v>Воронова Татьяна Алексеевна</v>
          </cell>
          <cell r="B377" t="str">
            <v>В-13005/КЛ.Транш - 2</v>
          </cell>
          <cell r="D377" t="str">
            <v>moskva.90@inbox.ru</v>
          </cell>
        </row>
        <row r="378">
          <cell r="A378" t="str">
            <v>Воронова Татьяна Алексеевна</v>
          </cell>
          <cell r="B378" t="str">
            <v>В-13005/КЛ.Транш - 3</v>
          </cell>
          <cell r="D378" t="str">
            <v>moskva.90@inbox.ru</v>
          </cell>
        </row>
        <row r="379">
          <cell r="A379" t="str">
            <v>Вороновский Евгений Григорьевич</v>
          </cell>
          <cell r="B379" t="str">
            <v>В-14789/КЛ.Транш - 1</v>
          </cell>
          <cell r="C379" t="str">
            <v>angsnab@mail.ru</v>
          </cell>
          <cell r="D379" t="str">
            <v>angsnad@mail.ru</v>
          </cell>
        </row>
        <row r="380">
          <cell r="A380" t="str">
            <v>Ворошилин Владимир Игоревич</v>
          </cell>
          <cell r="B380" t="str">
            <v>В-18600/КЛ.Транш - 1</v>
          </cell>
          <cell r="D380" t="str">
            <v>mds.vladimirv@yandex.ru</v>
          </cell>
        </row>
        <row r="381">
          <cell r="A381" t="str">
            <v>Вяткин Евгений Федорович</v>
          </cell>
          <cell r="B381" t="str">
            <v>В-18909/КЛ.Транш - 1</v>
          </cell>
          <cell r="D381" t="str">
            <v>a9851150900@yandex.ru</v>
          </cell>
        </row>
        <row r="382">
          <cell r="A382" t="str">
            <v>Вяткин Евгений Федорович</v>
          </cell>
          <cell r="B382" t="str">
            <v>В-18909/КЛ.Транш - 3</v>
          </cell>
          <cell r="D382" t="str">
            <v>a9851150900@yandex.ru</v>
          </cell>
        </row>
        <row r="383">
          <cell r="A383" t="str">
            <v>Габитов Альберт Наилевич</v>
          </cell>
          <cell r="B383" t="str">
            <v>В-17900/КЛ.Транш - 1</v>
          </cell>
          <cell r="D383" t="str">
            <v>gabitovalbert@mail.ru</v>
          </cell>
        </row>
        <row r="384">
          <cell r="A384" t="str">
            <v>Габитов Альберт Наилевич</v>
          </cell>
          <cell r="B384" t="str">
            <v>В-17900/КЛ.Транш - 2</v>
          </cell>
          <cell r="D384" t="str">
            <v>gabitovalbert@mail.ru</v>
          </cell>
        </row>
        <row r="385">
          <cell r="A385" t="str">
            <v>Гавриленко Денис Владимирович</v>
          </cell>
          <cell r="B385" t="str">
            <v>В-02707/КЛ.Транш - 1</v>
          </cell>
          <cell r="C385" t="str">
            <v>GAVRILENKODENIS77@GMAIL.COM</v>
          </cell>
        </row>
        <row r="386">
          <cell r="A386" t="str">
            <v>Гаврин Валентин Николаевич</v>
          </cell>
          <cell r="B386" t="str">
            <v>В-25304/АЗ</v>
          </cell>
          <cell r="C386" t="str">
            <v>valek010383@mail.ru</v>
          </cell>
          <cell r="D386" t="str">
            <v>valek010383@mail.ru</v>
          </cell>
        </row>
        <row r="387">
          <cell r="A387" t="str">
            <v>Гагарин Юрий Александрович</v>
          </cell>
          <cell r="B387" t="str">
            <v>В-28961/КЛ.Транш - 1</v>
          </cell>
          <cell r="D387" t="str">
            <v>kitaevotm@mail.ru</v>
          </cell>
        </row>
        <row r="388">
          <cell r="A388" t="str">
            <v>Гаджиев Намик Али Оглы</v>
          </cell>
          <cell r="B388" t="str">
            <v>В-28204/КЛ.Транш - 1</v>
          </cell>
          <cell r="C388" t="str">
            <v>gnao04127400@gmail.com</v>
          </cell>
          <cell r="D388" t="str">
            <v>gnao04127400@gmail.com</v>
          </cell>
        </row>
        <row r="389">
          <cell r="A389" t="str">
            <v>Гадян Артак Андраникович</v>
          </cell>
          <cell r="B389" t="str">
            <v>В-11186/КЛ.Транш - 1</v>
          </cell>
        </row>
        <row r="390">
          <cell r="A390" t="str">
            <v>Гадян Артак Андраникович</v>
          </cell>
          <cell r="B390" t="str">
            <v>В-11186/КЛ.Транш - 2</v>
          </cell>
        </row>
        <row r="391">
          <cell r="A391" t="str">
            <v>Газали Оксана Владимировна</v>
          </cell>
          <cell r="B391" t="str">
            <v>В-17192/КЛ.Транш - 1</v>
          </cell>
          <cell r="C391" t="str">
            <v>gazali2011@yandex.ru</v>
          </cell>
          <cell r="D391" t="str">
            <v>gazali2011@yandex.ru</v>
          </cell>
        </row>
        <row r="392">
          <cell r="A392" t="str">
            <v>Газали Оксана Владимировна</v>
          </cell>
          <cell r="B392" t="str">
            <v>В-17192/КЛ.Транш - 2</v>
          </cell>
          <cell r="C392" t="str">
            <v>gazali2011@yandex.ru</v>
          </cell>
          <cell r="D392" t="str">
            <v>gazali2011@yandex.ru</v>
          </cell>
        </row>
        <row r="393">
          <cell r="A393" t="str">
            <v>Гайдарлы Андрей Васильевич</v>
          </cell>
          <cell r="B393" t="str">
            <v>В-00391/АЗ</v>
          </cell>
          <cell r="C393" t="str">
            <v>and-gadar@ya.ru</v>
          </cell>
        </row>
        <row r="394">
          <cell r="A394" t="str">
            <v>ГАЛАКТИКА ООО</v>
          </cell>
          <cell r="B394" t="str">
            <v>А-10122/КЭ.Транш - 1</v>
          </cell>
          <cell r="C394" t="str">
            <v>isuslenikov@mail.ru</v>
          </cell>
        </row>
        <row r="395">
          <cell r="A395" t="str">
            <v>Галактионов Алексей Владимирович</v>
          </cell>
          <cell r="B395" t="str">
            <v>В-27892/КЛ.Транш - 1</v>
          </cell>
          <cell r="C395" t="str">
            <v>chameleo75@yandex.ru</v>
          </cell>
        </row>
        <row r="396">
          <cell r="A396" t="str">
            <v>Галактионов Алексей Владимирович</v>
          </cell>
          <cell r="B396" t="str">
            <v>В-27892/КЛ.Транш - 2</v>
          </cell>
          <cell r="C396" t="str">
            <v>chameleo75@yandex.ru</v>
          </cell>
        </row>
        <row r="397">
          <cell r="A397" t="str">
            <v>Галанина Юлия Александровна</v>
          </cell>
          <cell r="B397" t="str">
            <v>В-00956/АЗ</v>
          </cell>
        </row>
        <row r="398">
          <cell r="A398" t="str">
            <v>Галеев Александр Ринатович</v>
          </cell>
          <cell r="B398" t="str">
            <v>В-10141/КЛ.Транш - 1</v>
          </cell>
          <cell r="C398" t="str">
            <v>sevasstalker@yandex.ru</v>
          </cell>
        </row>
        <row r="399">
          <cell r="A399" t="str">
            <v>Галеев Александр Ринатович</v>
          </cell>
          <cell r="B399" t="str">
            <v>В-10141/КЛ.Транш - 2</v>
          </cell>
          <cell r="C399" t="str">
            <v>sevasstalker@yandex.ru</v>
          </cell>
        </row>
        <row r="400">
          <cell r="A400" t="str">
            <v>Галёна Ольга Владимировна</v>
          </cell>
          <cell r="B400" t="str">
            <v>В-00137/АЗ</v>
          </cell>
          <cell r="C400" t="str">
            <v>aelita29@inbox.ru</v>
          </cell>
        </row>
        <row r="401">
          <cell r="A401" t="str">
            <v>Галивец Андрей Олегович</v>
          </cell>
          <cell r="B401" t="str">
            <v>В-24546/КЛ.Транш - 4</v>
          </cell>
          <cell r="C401" t="str">
            <v>galivetsao@gmail.com</v>
          </cell>
          <cell r="D401" t="str">
            <v>galivetsao@gmail.com</v>
          </cell>
        </row>
        <row r="402">
          <cell r="A402" t="str">
            <v>Галивец Андрей Олегович</v>
          </cell>
          <cell r="B402" t="str">
            <v>В-24546/КЛ.Транш - 5</v>
          </cell>
          <cell r="C402" t="str">
            <v>galivetsao@gmail.com</v>
          </cell>
          <cell r="D402" t="str">
            <v>galivetsao@gmail.com</v>
          </cell>
        </row>
        <row r="403">
          <cell r="A403" t="str">
            <v>Галивец Андрей Олегович</v>
          </cell>
          <cell r="B403" t="str">
            <v>В-24546/КЛ.Транш - 6</v>
          </cell>
          <cell r="C403" t="str">
            <v>galivetsao@gmail.com</v>
          </cell>
          <cell r="D403" t="str">
            <v>galivetsao@gmail.com</v>
          </cell>
        </row>
        <row r="404">
          <cell r="A404" t="str">
            <v>Галимов Руслан Рашитович</v>
          </cell>
          <cell r="B404" t="str">
            <v>В-03359/КЛ.Транш - 5</v>
          </cell>
          <cell r="C404" t="str">
            <v>rusland8893@gmail.com</v>
          </cell>
        </row>
        <row r="405">
          <cell r="A405" t="str">
            <v>Галицина Елена Викторовна</v>
          </cell>
          <cell r="B405" t="str">
            <v>В-18305/КЛ.Транш - 1</v>
          </cell>
          <cell r="D405" t="str">
            <v>lenavg@rambler.ru</v>
          </cell>
        </row>
        <row r="406">
          <cell r="A406" t="str">
            <v>Галицина Елена Викторовна</v>
          </cell>
          <cell r="B406" t="str">
            <v>В-18305/КЛ.Транш - 2</v>
          </cell>
          <cell r="D406" t="str">
            <v>lenavg@rambler.ru</v>
          </cell>
        </row>
        <row r="407">
          <cell r="A407" t="str">
            <v>Галицина Елена Викторовна</v>
          </cell>
          <cell r="B407" t="str">
            <v>В-18305/КЛ.Транш - 3</v>
          </cell>
          <cell r="D407" t="str">
            <v>lenavg@rambler.ru</v>
          </cell>
        </row>
        <row r="408">
          <cell r="A408" t="str">
            <v>Галушка Светлана Анатольевна</v>
          </cell>
          <cell r="B408" t="str">
            <v>В-28089/КЛ.Транш - 1</v>
          </cell>
          <cell r="D408" t="str">
            <v>mezhregion77@inbox.ru</v>
          </cell>
        </row>
        <row r="409">
          <cell r="A409" t="str">
            <v>Гальчук Илья Анатольевич</v>
          </cell>
          <cell r="B409" t="str">
            <v>Т-01867/АЗ_Т-20211028/Ц</v>
          </cell>
          <cell r="C409" t="str">
            <v>9217878342@mail.ru</v>
          </cell>
        </row>
        <row r="410">
          <cell r="A410" t="str">
            <v>Гараев Ровшан Гасымович</v>
          </cell>
          <cell r="B410" t="str">
            <v>В-13177/КЛ.Транш - 1_А-20210929/Ц</v>
          </cell>
        </row>
        <row r="411">
          <cell r="A411" t="str">
            <v>Гарнер Роман Борисович</v>
          </cell>
          <cell r="B411" t="str">
            <v>В-05009/КЛ.Транш - 1</v>
          </cell>
          <cell r="C411" t="str">
            <v>romangarner@yandex.ru</v>
          </cell>
          <cell r="D411" t="str">
            <v>romangarner@yandex.ru</v>
          </cell>
        </row>
        <row r="412">
          <cell r="A412" t="str">
            <v>Гасанов Ниджат Назим Оглы</v>
          </cell>
          <cell r="B412" t="str">
            <v>В-20155/КЛ.Транш - 1</v>
          </cell>
          <cell r="D412" t="str">
            <v>Gasanovvicat@yandex.ru</v>
          </cell>
        </row>
        <row r="413">
          <cell r="A413" t="str">
            <v>Гатауллин Рафаэль Винерович</v>
          </cell>
          <cell r="B413" t="str">
            <v>В-28677/КЛ.Транш - 1</v>
          </cell>
          <cell r="C413" t="str">
            <v>rafalovo@mail.ru</v>
          </cell>
        </row>
        <row r="414">
          <cell r="A414" t="str">
            <v>Гахокидзе Давид Аверионович</v>
          </cell>
          <cell r="B414" t="str">
            <v>В-09010/КЛ.Транш - 1</v>
          </cell>
        </row>
        <row r="415">
          <cell r="A415" t="str">
            <v>Гачегов Дмитрий Сергеевич</v>
          </cell>
          <cell r="B415" t="str">
            <v>В-18171/КЛ.Транш - 1</v>
          </cell>
          <cell r="D415" t="str">
            <v>dgachegov486@gmail.com</v>
          </cell>
        </row>
        <row r="416">
          <cell r="A416" t="str">
            <v>Гевондян Норайр Беникович</v>
          </cell>
          <cell r="B416" t="str">
            <v>В-27729/АЗ</v>
          </cell>
          <cell r="C416" t="str">
            <v>noro17narine@mail.ru</v>
          </cell>
          <cell r="D416" t="str">
            <v>noro17narine@mail.ru</v>
          </cell>
        </row>
        <row r="417">
          <cell r="A417" t="str">
            <v>Гевондян Сергей Норайрович</v>
          </cell>
          <cell r="B417" t="str">
            <v>В-27730/АЗ</v>
          </cell>
          <cell r="C417" t="str">
            <v>gevondyan-s@bk.ru</v>
          </cell>
          <cell r="D417" t="str">
            <v>gevondyan-s@bk.ru</v>
          </cell>
        </row>
        <row r="418">
          <cell r="A418" t="str">
            <v>Геворгян Агаси Ашотович</v>
          </cell>
          <cell r="B418" t="str">
            <v>В-01169/АЗ</v>
          </cell>
          <cell r="C418" t="str">
            <v>aghas66@mail.ru</v>
          </cell>
        </row>
        <row r="419">
          <cell r="A419" t="str">
            <v>Герейханов Фаик Гуснеддинович</v>
          </cell>
          <cell r="B419" t="str">
            <v>В-17494/КЛ.Транш - 1</v>
          </cell>
          <cell r="D419" t="str">
            <v>f.ger.78@mail.ru</v>
          </cell>
        </row>
        <row r="420">
          <cell r="A420" t="str">
            <v>Герюгов Расул Азнаурович</v>
          </cell>
          <cell r="B420" t="str">
            <v>В-00041/АЗ</v>
          </cell>
        </row>
        <row r="421">
          <cell r="A421" t="str">
            <v>Гиенко Павел Анатольевич</v>
          </cell>
          <cell r="B421" t="str">
            <v>В-13297/КЛ.Транш - 1</v>
          </cell>
          <cell r="C421" t="str">
            <v>gienko.pavel@yandex.ru</v>
          </cell>
          <cell r="D421" t="str">
            <v>gienko.pavel@yandex.ru</v>
          </cell>
        </row>
        <row r="422">
          <cell r="A422" t="str">
            <v>Гилаев Флюс Фаусович</v>
          </cell>
          <cell r="B422" t="str">
            <v>В-18164/КЛ.Транш - 1</v>
          </cell>
          <cell r="D422" t="str">
            <v>gilaevf@gmail.com</v>
          </cell>
        </row>
        <row r="423">
          <cell r="A423" t="str">
            <v>Гильмтдинов Ильдус Вазирович</v>
          </cell>
          <cell r="B423" t="str">
            <v>В-11836/КЛ.Транш - 2</v>
          </cell>
          <cell r="C423" t="str">
            <v>gil.ildusoo@mail.ru</v>
          </cell>
        </row>
        <row r="424">
          <cell r="A424" t="str">
            <v>ГК АкоЛет ООО</v>
          </cell>
          <cell r="B424" t="str">
            <v>А-00386/КЭ.Транш - 1</v>
          </cell>
          <cell r="C424" t="str">
            <v>alexey@akolet.ru</v>
          </cell>
        </row>
        <row r="425">
          <cell r="A425" t="str">
            <v>ГЛОБУС ООО</v>
          </cell>
          <cell r="B425" t="str">
            <v>В-10021/КЭ.Транш - 1</v>
          </cell>
          <cell r="C425" t="str">
            <v>globus-2003@mail.ru</v>
          </cell>
        </row>
        <row r="426">
          <cell r="A426" t="str">
            <v>Глухов Василий Александрович</v>
          </cell>
          <cell r="B426" t="str">
            <v>В-07147/КЛ.Транш - 1</v>
          </cell>
          <cell r="C426" t="str">
            <v>glukhoff46@gmail.com</v>
          </cell>
        </row>
        <row r="427">
          <cell r="A427" t="str">
            <v>Глухов Василий Александрович</v>
          </cell>
          <cell r="B427" t="str">
            <v>В-07147/КЛ.Транш - 2</v>
          </cell>
          <cell r="C427" t="str">
            <v>glukhoff46@gmail.com</v>
          </cell>
        </row>
        <row r="428">
          <cell r="A428" t="str">
            <v>Глухов Максим Сергеевич</v>
          </cell>
          <cell r="B428" t="str">
            <v>В-12410/КЛ.Транш - 1</v>
          </cell>
          <cell r="C428" t="str">
            <v>stylecity58@mail.ru</v>
          </cell>
          <cell r="D428" t="str">
            <v>stylecity58@mail.ru</v>
          </cell>
        </row>
        <row r="429">
          <cell r="A429" t="str">
            <v>Гнедаш Александр Александрович</v>
          </cell>
          <cell r="B429" t="str">
            <v>В-09882/КЛ.Транш - 10</v>
          </cell>
          <cell r="C429" t="str">
            <v>KARANDAW500100@GMAIL.COM</v>
          </cell>
        </row>
        <row r="430">
          <cell r="A430" t="str">
            <v>Гнедаш Александр Александрович</v>
          </cell>
          <cell r="B430" t="str">
            <v>В-09882/КЛ.Транш - 8</v>
          </cell>
          <cell r="C430" t="str">
            <v>KARANDAW500100@GMAIL.COM</v>
          </cell>
        </row>
        <row r="431">
          <cell r="A431" t="str">
            <v>Гнедаш Александр Александрович</v>
          </cell>
          <cell r="B431" t="str">
            <v>В-09882/КЛ.Транш - 9</v>
          </cell>
          <cell r="C431" t="str">
            <v>KARANDAW500100@GMAIL.COM</v>
          </cell>
        </row>
        <row r="432">
          <cell r="A432" t="str">
            <v>Говоруха Андрей Михайлович</v>
          </cell>
          <cell r="B432" t="str">
            <v>В-21568/КЛ.Транш - 1</v>
          </cell>
          <cell r="D432" t="str">
            <v>govoryna17_88@mail.ru</v>
          </cell>
        </row>
        <row r="433">
          <cell r="A433" t="str">
            <v>Гоголев Александр Александрович</v>
          </cell>
          <cell r="B433" t="str">
            <v>В-00980/АЗ_А-20210929/Ц</v>
          </cell>
          <cell r="C433" t="str">
            <v>koroli8383@bk.ru</v>
          </cell>
        </row>
        <row r="434">
          <cell r="A434" t="str">
            <v>Гогохия Вероника Валериевна</v>
          </cell>
          <cell r="B434" t="str">
            <v>В-01216/АЗ</v>
          </cell>
          <cell r="C434" t="str">
            <v>veronika_aes@icloud.com</v>
          </cell>
        </row>
        <row r="435">
          <cell r="A435" t="str">
            <v>Годуйко Николай Николаевич</v>
          </cell>
          <cell r="B435" t="str">
            <v>В-27315/КЛ.Транш - 1</v>
          </cell>
          <cell r="D435" t="str">
            <v>nikolj.godujko@gmail.com</v>
          </cell>
        </row>
        <row r="436">
          <cell r="A436" t="str">
            <v>Гойгереев Камал Исаевич</v>
          </cell>
          <cell r="B436" t="str">
            <v>В-18983/КЛ.Транш - 1_В-20211230/Ц</v>
          </cell>
          <cell r="D436" t="str">
            <v>kamal.goygereev@mail.ru</v>
          </cell>
        </row>
        <row r="437">
          <cell r="A437" t="str">
            <v>Головатинский Лев Витальевич</v>
          </cell>
          <cell r="B437" t="str">
            <v>А-04404/АЗ</v>
          </cell>
          <cell r="C437" t="str">
            <v>glv.msk@gmail.com</v>
          </cell>
          <cell r="D437" t="str">
            <v>glv.msk@gmail.com</v>
          </cell>
        </row>
        <row r="438">
          <cell r="A438" t="str">
            <v>Головач Николай Михайлович</v>
          </cell>
          <cell r="B438" t="str">
            <v>А-04070/АЗ</v>
          </cell>
        </row>
        <row r="439">
          <cell r="A439" t="str">
            <v>Головач Николай Михайлович</v>
          </cell>
          <cell r="B439" t="str">
            <v>А-05114/АЗ</v>
          </cell>
        </row>
        <row r="440">
          <cell r="A440" t="str">
            <v>Головина Екатерина Давидовна</v>
          </cell>
          <cell r="B440" t="str">
            <v>В-01072/КЛ.Транш - 1</v>
          </cell>
          <cell r="C440" t="str">
            <v>kat.percik@mail.ru</v>
          </cell>
        </row>
        <row r="441">
          <cell r="A441" t="str">
            <v>Голосеев Алексей Анатольевич</v>
          </cell>
          <cell r="B441" t="str">
            <v>В-12088/КЛ.Транш - 1</v>
          </cell>
          <cell r="D441" t="str">
            <v>9264765646@mail.ru</v>
          </cell>
        </row>
        <row r="442">
          <cell r="A442" t="str">
            <v>Голосенин Тимофей Васильевич</v>
          </cell>
          <cell r="B442" t="str">
            <v>В-08348/КЛ.Транш - 7</v>
          </cell>
          <cell r="C442" t="str">
            <v>8po4ta@gmail.com</v>
          </cell>
        </row>
        <row r="443">
          <cell r="A443" t="str">
            <v>Голота Илья Викторович</v>
          </cell>
          <cell r="B443" t="str">
            <v>В-00359/КЛ.Транш - 2</v>
          </cell>
          <cell r="C443" t="str">
            <v>ivgolota@gmail.com</v>
          </cell>
        </row>
        <row r="444">
          <cell r="A444" t="str">
            <v>Голубев Михаил Владимирович</v>
          </cell>
          <cell r="B444" t="str">
            <v>В-20166/КЛ.Транш - 1</v>
          </cell>
          <cell r="D444" t="str">
            <v>katerinafedulova18174@gmai.com</v>
          </cell>
        </row>
        <row r="445">
          <cell r="A445" t="str">
            <v>Голубева Ольга Петровна</v>
          </cell>
          <cell r="B445" t="str">
            <v>В-15560/КЛ.Транш - 1</v>
          </cell>
          <cell r="D445" t="str">
            <v>partneravto2016@mail.ru</v>
          </cell>
        </row>
        <row r="446">
          <cell r="A446" t="str">
            <v>Голубь Елена Николаевна</v>
          </cell>
          <cell r="B446" t="str">
            <v>В-18958/КЛ.Транш - 1</v>
          </cell>
          <cell r="D446" t="str">
            <v>elena26.g@yandex.ru</v>
          </cell>
        </row>
        <row r="447">
          <cell r="A447" t="str">
            <v>Гончарь Юрий Валерьевич</v>
          </cell>
          <cell r="B447" t="str">
            <v>В-21630/КЛ.Транш - 1</v>
          </cell>
          <cell r="D447" t="str">
            <v>0891551085@mail.ru</v>
          </cell>
        </row>
        <row r="448">
          <cell r="A448" t="str">
            <v>Горбачев Денис Леонидович</v>
          </cell>
          <cell r="B448" t="str">
            <v>В-01182/АЗ</v>
          </cell>
          <cell r="C448" t="str">
            <v>tk-legion@list.ru</v>
          </cell>
        </row>
        <row r="449">
          <cell r="A449" t="str">
            <v>Горбачев Денис Леонидович</v>
          </cell>
          <cell r="B449" t="str">
            <v>В-25981/АЗ</v>
          </cell>
          <cell r="C449" t="str">
            <v>tk-legion@list.ru</v>
          </cell>
        </row>
        <row r="450">
          <cell r="A450" t="str">
            <v>Горбачев Иван Эдуардович</v>
          </cell>
          <cell r="B450" t="str">
            <v>В-23229/АЗ</v>
          </cell>
          <cell r="D450" t="str">
            <v>Guhan0974@mail.com</v>
          </cell>
        </row>
        <row r="451">
          <cell r="A451" t="str">
            <v>Горбачёв Олег Юрьевич</v>
          </cell>
          <cell r="B451" t="str">
            <v>В-23104/КЛ.Транш - 1</v>
          </cell>
          <cell r="C451" t="str">
            <v>oleg.yurevich.197019690406@mail.ru</v>
          </cell>
          <cell r="D451" t="str">
            <v>oleg.yurevich.197019690406@mail.ru</v>
          </cell>
        </row>
        <row r="452">
          <cell r="A452" t="str">
            <v>Горбенко Олег Олегович</v>
          </cell>
          <cell r="B452" t="str">
            <v>В-24823/КЛ.Транш - 1</v>
          </cell>
          <cell r="D452" t="str">
            <v>danila8odrov@gmail.com</v>
          </cell>
        </row>
        <row r="453">
          <cell r="A453" t="str">
            <v>Горбунов Александр Георгиевич</v>
          </cell>
          <cell r="B453" t="str">
            <v>В-22699/КЛ.Транш - 1</v>
          </cell>
          <cell r="D453" t="str">
            <v>нет</v>
          </cell>
        </row>
        <row r="454">
          <cell r="A454" t="str">
            <v>Гордеев Дмитрий Романович</v>
          </cell>
          <cell r="B454" t="str">
            <v>В-00592/АЗ</v>
          </cell>
        </row>
        <row r="455">
          <cell r="A455" t="str">
            <v>Гордеева Наталья Николаевна</v>
          </cell>
          <cell r="B455" t="str">
            <v>В-01012/АЗ</v>
          </cell>
          <cell r="C455" t="str">
            <v>natgord85@yandex.ru</v>
          </cell>
        </row>
        <row r="456">
          <cell r="A456" t="str">
            <v>Городенок Дмитрий Петрович</v>
          </cell>
          <cell r="B456" t="str">
            <v>В-00009/АЗ</v>
          </cell>
        </row>
        <row r="457">
          <cell r="A457" t="str">
            <v>Горохов Сергей Владимирович 2</v>
          </cell>
          <cell r="B457" t="str">
            <v>В-00065/АЗ</v>
          </cell>
          <cell r="C457" t="str">
            <v>an_aspekt@mail.ru</v>
          </cell>
        </row>
        <row r="458">
          <cell r="A458" t="str">
            <v>ГорСтрой ООО</v>
          </cell>
          <cell r="B458" t="str">
            <v>В-00076/КЭ.Транш - 1</v>
          </cell>
          <cell r="C458" t="str">
            <v>9166997777@mail.ru</v>
          </cell>
        </row>
        <row r="459">
          <cell r="A459" t="str">
            <v>Горшков Никита Григорьевич</v>
          </cell>
          <cell r="B459" t="str">
            <v>В-04967/КЛ.Транш - 4</v>
          </cell>
          <cell r="C459" t="str">
            <v>7thfloor@mail.ru</v>
          </cell>
        </row>
        <row r="460">
          <cell r="A460" t="str">
            <v>Грабовская Вероника Викторовна</v>
          </cell>
          <cell r="B460" t="str">
            <v>В-00017/КЛ.Транш - 2</v>
          </cell>
          <cell r="C460" t="str">
            <v>veronika_grabovskaya@mail.ru</v>
          </cell>
        </row>
        <row r="461">
          <cell r="A461" t="str">
            <v>Грабовская Вероника Викторовна</v>
          </cell>
          <cell r="B461" t="str">
            <v>В-00017/КЛ.Транш - 3</v>
          </cell>
          <cell r="C461" t="str">
            <v>veronika_grabovskaya@mail.ru</v>
          </cell>
        </row>
        <row r="462">
          <cell r="A462" t="str">
            <v>Грачев Сергей Владимирович</v>
          </cell>
          <cell r="B462" t="str">
            <v>А-05165/АЗ_А-20200626/Ц</v>
          </cell>
          <cell r="C462" t="str">
            <v>gsw-spb@yandex.ru</v>
          </cell>
          <cell r="D462" t="str">
            <v>gsw-spb@yandex.ru</v>
          </cell>
        </row>
        <row r="463">
          <cell r="A463" t="str">
            <v>Гребнев Юрий Александрович</v>
          </cell>
          <cell r="B463" t="str">
            <v>В-00837/АЗ</v>
          </cell>
          <cell r="C463" t="str">
            <v>grebnev_ALEXSEY@mail.ru</v>
          </cell>
        </row>
        <row r="464">
          <cell r="A464" t="str">
            <v>Гребнев Юрий Александрович</v>
          </cell>
          <cell r="B464" t="str">
            <v>В-00838/АЗ</v>
          </cell>
          <cell r="C464" t="str">
            <v>grebnev_ALEXSEY@mail.ru</v>
          </cell>
        </row>
        <row r="465">
          <cell r="A465" t="str">
            <v>Гречкин Сергей Петрович</v>
          </cell>
          <cell r="B465" t="str">
            <v>В-22026/КЛ.Транш - 1</v>
          </cell>
          <cell r="D465" t="str">
            <v>Strannik112277@mail.ru</v>
          </cell>
        </row>
        <row r="466">
          <cell r="A466" t="str">
            <v>Гречко Алексей Сергеевич</v>
          </cell>
          <cell r="B466" t="str">
            <v>В-13530/КЛ.Транш - 1</v>
          </cell>
          <cell r="C466" t="str">
            <v>specnaz943@gmail.com</v>
          </cell>
        </row>
        <row r="467">
          <cell r="A467" t="str">
            <v>Гречко Алексей Сергеевич</v>
          </cell>
          <cell r="B467" t="str">
            <v>В-13530/КЛ.Транш - 2</v>
          </cell>
          <cell r="C467" t="str">
            <v>specnaz943@gmail.com</v>
          </cell>
        </row>
        <row r="468">
          <cell r="A468" t="str">
            <v>Гриб Юрий Валерьевич</v>
          </cell>
          <cell r="B468" t="str">
            <v>В-26474/КЛ.Транш - 1</v>
          </cell>
          <cell r="D468" t="str">
            <v>Gribyra513@gmail.com</v>
          </cell>
        </row>
        <row r="469">
          <cell r="A469" t="str">
            <v>Григоренко Андрей Николаевич</v>
          </cell>
          <cell r="B469" t="str">
            <v>В-00693/АЗ</v>
          </cell>
          <cell r="C469" t="str">
            <v>andrey-judo95@mail.ru</v>
          </cell>
        </row>
        <row r="470">
          <cell r="A470" t="str">
            <v>Григорьев Олег Вячеславович</v>
          </cell>
          <cell r="B470" t="str">
            <v>В-18894/КЛ.Транш - 1</v>
          </cell>
          <cell r="D470" t="str">
            <v>150777g11@gmail.com</v>
          </cell>
        </row>
        <row r="471">
          <cell r="A471" t="str">
            <v>Григорьев Эдуард Юрьевич</v>
          </cell>
          <cell r="B471" t="str">
            <v>В-02337/КЛ.Транш - 1</v>
          </cell>
          <cell r="C471" t="str">
            <v>007predator007@mail.ru</v>
          </cell>
        </row>
        <row r="472">
          <cell r="A472" t="str">
            <v>Григорьев Эдуард Юрьевич</v>
          </cell>
          <cell r="B472" t="str">
            <v>В-02337/КЛ.Транш - 2</v>
          </cell>
          <cell r="C472" t="str">
            <v>007predator007@mail.ru</v>
          </cell>
        </row>
        <row r="473">
          <cell r="A473" t="str">
            <v>Григорьев Эдуард Юрьевич</v>
          </cell>
          <cell r="B473" t="str">
            <v>В-02337/КЛ.Транш - 3</v>
          </cell>
          <cell r="C473" t="str">
            <v>007predator007@mail.ru</v>
          </cell>
        </row>
        <row r="474">
          <cell r="A474" t="str">
            <v>Григорьева Наталья Владимировна</v>
          </cell>
          <cell r="B474" t="str">
            <v>В-00345/АЗ</v>
          </cell>
        </row>
        <row r="475">
          <cell r="A475" t="str">
            <v>Григорьева Наталья Владимировна</v>
          </cell>
          <cell r="B475" t="str">
            <v>В-01074/АЗ</v>
          </cell>
        </row>
        <row r="476">
          <cell r="A476" t="str">
            <v>Григорян Артур Амраги</v>
          </cell>
          <cell r="B476" t="str">
            <v>В-03686/КЛ.Транш - 1_В-20211230/Ц</v>
          </cell>
          <cell r="C476" t="str">
            <v>artur@latex.ru.com</v>
          </cell>
        </row>
        <row r="477">
          <cell r="A477" t="str">
            <v>Григорян Эмма Петросовна</v>
          </cell>
          <cell r="B477" t="str">
            <v>В-11553/КЛ.Транш - 1</v>
          </cell>
          <cell r="C477" t="str">
            <v>emma2710@mail.ru</v>
          </cell>
        </row>
        <row r="478">
          <cell r="A478" t="str">
            <v>Гриднева Татьяна Николаевна</v>
          </cell>
          <cell r="B478" t="str">
            <v>В-12484/КЛ.Транш - 1</v>
          </cell>
        </row>
        <row r="479">
          <cell r="A479" t="str">
            <v>Гридяева Лариса Павловна</v>
          </cell>
          <cell r="B479" t="str">
            <v>В-25530/КЛ.Транш - 1</v>
          </cell>
          <cell r="D479" t="str">
            <v>bezgodov-88@mail.ru</v>
          </cell>
        </row>
        <row r="480">
          <cell r="A480" t="str">
            <v>Гринь Юлия Владимировна</v>
          </cell>
          <cell r="B480" t="str">
            <v>В-17051/КЛ.Транш - 1</v>
          </cell>
          <cell r="D480" t="str">
            <v>jliana90@mail.ru</v>
          </cell>
        </row>
        <row r="481">
          <cell r="A481" t="str">
            <v>Гриценко Дмитрий Владимирович</v>
          </cell>
          <cell r="B481" t="str">
            <v>В-25126/КЛ.Транш - 1</v>
          </cell>
          <cell r="D481" t="str">
            <v>senegal2014@mail.ru</v>
          </cell>
        </row>
        <row r="482">
          <cell r="A482" t="str">
            <v>Гриценко Дмитрий Владимирович</v>
          </cell>
          <cell r="B482" t="str">
            <v>В-25126/КЛ.Транш - 2</v>
          </cell>
          <cell r="D482" t="str">
            <v>senegal2014@mail.ru</v>
          </cell>
        </row>
        <row r="483">
          <cell r="A483" t="str">
            <v>Гришенков Николай Викторович</v>
          </cell>
          <cell r="B483" t="str">
            <v>А-05139/АЗ_А-20200626/Ц</v>
          </cell>
          <cell r="C483" t="str">
            <v>aectann1985@gmail.com</v>
          </cell>
          <cell r="D483" t="str">
            <v>aectann1985@gmail.com</v>
          </cell>
        </row>
        <row r="484">
          <cell r="A484" t="str">
            <v>Громов Алексей Геннадьевич</v>
          </cell>
          <cell r="B484" t="str">
            <v>В-04162/КЛ.Транш - 1</v>
          </cell>
          <cell r="C484" t="str">
            <v>gromalex69@icloud.com</v>
          </cell>
        </row>
        <row r="485">
          <cell r="A485" t="str">
            <v>Громов Вячеслав Александрович</v>
          </cell>
          <cell r="B485" t="str">
            <v>В-00951/АЗ</v>
          </cell>
          <cell r="C485" t="str">
            <v>slavahttp@yandex.ru</v>
          </cell>
        </row>
        <row r="486">
          <cell r="A486" t="str">
            <v>Громов Вячеслав Александрович</v>
          </cell>
          <cell r="B486" t="str">
            <v>Т-01931/АЗ_Т-20211028/Ц</v>
          </cell>
          <cell r="C486" t="str">
            <v>slavahttp@yandex.ru</v>
          </cell>
        </row>
        <row r="487">
          <cell r="A487" t="str">
            <v>Громов Сергей Дмитриевич</v>
          </cell>
          <cell r="B487" t="str">
            <v>В-03392/КЛ.Транш - 1</v>
          </cell>
          <cell r="C487" t="str">
            <v>ssergromow.gromov@yandex.ru</v>
          </cell>
        </row>
        <row r="488">
          <cell r="A488" t="str">
            <v>Груничев Александр Леонидович</v>
          </cell>
          <cell r="B488" t="str">
            <v>В-00858/АЗ</v>
          </cell>
        </row>
        <row r="489">
          <cell r="A489" t="str">
            <v>ГТ.Билдинг ООО</v>
          </cell>
          <cell r="B489" t="str">
            <v>В-00044/КЭ.Транш - 1</v>
          </cell>
        </row>
        <row r="490">
          <cell r="A490" t="str">
            <v>Губайдуллаев Хафиз Рафхатович</v>
          </cell>
          <cell r="B490" t="str">
            <v>В-08268/КЛ.Транш - 2</v>
          </cell>
          <cell r="C490" t="str">
            <v>ghafiz3@mail.ru</v>
          </cell>
        </row>
        <row r="491">
          <cell r="A491" t="str">
            <v>Губская Светлана Анатольевна</v>
          </cell>
          <cell r="B491" t="str">
            <v>В-11396/КЛ.Транш - 2</v>
          </cell>
          <cell r="C491" t="str">
            <v>svetlana01031969@yandex.ru</v>
          </cell>
        </row>
        <row r="492">
          <cell r="A492" t="str">
            <v>Гудименко Константин Алексеевич</v>
          </cell>
          <cell r="B492" t="str">
            <v>В-07411/КЛ.Транш - 1</v>
          </cell>
          <cell r="C492" t="str">
            <v>CPNN@YANDEX.RU</v>
          </cell>
        </row>
        <row r="493">
          <cell r="A493" t="str">
            <v>Гудименко Константин Алексеевич</v>
          </cell>
          <cell r="B493" t="str">
            <v>В-07411/КЛ.Транш - 2</v>
          </cell>
          <cell r="C493" t="str">
            <v>CPNN@YANDEX.RU</v>
          </cell>
        </row>
        <row r="494">
          <cell r="A494" t="str">
            <v>Гудименко Константин Алексеевич</v>
          </cell>
          <cell r="B494" t="str">
            <v>В-07411/КЛ.Транш - 3</v>
          </cell>
          <cell r="C494" t="str">
            <v>CPNN@YANDEX.RU</v>
          </cell>
        </row>
        <row r="495">
          <cell r="A495" t="str">
            <v>Гудименко Константин Алексеевич</v>
          </cell>
          <cell r="B495" t="str">
            <v>В-07411/КЛ.Транш - 4</v>
          </cell>
          <cell r="C495" t="str">
            <v>CPNN@YANDEX.RU</v>
          </cell>
        </row>
        <row r="496">
          <cell r="A496" t="str">
            <v>Гудименко Константин Алексеевич</v>
          </cell>
          <cell r="B496" t="str">
            <v>В-07411/КЛ.Транш - 5</v>
          </cell>
          <cell r="C496" t="str">
            <v>CPNN@YANDEX.RU</v>
          </cell>
        </row>
        <row r="497">
          <cell r="A497" t="str">
            <v>Гудименко Константин Алексеевич</v>
          </cell>
          <cell r="B497" t="str">
            <v>В-07411/КЛ.Транш - 6</v>
          </cell>
          <cell r="C497" t="str">
            <v>CPNN@YANDEX.RU</v>
          </cell>
        </row>
        <row r="498">
          <cell r="A498" t="str">
            <v>Гукасян Павел Владимирович</v>
          </cell>
          <cell r="B498" t="str">
            <v>В-14728/КЛ.Транш - 4</v>
          </cell>
          <cell r="C498" t="str">
            <v>troyanviruses@gmail.com</v>
          </cell>
        </row>
        <row r="499">
          <cell r="A499" t="str">
            <v>Гукасян Павел Владимирович</v>
          </cell>
          <cell r="B499" t="str">
            <v>В-14728/КЛ.Транш - 6</v>
          </cell>
          <cell r="C499" t="str">
            <v>troyanviruses@gmail.com</v>
          </cell>
        </row>
        <row r="500">
          <cell r="A500" t="str">
            <v>Гукасян Павел Владимирович</v>
          </cell>
          <cell r="B500" t="str">
            <v>В-14728/КЛ.Транш - 7</v>
          </cell>
          <cell r="C500" t="str">
            <v>troyanviruses@gmail.com</v>
          </cell>
        </row>
        <row r="501">
          <cell r="A501" t="str">
            <v>Гукасян Павел Владимирович</v>
          </cell>
          <cell r="B501" t="str">
            <v>В-14728/КЛ.Транш - 8</v>
          </cell>
          <cell r="C501" t="str">
            <v>troyanviruses@gmail.com</v>
          </cell>
        </row>
        <row r="502">
          <cell r="A502" t="str">
            <v>Гукасян Павел Владимирович</v>
          </cell>
          <cell r="B502" t="str">
            <v>В-14728/КЛ.Транш - 9</v>
          </cell>
          <cell r="C502" t="str">
            <v>troyanviruses@gmail.com</v>
          </cell>
        </row>
        <row r="503">
          <cell r="A503" t="str">
            <v>Гулиев Адиль Джангирович</v>
          </cell>
          <cell r="B503" t="str">
            <v>В-00161/АЗ</v>
          </cell>
          <cell r="C503" t="str">
            <v>Adam.081@mail.ru</v>
          </cell>
        </row>
        <row r="504">
          <cell r="A504" t="str">
            <v>Гулиева Сусан Мубариз Кызы</v>
          </cell>
          <cell r="B504" t="str">
            <v>В-25757/КЛ.Транш - 1</v>
          </cell>
          <cell r="D504" t="str">
            <v>gurievasusan@gmail.com</v>
          </cell>
        </row>
        <row r="505">
          <cell r="A505" t="str">
            <v>Гулканян Наири Гарникович</v>
          </cell>
          <cell r="B505" t="str">
            <v>В-25640/КЛ.Транш - 1</v>
          </cell>
          <cell r="C505" t="str">
            <v>nairi0501@mail.ru</v>
          </cell>
          <cell r="D505" t="str">
            <v>nairi0501@mail.ru</v>
          </cell>
        </row>
        <row r="506">
          <cell r="A506" t="str">
            <v>Гупало Илья Александрович</v>
          </cell>
          <cell r="B506" t="str">
            <v>В-01217/АЗ</v>
          </cell>
          <cell r="C506" t="str">
            <v>ilyagupalo@gmail.com</v>
          </cell>
          <cell r="D506" t="str">
            <v>ilyagupalo@gmail.com</v>
          </cell>
        </row>
        <row r="507">
          <cell r="A507" t="str">
            <v>Гуркин Владимир Рудольфович</v>
          </cell>
          <cell r="B507" t="str">
            <v>В-20118/КЛ.Транш - 1</v>
          </cell>
        </row>
        <row r="508">
          <cell r="A508" t="str">
            <v>Гуров Евгений Сергеевич</v>
          </cell>
          <cell r="B508" t="str">
            <v>В-18586/КЛ.Транш - 1</v>
          </cell>
          <cell r="D508" t="str">
            <v>gengur1289@gmail.com</v>
          </cell>
        </row>
        <row r="509">
          <cell r="A509" t="str">
            <v>Гусев Владимир Николаевич</v>
          </cell>
          <cell r="B509" t="str">
            <v>В-00496/АЗ</v>
          </cell>
          <cell r="C509" t="str">
            <v>g.vladimir1965@gmail.com</v>
          </cell>
        </row>
        <row r="510">
          <cell r="A510" t="str">
            <v>Гусейинов Рафиг Шамил</v>
          </cell>
          <cell r="B510" t="str">
            <v>В-00497/АЗ</v>
          </cell>
        </row>
        <row r="511">
          <cell r="A511" t="str">
            <v>Гусейнов Магомед Динисламович</v>
          </cell>
          <cell r="B511" t="str">
            <v>В-27747/КЛ.Транш - 1</v>
          </cell>
        </row>
        <row r="512">
          <cell r="A512" t="str">
            <v>Гусейнов Муслум Нурали Оглы</v>
          </cell>
          <cell r="B512" t="str">
            <v>А-05110/АЗ_А-20200626/Ц</v>
          </cell>
        </row>
        <row r="513">
          <cell r="A513" t="str">
            <v>Гуциев Илес Эдильбекович</v>
          </cell>
          <cell r="B513" t="str">
            <v>В-00911/АЗ_В-20211230/Ц</v>
          </cell>
          <cell r="C513" t="str">
            <v>001_maas@mail.ru</v>
          </cell>
        </row>
        <row r="514">
          <cell r="A514" t="str">
            <v>Гуциев Илес Эдильбекович</v>
          </cell>
          <cell r="B514" t="str">
            <v>В-00927/АЗ_В-20211230/Ц</v>
          </cell>
          <cell r="C514" t="str">
            <v>001_maas@mail.ru</v>
          </cell>
        </row>
        <row r="515">
          <cell r="A515" t="str">
            <v>Гучуа Натия Геноевна</v>
          </cell>
          <cell r="B515" t="str">
            <v>А-04018/АЗ_А-20200626/Ц</v>
          </cell>
          <cell r="C515" t="str">
            <v>guc-natiya@yandex.ru</v>
          </cell>
          <cell r="D515" t="str">
            <v>guc-natiya@yandex.ru</v>
          </cell>
        </row>
        <row r="516">
          <cell r="A516" t="str">
            <v>Гюльбалаев Азамат Шарфитдинович</v>
          </cell>
          <cell r="B516" t="str">
            <v>В-00581/АЗ</v>
          </cell>
          <cell r="C516" t="str">
            <v>2470033@mail.ru</v>
          </cell>
        </row>
        <row r="517">
          <cell r="A517" t="str">
            <v>Давыдов Игорь Александрович</v>
          </cell>
          <cell r="B517" t="str">
            <v>В-28437/КЛ.Транш - 1</v>
          </cell>
          <cell r="D517" t="str">
            <v>Igor.davydoff@gmail.com</v>
          </cell>
        </row>
        <row r="518">
          <cell r="A518" t="str">
            <v>Дагиров Рустам Шамсутдинович</v>
          </cell>
          <cell r="B518" t="str">
            <v>В-00431/КЛ.Транш - 1</v>
          </cell>
          <cell r="C518" t="str">
            <v>dagirov82@bk.ru</v>
          </cell>
        </row>
        <row r="519">
          <cell r="A519" t="str">
            <v>Дагиров Рустам Шамсутдинович</v>
          </cell>
          <cell r="B519" t="str">
            <v>В-00431/КЛ.Транш - 2</v>
          </cell>
          <cell r="C519" t="str">
            <v>dagirov82@bk.ru</v>
          </cell>
        </row>
        <row r="520">
          <cell r="A520" t="str">
            <v>Далгатов Гаджимурад Магомедович</v>
          </cell>
          <cell r="B520" t="str">
            <v>В-12746/КЛ.Транш - 10</v>
          </cell>
          <cell r="C520" t="str">
            <v>dgm81@mail.ru</v>
          </cell>
          <cell r="D520" t="str">
            <v>dgm81@mail.ru</v>
          </cell>
        </row>
        <row r="521">
          <cell r="A521" t="str">
            <v>Далгатов Гаджимурад Магомедович</v>
          </cell>
          <cell r="B521" t="str">
            <v>В-12746/КЛ.Транш - 15</v>
          </cell>
          <cell r="C521" t="str">
            <v>dgm81@mail.ru</v>
          </cell>
          <cell r="D521" t="str">
            <v>dgm81@mail.ru</v>
          </cell>
        </row>
        <row r="522">
          <cell r="A522" t="str">
            <v>Далгатов Гаджимурад Магомедович</v>
          </cell>
          <cell r="B522" t="str">
            <v>В-12746/КЛ.Транш - 16</v>
          </cell>
          <cell r="C522" t="str">
            <v>dgm81@mail.ru</v>
          </cell>
          <cell r="D522" t="str">
            <v>dgm81@mail.ru</v>
          </cell>
        </row>
        <row r="523">
          <cell r="A523" t="str">
            <v>Далгатов Гаджимурад Магомедович</v>
          </cell>
          <cell r="B523" t="str">
            <v>В-12746/КЛ.Транш - 19</v>
          </cell>
          <cell r="C523" t="str">
            <v>dgm81@mail.ru</v>
          </cell>
          <cell r="D523" t="str">
            <v>dgm81@mail.ru</v>
          </cell>
        </row>
        <row r="524">
          <cell r="A524" t="str">
            <v>Далгатов Гаджимурад Магомедович</v>
          </cell>
          <cell r="B524" t="str">
            <v>В-12746/КЛ.Транш - 23</v>
          </cell>
          <cell r="C524" t="str">
            <v>dgm81@mail.ru</v>
          </cell>
          <cell r="D524" t="str">
            <v>dgm81@mail.ru</v>
          </cell>
        </row>
        <row r="525">
          <cell r="A525" t="str">
            <v>Далгатов Гаджимурад Магомедович</v>
          </cell>
          <cell r="B525" t="str">
            <v>В-12746/КЛ.Транш - 24</v>
          </cell>
          <cell r="C525" t="str">
            <v>dgm81@mail.ru</v>
          </cell>
          <cell r="D525" t="str">
            <v>dgm81@mail.ru</v>
          </cell>
        </row>
        <row r="526">
          <cell r="A526" t="str">
            <v>Далгатов Гаджимурад Магомедович</v>
          </cell>
          <cell r="B526" t="str">
            <v>В-12746/КЛ.Транш - 25</v>
          </cell>
          <cell r="C526" t="str">
            <v>dgm81@mail.ru</v>
          </cell>
          <cell r="D526" t="str">
            <v>dgm81@mail.ru</v>
          </cell>
        </row>
        <row r="527">
          <cell r="A527" t="str">
            <v>Далгатов Гаджимурад Магомедович</v>
          </cell>
          <cell r="B527" t="str">
            <v>В-12746/КЛ.Транш - 6</v>
          </cell>
          <cell r="C527" t="str">
            <v>dgm81@mail.ru</v>
          </cell>
          <cell r="D527" t="str">
            <v>dgm81@mail.ru</v>
          </cell>
        </row>
        <row r="528">
          <cell r="A528" t="str">
            <v>Далгатов Гаджимурад Магомедович</v>
          </cell>
          <cell r="B528" t="str">
            <v>В-12746/КЛ.Транш - 7</v>
          </cell>
          <cell r="C528" t="str">
            <v>dgm81@mail.ru</v>
          </cell>
          <cell r="D528" t="str">
            <v>dgm81@mail.ru</v>
          </cell>
        </row>
        <row r="529">
          <cell r="A529" t="str">
            <v>Далгатов Гаджимурад Магомедович</v>
          </cell>
          <cell r="B529" t="str">
            <v>В-12746/КЛ.Транш - 9</v>
          </cell>
          <cell r="C529" t="str">
            <v>dgm81@mail.ru</v>
          </cell>
          <cell r="D529" t="str">
            <v>dgm81@mail.ru</v>
          </cell>
        </row>
        <row r="530">
          <cell r="A530" t="str">
            <v>Дам Вихерс Юлия Владимировна</v>
          </cell>
          <cell r="B530" t="str">
            <v>А-03641/АЗ</v>
          </cell>
        </row>
        <row r="531">
          <cell r="A531" t="str">
            <v>Данелян Рафик Размикович</v>
          </cell>
          <cell r="B531" t="str">
            <v>В-26290/КЛ.Транш - 1</v>
          </cell>
          <cell r="D531" t="str">
            <v>Danelyan-rafik97@mail.ru</v>
          </cell>
        </row>
        <row r="532">
          <cell r="A532" t="str">
            <v>Данилин Дмитрий Павлович</v>
          </cell>
          <cell r="B532" t="str">
            <v>А-04119/АЗ</v>
          </cell>
          <cell r="C532" t="str">
            <v>danilin.d@mail.ru</v>
          </cell>
          <cell r="D532" t="str">
            <v>danilin.d@mail.ru</v>
          </cell>
        </row>
        <row r="533">
          <cell r="A533" t="str">
            <v>Даниялов Марат Алавутдинович</v>
          </cell>
          <cell r="B533" t="str">
            <v>В-17533/КЛ.Транш - 1_В-20211230/Ц</v>
          </cell>
          <cell r="D533" t="str">
            <v>mdaniaylov92@gmail.com</v>
          </cell>
        </row>
        <row r="534">
          <cell r="A534" t="str">
            <v>Дарвичева Татьяна Викторовна</v>
          </cell>
          <cell r="B534" t="str">
            <v>А-05421/АЗ_А-20200626/Ц</v>
          </cell>
        </row>
        <row r="535">
          <cell r="A535" t="str">
            <v>Дарвичева Татьяна Викторовна</v>
          </cell>
          <cell r="B535" t="str">
            <v>В-00702/АЗ</v>
          </cell>
        </row>
        <row r="536">
          <cell r="A536" t="str">
            <v>Дарвичева Татьяна Викторовна</v>
          </cell>
          <cell r="B536" t="str">
            <v>Т-01843/АЗ_Т-20200626/Ц</v>
          </cell>
        </row>
        <row r="537">
          <cell r="A537" t="str">
            <v>Двинянина Елена Владимировна</v>
          </cell>
          <cell r="B537" t="str">
            <v>В-23409/КЛ.Транш - 1</v>
          </cell>
        </row>
        <row r="538">
          <cell r="A538" t="str">
            <v>Дементьев Александр Валерьевич</v>
          </cell>
          <cell r="B538" t="str">
            <v>В-19564/КЛ.Транш - 1</v>
          </cell>
          <cell r="D538" t="str">
            <v>dementozza@gmail.com</v>
          </cell>
        </row>
        <row r="539">
          <cell r="A539" t="str">
            <v>Дементьев Александр Валерьевич</v>
          </cell>
          <cell r="B539" t="str">
            <v>В-19564/КЛ.Транш - 2</v>
          </cell>
          <cell r="D539" t="str">
            <v>dementozza@gmail.com</v>
          </cell>
        </row>
        <row r="540">
          <cell r="A540" t="str">
            <v>Дементьев Василий Алексеевич</v>
          </cell>
          <cell r="B540" t="str">
            <v>В-10909/КЛ.Транш - 1</v>
          </cell>
          <cell r="C540" t="str">
            <v>vadenentev@yandex.ru</v>
          </cell>
        </row>
        <row r="541">
          <cell r="A541" t="str">
            <v>Демченко Андрей Сергеевич</v>
          </cell>
          <cell r="B541" t="str">
            <v>В-01050/АЗ</v>
          </cell>
        </row>
        <row r="542">
          <cell r="A542" t="str">
            <v>Демченко Андрей Сергеевич</v>
          </cell>
          <cell r="B542" t="str">
            <v>В-01051/АЗ</v>
          </cell>
        </row>
        <row r="543">
          <cell r="A543" t="str">
            <v>Денисенко Руслана Анатольевна</v>
          </cell>
          <cell r="B543" t="str">
            <v>В-12380/КЛ.Транш - 1</v>
          </cell>
          <cell r="C543" t="str">
            <v>danis13131@mail.ru</v>
          </cell>
          <cell r="D543" t="str">
            <v>danis13131@mail.ru</v>
          </cell>
        </row>
        <row r="544">
          <cell r="A544" t="str">
            <v>Деревяга Илья Викторович</v>
          </cell>
          <cell r="B544" t="str">
            <v>В-13070/КЛ.Транш - 2</v>
          </cell>
          <cell r="D544" t="str">
            <v>buhara-com@rambler.ru</v>
          </cell>
        </row>
        <row r="545">
          <cell r="A545" t="str">
            <v>Деревяга Илья Викторович</v>
          </cell>
          <cell r="B545" t="str">
            <v>В-13070/КЛ.Транш - 3</v>
          </cell>
          <cell r="D545" t="str">
            <v>buhara-com@rambler.ru</v>
          </cell>
        </row>
        <row r="546">
          <cell r="A546" t="str">
            <v>Джабраилов Саид-Хусейн Хасанович</v>
          </cell>
          <cell r="B546" t="str">
            <v>В-12401/КЛ.Транш - 1</v>
          </cell>
          <cell r="C546" t="str">
            <v>yugenergo@list.ru</v>
          </cell>
        </row>
        <row r="547">
          <cell r="A547" t="str">
            <v>Джабраилов Саид-Хусейн Хасанович</v>
          </cell>
          <cell r="B547" t="str">
            <v>В-12401/КЛ.Транш - 2</v>
          </cell>
          <cell r="C547" t="str">
            <v>yugenergo@list.ru</v>
          </cell>
        </row>
        <row r="548">
          <cell r="A548" t="str">
            <v>Джангуланова Амина Бауржановна</v>
          </cell>
          <cell r="B548" t="str">
            <v>В-24594/АЗ</v>
          </cell>
          <cell r="C548" t="str">
            <v>nalchik143@hotmail.com</v>
          </cell>
          <cell r="D548" t="str">
            <v>nalchik143@hotmail.com</v>
          </cell>
        </row>
        <row r="549">
          <cell r="A549" t="str">
            <v>Джулакян Мартирос Жораевич</v>
          </cell>
          <cell r="B549" t="str">
            <v>В-06481/КЛ.Транш - 7</v>
          </cell>
          <cell r="C549" t="str">
            <v>julhakian@rambler.ru</v>
          </cell>
        </row>
        <row r="550">
          <cell r="A550" t="str">
            <v>Джумаева Муслима Султоновна</v>
          </cell>
          <cell r="B550" t="str">
            <v>В-01148/АЗ</v>
          </cell>
        </row>
        <row r="551">
          <cell r="A551" t="str">
            <v>Дзейтов Муслим Алиевич</v>
          </cell>
          <cell r="B551" t="str">
            <v>В-20300/КЛ.Транш - 1</v>
          </cell>
          <cell r="D551" t="str">
            <v>dzmuslim@mail.ru</v>
          </cell>
        </row>
        <row r="552">
          <cell r="A552" t="str">
            <v>Дзюба Евгений Григорьевич</v>
          </cell>
          <cell r="B552" t="str">
            <v>В-22409/КЛ.Транш - 1</v>
          </cell>
          <cell r="C552" t="str">
            <v>Evgeniy-vl@list.ru</v>
          </cell>
          <cell r="D552" t="str">
            <v>Evgeniy-vl@list.ru</v>
          </cell>
        </row>
        <row r="553">
          <cell r="A553" t="str">
            <v>Диакону Сергей Борисович</v>
          </cell>
          <cell r="B553" t="str">
            <v>В-25367/АЗ</v>
          </cell>
        </row>
        <row r="554">
          <cell r="A554" t="str">
            <v>Диденко Роман Владимирович</v>
          </cell>
          <cell r="B554" t="str">
            <v>В-12256/КЛ.Транш - 1</v>
          </cell>
          <cell r="D554" t="str">
            <v>dide-roman@mail.ru</v>
          </cell>
        </row>
        <row r="555">
          <cell r="A555" t="str">
            <v>Дидиев Хасан Асланович</v>
          </cell>
          <cell r="B555" t="str">
            <v>В-15163/КЛ.Транш - 1</v>
          </cell>
          <cell r="C555" t="str">
            <v>mr_didiev@mail.ru</v>
          </cell>
          <cell r="D555" t="str">
            <v>mr_didiev@mail.ru</v>
          </cell>
        </row>
        <row r="556">
          <cell r="A556" t="str">
            <v>Дмитриев Алексей Евгеньевич</v>
          </cell>
          <cell r="B556" t="str">
            <v>Т-01890/АЗ_Т-20211028/Ц</v>
          </cell>
          <cell r="C556" t="str">
            <v>berlingo.dmitriev@yandex.ru</v>
          </cell>
        </row>
        <row r="557">
          <cell r="A557" t="str">
            <v>Дмитриев Антон Романович</v>
          </cell>
          <cell r="B557" t="str">
            <v>В-28291/КЛ.Транш - 1</v>
          </cell>
          <cell r="C557" t="str">
            <v>skansa35@gmail.com</v>
          </cell>
          <cell r="D557" t="str">
            <v>skansa35@gmail.com</v>
          </cell>
        </row>
        <row r="558">
          <cell r="A558" t="str">
            <v>Добрица Любовь Анатольевна</v>
          </cell>
          <cell r="B558" t="str">
            <v>А-04742/АЗ</v>
          </cell>
        </row>
        <row r="559">
          <cell r="A559" t="str">
            <v>Добров Дмитрий Сергеевич</v>
          </cell>
          <cell r="B559" t="str">
            <v>В-16882/КЛ.Транш - 2</v>
          </cell>
          <cell r="D559" t="str">
            <v>julin.dima2012@yandex.ru</v>
          </cell>
        </row>
        <row r="560">
          <cell r="A560" t="str">
            <v>Догарева Мария Станиславовна</v>
          </cell>
          <cell r="B560" t="str">
            <v>В-03259/КЛ.Транш - 1</v>
          </cell>
          <cell r="C560" t="str">
            <v>mdogareva@yandex.ru</v>
          </cell>
        </row>
        <row r="561">
          <cell r="A561" t="str">
            <v>Додохова Анна Николаевна</v>
          </cell>
          <cell r="B561" t="str">
            <v>В-00272/АЗ_В-20211230/Ц</v>
          </cell>
          <cell r="C561" t="str">
            <v>shantalprim@mail.ru</v>
          </cell>
        </row>
        <row r="562">
          <cell r="A562" t="str">
            <v>Долгополов Сергей Юрьевич</v>
          </cell>
          <cell r="B562" t="str">
            <v>В-07544/КЛ.Транш - 1</v>
          </cell>
          <cell r="C562" t="str">
            <v>maindolgopolov@rambler.ru</v>
          </cell>
        </row>
        <row r="563">
          <cell r="A563" t="str">
            <v>Долгошеев Александр Юрьевич</v>
          </cell>
          <cell r="B563" t="str">
            <v>В-13719/КЛ.Транш - 1</v>
          </cell>
          <cell r="C563" t="str">
            <v>dolgosheev.sanek@mail.ru</v>
          </cell>
          <cell r="D563" t="str">
            <v>dolgosheev.sanek@mail.ru</v>
          </cell>
        </row>
        <row r="564">
          <cell r="A564" t="str">
            <v>Доновский Даниил Дмитриевич</v>
          </cell>
          <cell r="B564" t="str">
            <v>В-11733/КЛ.Транш - 1</v>
          </cell>
          <cell r="C564" t="str">
            <v>daniildonovskiy@gmail.com</v>
          </cell>
        </row>
        <row r="565">
          <cell r="A565" t="str">
            <v>Дорожинская Екатерина Андреевна</v>
          </cell>
          <cell r="B565" t="str">
            <v>В-23074/КЛ.Транш - 1</v>
          </cell>
          <cell r="D565" t="str">
            <v>katya.dorozhinskaya@yandex.ru</v>
          </cell>
        </row>
        <row r="566">
          <cell r="A566" t="str">
            <v>Дорохин Артем Олегович</v>
          </cell>
          <cell r="B566" t="str">
            <v>В-24493/КЛ.Транш - 1</v>
          </cell>
        </row>
        <row r="567">
          <cell r="A567" t="str">
            <v>ДОРРЕМСТРОЙ ООО</v>
          </cell>
          <cell r="B567" t="str">
            <v>В-00077/КЭ.Транш - 1</v>
          </cell>
          <cell r="C567" t="str">
            <v>dorremstroi2018@gmail.com</v>
          </cell>
        </row>
        <row r="568">
          <cell r="A568" t="str">
            <v>Дортман Ольга Александровна</v>
          </cell>
          <cell r="B568" t="str">
            <v>В-24934/КЛ.Транш - 1</v>
          </cell>
          <cell r="C568" t="str">
            <v>olyadortman@yandex.ru</v>
          </cell>
        </row>
        <row r="569">
          <cell r="A569" t="str">
            <v>Дортман Ольга Александровна</v>
          </cell>
          <cell r="B569" t="str">
            <v>В-24934/КЛ.Транш - 2</v>
          </cell>
          <cell r="C569" t="str">
            <v>olyadortman@yandex.ru</v>
          </cell>
        </row>
        <row r="570">
          <cell r="A570" t="str">
            <v>Дортман Ольга Александровна</v>
          </cell>
          <cell r="B570" t="str">
            <v>В-24934/КЛ.Транш - 3</v>
          </cell>
          <cell r="C570" t="str">
            <v>olyadortman@yandex.ru</v>
          </cell>
        </row>
        <row r="571">
          <cell r="A571" t="str">
            <v>Доценко Артём Анатольевич</v>
          </cell>
          <cell r="B571" t="str">
            <v>В-19715/КЛ.Транш - 1</v>
          </cell>
          <cell r="D571" t="str">
            <v>docent89ekx@gmail.com</v>
          </cell>
        </row>
        <row r="572">
          <cell r="A572" t="str">
            <v>Дробный Александр Олегович</v>
          </cell>
          <cell r="B572" t="str">
            <v>В-20084/КЛ.Транш - 1</v>
          </cell>
          <cell r="D572" t="str">
            <v>29951331@mail.ru</v>
          </cell>
        </row>
        <row r="573">
          <cell r="A573" t="str">
            <v>Дробот Роман Вячеславович</v>
          </cell>
          <cell r="B573" t="str">
            <v>В-12943/КЛ.Транш - 1</v>
          </cell>
        </row>
        <row r="574">
          <cell r="A574" t="str">
            <v>Дрогин Дмитрий Владимирович</v>
          </cell>
          <cell r="B574" t="str">
            <v>В-15912/КЛ.Транш - 1</v>
          </cell>
          <cell r="C574" t="str">
            <v>drogin86@mail.ru</v>
          </cell>
        </row>
        <row r="575">
          <cell r="A575" t="str">
            <v>Дрогин Дмитрий Владимирович</v>
          </cell>
          <cell r="B575" t="str">
            <v>В-15912/КЛ.Транш - 2</v>
          </cell>
          <cell r="C575" t="str">
            <v>drogin86@mail.ru</v>
          </cell>
        </row>
        <row r="576">
          <cell r="A576" t="str">
            <v>Дрожжин Андрей Юрьевич</v>
          </cell>
          <cell r="B576" t="str">
            <v>В-19897/КЛ.Транш - 1</v>
          </cell>
          <cell r="D576" t="str">
            <v>anderei87@rambler.ru</v>
          </cell>
        </row>
        <row r="577">
          <cell r="A577" t="str">
            <v>Дубовская Юлия Олеговна</v>
          </cell>
          <cell r="B577" t="str">
            <v>В-05840/КЛ.Транш - 2</v>
          </cell>
          <cell r="C577" t="str">
            <v>popova0116@yandex.ru</v>
          </cell>
          <cell r="D577" t="str">
            <v>popova0116@yandex.ru</v>
          </cell>
        </row>
        <row r="578">
          <cell r="A578" t="str">
            <v>Дубров Алексей Владимирович</v>
          </cell>
          <cell r="B578" t="str">
            <v>В-27980/КЛ.Транш - 1</v>
          </cell>
          <cell r="C578" t="str">
            <v>aleksejdubrov6@gmail.com</v>
          </cell>
        </row>
        <row r="579">
          <cell r="A579" t="str">
            <v>Дубский Денис Николаевич</v>
          </cell>
          <cell r="B579" t="str">
            <v>В-14987/КЛ.Транш - 1</v>
          </cell>
          <cell r="D579" t="str">
            <v>dubskiy1990@yandex.ru</v>
          </cell>
        </row>
        <row r="580">
          <cell r="A580" t="str">
            <v>Дудин Василий Васильевич</v>
          </cell>
          <cell r="B580" t="str">
            <v>В-16067/КЛ.Транш - 1</v>
          </cell>
          <cell r="D580" t="str">
            <v>vasilijdudin9@gmail.com</v>
          </cell>
        </row>
        <row r="581">
          <cell r="A581" t="str">
            <v>Дунаева Любовь Анатольевна</v>
          </cell>
          <cell r="B581" t="str">
            <v>В-10704/КЛ.Транш - 1</v>
          </cell>
          <cell r="C581" t="str">
            <v>dunaevala@inbox.ru</v>
          </cell>
        </row>
        <row r="582">
          <cell r="A582" t="str">
            <v>Дыгова Раиса Мусарбиевна</v>
          </cell>
          <cell r="B582" t="str">
            <v>В-10648/КЛ.Транш - 2</v>
          </cell>
          <cell r="C582" t="str">
            <v>Khantsev001@mail.ru</v>
          </cell>
        </row>
        <row r="583">
          <cell r="A583" t="str">
            <v>Дядченко Елена Валентиновна</v>
          </cell>
          <cell r="B583" t="str">
            <v>В-00233/КЛ.Транш - 1</v>
          </cell>
          <cell r="C583" t="str">
            <v>ula801@yandex.ru</v>
          </cell>
        </row>
        <row r="584">
          <cell r="A584" t="str">
            <v>Евсеев Сергей Анатольевич</v>
          </cell>
          <cell r="B584" t="str">
            <v>В-10492/КЛ.Транш - 1</v>
          </cell>
          <cell r="C584" t="str">
            <v>Sergant1514@spaces.ru</v>
          </cell>
        </row>
        <row r="585">
          <cell r="A585" t="str">
            <v>Евстигнеев Дмитрий Станиславович</v>
          </cell>
          <cell r="B585" t="str">
            <v>В-01175/АЗ</v>
          </cell>
        </row>
        <row r="586">
          <cell r="A586" t="str">
            <v>Евстратов Игорь Владимирович</v>
          </cell>
          <cell r="B586" t="str">
            <v>В-16257/КЛ.Транш - 2</v>
          </cell>
        </row>
        <row r="587">
          <cell r="A587" t="str">
            <v>Евтина Яна Анатольевна</v>
          </cell>
          <cell r="B587" t="str">
            <v>В-17605/КЛ.Транш - 1</v>
          </cell>
          <cell r="D587" t="str">
            <v>anineru801@gmail.com</v>
          </cell>
        </row>
        <row r="588">
          <cell r="A588" t="str">
            <v>Егиазарян Геворг Рубикович</v>
          </cell>
          <cell r="B588" t="str">
            <v>В-28358/КЛ.Транш - 1</v>
          </cell>
          <cell r="D588" t="str">
            <v>gevorg79@bk.ru</v>
          </cell>
        </row>
        <row r="589">
          <cell r="A589" t="str">
            <v>Егоров Андрей Вячеславович</v>
          </cell>
          <cell r="B589" t="str">
            <v>В-29052/КЛ.Транш - 1</v>
          </cell>
          <cell r="D589" t="str">
            <v>Nightfall610@yandex.ru</v>
          </cell>
        </row>
        <row r="590">
          <cell r="A590" t="str">
            <v>Егоров Владимир Борисович</v>
          </cell>
          <cell r="B590" t="str">
            <v>В-26251/КЛ.Транш - 1</v>
          </cell>
          <cell r="C590" t="str">
            <v>9092868@gmail.ru</v>
          </cell>
        </row>
        <row r="591">
          <cell r="A591" t="str">
            <v>Егоров Павел Евгеньевич</v>
          </cell>
          <cell r="B591" t="str">
            <v>В-25229/АЗ</v>
          </cell>
          <cell r="C591" t="str">
            <v>karapyz-666@mail.ru</v>
          </cell>
          <cell r="D591" t="str">
            <v>karapyz-666@mail.ru</v>
          </cell>
        </row>
        <row r="592">
          <cell r="A592" t="str">
            <v>Егоров Сергей Владимирович</v>
          </cell>
          <cell r="B592" t="str">
            <v>В-00438/КЛ.Транш - 1</v>
          </cell>
          <cell r="C592" t="str">
            <v>sergejegorov801@gmail.com</v>
          </cell>
        </row>
        <row r="593">
          <cell r="A593" t="str">
            <v>Егоршева Ирина Александровна</v>
          </cell>
          <cell r="B593" t="str">
            <v>В-00617/КЛ.Транш - 1_Т-20211028/Ц</v>
          </cell>
          <cell r="C593" t="str">
            <v>iegorsheva@yandex.ru</v>
          </cell>
        </row>
        <row r="594">
          <cell r="A594" t="str">
            <v>Егоян Арарат Хнгяносович</v>
          </cell>
          <cell r="B594" t="str">
            <v>В-26477/КЛ.Транш - 1</v>
          </cell>
          <cell r="D594" t="str">
            <v>egoyanararat1983@MAIL.RU</v>
          </cell>
        </row>
        <row r="595">
          <cell r="A595" t="str">
            <v>Егоян Вард Баласанович</v>
          </cell>
          <cell r="B595" t="str">
            <v>В-01038/АЗ</v>
          </cell>
        </row>
        <row r="596">
          <cell r="A596" t="str">
            <v>Егупов Дмитрий Сергеевич</v>
          </cell>
          <cell r="B596" t="str">
            <v>В-28549/АЗ</v>
          </cell>
          <cell r="C596" t="str">
            <v>egupoff75@yandex.ru</v>
          </cell>
          <cell r="D596" t="str">
            <v>egupoff75@yandex.ru</v>
          </cell>
        </row>
        <row r="597">
          <cell r="A597" t="str">
            <v>Егупов Дмитрий Сергеевич</v>
          </cell>
          <cell r="B597" t="str">
            <v>В-28968/АЗ</v>
          </cell>
          <cell r="C597" t="str">
            <v>egupoff75@yandex.ru</v>
          </cell>
          <cell r="D597" t="str">
            <v>egupoff75@yandex.ru</v>
          </cell>
        </row>
        <row r="598">
          <cell r="A598" t="str">
            <v>Елизарова Виктория Андреевна</v>
          </cell>
          <cell r="B598" t="str">
            <v>В-21269/КЛ.Транш - 1</v>
          </cell>
          <cell r="D598" t="str">
            <v>nikulya91@list.ru</v>
          </cell>
        </row>
        <row r="599">
          <cell r="A599" t="str">
            <v>Елисеев Вячеслав Викторович</v>
          </cell>
          <cell r="B599" t="str">
            <v>В-01675/КЛ.Транш - 3</v>
          </cell>
          <cell r="C599" t="str">
            <v>slava-e@list.ru</v>
          </cell>
          <cell r="D599" t="str">
            <v>slava-e@list.ru</v>
          </cell>
        </row>
        <row r="600">
          <cell r="A600" t="str">
            <v>Елисеев Вячеслав Викторович</v>
          </cell>
          <cell r="B600" t="str">
            <v>В-25509/КЛ.Транш - 1</v>
          </cell>
          <cell r="C600" t="str">
            <v>slava-e@list.ru</v>
          </cell>
          <cell r="D600" t="str">
            <v>slava-e@list.ru</v>
          </cell>
        </row>
        <row r="601">
          <cell r="A601" t="str">
            <v>Елистратов Сергей Викторович</v>
          </cell>
          <cell r="B601" t="str">
            <v>В-11447/КЛ.Транш - 1</v>
          </cell>
          <cell r="C601" t="str">
            <v>elistratov83@mail.ru</v>
          </cell>
        </row>
        <row r="602">
          <cell r="A602" t="str">
            <v>Ельшин Владимир Анатольевич</v>
          </cell>
          <cell r="B602" t="str">
            <v>В-01161/АЗ</v>
          </cell>
        </row>
        <row r="603">
          <cell r="A603" t="str">
            <v>Емелин Сергей Анатольевич</v>
          </cell>
          <cell r="B603" t="str">
            <v>В-23655/КЛ.Транш - 2</v>
          </cell>
          <cell r="C603" t="str">
            <v>89536694040@mail.ru</v>
          </cell>
          <cell r="D603" t="str">
            <v>89536694040@mail.ru</v>
          </cell>
        </row>
        <row r="604">
          <cell r="A604" t="str">
            <v>Емелин Сергей Анатольевич</v>
          </cell>
          <cell r="B604" t="str">
            <v>В-23655/КЛ.Транш - 3</v>
          </cell>
          <cell r="C604" t="str">
            <v>89536694040@mail.ru</v>
          </cell>
          <cell r="D604" t="str">
            <v>89536694040@mail.ru</v>
          </cell>
        </row>
        <row r="605">
          <cell r="A605" t="str">
            <v>Емельяненко Александр Николаевич</v>
          </cell>
          <cell r="B605" t="str">
            <v>В-14529/КЛ.Транш - 1</v>
          </cell>
          <cell r="D605" t="str">
            <v>doctor_slyshet@mail.ru</v>
          </cell>
        </row>
        <row r="606">
          <cell r="A606" t="str">
            <v>Ергашев Мухаммаджон Абдувалиевич</v>
          </cell>
          <cell r="B606" t="str">
            <v>В-12042/КЛ.Транш - 1</v>
          </cell>
          <cell r="C606" t="str">
            <v>ergashev2021@mail.ru</v>
          </cell>
        </row>
        <row r="607">
          <cell r="A607" t="str">
            <v>Еременко Сергей Артурович</v>
          </cell>
          <cell r="B607" t="str">
            <v>В-19349/КЛ.Транш - 1</v>
          </cell>
        </row>
        <row r="608">
          <cell r="A608" t="str">
            <v>Еремян Артур Корюнович</v>
          </cell>
          <cell r="B608" t="str">
            <v>В-05135/КЛ.Транш - 1</v>
          </cell>
          <cell r="C608" t="str">
            <v>arut2603@mail.ru</v>
          </cell>
        </row>
        <row r="609">
          <cell r="A609" t="str">
            <v>Ермак Анатолий Антонович</v>
          </cell>
          <cell r="B609" t="str">
            <v>В-01156/АЗ</v>
          </cell>
        </row>
        <row r="610">
          <cell r="A610" t="str">
            <v>Ермаков Владислав Олегович</v>
          </cell>
          <cell r="B610" t="str">
            <v>В-23339/АЗ</v>
          </cell>
          <cell r="C610" t="str">
            <v>ermakovVladuha@gmail.com</v>
          </cell>
        </row>
        <row r="611">
          <cell r="A611" t="str">
            <v>Ермаков Кирилл Андреевич</v>
          </cell>
          <cell r="B611" t="str">
            <v>В-01015/КЛ.Транш - 3</v>
          </cell>
          <cell r="C611" t="str">
            <v>9055511185@mail.ru</v>
          </cell>
        </row>
        <row r="612">
          <cell r="A612" t="str">
            <v>Ермакова Кристина Алексеевна</v>
          </cell>
          <cell r="B612" t="str">
            <v>В-23325/АЗ</v>
          </cell>
          <cell r="C612" t="str">
            <v>kristy00783@mail.ru</v>
          </cell>
        </row>
        <row r="613">
          <cell r="A613" t="str">
            <v>Ермилин Виталий Владимирович</v>
          </cell>
          <cell r="B613" t="str">
            <v>В-19901/КЛ.Транш - 1</v>
          </cell>
          <cell r="D613" t="str">
            <v>vitalijermilin00@gmail.com</v>
          </cell>
        </row>
        <row r="614">
          <cell r="A614" t="str">
            <v>Ермишин Сергей Михайлович</v>
          </cell>
          <cell r="B614" t="str">
            <v>А-05305/АЗ_А-20200626/Ц</v>
          </cell>
          <cell r="C614" t="str">
            <v>s_yermishin@mail.ru</v>
          </cell>
        </row>
        <row r="615">
          <cell r="A615" t="str">
            <v>Ермишин Сергей Михайлович</v>
          </cell>
          <cell r="B615" t="str">
            <v>В-00085/АЗ</v>
          </cell>
          <cell r="C615" t="str">
            <v>s_yermishin@mail.ru</v>
          </cell>
        </row>
        <row r="616">
          <cell r="A616" t="str">
            <v>Ерофеева Марина Игоревна</v>
          </cell>
          <cell r="B616" t="str">
            <v>В-26743/КЛ.Транш - 1</v>
          </cell>
          <cell r="D616" t="str">
            <v>marinae2008@yandex.ru</v>
          </cell>
        </row>
        <row r="617">
          <cell r="A617" t="str">
            <v>Ерохина Маргарида дэ Матушь</v>
          </cell>
          <cell r="B617" t="str">
            <v>В-00183/АЗ</v>
          </cell>
          <cell r="C617" t="str">
            <v>margar79@bk.ru</v>
          </cell>
        </row>
        <row r="618">
          <cell r="A618" t="str">
            <v>Ерохов Андрей Вячеславович</v>
          </cell>
          <cell r="B618" t="str">
            <v>А-04639/АЗ</v>
          </cell>
          <cell r="C618" t="str">
            <v>487397@YANDEX.RU</v>
          </cell>
          <cell r="D618" t="str">
            <v>487397@YANDEX.RU</v>
          </cell>
        </row>
        <row r="619">
          <cell r="A619" t="str">
            <v>Ерошкин Роман Сергеевич</v>
          </cell>
          <cell r="B619" t="str">
            <v>В-04159/КЛ.Транш - 1</v>
          </cell>
          <cell r="C619" t="str">
            <v>skailaner@gmail.com</v>
          </cell>
        </row>
        <row r="620">
          <cell r="A620" t="str">
            <v>Ерошов Дмитрий Иванович</v>
          </cell>
          <cell r="B620" t="str">
            <v>В-03907/КЛ.Транш - 2</v>
          </cell>
          <cell r="C620" t="str">
            <v>Dmitriymoon@mail.ru</v>
          </cell>
        </row>
        <row r="621">
          <cell r="A621" t="str">
            <v>Есиков Алексей Вячеславович</v>
          </cell>
          <cell r="B621" t="str">
            <v>В-09470/КЛ.Транш - 2</v>
          </cell>
          <cell r="C621" t="str">
            <v>erickov.alexel@yandex.ru</v>
          </cell>
        </row>
        <row r="622">
          <cell r="A622" t="str">
            <v>Ефимчук Олег Николаевич</v>
          </cell>
          <cell r="B622" t="str">
            <v>В-00411/АЗ</v>
          </cell>
          <cell r="C622" t="str">
            <v>oleg1465673@gmail.com</v>
          </cell>
        </row>
        <row r="623">
          <cell r="A623" t="str">
            <v>Ефремов Николай Михайлович</v>
          </cell>
          <cell r="B623" t="str">
            <v>В-00540/КЛ.Транш - 1</v>
          </cell>
          <cell r="C623" t="str">
            <v>nikolaj.efremov.2019@mail.ru</v>
          </cell>
        </row>
        <row r="624">
          <cell r="A624" t="str">
            <v>Жалилов Марифжон Махамадаминович</v>
          </cell>
          <cell r="B624" t="str">
            <v>В-12435/КЛ.Транш - 1</v>
          </cell>
        </row>
        <row r="625">
          <cell r="A625" t="str">
            <v>Жалилов Руслан Мамасаитович</v>
          </cell>
          <cell r="B625" t="str">
            <v>В-24798/АЗ</v>
          </cell>
        </row>
        <row r="626">
          <cell r="A626" t="str">
            <v>Жамлиханов Руслан Мигдятович</v>
          </cell>
          <cell r="B626" t="str">
            <v>В-22920/КЛ.Транш - 1</v>
          </cell>
          <cell r="D626" t="str">
            <v>raslanzhamlihanov@yandex.ru</v>
          </cell>
        </row>
        <row r="627">
          <cell r="A627" t="str">
            <v>Жарков Камиль Орифжонович</v>
          </cell>
          <cell r="B627" t="str">
            <v>В-00457/АЗ_Т-20211028/Ц</v>
          </cell>
          <cell r="C627" t="str">
            <v>malish_kamil@mail.ru</v>
          </cell>
          <cell r="D627" t="str">
            <v>malish_kamil@mail.ru</v>
          </cell>
        </row>
        <row r="628">
          <cell r="A628" t="str">
            <v>Желядинов Рустам Максутович</v>
          </cell>
          <cell r="B628" t="str">
            <v>А-04223/АЗ</v>
          </cell>
        </row>
        <row r="629">
          <cell r="A629" t="str">
            <v>Женихов Александр Николаевич</v>
          </cell>
          <cell r="B629" t="str">
            <v>В-20171/КЛ.Транш - 1</v>
          </cell>
          <cell r="D629" t="str">
            <v>zhenihov19880203@gmail.com</v>
          </cell>
        </row>
        <row r="630">
          <cell r="A630" t="str">
            <v>Жирнов Игорь Владимирович</v>
          </cell>
          <cell r="B630" t="str">
            <v>В-08644/КЛ.Транш - 1</v>
          </cell>
          <cell r="C630" t="str">
            <v>vkrasnenitsa@gmail.com</v>
          </cell>
        </row>
        <row r="631">
          <cell r="A631" t="str">
            <v>Житаренко Юрий Иванович</v>
          </cell>
          <cell r="B631" t="str">
            <v>В-10495/КЛ.Транш - 1</v>
          </cell>
        </row>
        <row r="632">
          <cell r="A632" t="str">
            <v>Жолобов Алексей Юрьевич</v>
          </cell>
          <cell r="B632" t="str">
            <v>В-27416/АЗ</v>
          </cell>
          <cell r="D632" t="str">
            <v>alexeyzholobov@mail.ru</v>
          </cell>
        </row>
        <row r="633">
          <cell r="A633" t="str">
            <v>Жубоев Дамир Асланович</v>
          </cell>
          <cell r="B633" t="str">
            <v>В-16541/КЛ.Транш - 1</v>
          </cell>
          <cell r="C633" t="str">
            <v>dzhuboev@gmail.com</v>
          </cell>
        </row>
        <row r="634">
          <cell r="A634" t="str">
            <v>Жумабаев Умар Сонунбекович</v>
          </cell>
          <cell r="B634" t="str">
            <v>В-19597/КЛ.Транш - 1</v>
          </cell>
          <cell r="D634" t="str">
            <v>zhumabaevumar@yandex.ru</v>
          </cell>
        </row>
        <row r="635">
          <cell r="A635" t="str">
            <v>Жумабаев Умар Сонунбекович</v>
          </cell>
          <cell r="B635" t="str">
            <v>В-19597/КЛ.Транш - 2</v>
          </cell>
          <cell r="D635" t="str">
            <v>zhumabaevumar@yandex.ru</v>
          </cell>
        </row>
        <row r="636">
          <cell r="A636" t="str">
            <v>Жумабаев Умар Сонунбекович</v>
          </cell>
          <cell r="B636" t="str">
            <v>В-19597/КЛ.Транш - 3</v>
          </cell>
          <cell r="D636" t="str">
            <v>zhumabaevumar@yandex.ru</v>
          </cell>
        </row>
        <row r="637">
          <cell r="A637" t="str">
            <v>Жумабаев Умар Сонунбекович</v>
          </cell>
          <cell r="B637" t="str">
            <v>В-19597/КЛ.Транш - 4</v>
          </cell>
          <cell r="D637" t="str">
            <v>zhumabaevumar@yandex.ru</v>
          </cell>
        </row>
        <row r="638">
          <cell r="A638" t="str">
            <v>Жумабаев Умар Сонунбекович</v>
          </cell>
          <cell r="B638" t="str">
            <v>В-19597/КЛ.Транш - 5</v>
          </cell>
          <cell r="D638" t="str">
            <v>zhumabaevumar@yandex.ru</v>
          </cell>
        </row>
        <row r="639">
          <cell r="A639" t="str">
            <v>Жумабаев Умар Сонунбекович</v>
          </cell>
          <cell r="B639" t="str">
            <v>В-19597/КЛ.Транш - 6</v>
          </cell>
          <cell r="D639" t="str">
            <v>zhumabaevumar@yandex.ru</v>
          </cell>
        </row>
        <row r="640">
          <cell r="A640" t="str">
            <v>Журавлёв Денис Сергеевич</v>
          </cell>
          <cell r="B640" t="str">
            <v>В-25052/КЛ.Транш - 1</v>
          </cell>
          <cell r="C640" t="str">
            <v>deniszhuravlyev80@gmail.com</v>
          </cell>
          <cell r="D640" t="str">
            <v>deniszhuravlyev80@gmail.com</v>
          </cell>
        </row>
        <row r="641">
          <cell r="A641" t="str">
            <v>Журавлева Анастасия Александровна</v>
          </cell>
          <cell r="B641" t="str">
            <v>В-01098/АЗ</v>
          </cell>
        </row>
        <row r="642">
          <cell r="A642" t="str">
            <v>Журавлева Наталья Юрьевна</v>
          </cell>
          <cell r="B642" t="str">
            <v>В-21208/КЛ.Транш - 1</v>
          </cell>
          <cell r="D642" t="str">
            <v>nata-bird@yandex.ru</v>
          </cell>
        </row>
        <row r="643">
          <cell r="A643" t="str">
            <v>Журавлева Наталья Юрьевна</v>
          </cell>
          <cell r="B643" t="str">
            <v>В-21208/КЛ.Транш - 2</v>
          </cell>
          <cell r="D643" t="str">
            <v>nata-bird@yandex.ru</v>
          </cell>
        </row>
        <row r="644">
          <cell r="A644" t="str">
            <v>Забиров Ринат Шавкатович</v>
          </cell>
          <cell r="B644" t="str">
            <v>В-01179/АЗ_В-20211230/Ц</v>
          </cell>
          <cell r="C644" t="str">
            <v>renarenatov@gmail.com</v>
          </cell>
          <cell r="D644" t="str">
            <v>renarenatov@gmail.com</v>
          </cell>
        </row>
        <row r="645">
          <cell r="A645" t="str">
            <v>Завойских Станислав Вадимович</v>
          </cell>
          <cell r="B645" t="str">
            <v>В-24012/КЛ.Транш - 1</v>
          </cell>
          <cell r="D645" t="str">
            <v>izhwood@gmail.com</v>
          </cell>
        </row>
        <row r="646">
          <cell r="A646" t="str">
            <v>Заворина Елена Георгиевна</v>
          </cell>
          <cell r="B646" t="str">
            <v>В-15073/КЛ.Транш - 3</v>
          </cell>
          <cell r="C646" t="str">
            <v>lena-suleiman@mail.ru</v>
          </cell>
          <cell r="D646" t="str">
            <v>lena-suleiman@mail.ru</v>
          </cell>
        </row>
        <row r="647">
          <cell r="A647" t="str">
            <v>Загорулько Алексей Сергеевич</v>
          </cell>
          <cell r="B647" t="str">
            <v>В-26517/КЛ.Транш - 1</v>
          </cell>
          <cell r="D647" t="str">
            <v>Zajorulkoalexsey8@gmail.com</v>
          </cell>
        </row>
        <row r="648">
          <cell r="A648" t="str">
            <v>Загорулько Елена Михайловна</v>
          </cell>
          <cell r="B648" t="str">
            <v>В-17962/КЛ.Транш - 1</v>
          </cell>
          <cell r="C648" t="str">
            <v>9295634233@list.ru</v>
          </cell>
        </row>
        <row r="649">
          <cell r="A649" t="str">
            <v>Загребельный Юрий Николаевич</v>
          </cell>
          <cell r="B649" t="str">
            <v>В-25407/КЛ.Транш - 1</v>
          </cell>
          <cell r="D649" t="str">
            <v>urgen.81@mail.ru</v>
          </cell>
        </row>
        <row r="650">
          <cell r="A650" t="str">
            <v>Заика Денис Викторович</v>
          </cell>
          <cell r="B650" t="str">
            <v>В-04333/КЛ.Транш - 3</v>
          </cell>
          <cell r="C650" t="str">
            <v>deniszaika86@yandex.ru</v>
          </cell>
        </row>
        <row r="651">
          <cell r="A651" t="str">
            <v>Заика Денис Викторович</v>
          </cell>
          <cell r="B651" t="str">
            <v>В-04333/КЛ.Транш - 7</v>
          </cell>
          <cell r="C651" t="str">
            <v>deniszaika86@yandex.ru</v>
          </cell>
        </row>
        <row r="652">
          <cell r="A652" t="str">
            <v>Заика Денис Викторович</v>
          </cell>
          <cell r="B652" t="str">
            <v>В-04333/КЛ.Транш - 8</v>
          </cell>
          <cell r="C652" t="str">
            <v>deniszaika86@yandex.ru</v>
          </cell>
        </row>
        <row r="653">
          <cell r="A653" t="str">
            <v>Зайцев Антон Эдуардович</v>
          </cell>
          <cell r="B653" t="str">
            <v>В-14196/КЛ.Транш - 1</v>
          </cell>
          <cell r="D653" t="str">
            <v>zaitcev-anton@mail.ru</v>
          </cell>
        </row>
        <row r="654">
          <cell r="A654" t="str">
            <v>Зайцев Владимир Васильевич</v>
          </cell>
          <cell r="B654" t="str">
            <v>В-24363/КЛ.Транш - 1</v>
          </cell>
          <cell r="D654" t="str">
            <v>wowancska280978@gmail.com</v>
          </cell>
        </row>
        <row r="655">
          <cell r="A655" t="str">
            <v>Зайцев Владимир Васильевич</v>
          </cell>
          <cell r="B655" t="str">
            <v>В-24363/КЛ.Транш - 2</v>
          </cell>
          <cell r="D655" t="str">
            <v>wowancska280978@gmail.com</v>
          </cell>
        </row>
        <row r="656">
          <cell r="A656" t="str">
            <v>Зайцев Герман Борисович</v>
          </cell>
          <cell r="B656" t="str">
            <v>В-24984/КЛ.Транш - 1</v>
          </cell>
          <cell r="D656" t="str">
            <v>germasha86@mail.ru</v>
          </cell>
        </row>
        <row r="657">
          <cell r="A657" t="str">
            <v>Зайцев Герман Борисович</v>
          </cell>
          <cell r="B657" t="str">
            <v>В-24984/КЛ.Транш - 2</v>
          </cell>
          <cell r="D657" t="str">
            <v>germasha86@mail.ru</v>
          </cell>
        </row>
        <row r="658">
          <cell r="A658" t="str">
            <v>Зайцев Иван Владимирович</v>
          </cell>
          <cell r="B658" t="str">
            <v>В-13449/КЛ.Транш - 1</v>
          </cell>
          <cell r="D658" t="str">
            <v>vanya-zaytsev@inbox.ru</v>
          </cell>
        </row>
        <row r="659">
          <cell r="A659" t="str">
            <v>Зайцева Светлана Юрьевна</v>
          </cell>
          <cell r="B659" t="str">
            <v>В-22744/КЛ.Транш - 1</v>
          </cell>
          <cell r="C659" t="str">
            <v>svetazajceva01@gmail.com</v>
          </cell>
          <cell r="D659" t="str">
            <v>svetazajceva01@gmail.com</v>
          </cell>
        </row>
        <row r="660">
          <cell r="A660" t="str">
            <v>Залевский Александр Владиславович</v>
          </cell>
          <cell r="B660" t="str">
            <v>В-02641/КЛ.Транш - 1</v>
          </cell>
          <cell r="C660" t="str">
            <v>3369352@MAIL.RU</v>
          </cell>
        </row>
        <row r="661">
          <cell r="A661" t="str">
            <v>Заманов Сулейман Валех оглы</v>
          </cell>
          <cell r="B661" t="str">
            <v>В-00872/АЗ</v>
          </cell>
        </row>
        <row r="662">
          <cell r="A662" t="str">
            <v>Заргаров Насиб Зияддин Оглы</v>
          </cell>
          <cell r="B662" t="str">
            <v>В-00678/КЛ.Транш - 1</v>
          </cell>
          <cell r="C662" t="str">
            <v>nasib_007@mail.ru</v>
          </cell>
        </row>
        <row r="663">
          <cell r="A663" t="str">
            <v>Заргарян Марианна Марленовна</v>
          </cell>
          <cell r="B663" t="str">
            <v>В-15330/КЛ.Транш - 1_В-20211230/Ц</v>
          </cell>
          <cell r="C663" t="str">
            <v>marnar21@mail.ru</v>
          </cell>
        </row>
        <row r="664">
          <cell r="A664" t="str">
            <v>Заречкина Светлана Сергеевна</v>
          </cell>
          <cell r="B664" t="str">
            <v>В-05064/КЛ.Транш - 1</v>
          </cell>
          <cell r="C664" t="str">
            <v>szarechkina@bk.ru</v>
          </cell>
        </row>
        <row r="665">
          <cell r="A665" t="str">
            <v>Зарипов Булат Ульфатович</v>
          </cell>
          <cell r="B665" t="str">
            <v>В-15156/КЛ.Транш - 1</v>
          </cell>
          <cell r="C665" t="str">
            <v>Bulazarip89@gmail.com</v>
          </cell>
          <cell r="D665" t="str">
            <v>Bulazarip89@gmail.com</v>
          </cell>
        </row>
        <row r="666">
          <cell r="A666" t="str">
            <v>Захаркин Алексей Викторович</v>
          </cell>
          <cell r="B666" t="str">
            <v>В-01898/КЛ.Транш - 1</v>
          </cell>
          <cell r="C666" t="str">
            <v>aleksisbest@ya.ru</v>
          </cell>
        </row>
        <row r="667">
          <cell r="A667" t="str">
            <v>Захаркова Ирина Валерьевна</v>
          </cell>
          <cell r="B667" t="str">
            <v>В-11847/КЛ.Транш - 1</v>
          </cell>
          <cell r="C667" t="str">
            <v>zakharkova.ira@mail.ru</v>
          </cell>
        </row>
        <row r="668">
          <cell r="A668" t="str">
            <v>Захаров Виктор Алексеевич</v>
          </cell>
          <cell r="B668" t="str">
            <v>В-28703/КЛ.Транш - 1</v>
          </cell>
          <cell r="C668" t="str">
            <v>vmitino2@ya.ru</v>
          </cell>
          <cell r="D668" t="str">
            <v>vmitino2@ya.ru</v>
          </cell>
        </row>
        <row r="669">
          <cell r="A669" t="str">
            <v>Захаров Евгений Николаевич 2</v>
          </cell>
          <cell r="B669" t="str">
            <v>В-00986/КЛ.Транш - 1</v>
          </cell>
        </row>
        <row r="670">
          <cell r="A670" t="str">
            <v>Захарова Ирина Константиновна</v>
          </cell>
          <cell r="B670" t="str">
            <v>В-12912/КЛ.Транш - 1</v>
          </cell>
        </row>
        <row r="671">
          <cell r="A671" t="str">
            <v>Зеленков Алексей Владимирович</v>
          </cell>
          <cell r="B671" t="str">
            <v>В-08942/КЛ.Транш - 1</v>
          </cell>
          <cell r="C671" t="str">
            <v>1544400@mail.ru</v>
          </cell>
        </row>
        <row r="672">
          <cell r="A672" t="str">
            <v>Зеленский Альберт Александрович</v>
          </cell>
          <cell r="B672" t="str">
            <v>В-00100/АЗ</v>
          </cell>
          <cell r="C672" t="str">
            <v>RUSIY.ANGEL@GMAIL.COM</v>
          </cell>
        </row>
        <row r="673">
          <cell r="A673" t="str">
            <v>Зеленский Валентин Викторович</v>
          </cell>
          <cell r="B673" t="str">
            <v>В-15021/КЛ.Транш - 3</v>
          </cell>
          <cell r="D673" t="str">
            <v>1765159@mail.ru</v>
          </cell>
        </row>
        <row r="674">
          <cell r="A674" t="str">
            <v>Зеленский Валентин Викторович</v>
          </cell>
          <cell r="B674" t="str">
            <v>В-15021/КЛ.Транш - 4</v>
          </cell>
          <cell r="D674" t="str">
            <v>1765159@mail.ru</v>
          </cell>
        </row>
        <row r="675">
          <cell r="A675" t="str">
            <v>Зеленский Валентин Викторович</v>
          </cell>
          <cell r="B675" t="str">
            <v>В-15021/КЛ.Транш - 5</v>
          </cell>
          <cell r="D675" t="str">
            <v>1765159@mail.ru</v>
          </cell>
        </row>
        <row r="676">
          <cell r="A676" t="str">
            <v>Зелинский Антон Павлович</v>
          </cell>
          <cell r="B676" t="str">
            <v>В-17310/КЛ.Транш - 1</v>
          </cell>
          <cell r="D676" t="str">
            <v>Frenki27@mail.ru</v>
          </cell>
        </row>
        <row r="677">
          <cell r="A677" t="str">
            <v>Зенин Александр Петрович</v>
          </cell>
          <cell r="B677" t="str">
            <v>А-04751/АЗ</v>
          </cell>
        </row>
        <row r="678">
          <cell r="A678" t="str">
            <v>Зинина Анна Вячеславовна</v>
          </cell>
          <cell r="B678" t="str">
            <v>В-14560/КЛ.Транш - 2</v>
          </cell>
          <cell r="D678" t="str">
            <v>saz_78@mail.ru</v>
          </cell>
        </row>
        <row r="679">
          <cell r="A679" t="str">
            <v>Зинина Анна Вячеславовна</v>
          </cell>
          <cell r="B679" t="str">
            <v>В-14560/КЛ.Транш - 3</v>
          </cell>
          <cell r="D679" t="str">
            <v>saz_78@mail.ru</v>
          </cell>
        </row>
        <row r="680">
          <cell r="A680" t="str">
            <v>Зинкевич Константин Владимирович</v>
          </cell>
          <cell r="B680" t="str">
            <v>В-17167/КЛ.Транш - 1</v>
          </cell>
          <cell r="D680" t="str">
            <v>zinckevitzhkonstantin@mail.ru</v>
          </cell>
        </row>
        <row r="681">
          <cell r="A681" t="str">
            <v>Зиновьева Елена Николаевна</v>
          </cell>
          <cell r="B681" t="str">
            <v>В-15831/КЛ.Транш - 1</v>
          </cell>
          <cell r="C681" t="str">
            <v>lenaaoshkol32@mail.ru</v>
          </cell>
          <cell r="D681" t="str">
            <v>lenaaoshkol32@mail.ru</v>
          </cell>
        </row>
        <row r="682">
          <cell r="A682" t="str">
            <v>Зияев Азиз Джамшедович</v>
          </cell>
          <cell r="B682" t="str">
            <v>В-00832/АЗ_В-20211230/Ц</v>
          </cell>
        </row>
        <row r="683">
          <cell r="A683" t="str">
            <v>Зияев Азиз Джамшедович</v>
          </cell>
          <cell r="B683" t="str">
            <v>В-00833/АЗ_В-20211230/Ц</v>
          </cell>
        </row>
        <row r="684">
          <cell r="A684" t="str">
            <v>Зияев Азиз Джамшедович</v>
          </cell>
          <cell r="B684" t="str">
            <v>В-00835/АЗ_В-20211230/Ц</v>
          </cell>
        </row>
        <row r="685">
          <cell r="A685" t="str">
            <v>Зияев Азиз Джамшедович</v>
          </cell>
          <cell r="B685" t="str">
            <v>В-00836/АЗ_В-20211230/Ц</v>
          </cell>
        </row>
        <row r="686">
          <cell r="A686" t="str">
            <v>Златин Денис Петрович</v>
          </cell>
          <cell r="B686" t="str">
            <v>В-24927/КЛ.Транш - 1</v>
          </cell>
        </row>
        <row r="687">
          <cell r="A687" t="str">
            <v>Змиевский Владимир Владимирович</v>
          </cell>
          <cell r="B687" t="str">
            <v>В-00953/АЗ</v>
          </cell>
          <cell r="C687" t="str">
            <v>vladimir2105@yandex.ru</v>
          </cell>
        </row>
        <row r="688">
          <cell r="A688" t="str">
            <v>Зозулич Мария Федоровна</v>
          </cell>
          <cell r="B688" t="str">
            <v>В-15735/КЛ.Транш - 2</v>
          </cell>
          <cell r="D688" t="str">
            <v>mariya.zozulich@mail.ru</v>
          </cell>
        </row>
        <row r="689">
          <cell r="A689" t="str">
            <v>Золотарева Марина Владимировна 2</v>
          </cell>
          <cell r="B689" t="str">
            <v>В-20713/КЛ.Транш - 1</v>
          </cell>
          <cell r="D689" t="str">
            <v>fevraieva0608@yandex.ru</v>
          </cell>
        </row>
        <row r="690">
          <cell r="A690" t="str">
            <v>Золотарева Марина Владимировна 2</v>
          </cell>
          <cell r="B690" t="str">
            <v>В-20713/КЛ.Транш - 2</v>
          </cell>
          <cell r="D690" t="str">
            <v>fevraieva0608@yandex.ru</v>
          </cell>
        </row>
        <row r="691">
          <cell r="A691" t="str">
            <v>Золотов Олег Владимирович</v>
          </cell>
          <cell r="B691" t="str">
            <v>В-23840/КЛ.Транш - 1</v>
          </cell>
          <cell r="C691" t="str">
            <v>zabota76@mail.ru</v>
          </cell>
          <cell r="D691" t="str">
            <v>zabota76@mail.ru</v>
          </cell>
        </row>
        <row r="692">
          <cell r="A692" t="str">
            <v>Зотов Дмитрий Анатольевич</v>
          </cell>
          <cell r="B692" t="str">
            <v>В-23555/КЛ.Транш - 1</v>
          </cell>
          <cell r="D692" t="str">
            <v>d.a.zotov84@mail.ru</v>
          </cell>
        </row>
        <row r="693">
          <cell r="A693" t="str">
            <v>Зотов Дмитрий Анатольевич</v>
          </cell>
          <cell r="B693" t="str">
            <v>В-23555/КЛ.Транш - 2</v>
          </cell>
          <cell r="D693" t="str">
            <v>d.a.zotov84@mail.ru</v>
          </cell>
        </row>
        <row r="694">
          <cell r="A694" t="str">
            <v>Зубов Виталий Владимирович</v>
          </cell>
          <cell r="B694" t="str">
            <v>В-06343/КЛ.Транш - 1</v>
          </cell>
          <cell r="C694" t="str">
            <v>vzv1@yandex.ru</v>
          </cell>
        </row>
        <row r="695">
          <cell r="A695" t="str">
            <v>Зубов Виталий Владимирович</v>
          </cell>
          <cell r="B695" t="str">
            <v>В-06343/КЛ.Транш - 2</v>
          </cell>
          <cell r="C695" t="str">
            <v>vzv1@yandex.ru</v>
          </cell>
        </row>
        <row r="696">
          <cell r="A696" t="str">
            <v>Зуева Мария Михайловна</v>
          </cell>
          <cell r="B696" t="str">
            <v>В-22996/КЛ.Транш - 1</v>
          </cell>
          <cell r="D696" t="str">
            <v>Mary.zueva1999@gmail.com</v>
          </cell>
        </row>
        <row r="697">
          <cell r="A697" t="str">
            <v>Зуева Мария Михайловна</v>
          </cell>
          <cell r="B697" t="str">
            <v>В-22996/КЛ.Транш - 2</v>
          </cell>
          <cell r="D697" t="str">
            <v>Mary.zueva1999@gmail.com</v>
          </cell>
        </row>
        <row r="698">
          <cell r="A698" t="str">
            <v>Зуева Мария Михайловна</v>
          </cell>
          <cell r="B698" t="str">
            <v>В-22996/КЛ.Транш - 3</v>
          </cell>
          <cell r="D698" t="str">
            <v>Mary.zueva1999@gmail.com</v>
          </cell>
        </row>
        <row r="699">
          <cell r="A699" t="str">
            <v>Зуева Мария Михайловна</v>
          </cell>
          <cell r="B699" t="str">
            <v>В-22996/КЛ.Транш - 4</v>
          </cell>
          <cell r="D699" t="str">
            <v>Mary.zueva1999@gmail.com</v>
          </cell>
        </row>
        <row r="700">
          <cell r="A700" t="str">
            <v>Зуева Светлана Григорьевна</v>
          </cell>
          <cell r="B700" t="str">
            <v>А-04955/АЗ</v>
          </cell>
        </row>
        <row r="701">
          <cell r="A701" t="str">
            <v>Зюба Наталья Сергеевна</v>
          </cell>
          <cell r="B701" t="str">
            <v>В-01634/КЛ.Транш - 4</v>
          </cell>
          <cell r="C701" t="str">
            <v>zuba.n@mail.ru</v>
          </cell>
        </row>
        <row r="702">
          <cell r="A702" t="str">
            <v>Зюнин Александр Сергеевич</v>
          </cell>
          <cell r="B702" t="str">
            <v>В-11781/КЛ.Транш - 2</v>
          </cell>
          <cell r="C702" t="str">
            <v>zyunin@zavodarmtec.ru</v>
          </cell>
          <cell r="D702" t="str">
            <v>zyunin@zavodarmtec.ru</v>
          </cell>
        </row>
        <row r="703">
          <cell r="A703" t="str">
            <v>Зюнин Александр Сергеевич</v>
          </cell>
          <cell r="B703" t="str">
            <v>В-11781/КЛ.Транш - 3</v>
          </cell>
          <cell r="C703" t="str">
            <v>zyunin@zavodarmtec.ru</v>
          </cell>
          <cell r="D703" t="str">
            <v>zyunin@zavodarmtec.ru</v>
          </cell>
        </row>
        <row r="704">
          <cell r="A704" t="str">
            <v>Ибрагимов Асхаб Ибрагимович</v>
          </cell>
          <cell r="B704" t="str">
            <v>В-24610/КЛ.Транш - 1</v>
          </cell>
          <cell r="C704" t="str">
            <v>pimzag05@icloud.com</v>
          </cell>
          <cell r="D704" t="str">
            <v>pimzag05@icloud.com</v>
          </cell>
        </row>
        <row r="705">
          <cell r="A705" t="str">
            <v>Ибрагимов Тимирбулат Мусаевич</v>
          </cell>
          <cell r="B705" t="str">
            <v>В-06092/КЛ.Транш - 1</v>
          </cell>
          <cell r="C705" t="str">
            <v>timirbulat84@mail.ru</v>
          </cell>
        </row>
        <row r="706">
          <cell r="A706" t="str">
            <v>Ивакин Тимофей Геннадьевич</v>
          </cell>
          <cell r="B706" t="str">
            <v>В-17852/КЛ.Транш - 1_В-20211230/Ц</v>
          </cell>
          <cell r="D706" t="str">
            <v>ivakintimm@yandex.ru</v>
          </cell>
        </row>
        <row r="707">
          <cell r="A707" t="str">
            <v>Иванец Дмитрий Андреевич</v>
          </cell>
          <cell r="B707" t="str">
            <v>В-00823/АЗ</v>
          </cell>
          <cell r="C707" t="str">
            <v>dm.ivanets@gmail.com</v>
          </cell>
        </row>
        <row r="708">
          <cell r="A708" t="str">
            <v>Иванов Александр Сергеевич</v>
          </cell>
          <cell r="B708" t="str">
            <v>В-23782/КЛ.Транш - 4</v>
          </cell>
          <cell r="C708" t="str">
            <v>9162049438@mail.ru</v>
          </cell>
        </row>
        <row r="709">
          <cell r="A709" t="str">
            <v>Иванов Александр Сергеевич</v>
          </cell>
          <cell r="B709" t="str">
            <v>В-23782/КЛ.Транш - 5</v>
          </cell>
          <cell r="C709" t="str">
            <v>9162049438@mail.ru</v>
          </cell>
        </row>
        <row r="710">
          <cell r="A710" t="str">
            <v>Иванов Алексей Александрович</v>
          </cell>
          <cell r="B710" t="str">
            <v>В-03465/КЛ.Транш - 1</v>
          </cell>
          <cell r="D710" t="str">
            <v>port.taman.ivanov@gmail.com</v>
          </cell>
        </row>
        <row r="711">
          <cell r="A711" t="str">
            <v>Иванов Антон Олегович</v>
          </cell>
          <cell r="B711" t="str">
            <v>В-17095/КЛ.Транш - 1</v>
          </cell>
          <cell r="D711" t="str">
            <v>tox100500@mail.ru</v>
          </cell>
        </row>
        <row r="712">
          <cell r="A712" t="str">
            <v>Иванов Борис Александрович</v>
          </cell>
          <cell r="B712" t="str">
            <v>В-17625/КЛ.Транш - 1_В-20211230/Ц</v>
          </cell>
          <cell r="D712" t="str">
            <v>borisivanov1209@gmail.com</v>
          </cell>
        </row>
        <row r="713">
          <cell r="A713" t="str">
            <v>Иванов Владимир Леонидович</v>
          </cell>
          <cell r="B713" t="str">
            <v>В-11534/КЛ.Транш - 1</v>
          </cell>
          <cell r="C713" t="str">
            <v>alldata_33@rambler.ru</v>
          </cell>
        </row>
        <row r="714">
          <cell r="A714" t="str">
            <v>Иванов Владимир Леонидович</v>
          </cell>
          <cell r="B714" t="str">
            <v>В-11534/КЛ.Транш - 2</v>
          </cell>
          <cell r="C714" t="str">
            <v>alldata_33@rambler.ru</v>
          </cell>
        </row>
        <row r="715">
          <cell r="A715" t="str">
            <v>Иванов Евгений Владимирович</v>
          </cell>
          <cell r="B715" t="str">
            <v>А-00063/БЭ</v>
          </cell>
          <cell r="C715" t="str">
            <v>7296324@INBOX.RU</v>
          </cell>
          <cell r="D715" t="str">
            <v>7296324@INBOX.RU</v>
          </cell>
        </row>
        <row r="716">
          <cell r="A716" t="str">
            <v>Иванов Евгений Владимирович</v>
          </cell>
          <cell r="B716" t="str">
            <v>Т-00038/БЭ_Т-20211028/Ц</v>
          </cell>
          <cell r="C716" t="str">
            <v>7296324@INBOX.RU</v>
          </cell>
          <cell r="D716" t="str">
            <v>7296324@INBOX.RU</v>
          </cell>
        </row>
        <row r="717">
          <cell r="A717" t="str">
            <v>Иванов Илья Андреевич</v>
          </cell>
          <cell r="B717" t="str">
            <v>В-18216/КЛ.Транш - 1</v>
          </cell>
          <cell r="D717" t="str">
            <v>pustomerzha14@gmail.com</v>
          </cell>
        </row>
        <row r="718">
          <cell r="A718" t="str">
            <v>Иванов Николай Александрович</v>
          </cell>
          <cell r="B718" t="str">
            <v>В-17061/КЛ.Транш - 1</v>
          </cell>
          <cell r="D718" t="str">
            <v>ivanov_nikolay@list.ru</v>
          </cell>
        </row>
        <row r="719">
          <cell r="A719" t="str">
            <v>Иванов Сергей Викторович</v>
          </cell>
          <cell r="B719" t="str">
            <v>А-05285/АЗ_Т-20200626/Ц</v>
          </cell>
          <cell r="C719" t="str">
            <v>SERGIV21@YANDEX.RU</v>
          </cell>
          <cell r="D719" t="str">
            <v>SERGIV21@YANDEX.RU</v>
          </cell>
        </row>
        <row r="720">
          <cell r="A720" t="str">
            <v>Иванов Сергей Викторович</v>
          </cell>
          <cell r="B720" t="str">
            <v>Т-01775/АЗ_Т-20200626/Ц</v>
          </cell>
          <cell r="C720" t="str">
            <v>SERGIV21@YANDEX.RU</v>
          </cell>
          <cell r="D720" t="str">
            <v>SERGIV21@YANDEX.RU</v>
          </cell>
        </row>
        <row r="721">
          <cell r="A721" t="str">
            <v>Иванченко Сергей Александрович</v>
          </cell>
          <cell r="B721" t="str">
            <v>В-12551/КЛ.Транш - 1</v>
          </cell>
          <cell r="C721" t="str">
            <v>sergey.ivanchenko1987@mail.ru</v>
          </cell>
          <cell r="D721" t="str">
            <v>sergey.ivanchenko1987@mail.ru</v>
          </cell>
        </row>
        <row r="722">
          <cell r="A722" t="str">
            <v>Ивкин Александр Викторович</v>
          </cell>
          <cell r="B722" t="str">
            <v>В-17362/КЛ.Транш - 1</v>
          </cell>
          <cell r="D722" t="str">
            <v>alex76060@mail.ru</v>
          </cell>
        </row>
        <row r="723">
          <cell r="A723" t="str">
            <v>Ивлева Ольга Николаевна</v>
          </cell>
          <cell r="B723" t="str">
            <v>В-00972/АЗ</v>
          </cell>
          <cell r="C723" t="str">
            <v>Laliya1980@mail.ru</v>
          </cell>
        </row>
        <row r="724">
          <cell r="A724" t="str">
            <v>Игнатенко Александр Анатольевич</v>
          </cell>
          <cell r="B724" t="str">
            <v>В-01146/АЗ</v>
          </cell>
          <cell r="C724" t="str">
            <v>proamce@mail.ru</v>
          </cell>
          <cell r="D724" t="str">
            <v>proamce@mail.ru</v>
          </cell>
        </row>
        <row r="725">
          <cell r="A725" t="str">
            <v>Игнатенко Вера Александровна</v>
          </cell>
          <cell r="B725" t="str">
            <v>В-01145/АЗ</v>
          </cell>
        </row>
        <row r="726">
          <cell r="A726" t="str">
            <v>Иджян Соломон Сергеевич</v>
          </cell>
          <cell r="B726" t="str">
            <v>А-05208/АЗ</v>
          </cell>
        </row>
        <row r="727">
          <cell r="A727" t="str">
            <v>Иджян Соломон Сергеевич</v>
          </cell>
          <cell r="B727" t="str">
            <v>Т-01758/АЗ_А-20200626/Ц</v>
          </cell>
        </row>
        <row r="728">
          <cell r="A728" t="str">
            <v>Измайлова Юлия Игоревна</v>
          </cell>
          <cell r="B728" t="str">
            <v>В-19662/КЛ.Транш - 1</v>
          </cell>
          <cell r="D728" t="str">
            <v>w3906540@mail.ru</v>
          </cell>
        </row>
        <row r="729">
          <cell r="A729" t="str">
            <v>Изотов Александр Анатольевич</v>
          </cell>
          <cell r="B729" t="str">
            <v>В-01227/АЗ</v>
          </cell>
          <cell r="C729" t="str">
            <v>izot.al@gmail.com</v>
          </cell>
          <cell r="D729" t="str">
            <v>izot.al@gmail.com</v>
          </cell>
        </row>
        <row r="730">
          <cell r="A730" t="str">
            <v>Ильин Руслан Михайлович</v>
          </cell>
          <cell r="B730" t="str">
            <v>В-28544/КЛ.Транш - 1</v>
          </cell>
          <cell r="D730" t="str">
            <v>i.89891995183@yandex.ru</v>
          </cell>
        </row>
        <row r="731">
          <cell r="A731" t="str">
            <v>Ильин Сергей Михайлович</v>
          </cell>
          <cell r="B731" t="str">
            <v>В-09203/КЛ.Транш - 1</v>
          </cell>
          <cell r="C731" t="str">
            <v>serega9578320@yandex.ru</v>
          </cell>
        </row>
        <row r="732">
          <cell r="A732" t="str">
            <v>Ильинский Владимир Юрьевич</v>
          </cell>
          <cell r="B732" t="str">
            <v>В-16915/КЛ.Транш - 1</v>
          </cell>
          <cell r="D732" t="str">
            <v>ilynsky@mail.ru</v>
          </cell>
        </row>
        <row r="733">
          <cell r="A733" t="str">
            <v>Ильченко Анастасия Сергеевна</v>
          </cell>
          <cell r="B733" t="str">
            <v>В-00320/КЛ.Транш - 1</v>
          </cell>
        </row>
        <row r="734">
          <cell r="A734" t="str">
            <v>Инджелер Фатих</v>
          </cell>
          <cell r="B734" t="str">
            <v>В-10278/КЛ.Транш - 1</v>
          </cell>
          <cell r="C734" t="str">
            <v>indzelerfatih@gmail.com</v>
          </cell>
        </row>
        <row r="735">
          <cell r="A735" t="str">
            <v>Инютин Никита Александрович</v>
          </cell>
          <cell r="B735" t="str">
            <v>В-25747/КЛ.Транш - 1</v>
          </cell>
          <cell r="D735" t="str">
            <v>inyutin.nik@yandex.ru</v>
          </cell>
        </row>
        <row r="736">
          <cell r="A736" t="str">
            <v>ИП Аббасов Амин Тофиг Оглы</v>
          </cell>
          <cell r="B736" t="str">
            <v>А-10045/КЭ.Транш - 2</v>
          </cell>
          <cell r="C736" t="str">
            <v>9643724946@mail.ru</v>
          </cell>
        </row>
        <row r="737">
          <cell r="A737" t="str">
            <v>ИП Акулич Александр Сергеевич</v>
          </cell>
          <cell r="B737" t="str">
            <v>А-10061/КЭ.Транш - 1</v>
          </cell>
          <cell r="C737" t="str">
            <v>akulichalex@gmail.com</v>
          </cell>
        </row>
        <row r="738">
          <cell r="A738" t="str">
            <v>ИП Антонов Павел Владимирович</v>
          </cell>
          <cell r="B738" t="str">
            <v>А-10100/КЭ.Транш - 3</v>
          </cell>
          <cell r="C738" t="str">
            <v>ostrov442@yandex.ru</v>
          </cell>
        </row>
        <row r="739">
          <cell r="A739" t="str">
            <v>ИП Аракелян Мелине Микаеловна</v>
          </cell>
          <cell r="B739" t="str">
            <v>В-00054/КЭ.Транш - 1</v>
          </cell>
          <cell r="C739" t="str">
            <v>arakelyan.milen@yandex.ru</v>
          </cell>
        </row>
        <row r="740">
          <cell r="A740" t="str">
            <v>ИП Артемов Александр Викторович</v>
          </cell>
          <cell r="B740" t="str">
            <v>В-30007/КЭ.Транш - 1</v>
          </cell>
          <cell r="C740" t="str">
            <v>aartemov-k@rambler.ru</v>
          </cell>
          <cell r="D740" t="str">
            <v>aartemov-k@rambler.ru</v>
          </cell>
        </row>
        <row r="741">
          <cell r="A741" t="str">
            <v>ИП Артемов Александр Викторович</v>
          </cell>
          <cell r="B741" t="str">
            <v>В-30007/КЭ.Транш - 2</v>
          </cell>
          <cell r="C741" t="str">
            <v>aartemov-k@rambler.ru</v>
          </cell>
          <cell r="D741" t="str">
            <v>aartemov-k@rambler.ru</v>
          </cell>
        </row>
        <row r="742">
          <cell r="A742" t="str">
            <v>ИП Арутюнян Ваге Андреасович</v>
          </cell>
          <cell r="B742" t="str">
            <v>В-00021/КЭ.Транш - 1</v>
          </cell>
          <cell r="D742" t="str">
            <v>vage55555@mail.ru</v>
          </cell>
        </row>
        <row r="743">
          <cell r="A743" t="str">
            <v>ИП Байрахтарян Артём Григорьевич</v>
          </cell>
          <cell r="B743" t="str">
            <v>В-00069/КЭ.Транш - 1</v>
          </cell>
          <cell r="C743" t="str">
            <v>9695252@mail.ru</v>
          </cell>
          <cell r="D743" t="str">
            <v>9695252@mail.ru</v>
          </cell>
        </row>
        <row r="744">
          <cell r="A744" t="str">
            <v>ИП Белан Надежда Александровна</v>
          </cell>
          <cell r="B744" t="str">
            <v>В-30001/КЭ.Транш - 1</v>
          </cell>
          <cell r="C744" t="str">
            <v>dom-kuchugury@yandex.ru</v>
          </cell>
        </row>
        <row r="745">
          <cell r="A745" t="str">
            <v>ИП Белов Александр Сергеевич</v>
          </cell>
          <cell r="B745" t="str">
            <v>В-00060/КЭ.Транш - 1</v>
          </cell>
          <cell r="C745" t="str">
            <v>ail955@mail.ru</v>
          </cell>
        </row>
        <row r="746">
          <cell r="A746" t="str">
            <v>ИП Беляева Виктория Александровна</v>
          </cell>
          <cell r="B746" t="str">
            <v>А-10063/КЭ.Транш - 1</v>
          </cell>
          <cell r="C746" t="str">
            <v>bellyvik@yandex.ru</v>
          </cell>
        </row>
        <row r="747">
          <cell r="A747" t="str">
            <v>ИП Богданова Лариса Анатольевна</v>
          </cell>
          <cell r="B747" t="str">
            <v>Т-10005/КЭ_Т-20211028/Ц</v>
          </cell>
          <cell r="C747" t="str">
            <v>teem2003@mail.ru</v>
          </cell>
        </row>
        <row r="748">
          <cell r="A748" t="str">
            <v>ИП Бойко Василий Анатольевич</v>
          </cell>
          <cell r="B748" t="str">
            <v>Т-00004/КЭ_Т-20211028/Ц</v>
          </cell>
          <cell r="C748" t="str">
            <v>varezhkacafe@yandex.ru</v>
          </cell>
        </row>
        <row r="749">
          <cell r="A749" t="str">
            <v>ИП Быданов Кирилл Владимирович</v>
          </cell>
          <cell r="B749" t="str">
            <v>А-10087/КЭ.Транш - 1</v>
          </cell>
          <cell r="C749" t="str">
            <v>kirvb@mail.ru</v>
          </cell>
        </row>
        <row r="750">
          <cell r="A750" t="str">
            <v>ИП Вертейко Алексей Михайлович</v>
          </cell>
          <cell r="B750" t="str">
            <v>В-30003/КЭ.Транш - 1</v>
          </cell>
          <cell r="D750" t="str">
            <v>verteyko.a_cofi@mail.ru</v>
          </cell>
        </row>
        <row r="751">
          <cell r="A751" t="str">
            <v>ИП Грозин Андрей Викторович</v>
          </cell>
          <cell r="B751" t="str">
            <v>А-00281/КЭ.Транш - 3</v>
          </cell>
          <cell r="C751" t="str">
            <v>info@grozin.ru</v>
          </cell>
        </row>
        <row r="752">
          <cell r="A752" t="str">
            <v>ИП Грозин Андрей Викторович</v>
          </cell>
          <cell r="B752" t="str">
            <v>А-00389/КЭ.Транш - 1</v>
          </cell>
          <cell r="C752" t="str">
            <v>info@grozin.ru</v>
          </cell>
        </row>
        <row r="753">
          <cell r="A753" t="str">
            <v>ИП Грозин Андрей Викторович</v>
          </cell>
          <cell r="B753" t="str">
            <v>А-00389/КЭ.Транш - 2</v>
          </cell>
          <cell r="C753" t="str">
            <v>info@grozin.ru</v>
          </cell>
        </row>
        <row r="754">
          <cell r="A754" t="str">
            <v>ИП Деньга Виктор Иванович</v>
          </cell>
          <cell r="B754" t="str">
            <v>В-00079/КЭ.Транш - 1</v>
          </cell>
          <cell r="C754" t="str">
            <v>dengavi@mail.ru</v>
          </cell>
        </row>
        <row r="755">
          <cell r="A755" t="str">
            <v>ИП Жаворонков Сергей Владимирович</v>
          </cell>
          <cell r="B755" t="str">
            <v>В-00043/КЭ.Транш - 1</v>
          </cell>
          <cell r="C755" t="str">
            <v>one@murom-hockey.com</v>
          </cell>
          <cell r="D755" t="str">
            <v>one@murom-hockey.com</v>
          </cell>
        </row>
        <row r="756">
          <cell r="A756" t="str">
            <v>ИП Зинченко Аркадий Александрович</v>
          </cell>
          <cell r="B756" t="str">
            <v>Т-10006/КЭ_Т-20211028/Ц</v>
          </cell>
          <cell r="C756" t="str">
            <v>vol-vo@mail.ru</v>
          </cell>
        </row>
        <row r="757">
          <cell r="A757" t="str">
            <v>ИП Камшонков Александр Владимирович</v>
          </cell>
          <cell r="B757" t="str">
            <v>Т-00008/КЭ_Т-20211028/Ц</v>
          </cell>
          <cell r="C757" t="str">
            <v>kamshonkov@mail.ru</v>
          </cell>
        </row>
        <row r="758">
          <cell r="A758" t="str">
            <v>ИП Керимов Азер Байрам Оглы</v>
          </cell>
          <cell r="B758" t="str">
            <v>В-00051/КЭ.Транш - 1</v>
          </cell>
        </row>
        <row r="759">
          <cell r="A759" t="str">
            <v>ИП Клименченко Ирина Анатольевна</v>
          </cell>
          <cell r="B759" t="str">
            <v>А-30002/КЭ.Транш - 1</v>
          </cell>
          <cell r="C759" t="str">
            <v>klimenchenko.i@yandex.ru</v>
          </cell>
        </row>
        <row r="760">
          <cell r="A760" t="str">
            <v>ИП Клякин Станислав Анатольевич</v>
          </cell>
          <cell r="B760" t="str">
            <v>Т-00002/КЭ_Т-20211028/Ц</v>
          </cell>
          <cell r="C760" t="str">
            <v>Klyakin@inbox.ru</v>
          </cell>
        </row>
        <row r="761">
          <cell r="A761" t="str">
            <v>ИП Королев Александр Владимирович</v>
          </cell>
          <cell r="B761" t="str">
            <v>А-10036/КЭ.Транш - 1</v>
          </cell>
        </row>
        <row r="762">
          <cell r="A762" t="str">
            <v>ИП Кругляк Наталья Анатольевна</v>
          </cell>
          <cell r="B762" t="str">
            <v>Т-00001/КЭ_Т-20211028/Ц</v>
          </cell>
          <cell r="C762" t="str">
            <v>nat_green_eye@mail.ru</v>
          </cell>
        </row>
        <row r="763">
          <cell r="A763" t="str">
            <v>ИП Леднева Елена Владимировна</v>
          </cell>
          <cell r="B763" t="str">
            <v>Т-10007/КЭ_Т-20211028/Ц</v>
          </cell>
          <cell r="C763" t="str">
            <v>lednewae@mail.ru</v>
          </cell>
        </row>
        <row r="764">
          <cell r="A764" t="str">
            <v>ИП Мамедов Рамин Алим Оглы</v>
          </cell>
          <cell r="B764" t="str">
            <v>В-00081/КЭ.Транш - 1</v>
          </cell>
          <cell r="C764" t="str">
            <v>mamedov749@icloud.com</v>
          </cell>
          <cell r="D764" t="str">
            <v>mamedov749@icloud.com</v>
          </cell>
        </row>
        <row r="765">
          <cell r="A765" t="str">
            <v>ИП Мамедов Эльдар Эльдарович</v>
          </cell>
          <cell r="B765" t="str">
            <v>А-00314/КЭ.Транш - 1</v>
          </cell>
          <cell r="C765" t="str">
            <v>loc-002@mail.ru</v>
          </cell>
        </row>
        <row r="766">
          <cell r="A766" t="str">
            <v>ИП Махавкина Валентина Николаевна</v>
          </cell>
          <cell r="B766" t="str">
            <v>А-10066/КЭ.Транш - 2</v>
          </cell>
          <cell r="C766" t="str">
            <v>valentinan5656@mail.ru</v>
          </cell>
        </row>
        <row r="767">
          <cell r="A767" t="str">
            <v>ИП Махавкина Валентина Николаевна</v>
          </cell>
          <cell r="B767" t="str">
            <v>А-10066/КЭ.Транш - 3</v>
          </cell>
          <cell r="C767" t="str">
            <v>valentinan5656@mail.ru</v>
          </cell>
        </row>
        <row r="768">
          <cell r="A768" t="str">
            <v>ИП Махавкина Валентина Николаевна</v>
          </cell>
          <cell r="B768" t="str">
            <v>А-10066/КЭ.Транш - 4</v>
          </cell>
          <cell r="C768" t="str">
            <v>valentinan5656@mail.ru</v>
          </cell>
        </row>
        <row r="769">
          <cell r="A769" t="str">
            <v>ИП Месропян Аревик Орбеловна</v>
          </cell>
          <cell r="B769" t="str">
            <v>В-00063/КЭ.Транш - 3</v>
          </cell>
          <cell r="C769" t="str">
            <v>1969arevik@mail.ru</v>
          </cell>
          <cell r="D769" t="str">
            <v>1969arevik@mail.ru</v>
          </cell>
        </row>
        <row r="770">
          <cell r="A770" t="str">
            <v>ИП Мехтиев Артём Викторович</v>
          </cell>
          <cell r="B770" t="str">
            <v>А-00255/КЭ.Транш - 1</v>
          </cell>
          <cell r="C770" t="str">
            <v>6797649@mail.ru</v>
          </cell>
        </row>
        <row r="771">
          <cell r="A771" t="str">
            <v>ИП Нартоков Анзор Русланович</v>
          </cell>
          <cell r="B771" t="str">
            <v>А-00309/КЭ.Транш - 1</v>
          </cell>
          <cell r="C771" t="str">
            <v>dzora92@mail.ru</v>
          </cell>
        </row>
        <row r="772">
          <cell r="A772" t="str">
            <v>ИП Нартоков Анзор Русланович</v>
          </cell>
          <cell r="B772" t="str">
            <v>А-00309/КЭ.Транш - 2</v>
          </cell>
          <cell r="C772" t="str">
            <v>dzora92@mail.ru</v>
          </cell>
        </row>
        <row r="773">
          <cell r="A773" t="str">
            <v>ИП Окунева Лилия Викторовна</v>
          </cell>
          <cell r="B773" t="str">
            <v>В-00052/КЭ.Транш - 1</v>
          </cell>
          <cell r="C773" t="str">
            <v>Liliaokunewa@yandex.ru</v>
          </cell>
          <cell r="D773" t="str">
            <v>Liliaokunewa@yandex.ru</v>
          </cell>
        </row>
        <row r="774">
          <cell r="A774" t="str">
            <v>ИП Петров Юрий Викторович</v>
          </cell>
          <cell r="B774" t="str">
            <v>В-10025/КЭ.Транш - 1</v>
          </cell>
          <cell r="D774" t="str">
            <v>pe4ka3x@gmail.com</v>
          </cell>
        </row>
        <row r="775">
          <cell r="A775" t="str">
            <v>ИП Петрухин Анатолий Васильевич</v>
          </cell>
          <cell r="B775" t="str">
            <v>В-30002/КЭ.Транш - 2</v>
          </cell>
          <cell r="C775" t="str">
            <v>a.petruhin@tehnograd-kuban.ru</v>
          </cell>
        </row>
        <row r="776">
          <cell r="A776" t="str">
            <v>ИП Петрухин Анатолий Васильевич</v>
          </cell>
          <cell r="B776" t="str">
            <v>В-30002/КЭ.Транш - 3</v>
          </cell>
          <cell r="C776" t="str">
            <v>a.petruhin@tehnograd-kuban.ru</v>
          </cell>
        </row>
        <row r="777">
          <cell r="A777" t="str">
            <v>ИП Пивкин Константин Леонидович</v>
          </cell>
          <cell r="B777" t="str">
            <v>А-30005/КЭ.Транш - 1</v>
          </cell>
          <cell r="C777" t="str">
            <v>kospivkin@gmail.com</v>
          </cell>
        </row>
        <row r="778">
          <cell r="A778" t="str">
            <v>ИП Пулянина Вероника Александровна</v>
          </cell>
          <cell r="B778" t="str">
            <v>А-00418/КЭ.Транш - 1</v>
          </cell>
          <cell r="C778" t="str">
            <v>info@verobrand.ru</v>
          </cell>
        </row>
        <row r="779">
          <cell r="A779" t="str">
            <v>ИП Разумова Регина Дмитриевна</v>
          </cell>
          <cell r="B779" t="str">
            <v>В-00047/КЭ.Транш - 1</v>
          </cell>
          <cell r="C779" t="str">
            <v>missrazumova@bk.ru</v>
          </cell>
        </row>
        <row r="780">
          <cell r="A780" t="str">
            <v>ИП Разумова Регина Дмитриевна</v>
          </cell>
          <cell r="B780" t="str">
            <v>В-00047/КЭ.Транш - 2</v>
          </cell>
          <cell r="C780" t="str">
            <v>missrazumova@bk.ru</v>
          </cell>
        </row>
        <row r="781">
          <cell r="A781" t="str">
            <v>ИП Русин Дмитрий Валерьевич</v>
          </cell>
          <cell r="B781" t="str">
            <v>А-00467/КЭ.Транш - 1</v>
          </cell>
          <cell r="C781" t="str">
            <v>ramenki00@mail.ru</v>
          </cell>
        </row>
        <row r="782">
          <cell r="A782" t="str">
            <v>ИП Сбитнева Нелли Игоревна</v>
          </cell>
          <cell r="B782" t="str">
            <v>А-00305/КЭ.Транш - 1</v>
          </cell>
        </row>
        <row r="783">
          <cell r="A783" t="str">
            <v>ИП Светлов Виталий Анатольевич</v>
          </cell>
          <cell r="B783" t="str">
            <v>А-10101/КЭ.Транш - 4</v>
          </cell>
          <cell r="C783" t="str">
            <v>s_vit.85@mail.ru</v>
          </cell>
        </row>
        <row r="784">
          <cell r="A784" t="str">
            <v>ИП Светлов Виталий Анатольевич</v>
          </cell>
          <cell r="B784" t="str">
            <v>В-10008/КЭ.Транш - 1</v>
          </cell>
          <cell r="C784" t="str">
            <v>s_vit.85@mail.ru</v>
          </cell>
        </row>
        <row r="785">
          <cell r="A785" t="str">
            <v>ИП Светлов Виталий Анатольевич</v>
          </cell>
          <cell r="B785" t="str">
            <v>В-10008/КЭ.Транш - 2</v>
          </cell>
          <cell r="C785" t="str">
            <v>s_vit.85@mail.ru</v>
          </cell>
        </row>
        <row r="786">
          <cell r="A786" t="str">
            <v>ИП Светлов Виталий Анатольевич</v>
          </cell>
          <cell r="B786" t="str">
            <v>В-10008/КЭ.Транш - 3</v>
          </cell>
          <cell r="C786" t="str">
            <v>s_vit.85@mail.ru</v>
          </cell>
        </row>
        <row r="787">
          <cell r="A787" t="str">
            <v>ИП Светлов Виталий Анатольевич</v>
          </cell>
          <cell r="B787" t="str">
            <v>В-10024/КЭ.Транш - 1</v>
          </cell>
          <cell r="C787" t="str">
            <v>s_vit.85@mail.ru</v>
          </cell>
        </row>
        <row r="788">
          <cell r="A788" t="str">
            <v>ИП Силкин Максим Алексеевич</v>
          </cell>
          <cell r="B788" t="str">
            <v>В-00032/КЭ.Транш - 10</v>
          </cell>
          <cell r="C788" t="str">
            <v>maximm60663@gmail.com</v>
          </cell>
        </row>
        <row r="789">
          <cell r="A789" t="str">
            <v>ИП Силкин Максим Алексеевич</v>
          </cell>
          <cell r="B789" t="str">
            <v>В-00032/КЭ.Транш - 11</v>
          </cell>
          <cell r="C789" t="str">
            <v>maximm60663@gmail.com</v>
          </cell>
        </row>
        <row r="790">
          <cell r="A790" t="str">
            <v>ИП Силкин Максим Алексеевич</v>
          </cell>
          <cell r="B790" t="str">
            <v>В-00032/КЭ.Транш - 12</v>
          </cell>
          <cell r="C790" t="str">
            <v>maximm60663@gmail.com</v>
          </cell>
        </row>
        <row r="791">
          <cell r="A791" t="str">
            <v>ИП Силкин Максим Алексеевич</v>
          </cell>
          <cell r="B791" t="str">
            <v>В-00032/КЭ.Транш - 13</v>
          </cell>
          <cell r="C791" t="str">
            <v>maximm60663@gmail.com</v>
          </cell>
        </row>
        <row r="792">
          <cell r="A792" t="str">
            <v>ИП Силкин Максим Алексеевич</v>
          </cell>
          <cell r="B792" t="str">
            <v>В-00032/КЭ.Транш - 14</v>
          </cell>
          <cell r="C792" t="str">
            <v>maximm60663@gmail.com</v>
          </cell>
        </row>
        <row r="793">
          <cell r="A793" t="str">
            <v>ИП Силкин Максим Алексеевич</v>
          </cell>
          <cell r="B793" t="str">
            <v>В-00032/КЭ.Транш - 15</v>
          </cell>
          <cell r="C793" t="str">
            <v>maximm60663@gmail.com</v>
          </cell>
        </row>
        <row r="794">
          <cell r="A794" t="str">
            <v>ИП Силкин Максим Алексеевич</v>
          </cell>
          <cell r="B794" t="str">
            <v>В-00032/КЭ.Транш - 16</v>
          </cell>
          <cell r="C794" t="str">
            <v>maximm60663@gmail.com</v>
          </cell>
        </row>
        <row r="795">
          <cell r="A795" t="str">
            <v>ИП Силкин Максим Алексеевич</v>
          </cell>
          <cell r="B795" t="str">
            <v>В-00032/КЭ.Транш - 8</v>
          </cell>
          <cell r="C795" t="str">
            <v>maximm60663@gmail.com</v>
          </cell>
        </row>
        <row r="796">
          <cell r="A796" t="str">
            <v>ИП Силкин Максим Алексеевич</v>
          </cell>
          <cell r="B796" t="str">
            <v>В-00056/КЭ.Транш - 1</v>
          </cell>
          <cell r="C796" t="str">
            <v>maximm60663@gmail.com</v>
          </cell>
        </row>
        <row r="797">
          <cell r="A797" t="str">
            <v>ИП Силкин Максим Алексеевич</v>
          </cell>
          <cell r="B797" t="str">
            <v>В-00056/КЭ.Транш - 2</v>
          </cell>
          <cell r="C797" t="str">
            <v>maximm60663@gmail.com</v>
          </cell>
        </row>
        <row r="798">
          <cell r="A798" t="str">
            <v>ИП Силютина Анна Геннадьевна</v>
          </cell>
          <cell r="B798" t="str">
            <v>А-00404/КЭ.Транш - 1</v>
          </cell>
          <cell r="C798" t="str">
            <v>silutina-89@mail.ru</v>
          </cell>
        </row>
        <row r="799">
          <cell r="A799" t="str">
            <v>ИП Стрельникова Татьяна Владимировна</v>
          </cell>
          <cell r="B799" t="str">
            <v>В-00058/КЭ.Транш - 1</v>
          </cell>
          <cell r="C799" t="str">
            <v>tania198009@mail.ru</v>
          </cell>
        </row>
        <row r="800">
          <cell r="A800" t="str">
            <v>ИП Султанова Екатерина Владимировна</v>
          </cell>
          <cell r="B800" t="str">
            <v>А-00161/КЭ.Транш - 1</v>
          </cell>
        </row>
        <row r="801">
          <cell r="A801" t="str">
            <v>ИП Тен Елена Манкильевна</v>
          </cell>
          <cell r="B801" t="str">
            <v>В-00012/КЭ.Транш - 1</v>
          </cell>
          <cell r="C801" t="str">
            <v>gsbc@yandex.ru</v>
          </cell>
          <cell r="D801" t="str">
            <v>gsbc@yandex.ru</v>
          </cell>
        </row>
        <row r="802">
          <cell r="A802" t="str">
            <v>ИП Трескунова Ольга Евгеньевна</v>
          </cell>
          <cell r="B802" t="str">
            <v>А-10102/КЭ.Транш - 1</v>
          </cell>
          <cell r="C802" t="str">
            <v>olgatreskunova1@gmail.com</v>
          </cell>
        </row>
        <row r="803">
          <cell r="A803" t="str">
            <v>ИП Удалов Игорь Игоревич</v>
          </cell>
          <cell r="B803" t="str">
            <v>А-00435/КЭ.Транш - 1</v>
          </cell>
          <cell r="C803" t="str">
            <v>7664406@gmail.com</v>
          </cell>
        </row>
        <row r="804">
          <cell r="A804" t="str">
            <v>ИП Фараджов Зейнал Алинаги Оглы</v>
          </cell>
          <cell r="B804" t="str">
            <v>А-10039/КЭ.Транш - 1</v>
          </cell>
        </row>
        <row r="805">
          <cell r="A805" t="str">
            <v>ИП Федотов Тихон Андреевич</v>
          </cell>
          <cell r="B805" t="str">
            <v>В-30009/КЭ.Транш - 1</v>
          </cell>
          <cell r="C805" t="str">
            <v>podkluch23@yandex.ru</v>
          </cell>
        </row>
        <row r="806">
          <cell r="A806" t="str">
            <v>ИП Филатов Андрей Анатольевич</v>
          </cell>
          <cell r="B806" t="str">
            <v>А-10032/КЭ.Транш - 1</v>
          </cell>
          <cell r="C806" t="str">
            <v>filnd@yandex.ru</v>
          </cell>
        </row>
        <row r="807">
          <cell r="A807" t="str">
            <v>ИП Филатов Андрей Анатольевич</v>
          </cell>
          <cell r="B807" t="str">
            <v>А-10032/КЭ.Транш - 2</v>
          </cell>
          <cell r="C807" t="str">
            <v>filnd@yandex.ru</v>
          </cell>
        </row>
        <row r="808">
          <cell r="A808" t="str">
            <v>ИП Харин Евгений Александрович</v>
          </cell>
          <cell r="B808" t="str">
            <v>А-00458/КЭ.Транш - 1</v>
          </cell>
          <cell r="C808" t="str">
            <v>evgeni.harin@gmail.com</v>
          </cell>
        </row>
        <row r="809">
          <cell r="A809" t="str">
            <v>ИП Харин Евгений Александрович</v>
          </cell>
          <cell r="B809" t="str">
            <v>В-00022/КЭ.Транш - 1_А-20210929/Ц</v>
          </cell>
          <cell r="C809" t="str">
            <v>evgeni.harin@gmail.com</v>
          </cell>
        </row>
        <row r="810">
          <cell r="A810" t="str">
            <v>ИП Чеботарь Анжелика Сергеевна</v>
          </cell>
          <cell r="B810" t="str">
            <v>А-00327/КЭ.Транш - 1</v>
          </cell>
          <cell r="C810" t="str">
            <v>nerudexpress@inbox.ru</v>
          </cell>
        </row>
        <row r="811">
          <cell r="A811" t="str">
            <v>ИП Чермошенцева Галина Сергеевна</v>
          </cell>
          <cell r="B811" t="str">
            <v>А-00357/КЭ.Транш - 1</v>
          </cell>
        </row>
        <row r="812">
          <cell r="A812" t="str">
            <v>ИП Шумакова Наталья Владимировна</v>
          </cell>
          <cell r="B812" t="str">
            <v>В-00061/КЭ.Транш - 1</v>
          </cell>
          <cell r="C812" t="str">
            <v>nataly139@yandex.ru</v>
          </cell>
        </row>
        <row r="813">
          <cell r="A813" t="str">
            <v>ИП Ячменёва Ольга Сергеевна</v>
          </cell>
          <cell r="B813" t="str">
            <v>А-10092/КЭ.Транш - 1</v>
          </cell>
          <cell r="C813" t="str">
            <v>rusbizgame@gmail.com</v>
          </cell>
        </row>
        <row r="814">
          <cell r="A814" t="str">
            <v>ИП Ячменёва Ольга Сергеевна</v>
          </cell>
          <cell r="B814" t="str">
            <v>А-10092/КЭ.Транш - 2</v>
          </cell>
          <cell r="C814" t="str">
            <v>rusbizgame@gmail.com</v>
          </cell>
        </row>
        <row r="815">
          <cell r="A815" t="str">
            <v>ИП Ячменёва Ольга Сергеевна</v>
          </cell>
          <cell r="B815" t="str">
            <v>А-10092/КЭ.Транш - 3</v>
          </cell>
          <cell r="C815" t="str">
            <v>rusbizgame@gmail.com</v>
          </cell>
        </row>
        <row r="816">
          <cell r="A816" t="str">
            <v>Ирицян Армен Дживанович</v>
          </cell>
          <cell r="B816" t="str">
            <v>В-28538/КЛ.Транш - 1</v>
          </cell>
          <cell r="C816" t="str">
            <v>irik_12@mail.ru</v>
          </cell>
          <cell r="D816" t="str">
            <v>irik_12@mail.ru</v>
          </cell>
        </row>
        <row r="817">
          <cell r="A817" t="str">
            <v>Исаев Александр Васильевич</v>
          </cell>
          <cell r="B817" t="str">
            <v>В-20430/КЛ.Транш - 1</v>
          </cell>
          <cell r="D817" t="str">
            <v>kofpac44@gmail.com</v>
          </cell>
        </row>
        <row r="818">
          <cell r="A818" t="str">
            <v>Исаков Иван Владимирович</v>
          </cell>
          <cell r="B818" t="str">
            <v>В-20787/КЛ.Транш - 1</v>
          </cell>
          <cell r="D818" t="str">
            <v>ISAKOVISAKOVIVAN@MAIL.RU</v>
          </cell>
        </row>
        <row r="819">
          <cell r="A819" t="str">
            <v>Исаков Магомед Владимирович</v>
          </cell>
          <cell r="B819" t="str">
            <v>В-12016/КЛ.Транш - 1</v>
          </cell>
        </row>
        <row r="820">
          <cell r="A820" t="str">
            <v>Исаков Магомед Владимирович</v>
          </cell>
          <cell r="B820" t="str">
            <v>В-12016/КЛ.Транш - 2</v>
          </cell>
        </row>
        <row r="821">
          <cell r="A821" t="str">
            <v>Исаков Магомед Владимирович</v>
          </cell>
          <cell r="B821" t="str">
            <v>В-12016/КЛ.Транш - 3</v>
          </cell>
        </row>
        <row r="822">
          <cell r="A822" t="str">
            <v>Исаков Магомед Владимирович</v>
          </cell>
          <cell r="B822" t="str">
            <v>В-12016/КЛ.Транш - 4</v>
          </cell>
        </row>
        <row r="823">
          <cell r="A823" t="str">
            <v>Исаченков Сергей Алексеевич</v>
          </cell>
          <cell r="B823" t="str">
            <v>В-00683/КЛ.Транш - 1</v>
          </cell>
          <cell r="C823" t="str">
            <v>sergei366sergei@yandex.ru</v>
          </cell>
        </row>
        <row r="824">
          <cell r="A824" t="str">
            <v>Искендеров Рашад Сахиб Оглы</v>
          </cell>
          <cell r="B824" t="str">
            <v>В-11407/КЛ.Транш - 1</v>
          </cell>
          <cell r="C824" t="str">
            <v>iskenderov.2121@bk.ru</v>
          </cell>
          <cell r="D824" t="str">
            <v>iskenderov.2121@bk.ru</v>
          </cell>
        </row>
        <row r="825">
          <cell r="A825" t="str">
            <v>Исрапилов Магомед Исрапилович</v>
          </cell>
          <cell r="B825" t="str">
            <v>В-25298/КЛ.Транш - 1</v>
          </cell>
          <cell r="D825" t="str">
            <v>luiza.kadieva95@yandex.ru</v>
          </cell>
        </row>
        <row r="826">
          <cell r="A826" t="str">
            <v>Исхаков Олег Дауранович</v>
          </cell>
          <cell r="B826" t="str">
            <v>В-01149/АЗ</v>
          </cell>
          <cell r="C826" t="str">
            <v>79217799345@mail.ru</v>
          </cell>
          <cell r="D826" t="str">
            <v>79217799345@mail.ru</v>
          </cell>
        </row>
        <row r="827">
          <cell r="A827" t="str">
            <v>Ичалов Абдула Гаджиахмедович</v>
          </cell>
          <cell r="B827" t="str">
            <v>В-23978/КЛ.Транш - 1</v>
          </cell>
          <cell r="C827" t="str">
            <v>mr.ichalov@mail.ru</v>
          </cell>
          <cell r="D827" t="str">
            <v>mr.ichalov@mail.ru</v>
          </cell>
        </row>
        <row r="828">
          <cell r="A828" t="str">
            <v>Ичалов Абдула Гаджиахмедович</v>
          </cell>
          <cell r="B828" t="str">
            <v>В-23978/КЛ.Транш - 2</v>
          </cell>
          <cell r="C828" t="str">
            <v>mr.ichalov@mail.ru</v>
          </cell>
          <cell r="D828" t="str">
            <v>mr.ichalov@mail.ru</v>
          </cell>
        </row>
        <row r="829">
          <cell r="A829" t="str">
            <v>Ишутин Станислав Андреевич</v>
          </cell>
          <cell r="B829" t="str">
            <v>В-22728/КЛ.Транш - 1</v>
          </cell>
          <cell r="D829" t="str">
            <v>ishutin_stas@mail.ru</v>
          </cell>
        </row>
        <row r="830">
          <cell r="A830" t="str">
            <v>Кабанов Андрей Павлович</v>
          </cell>
          <cell r="B830" t="str">
            <v>В-05581/КЛ.Транш - 2</v>
          </cell>
          <cell r="C830" t="str">
            <v>cabman9@mail.ru</v>
          </cell>
        </row>
        <row r="831">
          <cell r="A831" t="str">
            <v>Каверин Владимир Геннадьевич</v>
          </cell>
          <cell r="B831" t="str">
            <v>В-00477/АЗ</v>
          </cell>
          <cell r="C831" t="str">
            <v>vladimir.kaverin@gmail.com</v>
          </cell>
        </row>
        <row r="832">
          <cell r="A832" t="str">
            <v>Казаков Александр Викторович</v>
          </cell>
          <cell r="B832" t="str">
            <v>В-22583/КЛ.Транш - 1</v>
          </cell>
          <cell r="C832" t="str">
            <v>kazakov116@mail.ru</v>
          </cell>
          <cell r="D832" t="str">
            <v>kazakov116@mail.ru</v>
          </cell>
        </row>
        <row r="833">
          <cell r="A833" t="str">
            <v>Казанин Игорь Викторович</v>
          </cell>
          <cell r="B833" t="str">
            <v>В-16873/КЛ.Транш - 1</v>
          </cell>
          <cell r="D833" t="str">
            <v>Kazaninigor@icloud.com</v>
          </cell>
        </row>
        <row r="834">
          <cell r="A834" t="str">
            <v>Казанцева Альбина Валерьевна</v>
          </cell>
          <cell r="B834" t="str">
            <v>В-00398/АЗ</v>
          </cell>
        </row>
        <row r="835">
          <cell r="A835" t="str">
            <v>Казарян Валико Беникович</v>
          </cell>
          <cell r="B835" t="str">
            <v>В-17201/КЛ.Транш - 1</v>
          </cell>
          <cell r="D835" t="str">
            <v>kazaryanvaliko0797@mail.ru</v>
          </cell>
        </row>
        <row r="836">
          <cell r="A836" t="str">
            <v>Казарян Валико Беникович</v>
          </cell>
          <cell r="B836" t="str">
            <v>В-17201/КЛ.Транш - 2</v>
          </cell>
          <cell r="D836" t="str">
            <v>kazaryanvaliko0797@mail.ru</v>
          </cell>
        </row>
        <row r="837">
          <cell r="A837" t="str">
            <v>Казачкин Андрей Юрьевич</v>
          </cell>
          <cell r="B837" t="str">
            <v>В-27630/КЛ.Транш - 1</v>
          </cell>
          <cell r="D837" t="str">
            <v>kazachkin81@ mail.ru</v>
          </cell>
        </row>
        <row r="838">
          <cell r="A838" t="str">
            <v>Казеев Радмир Рамирович</v>
          </cell>
          <cell r="B838" t="str">
            <v>В-00660/АЗ_В-20211230/Ц</v>
          </cell>
        </row>
        <row r="839">
          <cell r="A839" t="str">
            <v>Казыханова Лилия Расимовна</v>
          </cell>
          <cell r="B839" t="str">
            <v>В-10509/КЛ.Транш - 1</v>
          </cell>
          <cell r="C839" t="str">
            <v>cazixanova.lilija@yandex.ru</v>
          </cell>
        </row>
        <row r="840">
          <cell r="A840" t="str">
            <v>Калантаров Артур Григорьевич</v>
          </cell>
          <cell r="B840" t="str">
            <v>В-20653/КЛ.Транш - 1</v>
          </cell>
          <cell r="D840" t="str">
            <v>kalantarovartur@gmail.com</v>
          </cell>
        </row>
        <row r="841">
          <cell r="A841" t="str">
            <v>Калантарян Артур Вазгени</v>
          </cell>
          <cell r="B841" t="str">
            <v>В-00687/АЗ</v>
          </cell>
        </row>
        <row r="842">
          <cell r="A842" t="str">
            <v>Калашников Алексей Владимирович</v>
          </cell>
          <cell r="B842" t="str">
            <v>В-09250/КЛ.Транш - 1_В-20211230/Ц</v>
          </cell>
          <cell r="C842" t="str">
            <v>akzz1986@mail.ru</v>
          </cell>
        </row>
        <row r="843">
          <cell r="A843" t="str">
            <v>Калашников Юрий Витальевич</v>
          </cell>
          <cell r="B843" t="str">
            <v>В-27855/КЛ.Транш - 1</v>
          </cell>
          <cell r="C843" t="str">
            <v>merilon2@mail.ru</v>
          </cell>
          <cell r="D843" t="str">
            <v>merilon2@mail.ru</v>
          </cell>
        </row>
        <row r="844">
          <cell r="A844" t="str">
            <v>Календжян Вячеслав Вячеславович</v>
          </cell>
          <cell r="B844" t="str">
            <v>В-01187/АЗ</v>
          </cell>
        </row>
        <row r="845">
          <cell r="A845" t="str">
            <v>Календиров Зейнадин Равильевич</v>
          </cell>
          <cell r="B845" t="str">
            <v>В-17067/КЛ.Транш - 1</v>
          </cell>
          <cell r="D845" t="str">
            <v>Zidankalendirov@yandex.ru</v>
          </cell>
        </row>
        <row r="846">
          <cell r="A846" t="str">
            <v>Калинин Алексей Дмитриевич</v>
          </cell>
          <cell r="B846" t="str">
            <v>В-01198/АЗ</v>
          </cell>
        </row>
        <row r="847">
          <cell r="A847" t="str">
            <v>Калинин Андрей Викторович</v>
          </cell>
          <cell r="B847" t="str">
            <v>В-25795/АЗ</v>
          </cell>
          <cell r="D847" t="str">
            <v>9161619393@mail.ru</v>
          </cell>
        </row>
        <row r="848">
          <cell r="A848" t="str">
            <v>Калошин Павел Сергеевич</v>
          </cell>
          <cell r="B848" t="str">
            <v>В-03473/КЛ.Транш - 1</v>
          </cell>
          <cell r="C848" t="str">
            <v>draivik2013@gmail.com</v>
          </cell>
        </row>
        <row r="849">
          <cell r="A849" t="str">
            <v>Калядина Кристина Юрьевна</v>
          </cell>
          <cell r="B849" t="str">
            <v>В-26556/КЛ.Транш - 1</v>
          </cell>
          <cell r="D849" t="str">
            <v>kristinochka5554@mail.ru</v>
          </cell>
        </row>
        <row r="850">
          <cell r="A850" t="str">
            <v>Каляев Владимир Александрович</v>
          </cell>
          <cell r="B850" t="str">
            <v>В-01911/КЛ.Транш - 1</v>
          </cell>
          <cell r="C850" t="str">
            <v>calyaew.vlad@yandex.ru</v>
          </cell>
        </row>
        <row r="851">
          <cell r="A851" t="str">
            <v>Камбулина Ирина Юрьевна</v>
          </cell>
          <cell r="B851" t="str">
            <v>В-19846/КЛ.Транш - 1</v>
          </cell>
          <cell r="D851" t="str">
            <v>irinazolotaia43@gmail.com</v>
          </cell>
        </row>
        <row r="852">
          <cell r="A852" t="str">
            <v>Каменев Константин Николаевич</v>
          </cell>
          <cell r="B852" t="str">
            <v>В-25687/АЗ</v>
          </cell>
          <cell r="D852" t="str">
            <v>193433@mail.ru</v>
          </cell>
        </row>
        <row r="853">
          <cell r="A853" t="str">
            <v>Камшилин Александр Александрович</v>
          </cell>
          <cell r="B853" t="str">
            <v>А-00053/БЭ</v>
          </cell>
          <cell r="C853" t="str">
            <v>RU4444@MAIL.RU</v>
          </cell>
          <cell r="D853" t="str">
            <v>RU4444@MAIL.RU</v>
          </cell>
        </row>
        <row r="854">
          <cell r="A854" t="str">
            <v>Камшилина Татьяна Ивановна</v>
          </cell>
          <cell r="B854" t="str">
            <v>А-00051/БЭ</v>
          </cell>
          <cell r="C854" t="str">
            <v>mebeloptima@mail.ru</v>
          </cell>
          <cell r="D854" t="str">
            <v>mebeloptima@mail.ru</v>
          </cell>
        </row>
        <row r="855">
          <cell r="A855" t="str">
            <v>Камшилина Татьяна Ивановна</v>
          </cell>
          <cell r="B855" t="str">
            <v>А-04328/АЗ</v>
          </cell>
          <cell r="C855" t="str">
            <v>mebeloptima@mail.ru</v>
          </cell>
          <cell r="D855" t="str">
            <v>mebeloptima@mail.ru</v>
          </cell>
        </row>
        <row r="856">
          <cell r="A856" t="str">
            <v>Камшилина Татьяна Ивановна</v>
          </cell>
          <cell r="B856" t="str">
            <v>Т-00030/БЭ_Т-20211028/Ц</v>
          </cell>
          <cell r="C856" t="str">
            <v>mebeloptima@mail.ru</v>
          </cell>
          <cell r="D856" t="str">
            <v>mebeloptima@mail.ru</v>
          </cell>
        </row>
        <row r="857">
          <cell r="A857" t="str">
            <v>Камышов Игорь Николаевич</v>
          </cell>
          <cell r="B857" t="str">
            <v>В-19766/КЛ.Транш - 1</v>
          </cell>
          <cell r="D857" t="str">
            <v>Kamishov1985@rambler.ru</v>
          </cell>
        </row>
        <row r="858">
          <cell r="A858" t="str">
            <v>Кандаков Хайдарали Махмадрузиевич</v>
          </cell>
          <cell r="B858" t="str">
            <v>В-00907/КЛ.Транш - 6</v>
          </cell>
          <cell r="C858" t="str">
            <v>au.kandakov@bk.ru</v>
          </cell>
          <cell r="D858" t="str">
            <v>au.kandakov@bk.ru</v>
          </cell>
        </row>
        <row r="859">
          <cell r="A859" t="str">
            <v>Кандаков Хайдарали Махмадрузиевич</v>
          </cell>
          <cell r="B859" t="str">
            <v>В-00907/КЛ.Транш - 7</v>
          </cell>
          <cell r="C859" t="str">
            <v>au.kandakov@bk.ru</v>
          </cell>
          <cell r="D859" t="str">
            <v>au.kandakov@bk.ru</v>
          </cell>
        </row>
        <row r="860">
          <cell r="A860" t="str">
            <v>Кандаков Хайдарали Махмадрузиевич</v>
          </cell>
          <cell r="B860" t="str">
            <v>В-00907/КЛ.Транш - 8</v>
          </cell>
          <cell r="C860" t="str">
            <v>au.kandakov@bk.ru</v>
          </cell>
          <cell r="D860" t="str">
            <v>au.kandakov@bk.ru</v>
          </cell>
        </row>
        <row r="861">
          <cell r="A861" t="str">
            <v>Кандаков Хайдарали Махмадрузиевич</v>
          </cell>
          <cell r="B861" t="str">
            <v>В-24618/АЗ</v>
          </cell>
          <cell r="C861" t="str">
            <v>au.kandakov@bk.ru</v>
          </cell>
          <cell r="D861" t="str">
            <v>au.kandakov@bk.ru</v>
          </cell>
        </row>
        <row r="862">
          <cell r="A862" t="str">
            <v>Кандаков Хайдарали Махмадрузиевич</v>
          </cell>
          <cell r="B862" t="str">
            <v>В-25494/АЗ</v>
          </cell>
          <cell r="C862" t="str">
            <v>au.kandakov@bk.ru</v>
          </cell>
          <cell r="D862" t="str">
            <v>au.kandakov@bk.ru</v>
          </cell>
        </row>
        <row r="863">
          <cell r="A863" t="str">
            <v>Кандаков Хайдарали Махмадрузиевич</v>
          </cell>
          <cell r="B863" t="str">
            <v>В-27038/АЗ</v>
          </cell>
          <cell r="C863" t="str">
            <v>au.kandakov@bk.ru</v>
          </cell>
          <cell r="D863" t="str">
            <v>au.kandakov@bk.ru</v>
          </cell>
        </row>
        <row r="864">
          <cell r="A864" t="str">
            <v>Капанадзе Илья Абелиевич</v>
          </cell>
          <cell r="B864" t="str">
            <v>В-15770/КЛ.Транш - 2</v>
          </cell>
          <cell r="D864" t="str">
            <v>нет</v>
          </cell>
        </row>
        <row r="865">
          <cell r="A865" t="str">
            <v>Караваев Александр Викторович</v>
          </cell>
          <cell r="B865" t="str">
            <v>В-10001/КЛ.Транш - 1</v>
          </cell>
          <cell r="C865" t="str">
            <v>nemobuta.ak79@gmail.com</v>
          </cell>
        </row>
        <row r="866">
          <cell r="A866" t="str">
            <v>Караваев Александр Викторович</v>
          </cell>
          <cell r="B866" t="str">
            <v>В-10001/КЛ.Транш - 2</v>
          </cell>
          <cell r="C866" t="str">
            <v>nemobuta.ak79@gmail.com</v>
          </cell>
        </row>
        <row r="867">
          <cell r="A867" t="str">
            <v>Караваев Александр Викторович</v>
          </cell>
          <cell r="B867" t="str">
            <v>В-10001/КЛ.Транш - 3</v>
          </cell>
          <cell r="C867" t="str">
            <v>nemobuta.ak79@gmail.com</v>
          </cell>
        </row>
        <row r="868">
          <cell r="A868" t="str">
            <v>Караваев Евгений Сергеевич</v>
          </cell>
          <cell r="B868" t="str">
            <v>А-03853/АЗ</v>
          </cell>
        </row>
        <row r="869">
          <cell r="A869" t="str">
            <v>КАРАВАН ООО</v>
          </cell>
          <cell r="B869" t="str">
            <v>В-10018/КЭ.Транш - 1</v>
          </cell>
          <cell r="C869" t="str">
            <v>mikle.freedman@gmail.com</v>
          </cell>
        </row>
        <row r="870">
          <cell r="A870" t="str">
            <v>Карагезян Шушаник Вачагановна</v>
          </cell>
          <cell r="B870" t="str">
            <v>В-28159/КЛ.Транш - 1</v>
          </cell>
          <cell r="C870" t="str">
            <v>shushan.karagyozyan.1986@mail.ru</v>
          </cell>
          <cell r="D870" t="str">
            <v>shushan.karagyozyan.1986@mail.ru</v>
          </cell>
        </row>
        <row r="871">
          <cell r="A871" t="str">
            <v>Караева Татьяна Сергеевна</v>
          </cell>
          <cell r="B871" t="str">
            <v>А-05151/АЗ</v>
          </cell>
          <cell r="C871" t="str">
            <v>KARAEVAT79@MAIL.RU</v>
          </cell>
          <cell r="D871" t="str">
            <v>KARAEVAT79@MAIL.RU</v>
          </cell>
        </row>
        <row r="872">
          <cell r="A872" t="str">
            <v>Караева Татьяна Сергеевна</v>
          </cell>
          <cell r="B872" t="str">
            <v>Т-01744/АЗ_Т-20211028/Ц</v>
          </cell>
          <cell r="C872" t="str">
            <v>KARAEVAT79@MAIL.RU</v>
          </cell>
          <cell r="D872" t="str">
            <v>KARAEVAT79@MAIL.RU</v>
          </cell>
        </row>
        <row r="873">
          <cell r="A873" t="str">
            <v>Карманов Александр Иванович</v>
          </cell>
          <cell r="B873" t="str">
            <v>В-13600/КЛ.Транш - 1</v>
          </cell>
          <cell r="D873" t="str">
            <v>doverie.hostel@yandex.ru</v>
          </cell>
        </row>
        <row r="874">
          <cell r="A874" t="str">
            <v>Карманов Виталий Петрович</v>
          </cell>
          <cell r="B874" t="str">
            <v>В-17597/КЛ.Транш - 1</v>
          </cell>
          <cell r="D874" t="str">
            <v>911karman911@gmail.com</v>
          </cell>
        </row>
        <row r="875">
          <cell r="A875" t="str">
            <v>Карманов Виталий Петрович</v>
          </cell>
          <cell r="B875" t="str">
            <v>В-17597/КЛ.Транш - 2</v>
          </cell>
          <cell r="D875" t="str">
            <v>911karman911@gmail.com</v>
          </cell>
        </row>
        <row r="876">
          <cell r="A876" t="str">
            <v>Карпушин Артемий Михайлович</v>
          </cell>
          <cell r="B876" t="str">
            <v>В-09500/КЛ.Транш - 1</v>
          </cell>
        </row>
        <row r="877">
          <cell r="A877" t="str">
            <v>Карташова Евгения Анатольевна</v>
          </cell>
          <cell r="B877" t="str">
            <v>В-11472/КЛ.Транш - 2</v>
          </cell>
          <cell r="C877" t="str">
            <v>kartevgeniya.alli@gmail.com</v>
          </cell>
        </row>
        <row r="878">
          <cell r="A878" t="str">
            <v>Карташова Евгения Анатольевна</v>
          </cell>
          <cell r="B878" t="str">
            <v>В-11472/КЛ.Транш - 3</v>
          </cell>
          <cell r="C878" t="str">
            <v>kartevgeniya.alli@gmail.com</v>
          </cell>
        </row>
        <row r="879">
          <cell r="A879" t="str">
            <v>Карчун Вероника Витальевна</v>
          </cell>
          <cell r="B879" t="str">
            <v>В-21222/КЛ.Транш - 1</v>
          </cell>
          <cell r="D879" t="str">
            <v>Veronateatr@yandex.ru</v>
          </cell>
        </row>
        <row r="880">
          <cell r="A880" t="str">
            <v>Касаткин Евгений Олегович</v>
          </cell>
          <cell r="B880" t="str">
            <v>В-22897/КЛ.Транш - 1</v>
          </cell>
          <cell r="C880" t="str">
            <v>ewg.kasatkin2018@yandex.ru</v>
          </cell>
        </row>
        <row r="881">
          <cell r="A881" t="str">
            <v>КАСКАД ТУРИЗМ ООО</v>
          </cell>
          <cell r="B881" t="str">
            <v>Т-00003/КЭ_Т-20211028/Ц</v>
          </cell>
          <cell r="C881" t="str">
            <v>kaskadturizm@rambler.ru</v>
          </cell>
        </row>
        <row r="882">
          <cell r="A882" t="str">
            <v>Касутин Евгений Дмитриевич</v>
          </cell>
          <cell r="B882" t="str">
            <v>В-22434/АЗ_В-20211230/Ц</v>
          </cell>
          <cell r="C882" t="str">
            <v>37john37@mail.ru</v>
          </cell>
          <cell r="D882" t="str">
            <v>37john37@mail.ru</v>
          </cell>
        </row>
        <row r="883">
          <cell r="A883" t="str">
            <v>Касутина Виктория Алексеевна</v>
          </cell>
          <cell r="B883" t="str">
            <v>В-22436/АЗ</v>
          </cell>
          <cell r="C883" t="str">
            <v>vika.kasutina@mail.ru</v>
          </cell>
          <cell r="D883" t="str">
            <v>vika.kasutina@mail.ru</v>
          </cell>
        </row>
        <row r="884">
          <cell r="A884" t="str">
            <v>Качев Дмитрий Вячеславович</v>
          </cell>
          <cell r="B884" t="str">
            <v>В-14937/КЛ.Транш - 1</v>
          </cell>
          <cell r="C884" t="str">
            <v>5052452@mail.ru</v>
          </cell>
        </row>
        <row r="885">
          <cell r="A885" t="str">
            <v>Качев Дмитрий Вячеславович</v>
          </cell>
          <cell r="B885" t="str">
            <v>В-14937/КЛ.Транш - 2</v>
          </cell>
          <cell r="C885" t="str">
            <v>5052452@mail.ru</v>
          </cell>
        </row>
        <row r="886">
          <cell r="A886" t="str">
            <v>Качев Дмитрий Вячеславович</v>
          </cell>
          <cell r="B886" t="str">
            <v>В-14937/КЛ.Транш - 3</v>
          </cell>
          <cell r="C886" t="str">
            <v>5052452@mail.ru</v>
          </cell>
        </row>
        <row r="887">
          <cell r="A887" t="str">
            <v>Качев Дмитрий Вячеславович</v>
          </cell>
          <cell r="B887" t="str">
            <v>В-14937/КЛ.Транш - 4</v>
          </cell>
          <cell r="C887" t="str">
            <v>5052452@mail.ru</v>
          </cell>
        </row>
        <row r="888">
          <cell r="A888" t="str">
            <v>Кашуба Артем Сергеевич</v>
          </cell>
          <cell r="B888" t="str">
            <v>В-06453/КЛ.Транш - 3</v>
          </cell>
          <cell r="C888" t="str">
            <v>89296519015@mail.ru</v>
          </cell>
        </row>
        <row r="889">
          <cell r="A889" t="str">
            <v>Кашуба Артем Сергеевич</v>
          </cell>
          <cell r="B889" t="str">
            <v>В-06453/КЛ.Транш - 4</v>
          </cell>
          <cell r="C889" t="str">
            <v>89296519015@mail.ru</v>
          </cell>
        </row>
        <row r="890">
          <cell r="A890" t="str">
            <v>Кебурия Илья Нугзариевич</v>
          </cell>
          <cell r="B890" t="str">
            <v>В-17106/КЛ.Транш - 1</v>
          </cell>
          <cell r="D890" t="str">
            <v>kot050286@mail.ru</v>
          </cell>
        </row>
        <row r="891">
          <cell r="A891" t="str">
            <v>КЕЙСТОУН ООО</v>
          </cell>
          <cell r="B891" t="str">
            <v>В-00042/КЭ.Транш - 1</v>
          </cell>
          <cell r="C891" t="str">
            <v>fpstroy@yandex.ru</v>
          </cell>
        </row>
        <row r="892">
          <cell r="A892" t="str">
            <v>Келехсаев Эдуард Павлович</v>
          </cell>
          <cell r="B892" t="str">
            <v>В-01092/КЛ.Транш - 1</v>
          </cell>
          <cell r="C892" t="str">
            <v>eduard.kelehsaev@yandex.ru</v>
          </cell>
        </row>
        <row r="893">
          <cell r="A893" t="str">
            <v>Келешян Мария Георгиевна</v>
          </cell>
          <cell r="B893" t="str">
            <v>В-18438/КЛ.Транш - 1</v>
          </cell>
          <cell r="C893" t="str">
            <v>mariya.muh@icloud.com</v>
          </cell>
          <cell r="D893" t="str">
            <v>mariya.muh@icloud.com</v>
          </cell>
        </row>
        <row r="894">
          <cell r="A894" t="str">
            <v>Кильдюшкин Андрей Николаевич</v>
          </cell>
          <cell r="B894" t="str">
            <v>В-07877/КЛ.Транш - 12</v>
          </cell>
        </row>
        <row r="895">
          <cell r="A895" t="str">
            <v>Кильдюшкин Андрей Николаевич</v>
          </cell>
          <cell r="B895" t="str">
            <v>В-07877/КЛ.Транш - 14</v>
          </cell>
        </row>
        <row r="896">
          <cell r="A896" t="str">
            <v>Кильдюшкин Андрей Николаевич</v>
          </cell>
          <cell r="B896" t="str">
            <v>В-07877/КЛ.Транш - 15</v>
          </cell>
        </row>
        <row r="897">
          <cell r="A897" t="str">
            <v>Ким Александр Эдуардович</v>
          </cell>
          <cell r="B897" t="str">
            <v>В-25351/КЛ.Транш - 1</v>
          </cell>
          <cell r="D897" t="str">
            <v>Alexanderkim2501@gmail.com</v>
          </cell>
        </row>
        <row r="898">
          <cell r="A898" t="str">
            <v>Ким Александр Эдуардович</v>
          </cell>
          <cell r="B898" t="str">
            <v>В-25351/КЛ.Транш - 2</v>
          </cell>
          <cell r="D898" t="str">
            <v>Alexanderkim2501@gmail.com</v>
          </cell>
        </row>
        <row r="899">
          <cell r="A899" t="str">
            <v>Кирейчиков Виктор Николаевич</v>
          </cell>
          <cell r="B899" t="str">
            <v>В-14835/КЛ.Транш - 1</v>
          </cell>
          <cell r="C899" t="str">
            <v>kirey18@mail.ru</v>
          </cell>
          <cell r="D899" t="str">
            <v>kirey18@mail.ru</v>
          </cell>
        </row>
        <row r="900">
          <cell r="A900" t="str">
            <v>Кирейчиков Виктор Николаевич</v>
          </cell>
          <cell r="B900" t="str">
            <v>В-14835/КЛ.Транш - 2</v>
          </cell>
          <cell r="C900" t="str">
            <v>kirey18@mail.ru</v>
          </cell>
          <cell r="D900" t="str">
            <v>kirey18@mail.ru</v>
          </cell>
        </row>
        <row r="901">
          <cell r="A901" t="str">
            <v>Кириллов Николай Валерьевич</v>
          </cell>
          <cell r="B901" t="str">
            <v>В-20703/КЛ.Транш - 1</v>
          </cell>
          <cell r="D901" t="str">
            <v>stfkstr@gmail.com</v>
          </cell>
        </row>
        <row r="902">
          <cell r="A902" t="str">
            <v>Кириллова Екатерина Александровна</v>
          </cell>
          <cell r="B902" t="str">
            <v>В-20377/КЛ.Транш - 1</v>
          </cell>
          <cell r="D902" t="str">
            <v>Kirka812@yandex.ru</v>
          </cell>
        </row>
        <row r="903">
          <cell r="A903" t="str">
            <v>Кирпищикова Александра Александровна</v>
          </cell>
          <cell r="B903" t="str">
            <v>В-28927/КЛ.Транш - 1</v>
          </cell>
          <cell r="C903" t="str">
            <v>desin.rou@mail.ru</v>
          </cell>
          <cell r="D903" t="str">
            <v>desin.rou@mail.ru</v>
          </cell>
        </row>
        <row r="904">
          <cell r="A904" t="str">
            <v>Киселев Александр Максимович</v>
          </cell>
          <cell r="B904" t="str">
            <v>В-19346/КЛ.Транш - 2</v>
          </cell>
          <cell r="D904" t="str">
            <v>tomasulp@gmail.com</v>
          </cell>
        </row>
        <row r="905">
          <cell r="A905" t="str">
            <v>Киселев Александр Максимович</v>
          </cell>
          <cell r="B905" t="str">
            <v>В-19346/КЛ.Транш - 3</v>
          </cell>
          <cell r="D905" t="str">
            <v>tomasulp@gmail.com</v>
          </cell>
        </row>
        <row r="906">
          <cell r="A906" t="str">
            <v>Киселев Андрей Владимирович</v>
          </cell>
          <cell r="B906" t="str">
            <v>В-14178/КЛ.Транш - 1</v>
          </cell>
          <cell r="D906" t="str">
            <v>Jagu66@mail.ru</v>
          </cell>
        </row>
        <row r="907">
          <cell r="A907" t="str">
            <v>Кисель Наталья Александровна</v>
          </cell>
          <cell r="B907" t="str">
            <v>В-12553/КЛ.Транш - 1</v>
          </cell>
          <cell r="D907" t="str">
            <v>nata.kisel09@bk.ru</v>
          </cell>
        </row>
        <row r="908">
          <cell r="A908" t="str">
            <v>Кисенко Евгений Николаевич</v>
          </cell>
          <cell r="B908" t="str">
            <v>В-00433/КЛ.Транш - 1</v>
          </cell>
          <cell r="C908" t="str">
            <v>8253276@gmail.com</v>
          </cell>
        </row>
        <row r="909">
          <cell r="A909" t="str">
            <v>Клементьев Александр Александрович</v>
          </cell>
          <cell r="B909" t="str">
            <v>В-13477/КЛ.Транш - 2</v>
          </cell>
          <cell r="D909" t="str">
            <v>alex230892@mail.ru</v>
          </cell>
        </row>
        <row r="910">
          <cell r="A910" t="str">
            <v>Климахина Татьяна Сергеевна</v>
          </cell>
          <cell r="B910" t="str">
            <v>В-09890/КЛ.Транш - 1</v>
          </cell>
        </row>
        <row r="911">
          <cell r="A911" t="str">
            <v>Климов Павел Александрович</v>
          </cell>
          <cell r="B911" t="str">
            <v>В-29080/КЛ.Транш - 1</v>
          </cell>
          <cell r="D911" t="str">
            <v>domain.123476@gmail.com</v>
          </cell>
        </row>
        <row r="912">
          <cell r="A912" t="str">
            <v>Клинов Сергей Евгеньевич</v>
          </cell>
          <cell r="B912" t="str">
            <v>В-19593/КЛ.Транш - 1</v>
          </cell>
          <cell r="D912" t="str">
            <v>sk@advisk.ru</v>
          </cell>
        </row>
        <row r="913">
          <cell r="A913" t="str">
            <v>Клочихина Ирина Валерьевна</v>
          </cell>
          <cell r="B913" t="str">
            <v>В-12372/КЛ.Транш - 1</v>
          </cell>
          <cell r="D913" t="str">
            <v>irinka_vrach@inbox.ru</v>
          </cell>
        </row>
        <row r="914">
          <cell r="A914" t="str">
            <v>Клюев Павел Валерьевич</v>
          </cell>
          <cell r="B914" t="str">
            <v>В-16768/КЛ.Транш - 1</v>
          </cell>
          <cell r="C914" t="str">
            <v>klyuev.p.v@gmail.com</v>
          </cell>
        </row>
        <row r="915">
          <cell r="A915" t="str">
            <v>Князев Алексей Иванович</v>
          </cell>
          <cell r="B915" t="str">
            <v>В-08368/КЛ.Транш - 2</v>
          </cell>
          <cell r="C915" t="str">
            <v>Ka031968@gmail.com</v>
          </cell>
        </row>
        <row r="916">
          <cell r="A916" t="str">
            <v>Кобальт ООО</v>
          </cell>
          <cell r="B916" t="str">
            <v>В-00018/КЭ.Транш - 1</v>
          </cell>
          <cell r="C916" t="str">
            <v>kobalt26@bk.ru</v>
          </cell>
        </row>
        <row r="917">
          <cell r="A917" t="str">
            <v>Кобальт ООО</v>
          </cell>
          <cell r="B917" t="str">
            <v>В-00073/КЭ.Транш - 1</v>
          </cell>
          <cell r="C917" t="str">
            <v>kobalt26@bk.ru</v>
          </cell>
        </row>
        <row r="918">
          <cell r="A918" t="str">
            <v>Кобахидзе Тэмури Юрьевич</v>
          </cell>
          <cell r="B918" t="str">
            <v>В-15778/КЛ.Транш - 1</v>
          </cell>
          <cell r="D918" t="str">
            <v>timoxa1389@mail.ru</v>
          </cell>
        </row>
        <row r="919">
          <cell r="A919" t="str">
            <v>Кобахидзе Тэмури Юрьевич</v>
          </cell>
          <cell r="B919" t="str">
            <v>В-15778/КЛ.Транш - 2</v>
          </cell>
          <cell r="D919" t="str">
            <v>timoxa1389@mail.ru</v>
          </cell>
        </row>
        <row r="920">
          <cell r="A920" t="str">
            <v>Кобзев Олег Викторович</v>
          </cell>
          <cell r="B920" t="str">
            <v>В-12231/КЛ.Транш - 1</v>
          </cell>
        </row>
        <row r="921">
          <cell r="A921" t="str">
            <v>Ковбасенко Александр Анатольевич</v>
          </cell>
          <cell r="B921" t="str">
            <v>А-04684/АЗ</v>
          </cell>
        </row>
        <row r="922">
          <cell r="A922" t="str">
            <v>Ковбасенко Александр Анатольевич</v>
          </cell>
          <cell r="B922" t="str">
            <v>Т-01646/АЗ_А-20200626/Ц</v>
          </cell>
        </row>
        <row r="923">
          <cell r="A923" t="str">
            <v>Ковригина Ирина Евгеньевна</v>
          </cell>
          <cell r="B923" t="str">
            <v>В-17380/КЛ.Транш - 1</v>
          </cell>
          <cell r="D923" t="str">
            <v>A9777347119@yandex.ru</v>
          </cell>
        </row>
        <row r="924">
          <cell r="A924" t="str">
            <v>Коврик Леонид Николаевич</v>
          </cell>
          <cell r="B924" t="str">
            <v>В-00783/КЛ.Транш - 2</v>
          </cell>
          <cell r="C924" t="str">
            <v>leonidkovrik@yandex.ru</v>
          </cell>
        </row>
        <row r="925">
          <cell r="A925" t="str">
            <v>Коврик Леонид Николаевич</v>
          </cell>
          <cell r="B925" t="str">
            <v>В-00783/КЛ.Транш - 5</v>
          </cell>
          <cell r="C925" t="str">
            <v>leonidkovrik@yandex.ru</v>
          </cell>
        </row>
        <row r="926">
          <cell r="A926" t="str">
            <v>Ковтун Денис Александрович</v>
          </cell>
          <cell r="B926" t="str">
            <v>В-27086/КЛ.Транш - 1</v>
          </cell>
          <cell r="D926" t="str">
            <v>legalservices26@mail.ru</v>
          </cell>
        </row>
        <row r="927">
          <cell r="A927" t="str">
            <v>Ковылин Герман Олегович</v>
          </cell>
          <cell r="B927" t="str">
            <v>А-03533/АЗ_А-20210517/Ц</v>
          </cell>
          <cell r="C927" t="str">
            <v>1362802@mail.ru</v>
          </cell>
          <cell r="D927" t="str">
            <v>1362802@mail.ru</v>
          </cell>
        </row>
        <row r="928">
          <cell r="A928" t="str">
            <v>Ковылин Герман Олегович</v>
          </cell>
          <cell r="B928" t="str">
            <v>Т-01681/АЗ_Т-20210517/Ц</v>
          </cell>
          <cell r="C928" t="str">
            <v>1362802@mail.ru</v>
          </cell>
          <cell r="D928" t="str">
            <v>1362802@mail.ru</v>
          </cell>
        </row>
        <row r="929">
          <cell r="A929" t="str">
            <v>Кожанов Александр Михайлович</v>
          </cell>
          <cell r="B929" t="str">
            <v>В-19104/КЛ.Транш - 1</v>
          </cell>
          <cell r="D929" t="str">
            <v>koganov1982@mail.ru</v>
          </cell>
        </row>
        <row r="930">
          <cell r="A930" t="str">
            <v>Кожинов Дмитрий Сергеевич</v>
          </cell>
          <cell r="B930" t="str">
            <v>В-28598/КЛ.Транш - 1</v>
          </cell>
          <cell r="D930" t="str">
            <v>dsk@s-d,spb,ru</v>
          </cell>
        </row>
        <row r="931">
          <cell r="A931" t="str">
            <v>Кожухова Наталья Евгеньевна</v>
          </cell>
          <cell r="B931" t="str">
            <v>В-26409/КЛ.Транш - 1</v>
          </cell>
          <cell r="D931" t="str">
            <v>nataly.kozhukhova@gmail.com</v>
          </cell>
        </row>
        <row r="932">
          <cell r="A932" t="str">
            <v>Козин Яков Геннадьевич</v>
          </cell>
          <cell r="B932" t="str">
            <v>В-01131/АЗ_А-20210929/Ц</v>
          </cell>
          <cell r="C932" t="str">
            <v>yakov-kozin@mail.ru</v>
          </cell>
          <cell r="D932" t="str">
            <v>yakov-kozin@mail.ru</v>
          </cell>
        </row>
        <row r="933">
          <cell r="A933" t="str">
            <v>Козлов Александр Борисович</v>
          </cell>
          <cell r="B933" t="str">
            <v>В-09513/КЛ.Транш - 1</v>
          </cell>
          <cell r="C933" t="str">
            <v>aleksk1@yandex.ru</v>
          </cell>
        </row>
        <row r="934">
          <cell r="A934" t="str">
            <v>Козлов Александр Борисович</v>
          </cell>
          <cell r="B934" t="str">
            <v>В-09513/КЛ.Транш - 2</v>
          </cell>
          <cell r="C934" t="str">
            <v>aleksk1@yandex.ru</v>
          </cell>
        </row>
        <row r="935">
          <cell r="A935" t="str">
            <v>Козлов Александр Борисович</v>
          </cell>
          <cell r="B935" t="str">
            <v>В-09513/КЛ.Транш - 3</v>
          </cell>
          <cell r="C935" t="str">
            <v>aleksk1@yandex.ru</v>
          </cell>
        </row>
        <row r="936">
          <cell r="A936" t="str">
            <v>Козлов Александр Борисович</v>
          </cell>
          <cell r="B936" t="str">
            <v>В-09513/КЛ.Транш - 4</v>
          </cell>
          <cell r="C936" t="str">
            <v>aleksk1@yandex.ru</v>
          </cell>
        </row>
        <row r="937">
          <cell r="A937" t="str">
            <v>Козлов Иван Александрович</v>
          </cell>
          <cell r="B937" t="str">
            <v>В-14546/КЛ.Транш - 1</v>
          </cell>
          <cell r="D937" t="str">
            <v>mypower84@mail.ru</v>
          </cell>
        </row>
        <row r="938">
          <cell r="A938" t="str">
            <v>Козубекова Наргиза Жапарбаевна</v>
          </cell>
          <cell r="B938" t="str">
            <v>В-16728/КЛ.Транш - 1</v>
          </cell>
          <cell r="D938" t="str">
            <v>nkuxbekova@mail.ru</v>
          </cell>
        </row>
        <row r="939">
          <cell r="A939" t="str">
            <v>Козырев Павел Борисович</v>
          </cell>
          <cell r="B939" t="str">
            <v>В-09397/КЛ.Транш - 2</v>
          </cell>
          <cell r="C939" t="str">
            <v>7054048@gmail.com</v>
          </cell>
        </row>
        <row r="940">
          <cell r="A940" t="str">
            <v>Кокина Татьяна Викторовна</v>
          </cell>
          <cell r="B940" t="str">
            <v>В-15583/КЛ.Транш - 1</v>
          </cell>
        </row>
        <row r="941">
          <cell r="A941" t="str">
            <v>Коконев Николай Александрович</v>
          </cell>
          <cell r="B941" t="str">
            <v>В-11713/КЛ.Транш - 1</v>
          </cell>
          <cell r="C941" t="str">
            <v>nakols_75@mail.ru</v>
          </cell>
        </row>
        <row r="942">
          <cell r="A942" t="str">
            <v>Колебанова Екатерина Александровна</v>
          </cell>
          <cell r="B942" t="str">
            <v>В-12880/КЛ.Транш - 1</v>
          </cell>
          <cell r="D942" t="str">
            <v>ekat.92@mail.ru</v>
          </cell>
        </row>
        <row r="943">
          <cell r="A943" t="str">
            <v>Колесников Евгений Михайлович</v>
          </cell>
          <cell r="B943" t="str">
            <v>В-18921/КЛ.Транш - 1</v>
          </cell>
          <cell r="D943" t="str">
            <v>omegairkutsk@mail/ru</v>
          </cell>
        </row>
        <row r="944">
          <cell r="A944" t="str">
            <v>Колесников Михаил Вячеславович</v>
          </cell>
          <cell r="B944" t="str">
            <v>В-28090/АЗ</v>
          </cell>
          <cell r="D944" t="str">
            <v>voles_84@bk.ru</v>
          </cell>
        </row>
        <row r="945">
          <cell r="A945" t="str">
            <v>Колобашкин Андрей Владимирович</v>
          </cell>
          <cell r="B945" t="str">
            <v>В-22663/КЛ.Транш - 1</v>
          </cell>
          <cell r="C945" t="str">
            <v>NANO_1971@MAIL.RU</v>
          </cell>
        </row>
        <row r="946">
          <cell r="A946" t="str">
            <v>Колосков Александр Михайлович</v>
          </cell>
          <cell r="B946" t="str">
            <v>В-15668/КЛ.Транш - 1</v>
          </cell>
          <cell r="C946" t="str">
            <v>koloskova1971@mail.ru</v>
          </cell>
        </row>
        <row r="947">
          <cell r="A947" t="str">
            <v>Колпаков Антон Валерьевич</v>
          </cell>
          <cell r="B947" t="str">
            <v>В-19880/КЛ.Транш - 1</v>
          </cell>
          <cell r="D947" t="str">
            <v>kolpakov.anton.v@gmail.com</v>
          </cell>
        </row>
        <row r="948">
          <cell r="A948" t="str">
            <v>Колпакова Валерия Викторовна</v>
          </cell>
          <cell r="B948" t="str">
            <v>В-20572/КЛ.Транш - 1</v>
          </cell>
          <cell r="D948" t="str">
            <v>velerykolpakova@mail.ru</v>
          </cell>
        </row>
        <row r="949">
          <cell r="A949" t="str">
            <v>Колпакова Валерия Викторовна</v>
          </cell>
          <cell r="B949" t="str">
            <v>В-20572/КЛ.Транш - 2</v>
          </cell>
          <cell r="D949" t="str">
            <v>velerykolpakova@mail.ru</v>
          </cell>
        </row>
        <row r="950">
          <cell r="A950" t="str">
            <v>Кольчицкий Захар Викторович</v>
          </cell>
          <cell r="B950" t="str">
            <v>В-11334/КЛ.Транш - 1</v>
          </cell>
          <cell r="C950" t="str">
            <v>itu123434@gmail.com</v>
          </cell>
        </row>
        <row r="951">
          <cell r="A951" t="str">
            <v>Комаров Андрей Сергеевич</v>
          </cell>
          <cell r="B951" t="str">
            <v>В-26776/КЛ.Транш - 1</v>
          </cell>
          <cell r="D951" t="str">
            <v>andrey-kom@bk.ru</v>
          </cell>
        </row>
        <row r="952">
          <cell r="A952" t="str">
            <v>Комаров Евгений Николаевич</v>
          </cell>
          <cell r="B952" t="str">
            <v>В-25401/КЛ.Транш - 1</v>
          </cell>
          <cell r="D952" t="str">
            <v>evgen.k.e.n@mail.ru</v>
          </cell>
        </row>
        <row r="953">
          <cell r="A953" t="str">
            <v>Комаров Роман Иванович</v>
          </cell>
          <cell r="B953" t="str">
            <v>В-00884/КЛ.Транш - 1</v>
          </cell>
          <cell r="C953" t="str">
            <v>RETAIL2000@RAMBLER.RU</v>
          </cell>
        </row>
        <row r="954">
          <cell r="A954" t="str">
            <v>Комаров Роман Иванович</v>
          </cell>
          <cell r="B954" t="str">
            <v>В-00884/КЛ.Транш - 2</v>
          </cell>
          <cell r="C954" t="str">
            <v>RETAIL2000@RAMBLER.RU</v>
          </cell>
        </row>
        <row r="955">
          <cell r="A955" t="str">
            <v>Комарова Марина Владимировна</v>
          </cell>
          <cell r="B955" t="str">
            <v>В-11630/КЛ.Транш - 1</v>
          </cell>
          <cell r="C955" t="str">
            <v>FMV.81@mail.ru</v>
          </cell>
        </row>
        <row r="956">
          <cell r="A956" t="str">
            <v>Кондратьев Андрей Александрович</v>
          </cell>
          <cell r="B956" t="str">
            <v>В-16933/КЛ.Транш - 1</v>
          </cell>
          <cell r="D956" t="str">
            <v>21_24_27@mail.ru</v>
          </cell>
        </row>
        <row r="957">
          <cell r="A957" t="str">
            <v>Кондратьев Андрей Александрович</v>
          </cell>
          <cell r="B957" t="str">
            <v>В-16933/КЛ.Транш - 2</v>
          </cell>
          <cell r="D957" t="str">
            <v>21_24_27@mail.ru</v>
          </cell>
        </row>
        <row r="958">
          <cell r="A958" t="str">
            <v>Кондратюк Алексей Николаевич</v>
          </cell>
          <cell r="B958" t="str">
            <v>В-24308/КЛ.Транш - 1</v>
          </cell>
          <cell r="D958" t="str">
            <v>ank6813434@mail.ru</v>
          </cell>
        </row>
        <row r="959">
          <cell r="A959" t="str">
            <v>Кондратюк Алексей Николаевич</v>
          </cell>
          <cell r="B959" t="str">
            <v>В-24308/КЛ.Транш - 2</v>
          </cell>
          <cell r="D959" t="str">
            <v>ank6813434@mail.ru</v>
          </cell>
        </row>
        <row r="960">
          <cell r="A960" t="str">
            <v>Кондрашов Василий Игоревич</v>
          </cell>
          <cell r="B960" t="str">
            <v>В-16455/КЛ.Транш - 1</v>
          </cell>
          <cell r="D960" t="str">
            <v>vasian2021@mail.ru</v>
          </cell>
        </row>
        <row r="961">
          <cell r="A961" t="str">
            <v>Конев Сергей Арсентьевич</v>
          </cell>
          <cell r="B961" t="str">
            <v>В-01184/АЗ</v>
          </cell>
        </row>
        <row r="962">
          <cell r="A962" t="str">
            <v>Конокотин Леонид Викторович</v>
          </cell>
          <cell r="B962" t="str">
            <v>А-05308/АЗ_В-20211230/Ц</v>
          </cell>
        </row>
        <row r="963">
          <cell r="A963" t="str">
            <v>Конуркин Сергей Сергеевич</v>
          </cell>
          <cell r="B963" t="str">
            <v>В-27646/КЛ.Транш - 1</v>
          </cell>
          <cell r="D963" t="str">
            <v>konurckin.serega.2017@yandex.ru</v>
          </cell>
        </row>
        <row r="964">
          <cell r="A964" t="str">
            <v>Кончаков Дмитрий Валерьевич</v>
          </cell>
          <cell r="B964" t="str">
            <v>В-20592/КЛ.Транш - 4</v>
          </cell>
          <cell r="D964" t="str">
            <v>Dimazhelubev@gmail.com</v>
          </cell>
        </row>
        <row r="965">
          <cell r="A965" t="str">
            <v>Копытман Александр Семенович</v>
          </cell>
          <cell r="B965" t="str">
            <v>В-17469/КЛ.Транш - 1</v>
          </cell>
        </row>
        <row r="966">
          <cell r="A966" t="str">
            <v>Копытман Александр Семенович</v>
          </cell>
          <cell r="B966" t="str">
            <v>В-17469/КЛ.Транш - 2</v>
          </cell>
        </row>
        <row r="967">
          <cell r="A967" t="str">
            <v>Корелов Виктор Алексеевич</v>
          </cell>
          <cell r="B967" t="str">
            <v>В-22911/КЛ.Транш - 2</v>
          </cell>
          <cell r="C967" t="str">
            <v>al128@yandex.ru</v>
          </cell>
        </row>
        <row r="968">
          <cell r="A968" t="str">
            <v>Коржев Александр Сергеевич</v>
          </cell>
          <cell r="B968" t="str">
            <v>В-03758/КЛ.Транш - 1</v>
          </cell>
          <cell r="C968" t="str">
            <v>Cahek47rus@icloud.com</v>
          </cell>
        </row>
        <row r="969">
          <cell r="A969" t="str">
            <v>Коркина Елена Александровна</v>
          </cell>
          <cell r="B969" t="str">
            <v>В-19991/КЛ.Транш - 1</v>
          </cell>
          <cell r="C969" t="str">
            <v>lenochka9509@mail.ru</v>
          </cell>
        </row>
        <row r="970">
          <cell r="A970" t="str">
            <v>Коркина Елена Александровна</v>
          </cell>
          <cell r="B970" t="str">
            <v>В-19991/КЛ.Транш - 2</v>
          </cell>
          <cell r="C970" t="str">
            <v>lenochka9509@mail.ru</v>
          </cell>
        </row>
        <row r="971">
          <cell r="A971" t="str">
            <v>Коркина Елена Александровна</v>
          </cell>
          <cell r="B971" t="str">
            <v>В-19991/КЛ.Транш - 3</v>
          </cell>
          <cell r="C971" t="str">
            <v>lenochka9509@mail.ru</v>
          </cell>
        </row>
        <row r="972">
          <cell r="A972" t="str">
            <v>Кормилицын Максим Геннадиевич</v>
          </cell>
          <cell r="B972" t="str">
            <v>В-28252/КЛ.Транш - 1</v>
          </cell>
          <cell r="D972" t="str">
            <v>maksimkormilitsyn@gmail.com</v>
          </cell>
        </row>
        <row r="973">
          <cell r="A973" t="str">
            <v>Корнач Антон Владимирович</v>
          </cell>
          <cell r="B973" t="str">
            <v>В-07328/КЛ.Транш - 1</v>
          </cell>
          <cell r="C973" t="str">
            <v>a.kornach@mail.ru</v>
          </cell>
          <cell r="D973" t="str">
            <v>a.kornach@mail.ru</v>
          </cell>
        </row>
        <row r="974">
          <cell r="A974" t="str">
            <v>Корнач Антон Владимирович</v>
          </cell>
          <cell r="B974" t="str">
            <v>В-07328/КЛ.Транш - 2</v>
          </cell>
          <cell r="C974" t="str">
            <v>a.kornach@mail.ru</v>
          </cell>
          <cell r="D974" t="str">
            <v>a.kornach@mail.ru</v>
          </cell>
        </row>
        <row r="975">
          <cell r="A975" t="str">
            <v>Корниенко Андрей Юрьевич</v>
          </cell>
          <cell r="B975" t="str">
            <v>В-03846/КЛ.Транш - 1</v>
          </cell>
          <cell r="C975" t="str">
            <v>kornienko.a@kccrus.ru</v>
          </cell>
        </row>
        <row r="976">
          <cell r="A976" t="str">
            <v>Корниенко Андрей Юрьевич</v>
          </cell>
          <cell r="B976" t="str">
            <v>В-03846/КЛ.Транш - 2</v>
          </cell>
          <cell r="C976" t="str">
            <v>kornienko.a@kccrus.ru</v>
          </cell>
        </row>
        <row r="977">
          <cell r="A977" t="str">
            <v>Корнилов Александр Дмитриевич</v>
          </cell>
          <cell r="B977" t="str">
            <v>В-22352/АЗ</v>
          </cell>
          <cell r="C977" t="str">
            <v>sash-kornilov@yandex.ru</v>
          </cell>
        </row>
        <row r="978">
          <cell r="A978" t="str">
            <v>Корнилова Алена Константиновна</v>
          </cell>
          <cell r="B978" t="str">
            <v>В-19681/КЛ.Транш - 1</v>
          </cell>
          <cell r="D978" t="str">
            <v>a.k.kornilova@gmail.com</v>
          </cell>
        </row>
        <row r="979">
          <cell r="A979" t="str">
            <v>Корнилова Наталия Владимировна</v>
          </cell>
          <cell r="B979" t="str">
            <v>В-18496/КЛ.Транш - 1</v>
          </cell>
          <cell r="D979" t="str">
            <v>natalinail1219@gmail.com</v>
          </cell>
        </row>
        <row r="980">
          <cell r="A980" t="str">
            <v>Корносенков Евгений Алексеевич</v>
          </cell>
          <cell r="B980" t="str">
            <v>В-09290/КЛ.Транш - 1</v>
          </cell>
        </row>
        <row r="981">
          <cell r="A981" t="str">
            <v>Королёв Дмитрий Евгеньевич</v>
          </cell>
          <cell r="B981" t="str">
            <v>А-00035/БЭ</v>
          </cell>
          <cell r="C981" t="str">
            <v>ksmarket@bk.ru</v>
          </cell>
        </row>
        <row r="982">
          <cell r="A982" t="str">
            <v>Королев Максим Владимирович</v>
          </cell>
          <cell r="B982" t="str">
            <v>В-00586/АЗ_В-20211230/Ц</v>
          </cell>
        </row>
        <row r="983">
          <cell r="A983" t="str">
            <v>Королёв Сергей Николаевич</v>
          </cell>
          <cell r="B983" t="str">
            <v>В-18141/КЛ.Транш - 1</v>
          </cell>
          <cell r="D983" t="str">
            <v>g.danton@mail.ru</v>
          </cell>
        </row>
        <row r="984">
          <cell r="A984" t="str">
            <v>Король Маргарита Игоревна</v>
          </cell>
          <cell r="B984" t="str">
            <v>В-22935/КЛ.Транш - 1</v>
          </cell>
          <cell r="C984" t="str">
            <v>ritylyakorol@mail.ru</v>
          </cell>
          <cell r="D984" t="str">
            <v>ritylyakorol@mail.ru</v>
          </cell>
        </row>
        <row r="985">
          <cell r="A985" t="str">
            <v>Король Маргарита Игоревна</v>
          </cell>
          <cell r="B985" t="str">
            <v>В-22935/КЛ.Транш - 2</v>
          </cell>
          <cell r="C985" t="str">
            <v>ritylyakorol@mail.ru</v>
          </cell>
          <cell r="D985" t="str">
            <v>ritylyakorol@mail.ru</v>
          </cell>
        </row>
        <row r="986">
          <cell r="A986" t="str">
            <v>Коростелкина Татьяна Владимировна</v>
          </cell>
          <cell r="B986" t="str">
            <v>В-19070/КЛ.Транш - 2</v>
          </cell>
          <cell r="D986" t="str">
            <v>tatuxa88@gmail.com</v>
          </cell>
        </row>
        <row r="987">
          <cell r="A987" t="str">
            <v>Коростелкина Татьяна Владимировна</v>
          </cell>
          <cell r="B987" t="str">
            <v>В-19070/КЛ.Транш - 3</v>
          </cell>
          <cell r="D987" t="str">
            <v>tatuxa88@gmail.com</v>
          </cell>
        </row>
        <row r="988">
          <cell r="A988" t="str">
            <v>Коростелкина Татьяна Владимировна</v>
          </cell>
          <cell r="B988" t="str">
            <v>В-19070/КЛ.Транш - 4</v>
          </cell>
          <cell r="D988" t="str">
            <v>tatuxa88@gmail.com</v>
          </cell>
        </row>
        <row r="989">
          <cell r="A989" t="str">
            <v>Корчагина Татьяна Юрьевна</v>
          </cell>
          <cell r="B989" t="str">
            <v>В-00992/АЗ_А-20210929/Ц</v>
          </cell>
        </row>
        <row r="990">
          <cell r="A990" t="str">
            <v>Косарева Надежда Николаевна</v>
          </cell>
          <cell r="B990" t="str">
            <v>В-01191/АЗ</v>
          </cell>
          <cell r="C990" t="str">
            <v>nadyn@list.ru</v>
          </cell>
          <cell r="D990" t="str">
            <v>nadyn@list.ru</v>
          </cell>
        </row>
        <row r="991">
          <cell r="A991" t="str">
            <v>Косинова Мария Евгеньевна</v>
          </cell>
          <cell r="B991" t="str">
            <v>А-05332/АЗ_А-20210517/Ц</v>
          </cell>
        </row>
        <row r="992">
          <cell r="A992" t="str">
            <v>Косинова Мария Евгеньевна</v>
          </cell>
          <cell r="B992" t="str">
            <v>Т-01797/АЗ_Т-20210517/Ц</v>
          </cell>
        </row>
        <row r="993">
          <cell r="A993" t="str">
            <v>Костанян Нерсик Арамович</v>
          </cell>
          <cell r="B993" t="str">
            <v>В-01152/АЗ</v>
          </cell>
          <cell r="C993" t="str">
            <v>8109900@mail.ru</v>
          </cell>
        </row>
        <row r="994">
          <cell r="A994" t="str">
            <v>Кострыгина Юлия Викторовна</v>
          </cell>
          <cell r="B994" t="str">
            <v>В-22100/КЛ.Транш - 1</v>
          </cell>
          <cell r="D994" t="str">
            <v>tanyeli-00@mail.ru</v>
          </cell>
        </row>
        <row r="995">
          <cell r="A995" t="str">
            <v>Кострюков Сергей Вячеславович</v>
          </cell>
          <cell r="B995" t="str">
            <v>В-24021/КЛ.Транш - 1</v>
          </cell>
          <cell r="D995" t="str">
            <v>Dail86@yandex.ru</v>
          </cell>
        </row>
        <row r="996">
          <cell r="A996" t="str">
            <v>Котелло Марина Юрьевна</v>
          </cell>
          <cell r="B996" t="str">
            <v>В-09928/КЛ.Транш - 1</v>
          </cell>
          <cell r="C996" t="str">
            <v>Nelubova_777@mail.ru</v>
          </cell>
        </row>
        <row r="997">
          <cell r="A997" t="str">
            <v>Котляров Алексей Дмитриевич</v>
          </cell>
          <cell r="B997" t="str">
            <v>В-05611/КЛ.Транш - 1</v>
          </cell>
          <cell r="C997" t="str">
            <v>holter3@mail.ru</v>
          </cell>
        </row>
        <row r="998">
          <cell r="A998" t="str">
            <v>Котов Руслан Геннадьевич</v>
          </cell>
          <cell r="B998" t="str">
            <v>В-12740/КЛ.Транш - 2</v>
          </cell>
        </row>
        <row r="999">
          <cell r="A999" t="str">
            <v>Коханов Андрей Валентинович</v>
          </cell>
          <cell r="B999" t="str">
            <v>В-08513/КЛ.Транш - 1</v>
          </cell>
          <cell r="C999" t="str">
            <v>KOXANOV67@MAIL.RU</v>
          </cell>
        </row>
        <row r="1000">
          <cell r="A1000" t="str">
            <v>Коцуба Андрей Сергеевич</v>
          </cell>
          <cell r="B1000" t="str">
            <v>В-00737/АЗ</v>
          </cell>
        </row>
        <row r="1001">
          <cell r="A1001" t="str">
            <v>Кочарян Саргис Сетракович</v>
          </cell>
          <cell r="B1001" t="str">
            <v>В-13219/КЛ.Транш - 1</v>
          </cell>
        </row>
        <row r="1002">
          <cell r="A1002" t="str">
            <v>Кочнева Наталья Николаевна</v>
          </cell>
          <cell r="B1002" t="str">
            <v>В-21666/КЛ.Транш - 1</v>
          </cell>
          <cell r="D1002" t="str">
            <v>natusya77783@mail.ru</v>
          </cell>
        </row>
        <row r="1003">
          <cell r="A1003" t="str">
            <v>Кошевой Андрей Анатольевич</v>
          </cell>
          <cell r="B1003" t="str">
            <v>В-02029/КЛ.Транш - 2</v>
          </cell>
          <cell r="C1003" t="str">
            <v>andrei-hazikov@mail.ru</v>
          </cell>
        </row>
        <row r="1004">
          <cell r="A1004" t="str">
            <v>Кошевой Андрей Анатольевич</v>
          </cell>
          <cell r="B1004" t="str">
            <v>В-26318/КЛ.Транш - 1</v>
          </cell>
          <cell r="C1004" t="str">
            <v>andrei-hazikov@mail.ru</v>
          </cell>
        </row>
        <row r="1005">
          <cell r="A1005" t="str">
            <v>Кошелева Светлана Сергеевна</v>
          </cell>
          <cell r="B1005" t="str">
            <v>В-23633/КЛ.Транш - 1</v>
          </cell>
          <cell r="D1005" t="str">
            <v>Kosheleva018@yandex.ru</v>
          </cell>
        </row>
        <row r="1006">
          <cell r="A1006" t="str">
            <v>Кравченко Вера Юрьевна</v>
          </cell>
          <cell r="B1006" t="str">
            <v>В-05725/КЛ.Транш - 5</v>
          </cell>
          <cell r="C1006" t="str">
            <v>vera-kravchenko-89@yandex.ru</v>
          </cell>
        </row>
        <row r="1007">
          <cell r="A1007" t="str">
            <v>Кравченко Вера Юрьевна</v>
          </cell>
          <cell r="B1007" t="str">
            <v>В-05725/КЛ.Транш - 6</v>
          </cell>
          <cell r="C1007" t="str">
            <v>vera-kravchenko-89@yandex.ru</v>
          </cell>
        </row>
        <row r="1008">
          <cell r="A1008" t="str">
            <v>Кравченко Владимир Николаевич</v>
          </cell>
          <cell r="B1008" t="str">
            <v>В-21960/КЛ.Транш - 1</v>
          </cell>
          <cell r="D1008" t="str">
            <v>kravchenkov11@yandex.ru</v>
          </cell>
        </row>
        <row r="1009">
          <cell r="A1009" t="str">
            <v>Кравченко Владимир Николаевич</v>
          </cell>
          <cell r="B1009" t="str">
            <v>В-21960/КЛ.Транш - 2</v>
          </cell>
          <cell r="D1009" t="str">
            <v>kravchenkov11@yandex.ru</v>
          </cell>
        </row>
        <row r="1010">
          <cell r="A1010" t="str">
            <v>Кравчук Андрей Николаевич</v>
          </cell>
          <cell r="B1010" t="str">
            <v>В-14094/КЛ.Транш - 2</v>
          </cell>
          <cell r="D1010" t="str">
            <v>andrei.kravchyk1981@mail.ry</v>
          </cell>
        </row>
        <row r="1011">
          <cell r="A1011" t="str">
            <v>Крайнева Марина Александровна</v>
          </cell>
          <cell r="B1011" t="str">
            <v>В-28684/КЛ.Транш - 1</v>
          </cell>
          <cell r="D1011" t="str">
            <v>marinaaleksandrovna486@gmail.com</v>
          </cell>
        </row>
        <row r="1012">
          <cell r="A1012" t="str">
            <v>КРАЙСАВТО ООО</v>
          </cell>
          <cell r="B1012" t="str">
            <v>В-00083/КЭ.Транш - 1</v>
          </cell>
        </row>
        <row r="1013">
          <cell r="A1013" t="str">
            <v>Красников Константин Михайлович</v>
          </cell>
          <cell r="B1013" t="str">
            <v>В-26099/КЛ.Транш - 1</v>
          </cell>
          <cell r="C1013" t="str">
            <v>Kmkrasnikov@mail.ru</v>
          </cell>
        </row>
        <row r="1014">
          <cell r="A1014" t="str">
            <v>Красников Константин Михайлович</v>
          </cell>
          <cell r="B1014" t="str">
            <v>В-26099/КЛ.Транш - 2</v>
          </cell>
          <cell r="C1014" t="str">
            <v>Kmkrasnikov@mail.ru</v>
          </cell>
        </row>
        <row r="1015">
          <cell r="A1015" t="str">
            <v>Краснов Николай Викторович</v>
          </cell>
          <cell r="B1015" t="str">
            <v>В-07706/КЛ.Транш - 1</v>
          </cell>
          <cell r="C1015" t="str">
            <v>krasnovnikolai132@gmail.com</v>
          </cell>
        </row>
        <row r="1016">
          <cell r="A1016" t="str">
            <v>Краснокутская Ирина Анатольевна</v>
          </cell>
          <cell r="B1016" t="str">
            <v>В-26649/АЗ</v>
          </cell>
          <cell r="C1016" t="str">
            <v>krasnokutskaya_19@icloud.com</v>
          </cell>
          <cell r="D1016" t="str">
            <v>krasnokutskaya_19@icloud.com</v>
          </cell>
        </row>
        <row r="1017">
          <cell r="A1017" t="str">
            <v>Краснокутский Анатолий Владимирович</v>
          </cell>
          <cell r="B1017" t="str">
            <v>В-26651/АЗ</v>
          </cell>
        </row>
        <row r="1018">
          <cell r="A1018" t="str">
            <v>Креатив дизайн ООО</v>
          </cell>
          <cell r="B1018" t="str">
            <v>А-00375/КЭ.Транш - 1</v>
          </cell>
          <cell r="C1018" t="str">
            <v>sokoarus@gmail.com</v>
          </cell>
        </row>
        <row r="1019">
          <cell r="A1019" t="str">
            <v>Кривотулов Дмитрий Александрович</v>
          </cell>
          <cell r="B1019" t="str">
            <v>В-02402/КЛ.Транш - 1</v>
          </cell>
          <cell r="C1019" t="str">
            <v>dmitrysoul11@yandex.ru</v>
          </cell>
        </row>
        <row r="1020">
          <cell r="A1020" t="str">
            <v>Крикунов Тимофей Николаевич</v>
          </cell>
          <cell r="B1020" t="str">
            <v>В-07632/КЛ.Транш - 1</v>
          </cell>
          <cell r="C1020" t="str">
            <v>krikun7575@gmail.com</v>
          </cell>
        </row>
        <row r="1021">
          <cell r="A1021" t="str">
            <v>КРОШКИ ООО</v>
          </cell>
          <cell r="B1021" t="str">
            <v>А-00211/КЭ.Транш - 2</v>
          </cell>
        </row>
        <row r="1022">
          <cell r="A1022" t="str">
            <v>Круглов Иван Семёнович</v>
          </cell>
          <cell r="B1022" t="str">
            <v>В-23438/АЗ</v>
          </cell>
          <cell r="C1022" t="str">
            <v>m9037997362@yandex.ru</v>
          </cell>
          <cell r="D1022" t="str">
            <v>m9037997362@yandex.ru</v>
          </cell>
        </row>
        <row r="1023">
          <cell r="A1023" t="str">
            <v>Крутова Наталья Владимировна</v>
          </cell>
          <cell r="B1023" t="str">
            <v>В-04182/КЛ.Транш - 1</v>
          </cell>
          <cell r="C1023" t="str">
            <v>n.krutova@list.ru</v>
          </cell>
        </row>
        <row r="1024">
          <cell r="A1024" t="str">
            <v>Крутова Наталья Владимировна</v>
          </cell>
          <cell r="B1024" t="str">
            <v>В-04182/КЛ.Транш - 2</v>
          </cell>
          <cell r="C1024" t="str">
            <v>n.krutova@list.ru</v>
          </cell>
        </row>
        <row r="1025">
          <cell r="A1025" t="str">
            <v>Крыгин Илья Владимирович</v>
          </cell>
          <cell r="B1025" t="str">
            <v>В-18715/КЛ.Транш - 1</v>
          </cell>
          <cell r="D1025" t="str">
            <v>kiv524@rambler.ru</v>
          </cell>
        </row>
        <row r="1026">
          <cell r="A1026" t="str">
            <v>Крыгин Илья Владимирович</v>
          </cell>
          <cell r="B1026" t="str">
            <v>В-18715/КЛ.Транш - 2</v>
          </cell>
          <cell r="D1026" t="str">
            <v>kiv524@rambler.ru</v>
          </cell>
        </row>
        <row r="1027">
          <cell r="A1027" t="str">
            <v>Крыгин Илья Владимирович</v>
          </cell>
          <cell r="B1027" t="str">
            <v>В-18715/КЛ.Транш - 4</v>
          </cell>
          <cell r="D1027" t="str">
            <v>kiv524@rambler.ru</v>
          </cell>
        </row>
        <row r="1028">
          <cell r="A1028" t="str">
            <v>Крюков Сергей Викторович</v>
          </cell>
          <cell r="B1028" t="str">
            <v>А-05392/АЗ</v>
          </cell>
          <cell r="C1028" t="str">
            <v>7968869@mail.ru</v>
          </cell>
          <cell r="D1028" t="str">
            <v>7968869@mail.ru</v>
          </cell>
        </row>
        <row r="1029">
          <cell r="A1029" t="str">
            <v>Крюков Сергей Викторович</v>
          </cell>
          <cell r="B1029" t="str">
            <v>В-00280/КЛ.Транш - 1</v>
          </cell>
          <cell r="C1029" t="str">
            <v>7968869@mail.ru</v>
          </cell>
          <cell r="D1029" t="str">
            <v>7968869@mail.ru</v>
          </cell>
        </row>
        <row r="1030">
          <cell r="A1030" t="str">
            <v>Крюков Сергей Викторович</v>
          </cell>
          <cell r="B1030" t="str">
            <v>В-00280/КЛ.Транш - 2</v>
          </cell>
          <cell r="C1030" t="str">
            <v>7968869@mail.ru</v>
          </cell>
          <cell r="D1030" t="str">
            <v>7968869@mail.ru</v>
          </cell>
        </row>
        <row r="1031">
          <cell r="A1031" t="str">
            <v>Крюков Сергей Викторович</v>
          </cell>
          <cell r="B1031" t="str">
            <v>Т-01827/АЗ_Т-20211028/Ц</v>
          </cell>
          <cell r="C1031" t="str">
            <v>7968869@mail.ru</v>
          </cell>
          <cell r="D1031" t="str">
            <v>7968869@mail.ru</v>
          </cell>
        </row>
        <row r="1032">
          <cell r="A1032" t="str">
            <v>Крючковский Сергей Владиславович</v>
          </cell>
          <cell r="B1032" t="str">
            <v>В-25457/КЛ.Транш - 1</v>
          </cell>
          <cell r="D1032" t="str">
            <v>kruhkov83@mail.ru</v>
          </cell>
        </row>
        <row r="1033">
          <cell r="A1033" t="str">
            <v>Кудаев Марат Арсенович</v>
          </cell>
          <cell r="B1033" t="str">
            <v>В-24596/АЗ</v>
          </cell>
        </row>
        <row r="1034">
          <cell r="A1034" t="str">
            <v>Кудрин Роман Анатольевич</v>
          </cell>
          <cell r="B1034" t="str">
            <v>В-25529/КЛ.Транш - 1</v>
          </cell>
          <cell r="D1034" t="str">
            <v>Kydrin11786@yanbex.ru</v>
          </cell>
        </row>
        <row r="1035">
          <cell r="A1035" t="str">
            <v>Кудрявцев Геннадий Владимирович</v>
          </cell>
          <cell r="B1035" t="str">
            <v>В-12548/КЛ.Транш - 2_В-20211230/Ц</v>
          </cell>
          <cell r="C1035" t="str">
            <v>wanadiu35@rambler.ru</v>
          </cell>
          <cell r="D1035" t="str">
            <v>wanadiu35@rambler.ru</v>
          </cell>
        </row>
        <row r="1036">
          <cell r="A1036" t="str">
            <v>Кудряшов Савва Романович</v>
          </cell>
          <cell r="B1036" t="str">
            <v>В-25573/КЛ.Транш - 1</v>
          </cell>
        </row>
        <row r="1037">
          <cell r="A1037" t="str">
            <v>Кудряшов Савва Романович</v>
          </cell>
          <cell r="B1037" t="str">
            <v>В-25573/КЛ.Транш - 2</v>
          </cell>
        </row>
        <row r="1038">
          <cell r="A1038" t="str">
            <v>Кузнецов Алексей Анатольевич</v>
          </cell>
          <cell r="B1038" t="str">
            <v>В-22048/КЛ.Транш - 1</v>
          </cell>
          <cell r="D1038" t="str">
            <v>aleksej19770312@mail.ru</v>
          </cell>
        </row>
        <row r="1039">
          <cell r="A1039" t="str">
            <v>Кузнецов Иван Михайлович</v>
          </cell>
          <cell r="B1039" t="str">
            <v>В-16516/КЛ.Транш - 1</v>
          </cell>
          <cell r="C1039" t="str">
            <v>ivan@ikuznetsov.com</v>
          </cell>
        </row>
        <row r="1040">
          <cell r="A1040" t="str">
            <v>Кузнецов Иван Михайлович</v>
          </cell>
          <cell r="B1040" t="str">
            <v>В-16516/КЛ.Транш - 2</v>
          </cell>
          <cell r="C1040" t="str">
            <v>ivan@ikuznetsov.com</v>
          </cell>
        </row>
        <row r="1041">
          <cell r="A1041" t="str">
            <v>Кузнецов Иван Михайлович</v>
          </cell>
          <cell r="B1041" t="str">
            <v>В-16516/КЛ.Транш - 3</v>
          </cell>
          <cell r="C1041" t="str">
            <v>ivan@ikuznetsov.com</v>
          </cell>
        </row>
        <row r="1042">
          <cell r="A1042" t="str">
            <v>Кузнецов Иван Михайлович</v>
          </cell>
          <cell r="B1042" t="str">
            <v>В-16516/КЛ.Транш - 4</v>
          </cell>
          <cell r="C1042" t="str">
            <v>ivan@ikuznetsov.com</v>
          </cell>
        </row>
        <row r="1043">
          <cell r="A1043" t="str">
            <v>Кузнецов Иван Михайлович</v>
          </cell>
          <cell r="B1043" t="str">
            <v>В-16516/КЛ.Транш - 5</v>
          </cell>
          <cell r="C1043" t="str">
            <v>ivan@ikuznetsov.com</v>
          </cell>
        </row>
        <row r="1044">
          <cell r="A1044" t="str">
            <v>Кузнецов Иван Михайлович</v>
          </cell>
          <cell r="B1044" t="str">
            <v>В-16516/КЛ.Транш - 6</v>
          </cell>
          <cell r="C1044" t="str">
            <v>ivan@ikuznetsov.com</v>
          </cell>
        </row>
        <row r="1045">
          <cell r="A1045" t="str">
            <v>Кузнецов Иван Михайлович</v>
          </cell>
          <cell r="B1045" t="str">
            <v>В-16516/КЛ.Транш - 7</v>
          </cell>
          <cell r="C1045" t="str">
            <v>ivan@ikuznetsov.com</v>
          </cell>
        </row>
        <row r="1046">
          <cell r="A1046" t="str">
            <v>Кузнецова Александра Николаевна</v>
          </cell>
          <cell r="B1046" t="str">
            <v>В-22683/КЛ.Транш - 1</v>
          </cell>
          <cell r="C1046" t="str">
            <v>alexandra1999@inbox.ru</v>
          </cell>
          <cell r="D1046" t="str">
            <v>alexandra1999@inbox.ru</v>
          </cell>
        </row>
        <row r="1047">
          <cell r="A1047" t="str">
            <v>Кузнецова Екатерина Владиславовна</v>
          </cell>
          <cell r="B1047" t="str">
            <v>В-18929/КЛ.Транш - 1</v>
          </cell>
          <cell r="D1047" t="str">
            <v>kotic91@mail.ru</v>
          </cell>
        </row>
        <row r="1048">
          <cell r="A1048" t="str">
            <v>Кузнецова Елена Витальевна</v>
          </cell>
          <cell r="B1048" t="str">
            <v>А-10026/БЭ</v>
          </cell>
          <cell r="C1048" t="str">
            <v>helena218@mail.ru</v>
          </cell>
          <cell r="D1048" t="str">
            <v>helena218@mail.ru</v>
          </cell>
        </row>
        <row r="1049">
          <cell r="A1049" t="str">
            <v>Кузнецова Ирина Геннадьевна</v>
          </cell>
          <cell r="B1049" t="str">
            <v>В-04395/КЛ.Транш - 4</v>
          </cell>
          <cell r="C1049" t="str">
            <v>irinakuznetsova1963@gmail.com</v>
          </cell>
        </row>
        <row r="1050">
          <cell r="A1050" t="str">
            <v>Кузнецова Юлия Сергеевна</v>
          </cell>
          <cell r="B1050" t="str">
            <v>В-06920/КЛ.Транш - 1</v>
          </cell>
          <cell r="C1050" t="str">
            <v>kuznetsova.logistik@gmail.com</v>
          </cell>
        </row>
        <row r="1051">
          <cell r="A1051" t="str">
            <v>Кузнецова Юлия Сергеевна</v>
          </cell>
          <cell r="B1051" t="str">
            <v>В-06920/КЛ.Транш - 2</v>
          </cell>
          <cell r="C1051" t="str">
            <v>kuznetsova.logistik@gmail.com</v>
          </cell>
        </row>
        <row r="1052">
          <cell r="A1052" t="str">
            <v>Кузнецова Юлия Сергеевна</v>
          </cell>
          <cell r="B1052" t="str">
            <v>В-06920/КЛ.Транш - 3</v>
          </cell>
          <cell r="C1052" t="str">
            <v>kuznetsova.logistik@gmail.com</v>
          </cell>
        </row>
        <row r="1053">
          <cell r="A1053" t="str">
            <v>Кузьменко Антон Алексеевич</v>
          </cell>
          <cell r="B1053" t="str">
            <v>В-22010/КЛ.Транш - 1</v>
          </cell>
          <cell r="D1053" t="str">
            <v>ank79.79@mail.ru</v>
          </cell>
        </row>
        <row r="1054">
          <cell r="A1054" t="str">
            <v>Кузьмин Михаил Юрьевич</v>
          </cell>
          <cell r="B1054" t="str">
            <v>В-12113/КЛ.Транш - 1</v>
          </cell>
        </row>
        <row r="1055">
          <cell r="A1055" t="str">
            <v>Кузьмичев Иван Сергеевич</v>
          </cell>
          <cell r="B1055" t="str">
            <v>В-20731/КЛ.Транш - 1</v>
          </cell>
          <cell r="D1055" t="str">
            <v>Kuznichev_ivan@mail.ru</v>
          </cell>
        </row>
        <row r="1056">
          <cell r="A1056" t="str">
            <v>Кузьмичев Иван Сергеевич</v>
          </cell>
          <cell r="B1056" t="str">
            <v>В-20731/КЛ.Транш - 2</v>
          </cell>
          <cell r="D1056" t="str">
            <v>Kuznichev_ivan@mail.ru</v>
          </cell>
        </row>
        <row r="1057">
          <cell r="A1057" t="str">
            <v>Кузьмичев Иван Сергеевич</v>
          </cell>
          <cell r="B1057" t="str">
            <v>В-20731/КЛ.Транш - 3</v>
          </cell>
          <cell r="D1057" t="str">
            <v>Kuznichev_ivan@mail.ru</v>
          </cell>
        </row>
        <row r="1058">
          <cell r="A1058" t="str">
            <v>Кузьмичев Иван Сергеевич</v>
          </cell>
          <cell r="B1058" t="str">
            <v>В-20731/КЛ.Транш - 4</v>
          </cell>
          <cell r="D1058" t="str">
            <v>Kuznichev_ivan@mail.ru</v>
          </cell>
        </row>
        <row r="1059">
          <cell r="A1059" t="str">
            <v>Кузьмичев Иван Сергеевич</v>
          </cell>
          <cell r="B1059" t="str">
            <v>В-20731/КЛ.Транш - 5</v>
          </cell>
          <cell r="D1059" t="str">
            <v>Kuznichev_ivan@mail.ru</v>
          </cell>
        </row>
        <row r="1060">
          <cell r="A1060" t="str">
            <v>Куканов Максим Владимирович</v>
          </cell>
          <cell r="B1060" t="str">
            <v>В-25914/КЛ.Транш - 1</v>
          </cell>
          <cell r="C1060" t="str">
            <v>kukanov_maksim@mail.ru</v>
          </cell>
          <cell r="D1060" t="str">
            <v>kukanov_maksim@mail.ru</v>
          </cell>
        </row>
        <row r="1061">
          <cell r="A1061" t="str">
            <v>Куксова Елена Юрьевна</v>
          </cell>
          <cell r="B1061" t="str">
            <v>В-12163/КЛ.Транш - 1</v>
          </cell>
          <cell r="D1061" t="str">
            <v>vanillakuks@mail.ru</v>
          </cell>
        </row>
        <row r="1062">
          <cell r="A1062" t="str">
            <v>Куксова Елена Юрьевна</v>
          </cell>
          <cell r="B1062" t="str">
            <v>В-12163/КЛ.Транш - 2</v>
          </cell>
          <cell r="D1062" t="str">
            <v>vanillakuks@mail.ru</v>
          </cell>
        </row>
        <row r="1063">
          <cell r="A1063" t="str">
            <v>Кукушкин Сергей Петрович</v>
          </cell>
          <cell r="B1063" t="str">
            <v>В-03460/КЛ.Транш - 1</v>
          </cell>
          <cell r="C1063" t="str">
            <v>skukuskin054@gmail.com</v>
          </cell>
        </row>
        <row r="1064">
          <cell r="A1064" t="str">
            <v>Купряков Алексей Игоревич</v>
          </cell>
          <cell r="B1064" t="str">
            <v>В-01210/АЗ</v>
          </cell>
          <cell r="C1064" t="str">
            <v>Joker-design@mail.ru</v>
          </cell>
        </row>
        <row r="1065">
          <cell r="A1065" t="str">
            <v>Куразян Гарий Рафаэлович</v>
          </cell>
          <cell r="B1065" t="str">
            <v>В-20384/КЛ.Транш - 1</v>
          </cell>
          <cell r="D1065" t="str">
            <v>garoamge@icloud.com</v>
          </cell>
        </row>
        <row r="1066">
          <cell r="A1066" t="str">
            <v>Куренкова Марина Анатольевна</v>
          </cell>
          <cell r="B1066" t="str">
            <v>В-08270/КЛ.Транш - 1</v>
          </cell>
          <cell r="C1066" t="str">
            <v>olgasorokina67@bk.ru</v>
          </cell>
        </row>
        <row r="1067">
          <cell r="A1067" t="str">
            <v>Курехян Жорж Эдуардович</v>
          </cell>
          <cell r="B1067" t="str">
            <v>В-24366/КЛ.Транш - 1</v>
          </cell>
        </row>
        <row r="1068">
          <cell r="A1068" t="str">
            <v>Курмаев Виталий Юрьевич</v>
          </cell>
          <cell r="B1068" t="str">
            <v>В-11882/КЛ.Транш - 1</v>
          </cell>
          <cell r="C1068" t="str">
            <v>qzorky@mail.ru</v>
          </cell>
        </row>
        <row r="1069">
          <cell r="A1069" t="str">
            <v>Курмаев Виталий Юрьевич</v>
          </cell>
          <cell r="B1069" t="str">
            <v>В-11882/КЛ.Транш - 2</v>
          </cell>
          <cell r="C1069" t="str">
            <v>qzorky@mail.ru</v>
          </cell>
        </row>
        <row r="1070">
          <cell r="A1070" t="str">
            <v>Курмаев Виталий Юрьевич</v>
          </cell>
          <cell r="B1070" t="str">
            <v>В-11882/КЛ.Транш - 3</v>
          </cell>
          <cell r="C1070" t="str">
            <v>qzorky@mail.ru</v>
          </cell>
        </row>
        <row r="1071">
          <cell r="A1071" t="str">
            <v>Курнакова Надежда Александровна</v>
          </cell>
          <cell r="B1071" t="str">
            <v>В-23897/КЛ.Транш - 1</v>
          </cell>
          <cell r="C1071" t="str">
            <v>kurnakova.n@mail.ru</v>
          </cell>
          <cell r="D1071" t="str">
            <v>kurnakova.n@mail.ru</v>
          </cell>
        </row>
        <row r="1072">
          <cell r="A1072" t="str">
            <v>Куров Владимир Грацианович</v>
          </cell>
          <cell r="B1072" t="str">
            <v>В-26742/КЛ.Транш - 1</v>
          </cell>
          <cell r="C1072" t="str">
            <v>amdnew@mail.ru</v>
          </cell>
        </row>
        <row r="1073">
          <cell r="A1073" t="str">
            <v>Куров Владимир Грацианович</v>
          </cell>
          <cell r="B1073" t="str">
            <v>В-26742/КЛ.Транш - 2</v>
          </cell>
          <cell r="C1073" t="str">
            <v>amdnew@mail.ru</v>
          </cell>
        </row>
        <row r="1074">
          <cell r="A1074" t="str">
            <v>Курышев Дмитрий Александрович</v>
          </cell>
          <cell r="B1074" t="str">
            <v>А-04827/АЗ</v>
          </cell>
          <cell r="C1074" t="str">
            <v>dkurishev@mail.ru</v>
          </cell>
          <cell r="D1074" t="str">
            <v>dkurishev@mail.ru</v>
          </cell>
        </row>
        <row r="1075">
          <cell r="A1075" t="str">
            <v>Кутанов Егор Сергеевич</v>
          </cell>
          <cell r="B1075" t="str">
            <v>В-15451/КЛ.Транш - 1</v>
          </cell>
        </row>
        <row r="1076">
          <cell r="A1076" t="str">
            <v>Кутепов Виктор Николаевич</v>
          </cell>
          <cell r="B1076" t="str">
            <v>В-21933/КЛ.Транш - 1</v>
          </cell>
        </row>
        <row r="1077">
          <cell r="A1077" t="str">
            <v>Кутлуахметов Руслан Зауилович</v>
          </cell>
          <cell r="B1077" t="str">
            <v>В-19791/КЛ.Транш - 1</v>
          </cell>
          <cell r="D1077" t="str">
            <v>Kutluahmetov91@mail.ru</v>
          </cell>
        </row>
        <row r="1078">
          <cell r="A1078" t="str">
            <v>Кучевский Сергей Геннадьевич</v>
          </cell>
          <cell r="B1078" t="str">
            <v>В-00103/КЛ.Транш - 1_В-20211230/Ц</v>
          </cell>
          <cell r="C1078" t="str">
            <v>drive08@mail.ru</v>
          </cell>
        </row>
        <row r="1079">
          <cell r="A1079" t="str">
            <v>Кушнер Сергей Сергеевич</v>
          </cell>
          <cell r="B1079" t="str">
            <v>В-00999/АЗ</v>
          </cell>
          <cell r="C1079" t="str">
            <v>kushner@mail.ru</v>
          </cell>
        </row>
        <row r="1080">
          <cell r="A1080" t="str">
            <v>ЛАВиК ООО</v>
          </cell>
          <cell r="B1080" t="str">
            <v>А-00395/КЭ.Транш - 2</v>
          </cell>
          <cell r="C1080" t="str">
            <v>lavik-2011@mail.ru</v>
          </cell>
        </row>
        <row r="1081">
          <cell r="A1081" t="str">
            <v>ЛАВиК ООО</v>
          </cell>
          <cell r="B1081" t="str">
            <v>А-00395/КЭ.Транш - 3</v>
          </cell>
          <cell r="C1081" t="str">
            <v>lavik-2011@mail.ru</v>
          </cell>
        </row>
        <row r="1082">
          <cell r="A1082" t="str">
            <v>Лаврухин Сергей Валентинович</v>
          </cell>
          <cell r="B1082" t="str">
            <v>В-15251/КЛ.Транш - 1</v>
          </cell>
          <cell r="C1082" t="str">
            <v>9973271@gmail.com</v>
          </cell>
        </row>
        <row r="1083">
          <cell r="A1083" t="str">
            <v>Лаврухин Сергей Валентинович</v>
          </cell>
          <cell r="B1083" t="str">
            <v>В-15251/КЛ.Транш - 2</v>
          </cell>
          <cell r="C1083" t="str">
            <v>9973271@gmail.com</v>
          </cell>
        </row>
        <row r="1084">
          <cell r="A1084" t="str">
            <v>Лаврухин Сергей Валентинович</v>
          </cell>
          <cell r="B1084" t="str">
            <v>В-15251/КЛ.Транш - 3</v>
          </cell>
          <cell r="C1084" t="str">
            <v>9973271@gmail.com</v>
          </cell>
        </row>
        <row r="1085">
          <cell r="A1085" t="str">
            <v>Лазарева Ирина Михайловна</v>
          </cell>
          <cell r="B1085" t="str">
            <v>В-04536/КЛ.Транш - 3</v>
          </cell>
          <cell r="C1085" t="str">
            <v>2730146@mail.ru</v>
          </cell>
          <cell r="D1085" t="str">
            <v>2730146@mail.ru</v>
          </cell>
        </row>
        <row r="1086">
          <cell r="A1086" t="str">
            <v>Лазарева Ирина Михайловна</v>
          </cell>
          <cell r="B1086" t="str">
            <v>В-04536/КЛ.Транш - 4</v>
          </cell>
          <cell r="C1086" t="str">
            <v>2730146@mail.ru</v>
          </cell>
          <cell r="D1086" t="str">
            <v>2730146@mail.ru</v>
          </cell>
        </row>
        <row r="1087">
          <cell r="A1087" t="str">
            <v>Лазарян Давид Игоревич</v>
          </cell>
          <cell r="B1087" t="str">
            <v>В-20200/КЛ.Транш - 1</v>
          </cell>
          <cell r="D1087" t="str">
            <v>lazaryn.david.@bk.ru</v>
          </cell>
        </row>
        <row r="1088">
          <cell r="A1088" t="str">
            <v>Лазарян Давид Игоревич</v>
          </cell>
          <cell r="B1088" t="str">
            <v>В-20200/КЛ.Транш - 2</v>
          </cell>
          <cell r="D1088" t="str">
            <v>lazaryn.david.@bk.ru</v>
          </cell>
        </row>
        <row r="1089">
          <cell r="A1089" t="str">
            <v>Лапенков Дмитрий Владимирович</v>
          </cell>
          <cell r="B1089" t="str">
            <v>В-22082/КЛ.Транш - 1</v>
          </cell>
          <cell r="D1089" t="str">
            <v>dimitry.lapenkov@yandex.ru</v>
          </cell>
        </row>
        <row r="1090">
          <cell r="A1090" t="str">
            <v>Лапин Дмитрий Геннадьевич</v>
          </cell>
          <cell r="B1090" t="str">
            <v>В-17724/КЛ.Транш - 1</v>
          </cell>
          <cell r="D1090" t="str">
            <v>Lapind001@rambler.ru</v>
          </cell>
        </row>
        <row r="1091">
          <cell r="A1091" t="str">
            <v>Лапкин Руслан Евгеньевич</v>
          </cell>
          <cell r="B1091" t="str">
            <v>В-23930/АЗ</v>
          </cell>
          <cell r="C1091" t="str">
            <v>ruslapkin@mail.ru</v>
          </cell>
          <cell r="D1091" t="str">
            <v>ruslapkin@mail.ru</v>
          </cell>
        </row>
        <row r="1092">
          <cell r="A1092" t="str">
            <v>Лапшин Владимир Николаевич</v>
          </cell>
          <cell r="B1092" t="str">
            <v>В-13202/КЛ.Транш - 2</v>
          </cell>
          <cell r="D1092" t="str">
            <v>Lapshinvova@rambler.ru</v>
          </cell>
        </row>
        <row r="1093">
          <cell r="A1093" t="str">
            <v>Лапшин Владимир Николаевич</v>
          </cell>
          <cell r="B1093" t="str">
            <v>В-13202/КЛ.Транш - 3</v>
          </cell>
          <cell r="D1093" t="str">
            <v>Lapshinvova@rambler.ru</v>
          </cell>
        </row>
        <row r="1094">
          <cell r="A1094" t="str">
            <v>Ларина Анна Ильинична</v>
          </cell>
          <cell r="B1094" t="str">
            <v>В-10050/КЛ.Транш - 1</v>
          </cell>
          <cell r="C1094" t="str">
            <v>laarchgroup@gmail.com</v>
          </cell>
        </row>
        <row r="1095">
          <cell r="A1095" t="str">
            <v>Ларичева Ольга Ивановна</v>
          </cell>
          <cell r="B1095" t="str">
            <v>В-25217/КЛ.Транш - 1</v>
          </cell>
          <cell r="D1095" t="str">
            <v>altaytur@bk.ru</v>
          </cell>
        </row>
        <row r="1096">
          <cell r="A1096" t="str">
            <v>Ларчик Денис Владимирович</v>
          </cell>
          <cell r="B1096" t="str">
            <v>В-12033/КЛ.Транш - 1</v>
          </cell>
          <cell r="C1096" t="str">
            <v>zavodmorozova@mail.ru</v>
          </cell>
        </row>
        <row r="1097">
          <cell r="A1097" t="str">
            <v>Лебедев Мирон Робертович</v>
          </cell>
          <cell r="B1097" t="str">
            <v>В-01120/АЗ_А-20210929/Ц</v>
          </cell>
        </row>
        <row r="1098">
          <cell r="A1098" t="str">
            <v>Лебедева Евгения Александровна</v>
          </cell>
          <cell r="B1098" t="str">
            <v>В-20855/КЛ.Транш - 1</v>
          </cell>
          <cell r="D1098" t="str">
            <v>ea_manina@mail.ru</v>
          </cell>
        </row>
        <row r="1099">
          <cell r="A1099" t="str">
            <v>Лебедовский Максим Юрьевич</v>
          </cell>
          <cell r="B1099" t="str">
            <v>В-20046/КЛ.Транш - 1</v>
          </cell>
          <cell r="D1099" t="str">
            <v>makslebnik@gmail.com</v>
          </cell>
        </row>
        <row r="1100">
          <cell r="A1100" t="str">
            <v>Левин Сергей Владимирович</v>
          </cell>
          <cell r="B1100" t="str">
            <v>В-18367/КЛ.Транш - 1</v>
          </cell>
          <cell r="D1100" t="str">
            <v>zurab389@gmail.com</v>
          </cell>
        </row>
        <row r="1101">
          <cell r="A1101" t="str">
            <v>Левин Сергей Сергеевич</v>
          </cell>
          <cell r="B1101" t="str">
            <v>В-11967/КЛ.Транш - 1</v>
          </cell>
          <cell r="C1101" t="str">
            <v>luytyj-88@mail.ru</v>
          </cell>
        </row>
        <row r="1102">
          <cell r="A1102" t="str">
            <v>Левин Сергей Сергеевич</v>
          </cell>
          <cell r="B1102" t="str">
            <v>В-11967/КЛ.Транш - 2</v>
          </cell>
          <cell r="C1102" t="str">
            <v>luytyj-88@mail.ru</v>
          </cell>
        </row>
        <row r="1103">
          <cell r="A1103" t="str">
            <v>Левченков Георгий Михайлович</v>
          </cell>
          <cell r="B1103" t="str">
            <v>В-28436/АЗ</v>
          </cell>
          <cell r="D1103" t="str">
            <v>Levaenkovgeorguy@gmail.com</v>
          </cell>
        </row>
        <row r="1104">
          <cell r="A1104" t="str">
            <v>Леднев Алексей Иванович</v>
          </cell>
          <cell r="B1104" t="str">
            <v>В-13264/КЛ.Транш - 1</v>
          </cell>
          <cell r="D1104" t="str">
            <v>Lednev.79@bk.ru</v>
          </cell>
        </row>
        <row r="1105">
          <cell r="A1105" t="str">
            <v>Леднев Алексей Иванович</v>
          </cell>
          <cell r="B1105" t="str">
            <v>В-13264/КЛ.Транш - 2</v>
          </cell>
          <cell r="D1105" t="str">
            <v>Lednev.79@bk.ru</v>
          </cell>
        </row>
        <row r="1106">
          <cell r="A1106" t="str">
            <v>Леднев Алексей Иванович</v>
          </cell>
          <cell r="B1106" t="str">
            <v>В-13264/КЛ.Транш - 3</v>
          </cell>
          <cell r="D1106" t="str">
            <v>Lednev.79@bk.ru</v>
          </cell>
        </row>
        <row r="1107">
          <cell r="A1107" t="str">
            <v>Леднева Елена Владимировна</v>
          </cell>
          <cell r="B1107" t="str">
            <v>В-04294/КЛ.Транш - 2</v>
          </cell>
          <cell r="C1107" t="str">
            <v>lednewae@mail.ru</v>
          </cell>
        </row>
        <row r="1108">
          <cell r="A1108" t="str">
            <v>Леднева Елена Владимировна</v>
          </cell>
          <cell r="B1108" t="str">
            <v>В-04294/КЛ.Транш - 3</v>
          </cell>
          <cell r="C1108" t="str">
            <v>lednewae@mail.ru</v>
          </cell>
        </row>
        <row r="1109">
          <cell r="A1109" t="str">
            <v>Лекторова Екатерина Николаевна</v>
          </cell>
          <cell r="B1109" t="str">
            <v>В-12098/КЛ.Транш - 1</v>
          </cell>
          <cell r="C1109" t="str">
            <v>katerinka-nikolaevna@mail.ru</v>
          </cell>
        </row>
        <row r="1110">
          <cell r="A1110" t="str">
            <v>Лекторова Екатерина Николаевна</v>
          </cell>
          <cell r="B1110" t="str">
            <v>В-12098/КЛ.Транш - 2</v>
          </cell>
          <cell r="C1110" t="str">
            <v>katerinka-nikolaevna@mail.ru</v>
          </cell>
        </row>
        <row r="1111">
          <cell r="A1111" t="str">
            <v>Лемкин Николай Иванович</v>
          </cell>
          <cell r="B1111" t="str">
            <v>В-26664/КЛ.Транш - 1</v>
          </cell>
          <cell r="D1111" t="str">
            <v>nikolaylemkin0771@gmail.com</v>
          </cell>
        </row>
        <row r="1112">
          <cell r="A1112" t="str">
            <v>Леонова Юлия Вячеславовна</v>
          </cell>
          <cell r="B1112" t="str">
            <v>В-27287/КЛ.Транш - 1</v>
          </cell>
          <cell r="D1112" t="str">
            <v>leonova89.89@inbox.ru</v>
          </cell>
        </row>
        <row r="1113">
          <cell r="A1113" t="str">
            <v>Лещев Андрей Николаевич</v>
          </cell>
          <cell r="B1113" t="str">
            <v>В-15085/КЛ.Транш - 1</v>
          </cell>
          <cell r="C1113" t="str">
            <v>5202008@mail.ru</v>
          </cell>
        </row>
        <row r="1114">
          <cell r="A1114" t="str">
            <v>Лещинский Михаил Дмитриевич</v>
          </cell>
          <cell r="B1114" t="str">
            <v>В-01107/АЗ</v>
          </cell>
          <cell r="C1114" t="str">
            <v>3080743@mail.ru</v>
          </cell>
          <cell r="D1114" t="str">
            <v>3080743@mail.ru</v>
          </cell>
        </row>
        <row r="1115">
          <cell r="A1115" t="str">
            <v>Ли Юлия Олеговна</v>
          </cell>
          <cell r="B1115" t="str">
            <v>В-17171/КЛ.Транш - 2</v>
          </cell>
          <cell r="D1115" t="str">
            <v>rea1477@yandex.ru</v>
          </cell>
        </row>
        <row r="1116">
          <cell r="A1116" t="str">
            <v>Ливанов Игорь Викторович</v>
          </cell>
          <cell r="B1116" t="str">
            <v>В-20381/КЛ.Транш - 1</v>
          </cell>
          <cell r="C1116" t="str">
            <v>appletreeshop@yandex.ru</v>
          </cell>
          <cell r="D1116" t="str">
            <v>appletreeshop@yandex.ru</v>
          </cell>
        </row>
        <row r="1117">
          <cell r="A1117" t="str">
            <v>ЛИДЕР ГРУПП ООО</v>
          </cell>
          <cell r="B1117" t="str">
            <v>В-00011/КЭ.Транш - 1_А-20210929/Ц</v>
          </cell>
          <cell r="C1117" t="str">
            <v>buh@leader-groupp.ru</v>
          </cell>
        </row>
        <row r="1118">
          <cell r="A1118" t="str">
            <v>Линник Борис Владимирович</v>
          </cell>
          <cell r="B1118" t="str">
            <v>В-26761/АЗ</v>
          </cell>
          <cell r="C1118" t="str">
            <v>borismockva79@mail.ru</v>
          </cell>
          <cell r="D1118" t="str">
            <v>borismockva79@mail.ru</v>
          </cell>
        </row>
        <row r="1119">
          <cell r="A1119" t="str">
            <v>Линючев Дмитрий Владимирович</v>
          </cell>
          <cell r="B1119" t="str">
            <v>В-27442/АЗ</v>
          </cell>
          <cell r="D1119" t="str">
            <v>Dmitry.linyuchev@mail.ru</v>
          </cell>
        </row>
        <row r="1120">
          <cell r="A1120" t="str">
            <v>Липатова Марина Александровна</v>
          </cell>
          <cell r="B1120" t="str">
            <v>В-26233/КЛ.Транш - 1</v>
          </cell>
          <cell r="D1120" t="str">
            <v>lipatovama@mail.ru</v>
          </cell>
        </row>
        <row r="1121">
          <cell r="A1121" t="str">
            <v>Липницкая Калерия Алексеевна</v>
          </cell>
          <cell r="B1121" t="str">
            <v>В-14310/КЛ.Транш - 1</v>
          </cell>
          <cell r="D1121" t="str">
            <v>pichugina.kalia@yandex.ru</v>
          </cell>
        </row>
        <row r="1122">
          <cell r="A1122" t="str">
            <v>Лисичкина Елена Александровна</v>
          </cell>
          <cell r="B1122" t="str">
            <v>В-00044/КЛ.Транш - 1</v>
          </cell>
          <cell r="C1122" t="str">
            <v>e.mvk2013@yandex.ru</v>
          </cell>
        </row>
        <row r="1123">
          <cell r="A1123" t="str">
            <v>Литвинов Дмитрий Геннадьевич</v>
          </cell>
          <cell r="B1123" t="str">
            <v>В-11277/КЛ.Транш - 1</v>
          </cell>
          <cell r="C1123" t="str">
            <v>dimalit@rambler.ru</v>
          </cell>
        </row>
        <row r="1124">
          <cell r="A1124" t="str">
            <v>Литвинов Дмитрий Геннадьевич</v>
          </cell>
          <cell r="B1124" t="str">
            <v>В-11277/КЛ.Транш - 2</v>
          </cell>
          <cell r="C1124" t="str">
            <v>dimalit@rambler.ru</v>
          </cell>
        </row>
        <row r="1125">
          <cell r="A1125" t="str">
            <v>Литвинова Екатерина Викторовна</v>
          </cell>
          <cell r="B1125" t="str">
            <v>В-05260/КЛ.Транш - 3</v>
          </cell>
          <cell r="C1125" t="str">
            <v>6107599@mail.ru</v>
          </cell>
        </row>
        <row r="1126">
          <cell r="A1126" t="str">
            <v>Лихачева Мария Николаевна</v>
          </cell>
          <cell r="B1126" t="str">
            <v>В-22057/КЛ.Транш - 1</v>
          </cell>
          <cell r="D1126" t="str">
            <v>9144493888@mail.ru</v>
          </cell>
        </row>
        <row r="1127">
          <cell r="A1127" t="str">
            <v>Лихачева Мария Николаевна</v>
          </cell>
          <cell r="B1127" t="str">
            <v>В-22057/КЛ.Транш - 2</v>
          </cell>
          <cell r="D1127" t="str">
            <v>9144493888@mail.ru</v>
          </cell>
        </row>
        <row r="1128">
          <cell r="A1128" t="str">
            <v>Лобачев Дмитрий Анатольевич</v>
          </cell>
          <cell r="B1128" t="str">
            <v>А-05212/АЗ</v>
          </cell>
          <cell r="C1128" t="str">
            <v>studio4d@yandex.ru</v>
          </cell>
          <cell r="D1128" t="str">
            <v>studio4d@yandex.ru</v>
          </cell>
        </row>
        <row r="1129">
          <cell r="A1129" t="str">
            <v>Логачева Светлана Юрьевна</v>
          </cell>
          <cell r="B1129" t="str">
            <v>А-03766/АЗ</v>
          </cell>
          <cell r="C1129" t="str">
            <v>LANA77785@MAIL.RU</v>
          </cell>
          <cell r="D1129" t="str">
            <v>LANA77785@MAIL.RU</v>
          </cell>
        </row>
        <row r="1130">
          <cell r="A1130" t="str">
            <v>Логвинчук Василий Святославович</v>
          </cell>
          <cell r="B1130" t="str">
            <v>В-18366/КЛ.Транш - 1</v>
          </cell>
          <cell r="D1130" t="str">
            <v>svyatoslavovih@icloud.com</v>
          </cell>
        </row>
        <row r="1131">
          <cell r="A1131" t="str">
            <v>Логинова Татьяна Анатольевна</v>
          </cell>
          <cell r="B1131" t="str">
            <v>В-24967/АЗ</v>
          </cell>
          <cell r="D1131" t="str">
            <v>Serejke70ru@gmail.com</v>
          </cell>
        </row>
        <row r="1132">
          <cell r="A1132" t="str">
            <v>Лого-Трейд ООО</v>
          </cell>
          <cell r="B1132" t="str">
            <v>В-00036/КЭ.Транш - 2</v>
          </cell>
        </row>
        <row r="1133">
          <cell r="A1133" t="str">
            <v>Лого-Трейд Смоленск ООО</v>
          </cell>
          <cell r="B1133" t="str">
            <v>В-00078/КЭ.Транш - 1</v>
          </cell>
        </row>
        <row r="1134">
          <cell r="A1134" t="str">
            <v>Ложкин Денис Юрьевич</v>
          </cell>
          <cell r="B1134" t="str">
            <v>В-22642/КЛ.Транш - 1</v>
          </cell>
          <cell r="C1134" t="str">
            <v>denis.simsim0315@yandex.ru</v>
          </cell>
          <cell r="D1134" t="str">
            <v>denis.simsim0315@yandex.ru</v>
          </cell>
        </row>
        <row r="1135">
          <cell r="A1135" t="str">
            <v>Локшина Ольга Владимировна</v>
          </cell>
          <cell r="B1135" t="str">
            <v>В-23919/КЛ.Транш - 1</v>
          </cell>
          <cell r="D1135" t="str">
            <v>olga.lokshina@list.ru</v>
          </cell>
        </row>
        <row r="1136">
          <cell r="A1136" t="str">
            <v>Ломакин Александр Валерьевич</v>
          </cell>
          <cell r="B1136" t="str">
            <v>В-26357/АЗ</v>
          </cell>
          <cell r="C1136" t="str">
            <v>alexlomak@mail.ru</v>
          </cell>
        </row>
        <row r="1137">
          <cell r="A1137" t="str">
            <v>Ломакин Алексей Алексеевич</v>
          </cell>
          <cell r="B1137" t="str">
            <v>В-20546/КЛ.Транш - 1</v>
          </cell>
          <cell r="D1137" t="str">
            <v>lomaleks825@gmail.com</v>
          </cell>
        </row>
        <row r="1138">
          <cell r="A1138" t="str">
            <v>Ломакина Людмила Викторовна</v>
          </cell>
          <cell r="B1138" t="str">
            <v>В-26394/АЗ</v>
          </cell>
          <cell r="C1138" t="str">
            <v>miss-liudmila@mail.ru</v>
          </cell>
          <cell r="D1138" t="str">
            <v>miss-liudmila@mail.ru</v>
          </cell>
        </row>
        <row r="1139">
          <cell r="A1139" t="str">
            <v>Лотонин Александр Олегович</v>
          </cell>
          <cell r="B1139" t="str">
            <v>В-19585/КЛ.Транш - 1</v>
          </cell>
        </row>
        <row r="1140">
          <cell r="A1140" t="str">
            <v>Луковкин Владимир Федорович</v>
          </cell>
          <cell r="B1140" t="str">
            <v>В-08391/КЛ.Транш - 1_В-20211230/Ц</v>
          </cell>
          <cell r="C1140" t="str">
            <v>vector377@mail.ru</v>
          </cell>
        </row>
        <row r="1141">
          <cell r="A1141" t="str">
            <v>Лукьяненко Руслан Сергеевич</v>
          </cell>
          <cell r="B1141" t="str">
            <v>В-16100/КЛ.Транш - 1</v>
          </cell>
          <cell r="D1141" t="str">
            <v>нет</v>
          </cell>
        </row>
        <row r="1142">
          <cell r="A1142" t="str">
            <v>Лыжин Андрей Анатольевич</v>
          </cell>
          <cell r="B1142" t="str">
            <v>В-14415/КЛ.Транш - 1</v>
          </cell>
          <cell r="C1142" t="str">
            <v>lizhin@rambler.ru</v>
          </cell>
          <cell r="D1142" t="str">
            <v>lizhin@rambler.ru</v>
          </cell>
        </row>
        <row r="1143">
          <cell r="A1143" t="str">
            <v>Лысак Екатерина Дмитриевна</v>
          </cell>
          <cell r="B1143" t="str">
            <v>В-23066/КЛ.Транш - 1</v>
          </cell>
          <cell r="D1143" t="str">
            <v>katyalysak@icloud.com</v>
          </cell>
        </row>
        <row r="1144">
          <cell r="A1144" t="str">
            <v>Лысенкова Инна Ивановна</v>
          </cell>
          <cell r="B1144" t="str">
            <v>В-10123/КЛ.Транш - 6</v>
          </cell>
          <cell r="C1144" t="str">
            <v>innaiff1@yandex.ru</v>
          </cell>
        </row>
        <row r="1145">
          <cell r="A1145" t="str">
            <v>Лысенкова Инна Ивановна</v>
          </cell>
          <cell r="B1145" t="str">
            <v>В-10123/КЛ.Транш - 8</v>
          </cell>
          <cell r="C1145" t="str">
            <v>innaiff1@yandex.ru</v>
          </cell>
        </row>
        <row r="1146">
          <cell r="A1146" t="str">
            <v>Лысенкова Инна Ивановна</v>
          </cell>
          <cell r="B1146" t="str">
            <v>В-10123/КЛ.Транш - 9</v>
          </cell>
          <cell r="C1146" t="str">
            <v>innaiff1@yandex.ru</v>
          </cell>
        </row>
        <row r="1147">
          <cell r="A1147" t="str">
            <v>Лысяк Яна Вадимовна</v>
          </cell>
          <cell r="B1147" t="str">
            <v>В-00175/АЗ_Т-20211028/Ц</v>
          </cell>
        </row>
        <row r="1148">
          <cell r="A1148" t="str">
            <v>Любушкин Сергей Васильевич</v>
          </cell>
          <cell r="B1148" t="str">
            <v>В-02961/КЛ.Транш - 1</v>
          </cell>
        </row>
        <row r="1149">
          <cell r="A1149" t="str">
            <v>Лютов Станислав Анатольевич</v>
          </cell>
          <cell r="B1149" t="str">
            <v>В-16037/КЛ.Транш - 1</v>
          </cell>
          <cell r="C1149" t="str">
            <v>stas.ljutov@gmail.com</v>
          </cell>
          <cell r="D1149" t="str">
            <v>stas.ljutov@gmail.com</v>
          </cell>
        </row>
        <row r="1150">
          <cell r="A1150" t="str">
            <v>Лютов Станислав Анатольевич</v>
          </cell>
          <cell r="B1150" t="str">
            <v>В-16037/КЛ.Транш - 2</v>
          </cell>
          <cell r="C1150" t="str">
            <v>stas.ljutov@gmail.com</v>
          </cell>
          <cell r="D1150" t="str">
            <v>stas.ljutov@gmail.com</v>
          </cell>
        </row>
        <row r="1151">
          <cell r="A1151" t="str">
            <v>Люшняк Владислав Анатольевич</v>
          </cell>
          <cell r="B1151" t="str">
            <v>В-12000/КЛ.Транш - 1</v>
          </cell>
        </row>
        <row r="1152">
          <cell r="A1152" t="str">
            <v>Лякишев Павел Александрович</v>
          </cell>
          <cell r="B1152" t="str">
            <v>В-16242/КЛ.Транш - 2</v>
          </cell>
          <cell r="C1152" t="str">
            <v>Lyakishevpavel@yandex.ru</v>
          </cell>
        </row>
        <row r="1153">
          <cell r="A1153" t="str">
            <v>Лялин Анатолий Геннадьевич</v>
          </cell>
          <cell r="B1153" t="str">
            <v>В-19025/КЛ.Транш - 1</v>
          </cell>
          <cell r="D1153" t="str">
            <v>anatollyalin@yandex.ru</v>
          </cell>
        </row>
        <row r="1154">
          <cell r="A1154" t="str">
            <v>Лямин Сергей Александрович</v>
          </cell>
          <cell r="B1154" t="str">
            <v>В-00814/АЗ</v>
          </cell>
        </row>
        <row r="1155">
          <cell r="A1155" t="str">
            <v>Лянгасова Светлана Юрьевна</v>
          </cell>
          <cell r="B1155" t="str">
            <v>А-04950/АЗ</v>
          </cell>
          <cell r="C1155" t="str">
            <v>koptelovaeleni@yandex.ru</v>
          </cell>
          <cell r="D1155" t="str">
            <v>koptelovaeleni@yandex.ru</v>
          </cell>
        </row>
        <row r="1156">
          <cell r="A1156" t="str">
            <v>Ляхович Александр Александрович</v>
          </cell>
          <cell r="B1156" t="str">
            <v>В-14837/КЛ.Транш - 1</v>
          </cell>
          <cell r="D1156" t="str">
            <v>laa163@icloud.com</v>
          </cell>
        </row>
        <row r="1157">
          <cell r="A1157" t="str">
            <v>Магомедов Ахмед Багаутдинович</v>
          </cell>
          <cell r="B1157" t="str">
            <v>В-18163/КЛ.Транш - 1</v>
          </cell>
          <cell r="C1157" t="str">
            <v>ahmed48975@gmail.com</v>
          </cell>
        </row>
        <row r="1158">
          <cell r="A1158" t="str">
            <v>Магомедов Саид Магомедрасулович</v>
          </cell>
          <cell r="B1158" t="str">
            <v>В-26170/КЛ.Транш - 1</v>
          </cell>
        </row>
        <row r="1159">
          <cell r="A1159" t="str">
            <v>Магомедтагиров Ибрахим Мухамадович</v>
          </cell>
          <cell r="B1159" t="str">
            <v>В-22426/КЛ.Транш - 1</v>
          </cell>
          <cell r="C1159" t="str">
            <v>mmagomedtagirov@internet.ru</v>
          </cell>
          <cell r="D1159" t="str">
            <v>mmagomedtagirov@internet.ru</v>
          </cell>
        </row>
        <row r="1160">
          <cell r="A1160" t="str">
            <v>Мазаев Вадим Викторович</v>
          </cell>
          <cell r="B1160" t="str">
            <v>А-04910/АЗ_А-20200626/Ц</v>
          </cell>
          <cell r="C1160" t="str">
            <v>mazaev-vadim@mail.ru</v>
          </cell>
          <cell r="D1160" t="str">
            <v>mazaev-vadim@mail.ru</v>
          </cell>
        </row>
        <row r="1161">
          <cell r="A1161" t="str">
            <v>Мазнев Алексей Николаевич</v>
          </cell>
          <cell r="B1161" t="str">
            <v>В-08820/КЛ.Транш - 1</v>
          </cell>
          <cell r="C1161" t="str">
            <v>alexey.maznev@gmail.com</v>
          </cell>
        </row>
        <row r="1162">
          <cell r="A1162" t="str">
            <v>Мазориев Рахматуло Саидович</v>
          </cell>
          <cell r="B1162" t="str">
            <v>В-13528/КЛ.Транш - 1</v>
          </cell>
          <cell r="C1162" t="str">
            <v>saidovizh87@gmail.com</v>
          </cell>
          <cell r="D1162" t="str">
            <v>saidovizh87@gmail.com</v>
          </cell>
        </row>
        <row r="1163">
          <cell r="A1163" t="str">
            <v>Мазориев Рахматуло Саидович</v>
          </cell>
          <cell r="B1163" t="str">
            <v>В-13528/КЛ.Транш - 2</v>
          </cell>
          <cell r="C1163" t="str">
            <v>saidovizh87@gmail.com</v>
          </cell>
          <cell r="D1163" t="str">
            <v>saidovizh87@gmail.com</v>
          </cell>
        </row>
        <row r="1164">
          <cell r="A1164" t="str">
            <v>Мазориев Рахматуло Саидович</v>
          </cell>
          <cell r="B1164" t="str">
            <v>В-13528/КЛ.Транш - 3</v>
          </cell>
          <cell r="C1164" t="str">
            <v>saidovizh87@gmail.com</v>
          </cell>
          <cell r="D1164" t="str">
            <v>saidovizh87@gmail.com</v>
          </cell>
        </row>
        <row r="1165">
          <cell r="A1165" t="str">
            <v>Мазуренко Наталья Владимировна</v>
          </cell>
          <cell r="B1165" t="str">
            <v>В-01099/АЗ</v>
          </cell>
          <cell r="C1165" t="str">
            <v>irishka19020@gmail.com</v>
          </cell>
          <cell r="D1165" t="str">
            <v>irishka19020@gmail.com</v>
          </cell>
        </row>
        <row r="1166">
          <cell r="A1166" t="str">
            <v>Мазуренко Наталья Владимировна</v>
          </cell>
          <cell r="B1166" t="str">
            <v>В-01109/АЗ</v>
          </cell>
          <cell r="C1166" t="str">
            <v>irishka19020@gmail.com</v>
          </cell>
          <cell r="D1166" t="str">
            <v>irishka19020@gmail.com</v>
          </cell>
        </row>
        <row r="1167">
          <cell r="A1167" t="str">
            <v>Мазурин Николай Анатольевич</v>
          </cell>
          <cell r="B1167" t="str">
            <v>В-07072/КЛ.Транш - 1</v>
          </cell>
          <cell r="C1167" t="str">
            <v>mazurin.1974@gmail.ru</v>
          </cell>
        </row>
        <row r="1168">
          <cell r="A1168" t="str">
            <v>Мазурин Николай Анатольевич</v>
          </cell>
          <cell r="B1168" t="str">
            <v>В-07072/КЛ.Транш - 2</v>
          </cell>
          <cell r="C1168" t="str">
            <v>mazurin.1974@gmail.ru</v>
          </cell>
        </row>
        <row r="1169">
          <cell r="A1169" t="str">
            <v>Мазурин Николай Анатольевич</v>
          </cell>
          <cell r="B1169" t="str">
            <v>В-07072/КЛ.Транш - 3</v>
          </cell>
          <cell r="C1169" t="str">
            <v>mazurin.1974@gmail.ru</v>
          </cell>
        </row>
        <row r="1170">
          <cell r="A1170" t="str">
            <v>Майоров Олег Владимирович</v>
          </cell>
          <cell r="B1170" t="str">
            <v>В-21219/КЛ.Транш - 1_В-20211230/Ц</v>
          </cell>
        </row>
        <row r="1171">
          <cell r="A1171" t="str">
            <v>Майорова Наталья Вениаминовна</v>
          </cell>
          <cell r="B1171" t="str">
            <v>В-18237/КЛ.Транш - 1_В-20211230/Ц</v>
          </cell>
          <cell r="D1171" t="str">
            <v>Matwej1507@icloud.com</v>
          </cell>
        </row>
        <row r="1172">
          <cell r="A1172" t="str">
            <v>Макаренко Екатерина Васильевна</v>
          </cell>
          <cell r="B1172" t="str">
            <v>В-26950/КЛ.Транш - 1</v>
          </cell>
          <cell r="D1172" t="str">
            <v>makarenko11katia@gmail.com</v>
          </cell>
        </row>
        <row r="1173">
          <cell r="A1173" t="str">
            <v>Макаренко Инна Сергеевна</v>
          </cell>
          <cell r="B1173" t="str">
            <v>В-24037/КЛ.Транш - 1</v>
          </cell>
          <cell r="D1173" t="str">
            <v>inna/makarenko.88@internet.ru</v>
          </cell>
        </row>
        <row r="1174">
          <cell r="A1174" t="str">
            <v>Макаров Алексей Александрович</v>
          </cell>
          <cell r="B1174" t="str">
            <v>В-12294/КЛ.Транш - 1</v>
          </cell>
        </row>
        <row r="1175">
          <cell r="A1175" t="str">
            <v>Макаров Алексей Александрович1</v>
          </cell>
          <cell r="B1175" t="str">
            <v>В-00766/АЗ</v>
          </cell>
          <cell r="C1175" t="str">
            <v>Alexmakarov83@mail.ru</v>
          </cell>
        </row>
        <row r="1176">
          <cell r="A1176" t="str">
            <v>Макаров Станислав Васильевич</v>
          </cell>
          <cell r="B1176" t="str">
            <v>В-01196/АЗ</v>
          </cell>
          <cell r="C1176" t="str">
            <v>shum0506@yandex.ru</v>
          </cell>
          <cell r="D1176" t="str">
            <v>shum0506@yandex.ru</v>
          </cell>
        </row>
        <row r="1177">
          <cell r="A1177" t="str">
            <v>Макарова Ирина Сергеевна</v>
          </cell>
          <cell r="B1177" t="str">
            <v>В-01174/КЛ.Транш - 1</v>
          </cell>
          <cell r="C1177" t="str">
            <v>bogestvo82@yandex.ru</v>
          </cell>
        </row>
        <row r="1178">
          <cell r="A1178" t="str">
            <v>Макс Технолоджис ООО</v>
          </cell>
          <cell r="B1178" t="str">
            <v>В-10027/КЭ.Транш - 1</v>
          </cell>
          <cell r="C1178" t="str">
            <v>Maksimilian.mt@gmail.com</v>
          </cell>
        </row>
        <row r="1179">
          <cell r="A1179" t="str">
            <v>Макси-Строй ООО</v>
          </cell>
          <cell r="B1179" t="str">
            <v>В-00030/КЭ.Транш - 1</v>
          </cell>
          <cell r="C1179" t="str">
            <v>maksi-stroy2018@mail.ru</v>
          </cell>
        </row>
        <row r="1180">
          <cell r="A1180" t="str">
            <v>Малашкин Алексей Игоревич</v>
          </cell>
          <cell r="B1180" t="str">
            <v>В-18924/КЛ.Транш - 1</v>
          </cell>
        </row>
        <row r="1181">
          <cell r="A1181" t="str">
            <v>Малашкин Алексей Игоревич</v>
          </cell>
          <cell r="B1181" t="str">
            <v>В-18924/КЛ.Транш - 2</v>
          </cell>
        </row>
        <row r="1182">
          <cell r="A1182" t="str">
            <v>Малашкин Алексей Игоревич</v>
          </cell>
          <cell r="B1182" t="str">
            <v>В-18924/КЛ.Транш - 3</v>
          </cell>
        </row>
        <row r="1183">
          <cell r="A1183" t="str">
            <v>Малашкин Алексей Игоревич</v>
          </cell>
          <cell r="B1183" t="str">
            <v>В-18924/КЛ.Транш - 4</v>
          </cell>
        </row>
        <row r="1184">
          <cell r="A1184" t="str">
            <v>Малашкин Алексей Игоревич</v>
          </cell>
          <cell r="B1184" t="str">
            <v>В-18924/КЛ.Транш - 5</v>
          </cell>
        </row>
        <row r="1185">
          <cell r="A1185" t="str">
            <v>Маликов Константин Евгеньевич</v>
          </cell>
          <cell r="B1185" t="str">
            <v>В-27544/КЛ.Транш - 1</v>
          </cell>
          <cell r="C1185" t="str">
            <v>dsa_205@mail.ru</v>
          </cell>
        </row>
        <row r="1186">
          <cell r="A1186" t="str">
            <v>Маликов Константин Евгеньевич</v>
          </cell>
          <cell r="B1186" t="str">
            <v>В-27544/КЛ.Транш - 2</v>
          </cell>
          <cell r="C1186" t="str">
            <v>dsa_205@mail.ru</v>
          </cell>
        </row>
        <row r="1187">
          <cell r="A1187" t="str">
            <v>Малинина Оксана Александровна</v>
          </cell>
          <cell r="B1187" t="str">
            <v>В-16432/КЛ.Транш - 1</v>
          </cell>
          <cell r="C1187" t="str">
            <v>Mollii@mail.ru</v>
          </cell>
        </row>
        <row r="1188">
          <cell r="A1188" t="str">
            <v>Малхасян Арарат Балабекович</v>
          </cell>
          <cell r="B1188" t="str">
            <v>В-15138/КЛ.Транш - 1</v>
          </cell>
          <cell r="C1188" t="str">
            <v>ararat2008@gmail.com</v>
          </cell>
          <cell r="D1188" t="str">
            <v>ararat2008@gmail.com</v>
          </cell>
        </row>
        <row r="1189">
          <cell r="A1189" t="str">
            <v>Мамалюк Алексей Михайлович</v>
          </cell>
          <cell r="B1189" t="str">
            <v>В-27434/КЛ.Транш - 1</v>
          </cell>
          <cell r="D1189" t="str">
            <v>alexey@mamaluk.ru</v>
          </cell>
        </row>
        <row r="1190">
          <cell r="A1190" t="str">
            <v>Мамбетов Менглибий Курманбиевич</v>
          </cell>
          <cell r="B1190" t="str">
            <v>В-00355/АЗ</v>
          </cell>
          <cell r="C1190" t="str">
            <v>89312169844@mail.ru</v>
          </cell>
        </row>
        <row r="1191">
          <cell r="A1191" t="str">
            <v>Мамедов Динар Рашид Оглы</v>
          </cell>
          <cell r="B1191" t="str">
            <v>В-05253/КЛ.Транш - 3</v>
          </cell>
        </row>
        <row r="1192">
          <cell r="A1192" t="str">
            <v>Мамедов Динар Рашид Оглы</v>
          </cell>
          <cell r="B1192" t="str">
            <v>В-05253/КЛ.Транш - 4</v>
          </cell>
        </row>
        <row r="1193">
          <cell r="A1193" t="str">
            <v>Мамедов Рамин Алим Оглы</v>
          </cell>
          <cell r="B1193" t="str">
            <v>В-15391/КЛ.Транш - 2</v>
          </cell>
          <cell r="C1193" t="str">
            <v>mamedov749@icloud.com</v>
          </cell>
        </row>
        <row r="1194">
          <cell r="A1194" t="str">
            <v>Мамедов Рамин Алим Оглы</v>
          </cell>
          <cell r="B1194" t="str">
            <v>В-15391/КЛ.Транш - 3</v>
          </cell>
          <cell r="C1194" t="str">
            <v>mamedov749@icloud.com</v>
          </cell>
        </row>
        <row r="1195">
          <cell r="A1195" t="str">
            <v>Мамедов Рамин Алим Оглы</v>
          </cell>
          <cell r="B1195" t="str">
            <v>В-15391/КЛ.Транш - 4</v>
          </cell>
          <cell r="C1195" t="str">
            <v>mamedov749@icloud.com</v>
          </cell>
        </row>
        <row r="1196">
          <cell r="A1196" t="str">
            <v>Мамедов Рамин Алим Оглы</v>
          </cell>
          <cell r="B1196" t="str">
            <v>В-15391/КЛ.Транш - 5</v>
          </cell>
          <cell r="C1196" t="str">
            <v>mamedov749@icloud.com</v>
          </cell>
        </row>
        <row r="1197">
          <cell r="A1197" t="str">
            <v>Мамедов Рамин Алим Оглы</v>
          </cell>
          <cell r="B1197" t="str">
            <v>В-15391/КЛ.Транш - 6</v>
          </cell>
          <cell r="C1197" t="str">
            <v>mamedov749@icloud.com</v>
          </cell>
        </row>
        <row r="1198">
          <cell r="A1198" t="str">
            <v>Мамедова Рагиба Алескер Кызы</v>
          </cell>
          <cell r="B1198" t="str">
            <v>В-27421/КЛ.Транш - 1</v>
          </cell>
          <cell r="D1198" t="str">
            <v>ragiba.mamedova@bk.ru</v>
          </cell>
        </row>
        <row r="1199">
          <cell r="A1199" t="str">
            <v>Мамлина Наталия Андреевна</v>
          </cell>
          <cell r="B1199" t="str">
            <v>В-11605/КЛ.Транш - 1</v>
          </cell>
          <cell r="C1199" t="str">
            <v>2295626@mail.ru</v>
          </cell>
        </row>
        <row r="1200">
          <cell r="A1200" t="str">
            <v>Манаенко Ольга Владимировна</v>
          </cell>
          <cell r="B1200" t="str">
            <v>В-19464/КЛ.Транш - 1</v>
          </cell>
        </row>
        <row r="1201">
          <cell r="A1201" t="str">
            <v>Манасян Ашот Сергеевич</v>
          </cell>
          <cell r="B1201" t="str">
            <v>В-19504/КЛ.Транш - 1</v>
          </cell>
          <cell r="C1201" t="str">
            <v>manasyan.Liza@bk.ru</v>
          </cell>
          <cell r="D1201" t="str">
            <v>manasyan.Liza@bk.ru</v>
          </cell>
        </row>
        <row r="1202">
          <cell r="A1202" t="str">
            <v>Мандров Вячеслав Александрович</v>
          </cell>
          <cell r="B1202" t="str">
            <v>В-24841/КЛ.Транш - 1</v>
          </cell>
          <cell r="D1202" t="str">
            <v>slavik637@yandex.ru</v>
          </cell>
        </row>
        <row r="1203">
          <cell r="A1203" t="str">
            <v>Манин Сергей Викторович</v>
          </cell>
          <cell r="B1203" t="str">
            <v>В-04293/КЛ.Транш - 1</v>
          </cell>
          <cell r="C1203" t="str">
            <v>maninsv2014@yandex.ru</v>
          </cell>
        </row>
        <row r="1204">
          <cell r="A1204" t="str">
            <v>Манукян Артур Агасиевич</v>
          </cell>
          <cell r="B1204" t="str">
            <v>В-15280/КЛ.Транш - 1</v>
          </cell>
          <cell r="D1204" t="str">
            <v>arturman80@gmail.com</v>
          </cell>
        </row>
        <row r="1205">
          <cell r="A1205" t="str">
            <v>Манукян Вардан Эмильевич</v>
          </cell>
          <cell r="B1205" t="str">
            <v>В-00622/АЗ_Т-20211028/Ц</v>
          </cell>
        </row>
        <row r="1206">
          <cell r="A1206" t="str">
            <v>Маренич Иван Евгеньевич</v>
          </cell>
          <cell r="B1206" t="str">
            <v>В-01176/АЗ_В-20211230/Ц</v>
          </cell>
          <cell r="C1206" t="str">
            <v>marenich@teorsez.ru</v>
          </cell>
          <cell r="D1206" t="str">
            <v>marenich@teorsez.ru</v>
          </cell>
        </row>
        <row r="1207">
          <cell r="A1207" t="str">
            <v>Марецкий Андрей Юрьевич</v>
          </cell>
          <cell r="B1207" t="str">
            <v>В-07093/КЛ.Транш - 5</v>
          </cell>
          <cell r="C1207" t="str">
            <v>maretelena@yandex.ru</v>
          </cell>
        </row>
        <row r="1208">
          <cell r="A1208" t="str">
            <v>Марецкий Андрей Юрьевич</v>
          </cell>
          <cell r="B1208" t="str">
            <v>В-07093/КЛ.Транш - 6</v>
          </cell>
          <cell r="C1208" t="str">
            <v>maretelena@yandex.ru</v>
          </cell>
        </row>
        <row r="1209">
          <cell r="A1209" t="str">
            <v>Марков Владислав Владимирович</v>
          </cell>
          <cell r="B1209" t="str">
            <v>В-26247/КЛ.Транш - 1</v>
          </cell>
        </row>
        <row r="1210">
          <cell r="A1210" t="str">
            <v>Маркова Екатерина Викторовна</v>
          </cell>
          <cell r="B1210" t="str">
            <v>В-03615/КЛ.Транш - 1</v>
          </cell>
          <cell r="C1210" t="str">
            <v>katmarkova@yandex.ru</v>
          </cell>
        </row>
        <row r="1211">
          <cell r="A1211" t="str">
            <v>МАРО АРТ ГРУПП ООО</v>
          </cell>
          <cell r="B1211" t="str">
            <v>А-00466/КЭ.Транш - 1</v>
          </cell>
        </row>
        <row r="1212">
          <cell r="A1212" t="str">
            <v>Марочканич Василий Иванович</v>
          </cell>
          <cell r="B1212" t="str">
            <v>В-22386/КЛ.Транш - 1</v>
          </cell>
          <cell r="D1212" t="str">
            <v>metops@lenta.ru</v>
          </cell>
        </row>
        <row r="1213">
          <cell r="A1213" t="str">
            <v>Марочканич Василий Иванович</v>
          </cell>
          <cell r="B1213" t="str">
            <v>В-22386/КЛ.Транш - 2</v>
          </cell>
          <cell r="D1213" t="str">
            <v>metops@lenta.ru</v>
          </cell>
        </row>
        <row r="1214">
          <cell r="A1214" t="str">
            <v>Марочканич Василий Иванович</v>
          </cell>
          <cell r="B1214" t="str">
            <v>В-22386/КЛ.Транш - 3</v>
          </cell>
          <cell r="D1214" t="str">
            <v>metops@lenta.ru</v>
          </cell>
        </row>
        <row r="1215">
          <cell r="A1215" t="str">
            <v>Марочканич Василий Иванович</v>
          </cell>
          <cell r="B1215" t="str">
            <v>В-22386/КЛ.Транш - 4</v>
          </cell>
          <cell r="D1215" t="str">
            <v>metops@lenta.ru</v>
          </cell>
        </row>
        <row r="1216">
          <cell r="A1216" t="str">
            <v>Марочканич Василий Иванович</v>
          </cell>
          <cell r="B1216" t="str">
            <v>В-22386/КЛ.Транш - 5</v>
          </cell>
          <cell r="D1216" t="str">
            <v>metops@lenta.ru</v>
          </cell>
        </row>
        <row r="1217">
          <cell r="A1217" t="str">
            <v>Мартазов Вадим Алексеевич</v>
          </cell>
          <cell r="B1217" t="str">
            <v>В-20497/КЛ.Транш - 1</v>
          </cell>
          <cell r="D1217" t="str">
            <v>martazov1974@mail.ru</v>
          </cell>
        </row>
        <row r="1218">
          <cell r="A1218" t="str">
            <v>Мартазов Вадим Алексеевич</v>
          </cell>
          <cell r="B1218" t="str">
            <v>В-20497/КЛ.Транш - 2</v>
          </cell>
          <cell r="D1218" t="str">
            <v>martazov1974@mail.ru</v>
          </cell>
        </row>
        <row r="1219">
          <cell r="A1219" t="str">
            <v>Мартынко Александра Андреевна</v>
          </cell>
          <cell r="B1219" t="str">
            <v>В-26816/КЛ.Транш - 1</v>
          </cell>
          <cell r="D1219" t="str">
            <v>martynko97@list.ru</v>
          </cell>
        </row>
        <row r="1220">
          <cell r="A1220" t="str">
            <v>Мартынов Максим Анатольевич</v>
          </cell>
          <cell r="B1220" t="str">
            <v>В-25098/КЛ.Транш - 1</v>
          </cell>
          <cell r="D1220" t="str">
            <v>martynov.88@bk.ru</v>
          </cell>
        </row>
        <row r="1221">
          <cell r="A1221" t="str">
            <v>Масальский Александр Михайлович</v>
          </cell>
          <cell r="B1221" t="str">
            <v>В-19475/КЛ.Транш - 1</v>
          </cell>
          <cell r="D1221" t="str">
            <v>masalskiy1955@mail.ru</v>
          </cell>
        </row>
        <row r="1222">
          <cell r="A1222" t="str">
            <v>Масальский Руслан Иванович</v>
          </cell>
          <cell r="B1222" t="str">
            <v>В-12368/КЛ.Транш - 1</v>
          </cell>
          <cell r="D1222" t="str">
            <v>luwoman1775@yandex.ru</v>
          </cell>
        </row>
        <row r="1223">
          <cell r="A1223" t="str">
            <v>Масленникова Екатерина Игоревна</v>
          </cell>
          <cell r="B1223" t="str">
            <v>В-22875/КЛ.Транш - 1</v>
          </cell>
        </row>
        <row r="1224">
          <cell r="A1224" t="str">
            <v>Маслов Андрей Алексеевич</v>
          </cell>
          <cell r="B1224" t="str">
            <v>В-12525/КЛ.Транш - 1</v>
          </cell>
          <cell r="C1224" t="str">
            <v>Maslovaa12345@gmail.com</v>
          </cell>
          <cell r="D1224" t="str">
            <v>Maslovaa12345@gmail.com</v>
          </cell>
        </row>
        <row r="1225">
          <cell r="A1225" t="str">
            <v>Матарыко Александр Валерьевич</v>
          </cell>
          <cell r="B1225" t="str">
            <v>В-21737/КЛ.Транш - 1</v>
          </cell>
        </row>
        <row r="1226">
          <cell r="A1226" t="str">
            <v>Матвеев Александр Иванович</v>
          </cell>
          <cell r="B1226" t="str">
            <v>А-03822/АЗ</v>
          </cell>
        </row>
        <row r="1227">
          <cell r="A1227" t="str">
            <v>Матвеев Алексей Геннадьевич</v>
          </cell>
          <cell r="B1227" t="str">
            <v>В-28329/КЛ.Транш - 1</v>
          </cell>
          <cell r="C1227" t="str">
            <v>Lecaa-matveev@mail.ru</v>
          </cell>
          <cell r="D1227" t="str">
            <v>Lecaa-matveev@mail.ru</v>
          </cell>
        </row>
        <row r="1228">
          <cell r="A1228" t="str">
            <v>Матвеев Андрей Александрович</v>
          </cell>
          <cell r="B1228" t="str">
            <v>В-09795/КЛ.Транш - 1</v>
          </cell>
          <cell r="C1228" t="str">
            <v>andrei.0505@mail.ru</v>
          </cell>
        </row>
        <row r="1229">
          <cell r="A1229" t="str">
            <v>Матвеева Дарья Вячеславовна</v>
          </cell>
          <cell r="B1229" t="str">
            <v>В-13828/КЛ.Транш - 1</v>
          </cell>
          <cell r="C1229" t="str">
            <v>dasha_matveeva111@mail.ru</v>
          </cell>
          <cell r="D1229" t="str">
            <v>dasha_matveeva111@mail.ru</v>
          </cell>
        </row>
        <row r="1230">
          <cell r="A1230" t="str">
            <v>Матиев Шодмон Эргашевич</v>
          </cell>
          <cell r="B1230" t="str">
            <v>А-04352/АЗ</v>
          </cell>
          <cell r="C1230" t="str">
            <v>shodmon74@mail.ru</v>
          </cell>
          <cell r="D1230" t="str">
            <v>shodmon74@mail.ru</v>
          </cell>
        </row>
        <row r="1231">
          <cell r="A1231" t="str">
            <v>Матренин Сергей Викторович</v>
          </cell>
          <cell r="B1231" t="str">
            <v>В-24883/КЛ.Транш - 1</v>
          </cell>
          <cell r="C1231" t="str">
            <v>s.trial2000@yandex.ru</v>
          </cell>
          <cell r="D1231" t="str">
            <v>s.trial2000@yandex.ru</v>
          </cell>
        </row>
        <row r="1232">
          <cell r="A1232" t="str">
            <v>Матренин Сергей Викторович</v>
          </cell>
          <cell r="B1232" t="str">
            <v>В-24883/КЛ.Транш - 2</v>
          </cell>
          <cell r="C1232" t="str">
            <v>s.trial2000@yandex.ru</v>
          </cell>
          <cell r="D1232" t="str">
            <v>s.trial2000@yandex.ru</v>
          </cell>
        </row>
        <row r="1233">
          <cell r="A1233" t="str">
            <v>Матросов Дмитрий Сергеевич</v>
          </cell>
          <cell r="B1233" t="str">
            <v>В-04229/КЛ.Транш - 1</v>
          </cell>
          <cell r="C1233" t="str">
            <v>mds@isnes.ru</v>
          </cell>
        </row>
        <row r="1234">
          <cell r="A1234" t="str">
            <v>Матузов Алексей Викторович</v>
          </cell>
          <cell r="B1234" t="str">
            <v>В-21048/КЛ.Транш - 1</v>
          </cell>
        </row>
        <row r="1235">
          <cell r="A1235" t="str">
            <v>Матченко Олеся Александровна</v>
          </cell>
          <cell r="B1235" t="str">
            <v>В-08204/КЛ.Транш - 1</v>
          </cell>
          <cell r="C1235" t="str">
            <v>kohka1516@gmail.com</v>
          </cell>
        </row>
        <row r="1236">
          <cell r="A1236" t="str">
            <v>Матюнин Алексей Владимирович</v>
          </cell>
          <cell r="B1236" t="str">
            <v>В-01119/АЗ_А-20210929/Ц</v>
          </cell>
          <cell r="C1236" t="str">
            <v>alexbckhimki@mail.ru</v>
          </cell>
        </row>
        <row r="1237">
          <cell r="A1237" t="str">
            <v>Махадибиров Шамиль Магомедханович</v>
          </cell>
          <cell r="B1237" t="str">
            <v>В-27407/КЛ.Транш - 1</v>
          </cell>
          <cell r="D1237" t="str">
            <v>mahadibirov@list.ru</v>
          </cell>
        </row>
        <row r="1238">
          <cell r="A1238" t="str">
            <v>Махмудов Денис Мамедшарифович</v>
          </cell>
          <cell r="B1238" t="str">
            <v>В-25593/КЛ.Транш - 1</v>
          </cell>
          <cell r="D1238" t="str">
            <v>denis.makhmudov@gmail.com</v>
          </cell>
        </row>
        <row r="1239">
          <cell r="A1239" t="str">
            <v>Мацола Артём Иванович</v>
          </cell>
          <cell r="B1239" t="str">
            <v>В-17062/КЛ.Транш - 1</v>
          </cell>
          <cell r="D1239" t="str">
            <v>matsola191285@mail.com</v>
          </cell>
        </row>
        <row r="1240">
          <cell r="A1240" t="str">
            <v>Мацола Артём Иванович</v>
          </cell>
          <cell r="B1240" t="str">
            <v>В-17062/КЛ.Транш - 2</v>
          </cell>
          <cell r="D1240" t="str">
            <v>matsola191285@mail.com</v>
          </cell>
        </row>
        <row r="1241">
          <cell r="A1241" t="str">
            <v>Мацола Артём Иванович</v>
          </cell>
          <cell r="B1241" t="str">
            <v>В-17062/КЛ.Транш - 3</v>
          </cell>
          <cell r="D1241" t="str">
            <v>matsola191285@mail.com</v>
          </cell>
        </row>
        <row r="1242">
          <cell r="A1242" t="str">
            <v>Мачкалян Оганнес Саргисович</v>
          </cell>
          <cell r="B1242" t="str">
            <v>В-00469/АЗ_В-20211230/Ц</v>
          </cell>
          <cell r="C1242" t="str">
            <v>hovhannes.machkalyan@mail.ru</v>
          </cell>
        </row>
        <row r="1243">
          <cell r="A1243" t="str">
            <v>Мачнева Галина Петровна</v>
          </cell>
          <cell r="B1243" t="str">
            <v>В-13104/КЛ.Транш - 1</v>
          </cell>
        </row>
        <row r="1244">
          <cell r="A1244" t="str">
            <v>Машковцев Алексей Валерьевич</v>
          </cell>
          <cell r="B1244" t="str">
            <v>В-18757/КЛ.Транш - 1</v>
          </cell>
          <cell r="D1244" t="str">
            <v>alexey148192007@yandex.ru</v>
          </cell>
        </row>
        <row r="1245">
          <cell r="A1245" t="str">
            <v>Меликян Нона Арменовна</v>
          </cell>
          <cell r="B1245" t="str">
            <v>В-23728/КЛ.Транш - 1</v>
          </cell>
        </row>
        <row r="1246">
          <cell r="A1246" t="str">
            <v>Мелитонян Саят Араевич</v>
          </cell>
          <cell r="B1246" t="str">
            <v>А-04022/АЗ</v>
          </cell>
        </row>
        <row r="1247">
          <cell r="A1247" t="str">
            <v>Мелкумян Масис Владимирович</v>
          </cell>
          <cell r="B1247" t="str">
            <v>В-05425/КЛ.Транш - 1</v>
          </cell>
          <cell r="C1247" t="str">
            <v>masis.masis.mv84@mail.ru</v>
          </cell>
        </row>
        <row r="1248">
          <cell r="A1248" t="str">
            <v>Мелкумян Масис Владимирович</v>
          </cell>
          <cell r="B1248" t="str">
            <v>В-05425/КЛ.Транш - 2</v>
          </cell>
          <cell r="C1248" t="str">
            <v>masis.masis.mv84@mail.ru</v>
          </cell>
        </row>
        <row r="1249">
          <cell r="A1249" t="str">
            <v>Мелоян Вардан Айкович</v>
          </cell>
          <cell r="B1249" t="str">
            <v>В-27878/АЗ</v>
          </cell>
        </row>
        <row r="1250">
          <cell r="A1250" t="str">
            <v>Мельник Дмитрий Петрович</v>
          </cell>
          <cell r="B1250" t="str">
            <v>В-20205/КЛ.Транш - 1</v>
          </cell>
          <cell r="D1250" t="str">
            <v>melay19771471@gmail.com</v>
          </cell>
        </row>
        <row r="1251">
          <cell r="A1251" t="str">
            <v>Мельников Денис Александрович</v>
          </cell>
          <cell r="B1251" t="str">
            <v>В-15682/КЛ.Транш - 1</v>
          </cell>
          <cell r="D1251" t="str">
            <v>mister.denis-melnikov201788@yandex.ru</v>
          </cell>
        </row>
        <row r="1252">
          <cell r="A1252" t="str">
            <v>Мемешев Шабан Юсуфович</v>
          </cell>
          <cell r="B1252" t="str">
            <v>В-17910/КЛ.Транш - 1</v>
          </cell>
          <cell r="D1252" t="str">
            <v>memesevsaban@gmail.com</v>
          </cell>
        </row>
        <row r="1253">
          <cell r="A1253" t="str">
            <v>Меремьянина Мария Николаевна</v>
          </cell>
          <cell r="B1253" t="str">
            <v>В-20342/КЛ.Транш - 3</v>
          </cell>
          <cell r="D1253" t="str">
            <v>modermasha@yandex.ru</v>
          </cell>
        </row>
        <row r="1254">
          <cell r="A1254" t="str">
            <v>Меремьянина Мария Николаевна</v>
          </cell>
          <cell r="B1254" t="str">
            <v>В-20342/КЛ.Транш - 5</v>
          </cell>
          <cell r="D1254" t="str">
            <v>modermasha@yandex.ru</v>
          </cell>
        </row>
        <row r="1255">
          <cell r="A1255" t="str">
            <v>Мерцалов Константин Вадимович</v>
          </cell>
          <cell r="B1255" t="str">
            <v>В-24521/КЛ.Транш - 1</v>
          </cell>
          <cell r="D1255" t="str">
            <v>19mk84@mail.ru</v>
          </cell>
        </row>
        <row r="1256">
          <cell r="A1256" t="str">
            <v>Месропян Аревик Орбеловна</v>
          </cell>
          <cell r="B1256" t="str">
            <v>Т-01885/АЗ_Т-20211028/Ц</v>
          </cell>
          <cell r="C1256" t="str">
            <v>1969arevik@mail.ru</v>
          </cell>
        </row>
        <row r="1257">
          <cell r="A1257" t="str">
            <v>Метлин Семён Петрович</v>
          </cell>
          <cell r="B1257" t="str">
            <v>В-06379/КЛ.Транш - 1</v>
          </cell>
          <cell r="C1257" t="str">
            <v>semen.metlin.88@mail.ru</v>
          </cell>
        </row>
        <row r="1258">
          <cell r="A1258" t="str">
            <v>Мжавия Гела Ленгизович</v>
          </cell>
          <cell r="B1258" t="str">
            <v>В-23424/КЛ.Транш - 1</v>
          </cell>
          <cell r="C1258" t="str">
            <v>g.l.m@mail.ru</v>
          </cell>
          <cell r="D1258" t="str">
            <v>g.l.m@mail.ru</v>
          </cell>
        </row>
        <row r="1259">
          <cell r="A1259" t="str">
            <v>Микаелян Ваге Беникович</v>
          </cell>
          <cell r="B1259" t="str">
            <v>В-12226/КЛ.Транш - 2</v>
          </cell>
          <cell r="D1259" t="str">
            <v>9688230000@mail.ru</v>
          </cell>
        </row>
        <row r="1260">
          <cell r="A1260" t="str">
            <v>Минаев Николай Тамазович</v>
          </cell>
          <cell r="B1260" t="str">
            <v>В-12276/КЛ.Транш - 2</v>
          </cell>
        </row>
        <row r="1261">
          <cell r="A1261" t="str">
            <v>Минаева Елена Викторовна</v>
          </cell>
          <cell r="B1261" t="str">
            <v>В-19326/КЛ.Транш - 1</v>
          </cell>
          <cell r="C1261" t="str">
            <v>lenmin@rambler.ru</v>
          </cell>
        </row>
        <row r="1262">
          <cell r="A1262" t="str">
            <v>Минаева Наталия Анатольевна</v>
          </cell>
          <cell r="B1262" t="str">
            <v>В-17417/КЛ.Транш - 1</v>
          </cell>
          <cell r="D1262" t="str">
            <v>Kutenkovan@mail.ru</v>
          </cell>
        </row>
        <row r="1263">
          <cell r="A1263" t="str">
            <v>Минашвили Юрий Мишаевич</v>
          </cell>
          <cell r="B1263" t="str">
            <v>В-26452/КЛ.Транш - 1</v>
          </cell>
          <cell r="D1263" t="str">
            <v>m_yuriy@internet.ru</v>
          </cell>
        </row>
        <row r="1264">
          <cell r="A1264" t="str">
            <v>Минин Сергей Александрович</v>
          </cell>
          <cell r="B1264" t="str">
            <v>В-20437/КЛ.Транш - 1</v>
          </cell>
          <cell r="D1264" t="str">
            <v>mini2517@bk.ru</v>
          </cell>
        </row>
        <row r="1265">
          <cell r="A1265" t="str">
            <v>Мироненко Вадим Викторович</v>
          </cell>
          <cell r="B1265" t="str">
            <v>В-01061/АЗ</v>
          </cell>
          <cell r="C1265" t="str">
            <v>mironenkovadim1965@yandex.ru</v>
          </cell>
        </row>
        <row r="1266">
          <cell r="A1266" t="str">
            <v>Миронов Александр Александрович</v>
          </cell>
          <cell r="B1266" t="str">
            <v>В-00147/АЗ_Т-20211028/Ц</v>
          </cell>
        </row>
        <row r="1267">
          <cell r="A1267" t="str">
            <v>Мирошниченко Евгений Константинович</v>
          </cell>
          <cell r="B1267" t="str">
            <v>В-16457/КЛ.Транш - 1</v>
          </cell>
          <cell r="C1267" t="str">
            <v>Jekades11@yandex.ru</v>
          </cell>
          <cell r="D1267" t="str">
            <v>Jekades11@yandex.ru</v>
          </cell>
        </row>
        <row r="1268">
          <cell r="A1268" t="str">
            <v>Мисюк Георгий Анатольевич</v>
          </cell>
          <cell r="B1268" t="str">
            <v>В-22309/АЗ</v>
          </cell>
          <cell r="C1268" t="str">
            <v>georgiy.misyuk@mail.ru</v>
          </cell>
        </row>
        <row r="1269">
          <cell r="A1269" t="str">
            <v>Митясов Вячеслав Владимирович</v>
          </cell>
          <cell r="B1269" t="str">
            <v>В-11892/КЛ.Транш - 1_А-20210929/Ц</v>
          </cell>
          <cell r="C1269" t="str">
            <v>KAMAZEO@gmail.com</v>
          </cell>
        </row>
        <row r="1270">
          <cell r="A1270" t="str">
            <v>Михайлик Василий Александрович</v>
          </cell>
          <cell r="B1270" t="str">
            <v>В-23085/КЛ.Транш - 1</v>
          </cell>
          <cell r="D1270" t="str">
            <v>stroisib3@gmail.com</v>
          </cell>
        </row>
        <row r="1271">
          <cell r="A1271" t="str">
            <v>Михалевский Александр Михайлович</v>
          </cell>
          <cell r="B1271" t="str">
            <v>А-05130/АЗ</v>
          </cell>
          <cell r="C1271" t="str">
            <v>virtusalex@yandex.ru</v>
          </cell>
          <cell r="D1271" t="str">
            <v>virtusalex@yandex.ru</v>
          </cell>
        </row>
        <row r="1272">
          <cell r="A1272" t="str">
            <v>Михальчук Анна Евгеньевна</v>
          </cell>
          <cell r="B1272" t="str">
            <v>В-19949/КЛ.Транш - 1</v>
          </cell>
          <cell r="D1272" t="str">
            <v>amikhaluk@mail.ru</v>
          </cell>
        </row>
        <row r="1273">
          <cell r="A1273" t="str">
            <v>Михеев Александр Павлович</v>
          </cell>
          <cell r="B1273" t="str">
            <v>В-21967/КЛ.Транш - 2</v>
          </cell>
          <cell r="D1273" t="str">
            <v>cool.226601@yandex.ru</v>
          </cell>
        </row>
        <row r="1274">
          <cell r="A1274" t="str">
            <v>Михеев Александр Павлович</v>
          </cell>
          <cell r="B1274" t="str">
            <v>В-21967/КЛ.Транш - 3</v>
          </cell>
          <cell r="D1274" t="str">
            <v>cool.226601@yandex.ru</v>
          </cell>
        </row>
        <row r="1275">
          <cell r="A1275" t="str">
            <v>Михеев Александр Павлович</v>
          </cell>
          <cell r="B1275" t="str">
            <v>В-21967/КЛ.Транш - 4</v>
          </cell>
          <cell r="D1275" t="str">
            <v>cool.226601@yandex.ru</v>
          </cell>
        </row>
        <row r="1276">
          <cell r="A1276" t="str">
            <v>Михеев Александр Павлович</v>
          </cell>
          <cell r="B1276" t="str">
            <v>В-21967/КЛ.Транш - 5</v>
          </cell>
          <cell r="D1276" t="str">
            <v>cool.226601@yandex.ru</v>
          </cell>
        </row>
        <row r="1277">
          <cell r="A1277" t="str">
            <v>Мичурин Евгений Алексеевич</v>
          </cell>
          <cell r="B1277" t="str">
            <v>В-09649/КЛ.Транш - 1</v>
          </cell>
        </row>
        <row r="1278">
          <cell r="A1278" t="str">
            <v>Мишин Александр Александрович</v>
          </cell>
          <cell r="B1278" t="str">
            <v>В-07520/КЛ.Транш - 2</v>
          </cell>
        </row>
        <row r="1279">
          <cell r="A1279" t="str">
            <v>Мкртчян Григор Рубикович</v>
          </cell>
          <cell r="B1279" t="str">
            <v>В-07559/КЛ.Транш - 1</v>
          </cell>
          <cell r="C1279" t="str">
            <v>mgr36@mail.ru</v>
          </cell>
        </row>
        <row r="1280">
          <cell r="A1280" t="str">
            <v>Мкртчян Григор Рубикович</v>
          </cell>
          <cell r="B1280" t="str">
            <v>В-07559/КЛ.Транш - 3</v>
          </cell>
          <cell r="C1280" t="str">
            <v>mgr36@mail.ru</v>
          </cell>
        </row>
        <row r="1281">
          <cell r="A1281" t="str">
            <v>Мкртчян Григор Рубикович</v>
          </cell>
          <cell r="B1281" t="str">
            <v>В-07559/КЛ.Транш - 4</v>
          </cell>
          <cell r="C1281" t="str">
            <v>mgr36@mail.ru</v>
          </cell>
        </row>
        <row r="1282">
          <cell r="A1282" t="str">
            <v>Мкртчян Григор Рубикович</v>
          </cell>
          <cell r="B1282" t="str">
            <v>В-07559/КЛ.Транш - 5</v>
          </cell>
          <cell r="C1282" t="str">
            <v>mgr36@mail.ru</v>
          </cell>
        </row>
        <row r="1283">
          <cell r="A1283" t="str">
            <v>Мнацаканян Карен Аракелович</v>
          </cell>
          <cell r="B1283" t="str">
            <v>В-13742/КЛ.Транш - 1</v>
          </cell>
          <cell r="D1283" t="str">
            <v>petrol-k@mail.ru</v>
          </cell>
        </row>
        <row r="1284">
          <cell r="A1284" t="str">
            <v>Мовсесян Гарик Вагифович</v>
          </cell>
          <cell r="B1284" t="str">
            <v>В-24878/КЛ.Транш - 1</v>
          </cell>
          <cell r="D1284" t="str">
            <v>mgv1180@bk.ru</v>
          </cell>
        </row>
        <row r="1285">
          <cell r="A1285" t="str">
            <v>Моисеев Михаил Исаевич</v>
          </cell>
          <cell r="B1285" t="str">
            <v>В-01875/КЛ.Транш - 1</v>
          </cell>
          <cell r="C1285" t="str">
            <v>emvs@list.ru</v>
          </cell>
        </row>
        <row r="1286">
          <cell r="A1286" t="str">
            <v>Моисеев Павел Викторович</v>
          </cell>
          <cell r="B1286" t="str">
            <v>В-01165/АЗ</v>
          </cell>
        </row>
        <row r="1287">
          <cell r="A1287" t="str">
            <v>Моисеев Сергей Алексеевич</v>
          </cell>
          <cell r="B1287" t="str">
            <v>В-13185/КЛ.Транш - 1</v>
          </cell>
        </row>
        <row r="1288">
          <cell r="A1288" t="str">
            <v>Моисеенков Дмитрий Владимирович</v>
          </cell>
          <cell r="B1288" t="str">
            <v>В-15091/КЛ.Транш - 3</v>
          </cell>
          <cell r="C1288" t="str">
            <v>dimois26@mail.ru</v>
          </cell>
        </row>
        <row r="1289">
          <cell r="A1289" t="str">
            <v>Мокрицкий Константин Александрович</v>
          </cell>
          <cell r="B1289" t="str">
            <v>В-22052/КЛ.Транш - 1</v>
          </cell>
          <cell r="C1289" t="str">
            <v>ilistratov@mail.ru</v>
          </cell>
        </row>
        <row r="1290">
          <cell r="A1290" t="str">
            <v>Мокрицкий Константин Александрович</v>
          </cell>
          <cell r="B1290" t="str">
            <v>В-22052/КЛ.Транш - 2</v>
          </cell>
          <cell r="C1290" t="str">
            <v>ilistratov@mail.ru</v>
          </cell>
        </row>
        <row r="1291">
          <cell r="A1291" t="str">
            <v>Молчанов Дмитрий Викторович</v>
          </cell>
          <cell r="B1291" t="str">
            <v>В-19425/КЛ.Транш - 1</v>
          </cell>
          <cell r="D1291" t="str">
            <v>dimakajddj@gmail.com</v>
          </cell>
        </row>
        <row r="1292">
          <cell r="A1292" t="str">
            <v>Мордвинцева Елена Александровна</v>
          </cell>
          <cell r="B1292" t="str">
            <v>В-27065/АЗ</v>
          </cell>
        </row>
        <row r="1293">
          <cell r="A1293" t="str">
            <v>Морин Владимир Александрович</v>
          </cell>
          <cell r="B1293" t="str">
            <v>В-17785/КЛ.Транш - 1</v>
          </cell>
          <cell r="D1293" t="str">
            <v>m1v1a1@yandex.ru</v>
          </cell>
        </row>
        <row r="1294">
          <cell r="A1294" t="str">
            <v>Морозкина Наталья Сергеевна</v>
          </cell>
          <cell r="B1294" t="str">
            <v>В-00239/КЛ.Транш - 1</v>
          </cell>
          <cell r="C1294" t="str">
            <v>morozkina.tata@yandex.ru</v>
          </cell>
        </row>
        <row r="1295">
          <cell r="A1295" t="str">
            <v>Морозов Владимир Владимирович</v>
          </cell>
          <cell r="B1295" t="str">
            <v>А-03942/АЗ</v>
          </cell>
        </row>
        <row r="1296">
          <cell r="A1296" t="str">
            <v>Морозов Владимир Павлович</v>
          </cell>
          <cell r="B1296" t="str">
            <v>В-03585/КЛ.Транш - 1</v>
          </cell>
          <cell r="C1296" t="str">
            <v>morozovvlad85@yandex.ru</v>
          </cell>
        </row>
        <row r="1297">
          <cell r="A1297" t="str">
            <v>Морозов Евгений Станиславович</v>
          </cell>
          <cell r="B1297" t="str">
            <v>А-05463/АЗ_А-20210920/Ц</v>
          </cell>
          <cell r="C1297" t="str">
            <v>jsmorozov@mail.ru</v>
          </cell>
        </row>
        <row r="1298">
          <cell r="A1298" t="str">
            <v>Морозов Евгений Станиславович</v>
          </cell>
          <cell r="B1298" t="str">
            <v>В-00963/АЗ</v>
          </cell>
          <cell r="C1298" t="str">
            <v>jsmorozov@mail.ru</v>
          </cell>
        </row>
        <row r="1299">
          <cell r="A1299" t="str">
            <v>Морозов Евгений Станиславович</v>
          </cell>
          <cell r="B1299" t="str">
            <v>Т-01935/АЗ_Т-20210920/Ц</v>
          </cell>
          <cell r="C1299" t="str">
            <v>jsmorozov@mail.ru</v>
          </cell>
        </row>
        <row r="1300">
          <cell r="A1300" t="str">
            <v>Морозов Олег Валерьевич</v>
          </cell>
          <cell r="B1300" t="str">
            <v>В-15532/КЛ.Транш - 1</v>
          </cell>
          <cell r="D1300" t="str">
            <v>Mmsin.morozov0@gmail.com</v>
          </cell>
        </row>
        <row r="1301">
          <cell r="A1301" t="str">
            <v>Москалев Ярослав Вячеславович</v>
          </cell>
          <cell r="B1301" t="str">
            <v>В-00557/АЗ</v>
          </cell>
          <cell r="C1301" t="str">
            <v>yar.moskalev@gmail.com</v>
          </cell>
        </row>
        <row r="1302">
          <cell r="A1302" t="str">
            <v>Мотыка Андрей Павлович</v>
          </cell>
          <cell r="B1302" t="str">
            <v>В-16934/КЛ.Транш - 1</v>
          </cell>
          <cell r="D1302" t="str">
            <v>apm1@bk.ru</v>
          </cell>
        </row>
        <row r="1303">
          <cell r="A1303" t="str">
            <v>Мотыка Андрей Павлович</v>
          </cell>
          <cell r="B1303" t="str">
            <v>В-16934/КЛ.Транш - 3</v>
          </cell>
          <cell r="D1303" t="str">
            <v>apm1@bk.ru</v>
          </cell>
        </row>
        <row r="1304">
          <cell r="A1304" t="str">
            <v>Мотыка Андрей Павлович</v>
          </cell>
          <cell r="B1304" t="str">
            <v>В-16934/КЛ.Транш - 4</v>
          </cell>
          <cell r="D1304" t="str">
            <v>apm1@bk.ru</v>
          </cell>
        </row>
        <row r="1305">
          <cell r="A1305" t="str">
            <v>Мотыка Андрей Павлович</v>
          </cell>
          <cell r="B1305" t="str">
            <v>В-16934/КЛ.Транш - 5</v>
          </cell>
          <cell r="D1305" t="str">
            <v>apm1@bk.ru</v>
          </cell>
        </row>
        <row r="1306">
          <cell r="A1306" t="str">
            <v>Мошкин Андрей Викторович</v>
          </cell>
          <cell r="B1306" t="str">
            <v>В-00508/АЗ</v>
          </cell>
          <cell r="C1306" t="str">
            <v>bizzzon81@mail.ru</v>
          </cell>
        </row>
        <row r="1307">
          <cell r="A1307" t="str">
            <v>Мощинская Елена Николаевна</v>
          </cell>
          <cell r="B1307" t="str">
            <v>В-19227/КЛ.Транш - 1</v>
          </cell>
          <cell r="D1307" t="str">
            <v>elena19812706@gmail.com</v>
          </cell>
        </row>
        <row r="1308">
          <cell r="A1308" t="str">
            <v>Мощинская Елена Николаевна</v>
          </cell>
          <cell r="B1308" t="str">
            <v>В-19227/КЛ.Транш - 2</v>
          </cell>
          <cell r="D1308" t="str">
            <v>elena19812706@gmail.com</v>
          </cell>
        </row>
        <row r="1309">
          <cell r="A1309" t="str">
            <v>МСККОРП ООО</v>
          </cell>
          <cell r="B1309" t="str">
            <v>А-00084/КЭ.Транш - 3</v>
          </cell>
        </row>
        <row r="1310">
          <cell r="A1310" t="str">
            <v>МСКСТРОЙ ООО</v>
          </cell>
          <cell r="B1310" t="str">
            <v>В-00075/КЭ.Транш - 1</v>
          </cell>
          <cell r="C1310" t="str">
            <v>Mskstroyooo@yandex.ru</v>
          </cell>
        </row>
        <row r="1311">
          <cell r="A1311" t="str">
            <v>Музыка Евгений Александрович</v>
          </cell>
          <cell r="B1311" t="str">
            <v>В-20458/КЛ.Транш - 1</v>
          </cell>
          <cell r="D1311" t="str">
            <v>1993sevastopol2015@mail.ru</v>
          </cell>
        </row>
        <row r="1312">
          <cell r="A1312" t="str">
            <v>Музыка Марина Александровна</v>
          </cell>
          <cell r="B1312" t="str">
            <v>В-24612/АЗ</v>
          </cell>
        </row>
        <row r="1313">
          <cell r="A1313" t="str">
            <v>Муллоев Хошимчон Пулотович</v>
          </cell>
          <cell r="B1313" t="str">
            <v>В-01023/КЛ.Транш - 1</v>
          </cell>
          <cell r="C1313" t="str">
            <v>hoshimm77@mail.ru</v>
          </cell>
        </row>
        <row r="1314">
          <cell r="A1314" t="str">
            <v>Муминов Фирдавс Юсуфович</v>
          </cell>
          <cell r="B1314" t="str">
            <v>В-01147/АЗ</v>
          </cell>
        </row>
        <row r="1315">
          <cell r="A1315" t="str">
            <v>Муравьев Сергей Сергеевич</v>
          </cell>
          <cell r="B1315" t="str">
            <v>В-20490/КЛ.Транш - 1</v>
          </cell>
          <cell r="D1315" t="str">
            <v>info@netkonstryct.com</v>
          </cell>
        </row>
        <row r="1316">
          <cell r="A1316" t="str">
            <v>Мурадян Грачья Юрикович</v>
          </cell>
          <cell r="B1316" t="str">
            <v>В-26102/АЗ</v>
          </cell>
        </row>
        <row r="1317">
          <cell r="A1317" t="str">
            <v>Мурадян Севак Норикович</v>
          </cell>
          <cell r="B1317" t="str">
            <v>В-07133/КЛ.Транш - 1</v>
          </cell>
          <cell r="C1317" t="str">
            <v>muradiansevak@mail.ru</v>
          </cell>
        </row>
        <row r="1318">
          <cell r="A1318" t="str">
            <v>Мурадян Севак Норикович</v>
          </cell>
          <cell r="B1318" t="str">
            <v>В-07133/КЛ.Транш - 4</v>
          </cell>
          <cell r="C1318" t="str">
            <v>muradiansevak@mail.ru</v>
          </cell>
        </row>
        <row r="1319">
          <cell r="A1319" t="str">
            <v>Мурадян Эдгар Рафаелович</v>
          </cell>
          <cell r="B1319" t="str">
            <v>В-08077/КЛ.Транш - 1</v>
          </cell>
          <cell r="C1319" t="str">
            <v>muradyan.edgarlist@gmail.com</v>
          </cell>
        </row>
        <row r="1320">
          <cell r="A1320" t="str">
            <v>Муратов Альмурат Муратович</v>
          </cell>
          <cell r="B1320" t="str">
            <v>В-01216/КЛ.Транш - 4</v>
          </cell>
          <cell r="C1320" t="str">
            <v>muratov0112almurat1996@yandex.ru</v>
          </cell>
        </row>
        <row r="1321">
          <cell r="A1321" t="str">
            <v>Муратов Альмурат Муратович</v>
          </cell>
          <cell r="B1321" t="str">
            <v>В-01216/КЛ.Транш - 5</v>
          </cell>
          <cell r="C1321" t="str">
            <v>muratov0112almurat1996@yandex.ru</v>
          </cell>
        </row>
        <row r="1322">
          <cell r="A1322" t="str">
            <v>Мурашова Наталья Николаевна</v>
          </cell>
          <cell r="B1322" t="str">
            <v>В-06411/КЛ.Транш - 1</v>
          </cell>
          <cell r="C1322" t="str">
            <v>nmurasova472@gmail.com</v>
          </cell>
        </row>
        <row r="1323">
          <cell r="A1323" t="str">
            <v>Мурина Оксана Викторовна</v>
          </cell>
          <cell r="B1323" t="str">
            <v>В-12483/КЛ.Транш - 1</v>
          </cell>
        </row>
        <row r="1324">
          <cell r="A1324" t="str">
            <v>Муродов Шерзод Пулотхонович</v>
          </cell>
          <cell r="B1324" t="str">
            <v>В-00102/АЗ</v>
          </cell>
          <cell r="C1324" t="str">
            <v>vm-52@bk.ru</v>
          </cell>
        </row>
        <row r="1325">
          <cell r="A1325" t="str">
            <v>Муршудзаде Ягуб Эльхан Оглы</v>
          </cell>
          <cell r="B1325" t="str">
            <v>В-04596/КЛ.Транш - 2</v>
          </cell>
          <cell r="C1325" t="str">
            <v>yaqub1980@mail.ru</v>
          </cell>
        </row>
        <row r="1326">
          <cell r="A1326" t="str">
            <v>Мусаев Заурбек Хадживелиевич</v>
          </cell>
          <cell r="B1326" t="str">
            <v>В-24350/КЛ.Транш - 1</v>
          </cell>
          <cell r="D1326" t="str">
            <v>zaurbekmusaew@mail.ru</v>
          </cell>
        </row>
        <row r="1327">
          <cell r="A1327" t="str">
            <v>Мусаев Натиг Байрам Оглы</v>
          </cell>
          <cell r="B1327" t="str">
            <v>В-25627/КЛ.Транш - 1</v>
          </cell>
          <cell r="C1327" t="str">
            <v>watig100692@mail.ru</v>
          </cell>
        </row>
        <row r="1328">
          <cell r="A1328" t="str">
            <v>Мусаев Рустам Камилжонович</v>
          </cell>
          <cell r="B1328" t="str">
            <v>А-04412/АЗ</v>
          </cell>
        </row>
        <row r="1329">
          <cell r="A1329" t="str">
            <v>Мусаев Саид Рамазанович</v>
          </cell>
          <cell r="B1329" t="str">
            <v>В-17687/КЛ.Транш - 1</v>
          </cell>
        </row>
        <row r="1330">
          <cell r="A1330" t="str">
            <v>Мусаев Саид Рамазанович</v>
          </cell>
          <cell r="B1330" t="str">
            <v>В-17687/КЛ.Транш - 2</v>
          </cell>
        </row>
        <row r="1331">
          <cell r="A1331" t="str">
            <v>Мусаелян Вилен Карленович</v>
          </cell>
          <cell r="B1331" t="str">
            <v>В-12167/КЛ.Транш - 1_А-20210929/Ц</v>
          </cell>
          <cell r="D1331" t="str">
            <v>villimuso@gmail.com</v>
          </cell>
        </row>
        <row r="1332">
          <cell r="A1332" t="str">
            <v>Мустафин Ринад Исмаилович</v>
          </cell>
          <cell r="B1332" t="str">
            <v>В-17199/КЛ.Транш - 1</v>
          </cell>
          <cell r="D1332" t="str">
            <v>нет</v>
          </cell>
        </row>
        <row r="1333">
          <cell r="A1333" t="str">
            <v>Мустафин Ринад Исмаилович</v>
          </cell>
          <cell r="B1333" t="str">
            <v>В-17199/КЛ.Транш - 2</v>
          </cell>
          <cell r="D1333" t="str">
            <v>нет</v>
          </cell>
        </row>
        <row r="1334">
          <cell r="A1334" t="str">
            <v>Мустафин Ринад Исмаилович</v>
          </cell>
          <cell r="B1334" t="str">
            <v>В-17199/КЛ.Транш - 3</v>
          </cell>
          <cell r="D1334" t="str">
            <v>нет</v>
          </cell>
        </row>
        <row r="1335">
          <cell r="A1335" t="str">
            <v>Мустафьева Айтан Таджединовна</v>
          </cell>
          <cell r="B1335" t="str">
            <v>В-24261/КЛ.Транш - 1</v>
          </cell>
          <cell r="C1335" t="str">
            <v>ya500999@yandex.ru</v>
          </cell>
          <cell r="D1335" t="str">
            <v>ya500999@yandex.ru</v>
          </cell>
        </row>
        <row r="1336">
          <cell r="A1336" t="str">
            <v>Мухаев Андрей Игоревич</v>
          </cell>
          <cell r="B1336" t="str">
            <v>В-22912/КЛ.Транш - 1</v>
          </cell>
          <cell r="C1336" t="str">
            <v>muxaeff@gmail.com</v>
          </cell>
          <cell r="D1336" t="str">
            <v>muxaeff@gmail.com</v>
          </cell>
        </row>
        <row r="1337">
          <cell r="A1337" t="str">
            <v>Мылов Сергей Геннадьевич</v>
          </cell>
          <cell r="B1337" t="str">
            <v>В-05402/КЛ.Транш - 3</v>
          </cell>
          <cell r="C1337" t="str">
            <v>sergeimylov@gmail.com</v>
          </cell>
          <cell r="D1337" t="str">
            <v>sergeimylov@gmail.com</v>
          </cell>
        </row>
        <row r="1338">
          <cell r="A1338" t="str">
            <v>Мылов Сергей Геннадьевич</v>
          </cell>
          <cell r="B1338" t="str">
            <v>В-05402/КЛ.Транш - 4</v>
          </cell>
          <cell r="C1338" t="str">
            <v>sergeimylov@gmail.com</v>
          </cell>
          <cell r="D1338" t="str">
            <v>sergeimylov@gmail.com</v>
          </cell>
        </row>
        <row r="1339">
          <cell r="A1339" t="str">
            <v>Мырзалиев Абдырасул Израилович</v>
          </cell>
          <cell r="B1339" t="str">
            <v>В-13640/КЛ.Транш - 1</v>
          </cell>
          <cell r="D1339" t="str">
            <v>myrzalievabdyrasul@gmail.com</v>
          </cell>
        </row>
        <row r="1340">
          <cell r="A1340" t="str">
            <v>Набойченко Юлия Александровна</v>
          </cell>
          <cell r="B1340" t="str">
            <v>В-25865/КЛ.Транш - 1</v>
          </cell>
          <cell r="D1340" t="str">
            <v>yuliya-nabojchenko@yandex.ru</v>
          </cell>
        </row>
        <row r="1341">
          <cell r="A1341" t="str">
            <v>Навасардян Алёна Евгеньевна</v>
          </cell>
          <cell r="B1341" t="str">
            <v>В-14818/КЛ.Транш - 1</v>
          </cell>
          <cell r="D1341" t="str">
            <v>awetik.n@yandex.ru</v>
          </cell>
        </row>
        <row r="1342">
          <cell r="A1342" t="str">
            <v>Навоян Георг Анатолевич</v>
          </cell>
          <cell r="B1342" t="str">
            <v>В-27848/АЗ</v>
          </cell>
        </row>
        <row r="1343">
          <cell r="A1343" t="str">
            <v>Нагаева Елена Александровна</v>
          </cell>
          <cell r="B1343" t="str">
            <v>В-25671/АЗ</v>
          </cell>
          <cell r="D1343" t="str">
            <v>elena8608@inmox.ru</v>
          </cell>
        </row>
        <row r="1344">
          <cell r="A1344" t="str">
            <v>Надеев Алексей Александрович</v>
          </cell>
          <cell r="B1344" t="str">
            <v>В-21321/КЛ.Транш - 1</v>
          </cell>
          <cell r="D1344" t="str">
            <v>anadeev86@mail.ru</v>
          </cell>
        </row>
        <row r="1345">
          <cell r="A1345" t="str">
            <v>Назаров Всеволод Владимирович</v>
          </cell>
          <cell r="B1345" t="str">
            <v>В-19740/КЛ.Транш - 5</v>
          </cell>
          <cell r="C1345" t="str">
            <v>nazvs@rambler.ru</v>
          </cell>
        </row>
        <row r="1346">
          <cell r="A1346" t="str">
            <v>Назаров Всеволод Владимирович</v>
          </cell>
          <cell r="B1346" t="str">
            <v>В-19740/КЛ.Транш - 6</v>
          </cell>
          <cell r="C1346" t="str">
            <v>nazvs@rambler.ru</v>
          </cell>
        </row>
        <row r="1347">
          <cell r="A1347" t="str">
            <v>Назаров Всеволод Владимирович</v>
          </cell>
          <cell r="B1347" t="str">
            <v>В-19740/КЛ.Транш - 7</v>
          </cell>
          <cell r="C1347" t="str">
            <v>nazvs@rambler.ru</v>
          </cell>
        </row>
        <row r="1348">
          <cell r="A1348" t="str">
            <v>Назаров Всеволод Владимирович</v>
          </cell>
          <cell r="B1348" t="str">
            <v>В-19740/КЛ.Транш - 8</v>
          </cell>
          <cell r="C1348" t="str">
            <v>nazvs@rambler.ru</v>
          </cell>
        </row>
        <row r="1349">
          <cell r="A1349" t="str">
            <v>Насибов Баходур Юсуфджонович</v>
          </cell>
          <cell r="B1349" t="str">
            <v>В-19679/КЛ.Транш - 2</v>
          </cell>
          <cell r="C1349" t="str">
            <v>bakhodurnasibov0@gmail.com</v>
          </cell>
        </row>
        <row r="1350">
          <cell r="A1350" t="str">
            <v>Насибуллин Илья Назипович</v>
          </cell>
          <cell r="B1350" t="str">
            <v>В-21451/КЛ.Транш - 1</v>
          </cell>
          <cell r="D1350" t="str">
            <v>ilya.fun@mail.ru</v>
          </cell>
        </row>
        <row r="1351">
          <cell r="A1351" t="str">
            <v>Насонов Александр Александрович</v>
          </cell>
          <cell r="B1351" t="str">
            <v>В-22201/КЛ.Транш - 1_В-20211230/Ц</v>
          </cell>
          <cell r="C1351" t="str">
            <v>alexandrnasonow@yandex.ru</v>
          </cell>
          <cell r="D1351" t="str">
            <v>alexandrnasonow@yandex.ru</v>
          </cell>
        </row>
        <row r="1352">
          <cell r="A1352" t="str">
            <v>Насырова Шахлохон Раимжановна</v>
          </cell>
          <cell r="B1352" t="str">
            <v>В-19286/КЛ.Транш - 1</v>
          </cell>
          <cell r="D1352" t="str">
            <v>ayana_nasyrova94@icloud.com</v>
          </cell>
        </row>
        <row r="1353">
          <cell r="A1353" t="str">
            <v>Натаров Владимир Валерьевич</v>
          </cell>
          <cell r="B1353" t="str">
            <v>В-27641/КЛ.Транш - 1</v>
          </cell>
          <cell r="D1353" t="str">
            <v>natarov1965@mail.ru</v>
          </cell>
        </row>
        <row r="1354">
          <cell r="A1354" t="str">
            <v>Науменко Андрей Николаевич</v>
          </cell>
          <cell r="B1354" t="str">
            <v>В-25370/АЗ</v>
          </cell>
        </row>
        <row r="1355">
          <cell r="A1355" t="str">
            <v>Наумик Екатерина Андреевна</v>
          </cell>
          <cell r="B1355" t="str">
            <v>В-14074/КЛ.Транш - 1</v>
          </cell>
          <cell r="D1355" t="str">
            <v>krupinae@yandex.ru</v>
          </cell>
        </row>
        <row r="1356">
          <cell r="A1356" t="str">
            <v>Наумик Екатерина Андреевна</v>
          </cell>
          <cell r="B1356" t="str">
            <v>В-14074/КЛ.Транш - 2</v>
          </cell>
          <cell r="D1356" t="str">
            <v>krupinae@yandex.ru</v>
          </cell>
        </row>
        <row r="1357">
          <cell r="A1357" t="str">
            <v>Наумов Олег Владимирович</v>
          </cell>
          <cell r="B1357" t="str">
            <v>В-12790/КЛ.Транш - 1</v>
          </cell>
        </row>
        <row r="1358">
          <cell r="A1358" t="str">
            <v>Нахапетов Артур Валерьевич</v>
          </cell>
          <cell r="B1358" t="str">
            <v>В-01203/АЗ</v>
          </cell>
        </row>
        <row r="1359">
          <cell r="A1359" t="str">
            <v>Неборский Андрей Валерьевич</v>
          </cell>
          <cell r="B1359" t="str">
            <v>А-05344/АЗ</v>
          </cell>
          <cell r="C1359" t="str">
            <v>andrey.valerich88@gmail.com</v>
          </cell>
          <cell r="D1359" t="str">
            <v>andrey.valerich88@gmail.com</v>
          </cell>
        </row>
        <row r="1360">
          <cell r="A1360" t="str">
            <v>Невешкин Роман Викторович</v>
          </cell>
          <cell r="B1360" t="str">
            <v>В-02026/КЛ.Транш - 1</v>
          </cell>
          <cell r="C1360" t="str">
            <v>r2auto@mail.ru</v>
          </cell>
        </row>
        <row r="1361">
          <cell r="A1361" t="str">
            <v>Невкипелый Дмитрий Валерьевич</v>
          </cell>
          <cell r="B1361" t="str">
            <v>В-27521/КЛ.Транш - 1</v>
          </cell>
          <cell r="D1361" t="str">
            <v>lehyi666@gmail.com</v>
          </cell>
        </row>
        <row r="1362">
          <cell r="A1362" t="str">
            <v>Недялков Алексей Иванович</v>
          </cell>
          <cell r="B1362" t="str">
            <v>В-00598/АЗ_В-20211230/Ц</v>
          </cell>
          <cell r="C1362" t="str">
            <v>anedjalkov@rambler.ru</v>
          </cell>
        </row>
        <row r="1363">
          <cell r="A1363" t="str">
            <v>Некрасов Алексей Сергеевич</v>
          </cell>
          <cell r="B1363" t="str">
            <v>В-03114/КЛ.Транш - 1_В-20211230/Ц</v>
          </cell>
          <cell r="C1363" t="str">
            <v>BANKIR010203@MAIL.RU</v>
          </cell>
        </row>
        <row r="1364">
          <cell r="A1364" t="str">
            <v>Нефедова Елена Викторовна</v>
          </cell>
          <cell r="B1364" t="str">
            <v>В-24081/АЗ</v>
          </cell>
          <cell r="C1364" t="str">
            <v>NEFEDOVA_E@INCOM.RU</v>
          </cell>
        </row>
        <row r="1365">
          <cell r="A1365" t="str">
            <v>Нигметов Ренат Ерсаинович</v>
          </cell>
          <cell r="B1365" t="str">
            <v>В-14706/КЛ.Транш - 1</v>
          </cell>
          <cell r="D1365" t="str">
            <v>renat88ik@gmail.com</v>
          </cell>
        </row>
        <row r="1366">
          <cell r="A1366" t="str">
            <v>Никитенко Роман Владимирович</v>
          </cell>
          <cell r="B1366" t="str">
            <v>Т-01897/АЗ_Т-20211028/Ц</v>
          </cell>
        </row>
        <row r="1367">
          <cell r="A1367" t="str">
            <v>Никитенков Владислав Анатольевич</v>
          </cell>
          <cell r="B1367" t="str">
            <v>В-00855/АЗ</v>
          </cell>
          <cell r="C1367" t="str">
            <v>taxi110484@gmail.com</v>
          </cell>
        </row>
        <row r="1368">
          <cell r="A1368" t="str">
            <v>Никитина Анастасия Витальевна</v>
          </cell>
          <cell r="B1368" t="str">
            <v>В-00839/КЛ.Транш - 1</v>
          </cell>
          <cell r="C1368" t="str">
            <v>miha20101111@yandex.ru</v>
          </cell>
        </row>
        <row r="1369">
          <cell r="A1369" t="str">
            <v>Никитина Елена Сергеевна</v>
          </cell>
          <cell r="B1369" t="str">
            <v>В-05768/КЛ.Транш - 1</v>
          </cell>
          <cell r="C1369" t="str">
            <v>nikitinaelenas@mail.ru</v>
          </cell>
        </row>
        <row r="1370">
          <cell r="A1370" t="str">
            <v>Никифоров Александр Андреевич</v>
          </cell>
          <cell r="B1370" t="str">
            <v>В-11307/КЛ.Транш - 1</v>
          </cell>
          <cell r="C1370" t="str">
            <v>aleksandr-nikiforov@yandex.ru</v>
          </cell>
        </row>
        <row r="1371">
          <cell r="A1371" t="str">
            <v>Николаев Дмитрий Васильевич</v>
          </cell>
          <cell r="B1371" t="str">
            <v>В-28471/КЛ.Транш - 1</v>
          </cell>
          <cell r="C1371" t="str">
            <v>nikolaev.dm13@mail.ru</v>
          </cell>
          <cell r="D1371" t="str">
            <v>nikolaev.dm13@mail.ru</v>
          </cell>
        </row>
        <row r="1372">
          <cell r="A1372" t="str">
            <v>Николаева Юлия Викторовна</v>
          </cell>
          <cell r="B1372" t="str">
            <v>В-17924/КЛ.Транш - 1</v>
          </cell>
          <cell r="D1372" t="str">
            <v>Jun-2005@yandex.ru</v>
          </cell>
        </row>
        <row r="1373">
          <cell r="A1373" t="str">
            <v>Никонов Андрей Георгиевич</v>
          </cell>
          <cell r="B1373" t="str">
            <v>В-02690/КЛ.Транш - 1</v>
          </cell>
          <cell r="C1373" t="str">
            <v>prezident.n123@yandex.ru</v>
          </cell>
        </row>
        <row r="1374">
          <cell r="A1374" t="str">
            <v>Никоноров Александр Владимирович</v>
          </cell>
          <cell r="B1374" t="str">
            <v>В-03414/КЛ.Транш - 1</v>
          </cell>
          <cell r="C1374" t="str">
            <v>NIKONOROVHONOR@GMAIL.COM</v>
          </cell>
        </row>
        <row r="1375">
          <cell r="A1375" t="str">
            <v>Никулкин Андрей Викторович</v>
          </cell>
          <cell r="B1375" t="str">
            <v>В-24247/КЛ.Транш - 1</v>
          </cell>
          <cell r="D1375" t="str">
            <v>Andrey.nikylki@inbox.ru</v>
          </cell>
        </row>
        <row r="1376">
          <cell r="A1376" t="str">
            <v>Никульченков Сергей Анатольевич</v>
          </cell>
          <cell r="B1376" t="str">
            <v>В-25093/КЛ.Транш - 1</v>
          </cell>
          <cell r="D1376" t="str">
            <v>sergejnikulcenkov767@gmail.com</v>
          </cell>
        </row>
        <row r="1377">
          <cell r="A1377" t="str">
            <v>НОВАЯ СПАРТА ООО</v>
          </cell>
          <cell r="B1377" t="str">
            <v>А-00433/КЭ.Транш - 1</v>
          </cell>
          <cell r="C1377" t="str">
            <v>maxz1405@mail.ru</v>
          </cell>
        </row>
        <row r="1378">
          <cell r="A1378" t="str">
            <v>Новиков Артем Дмитриевич</v>
          </cell>
          <cell r="B1378" t="str">
            <v>В-24137/КЛ.Транш - 1</v>
          </cell>
          <cell r="D1378" t="str">
            <v>Artem-dmitrich@mail.ru</v>
          </cell>
        </row>
        <row r="1379">
          <cell r="A1379" t="str">
            <v>Новиков Артем Дмитриевич</v>
          </cell>
          <cell r="B1379" t="str">
            <v>В-24137/КЛ.Транш - 2</v>
          </cell>
          <cell r="D1379" t="str">
            <v>Artem-dmitrich@mail.ru</v>
          </cell>
        </row>
        <row r="1380">
          <cell r="A1380" t="str">
            <v>Новиков Артем Дмитриевич</v>
          </cell>
          <cell r="B1380" t="str">
            <v>В-24137/КЛ.Транш - 3</v>
          </cell>
          <cell r="D1380" t="str">
            <v>Artem-dmitrich@mail.ru</v>
          </cell>
        </row>
        <row r="1381">
          <cell r="A1381" t="str">
            <v>Новиков Егор Викторович</v>
          </cell>
          <cell r="B1381" t="str">
            <v>В-03811/КЛ.Транш - 1</v>
          </cell>
          <cell r="C1381" t="str">
            <v>dm-don80@mail.ru</v>
          </cell>
        </row>
        <row r="1382">
          <cell r="A1382" t="str">
            <v>Новоселов Евгений Михайлович</v>
          </cell>
          <cell r="B1382" t="str">
            <v>А-02772/АЗ</v>
          </cell>
          <cell r="C1382" t="str">
            <v>9902529@MAIL.RU</v>
          </cell>
          <cell r="D1382" t="str">
            <v>3803344@mail.ru</v>
          </cell>
        </row>
        <row r="1383">
          <cell r="A1383" t="str">
            <v>Новоселов Сергей Владимирович</v>
          </cell>
          <cell r="B1383" t="str">
            <v>В-19548/КЛ.Транш - 1</v>
          </cell>
          <cell r="D1383" t="str">
            <v>parshakov75@internet.ru</v>
          </cell>
        </row>
        <row r="1384">
          <cell r="A1384" t="str">
            <v>Новрузов Марат Абильфас Оглы</v>
          </cell>
          <cell r="B1384" t="str">
            <v>В-24983/КЛ.Транш - 1_В-20211230/Ц</v>
          </cell>
        </row>
        <row r="1385">
          <cell r="A1385" t="str">
            <v>НОРДИНВЕСТ ООО</v>
          </cell>
          <cell r="B1385" t="str">
            <v>А-10096/КЭ.Транш - 1</v>
          </cell>
        </row>
        <row r="1386">
          <cell r="A1386" t="str">
            <v>НПО ПРОЕКТСТРОЙ ООО</v>
          </cell>
          <cell r="B1386" t="str">
            <v>В-00038/КЭ.Транш - 1</v>
          </cell>
          <cell r="C1386" t="str">
            <v>npoprojectstroy@gmail.com</v>
          </cell>
        </row>
        <row r="1387">
          <cell r="A1387" t="str">
            <v>Нуждина Юлия Вадимовна</v>
          </cell>
          <cell r="B1387" t="str">
            <v>В-19988/КЛ.Транш - 1</v>
          </cell>
          <cell r="D1387" t="str">
            <v>305kabinet@mail.ru</v>
          </cell>
        </row>
        <row r="1388">
          <cell r="A1388" t="str">
            <v>Нургушиев Нуридин Эдильбийевич</v>
          </cell>
          <cell r="B1388" t="str">
            <v>В-11333/КЛ.Транш - 1</v>
          </cell>
        </row>
        <row r="1389">
          <cell r="A1389" t="str">
            <v>Нурмагомедов Тимурлан Алиевич</v>
          </cell>
          <cell r="B1389" t="str">
            <v>В-06587/КЛ.Транш - 4</v>
          </cell>
          <cell r="C1389" t="str">
            <v>timurlan.nurmagomedov.92@mail.ru</v>
          </cell>
        </row>
        <row r="1390">
          <cell r="A1390" t="str">
            <v>Нурмагомедов Тимурлан Алиевич</v>
          </cell>
          <cell r="B1390" t="str">
            <v>В-06587/КЛ.Транш - 5</v>
          </cell>
          <cell r="C1390" t="str">
            <v>timurlan.nurmagomedov.92@mail.ru</v>
          </cell>
        </row>
        <row r="1391">
          <cell r="A1391" t="str">
            <v>Нурмагомедов Тимурлан Алиевич</v>
          </cell>
          <cell r="B1391" t="str">
            <v>В-06587/КЛ.Транш - 6</v>
          </cell>
          <cell r="C1391" t="str">
            <v>timurlan.nurmagomedov.92@mail.ru</v>
          </cell>
        </row>
        <row r="1392">
          <cell r="A1392" t="str">
            <v>Нюхов Руслан Нюхович</v>
          </cell>
          <cell r="B1392" t="str">
            <v>Т-01910/АЗ_Т-20211028/Ц</v>
          </cell>
          <cell r="C1392" t="str">
            <v>ruslan.niukhov@gmail.com</v>
          </cell>
        </row>
        <row r="1393">
          <cell r="A1393" t="str">
            <v>Обозина Любовь Сергеевна</v>
          </cell>
          <cell r="B1393" t="str">
            <v>В-00913/АЗ</v>
          </cell>
          <cell r="C1393" t="str">
            <v>OBOZINA.LUB@yandex.ru</v>
          </cell>
        </row>
        <row r="1394">
          <cell r="A1394" t="str">
            <v>Оверченко Виктория Владимировна</v>
          </cell>
          <cell r="B1394" t="str">
            <v>В-09421/КЛ.Транш - 1_А-20210929/Ц</v>
          </cell>
          <cell r="C1394" t="str">
            <v>vikulya.overchenko@mail.ru</v>
          </cell>
        </row>
        <row r="1395">
          <cell r="A1395" t="str">
            <v>Овсепян Жирайр Араевич</v>
          </cell>
          <cell r="B1395" t="str">
            <v>В-20786/КЛ.Транш - 1</v>
          </cell>
          <cell r="D1395" t="str">
            <v>zhirik.ovsepyan@bk.ru</v>
          </cell>
        </row>
        <row r="1396">
          <cell r="A1396" t="str">
            <v>Овчинников Виталий Сергеевич</v>
          </cell>
          <cell r="B1396" t="str">
            <v>В-00634/АЗ</v>
          </cell>
        </row>
        <row r="1397">
          <cell r="A1397" t="str">
            <v>Оганесян Асмик Самвеловна</v>
          </cell>
          <cell r="B1397" t="str">
            <v>В-28424/АЗ</v>
          </cell>
          <cell r="C1397" t="str">
            <v>dinulik2003@mail.ru</v>
          </cell>
          <cell r="D1397" t="str">
            <v>dinulik2003@mail.ru</v>
          </cell>
        </row>
        <row r="1398">
          <cell r="A1398" t="str">
            <v>Оганесян Ваге Наириович</v>
          </cell>
          <cell r="B1398" t="str">
            <v>В-26005/АЗ</v>
          </cell>
          <cell r="C1398" t="str">
            <v>V-a-g-e@yandex.ru</v>
          </cell>
          <cell r="D1398" t="str">
            <v>V-a-g-e@yandex.ru</v>
          </cell>
        </row>
        <row r="1399">
          <cell r="A1399" t="str">
            <v>Оганесян Наири Миранович</v>
          </cell>
          <cell r="B1399" t="str">
            <v>В-20921/КЛ.Транш - 1</v>
          </cell>
          <cell r="C1399" t="str">
            <v>nair5415690@yandex.ru</v>
          </cell>
        </row>
        <row r="1400">
          <cell r="A1400" t="str">
            <v>Огурцова Людмила Михайловна</v>
          </cell>
          <cell r="B1400" t="str">
            <v>В-21075/КЛ.Транш - 1</v>
          </cell>
          <cell r="D1400" t="str">
            <v>ogurtsova-lyudmila@bk.ru</v>
          </cell>
        </row>
        <row r="1401">
          <cell r="A1401" t="str">
            <v>Одинцова Ирина Вячеславовна</v>
          </cell>
          <cell r="B1401" t="str">
            <v>В-01388/КЛ.Транш - 1</v>
          </cell>
          <cell r="C1401" t="str">
            <v>zina984@gmail.com</v>
          </cell>
        </row>
        <row r="1402">
          <cell r="A1402" t="str">
            <v>Одинцова Ирина Вячеславовна</v>
          </cell>
          <cell r="B1402" t="str">
            <v>В-01388/КЛ.Транш - 2</v>
          </cell>
          <cell r="C1402" t="str">
            <v>zina984@gmail.com</v>
          </cell>
        </row>
        <row r="1403">
          <cell r="A1403" t="str">
            <v>Ожован Андриан Васильевич</v>
          </cell>
          <cell r="B1403" t="str">
            <v>В-00610/АЗ</v>
          </cell>
          <cell r="C1403" t="str">
            <v>ojovan777@mail.ru</v>
          </cell>
        </row>
        <row r="1404">
          <cell r="A1404" t="str">
            <v>Ожован Андриан Васильевич</v>
          </cell>
          <cell r="B1404" t="str">
            <v>В-00847/АЗ</v>
          </cell>
          <cell r="C1404" t="str">
            <v>ojovan777@mail.ru</v>
          </cell>
        </row>
        <row r="1405">
          <cell r="A1405" t="str">
            <v>Озарян Сергей Васильевич</v>
          </cell>
          <cell r="B1405" t="str">
            <v>В-01104/АЗ</v>
          </cell>
          <cell r="D1405" t="str">
            <v>angelinavarvara9611@gmail.com</v>
          </cell>
        </row>
        <row r="1406">
          <cell r="A1406" t="str">
            <v>Озёрская Дарья Семеновна</v>
          </cell>
          <cell r="B1406" t="str">
            <v>В-00317/АЗ</v>
          </cell>
          <cell r="C1406" t="str">
            <v>ozerskaya.d@yandex.ru</v>
          </cell>
        </row>
        <row r="1407">
          <cell r="A1407" t="str">
            <v>Ок Мехмет Салим</v>
          </cell>
          <cell r="B1407" t="str">
            <v>В-27256/КЛ.Транш - 1</v>
          </cell>
          <cell r="C1407" t="str">
            <v>salimok.rostov@gmail.com</v>
          </cell>
          <cell r="D1407" t="str">
            <v>salimok.rostov@gmail.com</v>
          </cell>
        </row>
        <row r="1408">
          <cell r="A1408" t="str">
            <v>Омаров Расул Казибекович</v>
          </cell>
          <cell r="B1408" t="str">
            <v>В-12919/КЛ.Транш - 1</v>
          </cell>
        </row>
        <row r="1409">
          <cell r="A1409" t="str">
            <v>Омарова Луиза Багамаевна</v>
          </cell>
          <cell r="B1409" t="str">
            <v>В-23265/КЛ.Транш - 1</v>
          </cell>
          <cell r="C1409" t="str">
            <v>luiza.omarova.95@bk.ru</v>
          </cell>
          <cell r="D1409" t="str">
            <v>luiza.omarova.95@bk.ru</v>
          </cell>
        </row>
        <row r="1410">
          <cell r="A1410" t="str">
            <v>ООО "МФК "ВЗАИМНО"</v>
          </cell>
          <cell r="B1410" t="str">
            <v>В-01/АТЛ/12</v>
          </cell>
        </row>
        <row r="1411">
          <cell r="A1411" t="str">
            <v>ООО "МФК "ВЗАИМНО"</v>
          </cell>
          <cell r="B1411" t="str">
            <v>В-01/АТЛ/13</v>
          </cell>
        </row>
        <row r="1412">
          <cell r="A1412" t="str">
            <v>ООО "МФК "ВЗАИМНО"</v>
          </cell>
          <cell r="B1412" t="str">
            <v>В-01/АТЛ/14</v>
          </cell>
        </row>
        <row r="1413">
          <cell r="A1413" t="str">
            <v>ООО "МФК "ВЗАИМНО"</v>
          </cell>
          <cell r="B1413" t="str">
            <v>В-01/АТЛ/16</v>
          </cell>
        </row>
        <row r="1414">
          <cell r="A1414" t="str">
            <v>ООО "МФК "ВЗАИМНО"</v>
          </cell>
          <cell r="B1414" t="str">
            <v>В-01/АЭК/19</v>
          </cell>
        </row>
        <row r="1415">
          <cell r="A1415" t="str">
            <v>ООО "МФК "ВЗАИМНО"</v>
          </cell>
          <cell r="B1415" t="str">
            <v>В-01/АЭК/21</v>
          </cell>
        </row>
        <row r="1416">
          <cell r="A1416" t="str">
            <v>ООО "МФК "ВЗАИМНО"</v>
          </cell>
          <cell r="B1416" t="str">
            <v>В-01/АЭК/22</v>
          </cell>
        </row>
        <row r="1417">
          <cell r="A1417" t="str">
            <v>ООО "МФК "ВЗАИМНО"</v>
          </cell>
          <cell r="B1417" t="str">
            <v>В-01/АЭК/25</v>
          </cell>
        </row>
        <row r="1418">
          <cell r="A1418" t="str">
            <v>ООО "МФК "ВЗАИМНО"</v>
          </cell>
          <cell r="B1418" t="str">
            <v>В-01/АЭК/26</v>
          </cell>
        </row>
        <row r="1419">
          <cell r="A1419" t="str">
            <v>ООО СК ЭВЕРЕСТ</v>
          </cell>
          <cell r="B1419" t="str">
            <v>В-00062/КЭ.Транш - 1</v>
          </cell>
        </row>
        <row r="1420">
          <cell r="A1420" t="str">
            <v>ООО СК ЭВЕРЕСТ</v>
          </cell>
          <cell r="B1420" t="str">
            <v>В-00062/КЭ.Транш - 2</v>
          </cell>
        </row>
        <row r="1421">
          <cell r="A1421" t="str">
            <v>ОРБИТА ООО</v>
          </cell>
          <cell r="B1421" t="str">
            <v>В-00055/КЭ.Транш - 1</v>
          </cell>
          <cell r="C1421" t="str">
            <v>oorbitamos@yandex.ru</v>
          </cell>
        </row>
        <row r="1422">
          <cell r="A1422" t="str">
            <v>Орехов Александр Викторович</v>
          </cell>
          <cell r="B1422" t="str">
            <v>В-11932/КЛ.Транш - 1</v>
          </cell>
        </row>
        <row r="1423">
          <cell r="A1423" t="str">
            <v>Орехова Екатерина Юрьевна</v>
          </cell>
          <cell r="B1423" t="str">
            <v>В-01509/КЛ.Транш - 1</v>
          </cell>
          <cell r="C1423" t="str">
            <v>frau.orehova@yandex.ru</v>
          </cell>
        </row>
        <row r="1424">
          <cell r="A1424" t="str">
            <v>Ореховский Евгений Валериевич</v>
          </cell>
          <cell r="B1424" t="str">
            <v>В-01135/АЗ</v>
          </cell>
          <cell r="C1424" t="str">
            <v>orehovskiy82@mail.ru</v>
          </cell>
        </row>
        <row r="1425">
          <cell r="A1425" t="str">
            <v>Ореховский Евгений Валериевич</v>
          </cell>
          <cell r="B1425" t="str">
            <v>В-23643/АЗ</v>
          </cell>
          <cell r="C1425" t="str">
            <v>orehovskiy82@mail.ru</v>
          </cell>
        </row>
        <row r="1426">
          <cell r="A1426" t="str">
            <v>Оруджов Намаддин Новрузович</v>
          </cell>
          <cell r="B1426" t="str">
            <v>В-28299/КЛ.Транш - 1</v>
          </cell>
          <cell r="D1426" t="str">
            <v>onamaddin@bk.ru</v>
          </cell>
        </row>
        <row r="1427">
          <cell r="A1427" t="str">
            <v>Осадчий Сергей Александрович</v>
          </cell>
          <cell r="B1427" t="str">
            <v>В-20087/КЛ.Транш - 1</v>
          </cell>
          <cell r="D1427" t="str">
            <v>Sergeiosadchij1968@gmail.com</v>
          </cell>
        </row>
        <row r="1428">
          <cell r="A1428" t="str">
            <v>Осетров Олег Андреевич</v>
          </cell>
          <cell r="B1428" t="str">
            <v>А-05349/АЗ_В-20211230/Ц</v>
          </cell>
        </row>
        <row r="1429">
          <cell r="A1429" t="str">
            <v>Оскомова Инна Анатольевна</v>
          </cell>
          <cell r="B1429" t="str">
            <v>В-13545/КЛ.Транш - 1</v>
          </cell>
          <cell r="D1429" t="str">
            <v>Oskomova@mail.ru</v>
          </cell>
        </row>
        <row r="1430">
          <cell r="A1430" t="str">
            <v>Осмаев Абдул-Латиф Исламович</v>
          </cell>
          <cell r="B1430" t="str">
            <v>В-26125/АЗ</v>
          </cell>
          <cell r="D1430" t="str">
            <v>abdullatif.osmaev@mail.ru</v>
          </cell>
        </row>
        <row r="1431">
          <cell r="A1431" t="str">
            <v>Осмаев Джабраил Исламович</v>
          </cell>
          <cell r="B1431" t="str">
            <v>В-26172/АЗ</v>
          </cell>
        </row>
        <row r="1432">
          <cell r="A1432" t="str">
            <v>Осмаев Ибрагим Исламович</v>
          </cell>
          <cell r="B1432" t="str">
            <v>В-01023/АЗ</v>
          </cell>
        </row>
        <row r="1433">
          <cell r="A1433" t="str">
            <v>Осмаева Зулихан Авхадовна</v>
          </cell>
          <cell r="B1433" t="str">
            <v>В-01022/АЗ</v>
          </cell>
          <cell r="C1433" t="str">
            <v>2.L-73@MAIL.RU</v>
          </cell>
        </row>
        <row r="1434">
          <cell r="A1434" t="str">
            <v>Османов Расул Магомедович</v>
          </cell>
          <cell r="B1434" t="str">
            <v>В-13055/КЛ.Транш - 1</v>
          </cell>
        </row>
        <row r="1435">
          <cell r="A1435" t="str">
            <v>Островский Кирилл Эдуардович</v>
          </cell>
          <cell r="B1435" t="str">
            <v>В-00232/КЛ.Транш - 1_Т-20211028/Ц</v>
          </cell>
          <cell r="C1435" t="str">
            <v>kirilloe.80@mail.ru</v>
          </cell>
        </row>
        <row r="1436">
          <cell r="A1436" t="str">
            <v>ОФИС КРАФТ ООО</v>
          </cell>
          <cell r="B1436" t="str">
            <v>В-00035/КЭ.Транш - 3</v>
          </cell>
          <cell r="C1436" t="str">
            <v>info@officecraft.ru</v>
          </cell>
        </row>
        <row r="1437">
          <cell r="A1437" t="str">
            <v>ОФИС КРАФТ ООО</v>
          </cell>
          <cell r="B1437" t="str">
            <v>В-00035/КЭ.Транш - 7</v>
          </cell>
          <cell r="C1437" t="str">
            <v>info@officecraft.ru</v>
          </cell>
        </row>
        <row r="1438">
          <cell r="A1438" t="str">
            <v>ОФИС КРАФТ ООО</v>
          </cell>
          <cell r="B1438" t="str">
            <v>В-00035/КЭ.Транш - 8</v>
          </cell>
          <cell r="C1438" t="str">
            <v>info@officecraft.ru</v>
          </cell>
        </row>
        <row r="1439">
          <cell r="A1439" t="str">
            <v>Павленко Александр Викторович</v>
          </cell>
          <cell r="B1439" t="str">
            <v>В-26352/АЗ</v>
          </cell>
        </row>
        <row r="1440">
          <cell r="A1440" t="str">
            <v>Павликивский Владимир Васильевич</v>
          </cell>
          <cell r="B1440" t="str">
            <v>В-19097/КЛ.Транш - 1</v>
          </cell>
          <cell r="D1440" t="str">
            <v>pavlikivsckie@gmail.com</v>
          </cell>
        </row>
        <row r="1441">
          <cell r="A1441" t="str">
            <v>Павлов Алексей Георгиевич</v>
          </cell>
          <cell r="B1441" t="str">
            <v>В-12523/КЛ.Транш - 2</v>
          </cell>
          <cell r="D1441" t="str">
            <v>pavlovag83@mail.ru</v>
          </cell>
        </row>
        <row r="1442">
          <cell r="A1442" t="str">
            <v>Павлов Владимир Геннадьевич</v>
          </cell>
          <cell r="B1442" t="str">
            <v>В-00600/АЗ</v>
          </cell>
        </row>
        <row r="1443">
          <cell r="A1443" t="str">
            <v>Павлов Вячеслав Игоревич</v>
          </cell>
          <cell r="B1443" t="str">
            <v>В-12574/КЛ.Транш - 1</v>
          </cell>
          <cell r="D1443" t="str">
            <v>def_buron2@mail.ru</v>
          </cell>
        </row>
        <row r="1444">
          <cell r="A1444" t="str">
            <v>Павлов Вячеслав Игоревич</v>
          </cell>
          <cell r="B1444" t="str">
            <v>В-12574/КЛ.Транш - 2</v>
          </cell>
          <cell r="D1444" t="str">
            <v>def_buron2@mail.ru</v>
          </cell>
        </row>
        <row r="1445">
          <cell r="A1445" t="str">
            <v>Павлов Вячеслав Игоревич</v>
          </cell>
          <cell r="B1445" t="str">
            <v>В-12574/КЛ.Транш - 3</v>
          </cell>
          <cell r="D1445" t="str">
            <v>def_buron2@mail.ru</v>
          </cell>
        </row>
        <row r="1446">
          <cell r="A1446" t="str">
            <v>Павлов Денис Витальевич</v>
          </cell>
          <cell r="B1446" t="str">
            <v>В-03672/КЛ.Транш - 1_В-20211230/Ц</v>
          </cell>
          <cell r="C1446" t="str">
            <v>deniska1.81@mail.ru</v>
          </cell>
        </row>
        <row r="1447">
          <cell r="A1447" t="str">
            <v>Павлов Максим Андреевич</v>
          </cell>
          <cell r="B1447" t="str">
            <v>В-12013/КЛ.Транш - 1</v>
          </cell>
          <cell r="D1447" t="str">
            <v>pavlov-m@inbox.ru</v>
          </cell>
        </row>
        <row r="1448">
          <cell r="A1448" t="str">
            <v>Павлов Максим Андреевич</v>
          </cell>
          <cell r="B1448" t="str">
            <v>В-12013/КЛ.Транш - 2</v>
          </cell>
          <cell r="D1448" t="str">
            <v>pavlov-m@inbox.ru</v>
          </cell>
        </row>
        <row r="1449">
          <cell r="A1449" t="str">
            <v>Павлов Максим Андреевич</v>
          </cell>
          <cell r="B1449" t="str">
            <v>В-12013/КЛ.Транш - 3</v>
          </cell>
          <cell r="D1449" t="str">
            <v>pavlov-m@inbox.ru</v>
          </cell>
        </row>
        <row r="1450">
          <cell r="A1450" t="str">
            <v>Павлова Светлана Юрьевна</v>
          </cell>
          <cell r="B1450" t="str">
            <v>А-04614/АЗ</v>
          </cell>
          <cell r="C1450" t="str">
            <v>S.PAVLOVA@RPLAY.RU</v>
          </cell>
          <cell r="D1450" t="str">
            <v>S.PAVLOVA@RPLAY.RU</v>
          </cell>
        </row>
        <row r="1451">
          <cell r="A1451" t="str">
            <v>Павлюк Татьяна Николаевна</v>
          </cell>
          <cell r="B1451" t="str">
            <v>В-17747/КЛ.Транш - 1</v>
          </cell>
          <cell r="D1451" t="str">
            <v>20tatyana@mail.ru</v>
          </cell>
        </row>
        <row r="1452">
          <cell r="A1452" t="str">
            <v>Павлюк Татьяна Николаевна</v>
          </cell>
          <cell r="B1452" t="str">
            <v>В-17747/КЛ.Транш - 2</v>
          </cell>
          <cell r="D1452" t="str">
            <v>20tatyana@mail.ru</v>
          </cell>
        </row>
        <row r="1453">
          <cell r="A1453" t="str">
            <v>Павлюченко Михаил Михайлович</v>
          </cell>
          <cell r="B1453" t="str">
            <v>В-03197/КЛ.Транш - 2</v>
          </cell>
          <cell r="C1453" t="str">
            <v>mihailpavlucenko5@gmail.com</v>
          </cell>
        </row>
        <row r="1454">
          <cell r="A1454" t="str">
            <v>Паладе Иван Петрович</v>
          </cell>
          <cell r="B1454" t="str">
            <v>Т-01895/АЗ_Т-20211028/Ц</v>
          </cell>
          <cell r="C1454" t="str">
            <v>IVANPALADE@MAIL.RU</v>
          </cell>
          <cell r="D1454" t="str">
            <v>IVANPALADE@MAIL.RU</v>
          </cell>
        </row>
        <row r="1455">
          <cell r="A1455" t="str">
            <v>Палакян Ваге Гарникович</v>
          </cell>
          <cell r="B1455" t="str">
            <v>В-01160/АЗ</v>
          </cell>
          <cell r="C1455" t="str">
            <v>stroisiti17@mail.ru</v>
          </cell>
          <cell r="D1455" t="str">
            <v>stroisiti17@mail.ru</v>
          </cell>
        </row>
        <row r="1456">
          <cell r="A1456" t="str">
            <v>Палоян Самвел Максимович</v>
          </cell>
          <cell r="B1456" t="str">
            <v>В-21632/КЛ.Транш - 1</v>
          </cell>
          <cell r="D1456" t="str">
            <v>Samo.palo.19@gmail.com</v>
          </cell>
        </row>
        <row r="1457">
          <cell r="A1457" t="str">
            <v>Панина Ирина Валентиновна</v>
          </cell>
          <cell r="B1457" t="str">
            <v>В-09260/КЛ.Транш - 2</v>
          </cell>
          <cell r="C1457" t="str">
            <v>izoldovna@gmail.com</v>
          </cell>
        </row>
        <row r="1458">
          <cell r="A1458" t="str">
            <v>Панков Петр Владимирович</v>
          </cell>
          <cell r="B1458" t="str">
            <v>В-10611/КЛ.Транш - 1</v>
          </cell>
          <cell r="C1458" t="str">
            <v>pankovstroy@yandex.ru</v>
          </cell>
        </row>
        <row r="1459">
          <cell r="A1459" t="str">
            <v>Панов Дмитрий Евгеньевич</v>
          </cell>
          <cell r="B1459" t="str">
            <v>В-15405/КЛ.Транш - 1</v>
          </cell>
          <cell r="C1459" t="str">
            <v>dpanov_73@mail.ru</v>
          </cell>
        </row>
        <row r="1460">
          <cell r="A1460" t="str">
            <v>Панова Наталья Анатольевна</v>
          </cell>
          <cell r="B1460" t="str">
            <v>В-23354/АЗ</v>
          </cell>
          <cell r="C1460" t="str">
            <v>natashapano@mail.ru</v>
          </cell>
          <cell r="D1460" t="str">
            <v>natashapano@mail.ru</v>
          </cell>
        </row>
        <row r="1461">
          <cell r="A1461" t="str">
            <v>Панова Наталья Анатольевна</v>
          </cell>
          <cell r="B1461" t="str">
            <v>В-23813/АЗ</v>
          </cell>
          <cell r="C1461" t="str">
            <v>natashapano@mail.ru</v>
          </cell>
          <cell r="D1461" t="str">
            <v>natashapano@mail.ru</v>
          </cell>
        </row>
        <row r="1462">
          <cell r="A1462" t="str">
            <v>Паносян Эдуард Айрапетович</v>
          </cell>
          <cell r="B1462" t="str">
            <v>В-21416/КЛ.Транш - 1</v>
          </cell>
          <cell r="C1462" t="str">
            <v>panedo@mail.ru</v>
          </cell>
        </row>
        <row r="1463">
          <cell r="A1463" t="str">
            <v>Паносян Эдуард Айрапетович</v>
          </cell>
          <cell r="B1463" t="str">
            <v>В-21416/КЛ.Транш - 2</v>
          </cell>
          <cell r="C1463" t="str">
            <v>panedo@mail.ru</v>
          </cell>
        </row>
        <row r="1464">
          <cell r="A1464" t="str">
            <v>Паносян Эдуард Айрапетович</v>
          </cell>
          <cell r="B1464" t="str">
            <v>В-21416/КЛ.Транш - 3</v>
          </cell>
          <cell r="C1464" t="str">
            <v>panedo@mail.ru</v>
          </cell>
        </row>
        <row r="1465">
          <cell r="A1465" t="str">
            <v>Пантелеев Антон Дмитриевич</v>
          </cell>
          <cell r="B1465" t="str">
            <v>В-25657/КЛ.Транш - 1</v>
          </cell>
          <cell r="D1465" t="str">
            <v>79169343410@yandex.ru</v>
          </cell>
        </row>
        <row r="1466">
          <cell r="A1466" t="str">
            <v>Пантелеев Даниил Александрович</v>
          </cell>
          <cell r="B1466" t="str">
            <v>В-21847/КЛ.Транш - 1</v>
          </cell>
          <cell r="D1466" t="str">
            <v>Stek0105@mail.ru</v>
          </cell>
        </row>
        <row r="1467">
          <cell r="A1467" t="str">
            <v>Папикян Андраник Климентович</v>
          </cell>
          <cell r="B1467" t="str">
            <v>В-29072/КЛ.Транш - 1</v>
          </cell>
          <cell r="C1467" t="str">
            <v>antanpapikyan81@gmail.com</v>
          </cell>
          <cell r="D1467" t="str">
            <v>antanpapikyan81@gmail.com</v>
          </cell>
        </row>
        <row r="1468">
          <cell r="A1468" t="str">
            <v>Паронян Егор Каренович</v>
          </cell>
          <cell r="B1468" t="str">
            <v>В-24687/КЛ.Транш - 1</v>
          </cell>
          <cell r="C1468" t="str">
            <v>egor.paron9n@gmail.com</v>
          </cell>
        </row>
        <row r="1469">
          <cell r="A1469" t="str">
            <v>Парфенов Дмитрий Юрьевич</v>
          </cell>
          <cell r="B1469" t="str">
            <v>В-01082/АЗ</v>
          </cell>
          <cell r="C1469" t="str">
            <v>dp@bureau18.com</v>
          </cell>
        </row>
        <row r="1470">
          <cell r="A1470" t="str">
            <v>Парфенов Дмитрий Юрьевич</v>
          </cell>
          <cell r="B1470" t="str">
            <v>В-27151/АЗ</v>
          </cell>
          <cell r="C1470" t="str">
            <v>dp@bureau18.com</v>
          </cell>
        </row>
        <row r="1471">
          <cell r="A1471" t="str">
            <v>Парфёнова Наталья Николаевна</v>
          </cell>
          <cell r="B1471" t="str">
            <v>В-28323/КЛ.Транш - 1</v>
          </cell>
          <cell r="C1471" t="str">
            <v>n.parfenova80@mail.ru</v>
          </cell>
          <cell r="D1471" t="str">
            <v>n.parfenova80@mail.ru</v>
          </cell>
        </row>
        <row r="1472">
          <cell r="A1472" t="str">
            <v>Пархоменко Вячеслав Юрьевич</v>
          </cell>
          <cell r="B1472" t="str">
            <v>В-01180/АЗ</v>
          </cell>
          <cell r="C1472" t="str">
            <v>p.slavamen@mail.ru</v>
          </cell>
        </row>
        <row r="1473">
          <cell r="A1473" t="str">
            <v>Пахомов Михаил Юрьевич</v>
          </cell>
          <cell r="B1473" t="str">
            <v>В-13136/КЛ.Транш - 1_В-20211230/Ц</v>
          </cell>
          <cell r="D1473" t="str">
            <v>Pahom-mih.2910@mail.ru</v>
          </cell>
        </row>
        <row r="1474">
          <cell r="A1474" t="str">
            <v>Пашков Андрей Александрович</v>
          </cell>
          <cell r="B1474" t="str">
            <v>В-00793/АЗ</v>
          </cell>
          <cell r="C1474" t="str">
            <v>9161085064@mail.ru</v>
          </cell>
          <cell r="D1474" t="str">
            <v>9161085064@mail.ru</v>
          </cell>
        </row>
        <row r="1475">
          <cell r="A1475" t="str">
            <v>Пашнин Дмитрий Александрович</v>
          </cell>
          <cell r="B1475" t="str">
            <v>В-20948/КЛ.Транш - 1</v>
          </cell>
          <cell r="D1475" t="str">
            <v>detroytkopy@mail.ru</v>
          </cell>
        </row>
        <row r="1476">
          <cell r="A1476" t="str">
            <v>Певзнер Сергей Ефимович</v>
          </cell>
          <cell r="B1476" t="str">
            <v>В-23004/КЛ.Транш - 2</v>
          </cell>
          <cell r="C1476" t="str">
            <v>a17061968@mail.ru</v>
          </cell>
          <cell r="D1476" t="str">
            <v>a17061968@mail.ru</v>
          </cell>
        </row>
        <row r="1477">
          <cell r="A1477" t="str">
            <v>Певзнер Сергей Ефимович</v>
          </cell>
          <cell r="B1477" t="str">
            <v>В-23004/КЛ.Транш - 3</v>
          </cell>
          <cell r="C1477" t="str">
            <v>a17061968@mail.ru</v>
          </cell>
          <cell r="D1477" t="str">
            <v>a17061968@mail.ru</v>
          </cell>
        </row>
        <row r="1478">
          <cell r="A1478" t="str">
            <v>Пелипенко Алексей Николаевич</v>
          </cell>
          <cell r="B1478" t="str">
            <v>В-23585/КЛ.Транш - 1</v>
          </cell>
          <cell r="C1478" t="str">
            <v>1985aleksej1985@rambler.ru</v>
          </cell>
          <cell r="D1478" t="str">
            <v>1985aleksej1985@rambler.ru</v>
          </cell>
        </row>
        <row r="1479">
          <cell r="A1479" t="str">
            <v>Пеньков Алексей Александрович</v>
          </cell>
          <cell r="B1479" t="str">
            <v>В-25302/КЛ.Транш - 1</v>
          </cell>
          <cell r="D1479" t="str">
            <v>Aleksey.penkov.2011@mail.ru</v>
          </cell>
        </row>
        <row r="1480">
          <cell r="A1480" t="str">
            <v>Первушина Юлия Владимировна</v>
          </cell>
          <cell r="B1480" t="str">
            <v>В-15165/КЛ.Транш - 1</v>
          </cell>
          <cell r="D1480" t="str">
            <v>bvk2_43@mail.ru</v>
          </cell>
        </row>
        <row r="1481">
          <cell r="A1481" t="str">
            <v>Перевалов Артём Владимирович</v>
          </cell>
          <cell r="B1481" t="str">
            <v>В-07717/КЛ.Транш - 1</v>
          </cell>
        </row>
        <row r="1482">
          <cell r="A1482" t="str">
            <v>Перевалов Артём Владимирович</v>
          </cell>
          <cell r="B1482" t="str">
            <v>В-07717/КЛ.Транш - 2</v>
          </cell>
        </row>
        <row r="1483">
          <cell r="A1483" t="str">
            <v>Перевалов Артём Владимирович</v>
          </cell>
          <cell r="B1483" t="str">
            <v>В-07717/КЛ.Транш - 3</v>
          </cell>
        </row>
        <row r="1484">
          <cell r="A1484" t="str">
            <v>Перевалов Артём Владимирович</v>
          </cell>
          <cell r="B1484" t="str">
            <v>В-07717/КЛ.Транш - 4</v>
          </cell>
        </row>
        <row r="1485">
          <cell r="A1485" t="str">
            <v>Перевалов Артём Владимирович</v>
          </cell>
          <cell r="B1485" t="str">
            <v>В-07717/КЛ.Транш - 5</v>
          </cell>
        </row>
        <row r="1486">
          <cell r="A1486" t="str">
            <v>Перевозников Андрей Анатольевич</v>
          </cell>
          <cell r="B1486" t="str">
            <v>В-16877/КЛ.Транш - 1_В-20211230/Ц</v>
          </cell>
          <cell r="D1486" t="str">
            <v>perevosnikov@mail.ru</v>
          </cell>
        </row>
        <row r="1487">
          <cell r="A1487" t="str">
            <v>Пестерев Андрей Николаевич</v>
          </cell>
          <cell r="B1487" t="str">
            <v>В-26806/АЗ</v>
          </cell>
          <cell r="C1487" t="str">
            <v>a_pesterev@mail.ru</v>
          </cell>
          <cell r="D1487" t="str">
            <v>a_pesterev@mail.ru</v>
          </cell>
        </row>
        <row r="1488">
          <cell r="A1488" t="str">
            <v>Петку Сергей Владимирович</v>
          </cell>
          <cell r="B1488" t="str">
            <v>В-04809/КЛ.Транш - 1</v>
          </cell>
          <cell r="C1488" t="str">
            <v>ivan.qwerti2008@yandex.ru</v>
          </cell>
        </row>
        <row r="1489">
          <cell r="A1489" t="str">
            <v>Петров Александр Владимирович</v>
          </cell>
          <cell r="B1489" t="str">
            <v>А-04641/АЗ</v>
          </cell>
          <cell r="C1489" t="str">
            <v>2222@mail.ru</v>
          </cell>
          <cell r="D1489" t="str">
            <v>2222@mail.ru</v>
          </cell>
        </row>
        <row r="1490">
          <cell r="A1490" t="str">
            <v>Петров Артём Валериевич</v>
          </cell>
          <cell r="B1490" t="str">
            <v>В-21987/КЛ.Транш - 1</v>
          </cell>
          <cell r="D1490" t="str">
            <v>borec-grb@mail.ru</v>
          </cell>
        </row>
        <row r="1491">
          <cell r="A1491" t="str">
            <v>Петров Денис Александрович</v>
          </cell>
          <cell r="B1491" t="str">
            <v>В-01113/АЗ</v>
          </cell>
        </row>
        <row r="1492">
          <cell r="A1492" t="str">
            <v>Петров Николай Анатольевич</v>
          </cell>
          <cell r="B1492" t="str">
            <v>В-28393/КЛ.Транш - 1</v>
          </cell>
          <cell r="D1492" t="str">
            <v>petrow.ros@yandex.ru</v>
          </cell>
        </row>
        <row r="1493">
          <cell r="A1493" t="str">
            <v>Петров Сергей Анатольевич</v>
          </cell>
          <cell r="B1493" t="str">
            <v>В-17043/КЛ.Транш - 1</v>
          </cell>
          <cell r="D1493" t="str">
            <v>ageres.msk@gmail.com</v>
          </cell>
        </row>
        <row r="1494">
          <cell r="A1494" t="str">
            <v>Петров Сергей Владимирович</v>
          </cell>
          <cell r="B1494" t="str">
            <v>В-18167/КЛ.Транш - 1</v>
          </cell>
        </row>
        <row r="1495">
          <cell r="A1495" t="str">
            <v>Петров Юрий Викторович</v>
          </cell>
          <cell r="B1495" t="str">
            <v>В-26450/АЗ</v>
          </cell>
          <cell r="C1495" t="str">
            <v>pe4ka3x@gmail.com</v>
          </cell>
        </row>
        <row r="1496">
          <cell r="A1496" t="str">
            <v>Петрова Елена Владимировна</v>
          </cell>
          <cell r="B1496" t="str">
            <v>В-03974/КЛ.Транш - 3</v>
          </cell>
          <cell r="C1496" t="str">
            <v>epetrovav@mail.ru</v>
          </cell>
        </row>
        <row r="1497">
          <cell r="A1497" t="str">
            <v>Петрова Ирина Валентиновна</v>
          </cell>
          <cell r="B1497" t="str">
            <v>В-18215/КЛ.Транш - 1</v>
          </cell>
          <cell r="D1497" t="str">
            <v>p64irina@gmail.com</v>
          </cell>
        </row>
        <row r="1498">
          <cell r="A1498" t="str">
            <v>Петросян Анаит Ервандовна</v>
          </cell>
          <cell r="B1498" t="str">
            <v>В-28753/КЛ.Транш - 1</v>
          </cell>
          <cell r="C1498" t="str">
            <v>petrosyan-anait@internet.ru</v>
          </cell>
          <cell r="D1498" t="str">
            <v>petrosyan-anait@internet.ru</v>
          </cell>
        </row>
        <row r="1499">
          <cell r="A1499" t="str">
            <v>Петросян Карен Грайрович</v>
          </cell>
          <cell r="B1499" t="str">
            <v>В-27978/КЛ.Транш - 1</v>
          </cell>
          <cell r="D1499" t="str">
            <v>kareshka5775@gmail.com</v>
          </cell>
        </row>
        <row r="1500">
          <cell r="A1500" t="str">
            <v>Петрухин Анатолий Васильевич</v>
          </cell>
          <cell r="B1500" t="str">
            <v>В-00850/АЗ</v>
          </cell>
          <cell r="C1500" t="str">
            <v>a.petruhin81@rambler.ru</v>
          </cell>
        </row>
        <row r="1501">
          <cell r="A1501" t="str">
            <v>Петрухин Анатолий Васильевич</v>
          </cell>
          <cell r="B1501" t="str">
            <v>В-01015/АЗ</v>
          </cell>
          <cell r="C1501" t="str">
            <v>a.petruhin81@rambler.ru</v>
          </cell>
        </row>
        <row r="1502">
          <cell r="A1502" t="str">
            <v>Петрухин Анатолий Васильевич</v>
          </cell>
          <cell r="B1502" t="str">
            <v>В-01125/АЗ</v>
          </cell>
          <cell r="C1502" t="str">
            <v>a.petruhin81@rambler.ru</v>
          </cell>
        </row>
        <row r="1503">
          <cell r="A1503" t="str">
            <v>Петухов Евгений Владимирович</v>
          </cell>
          <cell r="B1503" t="str">
            <v>В-00473/КЛ.Транш - 3</v>
          </cell>
          <cell r="C1503" t="str">
            <v>petukhov-1980@mail.ru</v>
          </cell>
        </row>
        <row r="1504">
          <cell r="A1504" t="str">
            <v>Петухов Евгений Владимирович</v>
          </cell>
          <cell r="B1504" t="str">
            <v>В-00473/КЛ.Транш - 4</v>
          </cell>
          <cell r="C1504" t="str">
            <v>petukhov-1980@mail.ru</v>
          </cell>
        </row>
        <row r="1505">
          <cell r="A1505" t="str">
            <v>Петухов Евгений Владимирович</v>
          </cell>
          <cell r="B1505" t="str">
            <v>В-23712/КЛ.Транш - 1</v>
          </cell>
          <cell r="C1505" t="str">
            <v>petukhov-1980@mail.ru</v>
          </cell>
        </row>
        <row r="1506">
          <cell r="A1506" t="str">
            <v>Петухов Евгений Владимирович</v>
          </cell>
          <cell r="B1506" t="str">
            <v>В-23712/КЛ.Транш - 2</v>
          </cell>
          <cell r="C1506" t="str">
            <v>petukhov-1980@mail.ru</v>
          </cell>
        </row>
        <row r="1507">
          <cell r="A1507" t="str">
            <v>Петухов Евгений Владимирович</v>
          </cell>
          <cell r="B1507" t="str">
            <v>В-23712/КЛ.Транш - 3</v>
          </cell>
          <cell r="C1507" t="str">
            <v>petukhov-1980@mail.ru</v>
          </cell>
        </row>
        <row r="1508">
          <cell r="A1508" t="str">
            <v>Петухов Евгений Владимирович</v>
          </cell>
          <cell r="B1508" t="str">
            <v>В-23712/КЛ.Транш - 4</v>
          </cell>
          <cell r="C1508" t="str">
            <v>petukhov-1980@mail.ru</v>
          </cell>
        </row>
        <row r="1509">
          <cell r="A1509" t="str">
            <v>Печеников Александр Иванович</v>
          </cell>
          <cell r="B1509" t="str">
            <v>В-01085/АЗ</v>
          </cell>
          <cell r="D1509" t="str">
            <v>pechenikoff@gmail.com</v>
          </cell>
        </row>
        <row r="1510">
          <cell r="A1510" t="str">
            <v>Печеникова Оксана Александровна</v>
          </cell>
          <cell r="B1510" t="str">
            <v>В-01084/АЗ</v>
          </cell>
          <cell r="C1510" t="str">
            <v>ksupech@rambler.ru</v>
          </cell>
          <cell r="D1510" t="str">
            <v>ksupech@rambler.ru</v>
          </cell>
        </row>
        <row r="1511">
          <cell r="A1511" t="str">
            <v>Печников Алексей Олегович</v>
          </cell>
          <cell r="B1511" t="str">
            <v>А-05166/АЗ_А-20201019/Ц</v>
          </cell>
          <cell r="C1511" t="str">
            <v>pechkin75@mail.ru</v>
          </cell>
          <cell r="D1511" t="str">
            <v>pechkin75@mail.ru</v>
          </cell>
        </row>
        <row r="1512">
          <cell r="A1512" t="str">
            <v>Печников Алексей Олегович</v>
          </cell>
          <cell r="B1512" t="str">
            <v>В-00573/АЗ</v>
          </cell>
          <cell r="C1512" t="str">
            <v>pechkin75@mail.ru</v>
          </cell>
          <cell r="D1512" t="str">
            <v>pechkin75@mail.ru</v>
          </cell>
        </row>
        <row r="1513">
          <cell r="A1513" t="str">
            <v>Пешков Владимир Сергеевич</v>
          </cell>
          <cell r="B1513" t="str">
            <v>В-25852/КЛ.Транш - 1</v>
          </cell>
          <cell r="D1513" t="str">
            <v>Pehho@ya.ru</v>
          </cell>
        </row>
        <row r="1514">
          <cell r="A1514" t="str">
            <v>Пивченкова Наталья Александровна</v>
          </cell>
          <cell r="B1514" t="str">
            <v>В-25950/КЛ.Транш - 1</v>
          </cell>
          <cell r="D1514" t="str">
            <v>1982a11a05@gmail.com</v>
          </cell>
        </row>
        <row r="1515">
          <cell r="A1515" t="str">
            <v>Пилосов Павел Петрович</v>
          </cell>
          <cell r="B1515" t="str">
            <v>В-02944/КЛ.Транш - 1</v>
          </cell>
          <cell r="C1515" t="str">
            <v>ppplogistic@gmail.com</v>
          </cell>
        </row>
        <row r="1516">
          <cell r="A1516" t="str">
            <v>Пилюгин Олег Васильевич</v>
          </cell>
          <cell r="B1516" t="str">
            <v>В-21175/КЛ.Транш - 1</v>
          </cell>
          <cell r="D1516" t="str">
            <v>pilyugtn@bk.ru</v>
          </cell>
        </row>
        <row r="1517">
          <cell r="A1517" t="str">
            <v>Пинясов Александр Степанович</v>
          </cell>
          <cell r="B1517" t="str">
            <v>Т-01876/АЗ_Т-20211028/Ц</v>
          </cell>
          <cell r="C1517" t="str">
            <v>a.p.19921992@mail.ru</v>
          </cell>
        </row>
        <row r="1518">
          <cell r="A1518" t="str">
            <v>ПКБ НТТ ООО</v>
          </cell>
          <cell r="B1518" t="str">
            <v>В-00045/КЭ.Транш - 1</v>
          </cell>
          <cell r="C1518" t="str">
            <v>info@gksom.com</v>
          </cell>
        </row>
        <row r="1519">
          <cell r="A1519" t="str">
            <v>Платонов Николай Владимирович</v>
          </cell>
          <cell r="B1519" t="str">
            <v>В-25807/АЗ</v>
          </cell>
          <cell r="C1519" t="str">
            <v>Pastor07@yandex.ru</v>
          </cell>
          <cell r="D1519" t="str">
            <v>Pastor07@yandex.ru</v>
          </cell>
        </row>
        <row r="1520">
          <cell r="A1520" t="str">
            <v>Платунова Жанна Александровна</v>
          </cell>
          <cell r="B1520" t="str">
            <v>А-04384/АЗ</v>
          </cell>
          <cell r="C1520" t="str">
            <v>ZHANNA KOJUHOWA@YANDEX.RU</v>
          </cell>
          <cell r="D1520" t="str">
            <v>ZHANNA KOJUHOWA@YANDEX.RU</v>
          </cell>
        </row>
        <row r="1521">
          <cell r="A1521" t="str">
            <v>Плотников Николай Алексеевич</v>
          </cell>
          <cell r="B1521" t="str">
            <v>В-12696/КЛ.Транш - 3</v>
          </cell>
          <cell r="C1521" t="str">
            <v>plotnikov.tn@mail.ru</v>
          </cell>
          <cell r="D1521" t="str">
            <v>plotnikov.tn@mail.ru</v>
          </cell>
        </row>
        <row r="1522">
          <cell r="A1522" t="str">
            <v>Плющ Татьяна Владимировна</v>
          </cell>
          <cell r="B1522" t="str">
            <v>В-13516/КЛ.Транш - 2</v>
          </cell>
        </row>
        <row r="1523">
          <cell r="A1523" t="str">
            <v>Плющ Татьяна Владимировна</v>
          </cell>
          <cell r="B1523" t="str">
            <v>В-13516/КЛ.Транш - 3</v>
          </cell>
        </row>
        <row r="1524">
          <cell r="A1524" t="str">
            <v>Плющ Татьяна Владимировна</v>
          </cell>
          <cell r="B1524" t="str">
            <v>В-13516/КЛ.Транш - 4</v>
          </cell>
        </row>
        <row r="1525">
          <cell r="A1525" t="str">
            <v>Погосян Араик Акобович</v>
          </cell>
          <cell r="B1525" t="str">
            <v>В-28057/АЗ</v>
          </cell>
        </row>
        <row r="1526">
          <cell r="A1526" t="str">
            <v>Погосян Давид Грачьяевич</v>
          </cell>
          <cell r="B1526" t="str">
            <v>В-21708/КЛ.Транш - 4</v>
          </cell>
          <cell r="C1526" t="str">
            <v>ip.pogosyan89@mail.ru</v>
          </cell>
          <cell r="D1526" t="str">
            <v>ip.pogosyan89@mail.ru</v>
          </cell>
        </row>
        <row r="1527">
          <cell r="A1527" t="str">
            <v>Погосян Давид Грачьяевич</v>
          </cell>
          <cell r="B1527" t="str">
            <v>В-21708/КЛ.Транш - 5</v>
          </cell>
          <cell r="C1527" t="str">
            <v>ip.pogosyan89@mail.ru</v>
          </cell>
          <cell r="D1527" t="str">
            <v>ip.pogosyan89@mail.ru</v>
          </cell>
        </row>
        <row r="1528">
          <cell r="A1528" t="str">
            <v>Погосян Мелания Гарниковна</v>
          </cell>
          <cell r="B1528" t="str">
            <v>В-01151/АЗ</v>
          </cell>
          <cell r="C1528" t="str">
            <v>011298mk@rambler.ru</v>
          </cell>
        </row>
        <row r="1529">
          <cell r="A1529" t="str">
            <v>Погребняк Константин Николаевич</v>
          </cell>
          <cell r="B1529" t="str">
            <v>Т-01915/АЗ_Т-20211028/Ц</v>
          </cell>
        </row>
        <row r="1530">
          <cell r="A1530" t="str">
            <v>Погребняк Федор Олегович</v>
          </cell>
          <cell r="B1530" t="str">
            <v>В-07005/КЛ.Транш - 1</v>
          </cell>
          <cell r="C1530" t="str">
            <v>FEDOR_POGREBNYAK@MAIL.RU</v>
          </cell>
        </row>
        <row r="1531">
          <cell r="A1531" t="str">
            <v>Погребняк Федор Олегович</v>
          </cell>
          <cell r="B1531" t="str">
            <v>В-07005/КЛ.Транш - 2</v>
          </cell>
          <cell r="C1531" t="str">
            <v>FEDOR_POGREBNYAK@MAIL.RU</v>
          </cell>
        </row>
        <row r="1532">
          <cell r="A1532" t="str">
            <v>Погребняк Федор Олегович</v>
          </cell>
          <cell r="B1532" t="str">
            <v>В-07005/КЛ.Транш - 3</v>
          </cell>
          <cell r="C1532" t="str">
            <v>FEDOR_POGREBNYAK@MAIL.RU</v>
          </cell>
        </row>
        <row r="1533">
          <cell r="A1533" t="str">
            <v>Погудин Вячеслав Сергеевич</v>
          </cell>
          <cell r="B1533" t="str">
            <v>В-27716/КЛ.Транш - 1</v>
          </cell>
          <cell r="D1533" t="str">
            <v>pogudin550@gmail.com</v>
          </cell>
        </row>
        <row r="1534">
          <cell r="A1534" t="str">
            <v>Поддубный Николай Станиславович</v>
          </cell>
          <cell r="B1534" t="str">
            <v>В-00612/АЗ</v>
          </cell>
        </row>
        <row r="1535">
          <cell r="A1535" t="str">
            <v>Подтуркин Алексей Сергеевич</v>
          </cell>
          <cell r="B1535" t="str">
            <v>В-28274/КЛ.Транш - 1</v>
          </cell>
          <cell r="C1535" t="str">
            <v>podturkin1@mail.ru</v>
          </cell>
          <cell r="D1535" t="str">
            <v>podturkin1@mail.ru</v>
          </cell>
        </row>
        <row r="1536">
          <cell r="A1536" t="str">
            <v>Подчуфарова Лариса Николаевна</v>
          </cell>
          <cell r="B1536" t="str">
            <v>В-22449/КЛ.Транш - 1</v>
          </cell>
          <cell r="C1536" t="str">
            <v>larisanikolaevna_2013@yandex.ru</v>
          </cell>
          <cell r="D1536" t="str">
            <v>larisanikolaevna_2013@yandex.ru</v>
          </cell>
        </row>
        <row r="1537">
          <cell r="A1537" t="str">
            <v>Покатаев Андрей Борисович</v>
          </cell>
          <cell r="B1537" t="str">
            <v>В-13405/КЛ.Транш - 1</v>
          </cell>
          <cell r="C1537" t="str">
            <v>andrej.pokataev@mail.ru</v>
          </cell>
          <cell r="D1537" t="str">
            <v>andrej.pokataev@mail.ru</v>
          </cell>
        </row>
        <row r="1538">
          <cell r="A1538" t="str">
            <v>Полханов Владимир Николаевич</v>
          </cell>
          <cell r="B1538" t="str">
            <v>В-21053/КЛ.Транш - 1</v>
          </cell>
          <cell r="D1538" t="str">
            <v>eurolevel@mail.ru</v>
          </cell>
        </row>
        <row r="1539">
          <cell r="A1539" t="str">
            <v>Полханов Владимир Николаевич</v>
          </cell>
          <cell r="B1539" t="str">
            <v>В-21053/КЛ.Транш - 4</v>
          </cell>
          <cell r="D1539" t="str">
            <v>eurolevel@mail.ru</v>
          </cell>
        </row>
        <row r="1540">
          <cell r="A1540" t="str">
            <v>Поляков Евгений Сергеевич</v>
          </cell>
          <cell r="B1540" t="str">
            <v>В-20060/КЛ.Транш - 1</v>
          </cell>
          <cell r="D1540" t="str">
            <v>evgenijpolakov6385@gmail.com</v>
          </cell>
        </row>
        <row r="1541">
          <cell r="A1541" t="str">
            <v>Полякова Дарья Евгеньевна</v>
          </cell>
          <cell r="B1541" t="str">
            <v>В-12897/КЛ.Транш - 1</v>
          </cell>
          <cell r="D1541" t="str">
            <v>darja19911405@yandex.ru</v>
          </cell>
        </row>
        <row r="1542">
          <cell r="A1542" t="str">
            <v>Поляруш Ирина Валерьевна</v>
          </cell>
          <cell r="B1542" t="str">
            <v>В-01046/АЗ</v>
          </cell>
        </row>
        <row r="1543">
          <cell r="A1543" t="str">
            <v>Понкратьев Александр Алексеевич</v>
          </cell>
          <cell r="B1543" t="str">
            <v>В-21224/КЛ.Транш - 1</v>
          </cell>
          <cell r="D1543" t="str">
            <v>a.g.ent@yandeх.ru</v>
          </cell>
        </row>
        <row r="1544">
          <cell r="A1544" t="str">
            <v>Пономарчук Андрей Борисович</v>
          </cell>
          <cell r="B1544" t="str">
            <v>В-07595/КЛ.Транш - 1</v>
          </cell>
          <cell r="C1544" t="str">
            <v>ponand@mail.ru</v>
          </cell>
        </row>
        <row r="1545">
          <cell r="A1545" t="str">
            <v>Попков Вадим Борисович</v>
          </cell>
          <cell r="B1545" t="str">
            <v>В-01078/АЗ</v>
          </cell>
          <cell r="C1545" t="str">
            <v>vadimpopkov@yandex.ru</v>
          </cell>
        </row>
        <row r="1546">
          <cell r="A1546" t="str">
            <v>Поплавков Александр Петрович</v>
          </cell>
          <cell r="B1546" t="str">
            <v>В-26604/КЛ.Транш - 1</v>
          </cell>
          <cell r="D1546" t="str">
            <v>aleksandr.rds@mail.ru</v>
          </cell>
        </row>
        <row r="1547">
          <cell r="A1547" t="str">
            <v>Попов Виктор Вячеславович</v>
          </cell>
          <cell r="B1547" t="str">
            <v>В-21306/КЛ.Транш - 1</v>
          </cell>
          <cell r="D1547" t="str">
            <v>dragon80@bk.ru</v>
          </cell>
        </row>
        <row r="1548">
          <cell r="A1548" t="str">
            <v>Попов Григорий Сергеевич</v>
          </cell>
          <cell r="B1548" t="str">
            <v>В-22423/КЛ.Транш - 1</v>
          </cell>
        </row>
        <row r="1549">
          <cell r="A1549" t="str">
            <v>Попов Михаил Александрович</v>
          </cell>
          <cell r="B1549" t="str">
            <v>В-25810/АЗ</v>
          </cell>
        </row>
        <row r="1550">
          <cell r="A1550" t="str">
            <v>Попов Роман Николаевич</v>
          </cell>
          <cell r="B1550" t="str">
            <v>В-11946/КЛ.Транш - 2</v>
          </cell>
          <cell r="C1550" t="str">
            <v>mr.romanpopov@ya.ru</v>
          </cell>
        </row>
        <row r="1551">
          <cell r="A1551" t="str">
            <v>Попов Роман Николаевич</v>
          </cell>
          <cell r="B1551" t="str">
            <v>В-11946/КЛ.Транш - 3</v>
          </cell>
          <cell r="C1551" t="str">
            <v>mr.romanpopov@ya.ru</v>
          </cell>
        </row>
        <row r="1552">
          <cell r="A1552" t="str">
            <v>Попова Марина Альбертовна</v>
          </cell>
          <cell r="B1552" t="str">
            <v>А-05354/АЗ</v>
          </cell>
          <cell r="C1552" t="str">
            <v>mollien83@mail.ru</v>
          </cell>
          <cell r="D1552" t="str">
            <v>mollien83@mail.ru</v>
          </cell>
        </row>
        <row r="1553">
          <cell r="A1553" t="str">
            <v>Попова Марина Альбертовна</v>
          </cell>
          <cell r="B1553" t="str">
            <v>Т-01811/АЗ_Т-20211028/Ц</v>
          </cell>
          <cell r="C1553" t="str">
            <v>mollien83@mail.ru</v>
          </cell>
          <cell r="D1553" t="str">
            <v>mollien83@mail.ru</v>
          </cell>
        </row>
        <row r="1554">
          <cell r="A1554" t="str">
            <v>Попова Мария Спиридоновна</v>
          </cell>
          <cell r="B1554" t="str">
            <v>В-27435/КЛ.Транш - 1</v>
          </cell>
          <cell r="D1554" t="str">
            <v>stanislav_popoff@inbox.ru</v>
          </cell>
        </row>
        <row r="1555">
          <cell r="A1555" t="str">
            <v>Посвенчук Владислав Андреевич</v>
          </cell>
          <cell r="B1555" t="str">
            <v>В-05187/КЛ.Транш - 1</v>
          </cell>
          <cell r="C1555" t="str">
            <v>vladya8555@gmail.com</v>
          </cell>
        </row>
        <row r="1556">
          <cell r="A1556" t="str">
            <v>Потапов Виталий Борисович</v>
          </cell>
          <cell r="B1556" t="str">
            <v>В-00884/АЗ</v>
          </cell>
        </row>
        <row r="1557">
          <cell r="A1557" t="str">
            <v>Потёмкина Юлия Сергеевна</v>
          </cell>
          <cell r="B1557" t="str">
            <v>В-08822/КЛ.Транш - 1</v>
          </cell>
          <cell r="C1557" t="str">
            <v>iulchik.potemkina@yandex.ru</v>
          </cell>
        </row>
        <row r="1558">
          <cell r="A1558" t="str">
            <v>Потороченков Игорь Сергеевич</v>
          </cell>
          <cell r="B1558" t="str">
            <v>А-00049/БЭ</v>
          </cell>
          <cell r="C1558" t="str">
            <v>admin@joinit.ru</v>
          </cell>
          <cell r="D1558" t="str">
            <v>admin@joinit.ru</v>
          </cell>
        </row>
        <row r="1559">
          <cell r="A1559" t="str">
            <v>Почапский Антон Вячеславович</v>
          </cell>
          <cell r="B1559" t="str">
            <v>В-13669/КЛ.Транш - 2</v>
          </cell>
          <cell r="D1559" t="str">
            <v>rdm-mag@mail.ru</v>
          </cell>
        </row>
        <row r="1560">
          <cell r="A1560" t="str">
            <v>Почапский Антон Вячеславович</v>
          </cell>
          <cell r="B1560" t="str">
            <v>В-13669/КЛ.Транш - 3</v>
          </cell>
          <cell r="D1560" t="str">
            <v>rdm-mag@mail.ru</v>
          </cell>
        </row>
        <row r="1561">
          <cell r="A1561" t="str">
            <v>Почапский Антон Вячеславович</v>
          </cell>
          <cell r="B1561" t="str">
            <v>В-13669/КЛ.Транш - 4</v>
          </cell>
          <cell r="D1561" t="str">
            <v>rdm-mag@mail.ru</v>
          </cell>
        </row>
        <row r="1562">
          <cell r="A1562" t="str">
            <v>Почапский Антон Вячеславович</v>
          </cell>
          <cell r="B1562" t="str">
            <v>В-13669/КЛ.Транш - 5</v>
          </cell>
          <cell r="D1562" t="str">
            <v>rdm-mag@mail.ru</v>
          </cell>
        </row>
        <row r="1563">
          <cell r="A1563" t="str">
            <v>Почапский Антон Вячеславович</v>
          </cell>
          <cell r="B1563" t="str">
            <v>В-13669/КЛ.Транш - 6</v>
          </cell>
          <cell r="D1563" t="str">
            <v>rdm-mag@mail.ru</v>
          </cell>
        </row>
        <row r="1564">
          <cell r="A1564" t="str">
            <v>Правдивцева Наталья Владимировна</v>
          </cell>
          <cell r="B1564" t="str">
            <v>В-08745/КЛ.Транш - 1</v>
          </cell>
        </row>
        <row r="1565">
          <cell r="A1565" t="str">
            <v>Преснецов Андрей Владимирович</v>
          </cell>
          <cell r="B1565" t="str">
            <v>В-14029/КЛ.Транш - 1</v>
          </cell>
        </row>
        <row r="1566">
          <cell r="A1566" t="str">
            <v>Проклов Игорь Петрович</v>
          </cell>
          <cell r="B1566" t="str">
            <v>В-20218/КЛ.Транш - 1</v>
          </cell>
          <cell r="D1566" t="str">
            <v>labazinasn@mail.ru</v>
          </cell>
        </row>
        <row r="1567">
          <cell r="A1567" t="str">
            <v>ПРОМХИМ-ВЭД ООО</v>
          </cell>
          <cell r="B1567" t="str">
            <v>В-00072/КЭ.Транш - 1</v>
          </cell>
          <cell r="C1567" t="str">
            <v>promhim@inbox.ru</v>
          </cell>
        </row>
        <row r="1568">
          <cell r="A1568" t="str">
            <v>Пронина Кристина Яковлевна</v>
          </cell>
          <cell r="B1568" t="str">
            <v>В-20140/КЛ.Транш - 1</v>
          </cell>
          <cell r="D1568" t="str">
            <v>krispro@inbox.ru</v>
          </cell>
        </row>
        <row r="1569">
          <cell r="A1569" t="str">
            <v>Пронина Кристина Яковлевна</v>
          </cell>
          <cell r="B1569" t="str">
            <v>В-20140/КЛ.Транш - 2</v>
          </cell>
          <cell r="D1569" t="str">
            <v>krispro@inbox.ru</v>
          </cell>
        </row>
        <row r="1570">
          <cell r="A1570" t="str">
            <v>Пронина Кристина Яковлевна</v>
          </cell>
          <cell r="B1570" t="str">
            <v>В-20140/КЛ.Транш - 3</v>
          </cell>
          <cell r="D1570" t="str">
            <v>krispro@inbox.ru</v>
          </cell>
        </row>
        <row r="1571">
          <cell r="A1571" t="str">
            <v>Пронина Кристина Яковлевна</v>
          </cell>
          <cell r="B1571" t="str">
            <v>В-20140/КЛ.Транш - 4</v>
          </cell>
          <cell r="D1571" t="str">
            <v>krispro@inbox.ru</v>
          </cell>
        </row>
        <row r="1572">
          <cell r="A1572" t="str">
            <v>Пронина Кристина Яковлевна</v>
          </cell>
          <cell r="B1572" t="str">
            <v>В-20140/КЛ.Транш - 5</v>
          </cell>
          <cell r="D1572" t="str">
            <v>krispro@inbox.ru</v>
          </cell>
        </row>
        <row r="1573">
          <cell r="A1573" t="str">
            <v>Пронина Кристина Яковлевна</v>
          </cell>
          <cell r="B1573" t="str">
            <v>В-20140/КЛ.Транш - 6</v>
          </cell>
          <cell r="D1573" t="str">
            <v>krispro@inbox.ru</v>
          </cell>
        </row>
        <row r="1574">
          <cell r="A1574" t="str">
            <v>ПРОСТРАНСТВО РАЗВИТИЯ ЛЕРНЕР ООО</v>
          </cell>
          <cell r="B1574" t="str">
            <v>А-00419/КЭ.Транш - 2</v>
          </cell>
          <cell r="C1574" t="str">
            <v>popova@ler-ner.ru</v>
          </cell>
        </row>
        <row r="1575">
          <cell r="A1575" t="str">
            <v>Протасов Александр Николаевич</v>
          </cell>
          <cell r="B1575" t="str">
            <v>В-00321/АЗ</v>
          </cell>
        </row>
        <row r="1576">
          <cell r="A1576" t="str">
            <v>Прохоров Александр Владимирович</v>
          </cell>
          <cell r="B1576" t="str">
            <v>В-11009/КЛ.Транш - 1</v>
          </cell>
          <cell r="C1576" t="str">
            <v>proaleksand@gmail.com</v>
          </cell>
        </row>
        <row r="1577">
          <cell r="A1577" t="str">
            <v>Прохорова Лариса Александровна</v>
          </cell>
          <cell r="B1577" t="str">
            <v>В-25278/КЛ.Транш - 1</v>
          </cell>
          <cell r="D1577" t="str">
            <v>larapro44@mail.ru</v>
          </cell>
        </row>
        <row r="1578">
          <cell r="A1578" t="str">
            <v>Прохорова Наталья Васильевна</v>
          </cell>
          <cell r="B1578" t="str">
            <v>А-03947/АЗ_А-20210517/Ц</v>
          </cell>
        </row>
        <row r="1579">
          <cell r="A1579" t="str">
            <v>Прохорова Наталья Васильевна</v>
          </cell>
          <cell r="B1579" t="str">
            <v>Т-01497/АЗ_Т-20210517/Ц</v>
          </cell>
        </row>
        <row r="1580">
          <cell r="A1580" t="str">
            <v>Прусаков Максим Владимирович</v>
          </cell>
          <cell r="B1580" t="str">
            <v>В-16261/КЛ.Транш - 1</v>
          </cell>
          <cell r="D1580" t="str">
            <v>prusakov.mak@yandex.ru</v>
          </cell>
        </row>
        <row r="1581">
          <cell r="A1581" t="str">
            <v>Пугин Дмитрий Михайлович</v>
          </cell>
          <cell r="B1581" t="str">
            <v>В-00489/АЗ</v>
          </cell>
          <cell r="C1581" t="str">
            <v>Perfectmymail7@gmail.com</v>
          </cell>
          <cell r="D1581" t="str">
            <v>Perfectmymail7@gmail.com</v>
          </cell>
        </row>
        <row r="1582">
          <cell r="A1582" t="str">
            <v>Пудлич Ульяна Петровна</v>
          </cell>
          <cell r="B1582" t="str">
            <v>В-21019/КЛ.Транш - 1</v>
          </cell>
          <cell r="D1582" t="str">
            <v>ulyana.pudlich.97@mail.ru</v>
          </cell>
        </row>
        <row r="1583">
          <cell r="A1583" t="str">
            <v>Пустовойтов Сергей Николаевич</v>
          </cell>
          <cell r="B1583" t="str">
            <v>В-21454/КЛ.Транш - 1</v>
          </cell>
          <cell r="D1583" t="str">
            <v>pustovoytov@mail.ru</v>
          </cell>
        </row>
        <row r="1584">
          <cell r="A1584" t="str">
            <v>Пушкарев Александр Борисович</v>
          </cell>
          <cell r="B1584" t="str">
            <v>В-15954/КЛ.Транш - 1</v>
          </cell>
          <cell r="C1584" t="str">
            <v>biksbit2017@mail.ru</v>
          </cell>
        </row>
        <row r="1585">
          <cell r="A1585" t="str">
            <v>Пушкарев Александр Юрьевич</v>
          </cell>
          <cell r="B1585" t="str">
            <v>В-11679/КЛ.Транш - 1</v>
          </cell>
          <cell r="C1585" t="str">
            <v>alpuschkarev.79@mail.ru</v>
          </cell>
        </row>
        <row r="1586">
          <cell r="A1586" t="str">
            <v>Пушкарева Виолетта Алексеевна</v>
          </cell>
          <cell r="B1586" t="str">
            <v>В-22864/КЛ.Транш - 1</v>
          </cell>
        </row>
        <row r="1587">
          <cell r="A1587" t="str">
            <v>Пшеничников Дмитрий Станиславович</v>
          </cell>
          <cell r="B1587" t="str">
            <v>В-22538/КЛ.Транш - 1</v>
          </cell>
          <cell r="D1587" t="str">
            <v>89222155131@yandex.ru</v>
          </cell>
        </row>
        <row r="1588">
          <cell r="A1588" t="str">
            <v>Пшеничников Дмитрий Станиславович</v>
          </cell>
          <cell r="B1588" t="str">
            <v>В-22538/КЛ.Транш - 3</v>
          </cell>
          <cell r="D1588" t="str">
            <v>89222155131@yandex.ru</v>
          </cell>
        </row>
        <row r="1589">
          <cell r="A1589" t="str">
            <v>Пыдык Сергей Васильевич</v>
          </cell>
          <cell r="B1589" t="str">
            <v>В-19595/КЛ.Транш - 1</v>
          </cell>
          <cell r="D1589" t="str">
            <v>energybotenergy@gmail.com</v>
          </cell>
        </row>
        <row r="1590">
          <cell r="A1590" t="str">
            <v>Пыдык Сергей Васильевич</v>
          </cell>
          <cell r="B1590" t="str">
            <v>В-19595/КЛ.Транш - 2</v>
          </cell>
          <cell r="D1590" t="str">
            <v>energybotenergy@gmail.com</v>
          </cell>
        </row>
        <row r="1591">
          <cell r="A1591" t="str">
            <v>Пыдык Сергей Васильевич</v>
          </cell>
          <cell r="B1591" t="str">
            <v>В-19595/КЛ.Транш - 3</v>
          </cell>
          <cell r="D1591" t="str">
            <v>energybotenergy@gmail.com</v>
          </cell>
        </row>
        <row r="1592">
          <cell r="A1592" t="str">
            <v>Рагимов Рафик Балайевич</v>
          </cell>
          <cell r="B1592" t="str">
            <v>В-17315/КЛ.Транш - 1</v>
          </cell>
          <cell r="D1592" t="str">
            <v>rafikragimovv@gmail.com</v>
          </cell>
        </row>
        <row r="1593">
          <cell r="A1593" t="str">
            <v>Радев Николай Васильевич</v>
          </cell>
          <cell r="B1593" t="str">
            <v>В-02777/КЛ.Транш - 1</v>
          </cell>
          <cell r="C1593" t="str">
            <v>RadevNik@gmail.com</v>
          </cell>
        </row>
        <row r="1594">
          <cell r="A1594" t="str">
            <v>Радев Николай Васильевич</v>
          </cell>
          <cell r="B1594" t="str">
            <v>В-02777/КЛ.Транш - 2</v>
          </cell>
          <cell r="C1594" t="str">
            <v>RadevNik@gmail.com</v>
          </cell>
        </row>
        <row r="1595">
          <cell r="A1595" t="str">
            <v>Раджабалиева Саният Рамазановна</v>
          </cell>
          <cell r="B1595" t="str">
            <v>В-04527/КЛ.Транш - 8</v>
          </cell>
          <cell r="C1595" t="str">
            <v>saniyat.isakowa@yandex.ru</v>
          </cell>
        </row>
        <row r="1596">
          <cell r="A1596" t="str">
            <v>Раджабалиева Саният Рамазановна</v>
          </cell>
          <cell r="B1596" t="str">
            <v>В-04527/КЛ.Транш - 9</v>
          </cell>
          <cell r="C1596" t="str">
            <v>saniyat.isakowa@yandex.ru</v>
          </cell>
        </row>
        <row r="1597">
          <cell r="A1597" t="str">
            <v>Раджабов Рахматулло Хакимович</v>
          </cell>
          <cell r="B1597" t="str">
            <v>В-02125/КЛ.Транш - 2</v>
          </cell>
          <cell r="C1597" t="str">
            <v>radzabovrahmatullo109@gmail.com</v>
          </cell>
        </row>
        <row r="1598">
          <cell r="A1598" t="str">
            <v>Радыш Сергей Романович</v>
          </cell>
          <cell r="B1598" t="str">
            <v>В-16861/КЛ.Транш - 1</v>
          </cell>
          <cell r="D1598" t="str">
            <v>radysh.serg@yandex.ru</v>
          </cell>
        </row>
        <row r="1599">
          <cell r="A1599" t="str">
            <v>Райков Дмитрий Васильевич</v>
          </cell>
          <cell r="B1599" t="str">
            <v>В-18532/КЛ.Транш - 1</v>
          </cell>
          <cell r="C1599" t="str">
            <v>raikov.d@yandex.ru</v>
          </cell>
        </row>
        <row r="1600">
          <cell r="A1600" t="str">
            <v>Райков Дмитрий Васильевич</v>
          </cell>
          <cell r="B1600" t="str">
            <v>В-18532/КЛ.Транш - 2</v>
          </cell>
          <cell r="C1600" t="str">
            <v>raikov.d@yandex.ru</v>
          </cell>
        </row>
        <row r="1601">
          <cell r="A1601" t="str">
            <v>Ракитенко Николай Сергеевич</v>
          </cell>
          <cell r="B1601" t="str">
            <v>В-09640/КЛ.Транш - 1</v>
          </cell>
          <cell r="C1601" t="str">
            <v>rakitenko1992@mail.ru</v>
          </cell>
        </row>
        <row r="1602">
          <cell r="A1602" t="str">
            <v>Рамазанов Абакар Рамазанович</v>
          </cell>
          <cell r="B1602" t="str">
            <v>В-17916/КЛ.Транш - 1</v>
          </cell>
          <cell r="D1602" t="str">
            <v>7995@ro.ru</v>
          </cell>
        </row>
        <row r="1603">
          <cell r="A1603" t="str">
            <v>Рамишвили Марина Зурабовна</v>
          </cell>
          <cell r="B1603" t="str">
            <v>В-08609/КЛ.Транш - 1</v>
          </cell>
          <cell r="C1603" t="str">
            <v>geolama@mail.ru</v>
          </cell>
        </row>
        <row r="1604">
          <cell r="A1604" t="str">
            <v>Рамишвили Марина Зурабовна</v>
          </cell>
          <cell r="B1604" t="str">
            <v>В-08609/КЛ.Транш - 2</v>
          </cell>
          <cell r="C1604" t="str">
            <v>geolama@mail.ru</v>
          </cell>
        </row>
        <row r="1605">
          <cell r="A1605" t="str">
            <v>Рассказов Максим Владимирович</v>
          </cell>
          <cell r="B1605" t="str">
            <v>В-21040/КЛ.Транш - 1</v>
          </cell>
          <cell r="D1605" t="str">
            <v>rasskazovmaksim942@gmail.com</v>
          </cell>
        </row>
        <row r="1606">
          <cell r="A1606" t="str">
            <v>Расулов Ахмедхан Саидбекович</v>
          </cell>
          <cell r="B1606" t="str">
            <v>В-14168/КЛ.Транш - 3</v>
          </cell>
        </row>
        <row r="1607">
          <cell r="A1607" t="str">
            <v>Расулов Ахмедхан Саидбекович</v>
          </cell>
          <cell r="B1607" t="str">
            <v>В-14168/КЛ.Транш - 4</v>
          </cell>
        </row>
        <row r="1608">
          <cell r="A1608" t="str">
            <v>Ратчина Эльвира Олеговна</v>
          </cell>
          <cell r="B1608" t="str">
            <v>В-25924/АЗ</v>
          </cell>
          <cell r="C1608" t="str">
            <v>retcninaelli@gmail.com</v>
          </cell>
          <cell r="D1608" t="str">
            <v>retcninaelli@gmail.com</v>
          </cell>
        </row>
        <row r="1609">
          <cell r="A1609" t="str">
            <v>Рафиев Агалар Сейдага-оглы</v>
          </cell>
          <cell r="B1609" t="str">
            <v>А-04236/АЗ</v>
          </cell>
          <cell r="C1609" t="str">
            <v>dabunov@bk.ru</v>
          </cell>
          <cell r="D1609" t="str">
            <v>dabunov@bk.ru</v>
          </cell>
        </row>
        <row r="1610">
          <cell r="A1610" t="str">
            <v>Рахимов Фарход Каримович</v>
          </cell>
          <cell r="B1610" t="str">
            <v>В-26114/КЛ.Транш - 1</v>
          </cell>
          <cell r="D1610" t="str">
            <v>zalina.farhod@yandex.ru</v>
          </cell>
        </row>
        <row r="1611">
          <cell r="A1611" t="str">
            <v>Рахманов Данил Алексеевич</v>
          </cell>
          <cell r="B1611" t="str">
            <v>В-15698/КЛ.Транш - 1</v>
          </cell>
          <cell r="C1611" t="str">
            <v>danni_rakhmanov.ru@bk.ru</v>
          </cell>
        </row>
        <row r="1612">
          <cell r="A1612" t="str">
            <v>Рева Анастасия Владимировна</v>
          </cell>
          <cell r="B1612" t="str">
            <v>В-16959/КЛ.Транш - 1</v>
          </cell>
          <cell r="D1612" t="str">
            <v>revaav2896@gmail.com</v>
          </cell>
        </row>
        <row r="1613">
          <cell r="A1613" t="str">
            <v>Рева Анастасия Владимировна</v>
          </cell>
          <cell r="B1613" t="str">
            <v>В-16959/КЛ.Транш - 2</v>
          </cell>
          <cell r="D1613" t="str">
            <v>revaav2896@gmail.com</v>
          </cell>
        </row>
        <row r="1614">
          <cell r="A1614" t="str">
            <v>Резников Сергей Владимирович</v>
          </cell>
          <cell r="B1614" t="str">
            <v>В-09247/КЛ.Транш - 1_А-20210929/Ц</v>
          </cell>
          <cell r="C1614" t="str">
            <v>n6773@yandex.ru</v>
          </cell>
        </row>
        <row r="1615">
          <cell r="A1615" t="str">
            <v>РЖДК ООО</v>
          </cell>
          <cell r="B1615" t="str">
            <v>А-00416/КЭ.Транш - 2</v>
          </cell>
          <cell r="C1615" t="str">
            <v>rgdk@yandex.ru</v>
          </cell>
        </row>
        <row r="1616">
          <cell r="A1616" t="str">
            <v>Рикшпун Татьяна Александровна</v>
          </cell>
          <cell r="B1616" t="str">
            <v>В-03329/КЛ.Транш - 11</v>
          </cell>
          <cell r="C1616" t="str">
            <v>tatianarikshpun@gmail.com</v>
          </cell>
          <cell r="D1616" t="str">
            <v>tatianarikshpun@gmail.com</v>
          </cell>
        </row>
        <row r="1617">
          <cell r="A1617" t="str">
            <v>Рикшпун Татьяна Александровна</v>
          </cell>
          <cell r="B1617" t="str">
            <v>В-03329/КЛ.Транш - 12</v>
          </cell>
          <cell r="C1617" t="str">
            <v>tatianarikshpun@gmail.com</v>
          </cell>
          <cell r="D1617" t="str">
            <v>tatianarikshpun@gmail.com</v>
          </cell>
        </row>
        <row r="1618">
          <cell r="A1618" t="str">
            <v>Рикшпун Татьяна Александровна</v>
          </cell>
          <cell r="B1618" t="str">
            <v>В-03329/КЛ.Транш - 13</v>
          </cell>
          <cell r="C1618" t="str">
            <v>tatianarikshpun@gmail.com</v>
          </cell>
          <cell r="D1618" t="str">
            <v>tatianarikshpun@gmail.com</v>
          </cell>
        </row>
        <row r="1619">
          <cell r="A1619" t="str">
            <v>Рикшпун Татьяна Александровна</v>
          </cell>
          <cell r="B1619" t="str">
            <v>В-03329/КЛ.Транш - 14</v>
          </cell>
          <cell r="C1619" t="str">
            <v>tatianarikshpun@gmail.com</v>
          </cell>
          <cell r="D1619" t="str">
            <v>tatianarikshpun@gmail.com</v>
          </cell>
        </row>
        <row r="1620">
          <cell r="A1620" t="str">
            <v>Ришко Василий Васильевич</v>
          </cell>
          <cell r="B1620" t="str">
            <v>В-15509/КЛ.Транш - 2</v>
          </cell>
          <cell r="D1620" t="str">
            <v>veyze17@yandex.ru</v>
          </cell>
        </row>
        <row r="1621">
          <cell r="A1621" t="str">
            <v>Рогава Ольга Евгеньевна</v>
          </cell>
          <cell r="B1621" t="str">
            <v>В-13603/КЛ.Транш - 1</v>
          </cell>
          <cell r="C1621" t="str">
            <v>olga.ro@bk.ru</v>
          </cell>
          <cell r="D1621" t="str">
            <v>olga.ro@bk.ru</v>
          </cell>
        </row>
        <row r="1622">
          <cell r="A1622" t="str">
            <v>Рогава Ольга Евгеньевна</v>
          </cell>
          <cell r="B1622" t="str">
            <v>В-13603/КЛ.Транш - 4</v>
          </cell>
          <cell r="C1622" t="str">
            <v>olga.ro@bk.ru</v>
          </cell>
          <cell r="D1622" t="str">
            <v>olga.ro@bk.ru</v>
          </cell>
        </row>
        <row r="1623">
          <cell r="A1623" t="str">
            <v>Рогава Ольга Евгеньевна</v>
          </cell>
          <cell r="B1623" t="str">
            <v>В-13603/КЛ.Транш - 5</v>
          </cell>
          <cell r="C1623" t="str">
            <v>olga.ro@bk.ru</v>
          </cell>
          <cell r="D1623" t="str">
            <v>olga.ro@bk.ru</v>
          </cell>
        </row>
        <row r="1624">
          <cell r="A1624" t="str">
            <v>Рогава Ольга Евгеньевна</v>
          </cell>
          <cell r="B1624" t="str">
            <v>В-13603/КЛ.Транш - 6</v>
          </cell>
          <cell r="C1624" t="str">
            <v>olga.ro@bk.ru</v>
          </cell>
          <cell r="D1624" t="str">
            <v>olga.ro@bk.ru</v>
          </cell>
        </row>
        <row r="1625">
          <cell r="A1625" t="str">
            <v>Рогава Ольга Евгеньевна</v>
          </cell>
          <cell r="B1625" t="str">
            <v>В-13603/КЛ.Транш - 7</v>
          </cell>
          <cell r="C1625" t="str">
            <v>olga.ro@bk.ru</v>
          </cell>
          <cell r="D1625" t="str">
            <v>olga.ro@bk.ru</v>
          </cell>
        </row>
        <row r="1626">
          <cell r="A1626" t="str">
            <v>Рогальская Нина Ивановна</v>
          </cell>
          <cell r="B1626" t="str">
            <v>В-09891/КЛ.Транш - 1</v>
          </cell>
        </row>
        <row r="1627">
          <cell r="A1627" t="str">
            <v>Рогальский Алексей Станиславович</v>
          </cell>
          <cell r="B1627" t="str">
            <v>В-01009/АЗ</v>
          </cell>
          <cell r="C1627" t="str">
            <v>vep.2017@yandex.ru</v>
          </cell>
        </row>
        <row r="1628">
          <cell r="A1628" t="str">
            <v>Рогозин Андрей Иванович</v>
          </cell>
          <cell r="B1628" t="str">
            <v>Т-01722/АЗ_Т-20211028/Ц</v>
          </cell>
        </row>
        <row r="1629">
          <cell r="A1629" t="str">
            <v>Рогозина Диана Александровна</v>
          </cell>
          <cell r="B1629" t="str">
            <v>В-21094/КЛ.Транш - 1</v>
          </cell>
          <cell r="D1629" t="str">
            <v>drogozina780@gmail.com</v>
          </cell>
        </row>
        <row r="1630">
          <cell r="A1630" t="str">
            <v>Рожкова Наталья Петровна</v>
          </cell>
          <cell r="B1630" t="str">
            <v>В-11595/КЛ.Транш - 1</v>
          </cell>
          <cell r="C1630" t="str">
            <v>nataprigarina@mail.ru</v>
          </cell>
        </row>
        <row r="1631">
          <cell r="A1631" t="str">
            <v>Розанов Сергей Александрович</v>
          </cell>
          <cell r="B1631" t="str">
            <v>В-12813/КЛ.Транш - 1</v>
          </cell>
          <cell r="D1631" t="str">
            <v>rozanovsergey@yahoo.com</v>
          </cell>
        </row>
        <row r="1632">
          <cell r="A1632" t="str">
            <v>Ромайкина Анна Андреевна</v>
          </cell>
          <cell r="B1632" t="str">
            <v>В-00854/АЗ</v>
          </cell>
          <cell r="C1632" t="str">
            <v>annyshka1557@mail.ru</v>
          </cell>
        </row>
        <row r="1633">
          <cell r="A1633" t="str">
            <v>Романенко Антон Алексеевич</v>
          </cell>
          <cell r="B1633" t="str">
            <v>В-28368/АЗ</v>
          </cell>
        </row>
        <row r="1634">
          <cell r="A1634" t="str">
            <v>Романов Алексей Викторович</v>
          </cell>
          <cell r="B1634" t="str">
            <v>В-11948/КЛ.Транш - 1</v>
          </cell>
          <cell r="C1634" t="str">
            <v>holod2020odin@mail.ru</v>
          </cell>
        </row>
        <row r="1635">
          <cell r="A1635" t="str">
            <v>Романов Евгений Юрьевич</v>
          </cell>
          <cell r="B1635" t="str">
            <v>В-00955/АЗ</v>
          </cell>
          <cell r="C1635" t="str">
            <v>89161111516@mail.ru</v>
          </cell>
        </row>
        <row r="1636">
          <cell r="A1636" t="str">
            <v>Романова Анна Григорьевна</v>
          </cell>
          <cell r="B1636" t="str">
            <v>В-27661/КЛ.Транш - 2</v>
          </cell>
          <cell r="C1636" t="str">
            <v>annfromanova02011982@mail.ru</v>
          </cell>
        </row>
        <row r="1637">
          <cell r="A1637" t="str">
            <v>Романюк Александр Михайлович</v>
          </cell>
          <cell r="B1637" t="str">
            <v>В-20206/КЛ.Транш - 2</v>
          </cell>
        </row>
        <row r="1638">
          <cell r="A1638" t="str">
            <v>Росляков Артем Владимирович</v>
          </cell>
          <cell r="B1638" t="str">
            <v>В-18538/КЛ.Транш - 1</v>
          </cell>
          <cell r="D1638" t="str">
            <v>artemroslyakov@yandex.ru</v>
          </cell>
        </row>
        <row r="1639">
          <cell r="A1639" t="str">
            <v>Росляков Олег Николаевич</v>
          </cell>
          <cell r="B1639" t="str">
            <v>В-24554/КЛ.Транш - 1</v>
          </cell>
          <cell r="D1639" t="str">
            <v>rosliakov68@mail.ru</v>
          </cell>
        </row>
        <row r="1640">
          <cell r="A1640" t="str">
            <v>Ростовцев Александр Петрович</v>
          </cell>
          <cell r="B1640" t="str">
            <v>Т-01868/АЗ_Т-20211028/Ц</v>
          </cell>
          <cell r="C1640" t="str">
            <v>taracan1988@mail.ru</v>
          </cell>
          <cell r="D1640" t="str">
            <v>taracan1988@mail.ru</v>
          </cell>
        </row>
        <row r="1641">
          <cell r="A1641" t="str">
            <v>Рубайло Андрей Евгеньевич</v>
          </cell>
          <cell r="B1641" t="str">
            <v>В-00892/АЗ</v>
          </cell>
          <cell r="C1641" t="str">
            <v>r.64@list.ru</v>
          </cell>
        </row>
        <row r="1642">
          <cell r="A1642" t="str">
            <v>Руднев Николай Игоревич</v>
          </cell>
          <cell r="B1642" t="str">
            <v>В-07103/КЛ.Транш - 8</v>
          </cell>
          <cell r="C1642" t="str">
            <v>rudnev07@mail.ru</v>
          </cell>
        </row>
        <row r="1643">
          <cell r="A1643" t="str">
            <v>Руднев Николай Игоревич</v>
          </cell>
          <cell r="B1643" t="str">
            <v>В-07103/КЛ.Транш - 9</v>
          </cell>
          <cell r="C1643" t="str">
            <v>rudnev07@mail.ru</v>
          </cell>
        </row>
        <row r="1644">
          <cell r="A1644" t="str">
            <v>Рузавина Наталья Викторовна</v>
          </cell>
          <cell r="B1644" t="str">
            <v>В-21245/КЛ.Транш - 1</v>
          </cell>
          <cell r="D1644" t="str">
            <v>kachankina92@bk.ru</v>
          </cell>
        </row>
        <row r="1645">
          <cell r="A1645" t="str">
            <v>Рузавина Наталья Викторовна</v>
          </cell>
          <cell r="B1645" t="str">
            <v>В-21245/КЛ.Транш - 2</v>
          </cell>
          <cell r="D1645" t="str">
            <v>kachankina92@bk.ru</v>
          </cell>
        </row>
        <row r="1646">
          <cell r="A1646" t="str">
            <v>Рузавина Наталья Викторовна</v>
          </cell>
          <cell r="B1646" t="str">
            <v>В-21245/КЛ.Транш - 3</v>
          </cell>
          <cell r="D1646" t="str">
            <v>kachankina92@bk.ru</v>
          </cell>
        </row>
        <row r="1647">
          <cell r="A1647" t="str">
            <v>Рыбаков Виктор Васильевич</v>
          </cell>
          <cell r="B1647" t="str">
            <v>В-01425/КЛ.Транш - 1</v>
          </cell>
          <cell r="C1647" t="str">
            <v>v89778192293@yandex.ru</v>
          </cell>
        </row>
        <row r="1648">
          <cell r="A1648" t="str">
            <v>Рыбникова Ольга Ивановна</v>
          </cell>
          <cell r="B1648" t="str">
            <v>В-13638/КЛ.Транш - 1</v>
          </cell>
          <cell r="C1648" t="str">
            <v>ribka-lelik@bk.ru</v>
          </cell>
          <cell r="D1648" t="str">
            <v>ribka-lelik@bk.ru</v>
          </cell>
        </row>
        <row r="1649">
          <cell r="A1649" t="str">
            <v>Рыжков Вячеслав Николаевич</v>
          </cell>
          <cell r="B1649" t="str">
            <v>В-28083/КЛ.Транш - 1</v>
          </cell>
          <cell r="C1649" t="str">
            <v>winner.12323@gmail.com</v>
          </cell>
        </row>
        <row r="1650">
          <cell r="A1650" t="str">
            <v>Рыжкова Ирина Владимировна</v>
          </cell>
          <cell r="B1650" t="str">
            <v>В-14870/КЛ.Транш - 1</v>
          </cell>
          <cell r="D1650" t="str">
            <v>korm.7878@mail.ru</v>
          </cell>
        </row>
        <row r="1651">
          <cell r="A1651" t="str">
            <v>Рыцарева Анжелика Витальевна</v>
          </cell>
          <cell r="B1651" t="str">
            <v>В-20360/КЛ.Транш - 1</v>
          </cell>
          <cell r="D1651" t="str">
            <v>Anzelikastecenko3@gmail.com</v>
          </cell>
        </row>
        <row r="1652">
          <cell r="A1652" t="str">
            <v>Рыченков Александр Николаевич</v>
          </cell>
          <cell r="B1652" t="str">
            <v>В-01422/КЛ.Транш - 1</v>
          </cell>
          <cell r="C1652" t="str">
            <v>5046788@mail.ru</v>
          </cell>
        </row>
        <row r="1653">
          <cell r="A1653" t="str">
            <v>Рябов Игорь Владимирович</v>
          </cell>
          <cell r="B1653" t="str">
            <v>В-21911/КЛ.Транш - 1</v>
          </cell>
          <cell r="D1653" t="str">
            <v>ivliarbov@rambler.ru</v>
          </cell>
        </row>
        <row r="1654">
          <cell r="A1654" t="str">
            <v>Рябоконов Алексей Викторович</v>
          </cell>
          <cell r="B1654" t="str">
            <v>В-03450/КЛ.Транш - 1</v>
          </cell>
          <cell r="C1654" t="str">
            <v>alexeyryabokonov@yandex.ru</v>
          </cell>
        </row>
        <row r="1655">
          <cell r="A1655" t="str">
            <v>Рязанцев Дмитрий Тимурович</v>
          </cell>
          <cell r="B1655" t="str">
            <v>В-06852/КЛ.Транш - 1</v>
          </cell>
          <cell r="C1655" t="str">
            <v>R9205222976@YANDEX.RU</v>
          </cell>
        </row>
        <row r="1656">
          <cell r="A1656" t="str">
            <v>Рязанцев Дмитрий Тимурович</v>
          </cell>
          <cell r="B1656" t="str">
            <v>В-06852/КЛ.Транш - 2</v>
          </cell>
          <cell r="C1656" t="str">
            <v>R9205222976@YANDEX.RU</v>
          </cell>
        </row>
        <row r="1657">
          <cell r="A1657" t="str">
            <v>Рязанцев Дмитрий Тимурович</v>
          </cell>
          <cell r="B1657" t="str">
            <v>В-06852/КЛ.Транш - 3</v>
          </cell>
          <cell r="C1657" t="str">
            <v>R9205222976@YANDEX.RU</v>
          </cell>
        </row>
        <row r="1658">
          <cell r="A1658" t="str">
            <v>Саакян Людвик Геворгович</v>
          </cell>
          <cell r="B1658" t="str">
            <v>В-06992/КЛ.Транш - 1</v>
          </cell>
          <cell r="C1658" t="str">
            <v>Lyudvig.juvelir@mail.ru</v>
          </cell>
        </row>
        <row r="1659">
          <cell r="A1659" t="str">
            <v>Саакян Оганнес Мнацаканович</v>
          </cell>
          <cell r="B1659" t="str">
            <v>В-18654/КЛ.Транш - 1</v>
          </cell>
          <cell r="D1659" t="str">
            <v>kivo19900903@mail.ru</v>
          </cell>
        </row>
        <row r="1660">
          <cell r="A1660" t="str">
            <v>Саакян Рафик Самвелович</v>
          </cell>
          <cell r="B1660" t="str">
            <v>В-13625/КЛ.Транш - 1</v>
          </cell>
          <cell r="D1660" t="str">
            <v>Saakanrafik5@gmail.com</v>
          </cell>
        </row>
        <row r="1661">
          <cell r="A1661" t="str">
            <v>Саблинский Владимир Иванович</v>
          </cell>
          <cell r="B1661" t="str">
            <v>В-27438/АЗ</v>
          </cell>
          <cell r="D1661" t="str">
            <v>graf2805@list.ru</v>
          </cell>
        </row>
        <row r="1662">
          <cell r="A1662" t="str">
            <v>Савельев Александр Владимирович</v>
          </cell>
          <cell r="B1662" t="str">
            <v>В-17853/КЛ.Транш - 1</v>
          </cell>
          <cell r="D1662" t="str">
            <v>sava04061977@mail.ru</v>
          </cell>
        </row>
        <row r="1663">
          <cell r="A1663" t="str">
            <v>Савельев Александр Владимирович</v>
          </cell>
          <cell r="B1663" t="str">
            <v>В-17853/КЛ.Транш - 2</v>
          </cell>
          <cell r="D1663" t="str">
            <v>sava04061977@mail.ru</v>
          </cell>
        </row>
        <row r="1664">
          <cell r="A1664" t="str">
            <v>Савельев Александр Владимирович</v>
          </cell>
          <cell r="B1664" t="str">
            <v>В-17853/КЛ.Транш - 3</v>
          </cell>
          <cell r="D1664" t="str">
            <v>sava04061977@mail.ru</v>
          </cell>
        </row>
        <row r="1665">
          <cell r="A1665" t="str">
            <v>Савельев Александр Владимирович</v>
          </cell>
          <cell r="B1665" t="str">
            <v>В-17853/КЛ.Транш - 4</v>
          </cell>
          <cell r="D1665" t="str">
            <v>sava04061977@mail.ru</v>
          </cell>
        </row>
        <row r="1666">
          <cell r="A1666" t="str">
            <v>Савельев Александр Владимирович</v>
          </cell>
          <cell r="B1666" t="str">
            <v>В-17853/КЛ.Транш - 5</v>
          </cell>
          <cell r="D1666" t="str">
            <v>sava04061977@mail.ru</v>
          </cell>
        </row>
        <row r="1667">
          <cell r="A1667" t="str">
            <v>Савельев Александр Владимирович</v>
          </cell>
          <cell r="B1667" t="str">
            <v>В-17853/КЛ.Транш - 6</v>
          </cell>
          <cell r="D1667" t="str">
            <v>sava04061977@mail.ru</v>
          </cell>
        </row>
        <row r="1668">
          <cell r="A1668" t="str">
            <v>Савельев Александр Владимирович</v>
          </cell>
          <cell r="B1668" t="str">
            <v>В-17853/КЛ.Транш - 7</v>
          </cell>
          <cell r="D1668" t="str">
            <v>sava04061977@mail.ru</v>
          </cell>
        </row>
        <row r="1669">
          <cell r="A1669" t="str">
            <v>Савельев Григорий Алексеевич</v>
          </cell>
          <cell r="B1669" t="str">
            <v>В-03738/КЛ.Транш - 1</v>
          </cell>
          <cell r="C1669" t="str">
            <v>grifka96@yandex.ru</v>
          </cell>
        </row>
        <row r="1670">
          <cell r="A1670" t="str">
            <v>Савельев Станислав Валентинович</v>
          </cell>
          <cell r="B1670" t="str">
            <v>В-08454/КЛ.Транш - 1</v>
          </cell>
          <cell r="C1670" t="str">
            <v>SaveLievJR@yandex.ru</v>
          </cell>
        </row>
        <row r="1671">
          <cell r="A1671" t="str">
            <v>Савин Евгений Иванович</v>
          </cell>
          <cell r="B1671" t="str">
            <v>В-19891/КЛ.Транш - 1</v>
          </cell>
          <cell r="D1671" t="str">
            <v>evgg77@mail.ru</v>
          </cell>
        </row>
        <row r="1672">
          <cell r="A1672" t="str">
            <v>Савиных Татьяна Николаевна</v>
          </cell>
          <cell r="B1672" t="str">
            <v>В-21184/КЛ.Транш - 1</v>
          </cell>
          <cell r="D1672" t="str">
            <v>tatyana.savinykh67@mail.ru</v>
          </cell>
        </row>
        <row r="1673">
          <cell r="A1673" t="str">
            <v>Савостьянов Илья Сергеевич</v>
          </cell>
          <cell r="B1673" t="str">
            <v>В-25966/КЛ.Транш - 1</v>
          </cell>
          <cell r="D1673" t="str">
            <v>mngilya@gmail.com</v>
          </cell>
        </row>
        <row r="1674">
          <cell r="A1674" t="str">
            <v>Савостьянов Илья Сергеевич</v>
          </cell>
          <cell r="B1674" t="str">
            <v>В-25966/КЛ.Транш - 2</v>
          </cell>
          <cell r="D1674" t="str">
            <v>mngilya@gmail.com</v>
          </cell>
        </row>
        <row r="1675">
          <cell r="A1675" t="str">
            <v>Савчук Елена Александровна</v>
          </cell>
          <cell r="B1675" t="str">
            <v>В-21872/КЛ.Транш - 1</v>
          </cell>
          <cell r="D1675" t="str">
            <v>etitova.77@mail.ru</v>
          </cell>
        </row>
        <row r="1676">
          <cell r="A1676" t="str">
            <v>Садигов Нарман Адждар Оглы</v>
          </cell>
          <cell r="B1676" t="str">
            <v>В-11050/КЛ.Транш - 1</v>
          </cell>
        </row>
        <row r="1677">
          <cell r="A1677" t="str">
            <v>Садкеев Игорь Евгеньевич</v>
          </cell>
          <cell r="B1677" t="str">
            <v>В-00690/АЗ_В-20211230/Ц</v>
          </cell>
        </row>
        <row r="1678">
          <cell r="A1678" t="str">
            <v>Садырбекова Дамира Маматовна</v>
          </cell>
          <cell r="B1678" t="str">
            <v>В-09292/КЛ.Транш - 1</v>
          </cell>
        </row>
        <row r="1679">
          <cell r="A1679" t="str">
            <v>Сазанова Екатерина Владимировна</v>
          </cell>
          <cell r="B1679" t="str">
            <v>В-01215/АЗ</v>
          </cell>
          <cell r="C1679" t="str">
            <v>mrtour@mrtour.ru</v>
          </cell>
        </row>
        <row r="1680">
          <cell r="A1680" t="str">
            <v>Сайдалиева Наталия Владимировна</v>
          </cell>
          <cell r="B1680" t="str">
            <v>В-12662/КЛ.Транш - 1</v>
          </cell>
          <cell r="D1680" t="str">
            <v>saydalieva.84@mail.ru</v>
          </cell>
        </row>
        <row r="1681">
          <cell r="A1681" t="str">
            <v>Сайфуллин Айнур Чулпанович</v>
          </cell>
          <cell r="B1681" t="str">
            <v>В-22889/КЛ.Транш - 1</v>
          </cell>
          <cell r="D1681" t="str">
            <v>raul1910@mail.ru</v>
          </cell>
        </row>
        <row r="1682">
          <cell r="A1682" t="str">
            <v>Сайфуллин Айнур Чулпанович</v>
          </cell>
          <cell r="B1682" t="str">
            <v>В-22889/КЛ.Транш - 2</v>
          </cell>
          <cell r="D1682" t="str">
            <v>raul1910@mail.ru</v>
          </cell>
        </row>
        <row r="1683">
          <cell r="A1683" t="str">
            <v>Сайфуллин Айнур Чулпанович</v>
          </cell>
          <cell r="B1683" t="str">
            <v>В-22889/КЛ.Транш - 3</v>
          </cell>
          <cell r="D1683" t="str">
            <v>raul1910@mail.ru</v>
          </cell>
        </row>
        <row r="1684">
          <cell r="A1684" t="str">
            <v>Сайфуллин Рауль Чулпанович</v>
          </cell>
          <cell r="B1684" t="str">
            <v>В-27250/КЛ.Транш - 1</v>
          </cell>
          <cell r="D1684" t="str">
            <v>aynurrka1910@gmail.com</v>
          </cell>
        </row>
        <row r="1685">
          <cell r="A1685" t="str">
            <v>Сайфуллин Рауль Чулпанович</v>
          </cell>
          <cell r="B1685" t="str">
            <v>В-27250/КЛ.Транш - 2</v>
          </cell>
          <cell r="D1685" t="str">
            <v>aynurrka1910@gmail.com</v>
          </cell>
        </row>
        <row r="1686">
          <cell r="A1686" t="str">
            <v>Саламатин Максим Витальевич</v>
          </cell>
          <cell r="B1686" t="str">
            <v>В-05256/КЛ.Транш - 3</v>
          </cell>
          <cell r="C1686" t="str">
            <v>n-salamatina@list.ru</v>
          </cell>
        </row>
        <row r="1687">
          <cell r="A1687" t="str">
            <v>Саламатин Максим Витальевич</v>
          </cell>
          <cell r="B1687" t="str">
            <v>В-05256/КЛ.Транш - 4</v>
          </cell>
          <cell r="C1687" t="str">
            <v>n-salamatina@list.ru</v>
          </cell>
        </row>
        <row r="1688">
          <cell r="A1688" t="str">
            <v>Саликов Альберт Якубович</v>
          </cell>
          <cell r="B1688" t="str">
            <v>В-02110/КЛ.Транш - 1</v>
          </cell>
          <cell r="C1688" t="str">
            <v>SALIKOV14@MAIL.RU</v>
          </cell>
        </row>
        <row r="1689">
          <cell r="A1689" t="str">
            <v>Салимов Шерзод Тохирович</v>
          </cell>
          <cell r="B1689" t="str">
            <v>В-20442/КЛ.Транш - 1</v>
          </cell>
          <cell r="D1689" t="str">
            <v>salimovserzod96@gmail.com</v>
          </cell>
        </row>
        <row r="1690">
          <cell r="A1690" t="str">
            <v>Салихов Нурмагамед Гусенович</v>
          </cell>
          <cell r="B1690" t="str">
            <v>В-00182/КЛ.Транш - 1</v>
          </cell>
          <cell r="C1690" t="str">
            <v>galaxys221015@gmail.com</v>
          </cell>
        </row>
        <row r="1691">
          <cell r="A1691" t="str">
            <v>Салихов Нурмагамед Гусенович</v>
          </cell>
          <cell r="B1691" t="str">
            <v>В-00182/КЛ.Транш - 2</v>
          </cell>
          <cell r="C1691" t="str">
            <v>galaxys221015@gmail.com</v>
          </cell>
        </row>
        <row r="1692">
          <cell r="A1692" t="str">
            <v>Сальников Вячеслав Витальевич</v>
          </cell>
          <cell r="B1692" t="str">
            <v>В-00314/КЛ.Транш - 84</v>
          </cell>
          <cell r="C1692" t="str">
            <v>v.salnikov.1977@ya.ru</v>
          </cell>
        </row>
        <row r="1693">
          <cell r="A1693" t="str">
            <v>Сальников Вячеслав Витальевич</v>
          </cell>
          <cell r="B1693" t="str">
            <v>В-00314/КЛ.Транш - 85</v>
          </cell>
          <cell r="C1693" t="str">
            <v>v.salnikov.1977@ya.ru</v>
          </cell>
        </row>
        <row r="1694">
          <cell r="A1694" t="str">
            <v>Сальников Вячеслав Витальевич</v>
          </cell>
          <cell r="B1694" t="str">
            <v>В-00314/КЛ.Транш - 86</v>
          </cell>
          <cell r="C1694" t="str">
            <v>v.salnikov.1977@ya.ru</v>
          </cell>
        </row>
        <row r="1695">
          <cell r="A1695" t="str">
            <v>Самарина Наталья Александровна</v>
          </cell>
          <cell r="B1695" t="str">
            <v>В-11287/КЛ.Транш - 2</v>
          </cell>
          <cell r="C1695" t="str">
            <v>samnat1974@gmail.com</v>
          </cell>
        </row>
        <row r="1696">
          <cell r="A1696" t="str">
            <v>Самедов Эльдар Абилевич</v>
          </cell>
          <cell r="B1696" t="str">
            <v>В-18631/КЛ.Транш - 1</v>
          </cell>
          <cell r="D1696" t="str">
            <v>bbsooqa@rambler.ru</v>
          </cell>
        </row>
        <row r="1697">
          <cell r="A1697" t="str">
            <v>Самойленко Ирина Геннадьевна</v>
          </cell>
          <cell r="B1697" t="str">
            <v>В-15750/КЛ.Транш - 1</v>
          </cell>
          <cell r="D1697" t="str">
            <v>lady.samoylenko@gmail.com</v>
          </cell>
        </row>
        <row r="1698">
          <cell r="A1698" t="str">
            <v>Самойленко Ирина Геннадьевна</v>
          </cell>
          <cell r="B1698" t="str">
            <v>В-15750/КЛ.Транш - 2</v>
          </cell>
          <cell r="D1698" t="str">
            <v>lady.samoylenko@gmail.com</v>
          </cell>
        </row>
        <row r="1699">
          <cell r="A1699" t="str">
            <v>Самойленко Ирина Геннадьевна</v>
          </cell>
          <cell r="B1699" t="str">
            <v>В-15750/КЛ.Транш - 3</v>
          </cell>
          <cell r="D1699" t="str">
            <v>lady.samoylenko@gmail.com</v>
          </cell>
        </row>
        <row r="1700">
          <cell r="A1700" t="str">
            <v>Самойленко Роман Владимирович</v>
          </cell>
          <cell r="B1700" t="str">
            <v>В-01200/АЗ</v>
          </cell>
          <cell r="C1700" t="str">
            <v>RVS.981@yandex.ru</v>
          </cell>
          <cell r="D1700" t="str">
            <v>RVS.981@yandex.ru</v>
          </cell>
        </row>
        <row r="1701">
          <cell r="A1701" t="str">
            <v>Самойлов Дмитрий Анатольевич</v>
          </cell>
          <cell r="B1701" t="str">
            <v>В-03206/КЛ.Транш - 1</v>
          </cell>
          <cell r="C1701" t="str">
            <v>samtrek@mail.ru</v>
          </cell>
        </row>
        <row r="1702">
          <cell r="A1702" t="str">
            <v>Самохин Алексей Владимирович</v>
          </cell>
          <cell r="B1702" t="str">
            <v>А-05231/АЗ</v>
          </cell>
          <cell r="C1702" t="str">
            <v>aleks-samokhin@yandex.ru</v>
          </cell>
          <cell r="D1702" t="str">
            <v>aleks-samokhin@yandex.ru</v>
          </cell>
        </row>
        <row r="1703">
          <cell r="A1703" t="str">
            <v>Самохин Николай Александрович</v>
          </cell>
          <cell r="B1703" t="str">
            <v>В-25466/АЗ</v>
          </cell>
          <cell r="D1703" t="str">
            <v>SAMOXIN_@mail.ru</v>
          </cell>
        </row>
        <row r="1704">
          <cell r="A1704" t="str">
            <v>Самошин Дмитрий Сергеевич</v>
          </cell>
          <cell r="B1704" t="str">
            <v>В-23923/КЛ.Транш - 1</v>
          </cell>
          <cell r="C1704" t="str">
            <v>79778016312@yandex.ru</v>
          </cell>
          <cell r="D1704" t="str">
            <v>79778016312@yandex.ru</v>
          </cell>
        </row>
        <row r="1705">
          <cell r="A1705" t="str">
            <v>Сапельников Юрий Александрович</v>
          </cell>
          <cell r="B1705" t="str">
            <v>В-02975/КЛ.Транш - 1</v>
          </cell>
          <cell r="C1705" t="str">
            <v>KRASNODAR26.05@GMAIL.COM</v>
          </cell>
        </row>
        <row r="1706">
          <cell r="A1706" t="str">
            <v>Сапиева Суанда Анчоковна</v>
          </cell>
          <cell r="B1706" t="str">
            <v>В-24524/КЛ.Транш - 1</v>
          </cell>
          <cell r="D1706" t="str">
            <v>sapsuanda@mail.ru</v>
          </cell>
        </row>
        <row r="1707">
          <cell r="A1707" t="str">
            <v>Саповский Олег Владимирович</v>
          </cell>
          <cell r="B1707" t="str">
            <v>А-00029/БЭ</v>
          </cell>
        </row>
        <row r="1708">
          <cell r="A1708" t="str">
            <v>Сапожников Станислав Михайлович</v>
          </cell>
          <cell r="B1708" t="str">
            <v>В-26827/КЛ.Транш - 1</v>
          </cell>
          <cell r="D1708" t="str">
            <v>stas.atletov@mail.ru</v>
          </cell>
        </row>
        <row r="1709">
          <cell r="A1709" t="str">
            <v>Сапрыкин Сергей Владимирович</v>
          </cell>
          <cell r="B1709" t="str">
            <v>В-00638/АЗ</v>
          </cell>
        </row>
        <row r="1710">
          <cell r="A1710" t="str">
            <v>Сапунов Дмитрий Владимирович</v>
          </cell>
          <cell r="B1710" t="str">
            <v>В-01188/АЗ</v>
          </cell>
          <cell r="C1710" t="str">
            <v>sapunov2009@mail.list.ru</v>
          </cell>
          <cell r="D1710" t="str">
            <v>sapunov2009@mail.list.ru</v>
          </cell>
        </row>
        <row r="1711">
          <cell r="A1711" t="str">
            <v>Сараева Елена Юрьевна</v>
          </cell>
          <cell r="B1711" t="str">
            <v>В-20075/КЛ.Транш - 2</v>
          </cell>
          <cell r="D1711" t="str">
            <v>eakstyna@mail.ru</v>
          </cell>
        </row>
        <row r="1712">
          <cell r="A1712" t="str">
            <v>Сарибаева Эльнара Исмаиловна</v>
          </cell>
          <cell r="B1712" t="str">
            <v>В-00395/АЗ_В-20211230/Ц</v>
          </cell>
        </row>
        <row r="1713">
          <cell r="A1713" t="str">
            <v>Сариди Михаил Арсенович</v>
          </cell>
          <cell r="B1713" t="str">
            <v>В-24169/АЗ</v>
          </cell>
          <cell r="C1713" t="str">
            <v>MAXIMM60663@gmail.com</v>
          </cell>
          <cell r="D1713" t="str">
            <v>MAXIMM60663@gmail.com</v>
          </cell>
        </row>
        <row r="1714">
          <cell r="A1714" t="str">
            <v>Саркисов Никита Витальевич</v>
          </cell>
          <cell r="B1714" t="str">
            <v>В-25425/КЛ.Транш - 1</v>
          </cell>
          <cell r="C1714" t="str">
            <v>89892648701@mail.ru</v>
          </cell>
          <cell r="D1714" t="str">
            <v>89892648701@mail.ru</v>
          </cell>
        </row>
        <row r="1715">
          <cell r="A1715" t="str">
            <v>Саркисян Ваган Вартанович</v>
          </cell>
          <cell r="B1715" t="str">
            <v>В-28224/КЛ.Транш - 1</v>
          </cell>
          <cell r="D1715" t="str">
            <v>v2157777@gmail.com</v>
          </cell>
        </row>
        <row r="1716">
          <cell r="A1716" t="str">
            <v>Саркисян Геворк Александрович</v>
          </cell>
          <cell r="B1716" t="str">
            <v>В-00051/КЛ.Транш - 1</v>
          </cell>
        </row>
        <row r="1717">
          <cell r="A1717" t="str">
            <v>Саркисян Геворк Александрович</v>
          </cell>
          <cell r="B1717" t="str">
            <v>В-00051/КЛ.Транш - 2</v>
          </cell>
        </row>
        <row r="1718">
          <cell r="A1718" t="str">
            <v>Сатаров Андрей Викторович</v>
          </cell>
          <cell r="B1718" t="str">
            <v>В-05377/КЛ.Транш - 2</v>
          </cell>
          <cell r="C1718" t="str">
            <v>golovaneva.galya@yandex.ru</v>
          </cell>
          <cell r="D1718" t="str">
            <v>golovaneva.galya@yandex.ru</v>
          </cell>
        </row>
        <row r="1719">
          <cell r="A1719" t="str">
            <v>Саутин Александр Юрьевич</v>
          </cell>
          <cell r="B1719" t="str">
            <v>В-12391/КЛ.Транш - 1</v>
          </cell>
        </row>
        <row r="1720">
          <cell r="A1720" t="str">
            <v>Саутин Александр Юрьевич</v>
          </cell>
          <cell r="B1720" t="str">
            <v>В-12391/КЛ.Транш - 2</v>
          </cell>
        </row>
        <row r="1721">
          <cell r="A1721" t="str">
            <v>Сафаралиев Ровшан Гиняз Оглы</v>
          </cell>
          <cell r="B1721" t="str">
            <v>В-28680/КЛ.Транш - 1</v>
          </cell>
          <cell r="C1721" t="str">
            <v>rs9037459060@mail.ru</v>
          </cell>
          <cell r="D1721" t="str">
            <v>rs9037459060@mail.ru</v>
          </cell>
        </row>
        <row r="1722">
          <cell r="A1722" t="str">
            <v>Сафронова Кристина Руслановна</v>
          </cell>
          <cell r="B1722" t="str">
            <v>В-05772/КЛ.Транш - 1</v>
          </cell>
          <cell r="C1722" t="str">
            <v>kristishka93@mail.ru</v>
          </cell>
        </row>
        <row r="1723">
          <cell r="A1723" t="str">
            <v>Сахимова Анна Владимировна</v>
          </cell>
          <cell r="B1723" t="str">
            <v>В-19329/КЛ.Транш - 1_В-20211230/Ц</v>
          </cell>
          <cell r="D1723" t="str">
            <v>sakhianna@mail.ru</v>
          </cell>
        </row>
        <row r="1724">
          <cell r="A1724" t="str">
            <v>Сбоев Виктор Юрьевич</v>
          </cell>
          <cell r="B1724" t="str">
            <v>В-22246/КЛ.Транш - 3</v>
          </cell>
          <cell r="D1724" t="str">
            <v>9015999000@mail.ru</v>
          </cell>
        </row>
        <row r="1725">
          <cell r="A1725" t="str">
            <v>Свентковский Анатолий Владимирович</v>
          </cell>
          <cell r="B1725" t="str">
            <v>В-28643/АЗ</v>
          </cell>
        </row>
        <row r="1726">
          <cell r="A1726" t="str">
            <v>Светлов Виталий Анатольевич</v>
          </cell>
          <cell r="B1726" t="str">
            <v>В-26449/АЗ</v>
          </cell>
          <cell r="C1726" t="str">
            <v>s_vit.85@mail.ru</v>
          </cell>
        </row>
        <row r="1727">
          <cell r="A1727" t="str">
            <v>Свинцов Александр Владиславович</v>
          </cell>
          <cell r="B1727" t="str">
            <v>В-09719/КЛ.Транш - 1</v>
          </cell>
          <cell r="C1727" t="str">
            <v>taxik701no@gmail.com</v>
          </cell>
        </row>
        <row r="1728">
          <cell r="A1728" t="str">
            <v>Свищёва Елена Владимировна</v>
          </cell>
          <cell r="B1728" t="str">
            <v>В-12222/КЛ.Транш - 7</v>
          </cell>
          <cell r="C1728" t="str">
            <v>georgijkukuskin2@gmail.com</v>
          </cell>
        </row>
        <row r="1729">
          <cell r="A1729" t="str">
            <v>Свищёва Елена Владимировна</v>
          </cell>
          <cell r="B1729" t="str">
            <v>В-12222/КЛ.Транш - 8</v>
          </cell>
          <cell r="C1729" t="str">
            <v>georgijkukuskin2@gmail.com</v>
          </cell>
        </row>
        <row r="1730">
          <cell r="A1730" t="str">
            <v>СЕВЕРНЫЙ ФЛОТ ООО</v>
          </cell>
          <cell r="B1730" t="str">
            <v>А-10090/КЭ.Транш - 2</v>
          </cell>
          <cell r="C1730" t="str">
            <v>Severnyi-flot@bk.ru</v>
          </cell>
        </row>
        <row r="1731">
          <cell r="A1731" t="str">
            <v>СЕЙЛМЕД ООО</v>
          </cell>
          <cell r="B1731" t="str">
            <v>В-00003/КЭ.Транш - 1_А-20210929/Ц</v>
          </cell>
          <cell r="C1731" t="str">
            <v>salemed2018@gmail.com</v>
          </cell>
        </row>
        <row r="1732">
          <cell r="A1732" t="str">
            <v>Секриеру Вячеслав Андреевич</v>
          </cell>
          <cell r="B1732" t="str">
            <v>В-00449/КЛ.Транш - 1</v>
          </cell>
          <cell r="C1732" t="str">
            <v>stroidor09@mail.ru</v>
          </cell>
        </row>
        <row r="1733">
          <cell r="A1733" t="str">
            <v>Селеверстов Михаил Васильевич</v>
          </cell>
          <cell r="B1733" t="str">
            <v>В-18414/КЛ.Транш - 1</v>
          </cell>
          <cell r="D1733" t="str">
            <v>seleverstov-ilya@mail.ru</v>
          </cell>
        </row>
        <row r="1734">
          <cell r="A1734" t="str">
            <v>Селеверстов Михаил Васильевич</v>
          </cell>
          <cell r="B1734" t="str">
            <v>В-18414/КЛ.Транш - 2</v>
          </cell>
          <cell r="D1734" t="str">
            <v>seleverstov-ilya@mail.ru</v>
          </cell>
        </row>
        <row r="1735">
          <cell r="A1735" t="str">
            <v>Селиверстова Евгения Владимировна</v>
          </cell>
          <cell r="B1735" t="str">
            <v>В-19285/КЛ.Транш - 1</v>
          </cell>
          <cell r="D1735" t="str">
            <v>eva.seliverstova.89@bk.ru</v>
          </cell>
        </row>
        <row r="1736">
          <cell r="A1736" t="str">
            <v>Сельцова Наталья Юрьевна</v>
          </cell>
          <cell r="B1736" t="str">
            <v>В-00439/КЛ.Транш - 1</v>
          </cell>
          <cell r="C1736" t="str">
            <v>seltsova1979@gmail.com</v>
          </cell>
        </row>
        <row r="1737">
          <cell r="A1737" t="str">
            <v>Сельцова Наталья Юрьевна</v>
          </cell>
          <cell r="B1737" t="str">
            <v>В-00439/КЛ.Транш - 2</v>
          </cell>
          <cell r="C1737" t="str">
            <v>seltsova1979@gmail.com</v>
          </cell>
        </row>
        <row r="1738">
          <cell r="A1738" t="str">
            <v>Селютин Петр Петрович</v>
          </cell>
          <cell r="B1738" t="str">
            <v>А-04028/АЗ</v>
          </cell>
          <cell r="C1738" t="str">
            <v>sbppetr12@mail.ru</v>
          </cell>
          <cell r="D1738" t="str">
            <v>sbppetr12@mail.ru</v>
          </cell>
        </row>
        <row r="1739">
          <cell r="A1739" t="str">
            <v>Семененко Трофим Игоревич</v>
          </cell>
          <cell r="B1739" t="str">
            <v>В-14913/КЛ.Транш - 1</v>
          </cell>
          <cell r="D1739" t="str">
            <v>semenenko_ti@mail.ru</v>
          </cell>
        </row>
        <row r="1740">
          <cell r="A1740" t="str">
            <v>Семенов Андрей Сергеевич</v>
          </cell>
          <cell r="B1740" t="str">
            <v>В-13740/КЛ.Транш - 1</v>
          </cell>
          <cell r="C1740" t="str">
            <v>bigandrews@mail.ru</v>
          </cell>
          <cell r="D1740" t="str">
            <v>bigandrews@mail.ru</v>
          </cell>
        </row>
        <row r="1741">
          <cell r="A1741" t="str">
            <v>Семенов Евгений Александрович</v>
          </cell>
          <cell r="B1741" t="str">
            <v>В-15171/КЛ.Транш - 1</v>
          </cell>
          <cell r="C1741" t="str">
            <v>19490491977@mail.ru</v>
          </cell>
          <cell r="D1741" t="str">
            <v>19490491977@mail.ru</v>
          </cell>
        </row>
        <row r="1742">
          <cell r="A1742" t="str">
            <v>Семенов Николай Юрьевич</v>
          </cell>
          <cell r="B1742" t="str">
            <v>А-05271/АЗ</v>
          </cell>
          <cell r="C1742" t="str">
            <v>nikolai.semenov2017@yandex.ru</v>
          </cell>
          <cell r="D1742" t="str">
            <v>nikolai.semenov2017@yandex.ru</v>
          </cell>
        </row>
        <row r="1743">
          <cell r="A1743" t="str">
            <v>Семенов Сергей Юрьевич</v>
          </cell>
          <cell r="B1743" t="str">
            <v>В-20623/КЛ.Транш - 1</v>
          </cell>
          <cell r="D1743" t="str">
            <v>egor_id76@icloud.com</v>
          </cell>
        </row>
        <row r="1744">
          <cell r="A1744" t="str">
            <v>Семенченко Денис Алексеевич</v>
          </cell>
          <cell r="B1744" t="str">
            <v>В-17423/КЛ.Транш - 1</v>
          </cell>
          <cell r="D1744" t="str">
            <v>dfn.bookong@gmail.com</v>
          </cell>
        </row>
        <row r="1745">
          <cell r="A1745" t="str">
            <v>Семенчукова Яна Олеговна</v>
          </cell>
          <cell r="B1745" t="str">
            <v>В-28889/КЛ.Транш - 1</v>
          </cell>
          <cell r="D1745" t="str">
            <v>semenchukova96@list.ru</v>
          </cell>
        </row>
        <row r="1746">
          <cell r="A1746" t="str">
            <v>Семочкин Владимир Владимирович</v>
          </cell>
          <cell r="B1746" t="str">
            <v>В-00291/АЗ</v>
          </cell>
          <cell r="C1746" t="str">
            <v>vladimirbadrov220480@gmail.com</v>
          </cell>
        </row>
        <row r="1747">
          <cell r="A1747" t="str">
            <v>Семочкин Владимир Владимирович</v>
          </cell>
          <cell r="B1747" t="str">
            <v>В-00726/АЗ</v>
          </cell>
          <cell r="C1747" t="str">
            <v>vladimirbadrov220480@gmail.com</v>
          </cell>
        </row>
        <row r="1748">
          <cell r="A1748" t="str">
            <v>Сенченко Анна Станиславовна</v>
          </cell>
          <cell r="B1748" t="str">
            <v>В-12540/КЛ.Транш - 1</v>
          </cell>
          <cell r="C1748" t="str">
            <v>alinochka_senchenko@yandex.ru</v>
          </cell>
          <cell r="D1748" t="str">
            <v>alinochka_senchenko@yandex.ru</v>
          </cell>
        </row>
        <row r="1749">
          <cell r="A1749" t="str">
            <v>Сервис-Запчасть ООО</v>
          </cell>
          <cell r="B1749" t="str">
            <v>А-00403/КЭ.Транш - 1</v>
          </cell>
          <cell r="C1749" t="str">
            <v>szauto@yandex.ru</v>
          </cell>
        </row>
        <row r="1750">
          <cell r="A1750" t="str">
            <v>Сергеев Даниил Борисович</v>
          </cell>
          <cell r="B1750" t="str">
            <v>В-25211/АЗ</v>
          </cell>
          <cell r="C1750" t="str">
            <v>la-mint@live.com</v>
          </cell>
          <cell r="D1750" t="str">
            <v>la-mint@live.com</v>
          </cell>
        </row>
        <row r="1751">
          <cell r="A1751" t="str">
            <v>Сергеева Светлана Викторовна</v>
          </cell>
          <cell r="B1751" t="str">
            <v>В-00463/КЛ.Транш - 1</v>
          </cell>
          <cell r="C1751" t="str">
            <v>WER.1313W@BK.RU</v>
          </cell>
        </row>
        <row r="1752">
          <cell r="A1752" t="str">
            <v>Сергушкин Александр Николаевич</v>
          </cell>
          <cell r="B1752" t="str">
            <v>В-12791/КЛ.Транш - 3</v>
          </cell>
          <cell r="D1752" t="str">
            <v>sergushkin_2013@gmail.ru</v>
          </cell>
        </row>
        <row r="1753">
          <cell r="A1753" t="str">
            <v>Сергушкин Александр Николаевич</v>
          </cell>
          <cell r="B1753" t="str">
            <v>В-12791/КЛ.Транш - 4</v>
          </cell>
          <cell r="D1753" t="str">
            <v>sergushkin_2013@gmail.ru</v>
          </cell>
        </row>
        <row r="1754">
          <cell r="A1754" t="str">
            <v>Сердюк Вероника Владимировна</v>
          </cell>
          <cell r="B1754" t="str">
            <v>В-08065/КЛ.Транш - 1</v>
          </cell>
          <cell r="C1754" t="str">
            <v>svv98@list.ru</v>
          </cell>
        </row>
        <row r="1755">
          <cell r="A1755" t="str">
            <v>Сердюк Лидия Мянсуровна</v>
          </cell>
          <cell r="B1755" t="str">
            <v>А-03756/АЗ</v>
          </cell>
          <cell r="C1755" t="str">
            <v>5819805@gmail.com</v>
          </cell>
          <cell r="D1755" t="str">
            <v>5819805@gmail.com</v>
          </cell>
        </row>
        <row r="1756">
          <cell r="A1756" t="str">
            <v>Серегола Дмитрий Михайлович</v>
          </cell>
          <cell r="B1756" t="str">
            <v>В-24909/АЗ</v>
          </cell>
        </row>
        <row r="1757">
          <cell r="A1757" t="str">
            <v>Серов Лев Николаевич</v>
          </cell>
          <cell r="B1757" t="str">
            <v>В-00608/АЗ</v>
          </cell>
          <cell r="C1757" t="str">
            <v>voron7776@ya.ru</v>
          </cell>
        </row>
        <row r="1758">
          <cell r="A1758" t="str">
            <v>Серов Лев Николаевич</v>
          </cell>
          <cell r="B1758" t="str">
            <v>В-00932/АЗ</v>
          </cell>
          <cell r="C1758" t="str">
            <v>voron7776@ya.ru</v>
          </cell>
        </row>
        <row r="1759">
          <cell r="A1759" t="str">
            <v>Серопян Айк Мгерович</v>
          </cell>
          <cell r="B1759" t="str">
            <v>В-10466/КЛ.Транш - 1</v>
          </cell>
          <cell r="C1759" t="str">
            <v>Aikwanger@yandex.ru</v>
          </cell>
        </row>
        <row r="1760">
          <cell r="A1760" t="str">
            <v>Сеферян Галина Андрониковна</v>
          </cell>
          <cell r="B1760" t="str">
            <v>В-12693/КЛ.Транш - 2</v>
          </cell>
        </row>
        <row r="1761">
          <cell r="A1761" t="str">
            <v>Сеферян Галина Андрониковна</v>
          </cell>
          <cell r="B1761" t="str">
            <v>В-12693/КЛ.Транш - 3</v>
          </cell>
        </row>
        <row r="1762">
          <cell r="A1762" t="str">
            <v>Сеферян Галина Андрониковна</v>
          </cell>
          <cell r="B1762" t="str">
            <v>В-12693/КЛ.Транш - 4</v>
          </cell>
        </row>
        <row r="1763">
          <cell r="A1763" t="str">
            <v>Сеченова Вера Валерьевна</v>
          </cell>
          <cell r="B1763" t="str">
            <v>В-07912/КЛ.Транш - 3</v>
          </cell>
          <cell r="C1763" t="str">
            <v>vera-sechenova@mail.ru</v>
          </cell>
        </row>
        <row r="1764">
          <cell r="A1764" t="str">
            <v>Сеченова Вера Валерьевна</v>
          </cell>
          <cell r="B1764" t="str">
            <v>В-07912/КЛ.Транш - 4</v>
          </cell>
          <cell r="C1764" t="str">
            <v>vera-sechenova@mail.ru</v>
          </cell>
        </row>
        <row r="1765">
          <cell r="A1765" t="str">
            <v>Сеченова Вера Валерьевна</v>
          </cell>
          <cell r="B1765" t="str">
            <v>В-07912/КЛ.Транш - 5</v>
          </cell>
          <cell r="C1765" t="str">
            <v>vera-sechenova@mail.ru</v>
          </cell>
        </row>
        <row r="1766">
          <cell r="A1766" t="str">
            <v>Сеченова Вера Валерьевна</v>
          </cell>
          <cell r="B1766" t="str">
            <v>В-07912/КЛ.Транш - 6</v>
          </cell>
          <cell r="C1766" t="str">
            <v>vera-sechenova@mail.ru</v>
          </cell>
        </row>
        <row r="1767">
          <cell r="A1767" t="str">
            <v>СиБи Групп Рус ООО</v>
          </cell>
          <cell r="B1767" t="str">
            <v>А-00446/КЭ.Транш - 1</v>
          </cell>
          <cell r="C1767" t="str">
            <v>info@cb-group.ru</v>
          </cell>
        </row>
        <row r="1768">
          <cell r="A1768" t="str">
            <v>СиБи Групп Рус ООО</v>
          </cell>
          <cell r="B1768" t="str">
            <v>А-00446/КЭ.Транш - 2</v>
          </cell>
          <cell r="C1768" t="str">
            <v>info@cb-group.ru</v>
          </cell>
        </row>
        <row r="1769">
          <cell r="A1769" t="str">
            <v>Сиденко Ольга Викторовна</v>
          </cell>
          <cell r="B1769" t="str">
            <v>В-21972/КЛ.Транш - 2</v>
          </cell>
          <cell r="C1769" t="str">
            <v>S-olga-76@mail.ru</v>
          </cell>
          <cell r="D1769" t="str">
            <v>S-olga-76@mail.ru</v>
          </cell>
        </row>
        <row r="1770">
          <cell r="A1770" t="str">
            <v>Сиденко Роман Викторович</v>
          </cell>
          <cell r="B1770" t="str">
            <v>В-26592/КЛ.Транш - 1</v>
          </cell>
          <cell r="D1770" t="str">
            <v>fuel-47@mail.ru</v>
          </cell>
        </row>
        <row r="1771">
          <cell r="A1771" t="str">
            <v>Сидоренко Надежда Алексеевна</v>
          </cell>
          <cell r="B1771" t="str">
            <v>В-25306/КЛ.Транш - 1</v>
          </cell>
          <cell r="D1771" t="str">
            <v>89184037119@mail.ru</v>
          </cell>
        </row>
        <row r="1772">
          <cell r="A1772" t="str">
            <v>Сидоров Александр Владимирович</v>
          </cell>
          <cell r="B1772" t="str">
            <v>В-19355/КЛ.Транш - 1</v>
          </cell>
          <cell r="D1772" t="str">
            <v>ssidorov_09@mail.ru</v>
          </cell>
        </row>
        <row r="1773">
          <cell r="A1773" t="str">
            <v>Сидорович Дмитрий Владимирович</v>
          </cell>
          <cell r="B1773" t="str">
            <v>В-20449/КЛ.Транш - 1</v>
          </cell>
          <cell r="D1773" t="str">
            <v>moovit80@mail.ru</v>
          </cell>
        </row>
        <row r="1774">
          <cell r="A1774" t="str">
            <v>Силкин Максим Алексеевич</v>
          </cell>
          <cell r="B1774" t="str">
            <v>В-24172/АЗ</v>
          </cell>
          <cell r="C1774" t="str">
            <v>maximm60663@gmail.com</v>
          </cell>
        </row>
        <row r="1775">
          <cell r="A1775" t="str">
            <v>Силуков Александр Андреевич</v>
          </cell>
          <cell r="B1775" t="str">
            <v>В-24158/КЛ.Транш - 1</v>
          </cell>
          <cell r="D1775" t="str">
            <v>s79002057600@yandex.ru</v>
          </cell>
        </row>
        <row r="1776">
          <cell r="A1776" t="str">
            <v>Симонов Станислав Валерьевич</v>
          </cell>
          <cell r="B1776" t="str">
            <v>В-17752/КЛ.Транш - 1</v>
          </cell>
          <cell r="D1776" t="str">
            <v>vitimstroylitovko@mail.ru</v>
          </cell>
        </row>
        <row r="1777">
          <cell r="A1777" t="str">
            <v>Симонов Станислав Валерьевич</v>
          </cell>
          <cell r="B1777" t="str">
            <v>В-17752/КЛ.Транш - 2</v>
          </cell>
          <cell r="D1777" t="str">
            <v>vitimstroylitovko@mail.ru</v>
          </cell>
        </row>
        <row r="1778">
          <cell r="A1778" t="str">
            <v>Симонова Дарья Павловна</v>
          </cell>
          <cell r="B1778" t="str">
            <v>В-28376/КЛ.Транш - 1</v>
          </cell>
          <cell r="D1778" t="str">
            <v>dsi25a@yandex.ru</v>
          </cell>
        </row>
        <row r="1779">
          <cell r="A1779" t="str">
            <v>Сироткин Олег Георгиевич</v>
          </cell>
          <cell r="B1779" t="str">
            <v>В-03365/КЛ.Транш - 2</v>
          </cell>
          <cell r="C1779" t="str">
            <v>olegsirotkin72@gmail.com</v>
          </cell>
          <cell r="D1779" t="str">
            <v>olegsirotkin72@gmail.com</v>
          </cell>
        </row>
        <row r="1780">
          <cell r="A1780" t="str">
            <v>Сироткин Олег Георгиевич</v>
          </cell>
          <cell r="B1780" t="str">
            <v>В-03365/КЛ.Транш - 3</v>
          </cell>
          <cell r="C1780" t="str">
            <v>olegsirotkin72@gmail.com</v>
          </cell>
          <cell r="D1780" t="str">
            <v>olegsirotkin72@gmail.com</v>
          </cell>
        </row>
        <row r="1781">
          <cell r="A1781" t="str">
            <v>Сироткин Олег Георгиевич</v>
          </cell>
          <cell r="B1781" t="str">
            <v>В-03365/КЛ.Транш - 4</v>
          </cell>
          <cell r="C1781" t="str">
            <v>olegsirotkin72@gmail.com</v>
          </cell>
          <cell r="D1781" t="str">
            <v>olegsirotkin72@gmail.com</v>
          </cell>
        </row>
        <row r="1782">
          <cell r="A1782" t="str">
            <v>Сироткин Олег Георгиевич</v>
          </cell>
          <cell r="B1782" t="str">
            <v>В-03365/КЛ.Транш - 5</v>
          </cell>
          <cell r="C1782" t="str">
            <v>olegsirotkin72@gmail.com</v>
          </cell>
          <cell r="D1782" t="str">
            <v>olegsirotkin72@gmail.com</v>
          </cell>
        </row>
        <row r="1783">
          <cell r="A1783" t="str">
            <v>Ситников Сергей Алексеевич</v>
          </cell>
          <cell r="B1783" t="str">
            <v>В-20528/КЛ.Транш - 1</v>
          </cell>
          <cell r="D1783" t="str">
            <v>shmos@mail.ru</v>
          </cell>
        </row>
        <row r="1784">
          <cell r="A1784" t="str">
            <v>Ситников Сергей Алексеевич</v>
          </cell>
          <cell r="B1784" t="str">
            <v>В-20528/КЛ.Транш - 2</v>
          </cell>
          <cell r="D1784" t="str">
            <v>shmos@mail.ru</v>
          </cell>
        </row>
        <row r="1785">
          <cell r="A1785" t="str">
            <v>Ситников Сергей Алексеевич</v>
          </cell>
          <cell r="B1785" t="str">
            <v>В-20528/КЛ.Транш - 3</v>
          </cell>
          <cell r="D1785" t="str">
            <v>shmos@mail.ru</v>
          </cell>
        </row>
        <row r="1786">
          <cell r="A1786" t="str">
            <v>Ситников Сергей Алексеевич</v>
          </cell>
          <cell r="B1786" t="str">
            <v>В-20528/КЛ.Транш - 4</v>
          </cell>
          <cell r="D1786" t="str">
            <v>shmos@mail.ru</v>
          </cell>
        </row>
        <row r="1787">
          <cell r="A1787" t="str">
            <v>СК ОЛИМП ООО</v>
          </cell>
          <cell r="B1787" t="str">
            <v>В-10026/КЭ.Транш - 1</v>
          </cell>
          <cell r="C1787" t="str">
            <v>olimp.sk.spb@yandex.ru</v>
          </cell>
        </row>
        <row r="1788">
          <cell r="A1788" t="str">
            <v>Скляр Николай Николаевич</v>
          </cell>
          <cell r="B1788" t="str">
            <v>В-20931/КЛ.Транш - 1</v>
          </cell>
          <cell r="C1788" t="str">
            <v>logistic-city@bk.ru</v>
          </cell>
          <cell r="D1788" t="str">
            <v>89211899999@mail.ru</v>
          </cell>
        </row>
        <row r="1789">
          <cell r="A1789" t="str">
            <v>Скляр Николай Николаевич</v>
          </cell>
          <cell r="B1789" t="str">
            <v>В-20931/КЛ.Транш - 2</v>
          </cell>
          <cell r="C1789" t="str">
            <v>logistic-city@bk.ru</v>
          </cell>
          <cell r="D1789" t="str">
            <v>89211899999@mail.ru</v>
          </cell>
        </row>
        <row r="1790">
          <cell r="A1790" t="str">
            <v>Скоморохов Максим Дмитриевич</v>
          </cell>
          <cell r="B1790" t="str">
            <v>В-19518/КЛ.Транш - 1</v>
          </cell>
          <cell r="D1790" t="str">
            <v>smackmybeatch@gmail.com</v>
          </cell>
        </row>
        <row r="1791">
          <cell r="A1791" t="str">
            <v>Скопинов Иван Алексеевич</v>
          </cell>
          <cell r="B1791" t="str">
            <v>В-00178/КЛ.Транш - 1</v>
          </cell>
          <cell r="C1791" t="str">
            <v>ivanskopinov@yandex.ru</v>
          </cell>
        </row>
        <row r="1792">
          <cell r="A1792" t="str">
            <v>Скоробогатов Анатолий Николаевич</v>
          </cell>
          <cell r="B1792" t="str">
            <v>В-11830/КЛ.Транш - 1</v>
          </cell>
          <cell r="C1792" t="str">
            <v>Skbog@yandex.ru</v>
          </cell>
        </row>
        <row r="1793">
          <cell r="A1793" t="str">
            <v>Скрипичников Егор Сергеевич</v>
          </cell>
          <cell r="B1793" t="str">
            <v>В-09174/КЛ.Транш - 10</v>
          </cell>
          <cell r="C1793" t="str">
            <v>egormoya@yandex.ru</v>
          </cell>
        </row>
        <row r="1794">
          <cell r="A1794" t="str">
            <v>Скрипичников Егор Сергеевич</v>
          </cell>
          <cell r="B1794" t="str">
            <v>В-09174/КЛ.Транш - 7</v>
          </cell>
          <cell r="C1794" t="str">
            <v>egormoya@yandex.ru</v>
          </cell>
        </row>
        <row r="1795">
          <cell r="A1795" t="str">
            <v>Скрипичников Егор Сергеевич</v>
          </cell>
          <cell r="B1795" t="str">
            <v>В-09174/КЛ.Транш - 8</v>
          </cell>
          <cell r="C1795" t="str">
            <v>egormoya@yandex.ru</v>
          </cell>
        </row>
        <row r="1796">
          <cell r="A1796" t="str">
            <v>Скрипичников Егор Сергеевич</v>
          </cell>
          <cell r="B1796" t="str">
            <v>В-09174/КЛ.Транш - 9</v>
          </cell>
          <cell r="C1796" t="str">
            <v>egormoya@yandex.ru</v>
          </cell>
        </row>
        <row r="1797">
          <cell r="A1797" t="str">
            <v>Скрябин Сергей Харитонович</v>
          </cell>
          <cell r="B1797" t="str">
            <v>В-27905/КЛ.Транш - 1</v>
          </cell>
        </row>
        <row r="1798">
          <cell r="A1798" t="str">
            <v>Слепнев Иван Викторович</v>
          </cell>
          <cell r="B1798" t="str">
            <v>В-20251/КЛ.Транш - 2</v>
          </cell>
          <cell r="D1798" t="str">
            <v>sleivan@yandex.ru</v>
          </cell>
        </row>
        <row r="1799">
          <cell r="A1799" t="str">
            <v>Слепцова Маргарита Олеговна</v>
          </cell>
          <cell r="B1799" t="str">
            <v>В-01017/АЗ</v>
          </cell>
        </row>
        <row r="1800">
          <cell r="A1800" t="str">
            <v>Слепцова Маргарита Олеговна</v>
          </cell>
          <cell r="B1800" t="str">
            <v>В-01035/АЗ</v>
          </cell>
        </row>
        <row r="1801">
          <cell r="A1801" t="str">
            <v>Смирнов Андрей Евгеньевич</v>
          </cell>
          <cell r="B1801" t="str">
            <v>В-26242/КЛ.Транш - 1</v>
          </cell>
          <cell r="D1801" t="str">
            <v>andrey.smirnow82@mail.ru</v>
          </cell>
        </row>
        <row r="1802">
          <cell r="A1802" t="str">
            <v>Смирнов Игорь Александрович</v>
          </cell>
          <cell r="B1802" t="str">
            <v>В-24580/КЛ.Транш - 1</v>
          </cell>
          <cell r="C1802" t="str">
            <v>igorsmi@list.ru</v>
          </cell>
          <cell r="D1802" t="str">
            <v>igorsmi@list.ru</v>
          </cell>
        </row>
        <row r="1803">
          <cell r="A1803" t="str">
            <v>Смирнов Михаил Львович</v>
          </cell>
          <cell r="B1803" t="str">
            <v>В-18317/КЛ.Транш - 1</v>
          </cell>
          <cell r="C1803" t="str">
            <v>s_ml@mail.ru</v>
          </cell>
        </row>
        <row r="1804">
          <cell r="A1804" t="str">
            <v>Смирнова Наталия Васильевна</v>
          </cell>
          <cell r="B1804" t="str">
            <v>В-26237/КЛ.Транш - 1</v>
          </cell>
          <cell r="C1804" t="str">
            <v>tata021963@gmail.com</v>
          </cell>
        </row>
        <row r="1805">
          <cell r="A1805" t="str">
            <v>Смолин Виктор Иванович</v>
          </cell>
          <cell r="B1805" t="str">
            <v>В-27788/КЛ.Транш - 1</v>
          </cell>
          <cell r="D1805" t="str">
            <v>viktorsmolin932@mail.com</v>
          </cell>
        </row>
        <row r="1806">
          <cell r="A1806" t="str">
            <v>Снегирёв Сергей Викторович</v>
          </cell>
          <cell r="B1806" t="str">
            <v>В-00271/АЗ_Т-20211028/Ц</v>
          </cell>
          <cell r="C1806" t="str">
            <v>ssnegir1307@mail.ru</v>
          </cell>
        </row>
        <row r="1807">
          <cell r="A1807" t="str">
            <v>Собиров Раджабали Карахужаевич</v>
          </cell>
          <cell r="B1807" t="str">
            <v>В-06818/КЛ.Транш - 1</v>
          </cell>
          <cell r="C1807" t="str">
            <v>ruslan.362mr@gmail.com</v>
          </cell>
        </row>
        <row r="1808">
          <cell r="A1808" t="str">
            <v>Соболев Владимир Александрович</v>
          </cell>
          <cell r="B1808" t="str">
            <v>В-12152/КЛ.Транш - 1</v>
          </cell>
          <cell r="D1808" t="str">
            <v>sobolev1966va@yandex.ru</v>
          </cell>
        </row>
        <row r="1809">
          <cell r="A1809" t="str">
            <v>Сойников Денис Валерьевич</v>
          </cell>
          <cell r="B1809" t="str">
            <v>В-24754/КЛ.Транш - 1</v>
          </cell>
          <cell r="C1809" t="str">
            <v>denis@davis.ru</v>
          </cell>
        </row>
        <row r="1810">
          <cell r="A1810" t="str">
            <v>Соколов Игорь Васильевич</v>
          </cell>
          <cell r="B1810" t="str">
            <v>В-02902/КЛ.Транш - 1_В-20211230/Ц</v>
          </cell>
          <cell r="C1810" t="str">
            <v>sokolov-igorek@mail.ru</v>
          </cell>
        </row>
        <row r="1811">
          <cell r="A1811" t="str">
            <v>Соколов Константин Валентинович</v>
          </cell>
          <cell r="B1811" t="str">
            <v>В-28433/КЛ.Транш - 1</v>
          </cell>
          <cell r="D1811" t="str">
            <v>SKV-ural@yandex.ru</v>
          </cell>
        </row>
        <row r="1812">
          <cell r="A1812" t="str">
            <v>Соколов Константин Иванович</v>
          </cell>
          <cell r="B1812" t="str">
            <v>В-28906/КЛ.Транш - 1</v>
          </cell>
          <cell r="C1812" t="str">
            <v>zavernyl@mail.ru</v>
          </cell>
          <cell r="D1812" t="str">
            <v>zavernyl@mail.ru</v>
          </cell>
        </row>
        <row r="1813">
          <cell r="A1813" t="str">
            <v>Соколов Сергей Юрьевич</v>
          </cell>
          <cell r="B1813" t="str">
            <v>В-23940/АЗ</v>
          </cell>
          <cell r="C1813" t="str">
            <v>sokolevitchus@gmail.com</v>
          </cell>
          <cell r="D1813" t="str">
            <v>sokolevitchus@gmail.com</v>
          </cell>
        </row>
        <row r="1814">
          <cell r="A1814" t="str">
            <v>Соколова Екатерина Николаевна</v>
          </cell>
          <cell r="B1814" t="str">
            <v>В-25764/КЛ.Транш - 1</v>
          </cell>
          <cell r="C1814" t="str">
            <v>ekaterinasokolova311@gmail.com</v>
          </cell>
        </row>
        <row r="1815">
          <cell r="A1815" t="str">
            <v>Соколова Елена Викторовна</v>
          </cell>
          <cell r="B1815" t="str">
            <v>В-20544/КЛ.Транш - 1</v>
          </cell>
          <cell r="D1815" t="str">
            <v>Helen-sokole@yandex.ru</v>
          </cell>
        </row>
        <row r="1816">
          <cell r="A1816" t="str">
            <v>Солдатенков Алексей Геннадиевич</v>
          </cell>
          <cell r="B1816" t="str">
            <v>В-14544/КЛ.Транш - 1</v>
          </cell>
        </row>
        <row r="1817">
          <cell r="A1817" t="str">
            <v>Солдатенков Алексей Геннадиевич</v>
          </cell>
          <cell r="B1817" t="str">
            <v>В-14544/КЛ.Транш - 2</v>
          </cell>
        </row>
        <row r="1818">
          <cell r="A1818" t="str">
            <v>Соловьёв Владимир Павлович</v>
          </cell>
          <cell r="B1818" t="str">
            <v>В-22238/КЛ.Транш - 1_В20211230/Ц</v>
          </cell>
          <cell r="D1818" t="str">
            <v>solovievvladimir19644@gmail.com</v>
          </cell>
        </row>
        <row r="1819">
          <cell r="A1819" t="str">
            <v>Соловьев Сергей Сергеевич</v>
          </cell>
          <cell r="B1819" t="str">
            <v>В-05365/КЛ.Транш - 2</v>
          </cell>
          <cell r="C1819" t="str">
            <v>solov00@yandex.ru</v>
          </cell>
        </row>
        <row r="1820">
          <cell r="A1820" t="str">
            <v>Соловьев Сергей Сергеевич</v>
          </cell>
          <cell r="B1820" t="str">
            <v>В-05365/КЛ.Транш - 3</v>
          </cell>
          <cell r="C1820" t="str">
            <v>solov00@yandex.ru</v>
          </cell>
        </row>
        <row r="1821">
          <cell r="A1821" t="str">
            <v>Соловьев Сергей Сергеевич</v>
          </cell>
          <cell r="B1821" t="str">
            <v>В-05365/КЛ.Транш - 5</v>
          </cell>
          <cell r="C1821" t="str">
            <v>solov00@yandex.ru</v>
          </cell>
        </row>
        <row r="1822">
          <cell r="A1822" t="str">
            <v>Солодов Михаил Александрович</v>
          </cell>
          <cell r="B1822" t="str">
            <v>В-01319/КЛ.Транш - 1</v>
          </cell>
          <cell r="C1822" t="str">
            <v>solodov1974@mail.ru</v>
          </cell>
        </row>
        <row r="1823">
          <cell r="A1823" t="str">
            <v>Соломатин Алексей Юрьевич</v>
          </cell>
          <cell r="B1823" t="str">
            <v>В-00896/АЗ</v>
          </cell>
          <cell r="C1823" t="str">
            <v>solomatin.alexei@gmail.com</v>
          </cell>
          <cell r="D1823" t="str">
            <v>solomatin.alexei@gmail.com</v>
          </cell>
        </row>
        <row r="1824">
          <cell r="A1824" t="str">
            <v>Солохин Александр Игоревич</v>
          </cell>
          <cell r="B1824" t="str">
            <v>В-00478/КЛ.Транш - 1</v>
          </cell>
          <cell r="C1824" t="str">
            <v>solokhin-2020@mail.ru</v>
          </cell>
        </row>
        <row r="1825">
          <cell r="A1825" t="str">
            <v>Солохин Александр Игоревич</v>
          </cell>
          <cell r="B1825" t="str">
            <v>В-00478/КЛ.Транш - 2</v>
          </cell>
          <cell r="C1825" t="str">
            <v>solokhin-2020@mail.ru</v>
          </cell>
        </row>
        <row r="1826">
          <cell r="A1826" t="str">
            <v>Сомов Денис Валерьевич</v>
          </cell>
          <cell r="B1826" t="str">
            <v>В-13034/КЛ.Транш - 1</v>
          </cell>
          <cell r="D1826" t="str">
            <v>Somov.denis.80@mail.ru</v>
          </cell>
        </row>
        <row r="1827">
          <cell r="A1827" t="str">
            <v>Сомов Денис Валерьевич</v>
          </cell>
          <cell r="B1827" t="str">
            <v>В-13034/КЛ.Транш - 2</v>
          </cell>
          <cell r="D1827" t="str">
            <v>Somov.denis.80@mail.ru</v>
          </cell>
        </row>
        <row r="1828">
          <cell r="A1828" t="str">
            <v>Сомсиков Антон Николаевич</v>
          </cell>
          <cell r="B1828" t="str">
            <v>В-02105/КЛ.Транш - 1</v>
          </cell>
          <cell r="C1828" t="str">
            <v>asomsikov@mail.ru</v>
          </cell>
        </row>
        <row r="1829">
          <cell r="A1829" t="str">
            <v>Сорокин Александр Вадимович</v>
          </cell>
          <cell r="B1829" t="str">
            <v>Т-01799/АЗ_В-20211230/Ц</v>
          </cell>
          <cell r="C1829" t="str">
            <v>skm-opto72@yandex.ru</v>
          </cell>
        </row>
        <row r="1830">
          <cell r="A1830" t="str">
            <v>Сорокин Константин Витальевич</v>
          </cell>
          <cell r="B1830" t="str">
            <v>В-10433/КЛ.Транш - 1</v>
          </cell>
          <cell r="C1830" t="str">
            <v>prinsdemarko1984@gmail.com</v>
          </cell>
        </row>
        <row r="1831">
          <cell r="A1831" t="str">
            <v>Сорокин Константин Витальевич</v>
          </cell>
          <cell r="B1831" t="str">
            <v>В-10433/КЛ.Транш - 2</v>
          </cell>
          <cell r="C1831" t="str">
            <v>prinsdemarko1984@gmail.com</v>
          </cell>
        </row>
        <row r="1832">
          <cell r="A1832" t="str">
            <v>Сорокин Руслан Энриевич</v>
          </cell>
          <cell r="B1832" t="str">
            <v>В-00733/АЗ_В-20211230/Ц</v>
          </cell>
          <cell r="C1832" t="str">
            <v>SOROKINRA@AZURITE.RU</v>
          </cell>
        </row>
        <row r="1833">
          <cell r="A1833" t="str">
            <v>Сорокина Екатерина Васильевна</v>
          </cell>
          <cell r="B1833" t="str">
            <v>В-10701/КЛ.Транш - 1</v>
          </cell>
          <cell r="C1833" t="str">
            <v>molodoihiryrg25@mail.ru</v>
          </cell>
        </row>
        <row r="1834">
          <cell r="A1834" t="str">
            <v>Сорокина Екатерина Васильевна</v>
          </cell>
          <cell r="B1834" t="str">
            <v>В-10701/КЛ.Транш - 2</v>
          </cell>
          <cell r="C1834" t="str">
            <v>molodoihiryrg25@mail.ru</v>
          </cell>
        </row>
        <row r="1835">
          <cell r="A1835" t="str">
            <v>Сорокина Наталья Владимировна</v>
          </cell>
          <cell r="B1835" t="str">
            <v>В-00966/АЗ</v>
          </cell>
          <cell r="C1835" t="str">
            <v>n.v.sorokina-2013@yandex.ru</v>
          </cell>
        </row>
        <row r="1836">
          <cell r="A1836" t="str">
            <v>Сорочкин Сергей Эдуардович</v>
          </cell>
          <cell r="B1836" t="str">
            <v>В-01080/КЛ.Транш - 5</v>
          </cell>
          <cell r="C1836" t="str">
            <v>sori74@mail.ru</v>
          </cell>
        </row>
        <row r="1837">
          <cell r="A1837" t="str">
            <v>Сосков Иван Сергеевич</v>
          </cell>
          <cell r="B1837" t="str">
            <v>В-18022/КЛ.Транш - 1</v>
          </cell>
          <cell r="D1837" t="str">
            <v>moskvaiwan@yandex.ru</v>
          </cell>
        </row>
        <row r="1838">
          <cell r="A1838" t="str">
            <v>Союзметиз ООО</v>
          </cell>
          <cell r="B1838" t="str">
            <v>А-00410/КЭ.Транш - 1</v>
          </cell>
          <cell r="C1838" t="str">
            <v>souzmetiz.comp@yandex.ru</v>
          </cell>
        </row>
        <row r="1839">
          <cell r="A1839" t="str">
            <v>СПЕКТР ООО</v>
          </cell>
          <cell r="B1839" t="str">
            <v>В-30006/КЭ.Транш - 1</v>
          </cell>
        </row>
        <row r="1840">
          <cell r="A1840" t="str">
            <v>СПЕКТР ООО</v>
          </cell>
          <cell r="B1840" t="str">
            <v>В-30006/КЭ.Транш - 2</v>
          </cell>
        </row>
        <row r="1841">
          <cell r="A1841" t="str">
            <v>СПЕЦДОРСТРОЙ ООО</v>
          </cell>
          <cell r="B1841" t="str">
            <v>В-30004/КЭ.Транш - 1</v>
          </cell>
        </row>
        <row r="1842">
          <cell r="A1842" t="str">
            <v>Спиридонов Сергей Владимирович</v>
          </cell>
          <cell r="B1842" t="str">
            <v>В-21946/КЛ.Транш - 1</v>
          </cell>
          <cell r="D1842" t="str">
            <v>abrek_83@mail.ru</v>
          </cell>
        </row>
        <row r="1843">
          <cell r="A1843" t="str">
            <v>Спирина Полина Витальевна</v>
          </cell>
          <cell r="B1843" t="str">
            <v>В-03765/КЛ.Транш - 10</v>
          </cell>
          <cell r="C1843" t="str">
            <v>polina-s1@mail.ru</v>
          </cell>
        </row>
        <row r="1844">
          <cell r="A1844" t="str">
            <v>Спирина Полина Витальевна</v>
          </cell>
          <cell r="B1844" t="str">
            <v>В-03765/КЛ.Транш - 11</v>
          </cell>
          <cell r="C1844" t="str">
            <v>polina-s1@mail.ru</v>
          </cell>
        </row>
        <row r="1845">
          <cell r="A1845" t="str">
            <v>Спирина Полина Витальевна</v>
          </cell>
          <cell r="B1845" t="str">
            <v>В-03765/КЛ.Транш - 12</v>
          </cell>
          <cell r="C1845" t="str">
            <v>polina-s1@mail.ru</v>
          </cell>
        </row>
        <row r="1846">
          <cell r="A1846" t="str">
            <v>Спирина Полина Витальевна</v>
          </cell>
          <cell r="B1846" t="str">
            <v>В-03765/КЛ.Транш - 13</v>
          </cell>
          <cell r="C1846" t="str">
            <v>polina-s1@mail.ru</v>
          </cell>
        </row>
        <row r="1847">
          <cell r="A1847" t="str">
            <v>Спирина Полина Витальевна</v>
          </cell>
          <cell r="B1847" t="str">
            <v>В-03765/КЛ.Транш - 14</v>
          </cell>
          <cell r="C1847" t="str">
            <v>polina-s1@mail.ru</v>
          </cell>
        </row>
        <row r="1848">
          <cell r="A1848" t="str">
            <v>Спирина Полина Витальевна</v>
          </cell>
          <cell r="B1848" t="str">
            <v>В-03765/КЛ.Транш - 9</v>
          </cell>
          <cell r="C1848" t="str">
            <v>polina-s1@mail.ru</v>
          </cell>
        </row>
        <row r="1849">
          <cell r="A1849" t="str">
            <v>Спицын Антон Вадимович</v>
          </cell>
          <cell r="B1849" t="str">
            <v>В-20109/КЛ.Транш - 1</v>
          </cell>
          <cell r="D1849" t="str">
            <v>tipogravia101423@mail.ru</v>
          </cell>
        </row>
        <row r="1850">
          <cell r="A1850" t="str">
            <v>Спичак Вадим Михайлович</v>
          </cell>
          <cell r="B1850" t="str">
            <v>А-05381/АЗ</v>
          </cell>
          <cell r="C1850" t="str">
            <v>arcon@inbox.ru</v>
          </cell>
          <cell r="D1850" t="str">
            <v>arcon@inbox.ru</v>
          </cell>
        </row>
        <row r="1851">
          <cell r="A1851" t="str">
            <v>Спичак Вадим Михайлович</v>
          </cell>
          <cell r="B1851" t="str">
            <v>В-01089/АЗ</v>
          </cell>
          <cell r="C1851" t="str">
            <v>arcon@inbox.ru</v>
          </cell>
          <cell r="D1851" t="str">
            <v>arcon@inbox.ru</v>
          </cell>
        </row>
        <row r="1852">
          <cell r="A1852" t="str">
            <v>Спичак Вадим Михайлович</v>
          </cell>
          <cell r="B1852" t="str">
            <v>Т-01821/АЗ_Т-20211028/Ц</v>
          </cell>
          <cell r="C1852" t="str">
            <v>arcon@inbox.ru</v>
          </cell>
          <cell r="D1852" t="str">
            <v>arcon@inbox.ru</v>
          </cell>
        </row>
        <row r="1853">
          <cell r="A1853" t="str">
            <v>Станкеев Сергей Николаевич</v>
          </cell>
          <cell r="B1853" t="str">
            <v>В-06186/КЛ.Транш - 1_А-20210929/Ц</v>
          </cell>
          <cell r="C1853" t="str">
            <v>stankeev1980@yandex.ru</v>
          </cell>
        </row>
        <row r="1854">
          <cell r="A1854" t="str">
            <v>Станкеев Сергей Николаевич</v>
          </cell>
          <cell r="B1854" t="str">
            <v>В-06186/КЛ.Транш - 2_А-20210929/Ц</v>
          </cell>
          <cell r="C1854" t="str">
            <v>stankeev1980@yandex.ru</v>
          </cell>
        </row>
        <row r="1855">
          <cell r="A1855" t="str">
            <v>Стародубов Виталий Юрьевич</v>
          </cell>
          <cell r="B1855" t="str">
            <v>В-08603/КЛ.Транш - 1</v>
          </cell>
        </row>
        <row r="1856">
          <cell r="A1856" t="str">
            <v>Степанов Алексей Владимирович</v>
          </cell>
          <cell r="B1856" t="str">
            <v>В-00498/КЛ.Транш - 2</v>
          </cell>
          <cell r="C1856" t="str">
            <v>aastepa25@yandex.ru</v>
          </cell>
        </row>
        <row r="1857">
          <cell r="A1857" t="str">
            <v>Степанов Алексей Геннадьевич</v>
          </cell>
          <cell r="B1857" t="str">
            <v>А-04171/АЗ</v>
          </cell>
          <cell r="C1857" t="str">
            <v>s7210801@yandex.ru</v>
          </cell>
          <cell r="D1857" t="str">
            <v>s7210801@yandex.ru</v>
          </cell>
        </row>
        <row r="1858">
          <cell r="A1858" t="str">
            <v>Степанов Андрей Васильевич</v>
          </cell>
          <cell r="B1858" t="str">
            <v>Т-01865/АЗ_Т-20211028/Ц</v>
          </cell>
        </row>
        <row r="1859">
          <cell r="A1859" t="str">
            <v>Степанов Игорь Александрович</v>
          </cell>
          <cell r="B1859" t="str">
            <v>В-12716/КЛ.Транш - 1</v>
          </cell>
          <cell r="C1859" t="str">
            <v>lyuba.stepanova.2007@mail.ru</v>
          </cell>
          <cell r="D1859" t="str">
            <v>lyuba.stepanova.2007@mail.ru</v>
          </cell>
        </row>
        <row r="1860">
          <cell r="A1860" t="str">
            <v>Степанова Анна Олеговна</v>
          </cell>
          <cell r="B1860" t="str">
            <v>В-01252/КЛ.Транш - 1</v>
          </cell>
          <cell r="C1860" t="str">
            <v>Zelenoglazkanna@gmail.com</v>
          </cell>
        </row>
        <row r="1861">
          <cell r="A1861" t="str">
            <v>Степанян Степан Бахтиярович</v>
          </cell>
          <cell r="B1861" t="str">
            <v>В-00818/АЗ</v>
          </cell>
        </row>
        <row r="1862">
          <cell r="A1862" t="str">
            <v>Степанян Тигран Геворгович</v>
          </cell>
          <cell r="B1862" t="str">
            <v>В-19252/КЛ.Транш - 1</v>
          </cell>
          <cell r="C1862" t="str">
            <v>tigran1478@gmail.com</v>
          </cell>
        </row>
        <row r="1863">
          <cell r="A1863" t="str">
            <v>Степенко Александр Сергеевич</v>
          </cell>
          <cell r="B1863" t="str">
            <v>В-12269/КЛ.Транш - 1</v>
          </cell>
          <cell r="D1863" t="str">
            <v>august1975@yandex.ru</v>
          </cell>
        </row>
        <row r="1864">
          <cell r="A1864" t="str">
            <v>Стрельникова Татьяна Владимировна</v>
          </cell>
          <cell r="B1864" t="str">
            <v>В-21352/КЛ.Транш - 1</v>
          </cell>
          <cell r="D1864" t="str">
            <v>tania198009@mail.ru</v>
          </cell>
        </row>
        <row r="1865">
          <cell r="A1865" t="str">
            <v>Стрельникова Татьяна Владимировна</v>
          </cell>
          <cell r="B1865" t="str">
            <v>В-21352/КЛ.Транш - 2</v>
          </cell>
          <cell r="D1865" t="str">
            <v>tania198009@mail.ru</v>
          </cell>
        </row>
        <row r="1866">
          <cell r="A1866" t="str">
            <v>Стрельникова Татьяна Владимировна</v>
          </cell>
          <cell r="B1866" t="str">
            <v>В-21352/КЛ.Транш - 3</v>
          </cell>
          <cell r="D1866" t="str">
            <v>tania198009@mail.ru</v>
          </cell>
        </row>
        <row r="1867">
          <cell r="A1867" t="str">
            <v>Стрельцов Денис Николаевич</v>
          </cell>
          <cell r="B1867" t="str">
            <v>В-09213/КЛ.Транш - 1</v>
          </cell>
          <cell r="C1867" t="str">
            <v>streltsov74@mail.ru</v>
          </cell>
        </row>
        <row r="1868">
          <cell r="A1868" t="str">
            <v>Стрельченкова Мария Владимировна</v>
          </cell>
          <cell r="B1868" t="str">
            <v>В-26644/КЛ.Транш - 1</v>
          </cell>
        </row>
        <row r="1869">
          <cell r="A1869" t="str">
            <v>Строганова Таисия Александровна</v>
          </cell>
          <cell r="B1869" t="str">
            <v>В-28923/КЛ.Транш - 1</v>
          </cell>
          <cell r="C1869" t="str">
            <v>taisiastrogonova555@gmail.com</v>
          </cell>
          <cell r="D1869" t="str">
            <v>taisiastrogonova555@gmail.com</v>
          </cell>
        </row>
        <row r="1870">
          <cell r="A1870" t="str">
            <v>СТРОЙ ПРОТЕК ООО</v>
          </cell>
          <cell r="B1870" t="str">
            <v>А-10037/КЭ.Транш - 1</v>
          </cell>
        </row>
        <row r="1871">
          <cell r="A1871" t="str">
            <v>Строй-Универсал ООО</v>
          </cell>
          <cell r="B1871" t="str">
            <v>А-00366/КЭ.Транш - 3</v>
          </cell>
          <cell r="C1871" t="str">
            <v>9773121320@mail.ru</v>
          </cell>
        </row>
        <row r="1872">
          <cell r="A1872" t="str">
            <v>Строчкин Сергей Иванович</v>
          </cell>
          <cell r="B1872" t="str">
            <v>А-05195/АЗ</v>
          </cell>
        </row>
        <row r="1873">
          <cell r="A1873" t="str">
            <v>Строчкин Сергей Иванович</v>
          </cell>
          <cell r="B1873" t="str">
            <v>Т-01754/АЗ_20190723/Ц</v>
          </cell>
        </row>
        <row r="1874">
          <cell r="A1874" t="str">
            <v>Струнгарь Григорий Васильевич</v>
          </cell>
          <cell r="B1874" t="str">
            <v>В-00547/АЗ</v>
          </cell>
        </row>
        <row r="1875">
          <cell r="A1875" t="str">
            <v>Суванов Элнур Равшан Оглы</v>
          </cell>
          <cell r="B1875" t="str">
            <v>В-13629/КЛ.Транш - 1</v>
          </cell>
        </row>
        <row r="1876">
          <cell r="A1876" t="str">
            <v>Сукач Галина Александровна</v>
          </cell>
          <cell r="B1876" t="str">
            <v>В-07377/КЛ.Транш - 1</v>
          </cell>
          <cell r="C1876" t="str">
            <v>suсach_ga@mail.ru</v>
          </cell>
        </row>
        <row r="1877">
          <cell r="A1877" t="str">
            <v>Сукач Олег Константинович</v>
          </cell>
          <cell r="B1877" t="str">
            <v>Т-01853/АЗ_Т-20211028/Ц</v>
          </cell>
          <cell r="C1877" t="str">
            <v>sukacholeg66@mail.ru</v>
          </cell>
        </row>
        <row r="1878">
          <cell r="A1878" t="str">
            <v>Султанов Салим Исламович</v>
          </cell>
          <cell r="B1878" t="str">
            <v>В-24072/АЗ</v>
          </cell>
          <cell r="D1878" t="str">
            <v>salimow@mail.ru</v>
          </cell>
        </row>
        <row r="1879">
          <cell r="A1879" t="str">
            <v>Султанов Феликс Салаватович</v>
          </cell>
          <cell r="B1879" t="str">
            <v>В-25185/КЛ.Транш - 1</v>
          </cell>
          <cell r="C1879" t="str">
            <v>f.sultanov@ladya-avto.ru</v>
          </cell>
          <cell r="D1879" t="str">
            <v>f.sultanov@ladya-avto.ru</v>
          </cell>
        </row>
        <row r="1880">
          <cell r="A1880" t="str">
            <v>Султанова Анастасия Григорьевна</v>
          </cell>
          <cell r="B1880" t="str">
            <v>В-29007/КЛ.Транш - 1</v>
          </cell>
          <cell r="D1880" t="str">
            <v>89870389445@mail.ru</v>
          </cell>
        </row>
        <row r="1881">
          <cell r="A1881" t="str">
            <v>Султанова Анна Валерьевна</v>
          </cell>
          <cell r="B1881" t="str">
            <v>В-23901/КЛ.Транш - 1</v>
          </cell>
          <cell r="C1881" t="str">
            <v>anuta-solanj@mail.ru</v>
          </cell>
          <cell r="D1881" t="str">
            <v>anuta-solanj@mail.ru</v>
          </cell>
        </row>
        <row r="1882">
          <cell r="A1882" t="str">
            <v>Сундуков Сергей Сергеевич</v>
          </cell>
          <cell r="B1882" t="str">
            <v>В-19457/КЛ.Транш - 1</v>
          </cell>
          <cell r="D1882" t="str">
            <v>sundukov.s@bk.ru</v>
          </cell>
        </row>
        <row r="1883">
          <cell r="A1883" t="str">
            <v>Сурагин Владимир Игоревич</v>
          </cell>
          <cell r="B1883" t="str">
            <v>Т-01835/АЗ_Т-20211028/Ц</v>
          </cell>
          <cell r="C1883" t="str">
            <v>SURAGIN.VOVA@BK.RU</v>
          </cell>
        </row>
        <row r="1884">
          <cell r="A1884" t="str">
            <v>Сурин Георгий Николаевич</v>
          </cell>
          <cell r="B1884" t="str">
            <v>Т-01880/АЗ_Т-20211028/Ц</v>
          </cell>
          <cell r="C1884" t="str">
            <v>mr.sgn2011@mail.ru</v>
          </cell>
        </row>
        <row r="1885">
          <cell r="A1885" t="str">
            <v>Сутько Максим Николаевич</v>
          </cell>
          <cell r="B1885" t="str">
            <v>В-01013/КЛ.Транш - 1</v>
          </cell>
          <cell r="C1885" t="str">
            <v>maxim_sutko@mail.ru</v>
          </cell>
        </row>
        <row r="1886">
          <cell r="A1886" t="str">
            <v>Сухов Алексей Александрович</v>
          </cell>
          <cell r="B1886" t="str">
            <v>В-10627/КЛ.Транш - 1</v>
          </cell>
          <cell r="C1886" t="str">
            <v>SUHOV1702@inbox.ru</v>
          </cell>
        </row>
        <row r="1887">
          <cell r="A1887" t="str">
            <v>Сывороткин Сергей Валентинович</v>
          </cell>
          <cell r="B1887" t="str">
            <v>В-23979/КЛ.Транш - 1</v>
          </cell>
        </row>
        <row r="1888">
          <cell r="A1888" t="str">
            <v>Сырышева Жанна Евгеньевна</v>
          </cell>
          <cell r="B1888" t="str">
            <v>В-18972/КЛ.Транш - 1</v>
          </cell>
          <cell r="D1888" t="str">
            <v>JANESUR@MAIL.RU</v>
          </cell>
        </row>
        <row r="1889">
          <cell r="A1889" t="str">
            <v>Сытник Александр Владимирович</v>
          </cell>
          <cell r="B1889" t="str">
            <v>В-27422/КЛ.Транш - 1</v>
          </cell>
        </row>
        <row r="1890">
          <cell r="A1890" t="str">
            <v>Сычев Станислав Геннадьевич</v>
          </cell>
          <cell r="B1890" t="str">
            <v>А-05334/АЗ_А-20210517/Ц</v>
          </cell>
          <cell r="C1890" t="str">
            <v>sychovsg@yandex.ru</v>
          </cell>
          <cell r="D1890" t="str">
            <v>sychovsg@yandex.ru</v>
          </cell>
        </row>
        <row r="1891">
          <cell r="A1891" t="str">
            <v>Сычев Станислав Геннадьевич</v>
          </cell>
          <cell r="B1891" t="str">
            <v>Т-01798/АЗ_Т-20210517/Ц</v>
          </cell>
          <cell r="C1891" t="str">
            <v>sychovsg@yandex.ru</v>
          </cell>
          <cell r="D1891" t="str">
            <v>sychovsg@yandex.ru</v>
          </cell>
        </row>
        <row r="1892">
          <cell r="A1892" t="str">
            <v>Тагаева Ольга Гиниядовна</v>
          </cell>
          <cell r="B1892" t="str">
            <v>В-20210/КЛ.Транш - 1</v>
          </cell>
          <cell r="D1892" t="str">
            <v>tagaeva.83@mail.ru</v>
          </cell>
        </row>
        <row r="1893">
          <cell r="A1893" t="str">
            <v>Тагаева Ольга Гиниядовна</v>
          </cell>
          <cell r="B1893" t="str">
            <v>В-20210/КЛ.Транш - 2</v>
          </cell>
          <cell r="D1893" t="str">
            <v>tagaeva.83@mail.ru</v>
          </cell>
        </row>
        <row r="1894">
          <cell r="A1894" t="str">
            <v>Тагиев Рафаел Иса Оглы</v>
          </cell>
          <cell r="B1894" t="str">
            <v>В-12007/КЛ.Транш - 2</v>
          </cell>
          <cell r="C1894" t="str">
            <v>tagievrafael8@gmail.com</v>
          </cell>
        </row>
        <row r="1895">
          <cell r="A1895" t="str">
            <v>Талаев Алексей Анатольевич</v>
          </cell>
          <cell r="B1895" t="str">
            <v>В-10890/КЛ.Транш - 1</v>
          </cell>
          <cell r="C1895" t="str">
            <v>atalaev74@mail.ru</v>
          </cell>
        </row>
        <row r="1896">
          <cell r="A1896" t="str">
            <v>Тамбовцев Кирилл Евгеньевич</v>
          </cell>
          <cell r="B1896" t="str">
            <v>В-26454/КЛ.Транш - 1</v>
          </cell>
          <cell r="D1896" t="str">
            <v>kirill9@list.ru</v>
          </cell>
        </row>
        <row r="1897">
          <cell r="A1897" t="str">
            <v>Танишева Ольга Сергеевна</v>
          </cell>
          <cell r="B1897" t="str">
            <v>В-16610/КЛ.Транш - 1</v>
          </cell>
          <cell r="D1897" t="str">
            <v>ole4ka2009.01@mail.ru</v>
          </cell>
        </row>
        <row r="1898">
          <cell r="A1898" t="str">
            <v>Таран Валерий Григорьевич</v>
          </cell>
          <cell r="B1898" t="str">
            <v>В-24713/АЗ</v>
          </cell>
          <cell r="D1898" t="str">
            <v>taran.V64ler@yandex.ru</v>
          </cell>
        </row>
        <row r="1899">
          <cell r="A1899" t="str">
            <v>Тарасов Александр Владимирович</v>
          </cell>
          <cell r="B1899" t="str">
            <v>В-02849/КЛ.Транш - 1</v>
          </cell>
          <cell r="C1899" t="str">
            <v>Powertek-Service@mail.ru</v>
          </cell>
        </row>
        <row r="1900">
          <cell r="A1900" t="str">
            <v>Тарасов Дмитрий Алексеевич</v>
          </cell>
          <cell r="B1900" t="str">
            <v>В-01068/АЗ</v>
          </cell>
          <cell r="C1900" t="str">
            <v>fradis-x@yandex.ru</v>
          </cell>
        </row>
        <row r="1901">
          <cell r="A1901" t="str">
            <v>Тарасов Дмитрий Алексеевич</v>
          </cell>
          <cell r="B1901" t="str">
            <v>В-26432/АЗ</v>
          </cell>
          <cell r="C1901" t="str">
            <v>fradis-x@yandex.ru</v>
          </cell>
        </row>
        <row r="1902">
          <cell r="A1902" t="str">
            <v>Тарасов Олег Васильевич</v>
          </cell>
          <cell r="B1902" t="str">
            <v>В-22205/КЛ.Транш - 1</v>
          </cell>
          <cell r="C1902" t="str">
            <v>tarasov.esm@mail.ru</v>
          </cell>
        </row>
        <row r="1903">
          <cell r="A1903" t="str">
            <v>Тарасов Олег Васильевич</v>
          </cell>
          <cell r="B1903" t="str">
            <v>В-22205/КЛ.Транш - 2</v>
          </cell>
          <cell r="C1903" t="str">
            <v>tarasov.esm@mail.ru</v>
          </cell>
        </row>
        <row r="1904">
          <cell r="A1904" t="str">
            <v>Тарасов Сергей Валерьевич</v>
          </cell>
          <cell r="B1904" t="str">
            <v>В-28154/КЛ.Транш - 1</v>
          </cell>
          <cell r="C1904" t="str">
            <v>Stargrey.77sv@gmail.com</v>
          </cell>
          <cell r="D1904" t="str">
            <v>Stargrey.77sv@gmail.com</v>
          </cell>
        </row>
        <row r="1905">
          <cell r="A1905" t="str">
            <v>Ташланова Юлия Юрьевна</v>
          </cell>
          <cell r="B1905" t="str">
            <v>В-17788/КЛ.Транш - 1</v>
          </cell>
          <cell r="C1905" t="str">
            <v>tashlanova2010@yandex.ru</v>
          </cell>
        </row>
        <row r="1906">
          <cell r="A1906" t="str">
            <v>Ташланова Юлия Юрьевна</v>
          </cell>
          <cell r="B1906" t="str">
            <v>В-17788/КЛ.Транш - 2</v>
          </cell>
          <cell r="C1906" t="str">
            <v>tashlanova2010@yandex.ru</v>
          </cell>
        </row>
        <row r="1907">
          <cell r="A1907" t="str">
            <v>Ташланова Юлия Юрьевна</v>
          </cell>
          <cell r="B1907" t="str">
            <v>В-17788/КЛ.Транш - 3</v>
          </cell>
          <cell r="C1907" t="str">
            <v>tashlanova2010@yandex.ru</v>
          </cell>
        </row>
        <row r="1908">
          <cell r="A1908" t="str">
            <v>Темникова Оксана Дмитриевна</v>
          </cell>
          <cell r="B1908" t="str">
            <v>В-15393/КЛ.Транш - 1</v>
          </cell>
          <cell r="C1908" t="str">
            <v>temnikovaksenia2017@gmail.com</v>
          </cell>
        </row>
        <row r="1909">
          <cell r="A1909" t="str">
            <v>Теплякова Оксана Вячеславовна</v>
          </cell>
          <cell r="B1909" t="str">
            <v>В-22101/КЛ.Транш - 1</v>
          </cell>
          <cell r="D1909" t="str">
            <v>oteplyakova80@gmail.com</v>
          </cell>
        </row>
        <row r="1910">
          <cell r="A1910" t="str">
            <v>Терентьев Антон Николаевич</v>
          </cell>
          <cell r="B1910" t="str">
            <v>В-01193/АЗ</v>
          </cell>
          <cell r="C1910" t="str">
            <v>aterentyev@nglass.ru</v>
          </cell>
        </row>
        <row r="1911">
          <cell r="A1911" t="str">
            <v>Терехов Андрей Анатольевич</v>
          </cell>
          <cell r="B1911" t="str">
            <v>В-20035/КЛ.Транш - 1</v>
          </cell>
          <cell r="D1911" t="str">
            <v>andrey.terehoff2014@yandex.ru</v>
          </cell>
        </row>
        <row r="1912">
          <cell r="A1912" t="str">
            <v>Терещенко Дмитрий Андреевич</v>
          </cell>
          <cell r="B1912" t="str">
            <v>В-05766/КЛ.Транш - 3</v>
          </cell>
          <cell r="C1912" t="str">
            <v>demetrio@livechat.su</v>
          </cell>
          <cell r="D1912" t="str">
            <v>demetrio@livechat.su</v>
          </cell>
        </row>
        <row r="1913">
          <cell r="A1913" t="str">
            <v>Терещенко Дмитрий Андреевич</v>
          </cell>
          <cell r="B1913" t="str">
            <v>В-05766/КЛ.Транш - 4</v>
          </cell>
          <cell r="C1913" t="str">
            <v>demetrio@livechat.su</v>
          </cell>
          <cell r="D1913" t="str">
            <v>demetrio@livechat.su</v>
          </cell>
        </row>
        <row r="1914">
          <cell r="A1914" t="str">
            <v>Терновая Наталия Вячеславовна</v>
          </cell>
          <cell r="B1914" t="str">
            <v>В-26135/КЛ.Транш - 1</v>
          </cell>
          <cell r="C1914" t="str">
            <v>ternovog@icloud.com</v>
          </cell>
        </row>
        <row r="1915">
          <cell r="A1915" t="str">
            <v>Тертерян Артур Арамович</v>
          </cell>
          <cell r="B1915" t="str">
            <v>В-02306/КЛ.Транш - 2</v>
          </cell>
          <cell r="C1915" t="str">
            <v>djandav@yandex.ru</v>
          </cell>
        </row>
        <row r="1916">
          <cell r="A1916" t="str">
            <v>Тертишник Павел Валерьевич</v>
          </cell>
          <cell r="B1916" t="str">
            <v>В-23906/КЛ.Транш - 1</v>
          </cell>
          <cell r="C1916" t="str">
            <v>pavel-kopyt@mail.ru</v>
          </cell>
          <cell r="D1916" t="str">
            <v>pavel-kopyt@mail.ru</v>
          </cell>
        </row>
        <row r="1917">
          <cell r="A1917" t="str">
            <v>Теслюк Игорь Анатольевич</v>
          </cell>
          <cell r="B1917" t="str">
            <v>В-00256/КЛ.Транш - 1_В-20211230/Ц</v>
          </cell>
          <cell r="C1917" t="str">
            <v>barmaley887@mail.ru</v>
          </cell>
        </row>
        <row r="1918">
          <cell r="A1918" t="str">
            <v>Теслюк Игорь Анатольевич</v>
          </cell>
          <cell r="B1918" t="str">
            <v>В-00256/КЛ.Транш - 2_В-20211230/Ц</v>
          </cell>
          <cell r="C1918" t="str">
            <v>barmaley887@mail.ru</v>
          </cell>
        </row>
        <row r="1919">
          <cell r="A1919" t="str">
            <v>Тетерин Владимир Михайлович</v>
          </cell>
          <cell r="B1919" t="str">
            <v>В-08962/КЛ.Транш - 1</v>
          </cell>
          <cell r="C1919" t="str">
            <v>VLABIMIRT.3T@MAIL.RU</v>
          </cell>
        </row>
        <row r="1920">
          <cell r="A1920" t="str">
            <v>ТехТара ООО</v>
          </cell>
          <cell r="B1920" t="str">
            <v>В-00070/КЭ.Транш - 1</v>
          </cell>
          <cell r="C1920" t="str">
            <v>alexhenshi@gmail.com</v>
          </cell>
        </row>
        <row r="1921">
          <cell r="A1921" t="str">
            <v>Тигранян Гор Робертович</v>
          </cell>
          <cell r="B1921" t="str">
            <v>В-27843/КЛ.Транш - 1</v>
          </cell>
          <cell r="C1921" t="str">
            <v>355@inbox.ru</v>
          </cell>
        </row>
        <row r="1922">
          <cell r="A1922" t="str">
            <v>Тимонин Виктор Викторович</v>
          </cell>
          <cell r="B1922" t="str">
            <v>В-01143/АЗ</v>
          </cell>
          <cell r="C1922" t="str">
            <v>timoninviktor9@gmail.com</v>
          </cell>
        </row>
        <row r="1923">
          <cell r="A1923" t="str">
            <v>Тимохин Иван Алексеевич</v>
          </cell>
          <cell r="B1923" t="str">
            <v>В-20329/КЛ.Транш - 1</v>
          </cell>
          <cell r="D1923" t="str">
            <v>reserver@bk.ru</v>
          </cell>
        </row>
        <row r="1924">
          <cell r="A1924" t="str">
            <v>Тимохин Иван Алексеевич</v>
          </cell>
          <cell r="B1924" t="str">
            <v>В-20329/КЛ.Транш - 2</v>
          </cell>
          <cell r="D1924" t="str">
            <v>reserver@bk.ru</v>
          </cell>
        </row>
        <row r="1925">
          <cell r="A1925" t="str">
            <v>Тимошинин Сергей Сергеевич</v>
          </cell>
          <cell r="B1925" t="str">
            <v>В-00553/КЛ.Транш - 5</v>
          </cell>
        </row>
        <row r="1926">
          <cell r="A1926" t="str">
            <v>Тимошинин Сергей Сергеевич</v>
          </cell>
          <cell r="B1926" t="str">
            <v>В-00553/КЛ.Транш - 7</v>
          </cell>
        </row>
        <row r="1927">
          <cell r="A1927" t="str">
            <v>Тимошинин Сергей Сергеевич</v>
          </cell>
          <cell r="B1927" t="str">
            <v>В-00553/КЛ.Транш - 8</v>
          </cell>
        </row>
        <row r="1928">
          <cell r="A1928" t="str">
            <v>Титишин Андрей Геннадьевич</v>
          </cell>
          <cell r="B1928" t="str">
            <v>В-06961/КЛ.Транш - 1</v>
          </cell>
          <cell r="C1928" t="str">
            <v>79andrei1979@mail.ru</v>
          </cell>
        </row>
        <row r="1929">
          <cell r="A1929" t="str">
            <v>Титов Максим Сергеевич</v>
          </cell>
          <cell r="B1929" t="str">
            <v>В-14484/КЛ.Транш - 1</v>
          </cell>
          <cell r="C1929" t="str">
            <v>mack.tit2018@gmail.com</v>
          </cell>
          <cell r="D1929" t="str">
            <v>mack.tit2018@gmail.com</v>
          </cell>
        </row>
        <row r="1930">
          <cell r="A1930" t="str">
            <v>Тихонов Максим Алексеевич</v>
          </cell>
          <cell r="B1930" t="str">
            <v>В-08042/КЛ.Транш - 1_В-20211230/Ц</v>
          </cell>
          <cell r="C1930" t="str">
            <v>1073454@mail.ru</v>
          </cell>
        </row>
        <row r="1931">
          <cell r="A1931" t="str">
            <v>Тихонова Ирина Анатольевна</v>
          </cell>
          <cell r="B1931" t="str">
            <v>В-03300/КЛ.Транш - 1</v>
          </cell>
          <cell r="C1931" t="str">
            <v>irina.3833@mail.ru</v>
          </cell>
        </row>
        <row r="1932">
          <cell r="A1932" t="str">
            <v>ТК МЕЖРЕГИОНСЕРВИС-77 ООО</v>
          </cell>
          <cell r="B1932" t="str">
            <v>В-00034/КЭ.Транш - 1_В20211230/Ц</v>
          </cell>
        </row>
        <row r="1933">
          <cell r="A1933" t="str">
            <v>Токин Юрий Эдуардович</v>
          </cell>
          <cell r="B1933" t="str">
            <v>В-27334/КЛ.Транш - 1</v>
          </cell>
          <cell r="D1933" t="str">
            <v>meatspin2003@gmail.com</v>
          </cell>
        </row>
        <row r="1934">
          <cell r="A1934" t="str">
            <v>Толкачева Елена Владимировна</v>
          </cell>
          <cell r="B1934" t="str">
            <v>В-03761/КЛ.Транш - 1</v>
          </cell>
          <cell r="C1934" t="str">
            <v>alenchik-velo@mail.ru</v>
          </cell>
        </row>
        <row r="1935">
          <cell r="A1935" t="str">
            <v>Толстолугова Ирина Игорьевна</v>
          </cell>
          <cell r="B1935" t="str">
            <v>В-28259/КЛ.Транш - 1</v>
          </cell>
          <cell r="D1935" t="str">
            <v>rina171@mail.ru</v>
          </cell>
        </row>
        <row r="1936">
          <cell r="A1936" t="str">
            <v>Тонконогов Артем Андреевич</v>
          </cell>
          <cell r="B1936" t="str">
            <v>В-21858/КЛ.Транш - 1</v>
          </cell>
          <cell r="D1936" t="str">
            <v>Toby23@yandex.ru</v>
          </cell>
        </row>
        <row r="1937">
          <cell r="A1937" t="str">
            <v>Торокулов Уланбек Талайбекович</v>
          </cell>
          <cell r="B1937" t="str">
            <v>В-06130/КЛ.Транш - 4</v>
          </cell>
          <cell r="C1937" t="str">
            <v>ulantorokulov63@gmail.com</v>
          </cell>
        </row>
        <row r="1938">
          <cell r="A1938" t="str">
            <v>Торокулов Уланбек Талайбекович</v>
          </cell>
          <cell r="B1938" t="str">
            <v>В-06130/КЛ.Транш - 5</v>
          </cell>
          <cell r="C1938" t="str">
            <v>ulantorokulov63@gmail.com</v>
          </cell>
        </row>
        <row r="1939">
          <cell r="A1939" t="str">
            <v>Торокулов Уланбек Талайбекович</v>
          </cell>
          <cell r="B1939" t="str">
            <v>В-06130/КЛ.Транш - 6</v>
          </cell>
          <cell r="C1939" t="str">
            <v>ulantorokulov63@gmail.com</v>
          </cell>
        </row>
        <row r="1940">
          <cell r="A1940" t="str">
            <v>Торокулов Уланбек Талайбекович</v>
          </cell>
          <cell r="B1940" t="str">
            <v>В-06130/КЛ.Транш - 7</v>
          </cell>
          <cell r="C1940" t="str">
            <v>ulantorokulov63@gmail.com</v>
          </cell>
        </row>
        <row r="1941">
          <cell r="A1941" t="str">
            <v>Торосян Ара Вирапович</v>
          </cell>
          <cell r="B1941" t="str">
            <v>В-05654/КЛ.Транш - 1</v>
          </cell>
          <cell r="C1941" t="str">
            <v>torosyanara8529@gmail.com</v>
          </cell>
        </row>
        <row r="1942">
          <cell r="A1942" t="str">
            <v>Травничек Андрей Михайлович</v>
          </cell>
          <cell r="B1942" t="str">
            <v>В-04096/КЛ.Транш - 1</v>
          </cell>
          <cell r="C1942" t="str">
            <v>6028984@mail.ru</v>
          </cell>
        </row>
        <row r="1943">
          <cell r="A1943" t="str">
            <v>Травничек Андрей Михайлович</v>
          </cell>
          <cell r="B1943" t="str">
            <v>В-04096/КЛ.Транш - 2</v>
          </cell>
          <cell r="C1943" t="str">
            <v>6028984@mail.ru</v>
          </cell>
        </row>
        <row r="1944">
          <cell r="A1944" t="str">
            <v>Травничек Андрей Михайлович</v>
          </cell>
          <cell r="B1944" t="str">
            <v>В-04096/КЛ.Транш - 3</v>
          </cell>
          <cell r="C1944" t="str">
            <v>6028984@mail.ru</v>
          </cell>
        </row>
        <row r="1945">
          <cell r="A1945" t="str">
            <v>ТРАНСЛОГ ООО</v>
          </cell>
          <cell r="B1945" t="str">
            <v>А-10118/КЭ.Транш - 1</v>
          </cell>
          <cell r="C1945" t="str">
            <v>translog.jv@mail.ru</v>
          </cell>
        </row>
        <row r="1946">
          <cell r="A1946" t="str">
            <v>ТРАНСЛОГ ООО</v>
          </cell>
          <cell r="B1946" t="str">
            <v>В-10022/КЭ.Транш - 1</v>
          </cell>
          <cell r="C1946" t="str">
            <v>translog.jv@mail.ru</v>
          </cell>
        </row>
        <row r="1947">
          <cell r="A1947" t="str">
            <v>Трахов Заур Шамсудинович</v>
          </cell>
          <cell r="B1947" t="str">
            <v>В-26963/КЛ.Транш - 1</v>
          </cell>
          <cell r="D1947" t="str">
            <v>Zaur_TRakhov@mail.ru</v>
          </cell>
        </row>
        <row r="1948">
          <cell r="A1948" t="str">
            <v>Трененков Александр Николаевич</v>
          </cell>
          <cell r="B1948" t="str">
            <v>В-01207/АЗ</v>
          </cell>
          <cell r="C1948" t="str">
            <v>trenenkov1989@mail.ru</v>
          </cell>
          <cell r="D1948" t="str">
            <v>trenenkov1989@mail.ru</v>
          </cell>
        </row>
        <row r="1949">
          <cell r="A1949" t="str">
            <v>ТРИТОНН ООО</v>
          </cell>
          <cell r="B1949" t="str">
            <v>В-30010/КЭ.Транш - 1</v>
          </cell>
          <cell r="C1949" t="str">
            <v>adam.kunijev@yandex.ru</v>
          </cell>
        </row>
        <row r="1950">
          <cell r="A1950" t="str">
            <v>Трифонов Николай Валентинович</v>
          </cell>
          <cell r="B1950" t="str">
            <v>В-00151/АЗ_В-20211230/Ц</v>
          </cell>
          <cell r="C1950" t="str">
            <v>9150260@mail.ru</v>
          </cell>
        </row>
        <row r="1951">
          <cell r="A1951" t="str">
            <v>Тришина Екатерина Викторовна</v>
          </cell>
          <cell r="B1951" t="str">
            <v>В-21146/КЛ.Транш - 1</v>
          </cell>
          <cell r="D1951" t="str">
            <v>taxi-703e@mail.ru</v>
          </cell>
        </row>
        <row r="1952">
          <cell r="A1952" t="str">
            <v>Трофименко Артем Алексеевич</v>
          </cell>
          <cell r="B1952" t="str">
            <v>В-01228/АЗ</v>
          </cell>
          <cell r="C1952" t="str">
            <v>art-dial@yandex.ru</v>
          </cell>
          <cell r="D1952" t="str">
            <v>art-dial@yandex.ru</v>
          </cell>
        </row>
        <row r="1953">
          <cell r="A1953" t="str">
            <v>Трофимов Олег Владимирович</v>
          </cell>
          <cell r="B1953" t="str">
            <v>В-00714/КЛ.Транш - 1</v>
          </cell>
          <cell r="C1953" t="str">
            <v>Trfoleg@mail.ru</v>
          </cell>
        </row>
        <row r="1954">
          <cell r="A1954" t="str">
            <v>Трошин Владимир Петрович</v>
          </cell>
          <cell r="B1954" t="str">
            <v>В-28355/КЛ.Транш - 1</v>
          </cell>
          <cell r="C1954" t="str">
            <v>voldemar8.8@mail.ru</v>
          </cell>
          <cell r="D1954" t="str">
            <v>voldemar8.8@mail.ru</v>
          </cell>
        </row>
        <row r="1955">
          <cell r="A1955" t="str">
            <v>Трунова Екатерина Юрьевна</v>
          </cell>
          <cell r="B1955" t="str">
            <v>В-14335/КЛ.Транш - 1_В-20211230/Ц</v>
          </cell>
          <cell r="D1955" t="str">
            <v>trunovakaterina@mail.ru</v>
          </cell>
        </row>
        <row r="1956">
          <cell r="A1956" t="str">
            <v>Трунтов Андрей Федорович</v>
          </cell>
          <cell r="B1956" t="str">
            <v>В-17824/КЛ.Транш - 1</v>
          </cell>
        </row>
        <row r="1957">
          <cell r="A1957" t="str">
            <v>Трупиков Дмитрий Станиславович</v>
          </cell>
          <cell r="B1957" t="str">
            <v>В-11533/КЛ.Транш - 1</v>
          </cell>
          <cell r="C1957" t="str">
            <v>vina.tamani@mail.ru</v>
          </cell>
        </row>
        <row r="1958">
          <cell r="A1958" t="str">
            <v>Труханкин Анатолий Васильевич</v>
          </cell>
          <cell r="B1958" t="str">
            <v>В-26928/КЛ.Транш - 1</v>
          </cell>
          <cell r="D1958" t="str">
            <v>atruchankin@mail.ru</v>
          </cell>
        </row>
        <row r="1959">
          <cell r="A1959" t="str">
            <v>Трушникова Инна Олеговна</v>
          </cell>
          <cell r="B1959" t="str">
            <v>В-18261/КЛ.Транш - 1</v>
          </cell>
          <cell r="C1959" t="str">
            <v>1nnarepina@bk.ru</v>
          </cell>
          <cell r="D1959" t="str">
            <v>1nnarepina@bk.ru</v>
          </cell>
        </row>
        <row r="1960">
          <cell r="A1960" t="str">
            <v>Тряпко Владимир Александрович</v>
          </cell>
          <cell r="B1960" t="str">
            <v>В-21574/КЛ.Транш - 1</v>
          </cell>
          <cell r="D1960" t="str">
            <v>vladimirtryabko@gmail.com</v>
          </cell>
        </row>
        <row r="1961">
          <cell r="A1961" t="str">
            <v>Тульнова Ольга Владимировна</v>
          </cell>
          <cell r="B1961" t="str">
            <v>В-12067/КЛ.Транш - 1</v>
          </cell>
        </row>
        <row r="1962">
          <cell r="A1962" t="str">
            <v>Тунбаев Максим Валерович</v>
          </cell>
          <cell r="B1962" t="str">
            <v>В-08148/КЛ.Транш - 2</v>
          </cell>
          <cell r="C1962" t="str">
            <v>tunbaev_m@mail.ru</v>
          </cell>
        </row>
        <row r="1963">
          <cell r="A1963" t="str">
            <v>Турумбекова Темиркан Кадырбековна</v>
          </cell>
          <cell r="B1963" t="str">
            <v>В-27753/КЛ.Транш - 1</v>
          </cell>
          <cell r="C1963" t="str">
            <v>temirkah.turumbekova.82@mail.ru</v>
          </cell>
          <cell r="D1963" t="str">
            <v>temirkah.turumbekova.82@mail.ru</v>
          </cell>
        </row>
        <row r="1964">
          <cell r="A1964" t="str">
            <v>Тутуев Александр Сергеевич</v>
          </cell>
          <cell r="B1964" t="str">
            <v>В-20607/КЛ.Транш - 1</v>
          </cell>
          <cell r="D1964" t="str">
            <v>tytyevalexandr@gmail.com</v>
          </cell>
        </row>
        <row r="1965">
          <cell r="A1965" t="str">
            <v>Тутуев Александр Сергеевич</v>
          </cell>
          <cell r="B1965" t="str">
            <v>В-20607/КЛ.Транш - 2</v>
          </cell>
          <cell r="D1965" t="str">
            <v>tytyevalexandr@gmail.com</v>
          </cell>
        </row>
        <row r="1966">
          <cell r="A1966" t="str">
            <v>Тюменцев Максим Сергеевич</v>
          </cell>
          <cell r="B1966" t="str">
            <v>В-03413/КЛ.Транш - 1</v>
          </cell>
          <cell r="C1966" t="str">
            <v>artmax2014@mail.ru</v>
          </cell>
        </row>
        <row r="1967">
          <cell r="A1967" t="str">
            <v>Тюмин Валерий Александрович</v>
          </cell>
          <cell r="B1967" t="str">
            <v>В-13025/КЛ.Транш - 1_А-20210929/Ц</v>
          </cell>
          <cell r="D1967" t="str">
            <v>BAZILJARIS@MAIL.RU</v>
          </cell>
        </row>
        <row r="1968">
          <cell r="A1968" t="str">
            <v>Тюрин Алексей Викторович</v>
          </cell>
          <cell r="B1968" t="str">
            <v>В-16441/КЛ.Транш - 1_В-20211230/Ц</v>
          </cell>
          <cell r="C1968" t="str">
            <v>tuyi0001@mail.ru</v>
          </cell>
        </row>
        <row r="1969">
          <cell r="A1969" t="str">
            <v>Узаков Пахлавон Муродилович</v>
          </cell>
          <cell r="B1969" t="str">
            <v>В-06143/КЛ.Транш - 1</v>
          </cell>
          <cell r="C1969" t="str">
            <v>pa4avon@mail.ru</v>
          </cell>
        </row>
        <row r="1970">
          <cell r="A1970" t="str">
            <v>Ульбашева Елена Владимировна</v>
          </cell>
          <cell r="B1970" t="str">
            <v>В-28539/КЛ.Транш - 1</v>
          </cell>
          <cell r="C1970" t="str">
            <v>len.ulbasheva@yandex.ru</v>
          </cell>
        </row>
        <row r="1971">
          <cell r="A1971" t="str">
            <v>Унанян Самвел Мартунович</v>
          </cell>
          <cell r="B1971" t="str">
            <v>В-12432/КЛ.Транш - 1</v>
          </cell>
          <cell r="C1971" t="str">
            <v>samvely1981@gmail.com</v>
          </cell>
          <cell r="D1971" t="str">
            <v>samvely1981@gmail.com</v>
          </cell>
        </row>
        <row r="1972">
          <cell r="A1972" t="str">
            <v>Усанова Евгения Георгиевна</v>
          </cell>
          <cell r="B1972" t="str">
            <v>В-28642/АЗ</v>
          </cell>
          <cell r="C1972" t="str">
            <v>janeusanova@gmail.com</v>
          </cell>
          <cell r="D1972" t="str">
            <v>janeusanova@gmail.com</v>
          </cell>
        </row>
        <row r="1973">
          <cell r="A1973" t="str">
            <v>Усанова Екатерина Евгеньевна</v>
          </cell>
          <cell r="B1973" t="str">
            <v>В-28645/АЗ</v>
          </cell>
          <cell r="C1973" t="str">
            <v>catherine434@gmail.com</v>
          </cell>
          <cell r="D1973" t="str">
            <v>catherine434@gmail.com</v>
          </cell>
        </row>
        <row r="1974">
          <cell r="A1974" t="str">
            <v>Усенко Сергей Константинович</v>
          </cell>
          <cell r="B1974" t="str">
            <v>В-24941/КЛ.Транш - 1</v>
          </cell>
          <cell r="D1974" t="str">
            <v>sssbaggio1988@yandex.ru</v>
          </cell>
        </row>
        <row r="1975">
          <cell r="A1975" t="str">
            <v>Усиков Андрей Васильевич</v>
          </cell>
          <cell r="B1975" t="str">
            <v>В-04682/КЛ.Транш - 3</v>
          </cell>
          <cell r="C1975" t="str">
            <v>andrew.usikov@mail.ru</v>
          </cell>
        </row>
        <row r="1976">
          <cell r="A1976" t="str">
            <v>Усиков Андрей Васильевич</v>
          </cell>
          <cell r="B1976" t="str">
            <v>В-04682/КЛ.Транш - 4</v>
          </cell>
          <cell r="C1976" t="str">
            <v>andrew.usikov@mail.ru</v>
          </cell>
        </row>
        <row r="1977">
          <cell r="A1977" t="str">
            <v>Усиков Андрей Васильевич</v>
          </cell>
          <cell r="B1977" t="str">
            <v>В-04682/КЛ.Транш - 5</v>
          </cell>
          <cell r="C1977" t="str">
            <v>andrew.usikov@mail.ru</v>
          </cell>
        </row>
        <row r="1978">
          <cell r="A1978" t="str">
            <v>Усиков Андрей Васильевич</v>
          </cell>
          <cell r="B1978" t="str">
            <v>В-04682/КЛ.Транш - 6</v>
          </cell>
          <cell r="C1978" t="str">
            <v>andrew.usikov@mail.ru</v>
          </cell>
        </row>
        <row r="1979">
          <cell r="A1979" t="str">
            <v>Усиков Андрей Васильевич</v>
          </cell>
          <cell r="B1979" t="str">
            <v>В-04682/КЛ.Транш - 7</v>
          </cell>
          <cell r="C1979" t="str">
            <v>andrew.usikov@mail.ru</v>
          </cell>
        </row>
        <row r="1980">
          <cell r="A1980" t="str">
            <v>Усиков Андрей Васильевич</v>
          </cell>
          <cell r="B1980" t="str">
            <v>В-04682/КЛ.Транш - 8</v>
          </cell>
          <cell r="C1980" t="str">
            <v>andrew.usikov@mail.ru</v>
          </cell>
        </row>
        <row r="1981">
          <cell r="A1981" t="str">
            <v>Ускирева Наталья Владимировна</v>
          </cell>
          <cell r="B1981" t="str">
            <v>В-24454/КЛ.Транш - 1</v>
          </cell>
          <cell r="D1981" t="str">
            <v>usknata@mail.ru</v>
          </cell>
        </row>
        <row r="1982">
          <cell r="A1982" t="str">
            <v>Устинов Максим Викторович</v>
          </cell>
          <cell r="B1982" t="str">
            <v>В-19451/КЛ.Транш - 1</v>
          </cell>
          <cell r="D1982" t="str">
            <v>USTINOV.USTINOV10@YANDEX.RU</v>
          </cell>
        </row>
        <row r="1983">
          <cell r="A1983" t="str">
            <v>Устинов Максим Викторович</v>
          </cell>
          <cell r="B1983" t="str">
            <v>В-19451/КЛ.Транш - 2</v>
          </cell>
          <cell r="D1983" t="str">
            <v>USTINOV.USTINOV10@YANDEX.RU</v>
          </cell>
        </row>
        <row r="1984">
          <cell r="A1984" t="str">
            <v>Устинов Максим Викторович</v>
          </cell>
          <cell r="B1984" t="str">
            <v>В-19451/КЛ.Транш - 3</v>
          </cell>
          <cell r="D1984" t="str">
            <v>USTINOV.USTINOV10@YANDEX.RU</v>
          </cell>
        </row>
        <row r="1985">
          <cell r="A1985" t="str">
            <v>Уткин Алексей Александрович</v>
          </cell>
          <cell r="B1985" t="str">
            <v>В-17940/КЛ.Транш - 1</v>
          </cell>
          <cell r="D1985" t="str">
            <v>alexutk@yandex.ru</v>
          </cell>
        </row>
        <row r="1986">
          <cell r="A1986" t="str">
            <v>Уткин Алексей Александрович</v>
          </cell>
          <cell r="B1986" t="str">
            <v>В-17940/КЛ.Транш - 2</v>
          </cell>
          <cell r="D1986" t="str">
            <v>alexutk@yandex.ru</v>
          </cell>
        </row>
        <row r="1987">
          <cell r="A1987" t="str">
            <v>Уткин Алексей Александрович</v>
          </cell>
          <cell r="B1987" t="str">
            <v>В-17940/КЛ.Транш - 3</v>
          </cell>
          <cell r="D1987" t="str">
            <v>alexutk@yandex.ru</v>
          </cell>
        </row>
        <row r="1988">
          <cell r="A1988" t="str">
            <v>Фадеев Андрей Алексеевич</v>
          </cell>
          <cell r="B1988" t="str">
            <v>В-11549/КЛ.Транш - 2</v>
          </cell>
          <cell r="C1988" t="str">
            <v>fadeev.a.a.1507@yandex.ru</v>
          </cell>
        </row>
        <row r="1989">
          <cell r="A1989" t="str">
            <v>Файзуллин Марат Равильевич</v>
          </cell>
          <cell r="B1989" t="str">
            <v>В-22336/КЛ.Транш - 1</v>
          </cell>
          <cell r="C1989" t="str">
            <v>faizullin_1974@mail.ru</v>
          </cell>
          <cell r="D1989" t="str">
            <v>faizullin_1974@mail.ru</v>
          </cell>
        </row>
        <row r="1990">
          <cell r="A1990" t="str">
            <v>Фатьянов Валерий Михайлович</v>
          </cell>
          <cell r="B1990" t="str">
            <v>В-25978/КЛ.Транш - 1</v>
          </cell>
          <cell r="D1990" t="str">
            <v>fil_18_84@mail.ru</v>
          </cell>
        </row>
        <row r="1991">
          <cell r="A1991" t="str">
            <v>Федоров Александр Николаевич</v>
          </cell>
          <cell r="B1991" t="str">
            <v>В-24198/КЛ.Транш - 1</v>
          </cell>
        </row>
        <row r="1992">
          <cell r="A1992" t="str">
            <v>Федоров Александр Николаевич</v>
          </cell>
          <cell r="B1992" t="str">
            <v>В-24198/КЛ.Транш - 4</v>
          </cell>
        </row>
        <row r="1993">
          <cell r="A1993" t="str">
            <v>Федоров Александр Николаевич</v>
          </cell>
          <cell r="B1993" t="str">
            <v>В-24198/КЛ.Транш - 5</v>
          </cell>
        </row>
        <row r="1994">
          <cell r="A1994" t="str">
            <v>Федоров Александр Николаевич</v>
          </cell>
          <cell r="B1994" t="str">
            <v>В-24198/КЛ.Транш - 6</v>
          </cell>
        </row>
        <row r="1995">
          <cell r="A1995" t="str">
            <v>Федоров Александр Николаевич</v>
          </cell>
          <cell r="B1995" t="str">
            <v>В-24198/КЛ.Транш - 7</v>
          </cell>
        </row>
        <row r="1996">
          <cell r="A1996" t="str">
            <v>Федорченко Любовь Сергеевна</v>
          </cell>
          <cell r="B1996" t="str">
            <v>В-00094/КЛ.Транш - 1</v>
          </cell>
          <cell r="C1996" t="str">
            <v>bslog@list.ru</v>
          </cell>
        </row>
        <row r="1997">
          <cell r="A1997" t="str">
            <v>Федоткин Константин Михайлович</v>
          </cell>
          <cell r="B1997" t="str">
            <v>В-17395/КЛ.Транш - 1</v>
          </cell>
          <cell r="D1997" t="str">
            <v>fedotkin83@yandex.ru</v>
          </cell>
        </row>
        <row r="1998">
          <cell r="A1998" t="str">
            <v>Фейзуллаев Альберт Нефтуллаевич</v>
          </cell>
          <cell r="B1998" t="str">
            <v>В-04210/КЛ.Транш - 1</v>
          </cell>
          <cell r="C1998" t="str">
            <v>al.8988@mail.ru</v>
          </cell>
        </row>
        <row r="1999">
          <cell r="A1999" t="str">
            <v>Фетисов Сергей Владимирович</v>
          </cell>
          <cell r="B1999" t="str">
            <v>В-12631/КЛ.Транш - 1</v>
          </cell>
          <cell r="D1999" t="str">
            <v>fetisovsergey1972@gmail.com</v>
          </cell>
        </row>
        <row r="2000">
          <cell r="A2000" t="str">
            <v>Филатов Сергей Юрьевич</v>
          </cell>
          <cell r="B2000" t="str">
            <v>В-03524/КЛ.Транш - 2</v>
          </cell>
          <cell r="C2000" t="str">
            <v>sergphill@icloud.com</v>
          </cell>
        </row>
        <row r="2001">
          <cell r="A2001" t="str">
            <v>Филатова Юлия Петровна</v>
          </cell>
          <cell r="B2001" t="str">
            <v>В-02583/КЛ.Транш - 5</v>
          </cell>
          <cell r="C2001" t="str">
            <v>filatova-15@yandex.ru</v>
          </cell>
        </row>
        <row r="2002">
          <cell r="A2002" t="str">
            <v>Филатова Юлия Петровна</v>
          </cell>
          <cell r="B2002" t="str">
            <v>В-02583/КЛ.Транш - 6</v>
          </cell>
          <cell r="C2002" t="str">
            <v>filatova-15@yandex.ru</v>
          </cell>
        </row>
        <row r="2003">
          <cell r="A2003" t="str">
            <v>Филатова Юлия Петровна</v>
          </cell>
          <cell r="B2003" t="str">
            <v>В-02583/КЛ.Транш - 7</v>
          </cell>
          <cell r="C2003" t="str">
            <v>filatova-15@yandex.ru</v>
          </cell>
        </row>
        <row r="2004">
          <cell r="A2004" t="str">
            <v>Филатова Юлия Петровна</v>
          </cell>
          <cell r="B2004" t="str">
            <v>В-02583/КЛ.Транш - 8</v>
          </cell>
          <cell r="C2004" t="str">
            <v>filatova-15@yandex.ru</v>
          </cell>
        </row>
        <row r="2005">
          <cell r="A2005" t="str">
            <v>Филатова Юлия Петровна</v>
          </cell>
          <cell r="B2005" t="str">
            <v>В-02583/КЛ.Транш - 9</v>
          </cell>
          <cell r="C2005" t="str">
            <v>filatova-15@yandex.ru</v>
          </cell>
        </row>
        <row r="2006">
          <cell r="A2006" t="str">
            <v>Фоменок Николай Михайлович</v>
          </cell>
          <cell r="B2006" t="str">
            <v>В-02683/КЛ.Транш - 1</v>
          </cell>
          <cell r="C2006" t="str">
            <v>fonimi@bk.ru</v>
          </cell>
        </row>
        <row r="2007">
          <cell r="A2007" t="str">
            <v>Фомин Александр Борисович</v>
          </cell>
          <cell r="B2007" t="str">
            <v>В-05553/КЛ.Транш - 1</v>
          </cell>
          <cell r="C2007" t="str">
            <v>fomin-alexsander-64@yandex.ru</v>
          </cell>
        </row>
        <row r="2008">
          <cell r="A2008" t="str">
            <v>Фомин Александр Борисович</v>
          </cell>
          <cell r="B2008" t="str">
            <v>В-05553/КЛ.Транш - 2</v>
          </cell>
          <cell r="C2008" t="str">
            <v>fomin-alexsander-64@yandex.ru</v>
          </cell>
        </row>
        <row r="2009">
          <cell r="A2009" t="str">
            <v>Фомин Иван Евгеньевич</v>
          </cell>
          <cell r="B2009" t="str">
            <v>В-09100/КЛ.Транш - 1</v>
          </cell>
          <cell r="C2009" t="str">
            <v>fomynwe@yandex.ru</v>
          </cell>
        </row>
        <row r="2010">
          <cell r="A2010" t="str">
            <v>Фомичев Денис Александрович</v>
          </cell>
          <cell r="B2010" t="str">
            <v>В-20064/КЛ.Транш - 1</v>
          </cell>
          <cell r="D2010" t="str">
            <v>mylo2001@mail.ru</v>
          </cell>
        </row>
        <row r="2011">
          <cell r="A2011" t="str">
            <v>Фомичев Павел Петрович</v>
          </cell>
          <cell r="B2011" t="str">
            <v>В-26949/КЛ.Транш - 1</v>
          </cell>
          <cell r="D2011" t="str">
            <v>fomicevpavel12@gmail.com</v>
          </cell>
        </row>
        <row r="2012">
          <cell r="A2012" t="str">
            <v>Фомичев Павел Петрович</v>
          </cell>
          <cell r="B2012" t="str">
            <v>В-26949/КЛ.Транш - 2</v>
          </cell>
          <cell r="D2012" t="str">
            <v>fomicevpavel12@gmail.com</v>
          </cell>
        </row>
        <row r="2013">
          <cell r="A2013" t="str">
            <v>Фомичева Маргарита Витальевна</v>
          </cell>
          <cell r="B2013" t="str">
            <v>В-18029/КЛ.Транш - 1</v>
          </cell>
          <cell r="D2013" t="str">
            <v>margarita.noskova@mail.ru</v>
          </cell>
        </row>
        <row r="2014">
          <cell r="A2014" t="str">
            <v>Фоника Евгений Евгеньевич</v>
          </cell>
          <cell r="B2014" t="str">
            <v>В-19231/КЛ.Транш - 1</v>
          </cell>
          <cell r="D2014" t="str">
            <v>fonikaevgeni@gmail.com</v>
          </cell>
        </row>
        <row r="2015">
          <cell r="A2015" t="str">
            <v>ФОРМУЛА КОМФОРТА ООО</v>
          </cell>
          <cell r="B2015" t="str">
            <v>В-10010/КЭ.Транш - 1_А-20210929/Ц</v>
          </cell>
        </row>
        <row r="2016">
          <cell r="A2016" t="str">
            <v>ФОРСАЙТ ООО</v>
          </cell>
          <cell r="B2016" t="str">
            <v>А-00257/КЭ.Транш - 1</v>
          </cell>
          <cell r="C2016" t="str">
            <v>alisha888@yandex.ru</v>
          </cell>
        </row>
        <row r="2017">
          <cell r="A2017" t="str">
            <v>ФОРСАЙТ ООО</v>
          </cell>
          <cell r="B2017" t="str">
            <v>А-00257/КЭ.Транш - 2</v>
          </cell>
          <cell r="C2017" t="str">
            <v>alisha888@yandex.ru</v>
          </cell>
        </row>
        <row r="2018">
          <cell r="A2018" t="str">
            <v>Фофанов Михаил Михайлович</v>
          </cell>
          <cell r="B2018" t="str">
            <v>В-08918/КЛ.Транш - 1</v>
          </cell>
          <cell r="C2018" t="str">
            <v>maikl1960@mail.ru</v>
          </cell>
        </row>
        <row r="2019">
          <cell r="A2019" t="str">
            <v>Фролов Василий Михайлович</v>
          </cell>
          <cell r="B2019" t="str">
            <v>В-16777/КЛ.Транш - 1</v>
          </cell>
          <cell r="D2019" t="str">
            <v>kpaz34195@gmail.com</v>
          </cell>
        </row>
        <row r="2020">
          <cell r="A2020" t="str">
            <v>Фролов Геннадий Вольдемарович</v>
          </cell>
          <cell r="B2020" t="str">
            <v>В-00958/АЗ</v>
          </cell>
          <cell r="C2020" t="str">
            <v>gennady.frolov@outlook.com</v>
          </cell>
          <cell r="D2020" t="str">
            <v>gennady.frolov@outlook.com</v>
          </cell>
        </row>
        <row r="2021">
          <cell r="A2021" t="str">
            <v>Фролов Геннадий Вольдемарович</v>
          </cell>
          <cell r="B2021" t="str">
            <v>В-01181/АЗ</v>
          </cell>
          <cell r="C2021" t="str">
            <v>gennady.frolov@outlook.com</v>
          </cell>
          <cell r="D2021" t="str">
            <v>gennady.frolov@outlook.com</v>
          </cell>
        </row>
        <row r="2022">
          <cell r="A2022" t="str">
            <v>Фролов Павел Андреевич</v>
          </cell>
          <cell r="B2022" t="str">
            <v>В-20133/КЛ.Транш - 1</v>
          </cell>
          <cell r="D2022" t="str">
            <v>pavelfrolov1999@mail.ru</v>
          </cell>
        </row>
        <row r="2023">
          <cell r="A2023" t="str">
            <v>Фролов Павел Викторович</v>
          </cell>
          <cell r="B2023" t="str">
            <v>А-05087/АЗ</v>
          </cell>
          <cell r="C2023" t="str">
            <v>Pavelmsk89@gmail.com</v>
          </cell>
          <cell r="D2023" t="str">
            <v>Pavelmsk89@gmail.com</v>
          </cell>
        </row>
        <row r="2024">
          <cell r="A2024" t="str">
            <v>Фролов Сергей Владимирович</v>
          </cell>
          <cell r="B2024" t="str">
            <v>В-12741/КЛ.Транш - 1</v>
          </cell>
          <cell r="C2024" t="str">
            <v>sadaswqweqed@mail.ru</v>
          </cell>
          <cell r="D2024" t="str">
            <v>sadaswqweqed@mail.ru</v>
          </cell>
        </row>
        <row r="2025">
          <cell r="A2025" t="str">
            <v>ФСС ООО</v>
          </cell>
          <cell r="B2025" t="str">
            <v>В-00066/КЭ.Транш - 1</v>
          </cell>
          <cell r="C2025" t="str">
            <v>info@zakupki-fss.ru</v>
          </cell>
        </row>
        <row r="2026">
          <cell r="A2026" t="str">
            <v>Футыш Оксана Ярославовна</v>
          </cell>
          <cell r="B2026" t="str">
            <v>В-22627/КЛ.Транш - 1</v>
          </cell>
          <cell r="C2026" t="str">
            <v>Futht@mail.ru</v>
          </cell>
          <cell r="D2026" t="str">
            <v>Futht@mail.ru</v>
          </cell>
        </row>
        <row r="2027">
          <cell r="A2027" t="str">
            <v>Хадж Муса Аладдин</v>
          </cell>
          <cell r="B2027" t="str">
            <v>В-24326/КЛ.Транш - 1</v>
          </cell>
          <cell r="D2027" t="str">
            <v>5176429@gmail.com</v>
          </cell>
        </row>
        <row r="2028">
          <cell r="A2028" t="str">
            <v>Хадиев Фанис Рафисович</v>
          </cell>
          <cell r="B2028" t="str">
            <v>В-14816/КЛ.Транш - 1</v>
          </cell>
          <cell r="D2028" t="str">
            <v>sanis.hadiev.16@gmail.com</v>
          </cell>
        </row>
        <row r="2029">
          <cell r="A2029" t="str">
            <v>Хадиев Фанис Рафисович</v>
          </cell>
          <cell r="B2029" t="str">
            <v>В-14816/КЛ.Транш - 2</v>
          </cell>
          <cell r="D2029" t="str">
            <v>sanis.hadiev.16@gmail.com</v>
          </cell>
        </row>
        <row r="2030">
          <cell r="A2030" t="str">
            <v>Хадиев Фанис Рафисович</v>
          </cell>
          <cell r="B2030" t="str">
            <v>В-14816/КЛ.Транш - 4</v>
          </cell>
          <cell r="D2030" t="str">
            <v>sanis.hadiev.16@gmail.com</v>
          </cell>
        </row>
        <row r="2031">
          <cell r="A2031" t="str">
            <v>Хадиев Фанис Рафисович</v>
          </cell>
          <cell r="B2031" t="str">
            <v>В-14816/КЛ.Транш - 5</v>
          </cell>
          <cell r="D2031" t="str">
            <v>sanis.hadiev.16@gmail.com</v>
          </cell>
        </row>
        <row r="2032">
          <cell r="A2032" t="str">
            <v>Хадиев Фанис Рафисович</v>
          </cell>
          <cell r="B2032" t="str">
            <v>В-14816/КЛ.Транш - 6</v>
          </cell>
          <cell r="D2032" t="str">
            <v>sanis.hadiev.16@gmail.com</v>
          </cell>
        </row>
        <row r="2033">
          <cell r="A2033" t="str">
            <v>Хадиев Фанис Рафисович</v>
          </cell>
          <cell r="B2033" t="str">
            <v>В-14816/КЛ.Транш - 7</v>
          </cell>
          <cell r="D2033" t="str">
            <v>sanis.hadiev.16@gmail.com</v>
          </cell>
        </row>
        <row r="2034">
          <cell r="A2034" t="str">
            <v>Хазиев Рустам Маратович</v>
          </cell>
          <cell r="B2034" t="str">
            <v>В-14627/КЛ.Транш - 3</v>
          </cell>
          <cell r="D2034" t="str">
            <v>khaziev.rustam009@gmail/com</v>
          </cell>
        </row>
        <row r="2035">
          <cell r="A2035" t="str">
            <v>Хайдаров Бехруз Сайдуллоевич</v>
          </cell>
          <cell r="B2035" t="str">
            <v>В-27037/АЗ</v>
          </cell>
          <cell r="D2035" t="str">
            <v>beha1396@mail.ru</v>
          </cell>
        </row>
        <row r="2036">
          <cell r="A2036" t="str">
            <v>Хайдаров Бехруз Сайдуллоевич</v>
          </cell>
          <cell r="B2036" t="str">
            <v>В-27133/АЗ</v>
          </cell>
          <cell r="D2036" t="str">
            <v>beha1396@mail.ru</v>
          </cell>
        </row>
        <row r="2037">
          <cell r="A2037" t="str">
            <v>Хайретдинов Ильгиз Гакилович</v>
          </cell>
          <cell r="B2037" t="str">
            <v>В-28977/КЛ.Транш - 1</v>
          </cell>
        </row>
        <row r="2038">
          <cell r="A2038" t="str">
            <v>Хайретдинова Айгуль Ильгизовна</v>
          </cell>
          <cell r="B2038" t="str">
            <v>В-20811/КЛ.Транш - 1</v>
          </cell>
          <cell r="D2038" t="str">
            <v>aigull15131984@gmail.com</v>
          </cell>
        </row>
        <row r="2039">
          <cell r="A2039" t="str">
            <v>Хайретдинова Айгуль Ильгизовна</v>
          </cell>
          <cell r="B2039" t="str">
            <v>В-20811/КЛ.Транш - 2</v>
          </cell>
          <cell r="D2039" t="str">
            <v>aigull15131984@gmail.com</v>
          </cell>
        </row>
        <row r="2040">
          <cell r="A2040" t="str">
            <v>Хайруллин Алексей Зуфарович</v>
          </cell>
          <cell r="B2040" t="str">
            <v>В-24875/КЛ.Транш - 1</v>
          </cell>
        </row>
        <row r="2041">
          <cell r="A2041" t="str">
            <v>Хайруллин Алексей Зуфарович</v>
          </cell>
          <cell r="B2041" t="str">
            <v>В-24875/КЛ.Транш - 2</v>
          </cell>
        </row>
        <row r="2042">
          <cell r="A2042" t="str">
            <v>Халиуллин Шамиль Камалович</v>
          </cell>
          <cell r="B2042" t="str">
            <v>А-03444/АЗ</v>
          </cell>
        </row>
        <row r="2043">
          <cell r="A2043" t="str">
            <v>Хамидуллов Линар Надырович</v>
          </cell>
          <cell r="B2043" t="str">
            <v>В-11190/КЛ.Транш - 1</v>
          </cell>
          <cell r="C2043" t="str">
            <v>pavlov_alexander93@icloud.com</v>
          </cell>
        </row>
        <row r="2044">
          <cell r="A2044" t="str">
            <v>Ханамиров Ханамир Казахмедович</v>
          </cell>
          <cell r="B2044" t="str">
            <v>В-23459/КЛ.Транш - 1</v>
          </cell>
        </row>
        <row r="2045">
          <cell r="A2045" t="str">
            <v>Ханбеков Валерий Рифатович</v>
          </cell>
          <cell r="B2045" t="str">
            <v>В-17073/КЛ.Транш - 1</v>
          </cell>
          <cell r="D2045" t="str">
            <v>valerakhanbekov@gmail.com</v>
          </cell>
        </row>
        <row r="2046">
          <cell r="A2046" t="str">
            <v>Ханукаев Михаил Гавриилович</v>
          </cell>
          <cell r="B2046" t="str">
            <v>В-05401/КЛ.Транш - 1</v>
          </cell>
          <cell r="C2046" t="str">
            <v>mihan1951@yandex.ru</v>
          </cell>
          <cell r="D2046" t="str">
            <v>mihan1951@yandex.ru</v>
          </cell>
        </row>
        <row r="2047">
          <cell r="A2047" t="str">
            <v>Харагезян Армен Вартересович</v>
          </cell>
          <cell r="B2047" t="str">
            <v>В-19862/КЛ.Транш - 1</v>
          </cell>
          <cell r="D2047" t="str">
            <v>armen.kharagezyan.83@bk.ru</v>
          </cell>
        </row>
        <row r="2048">
          <cell r="A2048" t="str">
            <v>Харатян Гегам Арамаисович</v>
          </cell>
          <cell r="B2048" t="str">
            <v>В-03463/КЛ.Транш - 1</v>
          </cell>
          <cell r="C2048" t="str">
            <v>gegam.xaratyan@bk.ru</v>
          </cell>
        </row>
        <row r="2049">
          <cell r="A2049" t="str">
            <v>Харисов Раниз Мулланурович</v>
          </cell>
          <cell r="B2049" t="str">
            <v>В-23314/КЛ.Транш - 3</v>
          </cell>
          <cell r="D2049" t="str">
            <v>raniz@bk.ru</v>
          </cell>
        </row>
        <row r="2050">
          <cell r="A2050" t="str">
            <v>Харисов Раниз Мулланурович</v>
          </cell>
          <cell r="B2050" t="str">
            <v>В-23314/КЛ.Транш - 4</v>
          </cell>
          <cell r="D2050" t="str">
            <v>raniz@bk.ru</v>
          </cell>
        </row>
        <row r="2051">
          <cell r="A2051" t="str">
            <v>Харисов Раниз Мулланурович</v>
          </cell>
          <cell r="B2051" t="str">
            <v>В-23314/КЛ.Транш - 6</v>
          </cell>
          <cell r="D2051" t="str">
            <v>raniz@bk.ru</v>
          </cell>
        </row>
        <row r="2052">
          <cell r="A2052" t="str">
            <v>Харитонов Александр Васильевич</v>
          </cell>
          <cell r="B2052" t="str">
            <v>В-02376/КЛ.Транш - 1</v>
          </cell>
          <cell r="C2052" t="str">
            <v>vedrus2001@yandex.ru</v>
          </cell>
        </row>
        <row r="2053">
          <cell r="A2053" t="str">
            <v>Харитонова Ирина Александровна</v>
          </cell>
          <cell r="B2053" t="str">
            <v>В-13235/КЛ.Транш - 1</v>
          </cell>
        </row>
        <row r="2054">
          <cell r="A2054" t="str">
            <v>Харламов Артем Сергеевич</v>
          </cell>
          <cell r="B2054" t="str">
            <v>В-00763/КЛ.Транш - 1</v>
          </cell>
          <cell r="C2054" t="str">
            <v>artemharlamov840@gmail.com</v>
          </cell>
        </row>
        <row r="2055">
          <cell r="A2055" t="str">
            <v>Хасанов Жасур Абдурашидович</v>
          </cell>
          <cell r="B2055" t="str">
            <v>В-17153/КЛ.Транш - 1</v>
          </cell>
          <cell r="D2055" t="str">
            <v>jaferka11@gmail.com</v>
          </cell>
        </row>
        <row r="2056">
          <cell r="A2056" t="str">
            <v>Хасанов Жасур Абдурашидович</v>
          </cell>
          <cell r="B2056" t="str">
            <v>В-17153/КЛ.Транш - 2</v>
          </cell>
          <cell r="D2056" t="str">
            <v>jaferka11@gmail.com</v>
          </cell>
        </row>
        <row r="2057">
          <cell r="A2057" t="str">
            <v>Хасанов Рамзан Вахаевич</v>
          </cell>
          <cell r="B2057" t="str">
            <v>В-15200/КЛ.Транш - 1</v>
          </cell>
        </row>
        <row r="2058">
          <cell r="A2058" t="str">
            <v>Хасанханов Абдул Юсупович</v>
          </cell>
          <cell r="B2058" t="str">
            <v>В-00467/АЗ_В-20211230/Ц</v>
          </cell>
          <cell r="C2058" t="str">
            <v>arapxanov2013@mail.ru</v>
          </cell>
        </row>
        <row r="2059">
          <cell r="A2059" t="str">
            <v>Хачатрян Лаврент Юрикович</v>
          </cell>
          <cell r="B2059" t="str">
            <v>В-28872/КЛ.Транш - 1</v>
          </cell>
          <cell r="C2059" t="str">
            <v>khachatryan.lavrent@bk.ru</v>
          </cell>
          <cell r="D2059" t="str">
            <v>khachatryan.lavrent@bk.ru</v>
          </cell>
        </row>
        <row r="2060">
          <cell r="A2060" t="str">
            <v>Хачатрян Сергей Сейранович</v>
          </cell>
          <cell r="B2060" t="str">
            <v>В-00933/АЗ</v>
          </cell>
        </row>
        <row r="2061">
          <cell r="A2061" t="str">
            <v>Хачатрян Хачик Норайрович</v>
          </cell>
          <cell r="B2061" t="str">
            <v>В-12066/КЛ.Транш - 1</v>
          </cell>
        </row>
        <row r="2062">
          <cell r="A2062" t="str">
            <v>Хачикян Давид Алексеевич</v>
          </cell>
          <cell r="B2062" t="str">
            <v>В-11825/КЛ.Транш - 3</v>
          </cell>
        </row>
        <row r="2063">
          <cell r="A2063" t="str">
            <v>Хашидов Имамутдин Салимханович</v>
          </cell>
          <cell r="B2063" t="str">
            <v>В-08121/КЛ.Транш - 3</v>
          </cell>
          <cell r="C2063" t="str">
            <v>imamhashidov@gmail.com</v>
          </cell>
        </row>
        <row r="2064">
          <cell r="A2064" t="str">
            <v>Хашидов Имамутдин Салимханович</v>
          </cell>
          <cell r="B2064" t="str">
            <v>В-08121/КЛ.Транш - 4</v>
          </cell>
          <cell r="C2064" t="str">
            <v>imamhashidov@gmail.com</v>
          </cell>
        </row>
        <row r="2065">
          <cell r="A2065" t="str">
            <v>Хашимов Далерджон Темурович</v>
          </cell>
          <cell r="B2065" t="str">
            <v>В-17075/КЛ.Транш - 1</v>
          </cell>
          <cell r="C2065" t="str">
            <v>karpovdaler@gmail.com</v>
          </cell>
        </row>
        <row r="2066">
          <cell r="A2066" t="str">
            <v>Хечоян Владимир Левонович</v>
          </cell>
          <cell r="B2066" t="str">
            <v>В-14430/КЛ.Транш - 1</v>
          </cell>
        </row>
        <row r="2067">
          <cell r="A2067" t="str">
            <v>Хечоян Владимир Левонович</v>
          </cell>
          <cell r="B2067" t="str">
            <v>В-14430/КЛ.Транш - 2</v>
          </cell>
        </row>
        <row r="2068">
          <cell r="A2068" t="str">
            <v>Хижняк Лада Виталиевна</v>
          </cell>
          <cell r="B2068" t="str">
            <v>В-01020/АЗ</v>
          </cell>
          <cell r="C2068" t="str">
            <v>ladylady64@mail.ru</v>
          </cell>
        </row>
        <row r="2069">
          <cell r="A2069" t="str">
            <v>Хитров Станислав Валерьевич</v>
          </cell>
          <cell r="B2069" t="str">
            <v>В-21099/КЛ.Транш - 2</v>
          </cell>
          <cell r="D2069" t="str">
            <v>Sten_221@mail.ru</v>
          </cell>
        </row>
        <row r="2070">
          <cell r="A2070" t="str">
            <v>Хитров Станислав Валерьевич</v>
          </cell>
          <cell r="B2070" t="str">
            <v>В-21099/КЛ.Транш - 3</v>
          </cell>
          <cell r="D2070" t="str">
            <v>Sten_221@mail.ru</v>
          </cell>
        </row>
        <row r="2071">
          <cell r="A2071" t="str">
            <v>Хлебников Владимир Витальевич</v>
          </cell>
          <cell r="B2071" t="str">
            <v>В-16057/КЛ.Транш - 6</v>
          </cell>
          <cell r="D2071" t="str">
            <v>vvkhlebnikov@mail.ru</v>
          </cell>
        </row>
        <row r="2072">
          <cell r="A2072" t="str">
            <v>Ходжаев Андрей Леонидович</v>
          </cell>
          <cell r="B2072" t="str">
            <v>В-08956/КЛ.Транш - 2</v>
          </cell>
          <cell r="C2072" t="str">
            <v>Khodzai@yandex.ru</v>
          </cell>
        </row>
        <row r="2073">
          <cell r="A2073" t="str">
            <v>Хозова Ольга Николаевна</v>
          </cell>
          <cell r="B2073" t="str">
            <v>В-07959/КЛ.Транш - 2</v>
          </cell>
          <cell r="C2073" t="str">
            <v>hozova@bk.ru</v>
          </cell>
        </row>
        <row r="2074">
          <cell r="A2074" t="str">
            <v>Хозова Ольга Николаевна</v>
          </cell>
          <cell r="B2074" t="str">
            <v>В-07959/КЛ.Транш - 3</v>
          </cell>
          <cell r="C2074" t="str">
            <v>hozova@bk.ru</v>
          </cell>
        </row>
        <row r="2075">
          <cell r="A2075" t="str">
            <v>Хозяинов Сергей Александрович</v>
          </cell>
          <cell r="B2075" t="str">
            <v>В-01647/КЛ.Транш - 1</v>
          </cell>
          <cell r="C2075" t="str">
            <v>diogris1@mail.ru</v>
          </cell>
        </row>
        <row r="2076">
          <cell r="A2076" t="str">
            <v>Холодков Денис Владимирович</v>
          </cell>
          <cell r="B2076" t="str">
            <v>В-27105/КЛ.Транш - 1</v>
          </cell>
          <cell r="D2076" t="str">
            <v>d.holod@yandex.ru</v>
          </cell>
        </row>
        <row r="2077">
          <cell r="A2077" t="str">
            <v>Хоминец Владимир Владимирович</v>
          </cell>
          <cell r="B2077" t="str">
            <v>В-10474/КЛ.Транш - 3</v>
          </cell>
          <cell r="C2077" t="str">
            <v>khominetsvv@yandex.ru</v>
          </cell>
        </row>
        <row r="2078">
          <cell r="A2078" t="str">
            <v>Хоминец Владимир Владимирович</v>
          </cell>
          <cell r="B2078" t="str">
            <v>В-10474/КЛ.Транш - 4</v>
          </cell>
          <cell r="C2078" t="str">
            <v>khominetsvv@yandex.ru</v>
          </cell>
        </row>
        <row r="2079">
          <cell r="A2079" t="str">
            <v>Хоминец Владимир Владимирович</v>
          </cell>
          <cell r="B2079" t="str">
            <v>В-10474/КЛ.Транш - 5</v>
          </cell>
          <cell r="C2079" t="str">
            <v>khominetsvv@yandex.ru</v>
          </cell>
        </row>
        <row r="2080">
          <cell r="A2080" t="str">
            <v>Хоминец Владимир Владимирович</v>
          </cell>
          <cell r="B2080" t="str">
            <v>В-10474/КЛ.Транш - 6</v>
          </cell>
          <cell r="C2080" t="str">
            <v>khominetsvv@yandex.ru</v>
          </cell>
        </row>
        <row r="2081">
          <cell r="A2081" t="str">
            <v>Хомутов Алексей Николаевич</v>
          </cell>
          <cell r="B2081" t="str">
            <v>В-01102/АЗ</v>
          </cell>
        </row>
        <row r="2082">
          <cell r="A2082" t="str">
            <v>Хотенова Елена Витальевна</v>
          </cell>
          <cell r="B2082" t="str">
            <v>В-00249/АЗ</v>
          </cell>
          <cell r="C2082" t="str">
            <v>elena.hotenova@yandex.ru</v>
          </cell>
        </row>
        <row r="2083">
          <cell r="A2083" t="str">
            <v>Хохлова Ирина Игоревна</v>
          </cell>
          <cell r="B2083" t="str">
            <v>В-22833/КЛ.Транш - 1</v>
          </cell>
        </row>
        <row r="2084">
          <cell r="A2084" t="str">
            <v>Храмков Евгений Александрович</v>
          </cell>
          <cell r="B2084" t="str">
            <v>В-02960/КЛ.Транш - 5</v>
          </cell>
          <cell r="C2084" t="str">
            <v>sspol@list.ru</v>
          </cell>
        </row>
        <row r="2085">
          <cell r="A2085" t="str">
            <v>Храмков Евгений Александрович</v>
          </cell>
          <cell r="B2085" t="str">
            <v>В-02960/КЛ.Транш - 7</v>
          </cell>
          <cell r="C2085" t="str">
            <v>sspol@list.ru</v>
          </cell>
        </row>
        <row r="2086">
          <cell r="A2086" t="str">
            <v>Храмков Евгений Александрович</v>
          </cell>
          <cell r="B2086" t="str">
            <v>В-02960/КЛ.Транш - 8</v>
          </cell>
          <cell r="C2086" t="str">
            <v>sspol@list.ru</v>
          </cell>
        </row>
        <row r="2087">
          <cell r="A2087" t="str">
            <v>Храмков Евгений Александрович</v>
          </cell>
          <cell r="B2087" t="str">
            <v>В-28281/КЛ.Транш - 1</v>
          </cell>
          <cell r="C2087" t="str">
            <v>sspol@list.ru</v>
          </cell>
        </row>
        <row r="2088">
          <cell r="A2088" t="str">
            <v>Храмов Антон Иванович</v>
          </cell>
          <cell r="B2088" t="str">
            <v>А-04617/АЗ</v>
          </cell>
          <cell r="C2088" t="str">
            <v>anton-khramov@mail.ru</v>
          </cell>
          <cell r="D2088" t="str">
            <v>anton-khramov@mail.ru</v>
          </cell>
        </row>
        <row r="2089">
          <cell r="A2089" t="str">
            <v>Храмцова Дарья Юрьевна</v>
          </cell>
          <cell r="B2089" t="str">
            <v>В-26093/КЛ.Транш - 1</v>
          </cell>
          <cell r="D2089" t="str">
            <v>dasha_hramcova@mail.ru</v>
          </cell>
        </row>
        <row r="2090">
          <cell r="A2090" t="str">
            <v>Храпов Андрей Анатольевич</v>
          </cell>
          <cell r="B2090" t="str">
            <v>В-00324/АЗ</v>
          </cell>
          <cell r="C2090" t="str">
            <v>khrapov2806@gmail.com</v>
          </cell>
        </row>
        <row r="2091">
          <cell r="A2091" t="str">
            <v>Храпов Андрей Геннадиевич</v>
          </cell>
          <cell r="B2091" t="str">
            <v>В-13924/КЛ.Транш - 1</v>
          </cell>
          <cell r="D2091" t="str">
            <v>andrei48nkmk@yandex.ru</v>
          </cell>
        </row>
        <row r="2092">
          <cell r="A2092" t="str">
            <v>Хрипунов Клим Анатольевич</v>
          </cell>
          <cell r="B2092" t="str">
            <v>В-27634/КЛ.Транш - 1</v>
          </cell>
          <cell r="D2092" t="str">
            <v>klim_777@inbox.ru</v>
          </cell>
        </row>
        <row r="2093">
          <cell r="A2093" t="str">
            <v>Хромцова Надежда Владимировна</v>
          </cell>
          <cell r="B2093" t="str">
            <v>В-22183/КЛ.Транш - 1</v>
          </cell>
          <cell r="D2093" t="str">
            <v>nadiaalexelis@mail.ru</v>
          </cell>
        </row>
        <row r="2094">
          <cell r="A2094" t="str">
            <v>Худин Виктор Васильевич</v>
          </cell>
          <cell r="B2094" t="str">
            <v>В-11181/КЛ.Транш - 2</v>
          </cell>
          <cell r="C2094" t="str">
            <v>viktor2170@mail.ru</v>
          </cell>
          <cell r="D2094" t="str">
            <v>viktor2170@mail.ru</v>
          </cell>
        </row>
        <row r="2095">
          <cell r="A2095" t="str">
            <v>Худомясова Александра Антуановна</v>
          </cell>
          <cell r="B2095" t="str">
            <v>В-16991/КЛ.Транш - 1</v>
          </cell>
          <cell r="D2095" t="str">
            <v>antuanovnakh@yandex.ru</v>
          </cell>
        </row>
        <row r="2096">
          <cell r="A2096" t="str">
            <v>Худорожков Вячеслав Валерьевич</v>
          </cell>
          <cell r="B2096" t="str">
            <v>В-27581/АЗ</v>
          </cell>
          <cell r="C2096" t="str">
            <v>slava.dps@me.com</v>
          </cell>
          <cell r="D2096" t="str">
            <v>slava.dps@me.com</v>
          </cell>
        </row>
        <row r="2097">
          <cell r="A2097" t="str">
            <v>Хулхачиев Очир Васильевич</v>
          </cell>
          <cell r="B2097" t="str">
            <v>В-18569/КЛ.Транш - 1</v>
          </cell>
          <cell r="D2097" t="str">
            <v>khulkhachiev.ochir@yandex.ru</v>
          </cell>
        </row>
        <row r="2098">
          <cell r="A2098" t="str">
            <v>Хуртов Сергей Георгиевич</v>
          </cell>
          <cell r="B2098" t="str">
            <v>В-12427/КЛ.Транш - 1</v>
          </cell>
          <cell r="C2098" t="str">
            <v>xurtov79@mail.ru</v>
          </cell>
          <cell r="D2098" t="str">
            <v>xurtov79@mail.ru</v>
          </cell>
        </row>
        <row r="2099">
          <cell r="A2099" t="str">
            <v>Хуртов Сергей Георгиевич</v>
          </cell>
          <cell r="B2099" t="str">
            <v>В-12427/КЛ.Транш - 2</v>
          </cell>
          <cell r="C2099" t="str">
            <v>xurtov79@mail.ru</v>
          </cell>
          <cell r="D2099" t="str">
            <v>xurtov79@mail.ru</v>
          </cell>
        </row>
        <row r="2100">
          <cell r="A2100" t="str">
            <v>Хуртов Сергей Георгиевич</v>
          </cell>
          <cell r="B2100" t="str">
            <v>В-12427/КЛ.Транш - 3</v>
          </cell>
          <cell r="C2100" t="str">
            <v>xurtov79@mail.ru</v>
          </cell>
          <cell r="D2100" t="str">
            <v>xurtov79@mail.ru</v>
          </cell>
        </row>
        <row r="2101">
          <cell r="A2101" t="str">
            <v>Хусаинов Шухрат Джурабоевич</v>
          </cell>
          <cell r="B2101" t="str">
            <v>В-20742/КЛ.Транш - 1</v>
          </cell>
          <cell r="D2101" t="str">
            <v>shuricx80@mail.ru</v>
          </cell>
        </row>
        <row r="2102">
          <cell r="A2102" t="str">
            <v>Царев Антон Борисович</v>
          </cell>
          <cell r="B2102" t="str">
            <v>В-20032/КЛ.Транш - 1</v>
          </cell>
          <cell r="D2102" t="str">
            <v>89067777090@mail.ru</v>
          </cell>
        </row>
        <row r="2103">
          <cell r="A2103" t="str">
            <v>Царев Кирилл Сергеевич</v>
          </cell>
          <cell r="B2103" t="str">
            <v>В-13051/КЛ.Транш - 1</v>
          </cell>
          <cell r="D2103" t="str">
            <v>TKS.SPB@BK.RU</v>
          </cell>
        </row>
        <row r="2104">
          <cell r="A2104" t="str">
            <v>Царьков Павел Игоревич</v>
          </cell>
          <cell r="B2104" t="str">
            <v>В-18851/КЛ.Транш - 1</v>
          </cell>
          <cell r="D2104" t="str">
            <v>carkov-pa@mail.ru</v>
          </cell>
        </row>
        <row r="2105">
          <cell r="A2105" t="str">
            <v>Цикишев Сергей Николаевич</v>
          </cell>
          <cell r="B2105" t="str">
            <v>В-18008/КЛ.Транш - 1</v>
          </cell>
          <cell r="D2105" t="str">
            <v>SFRGO.RABOTA.KRD@mail.ru</v>
          </cell>
        </row>
        <row r="2106">
          <cell r="A2106" t="str">
            <v>Цилевич Александр Сергеевич</v>
          </cell>
          <cell r="B2106" t="str">
            <v>В-00967/АЗ</v>
          </cell>
        </row>
        <row r="2107">
          <cell r="A2107" t="str">
            <v>Цинская Ольга Игоревна</v>
          </cell>
          <cell r="B2107" t="str">
            <v>В-27049/АЗ</v>
          </cell>
          <cell r="C2107" t="str">
            <v>olga_tsin@bk.ru</v>
          </cell>
          <cell r="D2107" t="str">
            <v>olga_tsin@bk.ru</v>
          </cell>
        </row>
        <row r="2108">
          <cell r="A2108" t="str">
            <v>Ципис Вадим Яковлевич</v>
          </cell>
          <cell r="B2108" t="str">
            <v>В-14216/КЛ.Транш - 1</v>
          </cell>
          <cell r="C2108" t="str">
            <v>Vad-ghost@yandex.ru</v>
          </cell>
          <cell r="D2108" t="str">
            <v>Vad-ghost@yandex.ru</v>
          </cell>
        </row>
        <row r="2109">
          <cell r="A2109" t="str">
            <v>Ципис Вадим Яковлевич</v>
          </cell>
          <cell r="B2109" t="str">
            <v>В-14216/КЛ.Транш - 2</v>
          </cell>
          <cell r="C2109" t="str">
            <v>Vad-ghost@yandex.ru</v>
          </cell>
          <cell r="D2109" t="str">
            <v>Vad-ghost@yandex.ru</v>
          </cell>
        </row>
        <row r="2110">
          <cell r="A2110" t="str">
            <v>Ципис Вадим Яковлевич</v>
          </cell>
          <cell r="B2110" t="str">
            <v>В-14216/КЛ.Транш - 3</v>
          </cell>
          <cell r="C2110" t="str">
            <v>Vad-ghost@yandex.ru</v>
          </cell>
          <cell r="D2110" t="str">
            <v>Vad-ghost@yandex.ru</v>
          </cell>
        </row>
        <row r="2111">
          <cell r="A2111" t="str">
            <v>Ципис Вадим Яковлевич</v>
          </cell>
          <cell r="B2111" t="str">
            <v>В-14216/КЛ.Транш - 4</v>
          </cell>
          <cell r="C2111" t="str">
            <v>Vad-ghost@yandex.ru</v>
          </cell>
          <cell r="D2111" t="str">
            <v>Vad-ghost@yandex.ru</v>
          </cell>
        </row>
        <row r="2112">
          <cell r="A2112" t="str">
            <v>Цирамуа Наталия Наполеоновна</v>
          </cell>
          <cell r="B2112" t="str">
            <v>В-22979/КЛ.Транш - 1</v>
          </cell>
          <cell r="C2112" t="str">
            <v>nat.tziramua@yandex.ru</v>
          </cell>
          <cell r="D2112" t="str">
            <v>nat.tziramua@yandex.ru</v>
          </cell>
        </row>
        <row r="2113">
          <cell r="A2113" t="str">
            <v>Циренов Максим Алексеевич</v>
          </cell>
          <cell r="B2113" t="str">
            <v>В-16444/КЛ.Транш - 3</v>
          </cell>
          <cell r="C2113" t="str">
            <v>Festina100m@mail.ru</v>
          </cell>
        </row>
        <row r="2114">
          <cell r="A2114" t="str">
            <v>Циркунова Юлия Владимировна</v>
          </cell>
          <cell r="B2114" t="str">
            <v>В-01345/КЛ.Транш - 1</v>
          </cell>
          <cell r="C2114" t="str">
            <v>czirkunova80@mail.ru</v>
          </cell>
        </row>
        <row r="2115">
          <cell r="A2115" t="str">
            <v>Цуканов Сергей Владимирович</v>
          </cell>
          <cell r="B2115" t="str">
            <v>Т-01893/АЗ_Т-20211028/Ц</v>
          </cell>
          <cell r="C2115" t="str">
            <v>mctsukan@mail.ru</v>
          </cell>
          <cell r="D2115" t="str">
            <v>mctsukan@mail.ru</v>
          </cell>
        </row>
        <row r="2116">
          <cell r="A2116" t="str">
            <v>Цуриков Яков Владимирович</v>
          </cell>
          <cell r="B2116" t="str">
            <v>В-17030/КЛ.Транш - 1</v>
          </cell>
          <cell r="D2116" t="str">
            <v>нет</v>
          </cell>
        </row>
        <row r="2117">
          <cell r="A2117" t="str">
            <v>Цымбалов Виталий Павлович</v>
          </cell>
          <cell r="B2117" t="str">
            <v>В-01925/КЛ.Транш - 1_В-20211230/Ц</v>
          </cell>
          <cell r="C2117" t="str">
            <v>cool.cymbalov@yandex.ru</v>
          </cell>
        </row>
        <row r="2118">
          <cell r="A2118" t="str">
            <v>Цымбалов Виталий Павлович</v>
          </cell>
          <cell r="B2118" t="str">
            <v>В-01925/КЛ.Транш - 2_В-20211230/Ц</v>
          </cell>
          <cell r="C2118" t="str">
            <v>cool.cymbalov@yandex.ru</v>
          </cell>
        </row>
        <row r="2119">
          <cell r="A2119" t="str">
            <v>Чаплыгина Наталья Владимировна</v>
          </cell>
          <cell r="B2119" t="str">
            <v>В-28789/КЛ.Транш - 1</v>
          </cell>
          <cell r="C2119" t="str">
            <v>LBashkirova@yandex.ru</v>
          </cell>
          <cell r="D2119" t="str">
            <v>LBashkirova@yandex.ru</v>
          </cell>
        </row>
        <row r="2120">
          <cell r="A2120" t="str">
            <v>Чащин Александр Станиславович</v>
          </cell>
          <cell r="B2120" t="str">
            <v>В-12279/КЛ.Транш - 1</v>
          </cell>
        </row>
        <row r="2121">
          <cell r="A2121" t="str">
            <v>Че Александр Кенчанович</v>
          </cell>
          <cell r="B2121" t="str">
            <v>В-09270/КЛ.Транш - 1</v>
          </cell>
          <cell r="C2121" t="str">
            <v>gorodche74@mail.ru</v>
          </cell>
        </row>
        <row r="2122">
          <cell r="A2122" t="str">
            <v>Чеботкова Полина Михайловна</v>
          </cell>
          <cell r="B2122" t="str">
            <v>В-10039/КЛ.Транш - 1</v>
          </cell>
          <cell r="C2122" t="str">
            <v>ms.lubimova88@mail.ru</v>
          </cell>
        </row>
        <row r="2123">
          <cell r="A2123" t="str">
            <v>Чеботкова Полина Михайловна</v>
          </cell>
          <cell r="B2123" t="str">
            <v>В-10039/КЛ.Транш - 2</v>
          </cell>
          <cell r="C2123" t="str">
            <v>ms.lubimova88@mail.ru</v>
          </cell>
        </row>
        <row r="2124">
          <cell r="A2124" t="str">
            <v>Чекалкин Михаил Михайлович</v>
          </cell>
          <cell r="B2124" t="str">
            <v>А-00714/АЗ</v>
          </cell>
        </row>
        <row r="2125">
          <cell r="A2125" t="str">
            <v>Чепрасова Галина Александровна</v>
          </cell>
          <cell r="B2125" t="str">
            <v>В-27914/КЛ.Транш - 1</v>
          </cell>
          <cell r="D2125" t="str">
            <v>fybbet@yandex.ru</v>
          </cell>
        </row>
        <row r="2126">
          <cell r="A2126" t="str">
            <v>Черкасов Евгений Викторович</v>
          </cell>
          <cell r="B2126" t="str">
            <v>В-00132/АЗ</v>
          </cell>
          <cell r="C2126" t="str">
            <v>echerkasov@mail.ru</v>
          </cell>
        </row>
        <row r="2127">
          <cell r="A2127" t="str">
            <v>Черкасов Евгений Викторович</v>
          </cell>
          <cell r="B2127" t="str">
            <v>В-01071/АЗ</v>
          </cell>
          <cell r="C2127" t="str">
            <v>echerkasov@mail.ru</v>
          </cell>
        </row>
        <row r="2128">
          <cell r="A2128" t="str">
            <v>Чернавина Татьяна Дмитриевна</v>
          </cell>
          <cell r="B2128" t="str">
            <v>В-20012/КЛ.Транш - 2</v>
          </cell>
          <cell r="D2128" t="str">
            <v>taniaelis1991@mail.ru</v>
          </cell>
        </row>
        <row r="2129">
          <cell r="A2129" t="str">
            <v>Чернецов Василий Николаевич</v>
          </cell>
          <cell r="B2129" t="str">
            <v>В-16693/КЛ.Транш - 1</v>
          </cell>
          <cell r="D2129" t="str">
            <v>nata0224@yandex.ru</v>
          </cell>
        </row>
        <row r="2130">
          <cell r="A2130" t="str">
            <v>Чернецов Василий Николаевич</v>
          </cell>
          <cell r="B2130" t="str">
            <v>В-16693/КЛ.Транш - 2</v>
          </cell>
          <cell r="D2130" t="str">
            <v>nata0224@yandex.ru</v>
          </cell>
        </row>
        <row r="2131">
          <cell r="A2131" t="str">
            <v>Черников Сергей Сергеевич</v>
          </cell>
          <cell r="B2131" t="str">
            <v>В-00982/АЗ</v>
          </cell>
          <cell r="C2131" t="str">
            <v>sergejcernikov5599@gmail.com</v>
          </cell>
        </row>
        <row r="2132">
          <cell r="A2132" t="str">
            <v>Чернышова Татьяна Николаевна</v>
          </cell>
          <cell r="B2132" t="str">
            <v>В-03631/КЛ.Транш - 1</v>
          </cell>
          <cell r="C2132" t="str">
            <v>taniakrasnikova@mail.ru</v>
          </cell>
        </row>
        <row r="2133">
          <cell r="A2133" t="str">
            <v>Черова Ирина Николаевна</v>
          </cell>
          <cell r="B2133" t="str">
            <v>В-28303/АЗ</v>
          </cell>
          <cell r="D2133" t="str">
            <v>nastyaonew@mail.ru</v>
          </cell>
        </row>
        <row r="2134">
          <cell r="A2134" t="str">
            <v>Чертов Алексей Владимирович</v>
          </cell>
          <cell r="B2134" t="str">
            <v>В-00145/КЛ.Транш - 1</v>
          </cell>
          <cell r="C2134" t="str">
            <v>alex_izi_75@mail.ru</v>
          </cell>
        </row>
        <row r="2135">
          <cell r="A2135" t="str">
            <v>Четверикова Ирина Алексеевна</v>
          </cell>
          <cell r="B2135" t="str">
            <v>А-05335/АЗ_Т-20211028/Ц</v>
          </cell>
          <cell r="C2135" t="str">
            <v>IRINA_KON@MAIL.RU</v>
          </cell>
          <cell r="D2135" t="str">
            <v>IRINA_KON@MAIL.RU</v>
          </cell>
        </row>
        <row r="2136">
          <cell r="A2136" t="str">
            <v>Четверикова Ирина Алексеевна</v>
          </cell>
          <cell r="B2136" t="str">
            <v>В-00243/АЗ_Т-20211028/Ц</v>
          </cell>
          <cell r="C2136" t="str">
            <v>IRINA_KON@MAIL.RU</v>
          </cell>
          <cell r="D2136" t="str">
            <v>IRINA_KON@MAIL.RU</v>
          </cell>
        </row>
        <row r="2137">
          <cell r="A2137" t="str">
            <v>Четырина Марина Юрьевна</v>
          </cell>
          <cell r="B2137" t="str">
            <v>В-02500/КЛ.Транш - 1</v>
          </cell>
          <cell r="C2137" t="str">
            <v>9095808181cosgun@gmail.com</v>
          </cell>
        </row>
        <row r="2138">
          <cell r="A2138" t="str">
            <v>Чибисова Елена Валерьевна</v>
          </cell>
          <cell r="B2138" t="str">
            <v>А-03750/АЗ</v>
          </cell>
          <cell r="C2138" t="str">
            <v>capitel@ya.ru</v>
          </cell>
          <cell r="D2138" t="str">
            <v>capitel@ya.ru</v>
          </cell>
        </row>
        <row r="2139">
          <cell r="A2139" t="str">
            <v>Чикатуева Джульета Аслановна</v>
          </cell>
          <cell r="B2139" t="str">
            <v>В-25884/КЛ.Транш - 1</v>
          </cell>
          <cell r="D2139" t="str">
            <v>Chikatvieva@bk.ru</v>
          </cell>
        </row>
        <row r="2140">
          <cell r="A2140" t="str">
            <v>Чикирёв Олег Викторович</v>
          </cell>
          <cell r="B2140" t="str">
            <v>В-11326/КЛ.Транш - 1</v>
          </cell>
          <cell r="C2140" t="str">
            <v>oleg.chikirev@gmail.com</v>
          </cell>
        </row>
        <row r="2141">
          <cell r="A2141" t="str">
            <v>Чикирёв Олег Викторович</v>
          </cell>
          <cell r="B2141" t="str">
            <v>В-11326/КЛ.Транш - 2</v>
          </cell>
          <cell r="C2141" t="str">
            <v>oleg.chikirev@gmail.com</v>
          </cell>
        </row>
        <row r="2142">
          <cell r="A2142" t="str">
            <v>Чикунов Дмитрий Александрович</v>
          </cell>
          <cell r="B2142" t="str">
            <v>В-00918/АЗ</v>
          </cell>
          <cell r="C2142" t="str">
            <v>chikunov-d@rambler.ru</v>
          </cell>
        </row>
        <row r="2143">
          <cell r="A2143" t="str">
            <v>Чистильников Алексей Вячеславович</v>
          </cell>
          <cell r="B2143" t="str">
            <v>В-16757/КЛ.Транш - 1</v>
          </cell>
          <cell r="D2143" t="str">
            <v>aleksnord1@gmail.com</v>
          </cell>
        </row>
        <row r="2144">
          <cell r="A2144" t="str">
            <v>Члоян Геворк Мамбреович</v>
          </cell>
          <cell r="B2144" t="str">
            <v>В-01039/АЗ</v>
          </cell>
        </row>
        <row r="2145">
          <cell r="A2145" t="str">
            <v>Чокуев Жаркынбек Калыбекович</v>
          </cell>
          <cell r="B2145" t="str">
            <v>В-00865/АЗ</v>
          </cell>
        </row>
        <row r="2146">
          <cell r="A2146" t="str">
            <v>Чумакова Екатерина Александровна</v>
          </cell>
          <cell r="B2146" t="str">
            <v>В-28755/КЛ.Транш - 1</v>
          </cell>
          <cell r="C2146" t="str">
            <v>pushik7@mail.ru</v>
          </cell>
          <cell r="D2146" t="str">
            <v>pushik7@mail.ru</v>
          </cell>
        </row>
        <row r="2147">
          <cell r="A2147" t="str">
            <v>Чупрынина Лилия Леонидовна</v>
          </cell>
          <cell r="B2147" t="str">
            <v>В-18135/КЛ.Транш - 1</v>
          </cell>
          <cell r="D2147" t="str">
            <v>Liliy.sev@mail.ru</v>
          </cell>
        </row>
        <row r="2148">
          <cell r="A2148" t="str">
            <v>Чурсинов Ярослав Александрович</v>
          </cell>
          <cell r="B2148" t="str">
            <v>В-20635/КЛ.Транш - 1</v>
          </cell>
          <cell r="D2148" t="str">
            <v>YAROSLAV.chursinov@bk.ru</v>
          </cell>
        </row>
        <row r="2149">
          <cell r="A2149" t="str">
            <v>Чучаев Адам Аптиевич</v>
          </cell>
          <cell r="B2149" t="str">
            <v>В-08626/КЛ.Транш - 1</v>
          </cell>
          <cell r="C2149" t="str">
            <v>chuchaev72@mail.ru</v>
          </cell>
        </row>
        <row r="2150">
          <cell r="A2150" t="str">
            <v>Шабанова Элвира Назировна</v>
          </cell>
          <cell r="B2150" t="str">
            <v>В-14633/КЛ.Транш - 1</v>
          </cell>
          <cell r="D2150" t="str">
            <v>elvira1124@mail.ru</v>
          </cell>
        </row>
        <row r="2151">
          <cell r="A2151" t="str">
            <v>Шагивалеев Азат Азатович</v>
          </cell>
          <cell r="B2151" t="str">
            <v>В-00675/АЗ</v>
          </cell>
          <cell r="C2151" t="str">
            <v>Azat.TatarinMoscow@yandex.ru</v>
          </cell>
        </row>
        <row r="2152">
          <cell r="A2152" t="str">
            <v>Шагивалеев Азат Азатович</v>
          </cell>
          <cell r="B2152" t="str">
            <v>В-01170/АЗ</v>
          </cell>
          <cell r="C2152" t="str">
            <v>Azat.TatarinMoscow@yandex.ru</v>
          </cell>
        </row>
        <row r="2153">
          <cell r="A2153" t="str">
            <v>Шагинян Геворк Карленович</v>
          </cell>
          <cell r="B2153" t="str">
            <v>В-22457/АЗ</v>
          </cell>
          <cell r="C2153" t="str">
            <v>egiazarov.90@mail.ru</v>
          </cell>
          <cell r="D2153" t="str">
            <v>egiazarov.90@mail.ru</v>
          </cell>
        </row>
        <row r="2154">
          <cell r="A2154" t="str">
            <v>Шаламова Татьяна Андреевна</v>
          </cell>
          <cell r="B2154" t="str">
            <v>В-27929/КЛ.Транш - 1</v>
          </cell>
          <cell r="D2154" t="str">
            <v>SHALAMOVA.T@LIST.RU</v>
          </cell>
        </row>
        <row r="2155">
          <cell r="A2155" t="str">
            <v>Шалдыбин Данил Геннадьевич</v>
          </cell>
          <cell r="B2155" t="str">
            <v>В-23776/КЛ.Транш - 1</v>
          </cell>
          <cell r="C2155" t="str">
            <v>danilsaldybin2@gmail.com</v>
          </cell>
          <cell r="D2155" t="str">
            <v>danilsaldybin2@gmail.com</v>
          </cell>
        </row>
        <row r="2156">
          <cell r="A2156" t="str">
            <v>Шалимов Валерий Михайлович</v>
          </cell>
          <cell r="B2156" t="str">
            <v>В-09619/КЛ.Транш - 1</v>
          </cell>
          <cell r="C2156" t="str">
            <v>Pravovlg@yandex.ru</v>
          </cell>
        </row>
        <row r="2157">
          <cell r="A2157" t="str">
            <v>Шаматава Давид Роиниевич</v>
          </cell>
          <cell r="B2157" t="str">
            <v>В-18705/КЛ.Транш - 1</v>
          </cell>
          <cell r="D2157" t="str">
            <v>Shamatava.david@mail.ru</v>
          </cell>
        </row>
        <row r="2158">
          <cell r="A2158" t="str">
            <v>Шарапов Евгений Вячеславович</v>
          </cell>
          <cell r="B2158" t="str">
            <v>В-03324/КЛ.Транш - 2</v>
          </cell>
          <cell r="C2158" t="str">
            <v>evvegen.li1985@gmail.com</v>
          </cell>
        </row>
        <row r="2159">
          <cell r="A2159" t="str">
            <v>Шарыгин Семен Михайлович</v>
          </cell>
          <cell r="B2159" t="str">
            <v>В-17934/КЛ.Транш - 1</v>
          </cell>
          <cell r="D2159" t="str">
            <v>sema.tmt@rambler.ru</v>
          </cell>
        </row>
        <row r="2160">
          <cell r="A2160" t="str">
            <v>Шаулов Шаул Рамбомович</v>
          </cell>
          <cell r="B2160" t="str">
            <v>В-06345/КЛ.Транш - 1</v>
          </cell>
        </row>
        <row r="2161">
          <cell r="A2161" t="str">
            <v>Шахбазян Овсеп Сурикович</v>
          </cell>
          <cell r="B2161" t="str">
            <v>А-04593/АЗ</v>
          </cell>
          <cell r="C2161" t="str">
            <v>oso77shahbaryan@mail.ru</v>
          </cell>
          <cell r="D2161" t="str">
            <v>oso77shahbaryan@mail.ru</v>
          </cell>
        </row>
        <row r="2162">
          <cell r="A2162" t="str">
            <v>Шашков Константин Вячеславович</v>
          </cell>
          <cell r="B2162" t="str">
            <v>В-06035/КЛ.Транш - 1</v>
          </cell>
          <cell r="C2162" t="str">
            <v>Konstantin.shashkov40@gmail.com</v>
          </cell>
        </row>
        <row r="2163">
          <cell r="A2163" t="str">
            <v>Шевелев Олег Андреевич</v>
          </cell>
          <cell r="B2163" t="str">
            <v>В-17397/КЛ.Транш - 2</v>
          </cell>
          <cell r="D2163" t="str">
            <v>oleshevele@yandex.ru</v>
          </cell>
        </row>
        <row r="2164">
          <cell r="A2164" t="str">
            <v>Шевкунова Елена Михайловна</v>
          </cell>
          <cell r="B2164" t="str">
            <v>В-28148/КЛ.Транш - 1</v>
          </cell>
          <cell r="C2164" t="str">
            <v>elena8000km@mail.ru</v>
          </cell>
          <cell r="D2164" t="str">
            <v>elena8000km@mail.ru</v>
          </cell>
        </row>
        <row r="2165">
          <cell r="A2165" t="str">
            <v>Шевченко Евгений Вячеславович</v>
          </cell>
          <cell r="B2165" t="str">
            <v>В-24267/КЛ.Транш - 1</v>
          </cell>
          <cell r="D2165" t="str">
            <v>yanhikyana7@gmail.com</v>
          </cell>
        </row>
        <row r="2166">
          <cell r="A2166" t="str">
            <v>Шевченко Оксана Анатольевна</v>
          </cell>
          <cell r="B2166" t="str">
            <v>В-21687/КЛ.Транш - 1</v>
          </cell>
          <cell r="D2166" t="str">
            <v>shewchenkco.oksana2016@yandex.ru</v>
          </cell>
        </row>
        <row r="2167">
          <cell r="A2167" t="str">
            <v>Шелин Екатерина Вячеславовна</v>
          </cell>
          <cell r="B2167" t="str">
            <v>Т-01872/АЗ_Т-20211028/Ц</v>
          </cell>
          <cell r="C2167" t="str">
            <v>katerina14_84@mail.ru</v>
          </cell>
        </row>
        <row r="2168">
          <cell r="A2168" t="str">
            <v>Шелуднев Андрей Валерьевич</v>
          </cell>
          <cell r="B2168" t="str">
            <v>В-03938/КЛ.Транш - 2</v>
          </cell>
          <cell r="C2168" t="str">
            <v>andrey.sheludnev@icloud.com</v>
          </cell>
        </row>
        <row r="2169">
          <cell r="A2169" t="str">
            <v>Шелухин Игорь Вадимович</v>
          </cell>
          <cell r="B2169" t="str">
            <v>А-05100/АЗ_А-20200626/Ц</v>
          </cell>
          <cell r="C2169" t="str">
            <v>IV.SS90@MAIL.RU</v>
          </cell>
          <cell r="D2169" t="str">
            <v>IV.SS90@MAIL.RU</v>
          </cell>
        </row>
        <row r="2170">
          <cell r="A2170" t="str">
            <v>Шергин Федор Сергеевич</v>
          </cell>
          <cell r="B2170" t="str">
            <v>В-21470/КЛ.Транш - 1</v>
          </cell>
          <cell r="C2170" t="str">
            <v>fedor20.08.83u@gmail.com</v>
          </cell>
        </row>
        <row r="2171">
          <cell r="A2171" t="str">
            <v>Шереметов Мурат Анатольевич</v>
          </cell>
          <cell r="B2171" t="str">
            <v>В-24989/АЗ</v>
          </cell>
          <cell r="C2171" t="str">
            <v>kaska112@mail.ru</v>
          </cell>
          <cell r="D2171" t="str">
            <v>kaska112@mail.ru</v>
          </cell>
        </row>
        <row r="2172">
          <cell r="A2172" t="str">
            <v>Шерстнев Дмитрий Андреевич</v>
          </cell>
          <cell r="B2172" t="str">
            <v>В-24385/КЛ.Транш - 1</v>
          </cell>
          <cell r="D2172" t="str">
            <v>dmytrosherstniev@gmail.com</v>
          </cell>
        </row>
        <row r="2173">
          <cell r="A2173" t="str">
            <v>Шестаков Евгений Николаевич</v>
          </cell>
          <cell r="B2173" t="str">
            <v>В-21910/КЛ.Транш - 1</v>
          </cell>
          <cell r="D2173" t="str">
            <v>Spryt1976@mail.ru</v>
          </cell>
        </row>
        <row r="2174">
          <cell r="A2174" t="str">
            <v>Шибаев Александр Викторович</v>
          </cell>
          <cell r="B2174" t="str">
            <v>В-28130/КЛ.Транш - 1</v>
          </cell>
          <cell r="C2174" t="str">
            <v>sibaevaleksandr29@gmail.com</v>
          </cell>
          <cell r="D2174" t="str">
            <v>sibaevaleksandr29@gmail.com</v>
          </cell>
        </row>
        <row r="2175">
          <cell r="A2175" t="str">
            <v>Шиганов Денис Юрьевич</v>
          </cell>
          <cell r="B2175" t="str">
            <v>В-11557/КЛ.Транш - 2</v>
          </cell>
          <cell r="C2175" t="str">
            <v>denistotti91@ya.ru</v>
          </cell>
        </row>
        <row r="2176">
          <cell r="A2176" t="str">
            <v>Шиганов Денис Юрьевич</v>
          </cell>
          <cell r="B2176" t="str">
            <v>В-11557/КЛ.Транш - 3</v>
          </cell>
          <cell r="C2176" t="str">
            <v>denistotti91@ya.ru</v>
          </cell>
        </row>
        <row r="2177">
          <cell r="A2177" t="str">
            <v>Шиленков Александр Владимирович</v>
          </cell>
          <cell r="B2177" t="str">
            <v>В-28064/КЛ.Транш - 1</v>
          </cell>
          <cell r="C2177" t="str">
            <v>al.shilenkov@gmail.com</v>
          </cell>
          <cell r="D2177" t="str">
            <v>al.shilenkov@gmail.com</v>
          </cell>
        </row>
        <row r="2178">
          <cell r="A2178" t="str">
            <v>Шилов Владимир Васильевич</v>
          </cell>
          <cell r="B2178" t="str">
            <v>В-21894/КЛ.Транш - 1</v>
          </cell>
          <cell r="C2178" t="str">
            <v>rido-2@mail.ru</v>
          </cell>
        </row>
        <row r="2179">
          <cell r="A2179" t="str">
            <v>Шилов Владимир Васильевич</v>
          </cell>
          <cell r="B2179" t="str">
            <v>В-21894/КЛ.Транш - 2</v>
          </cell>
          <cell r="C2179" t="str">
            <v>rido-2@mail.ru</v>
          </cell>
        </row>
        <row r="2180">
          <cell r="A2180" t="str">
            <v>Шилов Владимир Васильевич</v>
          </cell>
          <cell r="B2180" t="str">
            <v>В-21894/КЛ.Транш - 3</v>
          </cell>
          <cell r="C2180" t="str">
            <v>rido-2@mail.ru</v>
          </cell>
        </row>
        <row r="2181">
          <cell r="A2181" t="str">
            <v>Шилов Владимир Васильевич</v>
          </cell>
          <cell r="B2181" t="str">
            <v>В-21894/КЛ.Транш - 4</v>
          </cell>
          <cell r="C2181" t="str">
            <v>rido-2@mail.ru</v>
          </cell>
        </row>
        <row r="2182">
          <cell r="A2182" t="str">
            <v>Шиляев Алексей Владимирович</v>
          </cell>
          <cell r="B2182" t="str">
            <v>В-17162/КЛ.Транш - 1</v>
          </cell>
          <cell r="D2182" t="str">
            <v>leha.mgtu@gmail.com</v>
          </cell>
        </row>
        <row r="2183">
          <cell r="A2183" t="str">
            <v>Шиляев Алексей Владимирович</v>
          </cell>
          <cell r="B2183" t="str">
            <v>В-17162/КЛ.Транш - 2</v>
          </cell>
          <cell r="D2183" t="str">
            <v>leha.mgtu@gmail.com</v>
          </cell>
        </row>
        <row r="2184">
          <cell r="A2184" t="str">
            <v>Шиляев Алексей Владимирович</v>
          </cell>
          <cell r="B2184" t="str">
            <v>В-17162/КЛ.Транш - 3</v>
          </cell>
          <cell r="D2184" t="str">
            <v>leha.mgtu@gmail.com</v>
          </cell>
        </row>
        <row r="2185">
          <cell r="A2185" t="str">
            <v>Ширманов Никита Александрович</v>
          </cell>
          <cell r="B2185" t="str">
            <v>В-20952/КЛ.Транш - 3</v>
          </cell>
        </row>
        <row r="2186">
          <cell r="A2186" t="str">
            <v>Ширманов Никита Александрович</v>
          </cell>
          <cell r="B2186" t="str">
            <v>В-20952/КЛ.Транш - 4</v>
          </cell>
        </row>
        <row r="2187">
          <cell r="A2187" t="str">
            <v>Ширманов Никита Александрович</v>
          </cell>
          <cell r="B2187" t="str">
            <v>В-20952/КЛ.Транш - 6</v>
          </cell>
        </row>
        <row r="2188">
          <cell r="A2188" t="str">
            <v>Широков Иван Андреевич</v>
          </cell>
          <cell r="B2188" t="str">
            <v>В-10198/КЛ.Транш - 6</v>
          </cell>
          <cell r="C2188" t="str">
            <v>luckeri62@yandex.ru</v>
          </cell>
        </row>
        <row r="2189">
          <cell r="A2189" t="str">
            <v>Шитова Виктория Викторовна</v>
          </cell>
          <cell r="B2189" t="str">
            <v>В-11812/КЛ.Транш - 1</v>
          </cell>
          <cell r="C2189" t="str">
            <v>v_gaide@mail.ru</v>
          </cell>
        </row>
        <row r="2190">
          <cell r="A2190" t="str">
            <v>Шихалев Вячеслав Николаевич</v>
          </cell>
          <cell r="B2190" t="str">
            <v>Т-01869/АЗ_Т-20211028/Ц</v>
          </cell>
        </row>
        <row r="2191">
          <cell r="A2191" t="str">
            <v>Шиховцов Игорь Николаевич</v>
          </cell>
          <cell r="B2191" t="str">
            <v>В-23410/КЛ.Транш - 1</v>
          </cell>
          <cell r="C2191" t="str">
            <v>igor11081966@mail.ru</v>
          </cell>
          <cell r="D2191" t="str">
            <v>igor11081966@mail.ru</v>
          </cell>
        </row>
        <row r="2192">
          <cell r="A2192" t="str">
            <v>Шишкарев Александр Павлович</v>
          </cell>
          <cell r="B2192" t="str">
            <v>А-04160/АЗ_Т-20211028/Ц</v>
          </cell>
          <cell r="C2192" t="str">
            <v>eleke64@mail.ru</v>
          </cell>
          <cell r="D2192" t="str">
            <v>eleke64@mail.ru</v>
          </cell>
        </row>
        <row r="2193">
          <cell r="A2193" t="str">
            <v>Шишкарев Александр Павлович</v>
          </cell>
          <cell r="B2193" t="str">
            <v>Т-01540/АЗ_Т-20211028/Ц</v>
          </cell>
          <cell r="C2193" t="str">
            <v>eleke64@mail.ru</v>
          </cell>
          <cell r="D2193" t="str">
            <v>eleke64@mail.ru</v>
          </cell>
        </row>
        <row r="2194">
          <cell r="A2194" t="str">
            <v>Шквыр Виктор Викторович</v>
          </cell>
          <cell r="B2194" t="str">
            <v>В-09302/КЛ.Транш - 2</v>
          </cell>
          <cell r="C2194" t="str">
            <v>viktorshkvyr@gmail.com</v>
          </cell>
        </row>
        <row r="2195">
          <cell r="A2195" t="str">
            <v>Шквыр Виктор Викторович</v>
          </cell>
          <cell r="B2195" t="str">
            <v>В-09302/КЛ.Транш - 3</v>
          </cell>
          <cell r="C2195" t="str">
            <v>viktorshkvyr@gmail.com</v>
          </cell>
        </row>
        <row r="2196">
          <cell r="A2196" t="str">
            <v>Шквыр Виктор Викторович</v>
          </cell>
          <cell r="B2196" t="str">
            <v>В-09302/КЛ.Транш - 4</v>
          </cell>
          <cell r="C2196" t="str">
            <v>viktorshkvyr@gmail.com</v>
          </cell>
        </row>
        <row r="2197">
          <cell r="A2197" t="str">
            <v>Шквыр Виктор Викторович</v>
          </cell>
          <cell r="B2197" t="str">
            <v>В-09302/КЛ.Транш - 5</v>
          </cell>
          <cell r="C2197" t="str">
            <v>viktorshkvyr@gmail.com</v>
          </cell>
        </row>
        <row r="2198">
          <cell r="A2198" t="str">
            <v>Шодиев Хуснуддин Сулоймонкулович</v>
          </cell>
          <cell r="B2198" t="str">
            <v>А-05291/АЗ</v>
          </cell>
          <cell r="C2198" t="str">
            <v>hase_09@mail.ru</v>
          </cell>
          <cell r="D2198" t="str">
            <v>hase_09@mail.ru</v>
          </cell>
        </row>
        <row r="2199">
          <cell r="A2199" t="str">
            <v>Шопронку Сергей Харитонович</v>
          </cell>
          <cell r="B2199" t="str">
            <v>В-02154/КЛ.Транш - 1</v>
          </cell>
        </row>
        <row r="2200">
          <cell r="A2200" t="str">
            <v>Шубернецкий Андрей Петрович</v>
          </cell>
          <cell r="B2200" t="str">
            <v>В-27310/КЛ.Транш - 1</v>
          </cell>
          <cell r="C2200" t="str">
            <v>andrey007amg@mail.ru</v>
          </cell>
          <cell r="D2200" t="str">
            <v>andrey007amg@mail.ru</v>
          </cell>
        </row>
        <row r="2201">
          <cell r="A2201" t="str">
            <v>Шувалов Александр Вячеславович</v>
          </cell>
          <cell r="B2201" t="str">
            <v>В-09636/КЛ.Транш - 1</v>
          </cell>
          <cell r="C2201" t="str">
            <v>Suvalal@mail.ru</v>
          </cell>
        </row>
        <row r="2202">
          <cell r="A2202" t="str">
            <v>Шумилов Валерий Игоревич</v>
          </cell>
          <cell r="B2202" t="str">
            <v>В-13042/КЛ.Транш - 1</v>
          </cell>
          <cell r="D2202" t="str">
            <v>valeron1.5@yandeх.ru</v>
          </cell>
        </row>
        <row r="2203">
          <cell r="A2203" t="str">
            <v>Шурупова Екатерина Петровна</v>
          </cell>
          <cell r="B2203" t="str">
            <v>В-00993/КЛ.Транш - 1</v>
          </cell>
          <cell r="C2203" t="str">
            <v>shurupova_katya@list.ru</v>
          </cell>
        </row>
        <row r="2204">
          <cell r="A2204" t="str">
            <v>Шустов Иван Сергеевич</v>
          </cell>
          <cell r="B2204" t="str">
            <v>В-07729/КЛ.Транш - 1</v>
          </cell>
          <cell r="C2204" t="str">
            <v>ZASOS87@mail.ru</v>
          </cell>
        </row>
        <row r="2205">
          <cell r="A2205" t="str">
            <v>Шушарин Артем Владимирович</v>
          </cell>
          <cell r="B2205" t="str">
            <v>В-11280/КЛ.Транш - 1</v>
          </cell>
          <cell r="C2205" t="str">
            <v>tema2685@mail.ru</v>
          </cell>
        </row>
        <row r="2206">
          <cell r="A2206" t="str">
            <v>Щеглов Роман Сергеевич</v>
          </cell>
          <cell r="B2206" t="str">
            <v>В-12894/КЛ.Транш - 1</v>
          </cell>
          <cell r="C2206" t="str">
            <v>seglovroman7272@gmail.ru</v>
          </cell>
          <cell r="D2206" t="str">
            <v>seglovroman7272@gmail.ru</v>
          </cell>
        </row>
        <row r="2207">
          <cell r="A2207" t="str">
            <v>Щелков Александр Владимирович</v>
          </cell>
          <cell r="B2207" t="str">
            <v>В-15131/КЛ.Транш - 1</v>
          </cell>
          <cell r="D2207" t="str">
            <v>Schyter12@yandex.ru</v>
          </cell>
        </row>
        <row r="2208">
          <cell r="A2208" t="str">
            <v>Щепин Артём Артурович</v>
          </cell>
          <cell r="B2208" t="str">
            <v>В-26501/КЛ.Транш - 1</v>
          </cell>
          <cell r="D2208" t="str">
            <v>artyom23shc@gmail.com</v>
          </cell>
        </row>
        <row r="2209">
          <cell r="A2209" t="str">
            <v>Щепин Артём Артурович</v>
          </cell>
          <cell r="B2209" t="str">
            <v>В-26501/КЛ.Транш - 2</v>
          </cell>
          <cell r="D2209" t="str">
            <v>artyom23shc@gmail.com</v>
          </cell>
        </row>
        <row r="2210">
          <cell r="A2210" t="str">
            <v>Щепин Артём Артурович</v>
          </cell>
          <cell r="B2210" t="str">
            <v>В-26501/КЛ.Транш - 3</v>
          </cell>
          <cell r="D2210" t="str">
            <v>artyom23shc@gmail.com</v>
          </cell>
        </row>
        <row r="2211">
          <cell r="A2211" t="str">
            <v>Щепин Артём Артурович</v>
          </cell>
          <cell r="B2211" t="str">
            <v>В-26501/КЛ.Транш - 4</v>
          </cell>
          <cell r="D2211" t="str">
            <v>artyom23shc@gmail.com</v>
          </cell>
        </row>
        <row r="2212">
          <cell r="A2212" t="str">
            <v>Щепин Артём Артурович</v>
          </cell>
          <cell r="B2212" t="str">
            <v>В-26501/КЛ.Транш - 5</v>
          </cell>
          <cell r="D2212" t="str">
            <v>artyom23shc@gmail.com</v>
          </cell>
        </row>
        <row r="2213">
          <cell r="A2213" t="str">
            <v>Щепин Артём Артурович</v>
          </cell>
          <cell r="B2213" t="str">
            <v>В-26501/КЛ.Транш - 6</v>
          </cell>
          <cell r="D2213" t="str">
            <v>artyom23shc@gmail.com</v>
          </cell>
        </row>
        <row r="2214">
          <cell r="A2214" t="str">
            <v>Щербаков Владислав Владимирович</v>
          </cell>
          <cell r="B2214" t="str">
            <v>В-23161/КЛ.Транш - 1</v>
          </cell>
          <cell r="D2214" t="str">
            <v>bedro77@rambler.ru</v>
          </cell>
        </row>
        <row r="2215">
          <cell r="A2215" t="str">
            <v>Щербаков Сергей Валерьевич</v>
          </cell>
          <cell r="B2215" t="str">
            <v>В-01371/КЛ.Транш - 1</v>
          </cell>
          <cell r="C2215" t="str">
            <v>6698879@gmail.com</v>
          </cell>
        </row>
        <row r="2216">
          <cell r="A2216" t="str">
            <v>Щербаков Сергей Васильевич</v>
          </cell>
          <cell r="B2216" t="str">
            <v>В-12818/КЛ.Транш - 1</v>
          </cell>
          <cell r="D2216" t="str">
            <v>Sergei-22.05@mail.ru</v>
          </cell>
        </row>
        <row r="2217">
          <cell r="A2217" t="str">
            <v>Щербин Виталий Борисович</v>
          </cell>
          <cell r="B2217" t="str">
            <v>А-01652/АЗ</v>
          </cell>
        </row>
        <row r="2218">
          <cell r="A2218" t="str">
            <v>Щербин Виталий Борисович</v>
          </cell>
          <cell r="B2218" t="str">
            <v>Т-00638/АЗ_Т-20211028/Ц</v>
          </cell>
        </row>
        <row r="2219">
          <cell r="A2219" t="str">
            <v>Щетников Станислав Александрович</v>
          </cell>
          <cell r="B2219" t="str">
            <v>В-24892/АЗ</v>
          </cell>
          <cell r="C2219" t="str">
            <v>shetnikov.tzx@mail.ru</v>
          </cell>
          <cell r="D2219" t="str">
            <v>shetnikov.jzx@mail.ru</v>
          </cell>
        </row>
        <row r="2220">
          <cell r="A2220" t="str">
            <v>Эврика ООО</v>
          </cell>
          <cell r="B2220" t="str">
            <v>В-00065/КЭ.Транш - 1</v>
          </cell>
          <cell r="C2220" t="str">
            <v>KDC-rostov@bk.ru</v>
          </cell>
        </row>
        <row r="2221">
          <cell r="A2221" t="str">
            <v>Эктов Евгений Александрович</v>
          </cell>
          <cell r="B2221" t="str">
            <v>В-00039/АЗ</v>
          </cell>
        </row>
        <row r="2222">
          <cell r="A2222" t="str">
            <v>Элибекян Виген Вагаршакович</v>
          </cell>
          <cell r="B2222" t="str">
            <v>В-26216/АЗ</v>
          </cell>
          <cell r="C2222" t="str">
            <v>vigen.elibelyan@mail.ru</v>
          </cell>
          <cell r="D2222" t="str">
            <v>vigen.elibelyan@mail.ru</v>
          </cell>
        </row>
        <row r="2223">
          <cell r="A2223" t="str">
            <v>ЭЛ-КОМПЛЕКТ ООО</v>
          </cell>
          <cell r="B2223" t="str">
            <v>В-00039/КЭ.Транш - 1</v>
          </cell>
        </row>
        <row r="2224">
          <cell r="A2224" t="str">
            <v>Элоян Артур Гамбарович</v>
          </cell>
          <cell r="B2224" t="str">
            <v>В-18548/КЛ.Транш - 1</v>
          </cell>
          <cell r="D2224" t="str">
            <v>Eloyan-1985@mail.ru</v>
          </cell>
        </row>
        <row r="2225">
          <cell r="A2225" t="str">
            <v>Элоян Артур Гамбарович</v>
          </cell>
          <cell r="B2225" t="str">
            <v>В-18548/КЛ.Транш - 2</v>
          </cell>
          <cell r="D2225" t="str">
            <v>Eloyan-1985@mail.ru</v>
          </cell>
        </row>
        <row r="2226">
          <cell r="A2226" t="str">
            <v>ЭльБрус ООО</v>
          </cell>
          <cell r="B2226" t="str">
            <v>В-00053/КЭ.Транш - 1</v>
          </cell>
          <cell r="C2226" t="str">
            <v>alexborisov72@gmail.com</v>
          </cell>
        </row>
        <row r="2227">
          <cell r="A2227" t="str">
            <v>ЭНБЕРЛИ ООО</v>
          </cell>
          <cell r="B2227" t="str">
            <v>В-10014/КЭ.Транш - 1</v>
          </cell>
          <cell r="C2227" t="str">
            <v>a.tkachenko@ekproxima.ru</v>
          </cell>
        </row>
        <row r="2228">
          <cell r="A2228" t="str">
            <v>ЭНБЕРЛИ ООО</v>
          </cell>
          <cell r="B2228" t="str">
            <v>В-10014/КЭ.Транш - 2</v>
          </cell>
          <cell r="C2228" t="str">
            <v>a.tkachenko@ekproxima.ru</v>
          </cell>
        </row>
        <row r="2229">
          <cell r="A2229" t="str">
            <v>ЭНЕРГИЯ ООО</v>
          </cell>
          <cell r="B2229" t="str">
            <v>А-10098/КЭ.Транш - 1</v>
          </cell>
        </row>
        <row r="2230">
          <cell r="A2230" t="str">
            <v>ЭНЕРГИЯ ООО</v>
          </cell>
          <cell r="B2230" t="str">
            <v>А-10099/КЭ.Транш - 1</v>
          </cell>
        </row>
        <row r="2231">
          <cell r="A2231" t="str">
            <v>ЭНЕРГИЯ ООО</v>
          </cell>
          <cell r="B2231" t="str">
            <v>А-10099/КЭ.Транш - 2</v>
          </cell>
        </row>
        <row r="2232">
          <cell r="A2232" t="str">
            <v>Эргашев Баходир Закирович</v>
          </cell>
          <cell r="B2232" t="str">
            <v>В-08248/КЛ.Транш - 3</v>
          </cell>
          <cell r="C2232" t="str">
            <v>Borise-1974@mail.ru</v>
          </cell>
        </row>
        <row r="2233">
          <cell r="A2233" t="str">
            <v>Эргюн Кристина Николаевна</v>
          </cell>
          <cell r="B2233" t="str">
            <v>В-05868/КЛ.Транш - 1</v>
          </cell>
          <cell r="C2233" t="str">
            <v>kristina-kuzmina@yandex.ru</v>
          </cell>
        </row>
        <row r="2234">
          <cell r="A2234" t="str">
            <v>Эседуллаев Самур Камилович</v>
          </cell>
          <cell r="B2234" t="str">
            <v>В-25743/КЛ.Транш - 1</v>
          </cell>
          <cell r="D2234" t="str">
            <v>semen2011m@mail.ru</v>
          </cell>
        </row>
        <row r="2235">
          <cell r="A2235" t="str">
            <v>Эскеров Агаси Эскерович</v>
          </cell>
          <cell r="B2235" t="str">
            <v>В-14232/КЛ.Транш - 1</v>
          </cell>
          <cell r="D2235" t="str">
            <v>eskerovv05@gmail.com</v>
          </cell>
        </row>
        <row r="2236">
          <cell r="A2236" t="str">
            <v>Юдин Александр Сергеевич</v>
          </cell>
          <cell r="B2236" t="str">
            <v>В-01090/АЗ</v>
          </cell>
          <cell r="C2236" t="str">
            <v>batku987@mail.ru</v>
          </cell>
          <cell r="D2236" t="str">
            <v>batkus87@mail.ru</v>
          </cell>
        </row>
        <row r="2237">
          <cell r="A2237" t="str">
            <v>Юдин Александр Сергеевич</v>
          </cell>
          <cell r="B2237" t="str">
            <v>В-23895/АЗ</v>
          </cell>
          <cell r="C2237" t="str">
            <v>batku987@mail.ru</v>
          </cell>
          <cell r="D2237" t="str">
            <v>batkus87@mail.ru</v>
          </cell>
        </row>
        <row r="2238">
          <cell r="A2238" t="str">
            <v>Юдина Светлана Валерьевна</v>
          </cell>
          <cell r="B2238" t="str">
            <v>В-20899/КЛ.Транш - 1</v>
          </cell>
          <cell r="D2238" t="str">
            <v>kit20073@yandex.ru</v>
          </cell>
        </row>
        <row r="2239">
          <cell r="A2239" t="str">
            <v>Юзбашян Ходедан Зограбович</v>
          </cell>
          <cell r="B2239" t="str">
            <v>В-00088/АЗ</v>
          </cell>
          <cell r="C2239" t="str">
            <v>xodedan@mail.ru</v>
          </cell>
        </row>
        <row r="2240">
          <cell r="A2240" t="str">
            <v>Юн Вадим Вячеславович</v>
          </cell>
          <cell r="B2240" t="str">
            <v>В-24151/КЛ.Транш - 1</v>
          </cell>
          <cell r="D2240" t="str">
            <v>yun.VADIM1979@icloud.com</v>
          </cell>
        </row>
        <row r="2241">
          <cell r="A2241" t="str">
            <v>Юнусов Акмалдин Акрамович</v>
          </cell>
          <cell r="B2241" t="str">
            <v>В-03543/КЛ.Транш - 1</v>
          </cell>
          <cell r="C2241" t="str">
            <v>akmalyunvsov31@gmail.com</v>
          </cell>
        </row>
        <row r="2242">
          <cell r="A2242" t="str">
            <v>Юров Михаил Витальевич</v>
          </cell>
          <cell r="B2242" t="str">
            <v>Т-01906/АЗ_Т-20211028/Ц</v>
          </cell>
          <cell r="C2242" t="str">
            <v>mishail1185@mail.ru</v>
          </cell>
          <cell r="D2242" t="str">
            <v>mishail1185@mail.ru</v>
          </cell>
        </row>
        <row r="2243">
          <cell r="A2243" t="str">
            <v>Юрченко Дмитрий Валерьевич</v>
          </cell>
          <cell r="B2243" t="str">
            <v>В-01642/КЛ.Транш - 1</v>
          </cell>
          <cell r="C2243" t="str">
            <v>domestas29@gmail.com</v>
          </cell>
        </row>
        <row r="2244">
          <cell r="A2244" t="str">
            <v>Юсупов Альберт Гиннатуллаевич</v>
          </cell>
          <cell r="B2244" t="str">
            <v>В-28235/АЗ</v>
          </cell>
          <cell r="C2244" t="str">
            <v>ysupov-1611@mail.ru</v>
          </cell>
          <cell r="D2244" t="str">
            <v>ysupov-1611@mail.ru</v>
          </cell>
        </row>
        <row r="2245">
          <cell r="A2245" t="str">
            <v>Юсупова Екатерина Галимжановна</v>
          </cell>
          <cell r="B2245" t="str">
            <v>В-26423/КЛ.Транш - 1</v>
          </cell>
          <cell r="D2245" t="str">
            <v>www yusupova-katena@bk.ru</v>
          </cell>
        </row>
        <row r="2246">
          <cell r="A2246" t="str">
            <v>Юшков Юрий Валерьевич</v>
          </cell>
          <cell r="B2246" t="str">
            <v>В-15400/КЛ.Транш - 2</v>
          </cell>
          <cell r="D2246" t="str">
            <v>yushkov0713@gmail.com</v>
          </cell>
        </row>
        <row r="2247">
          <cell r="A2247" t="str">
            <v>Ягненков Сергей Васильевич</v>
          </cell>
          <cell r="B2247" t="str">
            <v>В-28216/КЛ.Транш - 1</v>
          </cell>
        </row>
        <row r="2248">
          <cell r="A2248" t="str">
            <v>Яковлев Борис Викторович</v>
          </cell>
          <cell r="B2248" t="str">
            <v>В-25824/КЛ.Транш - 1</v>
          </cell>
        </row>
        <row r="2249">
          <cell r="A2249" t="str">
            <v>Якубов Ислам Симандуевич</v>
          </cell>
          <cell r="B2249" t="str">
            <v>В-14920/КЛ.Транш - 1</v>
          </cell>
          <cell r="D2249" t="str">
            <v>samrat1972@list.ru</v>
          </cell>
        </row>
        <row r="2250">
          <cell r="A2250" t="str">
            <v>Якунин Валерий Викторович</v>
          </cell>
          <cell r="B2250" t="str">
            <v>В-02090/КЛ.Транш - 1</v>
          </cell>
        </row>
        <row r="2251">
          <cell r="A2251" t="str">
            <v>Якунчиков Максим Анатольевич</v>
          </cell>
          <cell r="B2251" t="str">
            <v>В-22759/КЛ.Транш - 1</v>
          </cell>
          <cell r="D2251" t="str">
            <v>Yakunchikov.m@mail.ru</v>
          </cell>
        </row>
        <row r="2252">
          <cell r="A2252" t="str">
            <v>Янишевская Анна Сергеевна</v>
          </cell>
          <cell r="B2252" t="str">
            <v>В-14291/КЛ.Транш - 7</v>
          </cell>
          <cell r="D2252" t="str">
            <v>biserovoozero3@mail.ru</v>
          </cell>
        </row>
        <row r="2253">
          <cell r="A2253" t="str">
            <v>Ярмоц Константин Викторович</v>
          </cell>
          <cell r="B2253" t="str">
            <v>В-20585/КЛ.Транш - 1</v>
          </cell>
          <cell r="D2253" t="str">
            <v>777kosta7777@mail.ru</v>
          </cell>
        </row>
        <row r="2254">
          <cell r="A2254" t="str">
            <v>Ярмусь Екатерина Юрьевна</v>
          </cell>
          <cell r="B2254" t="str">
            <v>В-20172/КЛ.Транш - 1</v>
          </cell>
          <cell r="D2254" t="str">
            <v>siladi80@mail.ru</v>
          </cell>
        </row>
        <row r="2255">
          <cell r="A2255" t="str">
            <v>Ярунина Олеся Олеговна</v>
          </cell>
          <cell r="B2255" t="str">
            <v>В-11861/КЛ.Транш - 1</v>
          </cell>
          <cell r="C2255" t="str">
            <v>Lisa1989gr@mail.ru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текущее дела"/>
      <sheetName val="реестр просрочников"/>
      <sheetName val="РП (расш)"/>
      <sheetName val="сверка"/>
      <sheetName val="Платежный календарь"/>
      <sheetName val="акция"/>
      <sheetName val="наказанные"/>
      <sheetName val="списание"/>
      <sheetName val="2022"/>
      <sheetName val="xforms"/>
    </sheetNames>
    <sheetDataSet>
      <sheetData sheetId="0"/>
      <sheetData sheetId="1"/>
      <sheetData sheetId="2"/>
      <sheetData sheetId="3"/>
      <sheetData sheetId="4"/>
      <sheetData sheetId="5">
        <row r="1">
          <cell r="B1" t="str">
            <v>Договор</v>
          </cell>
          <cell r="C1" t="str">
            <v>Дни</v>
          </cell>
        </row>
        <row r="2">
          <cell r="B2" t="str">
            <v>В-19548/КЛ.Транш - 1</v>
          </cell>
          <cell r="C2">
            <v>5</v>
          </cell>
        </row>
        <row r="3">
          <cell r="B3" t="str">
            <v>В-25052/КЛ.Транш - 1</v>
          </cell>
          <cell r="C3">
            <v>5</v>
          </cell>
        </row>
        <row r="4">
          <cell r="B4" t="str">
            <v>В-22979/КЛ.Транш - 1</v>
          </cell>
          <cell r="C4">
            <v>5</v>
          </cell>
        </row>
        <row r="5">
          <cell r="B5" t="str">
            <v>В-27753/КЛ.Транш - 1</v>
          </cell>
          <cell r="C5">
            <v>5</v>
          </cell>
        </row>
        <row r="6">
          <cell r="B6" t="str">
            <v>В-19585/КЛ.Транш - 1</v>
          </cell>
          <cell r="C6">
            <v>5</v>
          </cell>
        </row>
        <row r="7">
          <cell r="B7" t="str">
            <v>В-26517/КЛ.Транш - 1</v>
          </cell>
          <cell r="C7">
            <v>5</v>
          </cell>
        </row>
        <row r="8">
          <cell r="B8" t="str">
            <v>В-23370/КЛ.Транш - 2</v>
          </cell>
          <cell r="C8">
            <v>5</v>
          </cell>
        </row>
        <row r="9">
          <cell r="B9" t="str">
            <v>А-05360/АЗ</v>
          </cell>
          <cell r="C9">
            <v>5</v>
          </cell>
        </row>
        <row r="10">
          <cell r="B10" t="str">
            <v>А-05392/АЗ</v>
          </cell>
          <cell r="C10">
            <v>5</v>
          </cell>
        </row>
        <row r="11">
          <cell r="B11" t="str">
            <v>Т-01827/АЗ_Т-20211028/Ц</v>
          </cell>
          <cell r="C11">
            <v>5</v>
          </cell>
        </row>
        <row r="12">
          <cell r="B12" t="str">
            <v>В-12813/КЛ.Транш - 1</v>
          </cell>
          <cell r="C12">
            <v>4</v>
          </cell>
        </row>
        <row r="13">
          <cell r="B13" t="str">
            <v>В-19662/КЛ.Транш - 1</v>
          </cell>
          <cell r="C13">
            <v>4</v>
          </cell>
        </row>
        <row r="14">
          <cell r="B14" t="str">
            <v>В-28753/КЛ.Транш - 1</v>
          </cell>
          <cell r="C14">
            <v>4</v>
          </cell>
        </row>
        <row r="15">
          <cell r="B15" t="str">
            <v>В-12574/КЛ.Транш - 2</v>
          </cell>
          <cell r="C15">
            <v>4</v>
          </cell>
        </row>
        <row r="16">
          <cell r="B16" t="str">
            <v>В-17095/КЛ.Транш - 1</v>
          </cell>
          <cell r="C16">
            <v>4</v>
          </cell>
        </row>
        <row r="17">
          <cell r="B17" t="str">
            <v>В-25499/АЗ</v>
          </cell>
          <cell r="C17">
            <v>3</v>
          </cell>
        </row>
        <row r="18">
          <cell r="B18" t="str">
            <v>В-24071/КЛ.Транш - 1</v>
          </cell>
          <cell r="C18">
            <v>3</v>
          </cell>
        </row>
        <row r="19">
          <cell r="B19" t="str">
            <v>В-24121/КЛ.Транш - 1</v>
          </cell>
          <cell r="C19">
            <v>3</v>
          </cell>
        </row>
        <row r="20">
          <cell r="B20" t="str">
            <v>В-27646/КЛ.Транш - 1</v>
          </cell>
          <cell r="C20">
            <v>3</v>
          </cell>
        </row>
        <row r="21">
          <cell r="B21" t="str">
            <v>В-00892/АЗ</v>
          </cell>
          <cell r="C21">
            <v>3</v>
          </cell>
        </row>
        <row r="22">
          <cell r="B22" t="str">
            <v>В-27634/КЛ.Транш - 1</v>
          </cell>
          <cell r="C22">
            <v>3</v>
          </cell>
        </row>
        <row r="23">
          <cell r="B23" t="str">
            <v>В-17962/КЛ.Транш - 1</v>
          </cell>
          <cell r="C23">
            <v>2</v>
          </cell>
        </row>
        <row r="24">
          <cell r="B24" t="str">
            <v>В-16057/КЛ.Транш - 6</v>
          </cell>
          <cell r="C24">
            <v>2</v>
          </cell>
        </row>
        <row r="25">
          <cell r="B25" t="str">
            <v>В-02064/КЛ.Транш - 3</v>
          </cell>
          <cell r="C25">
            <v>2</v>
          </cell>
        </row>
        <row r="26">
          <cell r="B26" t="str">
            <v>В-26664/КЛ.Транш - 1</v>
          </cell>
          <cell r="C26">
            <v>2</v>
          </cell>
        </row>
        <row r="27">
          <cell r="B27" t="str">
            <v>В-25126/КЛ.Транш - 1</v>
          </cell>
          <cell r="C27">
            <v>2</v>
          </cell>
        </row>
        <row r="28">
          <cell r="B28" t="str">
            <v>В-24137/КЛ.Транш - 1</v>
          </cell>
          <cell r="C28">
            <v>2</v>
          </cell>
        </row>
        <row r="29">
          <cell r="B29" t="str">
            <v>В-25126/КЛ.Транш - 2</v>
          </cell>
          <cell r="C29">
            <v>2</v>
          </cell>
        </row>
        <row r="30">
          <cell r="B30" t="str">
            <v>В-25573/КЛ.Транш - 2</v>
          </cell>
          <cell r="C30">
            <v>2</v>
          </cell>
        </row>
        <row r="31">
          <cell r="B31" t="str">
            <v>В-08454/КЛ.Транш - 1</v>
          </cell>
          <cell r="C31">
            <v>2</v>
          </cell>
        </row>
        <row r="32">
          <cell r="B32" t="str">
            <v>В-12013/КЛ.Транш - 2</v>
          </cell>
          <cell r="C32">
            <v>2</v>
          </cell>
        </row>
        <row r="33">
          <cell r="B33" t="str">
            <v>В-25306/КЛ.Транш - 1</v>
          </cell>
          <cell r="C33">
            <v>1</v>
          </cell>
        </row>
        <row r="34">
          <cell r="B34" t="str">
            <v>В-27730/АЗ</v>
          </cell>
          <cell r="C34">
            <v>1</v>
          </cell>
        </row>
        <row r="35">
          <cell r="B35" t="str">
            <v>В-01203/АЗ</v>
          </cell>
          <cell r="C35">
            <v>1</v>
          </cell>
        </row>
        <row r="36">
          <cell r="B36" t="str">
            <v>В-07559/КЛ.Транш - 5</v>
          </cell>
          <cell r="C36">
            <v>1</v>
          </cell>
        </row>
        <row r="37">
          <cell r="B37" t="str">
            <v>В-20731/КЛ.Транш - 3</v>
          </cell>
          <cell r="C37">
            <v>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тел(заем)"/>
      <sheetName val="тел(заемРасш)"/>
      <sheetName val="email(заем)"/>
      <sheetName val="тел(пор)"/>
      <sheetName val="email(пор)"/>
      <sheetName val="дог-займ"/>
      <sheetName val="адреса"/>
      <sheetName val="ЧасПоя"/>
      <sheetName val="МСП"/>
      <sheetName val="залог"/>
      <sheetName val="БД РЕЕСТР"/>
      <sheetName val="xforms"/>
    </sheetNames>
    <sheetDataSet>
      <sheetData sheetId="0">
        <row r="1">
          <cell r="A1" t="str">
            <v>Заемщик</v>
          </cell>
          <cell r="B1" t="str">
            <v>Займ предоставленный.Номер договора</v>
          </cell>
          <cell r="C1" t="str">
            <v>Телефон домашний</v>
          </cell>
          <cell r="D1" t="str">
            <v>Телефон мобильный</v>
          </cell>
          <cell r="E1" t="str">
            <v>Мобильный телефон (2)</v>
          </cell>
          <cell r="F1" t="str">
            <v>Личный кабинет (Физические лица)</v>
          </cell>
        </row>
        <row r="2">
          <cell r="A2" t="str">
            <v>"ВИВАР" ООО</v>
          </cell>
          <cell r="B2" t="str">
            <v>Т-10003/КЭ_Т-20211028/Ц</v>
          </cell>
        </row>
        <row r="3">
          <cell r="A3" t="str">
            <v>Абакаров Абакар Магомедсалимович</v>
          </cell>
          <cell r="B3" t="str">
            <v>В-20940/КЛ.Транш - 1</v>
          </cell>
          <cell r="D3">
            <v>79658884555</v>
          </cell>
          <cell r="F3">
            <v>79658884555</v>
          </cell>
        </row>
        <row r="4">
          <cell r="A4" t="str">
            <v>Абакумов Алексей Михайлович</v>
          </cell>
          <cell r="B4" t="str">
            <v>В-26054/КЛ.Транш - 4</v>
          </cell>
          <cell r="D4">
            <v>79265916535</v>
          </cell>
          <cell r="F4">
            <v>79265916535</v>
          </cell>
        </row>
        <row r="5">
          <cell r="A5" t="str">
            <v>Абакумов Алексей Михайлович</v>
          </cell>
          <cell r="B5" t="str">
            <v>В-26054/КЛ.Транш - 1</v>
          </cell>
          <cell r="D5">
            <v>79265916535</v>
          </cell>
          <cell r="F5">
            <v>79265916535</v>
          </cell>
        </row>
        <row r="6">
          <cell r="A6" t="str">
            <v>Абакумов Алексей Михайлович</v>
          </cell>
          <cell r="B6" t="str">
            <v>В-26054/КЛ.Транш - 2</v>
          </cell>
          <cell r="D6">
            <v>79265916535</v>
          </cell>
          <cell r="F6">
            <v>79265916535</v>
          </cell>
        </row>
        <row r="7">
          <cell r="A7" t="str">
            <v>Абакумов Вадим Михайлович</v>
          </cell>
          <cell r="B7" t="str">
            <v>В-28360/КЛ.Транш - 1</v>
          </cell>
          <cell r="D7">
            <v>79254074074</v>
          </cell>
        </row>
        <row r="8">
          <cell r="A8" t="str">
            <v>Абдул Каюм Мохаммад Рахим</v>
          </cell>
          <cell r="B8" t="str">
            <v>В-01204/АЗ</v>
          </cell>
          <cell r="D8">
            <v>89260797820</v>
          </cell>
          <cell r="F8">
            <v>79260797820</v>
          </cell>
        </row>
        <row r="9">
          <cell r="A9" t="str">
            <v>Абдул Каюм Мохаммад Рахим</v>
          </cell>
          <cell r="B9" t="str">
            <v>В-24257/АЗ</v>
          </cell>
          <cell r="D9">
            <v>89260797820</v>
          </cell>
          <cell r="F9">
            <v>79260797820</v>
          </cell>
        </row>
        <row r="10">
          <cell r="A10" t="str">
            <v>Абдуллахи Амина Халифовна</v>
          </cell>
          <cell r="B10" t="str">
            <v>В-19549/КЛ.Транш - 1</v>
          </cell>
          <cell r="D10">
            <v>79110281881</v>
          </cell>
          <cell r="F10">
            <v>79110281881</v>
          </cell>
        </row>
        <row r="11">
          <cell r="A11" t="str">
            <v>Абдуллин Азат Мазитович</v>
          </cell>
          <cell r="B11" t="str">
            <v>В-28383/КЛ.Транш - 1</v>
          </cell>
          <cell r="D11">
            <v>79655911940</v>
          </cell>
        </row>
        <row r="12">
          <cell r="A12" t="str">
            <v>Абдуллин Игорь Эдуардович</v>
          </cell>
          <cell r="B12" t="str">
            <v>В-08251/КЛ.Транш - 1</v>
          </cell>
          <cell r="D12">
            <v>89182111772</v>
          </cell>
          <cell r="F12">
            <v>79182111772</v>
          </cell>
        </row>
        <row r="13">
          <cell r="A13" t="str">
            <v>Абдульманова Ангелина Рамилевна</v>
          </cell>
          <cell r="B13" t="str">
            <v>В-11521/КЛ.Транш - 1</v>
          </cell>
          <cell r="D13">
            <v>79872423129</v>
          </cell>
          <cell r="F13">
            <v>79872423129</v>
          </cell>
        </row>
        <row r="14">
          <cell r="A14" t="str">
            <v>Абдурахманов Ватан Сироджиддинович</v>
          </cell>
          <cell r="B14" t="str">
            <v>В-01192/АЗ</v>
          </cell>
          <cell r="D14">
            <v>89096285971</v>
          </cell>
          <cell r="F14">
            <v>79096285971</v>
          </cell>
        </row>
        <row r="15">
          <cell r="A15" t="str">
            <v>Абдурашитов Озодбек Мавланжанович</v>
          </cell>
          <cell r="B15" t="str">
            <v>В-00116/КЛ.Транш - 4</v>
          </cell>
          <cell r="D15">
            <v>89057756992</v>
          </cell>
          <cell r="F15">
            <v>79057756992</v>
          </cell>
        </row>
        <row r="16">
          <cell r="A16" t="str">
            <v>Абдурашитов Озодбек Мавланжанович</v>
          </cell>
          <cell r="B16" t="str">
            <v>В-25132/КЛ.Транш - 1</v>
          </cell>
          <cell r="D16">
            <v>89057756992</v>
          </cell>
          <cell r="F16">
            <v>79057756992</v>
          </cell>
        </row>
        <row r="17">
          <cell r="A17" t="str">
            <v>Абдурашитов Озодбек Мавланжанович</v>
          </cell>
          <cell r="B17" t="str">
            <v>В-25132/КЛ.Транш - 2</v>
          </cell>
          <cell r="D17">
            <v>89057756992</v>
          </cell>
          <cell r="F17">
            <v>79057756992</v>
          </cell>
        </row>
        <row r="18">
          <cell r="A18" t="str">
            <v>Абелян Артак Шагенович</v>
          </cell>
          <cell r="B18" t="str">
            <v>В-03960/КЛ.Транш - 1_В-20211230/Ц</v>
          </cell>
          <cell r="D18">
            <v>79856839982</v>
          </cell>
          <cell r="F18">
            <v>79856839982</v>
          </cell>
        </row>
        <row r="19">
          <cell r="A19" t="str">
            <v>Аблязизов Эдем Рустемович</v>
          </cell>
          <cell r="B19" t="str">
            <v>В-09625/КЛ.Транш - 1</v>
          </cell>
          <cell r="D19">
            <v>79787145838</v>
          </cell>
          <cell r="F19">
            <v>79787145838</v>
          </cell>
        </row>
        <row r="20">
          <cell r="A20" t="str">
            <v>Абраамян Арут Ширазович</v>
          </cell>
          <cell r="B20" t="str">
            <v>В-00172/КЛ.Транш - 1</v>
          </cell>
          <cell r="D20">
            <v>79647779397</v>
          </cell>
          <cell r="F20">
            <v>79647779397</v>
          </cell>
        </row>
        <row r="21">
          <cell r="A21" t="str">
            <v>Абраменко Александр Владимирович</v>
          </cell>
          <cell r="B21" t="str">
            <v>В-08416/КЛ.Транш - 1</v>
          </cell>
          <cell r="D21">
            <v>79114003384</v>
          </cell>
          <cell r="F21">
            <v>79114003384</v>
          </cell>
        </row>
        <row r="22">
          <cell r="A22" t="str">
            <v>Абубакиров Бату Асхарович</v>
          </cell>
          <cell r="B22" t="str">
            <v>А-04275/АЗ</v>
          </cell>
          <cell r="D22">
            <v>79853095796</v>
          </cell>
          <cell r="E22">
            <v>79853095796</v>
          </cell>
        </row>
        <row r="23">
          <cell r="A23" t="str">
            <v>Авагян Арман Аветикович</v>
          </cell>
          <cell r="B23" t="str">
            <v>Т-01875/АЗ_Т-20211028/Ц</v>
          </cell>
          <cell r="D23">
            <v>79645325344</v>
          </cell>
          <cell r="E23">
            <v>79645325344</v>
          </cell>
          <cell r="F23">
            <v>79645325344</v>
          </cell>
        </row>
        <row r="24">
          <cell r="A24" t="str">
            <v>Авагян Тигран Агванович</v>
          </cell>
          <cell r="B24" t="str">
            <v>В-02064/КЛ.Транш - 3</v>
          </cell>
          <cell r="D24">
            <v>79015017090</v>
          </cell>
          <cell r="F24">
            <v>79015017090</v>
          </cell>
        </row>
        <row r="25">
          <cell r="A25" t="str">
            <v>Авагян Тигран Агванович</v>
          </cell>
          <cell r="B25" t="str">
            <v>В-02064/КЛ.Транш - 2</v>
          </cell>
          <cell r="D25">
            <v>79015017090</v>
          </cell>
          <cell r="F25">
            <v>79015017090</v>
          </cell>
        </row>
        <row r="26">
          <cell r="A26" t="str">
            <v>Авагян Тигран Агванович</v>
          </cell>
          <cell r="B26" t="str">
            <v>В-02064/КЛ.Транш - 4</v>
          </cell>
          <cell r="D26">
            <v>79015017090</v>
          </cell>
          <cell r="F26">
            <v>79015017090</v>
          </cell>
        </row>
        <row r="27">
          <cell r="A27" t="str">
            <v>Аванесян Виген Эмикович</v>
          </cell>
          <cell r="B27" t="str">
            <v>В-00046/АЗ</v>
          </cell>
          <cell r="C27">
            <v>89034513999</v>
          </cell>
          <cell r="D27">
            <v>89268240461</v>
          </cell>
          <cell r="F27">
            <v>79268240461</v>
          </cell>
        </row>
        <row r="28">
          <cell r="A28" t="str">
            <v>Авдошина Светлана Викторовна</v>
          </cell>
          <cell r="B28" t="str">
            <v>В-19526/КЛ.Транш - 1</v>
          </cell>
          <cell r="D28">
            <v>79777711739</v>
          </cell>
          <cell r="E28">
            <v>79685887023</v>
          </cell>
          <cell r="F28">
            <v>79777711739</v>
          </cell>
        </row>
        <row r="29">
          <cell r="A29" t="str">
            <v>АВТОКОНТИНЕНТ ООО</v>
          </cell>
          <cell r="B29" t="str">
            <v>В-00033/КЭ.Транш - 1</v>
          </cell>
        </row>
        <row r="30">
          <cell r="A30" t="str">
            <v>АВТОКОНТИНЕНТ ООО</v>
          </cell>
          <cell r="B30" t="str">
            <v>В-00033/КЭ.Транш - 2</v>
          </cell>
        </row>
        <row r="31">
          <cell r="A31" t="str">
            <v>Авьюсов Владимир Аркадьевич</v>
          </cell>
          <cell r="B31" t="str">
            <v>В-09974/КЛ.Транш - 2</v>
          </cell>
          <cell r="D31">
            <v>79615412222</v>
          </cell>
          <cell r="F31">
            <v>79615412222</v>
          </cell>
        </row>
        <row r="32">
          <cell r="A32" t="str">
            <v>Агаджанян Самвел Амаякович</v>
          </cell>
          <cell r="B32" t="str">
            <v>В-18791/КЛ.Транш - 1</v>
          </cell>
          <cell r="D32">
            <v>79307087581</v>
          </cell>
          <cell r="F32">
            <v>79307087581</v>
          </cell>
        </row>
        <row r="33">
          <cell r="A33" t="str">
            <v>Агалакова Анжелика Ириковна</v>
          </cell>
          <cell r="B33" t="str">
            <v>В-25003/КЛ.Транш - 2</v>
          </cell>
          <cell r="D33">
            <v>79995894101</v>
          </cell>
          <cell r="F33">
            <v>79995894101</v>
          </cell>
        </row>
        <row r="34">
          <cell r="A34" t="str">
            <v>Агалакова Анжелика Ириковна</v>
          </cell>
          <cell r="B34" t="str">
            <v>В-25003/КЛ.Транш - 3</v>
          </cell>
          <cell r="D34">
            <v>79995894101</v>
          </cell>
          <cell r="F34">
            <v>79995894101</v>
          </cell>
        </row>
        <row r="35">
          <cell r="A35" t="str">
            <v>Агалакова Анжелика Ириковна</v>
          </cell>
          <cell r="B35" t="str">
            <v>В-25003/КЛ.Транш - 1</v>
          </cell>
          <cell r="D35">
            <v>79995894101</v>
          </cell>
          <cell r="F35">
            <v>79995894101</v>
          </cell>
        </row>
        <row r="36">
          <cell r="A36" t="str">
            <v>Агамов Карэн Вадимович</v>
          </cell>
          <cell r="B36" t="str">
            <v>Т-01886/АЗ_Т-20211028/Ц</v>
          </cell>
          <cell r="C36">
            <v>74991492111</v>
          </cell>
          <cell r="D36">
            <v>79653933606</v>
          </cell>
          <cell r="E36">
            <v>79653933606</v>
          </cell>
          <cell r="F36">
            <v>79653933606</v>
          </cell>
        </row>
        <row r="37">
          <cell r="A37" t="str">
            <v>Агапов Сергей Петрович</v>
          </cell>
          <cell r="B37" t="str">
            <v>В-12789/КЛ.Транш - 1</v>
          </cell>
          <cell r="D37">
            <v>89035312601</v>
          </cell>
          <cell r="F37">
            <v>79035312601</v>
          </cell>
        </row>
        <row r="38">
          <cell r="A38" t="str">
            <v>Агапова Ирина Николаевна</v>
          </cell>
          <cell r="B38" t="str">
            <v>В-14482/КЛ.Транш - 1</v>
          </cell>
          <cell r="D38">
            <v>79647724385</v>
          </cell>
          <cell r="F38">
            <v>79647724385</v>
          </cell>
        </row>
        <row r="39">
          <cell r="A39" t="str">
            <v>Агафонов Алексей Юрьевич</v>
          </cell>
          <cell r="B39" t="str">
            <v>Т-01675/АЗ_Т-20210903/Ц</v>
          </cell>
          <cell r="D39">
            <v>79119621549</v>
          </cell>
          <cell r="E39">
            <v>79119621549</v>
          </cell>
          <cell r="F39">
            <v>79119621549</v>
          </cell>
        </row>
        <row r="40">
          <cell r="A40" t="str">
            <v>Агафонов Алексей Юрьевич</v>
          </cell>
          <cell r="B40" t="str">
            <v>А-04839/АЗ_А-20210903/Ц</v>
          </cell>
          <cell r="D40">
            <v>79119621549</v>
          </cell>
          <cell r="E40">
            <v>79119621549</v>
          </cell>
          <cell r="F40">
            <v>79119621549</v>
          </cell>
        </row>
        <row r="41">
          <cell r="A41" t="str">
            <v>Агросоюз ООО</v>
          </cell>
          <cell r="B41" t="str">
            <v>В-30005/КЭ.Транш - 1</v>
          </cell>
        </row>
        <row r="42">
          <cell r="A42" t="str">
            <v>Агузов Мурат Вячеславович</v>
          </cell>
          <cell r="B42" t="str">
            <v>В-24642/АЗ</v>
          </cell>
          <cell r="D42">
            <v>79380282288</v>
          </cell>
          <cell r="F42">
            <v>79380282288</v>
          </cell>
        </row>
        <row r="43">
          <cell r="A43" t="str">
            <v>Адамов Николай Олегович</v>
          </cell>
          <cell r="B43" t="str">
            <v>В-04727/КЛ.Транш - 1</v>
          </cell>
          <cell r="D43" t="str">
            <v>79217569433, 79123055641</v>
          </cell>
          <cell r="F43">
            <v>79217569433</v>
          </cell>
        </row>
        <row r="44">
          <cell r="A44" t="str">
            <v>Адамян Ваграм Акобович</v>
          </cell>
          <cell r="B44" t="str">
            <v>В-03599/КЛ.Транш - 1</v>
          </cell>
          <cell r="D44">
            <v>79169407050</v>
          </cell>
          <cell r="F44">
            <v>79169407050</v>
          </cell>
        </row>
        <row r="45">
          <cell r="A45" t="str">
            <v>Аджаматова Рашия Магомеднуриевна</v>
          </cell>
          <cell r="B45" t="str">
            <v>В-21938/КЛ.Транш - 1</v>
          </cell>
          <cell r="D45">
            <v>79266140916</v>
          </cell>
          <cell r="F45">
            <v>79266140916</v>
          </cell>
        </row>
        <row r="46">
          <cell r="A46" t="str">
            <v>Аджаматова Рашия Магомеднуриевна</v>
          </cell>
          <cell r="B46" t="str">
            <v>В-21938/КЛ.Транш - 3</v>
          </cell>
          <cell r="D46">
            <v>79266140916</v>
          </cell>
          <cell r="F46">
            <v>79266140916</v>
          </cell>
        </row>
        <row r="47">
          <cell r="A47" t="str">
            <v>Аджаматова Рашия Магомеднуриевна</v>
          </cell>
          <cell r="B47" t="str">
            <v>В-21938/КЛ.Транш - 2</v>
          </cell>
          <cell r="D47">
            <v>79266140916</v>
          </cell>
          <cell r="F47">
            <v>79266140916</v>
          </cell>
        </row>
        <row r="48">
          <cell r="A48" t="str">
            <v>Адилбеков Алмаз Адилбекович</v>
          </cell>
          <cell r="B48" t="str">
            <v>В-00079/КЛ.Транш - 2</v>
          </cell>
          <cell r="D48">
            <v>79998431105</v>
          </cell>
          <cell r="F48">
            <v>79998431105</v>
          </cell>
        </row>
        <row r="49">
          <cell r="A49" t="str">
            <v>Азиев Абдурахман Авхадович</v>
          </cell>
          <cell r="B49" t="str">
            <v>В-10841/КЛ.Транш - 1</v>
          </cell>
          <cell r="D49">
            <v>79899072129</v>
          </cell>
          <cell r="F49">
            <v>79899072129</v>
          </cell>
        </row>
        <row r="50">
          <cell r="A50" t="str">
            <v>Азиева Милана Зайнуладаевна</v>
          </cell>
          <cell r="B50" t="str">
            <v>В-01211/АЗ</v>
          </cell>
          <cell r="D50">
            <v>89661239595</v>
          </cell>
          <cell r="F50">
            <v>79661239595</v>
          </cell>
        </row>
        <row r="51">
          <cell r="A51" t="str">
            <v>Азоев Стаматис Рудикович</v>
          </cell>
          <cell r="B51" t="str">
            <v>В-01035/КЛ.Транш - 1_В-20211230/Ц</v>
          </cell>
          <cell r="D51">
            <v>79250377827</v>
          </cell>
          <cell r="F51">
            <v>79250377827</v>
          </cell>
        </row>
        <row r="52">
          <cell r="A52" t="str">
            <v>Айрапетян Нарек Гайкович</v>
          </cell>
          <cell r="B52" t="str">
            <v>В-25131/КЛ.Транш - 1</v>
          </cell>
          <cell r="D52">
            <v>79185287135</v>
          </cell>
          <cell r="F52">
            <v>79185287135</v>
          </cell>
        </row>
        <row r="53">
          <cell r="A53" t="str">
            <v>Айрапетянц Гаянэ Вартановна</v>
          </cell>
          <cell r="B53" t="str">
            <v>В-22453/АЗ</v>
          </cell>
          <cell r="D53">
            <v>89035459004</v>
          </cell>
          <cell r="F53">
            <v>79035459004</v>
          </cell>
        </row>
        <row r="54">
          <cell r="A54" t="str">
            <v>Айриян Николай Эрнестович</v>
          </cell>
          <cell r="B54" t="str">
            <v>В-01271/КЛ.Транш - 4_В-20211230/Ц</v>
          </cell>
          <cell r="D54">
            <v>89015596383</v>
          </cell>
          <cell r="E54">
            <v>89680000101</v>
          </cell>
          <cell r="F54">
            <v>79015596383</v>
          </cell>
        </row>
        <row r="55">
          <cell r="A55" t="str">
            <v>Айриян Николай Эрнестович</v>
          </cell>
          <cell r="B55" t="str">
            <v>В-01271/КЛ.Транш - 3_В-20211230/Ц</v>
          </cell>
          <cell r="D55">
            <v>89015596383</v>
          </cell>
          <cell r="E55">
            <v>89680000101</v>
          </cell>
          <cell r="F55">
            <v>79015596383</v>
          </cell>
        </row>
        <row r="56">
          <cell r="A56" t="str">
            <v>Айриян Николай Эрнестович</v>
          </cell>
          <cell r="B56" t="str">
            <v>В-01271/КЛ.Транш - 6_В-20211230/Ц</v>
          </cell>
          <cell r="D56">
            <v>89015596383</v>
          </cell>
          <cell r="E56">
            <v>89680000101</v>
          </cell>
          <cell r="F56">
            <v>79015596383</v>
          </cell>
        </row>
        <row r="57">
          <cell r="A57" t="str">
            <v>Айриян Николай Эрнестович</v>
          </cell>
          <cell r="B57" t="str">
            <v>В-01271/КЛ.Транш - 5_В-20211230/Ц</v>
          </cell>
          <cell r="D57">
            <v>89015596383</v>
          </cell>
          <cell r="E57">
            <v>89680000101</v>
          </cell>
          <cell r="F57">
            <v>79015596383</v>
          </cell>
        </row>
        <row r="58">
          <cell r="A58" t="str">
            <v>Акимова Жанна Константиновна</v>
          </cell>
          <cell r="B58" t="str">
            <v>В-15412/КЛ.Транш - 1_В-20211230/Ц</v>
          </cell>
          <cell r="D58">
            <v>79055809480</v>
          </cell>
          <cell r="F58">
            <v>79055809480</v>
          </cell>
        </row>
        <row r="59">
          <cell r="A59" t="str">
            <v>Акимцева Юлия Анатольевна</v>
          </cell>
          <cell r="B59" t="str">
            <v>А-05360/АЗ</v>
          </cell>
          <cell r="D59">
            <v>79684184978</v>
          </cell>
          <cell r="E59">
            <v>79684184978</v>
          </cell>
          <cell r="F59">
            <v>79684184978</v>
          </cell>
        </row>
        <row r="60">
          <cell r="A60" t="str">
            <v>Акиньшин Олег Алексеевич</v>
          </cell>
          <cell r="B60" t="str">
            <v>В-18334/КЛ.Транш - 1</v>
          </cell>
          <cell r="D60">
            <v>79259185883</v>
          </cell>
          <cell r="F60">
            <v>79259185883</v>
          </cell>
        </row>
        <row r="61">
          <cell r="A61" t="str">
            <v>Акопян Мелкон Карапетович</v>
          </cell>
          <cell r="B61" t="str">
            <v>В-27391/КЛ.Транш - 1</v>
          </cell>
          <cell r="D61">
            <v>79152989899</v>
          </cell>
        </row>
        <row r="62">
          <cell r="A62" t="str">
            <v>Акопян Нарине Самвеловна</v>
          </cell>
          <cell r="B62" t="str">
            <v>В-15235/КЛ.Транш - 3</v>
          </cell>
          <cell r="D62">
            <v>79258022020</v>
          </cell>
          <cell r="F62">
            <v>79258022020</v>
          </cell>
        </row>
        <row r="63">
          <cell r="A63" t="str">
            <v>Аксенчук Александр Вячеславович</v>
          </cell>
          <cell r="B63" t="str">
            <v>В-19354/КЛ.Транш - 1</v>
          </cell>
          <cell r="D63">
            <v>79774206754</v>
          </cell>
          <cell r="F63">
            <v>79774206754</v>
          </cell>
        </row>
        <row r="64">
          <cell r="A64" t="str">
            <v>Акчурин Фирит Кяшафович</v>
          </cell>
          <cell r="B64" t="str">
            <v>В-01122/КЛ.Транш - 4</v>
          </cell>
          <cell r="D64">
            <v>79647020965</v>
          </cell>
          <cell r="F64">
            <v>79647020965</v>
          </cell>
        </row>
        <row r="65">
          <cell r="A65" t="str">
            <v>Акчурин Фирит Кяшафович</v>
          </cell>
          <cell r="B65" t="str">
            <v>В-01122/КЛ.Транш - 3</v>
          </cell>
          <cell r="D65">
            <v>79647020965</v>
          </cell>
          <cell r="F65">
            <v>79647020965</v>
          </cell>
        </row>
        <row r="66">
          <cell r="A66" t="str">
            <v>Алавердян Аракся Хачиковна</v>
          </cell>
          <cell r="B66" t="str">
            <v>В-26128/АЗ</v>
          </cell>
          <cell r="D66">
            <v>79671714603</v>
          </cell>
          <cell r="F66">
            <v>79671714603</v>
          </cell>
        </row>
        <row r="67">
          <cell r="A67" t="str">
            <v>Аладьин Никита Олегович</v>
          </cell>
          <cell r="B67" t="str">
            <v>В-12519/КЛ.Транш - 2</v>
          </cell>
          <cell r="D67">
            <v>89159781947</v>
          </cell>
          <cell r="F67">
            <v>79159781947</v>
          </cell>
        </row>
        <row r="68">
          <cell r="A68" t="str">
            <v>Аладьин Никита Олегович</v>
          </cell>
          <cell r="B68" t="str">
            <v>В-12519/КЛ.Транш - 3</v>
          </cell>
          <cell r="D68">
            <v>89159781947</v>
          </cell>
          <cell r="F68">
            <v>79159781947</v>
          </cell>
        </row>
        <row r="69">
          <cell r="A69" t="str">
            <v>Алексанян Карине Размиковна</v>
          </cell>
          <cell r="B69" t="str">
            <v>В-00538/АЗ</v>
          </cell>
          <cell r="D69">
            <v>89816981215</v>
          </cell>
          <cell r="F69">
            <v>79816981215</v>
          </cell>
        </row>
        <row r="70">
          <cell r="A70" t="str">
            <v>Алексанян Роберт Робертович</v>
          </cell>
          <cell r="B70" t="str">
            <v>В-24336/КЛ.Транш - 1</v>
          </cell>
          <cell r="D70">
            <v>79992078749</v>
          </cell>
          <cell r="F70">
            <v>79992078749</v>
          </cell>
        </row>
        <row r="71">
          <cell r="A71" t="str">
            <v>Алексанян Роберт Робертович</v>
          </cell>
          <cell r="B71" t="str">
            <v>В-24336/КЛ.Транш - 2</v>
          </cell>
          <cell r="D71">
            <v>79992078749</v>
          </cell>
          <cell r="F71">
            <v>79992078749</v>
          </cell>
        </row>
        <row r="72">
          <cell r="A72" t="str">
            <v>Алексанян Роберт Робертович</v>
          </cell>
          <cell r="B72" t="str">
            <v>В-24336/КЛ.Транш - 4</v>
          </cell>
          <cell r="D72">
            <v>79992078749</v>
          </cell>
          <cell r="F72">
            <v>79992078749</v>
          </cell>
        </row>
        <row r="73">
          <cell r="A73" t="str">
            <v>Алексанян Роберт Робертович</v>
          </cell>
          <cell r="B73" t="str">
            <v>В-24336/КЛ.Транш - 3</v>
          </cell>
          <cell r="D73">
            <v>79992078749</v>
          </cell>
          <cell r="F73">
            <v>79992078749</v>
          </cell>
        </row>
        <row r="74">
          <cell r="A74" t="str">
            <v>Алексеев Михаил Александрович</v>
          </cell>
          <cell r="B74" t="str">
            <v>В-05105/КЛ.Транш - 1</v>
          </cell>
          <cell r="D74">
            <v>79817208331</v>
          </cell>
          <cell r="E74">
            <v>79817208331</v>
          </cell>
          <cell r="F74">
            <v>79817208331</v>
          </cell>
        </row>
        <row r="75">
          <cell r="A75" t="str">
            <v>Алексеев Юрий Сергеевич</v>
          </cell>
          <cell r="B75" t="str">
            <v>А-04668/АЗ_Т-20200626/Ц</v>
          </cell>
          <cell r="D75">
            <v>79857663443</v>
          </cell>
          <cell r="E75">
            <v>79857663443</v>
          </cell>
        </row>
        <row r="76">
          <cell r="A76" t="str">
            <v>Алексеев Юрий Сергеевич</v>
          </cell>
          <cell r="B76" t="str">
            <v>Т-01642/АЗ_Т-20200626/Ц</v>
          </cell>
          <cell r="D76">
            <v>79857663443</v>
          </cell>
          <cell r="E76">
            <v>79857663443</v>
          </cell>
        </row>
        <row r="77">
          <cell r="A77" t="str">
            <v>Алексеева Светлана Николаевна</v>
          </cell>
          <cell r="B77" t="str">
            <v>В-02623/КЛ.Транш - 5</v>
          </cell>
          <cell r="D77">
            <v>79651499800</v>
          </cell>
          <cell r="F77">
            <v>79858362124</v>
          </cell>
        </row>
        <row r="78">
          <cell r="A78" t="str">
            <v>Алексеева Светлана Николаевна</v>
          </cell>
          <cell r="B78" t="str">
            <v>В-02623/КЛ.Транш - 7</v>
          </cell>
          <cell r="D78">
            <v>79651499800</v>
          </cell>
          <cell r="F78">
            <v>79858362124</v>
          </cell>
        </row>
        <row r="79">
          <cell r="A79" t="str">
            <v>Алешин Эдуард Александрович</v>
          </cell>
          <cell r="B79" t="str">
            <v>В-11085/КЛ.Транш - 1</v>
          </cell>
          <cell r="D79">
            <v>79533334984</v>
          </cell>
          <cell r="F79">
            <v>79533334984</v>
          </cell>
        </row>
        <row r="80">
          <cell r="A80" t="str">
            <v>Алешкевич Алексей Викторович</v>
          </cell>
          <cell r="B80" t="str">
            <v>В-23370/КЛ.Транш - 1</v>
          </cell>
          <cell r="D80">
            <v>79620558324</v>
          </cell>
          <cell r="F80">
            <v>79620558324</v>
          </cell>
        </row>
        <row r="81">
          <cell r="A81" t="str">
            <v>Алешкевич Алексей Викторович</v>
          </cell>
          <cell r="B81" t="str">
            <v>В-23370/КЛ.Транш - 2</v>
          </cell>
          <cell r="D81">
            <v>79620558324</v>
          </cell>
          <cell r="F81">
            <v>79620558324</v>
          </cell>
        </row>
        <row r="82">
          <cell r="A82" t="str">
            <v>Алешкин Алексей Владиславович</v>
          </cell>
          <cell r="B82" t="str">
            <v>В-27251/КЛ.Транш - 1</v>
          </cell>
          <cell r="D82">
            <v>79173144583</v>
          </cell>
          <cell r="F82">
            <v>79173144583</v>
          </cell>
        </row>
        <row r="83">
          <cell r="A83" t="str">
            <v>Алиев Рамиль Али Оглы</v>
          </cell>
          <cell r="B83" t="str">
            <v>В-27261/КЛ.Транш - 1</v>
          </cell>
          <cell r="D83">
            <v>79166358080</v>
          </cell>
          <cell r="F83">
            <v>79166358080</v>
          </cell>
        </row>
        <row r="84">
          <cell r="A84" t="str">
            <v>Алиев Рамиль Али Оглы</v>
          </cell>
          <cell r="B84" t="str">
            <v>В-27261/КЛ.Транш - 3</v>
          </cell>
          <cell r="D84">
            <v>79166358080</v>
          </cell>
          <cell r="F84">
            <v>79166358080</v>
          </cell>
        </row>
        <row r="85">
          <cell r="A85" t="str">
            <v>Алиев Рамиль Али Оглы</v>
          </cell>
          <cell r="B85" t="str">
            <v>В-27261/КЛ.Транш - 2</v>
          </cell>
          <cell r="D85">
            <v>79166358080</v>
          </cell>
          <cell r="F85">
            <v>79166358080</v>
          </cell>
        </row>
        <row r="86">
          <cell r="A86" t="str">
            <v>Алиев Турал Эльдар Оглы</v>
          </cell>
          <cell r="B86" t="str">
            <v>В-12675/КЛ.Транш - 1_В-20211230/Ц</v>
          </cell>
          <cell r="D86">
            <v>79647204074</v>
          </cell>
          <cell r="F86">
            <v>79647204074</v>
          </cell>
        </row>
        <row r="87">
          <cell r="A87" t="str">
            <v>Алиев Турал Эльдар Оглы</v>
          </cell>
          <cell r="B87" t="str">
            <v>В-12675/КЛ.Транш - 2_В-20211230/Ц</v>
          </cell>
          <cell r="D87">
            <v>79647204074</v>
          </cell>
          <cell r="F87">
            <v>79647204074</v>
          </cell>
        </row>
        <row r="88">
          <cell r="A88" t="str">
            <v>Алиев Турал Эльдар Оглы</v>
          </cell>
          <cell r="B88" t="str">
            <v>В-12675/КЛ.Транш - 3_В-20211230/Ц</v>
          </cell>
          <cell r="D88">
            <v>79647204074</v>
          </cell>
          <cell r="F88">
            <v>79647204074</v>
          </cell>
        </row>
        <row r="89">
          <cell r="A89" t="str">
            <v>Алижанова Олмахон Базарбаевна</v>
          </cell>
          <cell r="B89" t="str">
            <v>В-12670/КЛ.Транш - 2</v>
          </cell>
          <cell r="D89">
            <v>79647177060</v>
          </cell>
          <cell r="F89">
            <v>79647177060</v>
          </cell>
        </row>
        <row r="90">
          <cell r="A90" t="str">
            <v>Аликулов Серик Ергалеевич</v>
          </cell>
          <cell r="B90" t="str">
            <v>В-17825/КЛ.Транш - 1</v>
          </cell>
          <cell r="D90">
            <v>79088274256</v>
          </cell>
          <cell r="F90">
            <v>79088274256</v>
          </cell>
        </row>
        <row r="91">
          <cell r="A91" t="str">
            <v>Алимирзаев Мурад Нурмагомедович</v>
          </cell>
          <cell r="B91" t="str">
            <v>В-00428/АЗ</v>
          </cell>
          <cell r="D91">
            <v>79057420923</v>
          </cell>
          <cell r="F91">
            <v>79057420923</v>
          </cell>
        </row>
        <row r="92">
          <cell r="A92" t="str">
            <v>Алихасов Александр Эдуардович</v>
          </cell>
          <cell r="B92" t="str">
            <v>В-00900/КЛ.Транш - 1</v>
          </cell>
          <cell r="C92">
            <v>84955169124</v>
          </cell>
          <cell r="D92">
            <v>89060888688</v>
          </cell>
          <cell r="F92">
            <v>79060888688</v>
          </cell>
        </row>
        <row r="93">
          <cell r="A93" t="str">
            <v>Алихасов Александр Эдуардович</v>
          </cell>
          <cell r="B93" t="str">
            <v>В-00900/КЛ.Транш - 2</v>
          </cell>
          <cell r="C93">
            <v>84955169124</v>
          </cell>
          <cell r="D93">
            <v>89060888688</v>
          </cell>
          <cell r="F93">
            <v>79060888688</v>
          </cell>
        </row>
        <row r="94">
          <cell r="A94" t="str">
            <v>Аллилуев-Петровский Евгений Викторович</v>
          </cell>
          <cell r="B94" t="str">
            <v>В-27864/КЛ.Транш - 1</v>
          </cell>
          <cell r="D94">
            <v>79052568888</v>
          </cell>
        </row>
        <row r="95">
          <cell r="A95" t="str">
            <v>Алмазов Игорь Николаевич</v>
          </cell>
          <cell r="B95" t="str">
            <v>В-07430/КЛ.Транш - 1</v>
          </cell>
          <cell r="D95">
            <v>89263503990</v>
          </cell>
          <cell r="F95">
            <v>79263503990</v>
          </cell>
        </row>
        <row r="96">
          <cell r="A96" t="str">
            <v>Алхименков Даниил Андреевич</v>
          </cell>
          <cell r="B96" t="str">
            <v>В-07963/КЛ.Транш - 1</v>
          </cell>
          <cell r="D96">
            <v>89056956259</v>
          </cell>
          <cell r="F96">
            <v>79056956259</v>
          </cell>
        </row>
        <row r="97">
          <cell r="A97" t="str">
            <v>Алыбаев Долеткельди Ягудович</v>
          </cell>
          <cell r="B97" t="str">
            <v>В-13336/КЛ.Транш - 1</v>
          </cell>
          <cell r="D97">
            <v>79154897142</v>
          </cell>
          <cell r="F97">
            <v>79154897142</v>
          </cell>
        </row>
        <row r="98">
          <cell r="A98" t="str">
            <v>Алыбаев Долеткельди Ягудович</v>
          </cell>
          <cell r="B98" t="str">
            <v>В-13336/КЛ.Транш - 2</v>
          </cell>
          <cell r="D98">
            <v>79154897142</v>
          </cell>
          <cell r="F98">
            <v>79154897142</v>
          </cell>
        </row>
        <row r="99">
          <cell r="A99" t="str">
            <v>Алымов Владимир Алексеевич</v>
          </cell>
          <cell r="B99" t="str">
            <v>В-00393/АЗ</v>
          </cell>
          <cell r="D99">
            <v>79154111561</v>
          </cell>
          <cell r="F99">
            <v>79154111561</v>
          </cell>
        </row>
        <row r="100">
          <cell r="A100" t="str">
            <v>АЛЬЯНС НЕДВИЖИМОСТИ ООО</v>
          </cell>
          <cell r="B100" t="str">
            <v>А-00328/КЭ.Транш - 1</v>
          </cell>
        </row>
        <row r="101">
          <cell r="A101" t="str">
            <v>Аманниязова Гулистан Атаевна</v>
          </cell>
          <cell r="B101" t="str">
            <v>В-18890/КЛ.Транш - 1</v>
          </cell>
          <cell r="D101">
            <v>79263972100</v>
          </cell>
          <cell r="F101">
            <v>79263972100</v>
          </cell>
        </row>
        <row r="102">
          <cell r="A102" t="str">
            <v>Амбарцумян Франц Григорьевич</v>
          </cell>
          <cell r="B102" t="str">
            <v>В-23634/КЛ.Транш - 7</v>
          </cell>
          <cell r="D102">
            <v>79295715778</v>
          </cell>
          <cell r="F102">
            <v>79295715778</v>
          </cell>
        </row>
        <row r="103">
          <cell r="A103" t="str">
            <v>Амбарцумян Франц Григорьевич</v>
          </cell>
          <cell r="B103" t="str">
            <v>В-23634/КЛ.Транш - 8</v>
          </cell>
          <cell r="D103">
            <v>79295715778</v>
          </cell>
          <cell r="F103">
            <v>79295715778</v>
          </cell>
        </row>
        <row r="104">
          <cell r="A104" t="str">
            <v>Амбарцумян Франц Григорьевич</v>
          </cell>
          <cell r="B104" t="str">
            <v>В-23634/КЛ.Транш - 4</v>
          </cell>
          <cell r="D104">
            <v>79295715778</v>
          </cell>
          <cell r="F104">
            <v>79295715778</v>
          </cell>
        </row>
        <row r="105">
          <cell r="A105" t="str">
            <v>Амбарцумян Франц Григорьевич</v>
          </cell>
          <cell r="B105" t="str">
            <v>В-23634/КЛ.Транш - 6</v>
          </cell>
          <cell r="D105">
            <v>79295715778</v>
          </cell>
          <cell r="F105">
            <v>79295715778</v>
          </cell>
        </row>
        <row r="106">
          <cell r="A106" t="str">
            <v>Амбарцумян Франц Григорьевич</v>
          </cell>
          <cell r="B106" t="str">
            <v>В-23634/КЛ.Транш - 3</v>
          </cell>
          <cell r="D106">
            <v>79295715778</v>
          </cell>
          <cell r="F106">
            <v>79295715778</v>
          </cell>
        </row>
        <row r="107">
          <cell r="A107" t="str">
            <v>Амбарян Манушак Камовна</v>
          </cell>
          <cell r="B107" t="str">
            <v>В-27332/КЛ.Транш - 1</v>
          </cell>
          <cell r="D107">
            <v>79151747376</v>
          </cell>
          <cell r="F107">
            <v>79151747376</v>
          </cell>
        </row>
        <row r="108">
          <cell r="A108" t="str">
            <v>Амбросиенко Павел Сергеевич</v>
          </cell>
          <cell r="B108" t="str">
            <v>В-24374/КЛ.Транш - 1</v>
          </cell>
          <cell r="D108">
            <v>79996051996</v>
          </cell>
          <cell r="F108">
            <v>79996051996</v>
          </cell>
        </row>
        <row r="109">
          <cell r="A109" t="str">
            <v>Аминжонов Уктам Раимжонович</v>
          </cell>
          <cell r="B109" t="str">
            <v>В-14860/КЛ.Транш - 1</v>
          </cell>
          <cell r="D109">
            <v>79154624804</v>
          </cell>
          <cell r="F109">
            <v>79154624804</v>
          </cell>
        </row>
        <row r="110">
          <cell r="A110" t="str">
            <v>Амирханян Оганес Николаевич</v>
          </cell>
          <cell r="B110" t="str">
            <v>В-27564/АЗ</v>
          </cell>
          <cell r="C110">
            <v>74951583627</v>
          </cell>
          <cell r="D110">
            <v>79037906960</v>
          </cell>
          <cell r="E110">
            <v>79037906960</v>
          </cell>
          <cell r="F110">
            <v>79037906960</v>
          </cell>
        </row>
        <row r="111">
          <cell r="A111" t="str">
            <v>Амирханян Эмиль Оганесович</v>
          </cell>
          <cell r="B111" t="str">
            <v>В-27557/КЛ.Транш - 1</v>
          </cell>
          <cell r="C111">
            <v>74991583627</v>
          </cell>
          <cell r="D111">
            <v>79160538081</v>
          </cell>
          <cell r="F111">
            <v>79160538081</v>
          </cell>
        </row>
        <row r="112">
          <cell r="A112" t="str">
            <v>Ананина Татьяна Григорьевна</v>
          </cell>
          <cell r="B112" t="str">
            <v>В-22241/КЛ.Транш - 1</v>
          </cell>
          <cell r="D112">
            <v>89021639695</v>
          </cell>
          <cell r="F112">
            <v>79021639695</v>
          </cell>
        </row>
        <row r="113">
          <cell r="A113" t="str">
            <v>Ананчев Ефим Иванович</v>
          </cell>
          <cell r="B113" t="str">
            <v>В-00038/АЗ</v>
          </cell>
          <cell r="D113">
            <v>89587777888</v>
          </cell>
          <cell r="F113">
            <v>79587777888</v>
          </cell>
        </row>
        <row r="114">
          <cell r="A114" t="str">
            <v>Ангелов Алексей Славов</v>
          </cell>
          <cell r="B114" t="str">
            <v>В-11782/КЛ.Транш - 1</v>
          </cell>
          <cell r="C114">
            <v>79392222275</v>
          </cell>
          <cell r="D114">
            <v>79180454955</v>
          </cell>
          <cell r="F114">
            <v>79392222275</v>
          </cell>
        </row>
        <row r="115">
          <cell r="A115" t="str">
            <v>Андреев Евгений Петрович</v>
          </cell>
          <cell r="B115" t="str">
            <v>В-02100/КЛ.Транш - 4</v>
          </cell>
          <cell r="D115">
            <v>79266499523</v>
          </cell>
          <cell r="F115">
            <v>79266499523</v>
          </cell>
        </row>
        <row r="116">
          <cell r="A116" t="str">
            <v>Андреев Евгений Петрович</v>
          </cell>
          <cell r="B116" t="str">
            <v>В-02100/КЛ.Транш - 5</v>
          </cell>
          <cell r="D116">
            <v>79266499523</v>
          </cell>
          <cell r="F116">
            <v>79266499523</v>
          </cell>
        </row>
        <row r="117">
          <cell r="A117" t="str">
            <v>Андреев Максим Вячеславович</v>
          </cell>
          <cell r="B117" t="str">
            <v>В-01086/КЛ.Транш - 1</v>
          </cell>
          <cell r="D117">
            <v>89653612744</v>
          </cell>
          <cell r="F117">
            <v>79653612744</v>
          </cell>
        </row>
        <row r="118">
          <cell r="A118" t="str">
            <v>Андреященко Светлана Анатольевна</v>
          </cell>
          <cell r="B118" t="str">
            <v>В-22601/КЛ.Транш - 1</v>
          </cell>
          <cell r="C118">
            <v>89298010070</v>
          </cell>
          <cell r="D118">
            <v>89296211485</v>
          </cell>
          <cell r="F118">
            <v>79298010070</v>
          </cell>
        </row>
        <row r="119">
          <cell r="A119" t="str">
            <v>Анзорова Инна Руслановна</v>
          </cell>
          <cell r="B119" t="str">
            <v>В-13048/КЛ.Транш - 1</v>
          </cell>
          <cell r="D119">
            <v>79261264094</v>
          </cell>
          <cell r="F119">
            <v>79261264094</v>
          </cell>
        </row>
        <row r="120">
          <cell r="A120" t="str">
            <v>Анищенкова Оксана Михайловна</v>
          </cell>
          <cell r="B120" t="str">
            <v>В-17318/КЛ.Транш - 1</v>
          </cell>
          <cell r="D120">
            <v>79827501106</v>
          </cell>
          <cell r="F120">
            <v>79827501106</v>
          </cell>
        </row>
        <row r="121">
          <cell r="A121" t="str">
            <v>Аннишинец Вячеслав Иванович</v>
          </cell>
          <cell r="B121" t="str">
            <v>В-28497/КЛ.Транш - 1</v>
          </cell>
          <cell r="D121">
            <v>89288446218</v>
          </cell>
          <cell r="F121">
            <v>79288446218</v>
          </cell>
        </row>
        <row r="122">
          <cell r="A122" t="str">
            <v>Антипов Антон Михайлович</v>
          </cell>
          <cell r="B122" t="str">
            <v>В-28655/КЛ.Транш - 1</v>
          </cell>
          <cell r="D122">
            <v>89260452980</v>
          </cell>
          <cell r="F122">
            <v>79260452980</v>
          </cell>
        </row>
        <row r="123">
          <cell r="A123" t="str">
            <v>Антонов Валерий Иванович</v>
          </cell>
          <cell r="B123" t="str">
            <v>В-01692/КЛ.Транш - 1_В-20211230/Ц</v>
          </cell>
          <cell r="C123">
            <v>74956452312</v>
          </cell>
          <cell r="D123">
            <v>79268880472</v>
          </cell>
          <cell r="F123">
            <v>79268880472</v>
          </cell>
        </row>
        <row r="124">
          <cell r="A124" t="str">
            <v>Антонов Валерий Иванович</v>
          </cell>
          <cell r="B124" t="str">
            <v>В-01692/КЛ.Транш - 2_В-20211230/Ц</v>
          </cell>
          <cell r="C124">
            <v>74956452312</v>
          </cell>
          <cell r="D124">
            <v>79268880472</v>
          </cell>
          <cell r="F124">
            <v>79268880472</v>
          </cell>
        </row>
        <row r="125">
          <cell r="A125" t="str">
            <v>Антонов Сергей Петрович</v>
          </cell>
          <cell r="B125" t="str">
            <v>В-12246/КЛ.Транш - 1_В-20211230/Ц</v>
          </cell>
          <cell r="C125">
            <v>78125719316</v>
          </cell>
          <cell r="D125">
            <v>79313615194</v>
          </cell>
          <cell r="F125">
            <v>79313615194</v>
          </cell>
        </row>
        <row r="126">
          <cell r="A126" t="str">
            <v>Ануфриенко Сергей Владимирович</v>
          </cell>
          <cell r="B126" t="str">
            <v>В-14569/КЛ.Транш - 1_А-20210929/Ц</v>
          </cell>
          <cell r="D126">
            <v>79999681438</v>
          </cell>
          <cell r="F126">
            <v>79999681438</v>
          </cell>
        </row>
        <row r="127">
          <cell r="A127" t="str">
            <v>Анчутин Павел Александрович</v>
          </cell>
          <cell r="B127" t="str">
            <v>А-03591/АЗ</v>
          </cell>
          <cell r="D127">
            <v>79516642918</v>
          </cell>
          <cell r="E127">
            <v>79516642918</v>
          </cell>
          <cell r="F127">
            <v>79516642918</v>
          </cell>
        </row>
        <row r="128">
          <cell r="A128" t="str">
            <v>Аперян Любовь Артуровна</v>
          </cell>
          <cell r="B128" t="str">
            <v>В-14907/КЛ.Транш - 1</v>
          </cell>
          <cell r="D128">
            <v>79006315919</v>
          </cell>
          <cell r="F128">
            <v>79006315919</v>
          </cell>
        </row>
        <row r="129">
          <cell r="A129" t="str">
            <v>Аперян Любовь Артуровна</v>
          </cell>
          <cell r="B129" t="str">
            <v>В-14907/КЛ.Транш - 2</v>
          </cell>
          <cell r="D129">
            <v>79006315919</v>
          </cell>
          <cell r="F129">
            <v>79006315919</v>
          </cell>
        </row>
        <row r="130">
          <cell r="A130" t="str">
            <v>Апухтина Виолетта Байрамовна</v>
          </cell>
          <cell r="B130" t="str">
            <v>В-17805/КЛ.Транш - 2_В-20211230/Ц</v>
          </cell>
          <cell r="D130">
            <v>79771435088</v>
          </cell>
          <cell r="F130">
            <v>79771435088</v>
          </cell>
        </row>
        <row r="131">
          <cell r="A131" t="str">
            <v>Апухтина Виолетта Байрамовна</v>
          </cell>
          <cell r="B131" t="str">
            <v>В-17805/КЛ.Транш - 1_В-20211230/Ц</v>
          </cell>
          <cell r="D131">
            <v>79771435088</v>
          </cell>
          <cell r="F131">
            <v>79771435088</v>
          </cell>
        </row>
        <row r="132">
          <cell r="A132" t="str">
            <v>Апухтина Виолетта Байрамовна</v>
          </cell>
          <cell r="B132" t="str">
            <v>В-17805/КЛ.Транш - 3_В-20211230/Ц</v>
          </cell>
          <cell r="D132">
            <v>79771435088</v>
          </cell>
          <cell r="F132">
            <v>79771435088</v>
          </cell>
        </row>
        <row r="133">
          <cell r="A133" t="str">
            <v>Аракелян Арут Арменович</v>
          </cell>
          <cell r="B133" t="str">
            <v>В-06419/КЛ.Транш - 1</v>
          </cell>
          <cell r="D133">
            <v>79615012246</v>
          </cell>
          <cell r="F133">
            <v>79615012246</v>
          </cell>
        </row>
        <row r="134">
          <cell r="A134" t="str">
            <v>Аракелян Лусине Вардановна</v>
          </cell>
          <cell r="B134" t="str">
            <v>В-28694/КЛ.Транш - 1</v>
          </cell>
          <cell r="D134">
            <v>89898338400</v>
          </cell>
          <cell r="F134">
            <v>79898338400</v>
          </cell>
        </row>
        <row r="135">
          <cell r="A135" t="str">
            <v>Аракелян Михаил Герасимович</v>
          </cell>
          <cell r="B135" t="str">
            <v>В-21973/КЛ.Транш - 1</v>
          </cell>
          <cell r="D135">
            <v>79034212400</v>
          </cell>
          <cell r="F135">
            <v>79104212400</v>
          </cell>
        </row>
        <row r="136">
          <cell r="A136" t="str">
            <v>Аристанов Булат Рахметунлаевич</v>
          </cell>
          <cell r="B136" t="str">
            <v>В-21781/КЛ.Транш - 1</v>
          </cell>
          <cell r="D136">
            <v>89052130429</v>
          </cell>
          <cell r="F136">
            <v>79052130429</v>
          </cell>
        </row>
        <row r="137">
          <cell r="A137" t="str">
            <v>Аркан Владимир Владимирович</v>
          </cell>
          <cell r="B137" t="str">
            <v>В-16224/КЛ.Транш - 1</v>
          </cell>
          <cell r="D137">
            <v>79153246736</v>
          </cell>
          <cell r="E137">
            <v>79857339203</v>
          </cell>
          <cell r="F137">
            <v>79153246736</v>
          </cell>
        </row>
        <row r="138">
          <cell r="A138" t="str">
            <v>Аркатов Денис Евгеньевич</v>
          </cell>
          <cell r="B138" t="str">
            <v>В-02255/КЛ.Транш - 1</v>
          </cell>
          <cell r="D138">
            <v>89264762000</v>
          </cell>
          <cell r="F138">
            <v>79264762000</v>
          </cell>
        </row>
        <row r="139">
          <cell r="A139" t="str">
            <v>Армяновский Сергей Владимирович</v>
          </cell>
          <cell r="B139" t="str">
            <v>В-25806/КЛ.Транш - 1</v>
          </cell>
          <cell r="D139">
            <v>79777619786</v>
          </cell>
          <cell r="F139">
            <v>79777619786</v>
          </cell>
        </row>
        <row r="140">
          <cell r="A140" t="str">
            <v>АРТЭС ООО</v>
          </cell>
          <cell r="B140" t="str">
            <v>В-10012/КЭ.Транш - 1_В-20211230/Ц</v>
          </cell>
        </row>
        <row r="141">
          <cell r="A141" t="str">
            <v>Арутюнова Рузанна Георгиевна</v>
          </cell>
          <cell r="B141" t="str">
            <v>А-05413/АЗ</v>
          </cell>
          <cell r="D141">
            <v>79181202611</v>
          </cell>
          <cell r="E141">
            <v>79181202611</v>
          </cell>
          <cell r="F141">
            <v>79181202611</v>
          </cell>
        </row>
        <row r="142">
          <cell r="A142" t="str">
            <v>Арутюнян Карен Варужанович</v>
          </cell>
          <cell r="B142" t="str">
            <v>В-24859/АЗ</v>
          </cell>
          <cell r="D142">
            <v>79788815545</v>
          </cell>
        </row>
        <row r="143">
          <cell r="A143" t="str">
            <v>Арутюнян Сережа Теватосович</v>
          </cell>
          <cell r="B143" t="str">
            <v>В-10789/КЛ.Транш - 1</v>
          </cell>
          <cell r="D143">
            <v>79257950235</v>
          </cell>
          <cell r="F143">
            <v>79257950235</v>
          </cell>
        </row>
        <row r="144">
          <cell r="A144" t="str">
            <v>Архипов Данил Алексеевич</v>
          </cell>
          <cell r="B144" t="str">
            <v>В-14453/КЛ.Транш - 1</v>
          </cell>
          <cell r="D144">
            <v>79193953286</v>
          </cell>
          <cell r="F144">
            <v>79193953286</v>
          </cell>
        </row>
        <row r="145">
          <cell r="A145" t="str">
            <v>АС ООО</v>
          </cell>
          <cell r="B145" t="str">
            <v>В-10020/КЭ.Транш - 1</v>
          </cell>
        </row>
        <row r="146">
          <cell r="A146" t="str">
            <v>Атабоев Каримжон Валижонович</v>
          </cell>
          <cell r="B146" t="str">
            <v>В-09172/КЛ.Транш - 1</v>
          </cell>
          <cell r="D146">
            <v>89774974812</v>
          </cell>
          <cell r="F146">
            <v>79774974812</v>
          </cell>
        </row>
        <row r="147">
          <cell r="A147" t="str">
            <v>Атакишиев Гасым Гара Оглы</v>
          </cell>
          <cell r="B147" t="str">
            <v>В-00346/АЗ</v>
          </cell>
          <cell r="D147">
            <v>89264845959</v>
          </cell>
          <cell r="F147">
            <v>79264845959</v>
          </cell>
        </row>
        <row r="148">
          <cell r="A148" t="str">
            <v>Атаманов Максим Владимирович</v>
          </cell>
          <cell r="B148" t="str">
            <v>В-08288/КЛ.Транш - 2</v>
          </cell>
          <cell r="D148">
            <v>79099829612</v>
          </cell>
          <cell r="F148">
            <v>79099829612</v>
          </cell>
        </row>
        <row r="149">
          <cell r="A149" t="str">
            <v>Атрошенко Елена Владимировна</v>
          </cell>
          <cell r="B149" t="str">
            <v>В-08537/КЛ.Транш - 1</v>
          </cell>
          <cell r="D149">
            <v>79852797978</v>
          </cell>
          <cell r="F149">
            <v>79852797978</v>
          </cell>
        </row>
        <row r="150">
          <cell r="A150" t="str">
            <v>Атрошенко Елена Владимировна</v>
          </cell>
          <cell r="B150" t="str">
            <v>В-08537/КЛ.Транш - 2</v>
          </cell>
          <cell r="D150">
            <v>79852797978</v>
          </cell>
          <cell r="F150">
            <v>79852797978</v>
          </cell>
        </row>
        <row r="151">
          <cell r="A151" t="str">
            <v>Атцаев Ахмед Шахитович</v>
          </cell>
          <cell r="B151" t="str">
            <v>В-16186/КЛ.Транш - 1</v>
          </cell>
          <cell r="D151">
            <v>79384486566</v>
          </cell>
          <cell r="F151">
            <v>79384486566</v>
          </cell>
        </row>
        <row r="152">
          <cell r="A152" t="str">
            <v>Аутлева Сусанна Руслановна</v>
          </cell>
          <cell r="B152" t="str">
            <v>В-01172/АЗ</v>
          </cell>
          <cell r="D152">
            <v>79604944224</v>
          </cell>
          <cell r="F152">
            <v>79604944224</v>
          </cell>
        </row>
        <row r="153">
          <cell r="A153" t="str">
            <v>Афанасенков Андрей Владимирович</v>
          </cell>
          <cell r="B153" t="str">
            <v>В-23229/КЛ.Транш - 1</v>
          </cell>
          <cell r="C153">
            <v>84992031346</v>
          </cell>
          <cell r="D153">
            <v>89671880888</v>
          </cell>
          <cell r="F153">
            <v>79671880888</v>
          </cell>
        </row>
        <row r="154">
          <cell r="A154" t="str">
            <v>Афанасенков Андрей Владимирович</v>
          </cell>
          <cell r="B154" t="str">
            <v>В-23229/КЛ.Транш - 2</v>
          </cell>
          <cell r="C154">
            <v>84992031346</v>
          </cell>
          <cell r="D154">
            <v>89671880888</v>
          </cell>
          <cell r="F154">
            <v>79671880888</v>
          </cell>
        </row>
        <row r="155">
          <cell r="A155" t="str">
            <v>Афонин Николай Юрьевич</v>
          </cell>
          <cell r="B155" t="str">
            <v>В-08361/КЛ.Транш - 1_В-20211230/Ц</v>
          </cell>
          <cell r="D155">
            <v>79164059403</v>
          </cell>
          <cell r="F155">
            <v>79164059403</v>
          </cell>
        </row>
        <row r="156">
          <cell r="A156" t="str">
            <v>Афонин Сергей Юрьевич</v>
          </cell>
          <cell r="B156" t="str">
            <v>В-10204/КЛ.Транш - 1</v>
          </cell>
          <cell r="D156">
            <v>79129455795</v>
          </cell>
          <cell r="F156">
            <v>79129455795</v>
          </cell>
        </row>
        <row r="157">
          <cell r="A157" t="str">
            <v>Афонский Максим Станиславович</v>
          </cell>
          <cell r="B157" t="str">
            <v>В-01428/КЛ.Транш - 1</v>
          </cell>
          <cell r="D157">
            <v>79038969450</v>
          </cell>
          <cell r="F157">
            <v>79038969450</v>
          </cell>
        </row>
        <row r="158">
          <cell r="A158" t="str">
            <v>Афонский Максим Станиславович</v>
          </cell>
          <cell r="B158" t="str">
            <v>В-01428/КЛ.Транш - 2</v>
          </cell>
          <cell r="D158">
            <v>79038969450</v>
          </cell>
          <cell r="F158">
            <v>79038969450</v>
          </cell>
        </row>
        <row r="159">
          <cell r="A159" t="str">
            <v>Ахмедов Магомедрасул Камаладинович</v>
          </cell>
          <cell r="B159" t="str">
            <v>В-26422/КЛ.Транш - 1</v>
          </cell>
          <cell r="D159">
            <v>79861111103</v>
          </cell>
        </row>
        <row r="160">
          <cell r="A160" t="str">
            <v>Ахметов Ривкат Багызович</v>
          </cell>
          <cell r="B160" t="str">
            <v>В-25581/КЛ.Транш - 1</v>
          </cell>
          <cell r="D160">
            <v>79297934561</v>
          </cell>
          <cell r="F160">
            <v>79297934561</v>
          </cell>
        </row>
        <row r="161">
          <cell r="A161" t="str">
            <v>Ахметова Елена Леонидовна</v>
          </cell>
          <cell r="B161" t="str">
            <v>В-21253/КЛ.Транш - 1</v>
          </cell>
          <cell r="D161">
            <v>79223224806</v>
          </cell>
          <cell r="F161">
            <v>79223224806</v>
          </cell>
        </row>
        <row r="162">
          <cell r="A162" t="str">
            <v>Аюпов Данил Мухаметович</v>
          </cell>
          <cell r="B162" t="str">
            <v>В-21079/КЛ.Транш - 1</v>
          </cell>
          <cell r="D162">
            <v>79174166442</v>
          </cell>
          <cell r="F162">
            <v>79174166442</v>
          </cell>
        </row>
        <row r="163">
          <cell r="A163" t="str">
            <v>Бабаянц Артур Владимирович</v>
          </cell>
          <cell r="B163" t="str">
            <v>Т-01705/АЗ_Т-20200626/Ц</v>
          </cell>
          <cell r="D163">
            <v>79169999550</v>
          </cell>
          <cell r="E163">
            <v>79169999550</v>
          </cell>
        </row>
        <row r="164">
          <cell r="A164" t="str">
            <v>Бабаянц Артур Владимирович</v>
          </cell>
          <cell r="B164" t="str">
            <v>А-04984/АЗ_Т-20200626/Ц</v>
          </cell>
          <cell r="D164">
            <v>79169999550</v>
          </cell>
          <cell r="E164">
            <v>79169999550</v>
          </cell>
        </row>
        <row r="165">
          <cell r="A165" t="str">
            <v>Бабенышева Наталия Григорьевна</v>
          </cell>
          <cell r="B165" t="str">
            <v>В-19736/КЛ.Транш - 1</v>
          </cell>
          <cell r="D165">
            <v>79032711853</v>
          </cell>
          <cell r="E165">
            <v>79999999991</v>
          </cell>
          <cell r="F165">
            <v>79032711853</v>
          </cell>
        </row>
        <row r="166">
          <cell r="A166" t="str">
            <v>Бабичев Андрей Юрьевич</v>
          </cell>
          <cell r="B166" t="str">
            <v>В-15465/КЛ.Транш - 1_В-20211230/Ц</v>
          </cell>
          <cell r="D166">
            <v>79898394443</v>
          </cell>
          <cell r="F166">
            <v>79898394443</v>
          </cell>
        </row>
        <row r="167">
          <cell r="A167" t="str">
            <v>Бабичев Геннадий Борисович</v>
          </cell>
          <cell r="B167" t="str">
            <v>В-23072/КЛ.Транш - 1</v>
          </cell>
          <cell r="D167">
            <v>79852269001</v>
          </cell>
          <cell r="F167">
            <v>79852269001</v>
          </cell>
        </row>
        <row r="168">
          <cell r="A168" t="str">
            <v>Бабокин Евгений Александрович</v>
          </cell>
          <cell r="B168" t="str">
            <v>В-00004/КЛ.Транш - 1</v>
          </cell>
          <cell r="D168">
            <v>89032337191</v>
          </cell>
          <cell r="F168">
            <v>79032337191</v>
          </cell>
        </row>
        <row r="169">
          <cell r="A169" t="str">
            <v>Багаев Феликс Давидович</v>
          </cell>
          <cell r="B169" t="str">
            <v>В-24121/КЛ.Транш - 2</v>
          </cell>
          <cell r="D169">
            <v>79854114106</v>
          </cell>
          <cell r="F169">
            <v>79854114106</v>
          </cell>
        </row>
        <row r="170">
          <cell r="A170" t="str">
            <v>Багаев Феликс Давидович</v>
          </cell>
          <cell r="B170" t="str">
            <v>В-24121/КЛ.Транш - 1</v>
          </cell>
          <cell r="D170">
            <v>79854114106</v>
          </cell>
          <cell r="F170">
            <v>79854114106</v>
          </cell>
        </row>
        <row r="171">
          <cell r="A171" t="str">
            <v>Бажуткин Николай Владимирович</v>
          </cell>
          <cell r="B171" t="str">
            <v>В-08393/КЛ.Транш - 1</v>
          </cell>
          <cell r="D171">
            <v>79991055035</v>
          </cell>
          <cell r="F171">
            <v>79991055035</v>
          </cell>
        </row>
        <row r="172">
          <cell r="A172" t="str">
            <v>Базарнова Татьяна Леонидовна</v>
          </cell>
          <cell r="B172" t="str">
            <v>В-17708/КЛ.Транш - 1_В-20211230/Ц</v>
          </cell>
          <cell r="D172">
            <v>79004754576</v>
          </cell>
          <cell r="F172">
            <v>79004754576</v>
          </cell>
        </row>
        <row r="173">
          <cell r="A173" t="str">
            <v>Базаров Бахтиёр Асрорович</v>
          </cell>
          <cell r="B173" t="str">
            <v>А-05138/АЗ</v>
          </cell>
          <cell r="D173">
            <v>79030953342</v>
          </cell>
          <cell r="E173">
            <v>79030953342</v>
          </cell>
        </row>
        <row r="174">
          <cell r="A174" t="str">
            <v>Базарова Нафиса Ибрагимжановна</v>
          </cell>
          <cell r="B174" t="str">
            <v>В-15908/КЛ.Транш - 1</v>
          </cell>
          <cell r="D174">
            <v>79529124124</v>
          </cell>
          <cell r="F174">
            <v>79529124124</v>
          </cell>
        </row>
        <row r="175">
          <cell r="A175" t="str">
            <v>Байрамов Сабир Вагифович</v>
          </cell>
          <cell r="B175" t="str">
            <v>В-21137/КЛ.Транш - 1</v>
          </cell>
          <cell r="D175">
            <v>79013396636</v>
          </cell>
          <cell r="F175">
            <v>79013396636</v>
          </cell>
        </row>
        <row r="176">
          <cell r="A176" t="str">
            <v>Байтемиров Ахметхан Магарамович</v>
          </cell>
          <cell r="B176" t="str">
            <v>В-22173/КЛ.Транш - 1_В-20211230/Ц</v>
          </cell>
          <cell r="D176">
            <v>79627567943</v>
          </cell>
          <cell r="F176">
            <v>79627567943</v>
          </cell>
        </row>
        <row r="177">
          <cell r="A177" t="str">
            <v>Бакиров Теймур Бахрам оглы</v>
          </cell>
          <cell r="B177" t="str">
            <v>В-26197/КЛ.Транш - 1</v>
          </cell>
          <cell r="D177">
            <v>89619438260</v>
          </cell>
          <cell r="F177">
            <v>79619438260</v>
          </cell>
        </row>
        <row r="178">
          <cell r="A178" t="str">
            <v>Бакиров Теймур Бахрам оглы</v>
          </cell>
          <cell r="B178" t="str">
            <v>В-26197/КЛ.Транш - 2</v>
          </cell>
          <cell r="D178">
            <v>89619438260</v>
          </cell>
          <cell r="F178">
            <v>79619438260</v>
          </cell>
        </row>
        <row r="179">
          <cell r="A179" t="str">
            <v>Бакласова Мирабелла Викторовна</v>
          </cell>
          <cell r="B179" t="str">
            <v>В-25792/КЛ.Транш - 1</v>
          </cell>
          <cell r="D179">
            <v>79302928808</v>
          </cell>
          <cell r="F179">
            <v>79302928808</v>
          </cell>
        </row>
        <row r="180">
          <cell r="A180" t="str">
            <v>Бакласова Мирабелла Викторовна</v>
          </cell>
          <cell r="B180" t="str">
            <v>В-25792/КЛ.Транш - 2</v>
          </cell>
          <cell r="D180">
            <v>79302928808</v>
          </cell>
          <cell r="F180">
            <v>79302928808</v>
          </cell>
        </row>
        <row r="181">
          <cell r="A181" t="str">
            <v>Бакулин Андрей Валерьевич</v>
          </cell>
          <cell r="B181" t="str">
            <v>В-09206/КЛ.Транш - 1</v>
          </cell>
          <cell r="D181">
            <v>79184390308</v>
          </cell>
          <cell r="F181">
            <v>79184390308</v>
          </cell>
        </row>
        <row r="182">
          <cell r="A182" t="str">
            <v>Бандалак Олег Иванович</v>
          </cell>
          <cell r="B182" t="str">
            <v>В-15261/КЛ.Транш - 1</v>
          </cell>
          <cell r="D182">
            <v>79672543796</v>
          </cell>
          <cell r="F182">
            <v>79672543796</v>
          </cell>
        </row>
        <row r="183">
          <cell r="A183" t="str">
            <v>Бандалак Олег Иванович</v>
          </cell>
          <cell r="B183" t="str">
            <v>В-15261/КЛ.Транш - 2</v>
          </cell>
          <cell r="D183">
            <v>79672543796</v>
          </cell>
          <cell r="F183">
            <v>79672543796</v>
          </cell>
        </row>
        <row r="184">
          <cell r="A184" t="str">
            <v>Барамия Иракли Роинович</v>
          </cell>
          <cell r="B184" t="str">
            <v>В-00648/АЗ</v>
          </cell>
          <cell r="D184">
            <v>89181067474</v>
          </cell>
          <cell r="F184">
            <v>79181067474</v>
          </cell>
        </row>
        <row r="185">
          <cell r="A185" t="str">
            <v>Барамыков Рамиль Адипович</v>
          </cell>
          <cell r="B185" t="str">
            <v>В-23136/АЗ</v>
          </cell>
          <cell r="D185">
            <v>79629534579</v>
          </cell>
          <cell r="F185">
            <v>79629534579</v>
          </cell>
        </row>
        <row r="186">
          <cell r="A186" t="str">
            <v>Барамыков Рамиль Адипович</v>
          </cell>
          <cell r="B186" t="str">
            <v>В-26110/АЗ</v>
          </cell>
          <cell r="D186">
            <v>79629534579</v>
          </cell>
          <cell r="F186">
            <v>79629534579</v>
          </cell>
        </row>
        <row r="187">
          <cell r="A187" t="str">
            <v>Баранов Аркадий Александрович</v>
          </cell>
          <cell r="B187" t="str">
            <v>В-19093/КЛ.Транш - 1</v>
          </cell>
          <cell r="D187">
            <v>79112208586</v>
          </cell>
          <cell r="F187">
            <v>79112208586</v>
          </cell>
        </row>
        <row r="188">
          <cell r="A188" t="str">
            <v>Баранов Вадим Викторович</v>
          </cell>
          <cell r="B188" t="str">
            <v>В-09916/КЛ.Транш - 1</v>
          </cell>
          <cell r="D188">
            <v>79262788314</v>
          </cell>
          <cell r="F188">
            <v>79262788314</v>
          </cell>
        </row>
        <row r="189">
          <cell r="A189" t="str">
            <v>Баранов Сергей Алексеевич</v>
          </cell>
          <cell r="B189" t="str">
            <v>В-03541/КЛ.Транш - 1</v>
          </cell>
          <cell r="D189">
            <v>79998273097</v>
          </cell>
          <cell r="F189">
            <v>79998273097</v>
          </cell>
        </row>
        <row r="190">
          <cell r="A190" t="str">
            <v>Баранова Светлана Александровна</v>
          </cell>
          <cell r="B190" t="str">
            <v>В-09086/КЛ.Транш - 1</v>
          </cell>
          <cell r="D190">
            <v>79522496649</v>
          </cell>
          <cell r="F190">
            <v>79522496649</v>
          </cell>
        </row>
        <row r="191">
          <cell r="A191" t="str">
            <v>Баранова Светлана Александровна</v>
          </cell>
          <cell r="B191" t="str">
            <v>В-09086/КЛ.Транш - 2</v>
          </cell>
          <cell r="D191">
            <v>79522496649</v>
          </cell>
          <cell r="F191">
            <v>79522496649</v>
          </cell>
        </row>
        <row r="192">
          <cell r="A192" t="str">
            <v>Баранова Светлана Александровна</v>
          </cell>
          <cell r="B192" t="str">
            <v>В-09086/КЛ.Транш - 3</v>
          </cell>
          <cell r="D192">
            <v>79522496649</v>
          </cell>
          <cell r="F192">
            <v>79522496649</v>
          </cell>
        </row>
        <row r="193">
          <cell r="A193" t="str">
            <v>Бардин Андрей Юрьевич</v>
          </cell>
          <cell r="B193" t="str">
            <v>В-00319/КЛ.Транш - 2</v>
          </cell>
          <cell r="D193">
            <v>79055070028</v>
          </cell>
          <cell r="F193">
            <v>79055070028</v>
          </cell>
        </row>
        <row r="194">
          <cell r="A194" t="str">
            <v>Барсамян Маргарит Сережовна</v>
          </cell>
          <cell r="B194" t="str">
            <v>В-27587/АЗ</v>
          </cell>
          <cell r="D194">
            <v>79180826731</v>
          </cell>
        </row>
        <row r="195">
          <cell r="A195" t="str">
            <v>Барсикян Эдуард Грачевич</v>
          </cell>
          <cell r="B195" t="str">
            <v>В-10041/КЛ.Транш - 4</v>
          </cell>
          <cell r="D195">
            <v>79185583434</v>
          </cell>
          <cell r="F195">
            <v>79185583434</v>
          </cell>
        </row>
        <row r="196">
          <cell r="A196" t="str">
            <v>Барсикян Эдуард Грачевич</v>
          </cell>
          <cell r="B196" t="str">
            <v>В-10041/КЛ.Транш - 3</v>
          </cell>
          <cell r="D196">
            <v>79185583434</v>
          </cell>
          <cell r="F196">
            <v>79185583434</v>
          </cell>
        </row>
        <row r="197">
          <cell r="A197" t="str">
            <v>Барсикян Эдуард Грачевич</v>
          </cell>
          <cell r="B197" t="str">
            <v>В-10041/КЛ.Транш - 2</v>
          </cell>
          <cell r="D197">
            <v>79185583434</v>
          </cell>
          <cell r="F197">
            <v>79185583434</v>
          </cell>
        </row>
        <row r="198">
          <cell r="A198" t="str">
            <v>Барт Денис Михайлович</v>
          </cell>
          <cell r="B198" t="str">
            <v>В-01174/АЗ</v>
          </cell>
          <cell r="D198">
            <v>79213003297</v>
          </cell>
          <cell r="F198">
            <v>79213003297</v>
          </cell>
        </row>
        <row r="199">
          <cell r="A199" t="str">
            <v>Бархударов Сергей Юрьевич</v>
          </cell>
          <cell r="B199" t="str">
            <v>В-25499/АЗ</v>
          </cell>
          <cell r="D199">
            <v>89099000911</v>
          </cell>
          <cell r="F199">
            <v>79099000911</v>
          </cell>
        </row>
        <row r="200">
          <cell r="A200" t="str">
            <v>Барчукова Марина Алексеевна</v>
          </cell>
          <cell r="B200" t="str">
            <v>В-00614/АЗ</v>
          </cell>
          <cell r="D200">
            <v>89186655116</v>
          </cell>
          <cell r="F200">
            <v>79186655116</v>
          </cell>
        </row>
        <row r="201">
          <cell r="A201" t="str">
            <v>Барышникова Александра Андреевна</v>
          </cell>
          <cell r="B201" t="str">
            <v>В-00772/АЗ</v>
          </cell>
          <cell r="D201">
            <v>79645995184</v>
          </cell>
          <cell r="F201">
            <v>79645995184</v>
          </cell>
        </row>
        <row r="202">
          <cell r="A202" t="str">
            <v>Батурин Василий Михайлович</v>
          </cell>
          <cell r="B202" t="str">
            <v>В-00840/АЗ</v>
          </cell>
          <cell r="D202">
            <v>89251502107</v>
          </cell>
          <cell r="F202">
            <v>79251502107</v>
          </cell>
        </row>
        <row r="203">
          <cell r="A203" t="str">
            <v>Баулин Андрей Валерьевич</v>
          </cell>
          <cell r="B203" t="str">
            <v>В-00947/КЛ.Транш - 1</v>
          </cell>
          <cell r="D203">
            <v>79653312353</v>
          </cell>
          <cell r="F203">
            <v>79653312353</v>
          </cell>
        </row>
        <row r="204">
          <cell r="A204" t="str">
            <v>Баханова Ирина Владимировна</v>
          </cell>
          <cell r="B204" t="str">
            <v>В-06215/КЛ.Транш - 1</v>
          </cell>
          <cell r="D204">
            <v>79671743590</v>
          </cell>
          <cell r="F204">
            <v>79671743590</v>
          </cell>
        </row>
        <row r="205">
          <cell r="A205" t="str">
            <v>Баханцов Семен Владимирович</v>
          </cell>
          <cell r="B205" t="str">
            <v>Т-01805/АЗ_Т-20211028/Ц</v>
          </cell>
          <cell r="D205">
            <v>79062888444</v>
          </cell>
          <cell r="E205">
            <v>79062888444</v>
          </cell>
          <cell r="F205">
            <v>79062888444</v>
          </cell>
        </row>
        <row r="206">
          <cell r="A206" t="str">
            <v>Баханцов Семен Владимирович</v>
          </cell>
          <cell r="B206" t="str">
            <v>В-00313/АЗ_Т-20211028/Ц</v>
          </cell>
          <cell r="D206">
            <v>79062888444</v>
          </cell>
          <cell r="E206">
            <v>79062888444</v>
          </cell>
          <cell r="F206">
            <v>79062888444</v>
          </cell>
        </row>
        <row r="207">
          <cell r="A207" t="str">
            <v>Баханцов Семен Владимирович</v>
          </cell>
          <cell r="B207" t="str">
            <v>А-05346/АЗ_Т-20211028/Ц</v>
          </cell>
          <cell r="D207">
            <v>79062888444</v>
          </cell>
          <cell r="E207">
            <v>79062888444</v>
          </cell>
          <cell r="F207">
            <v>79062888444</v>
          </cell>
        </row>
        <row r="208">
          <cell r="A208" t="str">
            <v>Башкатов Егор Иванович</v>
          </cell>
          <cell r="B208" t="str">
            <v>В-00970/АЗ</v>
          </cell>
          <cell r="C208">
            <v>78135411266</v>
          </cell>
          <cell r="D208" t="str">
            <v>79119677172, 79110354575</v>
          </cell>
          <cell r="F208">
            <v>79119677172</v>
          </cell>
        </row>
        <row r="209">
          <cell r="A209" t="str">
            <v>Башленко Илья Васильевич</v>
          </cell>
          <cell r="B209" t="str">
            <v>В-19655/КЛ.Транш - 1</v>
          </cell>
          <cell r="D209">
            <v>79375342111</v>
          </cell>
          <cell r="F209">
            <v>79375342111</v>
          </cell>
        </row>
        <row r="210">
          <cell r="A210" t="str">
            <v>Баяндин Сергей Петрович</v>
          </cell>
          <cell r="B210" t="str">
            <v>В-17232/КЛ.Транш - 1</v>
          </cell>
          <cell r="D210">
            <v>79223681955</v>
          </cell>
          <cell r="F210">
            <v>79223681955</v>
          </cell>
        </row>
        <row r="211">
          <cell r="A211" t="str">
            <v>Бекетов Алексей Алексеевич</v>
          </cell>
          <cell r="B211" t="str">
            <v>В-23509/КЛ.Транш - 1</v>
          </cell>
          <cell r="D211">
            <v>89058318150</v>
          </cell>
          <cell r="F211">
            <v>79058318150</v>
          </cell>
        </row>
        <row r="212">
          <cell r="A212" t="str">
            <v>Бекетов Алексей Алексеевич</v>
          </cell>
          <cell r="B212" t="str">
            <v>В-23509/КЛ.Транш - 2</v>
          </cell>
          <cell r="D212">
            <v>89058318150</v>
          </cell>
          <cell r="F212">
            <v>79058318150</v>
          </cell>
        </row>
        <row r="213">
          <cell r="A213" t="str">
            <v>Белан Надежда Александровна</v>
          </cell>
          <cell r="B213" t="str">
            <v>В-04724/КЛ.Транш - 3</v>
          </cell>
          <cell r="D213">
            <v>79183323932</v>
          </cell>
          <cell r="F213">
            <v>79183323932</v>
          </cell>
        </row>
        <row r="214">
          <cell r="A214" t="str">
            <v>Белгер Эрнест Владимирович</v>
          </cell>
          <cell r="B214" t="str">
            <v>В-22163/КЛ.Транш - 1</v>
          </cell>
          <cell r="D214">
            <v>79780081478</v>
          </cell>
          <cell r="F214">
            <v>79780081478</v>
          </cell>
        </row>
        <row r="215">
          <cell r="A215" t="str">
            <v>Белецкий Григорий Дмитриевич</v>
          </cell>
          <cell r="B215" t="str">
            <v>В-09725/КЛ.Транш - 1</v>
          </cell>
          <cell r="D215">
            <v>79184490218</v>
          </cell>
          <cell r="F215">
            <v>79184490218</v>
          </cell>
        </row>
        <row r="216">
          <cell r="A216" t="str">
            <v>Белик Галина Александровна</v>
          </cell>
          <cell r="B216" t="str">
            <v>В-27260/АЗ</v>
          </cell>
          <cell r="D216">
            <v>7927273865</v>
          </cell>
        </row>
        <row r="217">
          <cell r="A217" t="str">
            <v>Белинский Сергей Игоревич</v>
          </cell>
          <cell r="B217" t="str">
            <v>В-00806/АЗ_В-20211230/Ц</v>
          </cell>
          <cell r="D217">
            <v>89857777525</v>
          </cell>
          <cell r="F217">
            <v>79857777525</v>
          </cell>
        </row>
        <row r="218">
          <cell r="A218" t="str">
            <v>Белич Валерий Валериевич</v>
          </cell>
          <cell r="B218" t="str">
            <v>В-08212/КЛ.Транш - 7</v>
          </cell>
          <cell r="D218">
            <v>79186271220</v>
          </cell>
          <cell r="F218">
            <v>79186271220</v>
          </cell>
        </row>
        <row r="219">
          <cell r="A219" t="str">
            <v>Белич Валерий Валериевич</v>
          </cell>
          <cell r="B219" t="str">
            <v>В-08212/КЛ.Транш - 6</v>
          </cell>
          <cell r="D219">
            <v>79186271220</v>
          </cell>
          <cell r="F219">
            <v>79186271220</v>
          </cell>
        </row>
        <row r="220">
          <cell r="A220" t="str">
            <v>Белич Валерий Валериевич</v>
          </cell>
          <cell r="B220" t="str">
            <v>В-08212/КЛ.Транш - 4</v>
          </cell>
          <cell r="D220">
            <v>79186271220</v>
          </cell>
          <cell r="F220">
            <v>79186271220</v>
          </cell>
        </row>
        <row r="221">
          <cell r="A221" t="str">
            <v>Белич Валерий Валериевич</v>
          </cell>
          <cell r="B221" t="str">
            <v>В-08212/КЛ.Транш - 5</v>
          </cell>
          <cell r="D221">
            <v>79186271220</v>
          </cell>
          <cell r="F221">
            <v>79186271220</v>
          </cell>
        </row>
        <row r="222">
          <cell r="A222" t="str">
            <v>Белов Александр Сергеевич</v>
          </cell>
          <cell r="B222" t="str">
            <v>В-00942/АЗ</v>
          </cell>
          <cell r="C222">
            <v>74954304918</v>
          </cell>
          <cell r="D222" t="str">
            <v>89099391969, 89150126184</v>
          </cell>
          <cell r="F222">
            <v>79099391969</v>
          </cell>
        </row>
        <row r="223">
          <cell r="A223" t="str">
            <v>Белов Александр Сергеевич</v>
          </cell>
          <cell r="B223" t="str">
            <v>А-05459/АЗ</v>
          </cell>
          <cell r="C223">
            <v>74954304918</v>
          </cell>
          <cell r="D223" t="str">
            <v>89099391969, 89150126184</v>
          </cell>
          <cell r="F223">
            <v>79099391969</v>
          </cell>
        </row>
        <row r="224">
          <cell r="A224" t="str">
            <v>Белов Александр Сергеевич</v>
          </cell>
          <cell r="B224" t="str">
            <v>В-24140/АЗ</v>
          </cell>
          <cell r="C224">
            <v>74954304918</v>
          </cell>
          <cell r="D224" t="str">
            <v>89099391969, 89150126184</v>
          </cell>
          <cell r="F224">
            <v>79099391969</v>
          </cell>
        </row>
        <row r="225">
          <cell r="A225" t="str">
            <v>Белов Вячеслав Сергеевич</v>
          </cell>
          <cell r="B225" t="str">
            <v>В-21795/КЛ.Транш - 1</v>
          </cell>
          <cell r="D225">
            <v>89771172294</v>
          </cell>
          <cell r="F225">
            <v>79771172294</v>
          </cell>
        </row>
        <row r="226">
          <cell r="A226" t="str">
            <v>Белова Ольга Евгеньевна</v>
          </cell>
          <cell r="B226" t="str">
            <v>В-15838/КЛ.Транш - 1</v>
          </cell>
          <cell r="D226">
            <v>79057749493</v>
          </cell>
          <cell r="F226">
            <v>79057749493</v>
          </cell>
        </row>
        <row r="227">
          <cell r="A227" t="str">
            <v>Белова Ольга Евгеньевна</v>
          </cell>
          <cell r="B227" t="str">
            <v>В-15838/КЛ.Транш - 2</v>
          </cell>
          <cell r="D227">
            <v>79057749493</v>
          </cell>
          <cell r="F227">
            <v>79057749493</v>
          </cell>
        </row>
        <row r="228">
          <cell r="A228" t="str">
            <v>Белолипцев Дмитрий Олегович</v>
          </cell>
          <cell r="B228" t="str">
            <v>В-17458/КЛ.Транш - 1_В-20211230/Ц</v>
          </cell>
          <cell r="D228">
            <v>79182351977</v>
          </cell>
          <cell r="F228">
            <v>79182351977</v>
          </cell>
        </row>
        <row r="229">
          <cell r="A229" t="str">
            <v>Беломытцев Илья Алексеевич</v>
          </cell>
          <cell r="B229" t="str">
            <v>В-14254/КЛ.Транш - 1</v>
          </cell>
          <cell r="D229">
            <v>79637714181</v>
          </cell>
          <cell r="F229">
            <v>79637714181</v>
          </cell>
        </row>
        <row r="230">
          <cell r="A230" t="str">
            <v>Белорыбкин Михаил Васильевич</v>
          </cell>
          <cell r="B230" t="str">
            <v>В-19684/КЛ.Транш - 1</v>
          </cell>
          <cell r="D230">
            <v>79641320395</v>
          </cell>
          <cell r="F230">
            <v>79641320395</v>
          </cell>
        </row>
        <row r="231">
          <cell r="A231" t="str">
            <v>Белоусов Валерий Владиславович</v>
          </cell>
          <cell r="B231" t="str">
            <v>В-25922/КЛ.Транш - 1</v>
          </cell>
          <cell r="D231">
            <v>89184991950</v>
          </cell>
          <cell r="F231">
            <v>79184991950</v>
          </cell>
        </row>
        <row r="232">
          <cell r="A232" t="str">
            <v>Белоусов Валерий Владиславович</v>
          </cell>
          <cell r="B232" t="str">
            <v>В-25922/КЛ.Транш - 2</v>
          </cell>
          <cell r="D232">
            <v>89184991950</v>
          </cell>
          <cell r="F232">
            <v>79184991950</v>
          </cell>
        </row>
        <row r="233">
          <cell r="A233" t="str">
            <v>Белоусова Наталья Анатольевна</v>
          </cell>
          <cell r="B233" t="str">
            <v>В-16357/КЛ.Транш - 2</v>
          </cell>
          <cell r="D233">
            <v>79168148833</v>
          </cell>
          <cell r="F233">
            <v>79168148833</v>
          </cell>
        </row>
        <row r="234">
          <cell r="A234" t="str">
            <v>Беляев Алексей Васильевич</v>
          </cell>
          <cell r="B234" t="str">
            <v>В-00948/КЛ.Транш - 1</v>
          </cell>
          <cell r="D234">
            <v>89818488965</v>
          </cell>
          <cell r="F234">
            <v>79818488965</v>
          </cell>
        </row>
        <row r="235">
          <cell r="A235" t="str">
            <v>Беляев Андрей Сергеевич</v>
          </cell>
          <cell r="B235" t="str">
            <v>В-00820/АЗ</v>
          </cell>
          <cell r="D235">
            <v>89628712731</v>
          </cell>
          <cell r="F235">
            <v>79628712731</v>
          </cell>
        </row>
        <row r="236">
          <cell r="A236" t="str">
            <v>Белякова Марина Сергеевна</v>
          </cell>
          <cell r="B236" t="str">
            <v>В-22677/КЛ.Транш - 1</v>
          </cell>
          <cell r="D236">
            <v>79283012353</v>
          </cell>
          <cell r="F236">
            <v>79283012353</v>
          </cell>
        </row>
        <row r="237">
          <cell r="A237" t="str">
            <v>Бендас Евгений Васильевич</v>
          </cell>
          <cell r="B237" t="str">
            <v>В-10934/КЛ.Транш - 2_В-20211230/Ц</v>
          </cell>
          <cell r="D237">
            <v>79969318786</v>
          </cell>
          <cell r="F237">
            <v>79969318786</v>
          </cell>
        </row>
        <row r="238">
          <cell r="A238" t="str">
            <v>Бендас Евгений Васильевич</v>
          </cell>
          <cell r="B238" t="str">
            <v>В-10934/КЛ.Транш - 1_В-20211230/Ц</v>
          </cell>
          <cell r="D238">
            <v>79969318786</v>
          </cell>
          <cell r="F238">
            <v>79969318786</v>
          </cell>
        </row>
        <row r="239">
          <cell r="A239" t="str">
            <v>Берберян Эдуард Арутюнович</v>
          </cell>
          <cell r="B239" t="str">
            <v>В-11934/КЛ.Транш - 4</v>
          </cell>
          <cell r="E239">
            <v>89167875038</v>
          </cell>
          <cell r="F239">
            <v>79167875038</v>
          </cell>
        </row>
        <row r="240">
          <cell r="A240" t="str">
            <v>Берберян Эдуард Арутюнович</v>
          </cell>
          <cell r="B240" t="str">
            <v>В-11934/КЛ.Транш - 2</v>
          </cell>
          <cell r="E240">
            <v>89167875038</v>
          </cell>
          <cell r="F240">
            <v>79167875038</v>
          </cell>
        </row>
        <row r="241">
          <cell r="A241" t="str">
            <v>Березин Виктор Владимирович</v>
          </cell>
          <cell r="B241" t="str">
            <v>В-11162/КЛ.Транш - 1</v>
          </cell>
          <cell r="D241">
            <v>79500463011</v>
          </cell>
          <cell r="F241">
            <v>79500463011</v>
          </cell>
        </row>
        <row r="242">
          <cell r="A242" t="str">
            <v>Бесаев Заур Маратович</v>
          </cell>
          <cell r="B242" t="str">
            <v>В-18050/КЛ.Транш - 1</v>
          </cell>
          <cell r="D242">
            <v>79897485085</v>
          </cell>
          <cell r="F242">
            <v>79897485085</v>
          </cell>
        </row>
        <row r="243">
          <cell r="A243" t="str">
            <v>Бесаев Заур Маратович</v>
          </cell>
          <cell r="B243" t="str">
            <v>В-18050/КЛ.Транш - 2</v>
          </cell>
          <cell r="D243">
            <v>79897485085</v>
          </cell>
          <cell r="F243">
            <v>79897485085</v>
          </cell>
        </row>
        <row r="244">
          <cell r="A244" t="str">
            <v>Бибнева Анастасия Дмитриевна</v>
          </cell>
          <cell r="B244" t="str">
            <v>В-13254/КЛ.Транш - 1_В-20211230/Ц</v>
          </cell>
          <cell r="D244">
            <v>79219431758</v>
          </cell>
          <cell r="F244">
            <v>79219431758</v>
          </cell>
        </row>
        <row r="245">
          <cell r="A245" t="str">
            <v>Бизнес Бухгалтер ООО</v>
          </cell>
          <cell r="B245" t="str">
            <v>В-00068/КЭ.Транш - 1</v>
          </cell>
        </row>
        <row r="246">
          <cell r="A246" t="str">
            <v>Бикеев Максим Васильевич</v>
          </cell>
          <cell r="B246" t="str">
            <v>В-25705/КЛ.Транш - 1</v>
          </cell>
          <cell r="D246">
            <v>79258884802</v>
          </cell>
          <cell r="F246">
            <v>79258884802</v>
          </cell>
        </row>
        <row r="247">
          <cell r="A247" t="str">
            <v>Бикиева Ольга Альбертовна</v>
          </cell>
          <cell r="B247" t="str">
            <v>В-23881/КЛ.Транш - 1</v>
          </cell>
          <cell r="D247">
            <v>79135623869</v>
          </cell>
          <cell r="F247">
            <v>79135623869</v>
          </cell>
        </row>
        <row r="248">
          <cell r="A248" t="str">
            <v>Бикиева Ольга Альбертовна</v>
          </cell>
          <cell r="B248" t="str">
            <v>В-23881/КЛ.Транш - 2</v>
          </cell>
          <cell r="D248">
            <v>79135623869</v>
          </cell>
          <cell r="F248">
            <v>79135623869</v>
          </cell>
        </row>
        <row r="249">
          <cell r="A249" t="str">
            <v>Билалов Имам Исламович</v>
          </cell>
          <cell r="B249" t="str">
            <v>В-01024/АЗ</v>
          </cell>
          <cell r="D249">
            <v>79153045444</v>
          </cell>
          <cell r="F249">
            <v>79153045444</v>
          </cell>
        </row>
        <row r="250">
          <cell r="A250" t="str">
            <v>Битюцких Александр Александрович</v>
          </cell>
          <cell r="B250" t="str">
            <v>Т-01914/АЗ_Т-20211028/Ц</v>
          </cell>
          <cell r="C250">
            <v>74953728726</v>
          </cell>
          <cell r="D250">
            <v>79163131538</v>
          </cell>
          <cell r="F250">
            <v>79163131538</v>
          </cell>
        </row>
        <row r="251">
          <cell r="A251" t="str">
            <v>Биченов Сослан Эдуардович</v>
          </cell>
          <cell r="B251" t="str">
            <v>В-00974/АЗ</v>
          </cell>
          <cell r="C251">
            <v>84957100015</v>
          </cell>
          <cell r="D251">
            <v>89057199949</v>
          </cell>
          <cell r="F251">
            <v>79057199949</v>
          </cell>
        </row>
        <row r="252">
          <cell r="A252" t="str">
            <v>Биятов Малик Серекович</v>
          </cell>
          <cell r="B252" t="str">
            <v>В-14005/КЛ.Транш - 1</v>
          </cell>
          <cell r="D252">
            <v>89534579822</v>
          </cell>
          <cell r="F252">
            <v>79534579822</v>
          </cell>
        </row>
        <row r="253">
          <cell r="A253" t="str">
            <v>Биятов Малик Серекович</v>
          </cell>
          <cell r="B253" t="str">
            <v>В-14005/КЛ.Транш - 2</v>
          </cell>
          <cell r="D253">
            <v>89534579822</v>
          </cell>
          <cell r="F253">
            <v>79534579822</v>
          </cell>
        </row>
        <row r="254">
          <cell r="A254" t="str">
            <v>Биятов Малик Серекович</v>
          </cell>
          <cell r="B254" t="str">
            <v>В-14005/КЛ.Транш - 3</v>
          </cell>
          <cell r="D254">
            <v>89534579822</v>
          </cell>
          <cell r="F254">
            <v>79534579822</v>
          </cell>
        </row>
        <row r="255">
          <cell r="A255" t="str">
            <v>Блинов Сергей Владимирович</v>
          </cell>
          <cell r="B255" t="str">
            <v>В-25548/КЛ.Транш - 1</v>
          </cell>
          <cell r="D255">
            <v>79832020677</v>
          </cell>
          <cell r="F255">
            <v>79832020677</v>
          </cell>
        </row>
        <row r="256">
          <cell r="A256" t="str">
            <v>Бобров Дмитрий Михайлович</v>
          </cell>
          <cell r="B256" t="str">
            <v>А-05082/АЗ</v>
          </cell>
          <cell r="D256">
            <v>79213756164</v>
          </cell>
          <cell r="E256">
            <v>79213756164</v>
          </cell>
          <cell r="F256">
            <v>79312590644</v>
          </cell>
        </row>
        <row r="257">
          <cell r="A257" t="str">
            <v>Богачук Сергей Прокопьевич</v>
          </cell>
          <cell r="B257" t="str">
            <v>В-17506/КЛ.Транш - 1</v>
          </cell>
          <cell r="D257">
            <v>79165491616</v>
          </cell>
          <cell r="F257">
            <v>79165491616</v>
          </cell>
        </row>
        <row r="258">
          <cell r="A258" t="str">
            <v>Богданов Александр Сергеевич</v>
          </cell>
          <cell r="B258" t="str">
            <v>В-22763/КЛ.Транш - 1</v>
          </cell>
          <cell r="D258">
            <v>79675332806</v>
          </cell>
          <cell r="F258">
            <v>79675332806</v>
          </cell>
        </row>
        <row r="259">
          <cell r="A259" t="str">
            <v>Богданов Борис Владимирович</v>
          </cell>
          <cell r="B259" t="str">
            <v>В-18370/КЛ.Транш - 1</v>
          </cell>
          <cell r="D259">
            <v>79652302644</v>
          </cell>
          <cell r="F259">
            <v>79652302644</v>
          </cell>
        </row>
        <row r="260">
          <cell r="A260" t="str">
            <v>Богданова Марина Алексеевна</v>
          </cell>
          <cell r="B260" t="str">
            <v>В-00708/АЗ</v>
          </cell>
          <cell r="C260">
            <v>79615943904</v>
          </cell>
          <cell r="D260">
            <v>79282740144</v>
          </cell>
          <cell r="F260">
            <v>79615943904</v>
          </cell>
        </row>
        <row r="261">
          <cell r="A261" t="str">
            <v>Богданова Ольга Геннадиевна</v>
          </cell>
          <cell r="B261" t="str">
            <v>В-18536/КЛ.Транш - 1</v>
          </cell>
          <cell r="D261">
            <v>79036307914</v>
          </cell>
          <cell r="F261">
            <v>79036307914</v>
          </cell>
        </row>
        <row r="262">
          <cell r="A262" t="str">
            <v>Богомилов Михаил Михайлович</v>
          </cell>
          <cell r="B262" t="str">
            <v>А-04793/АЗ</v>
          </cell>
          <cell r="C262">
            <v>79036668542</v>
          </cell>
          <cell r="D262">
            <v>79689309989</v>
          </cell>
          <cell r="E262">
            <v>79689309989</v>
          </cell>
        </row>
        <row r="263">
          <cell r="A263" t="str">
            <v>Бозоян Агаси Климентович</v>
          </cell>
          <cell r="B263" t="str">
            <v>В-12853/КЛ.Транш - 5</v>
          </cell>
          <cell r="D263">
            <v>89167970100</v>
          </cell>
          <cell r="F263">
            <v>79167970100</v>
          </cell>
        </row>
        <row r="264">
          <cell r="A264" t="str">
            <v>Бозоян Агаси Климентович</v>
          </cell>
          <cell r="B264" t="str">
            <v>В-12853/КЛ.Транш - 6</v>
          </cell>
          <cell r="D264">
            <v>89167970100</v>
          </cell>
          <cell r="F264">
            <v>79167970100</v>
          </cell>
        </row>
        <row r="265">
          <cell r="A265" t="str">
            <v>Бойко Василий Анатольевич</v>
          </cell>
          <cell r="B265" t="str">
            <v>В-03629/КЛ.Транш - 1</v>
          </cell>
          <cell r="D265">
            <v>79671222197</v>
          </cell>
          <cell r="F265">
            <v>79671222197</v>
          </cell>
        </row>
        <row r="266">
          <cell r="A266" t="str">
            <v>Болквадзе Александр Теймуразович</v>
          </cell>
          <cell r="B266" t="str">
            <v>В-22451/АЗ</v>
          </cell>
          <cell r="C266">
            <v>84957513369</v>
          </cell>
          <cell r="D266" t="str">
            <v>89857647438, 89104858500</v>
          </cell>
          <cell r="F266">
            <v>79857647438</v>
          </cell>
        </row>
        <row r="267">
          <cell r="A267" t="str">
            <v>Бондаренко Александр Александрович</v>
          </cell>
          <cell r="B267" t="str">
            <v>В-25659/КЛ.Транш - 1</v>
          </cell>
          <cell r="D267">
            <v>79525901132</v>
          </cell>
          <cell r="E267">
            <v>79005980224</v>
          </cell>
          <cell r="F267">
            <v>79525901132</v>
          </cell>
        </row>
        <row r="268">
          <cell r="A268" t="str">
            <v>Бондаренко Александр Александрович</v>
          </cell>
          <cell r="B268" t="str">
            <v>В-25659/КЛ.Транш - 2</v>
          </cell>
          <cell r="D268">
            <v>79525901132</v>
          </cell>
          <cell r="E268">
            <v>79005980224</v>
          </cell>
          <cell r="F268">
            <v>79525901132</v>
          </cell>
        </row>
        <row r="269">
          <cell r="A269" t="str">
            <v>Бондаренко Светлана Евгеньевна</v>
          </cell>
          <cell r="B269" t="str">
            <v>В-28062/КЛ.Транш - 1</v>
          </cell>
          <cell r="D269">
            <v>79255497874</v>
          </cell>
        </row>
        <row r="270">
          <cell r="A270" t="str">
            <v>Борисов Александр Михайлович</v>
          </cell>
          <cell r="B270" t="str">
            <v>В-21523/КЛ.Транш - 1</v>
          </cell>
          <cell r="C270">
            <v>84994978617</v>
          </cell>
          <cell r="D270">
            <v>89671182255</v>
          </cell>
          <cell r="F270">
            <v>79671182255</v>
          </cell>
        </row>
        <row r="271">
          <cell r="A271" t="str">
            <v>Борисов Александр Михайлович</v>
          </cell>
          <cell r="B271" t="str">
            <v>В-21523/КЛ.Транш - 2</v>
          </cell>
          <cell r="C271">
            <v>84994978617</v>
          </cell>
          <cell r="D271">
            <v>89671182255</v>
          </cell>
          <cell r="F271">
            <v>79671182255</v>
          </cell>
        </row>
        <row r="272">
          <cell r="A272" t="str">
            <v>Борисов Андрей Сергеевич</v>
          </cell>
          <cell r="B272" t="str">
            <v>В-14198/КЛ.Транш - 1</v>
          </cell>
          <cell r="D272">
            <v>79261353076</v>
          </cell>
          <cell r="F272">
            <v>79261353076</v>
          </cell>
        </row>
        <row r="273">
          <cell r="A273" t="str">
            <v>Борисов Кирилл Александрович</v>
          </cell>
          <cell r="B273" t="str">
            <v>А-02635/АЗ</v>
          </cell>
          <cell r="C273">
            <v>79261673888</v>
          </cell>
          <cell r="D273">
            <v>79261673888</v>
          </cell>
          <cell r="E273">
            <v>79261673888</v>
          </cell>
          <cell r="F273">
            <v>79858186888</v>
          </cell>
        </row>
        <row r="274">
          <cell r="A274" t="str">
            <v>Борисов Максим Валерьевич</v>
          </cell>
          <cell r="B274" t="str">
            <v>В-00461/АЗ</v>
          </cell>
          <cell r="D274">
            <v>89164758181</v>
          </cell>
          <cell r="F274">
            <v>79164758181</v>
          </cell>
        </row>
        <row r="275">
          <cell r="A275" t="str">
            <v>Брежнева Мария Михайловна</v>
          </cell>
          <cell r="B275" t="str">
            <v>В-11477/КЛ.Транш - 1</v>
          </cell>
          <cell r="D275">
            <v>79629993747</v>
          </cell>
          <cell r="F275">
            <v>79629993747</v>
          </cell>
        </row>
        <row r="276">
          <cell r="A276" t="str">
            <v>Брежнева Мария Михайловна</v>
          </cell>
          <cell r="B276" t="str">
            <v>В-11477/КЛ.Транш - 3</v>
          </cell>
          <cell r="D276">
            <v>79629993747</v>
          </cell>
          <cell r="F276">
            <v>79629993747</v>
          </cell>
        </row>
        <row r="277">
          <cell r="A277" t="str">
            <v>Брынский Артем Сергеевич</v>
          </cell>
          <cell r="B277" t="str">
            <v>В-01201/АЗ</v>
          </cell>
          <cell r="D277">
            <v>79099671156</v>
          </cell>
          <cell r="F277">
            <v>79099671156</v>
          </cell>
        </row>
        <row r="278">
          <cell r="A278" t="str">
            <v>Буланкин Андрей Сергеевич</v>
          </cell>
          <cell r="B278" t="str">
            <v>В-16983/КЛ.Транш - 1</v>
          </cell>
          <cell r="D278">
            <v>79313599363</v>
          </cell>
          <cell r="E278">
            <v>78889571103</v>
          </cell>
        </row>
        <row r="279">
          <cell r="A279" t="str">
            <v>Буланкин Андрей Сергеевич</v>
          </cell>
          <cell r="B279" t="str">
            <v>В-16983/КЛ.Транш - 2</v>
          </cell>
          <cell r="D279">
            <v>79313599363</v>
          </cell>
          <cell r="E279">
            <v>78889571103</v>
          </cell>
        </row>
        <row r="280">
          <cell r="A280" t="str">
            <v>Булатов Даниил Владимирович</v>
          </cell>
          <cell r="B280" t="str">
            <v>В-24710/АЗ</v>
          </cell>
          <cell r="D280">
            <v>79181817533</v>
          </cell>
          <cell r="F280">
            <v>79181817533</v>
          </cell>
        </row>
        <row r="281">
          <cell r="A281" t="str">
            <v>Булатова Оксана Валерьевна</v>
          </cell>
          <cell r="B281" t="str">
            <v>В-24691/АЗ</v>
          </cell>
          <cell r="D281">
            <v>79882475444</v>
          </cell>
          <cell r="F281">
            <v>79882475444</v>
          </cell>
        </row>
        <row r="282">
          <cell r="A282" t="str">
            <v>Булгакова Галия Закиевна</v>
          </cell>
          <cell r="B282" t="str">
            <v>В-14915/КЛ.Транш - 5</v>
          </cell>
          <cell r="D282">
            <v>79373435931</v>
          </cell>
          <cell r="F282">
            <v>79373435931</v>
          </cell>
        </row>
        <row r="283">
          <cell r="A283" t="str">
            <v>Бунаков Алексей Вячеславович</v>
          </cell>
          <cell r="B283" t="str">
            <v>В-27410/КЛ.Транш - 1</v>
          </cell>
          <cell r="D283">
            <v>79654272020</v>
          </cell>
          <cell r="F283">
            <v>79654272020</v>
          </cell>
        </row>
        <row r="284">
          <cell r="A284" t="str">
            <v>Буниатян Арман Арменакович</v>
          </cell>
          <cell r="B284" t="str">
            <v>В-20193/КЛ.Транш - 1</v>
          </cell>
          <cell r="D284">
            <v>79160973288</v>
          </cell>
          <cell r="F284">
            <v>79160973288</v>
          </cell>
        </row>
        <row r="285">
          <cell r="A285" t="str">
            <v>Буренкова Екатерина Сергеевна</v>
          </cell>
          <cell r="B285" t="str">
            <v>В-19179/КЛ.Транш - 1</v>
          </cell>
          <cell r="D285">
            <v>79158023383</v>
          </cell>
          <cell r="E285">
            <v>79532951339</v>
          </cell>
          <cell r="F285">
            <v>79158023383</v>
          </cell>
        </row>
        <row r="286">
          <cell r="A286" t="str">
            <v>Буренкова Екатерина Сергеевна</v>
          </cell>
          <cell r="B286" t="str">
            <v>В-19179/КЛ.Транш - 2</v>
          </cell>
          <cell r="D286">
            <v>79158023383</v>
          </cell>
          <cell r="E286">
            <v>79532951339</v>
          </cell>
          <cell r="F286">
            <v>79158023383</v>
          </cell>
        </row>
        <row r="287">
          <cell r="A287" t="str">
            <v>Бурков Анатолий Александрович</v>
          </cell>
          <cell r="B287" t="str">
            <v>В-00923/АЗ</v>
          </cell>
          <cell r="C287">
            <v>74959248434</v>
          </cell>
          <cell r="D287">
            <v>79175659463</v>
          </cell>
          <cell r="F287">
            <v>79175659463</v>
          </cell>
        </row>
        <row r="288">
          <cell r="A288" t="str">
            <v>Бурма Мария Георгиевна</v>
          </cell>
          <cell r="B288" t="str">
            <v>В-26733/КЛ.Транш - 1</v>
          </cell>
          <cell r="D288">
            <v>79253310307</v>
          </cell>
          <cell r="F288">
            <v>79253310307</v>
          </cell>
        </row>
        <row r="289">
          <cell r="A289" t="str">
            <v>Бурцев Владимир Вячеславович</v>
          </cell>
          <cell r="B289" t="str">
            <v>В-23458/КЛ.Транш - 5</v>
          </cell>
          <cell r="D289">
            <v>89818595242</v>
          </cell>
          <cell r="E289">
            <v>79818595242</v>
          </cell>
          <cell r="F289">
            <v>79818595242</v>
          </cell>
        </row>
        <row r="290">
          <cell r="A290" t="str">
            <v>Бутурлакин Марк Николаевич</v>
          </cell>
          <cell r="B290" t="str">
            <v>В-27050/АЗ</v>
          </cell>
          <cell r="D290">
            <v>79204038222</v>
          </cell>
        </row>
        <row r="291">
          <cell r="A291" t="str">
            <v>Быстров Михаил Владимирович</v>
          </cell>
          <cell r="B291" t="str">
            <v>В-02644/КЛ.Транш - 1_В-20211230/Ц</v>
          </cell>
          <cell r="D291">
            <v>79818402754</v>
          </cell>
          <cell r="F291">
            <v>79818402754</v>
          </cell>
        </row>
        <row r="292">
          <cell r="A292" t="str">
            <v>Бычков Алексей Александрович</v>
          </cell>
          <cell r="B292" t="str">
            <v>В-00730/АЗ</v>
          </cell>
          <cell r="D292">
            <v>89261551735</v>
          </cell>
          <cell r="F292">
            <v>79261551735</v>
          </cell>
        </row>
        <row r="293">
          <cell r="A293" t="str">
            <v>Вакорина Екатерина Валентиновна</v>
          </cell>
          <cell r="B293" t="str">
            <v>В-11603/КЛ.Транш - 1</v>
          </cell>
          <cell r="D293">
            <v>79217947356</v>
          </cell>
          <cell r="F293">
            <v>79217947356</v>
          </cell>
        </row>
        <row r="294">
          <cell r="A294" t="str">
            <v>ВАЛАР ООО</v>
          </cell>
          <cell r="B294" t="str">
            <v>В-00023/КЭ.Транш - 1</v>
          </cell>
        </row>
        <row r="295">
          <cell r="A295" t="str">
            <v>Валеев Рамиль Равилович</v>
          </cell>
          <cell r="B295" t="str">
            <v>В-11716/КЛ.Транш - 1</v>
          </cell>
          <cell r="D295">
            <v>79178736594</v>
          </cell>
          <cell r="F295">
            <v>79178736594</v>
          </cell>
        </row>
        <row r="296">
          <cell r="A296" t="str">
            <v>Валиков Алексей Анатольевич</v>
          </cell>
          <cell r="B296" t="str">
            <v>В-27006/КЛ.Транш - 1</v>
          </cell>
          <cell r="D296">
            <v>79637534949</v>
          </cell>
          <cell r="F296">
            <v>79637534949</v>
          </cell>
        </row>
        <row r="297">
          <cell r="A297" t="str">
            <v>Валитов Марат Рифагатович</v>
          </cell>
          <cell r="B297" t="str">
            <v>В-14944/КЛ.Транш - 2</v>
          </cell>
          <cell r="D297">
            <v>79255006562</v>
          </cell>
          <cell r="F297">
            <v>79255006562</v>
          </cell>
        </row>
        <row r="298">
          <cell r="A298" t="str">
            <v>Валитов Марат Рифагатович</v>
          </cell>
          <cell r="B298" t="str">
            <v>В-14944/КЛ.Транш - 3</v>
          </cell>
          <cell r="D298">
            <v>79255006562</v>
          </cell>
          <cell r="F298">
            <v>79255006562</v>
          </cell>
        </row>
        <row r="299">
          <cell r="A299" t="str">
            <v>Валитов Марат Рифагатович</v>
          </cell>
          <cell r="B299" t="str">
            <v>В-14944/КЛ.Транш - 1</v>
          </cell>
          <cell r="D299">
            <v>79255006562</v>
          </cell>
          <cell r="F299">
            <v>79255006562</v>
          </cell>
        </row>
        <row r="300">
          <cell r="A300" t="str">
            <v>Ваньков Никита Валерьевич</v>
          </cell>
          <cell r="B300" t="str">
            <v>В-08584/КЛ.Транш - 3_В-20211230/Ц</v>
          </cell>
          <cell r="C300">
            <v>84991285478</v>
          </cell>
          <cell r="D300">
            <v>89150135838</v>
          </cell>
          <cell r="F300">
            <v>79150135838</v>
          </cell>
        </row>
        <row r="301">
          <cell r="A301" t="str">
            <v>Ваньков Никита Валерьевич</v>
          </cell>
          <cell r="B301" t="str">
            <v>В-08584/КЛ.Транш - 2_В-20211230/Ц</v>
          </cell>
          <cell r="C301">
            <v>84991285478</v>
          </cell>
          <cell r="D301">
            <v>89150135838</v>
          </cell>
          <cell r="F301">
            <v>79150135838</v>
          </cell>
        </row>
        <row r="302">
          <cell r="A302" t="str">
            <v>Ваньков Никита Валерьевич</v>
          </cell>
          <cell r="B302" t="str">
            <v>В-08584/КЛ.Транш - 5_В-20211230/Ц</v>
          </cell>
          <cell r="C302">
            <v>84991285478</v>
          </cell>
          <cell r="D302">
            <v>89150135838</v>
          </cell>
          <cell r="F302">
            <v>79150135838</v>
          </cell>
        </row>
        <row r="303">
          <cell r="A303" t="str">
            <v>Ваньков Никита Валерьевич</v>
          </cell>
          <cell r="B303" t="str">
            <v>В-08584/КЛ.Транш - 4_В-20211230/Ц</v>
          </cell>
          <cell r="C303">
            <v>84991285478</v>
          </cell>
          <cell r="D303">
            <v>89150135838</v>
          </cell>
          <cell r="F303">
            <v>79150135838</v>
          </cell>
        </row>
        <row r="304">
          <cell r="A304" t="str">
            <v>Варданян Ара Лаврентович</v>
          </cell>
          <cell r="B304" t="str">
            <v>В-27835/КЛ.Транш - 2</v>
          </cell>
          <cell r="D304">
            <v>79898099181</v>
          </cell>
          <cell r="F304">
            <v>79898099181</v>
          </cell>
        </row>
        <row r="305">
          <cell r="A305" t="str">
            <v>Варданян Ара Лаврентович</v>
          </cell>
          <cell r="B305" t="str">
            <v>В-27835/КЛ.Транш - 1</v>
          </cell>
          <cell r="D305">
            <v>79898099181</v>
          </cell>
          <cell r="F305">
            <v>79898099181</v>
          </cell>
        </row>
        <row r="306">
          <cell r="A306" t="str">
            <v>Варданян Армен Вазгенович</v>
          </cell>
          <cell r="B306" t="str">
            <v>В-01202/АЗ</v>
          </cell>
          <cell r="D306">
            <v>79852579695</v>
          </cell>
        </row>
        <row r="307">
          <cell r="A307" t="str">
            <v>Вартикян Карен Смбатович</v>
          </cell>
          <cell r="B307" t="str">
            <v>В-25513/КЛ.Транш - 1</v>
          </cell>
          <cell r="D307">
            <v>79951139356</v>
          </cell>
        </row>
        <row r="308">
          <cell r="A308" t="str">
            <v>Васильев Дмитрий Сергеевич</v>
          </cell>
          <cell r="B308" t="str">
            <v>В-12157/КЛ.Транш - 1</v>
          </cell>
          <cell r="D308">
            <v>79632434004</v>
          </cell>
          <cell r="F308">
            <v>79632434004</v>
          </cell>
        </row>
        <row r="309">
          <cell r="A309" t="str">
            <v>Васильев Сергей Владимирович</v>
          </cell>
          <cell r="B309" t="str">
            <v>В-20766/КЛ.Транш - 1</v>
          </cell>
          <cell r="D309">
            <v>79620237737</v>
          </cell>
          <cell r="F309">
            <v>79620237737</v>
          </cell>
        </row>
        <row r="310">
          <cell r="A310" t="str">
            <v>Васильева Екатерина Николаевна</v>
          </cell>
          <cell r="B310" t="str">
            <v>В-01175/КЛ.Транш - 1_В-20211230/Ц</v>
          </cell>
          <cell r="C310">
            <v>84992036640</v>
          </cell>
          <cell r="D310">
            <v>89091547030</v>
          </cell>
          <cell r="F310">
            <v>79091547030</v>
          </cell>
        </row>
        <row r="311">
          <cell r="A311" t="str">
            <v>Васильева Ирина Александровна</v>
          </cell>
          <cell r="B311" t="str">
            <v>В-24956/КЛ.Транш - 1</v>
          </cell>
          <cell r="D311">
            <v>79873055995</v>
          </cell>
          <cell r="F311">
            <v>79873055995</v>
          </cell>
        </row>
        <row r="312">
          <cell r="A312" t="str">
            <v>Васильева Ольга Владимировна</v>
          </cell>
          <cell r="B312" t="str">
            <v>В-16796/КЛ.Транш - 2</v>
          </cell>
          <cell r="D312">
            <v>79002935182</v>
          </cell>
        </row>
        <row r="313">
          <cell r="A313" t="str">
            <v>Васильчиков Максим Сергеевич</v>
          </cell>
          <cell r="B313" t="str">
            <v>В-27532/КЛ.Транш - 1</v>
          </cell>
          <cell r="D313">
            <v>79688999541</v>
          </cell>
        </row>
        <row r="314">
          <cell r="A314" t="str">
            <v>Васюков Дмитрий Викторович</v>
          </cell>
          <cell r="B314" t="str">
            <v>В-06800/КЛ.Транш - 1</v>
          </cell>
          <cell r="C314">
            <v>74957215699</v>
          </cell>
          <cell r="D314">
            <v>79057379656</v>
          </cell>
          <cell r="F314">
            <v>79057379656</v>
          </cell>
        </row>
        <row r="315">
          <cell r="A315" t="str">
            <v>Васюков Дмитрий Викторович</v>
          </cell>
          <cell r="B315" t="str">
            <v>В-06800/КЛ.Транш - 2</v>
          </cell>
          <cell r="C315">
            <v>74957215699</v>
          </cell>
          <cell r="D315">
            <v>79057379656</v>
          </cell>
          <cell r="F315">
            <v>79057379656</v>
          </cell>
        </row>
        <row r="316">
          <cell r="A316" t="str">
            <v>Вахонин Александр Владимирович</v>
          </cell>
          <cell r="B316" t="str">
            <v>В-27957/КЛ.Транш - 1</v>
          </cell>
          <cell r="D316">
            <v>79032372436</v>
          </cell>
          <cell r="F316">
            <v>79032372436</v>
          </cell>
        </row>
        <row r="317">
          <cell r="A317" t="str">
            <v>Вдовенко Николай Николаевич</v>
          </cell>
          <cell r="B317" t="str">
            <v>В-15881/КЛ.Транш - 1</v>
          </cell>
          <cell r="D317">
            <v>79100001005</v>
          </cell>
          <cell r="F317">
            <v>79100001005</v>
          </cell>
        </row>
        <row r="318">
          <cell r="A318" t="str">
            <v>Вдовец Сергей Викторович</v>
          </cell>
          <cell r="B318" t="str">
            <v>В-00722/АЗ</v>
          </cell>
          <cell r="C318">
            <v>74956862106</v>
          </cell>
          <cell r="D318">
            <v>79037832876</v>
          </cell>
          <cell r="F318">
            <v>79037832876</v>
          </cell>
        </row>
        <row r="319">
          <cell r="A319" t="str">
            <v>Ведешин Максим Сергеевич</v>
          </cell>
          <cell r="B319" t="str">
            <v>В-15448/КЛ.Транш - 1_В-20211230/Ц</v>
          </cell>
          <cell r="D319">
            <v>7953104449</v>
          </cell>
          <cell r="F319">
            <v>79531044496</v>
          </cell>
        </row>
        <row r="320">
          <cell r="A320" t="str">
            <v>Векилянц Екатерина Николаевна</v>
          </cell>
          <cell r="B320" t="str">
            <v>В-13507/КЛ.Транш - 1</v>
          </cell>
          <cell r="D320">
            <v>89057551169</v>
          </cell>
          <cell r="F320">
            <v>79057551169</v>
          </cell>
        </row>
        <row r="321">
          <cell r="A321" t="str">
            <v>Вековищев Андрей Анатольевич</v>
          </cell>
          <cell r="B321" t="str">
            <v>В-02691/КЛ.Транш - 1</v>
          </cell>
          <cell r="D321">
            <v>89680917652</v>
          </cell>
          <cell r="F321">
            <v>79250917656</v>
          </cell>
        </row>
        <row r="322">
          <cell r="A322" t="str">
            <v>Веретошенко Михаил Владимирович</v>
          </cell>
          <cell r="B322" t="str">
            <v>В-14906/КЛ.Транш - 3</v>
          </cell>
          <cell r="D322">
            <v>79873680989</v>
          </cell>
          <cell r="F322">
            <v>79873680989</v>
          </cell>
        </row>
        <row r="323">
          <cell r="A323" t="str">
            <v>Вершинина Ольга Владимировна</v>
          </cell>
          <cell r="B323" t="str">
            <v>В-20180/КЛ.Транш - 1</v>
          </cell>
          <cell r="D323">
            <v>79536007128</v>
          </cell>
          <cell r="F323">
            <v>79536007128</v>
          </cell>
        </row>
        <row r="324">
          <cell r="A324" t="str">
            <v>Веселовская Галина Васильевна</v>
          </cell>
          <cell r="B324" t="str">
            <v>В-26069/АЗ</v>
          </cell>
          <cell r="D324">
            <v>79775292388</v>
          </cell>
          <cell r="F324">
            <v>79775292388</v>
          </cell>
        </row>
        <row r="325">
          <cell r="A325" t="str">
            <v>Видяков Денис Сергеевич</v>
          </cell>
          <cell r="B325" t="str">
            <v>В-28587/КЛ.Транш - 1</v>
          </cell>
          <cell r="D325">
            <v>79033982593</v>
          </cell>
        </row>
        <row r="326">
          <cell r="A326" t="str">
            <v>Виноградов Александр Александрович</v>
          </cell>
          <cell r="B326" t="str">
            <v>В-19446/КЛ.Транш - 4</v>
          </cell>
          <cell r="D326">
            <v>79167565549</v>
          </cell>
          <cell r="F326">
            <v>79167565549</v>
          </cell>
        </row>
        <row r="327">
          <cell r="A327" t="str">
            <v>Виноградов Алексей Валерьевич</v>
          </cell>
          <cell r="B327" t="str">
            <v>В-23362/КЛ.Транш - 1</v>
          </cell>
          <cell r="D327">
            <v>79853431147</v>
          </cell>
          <cell r="F327">
            <v>79853431147</v>
          </cell>
        </row>
        <row r="328">
          <cell r="A328" t="str">
            <v>Виноградов Алексей Валерьевич</v>
          </cell>
          <cell r="B328" t="str">
            <v>В-23362/КЛ.Транш - 2</v>
          </cell>
          <cell r="D328">
            <v>79853431147</v>
          </cell>
          <cell r="F328">
            <v>79853431147</v>
          </cell>
        </row>
        <row r="329">
          <cell r="A329" t="str">
            <v>Виноградов Данила Алексеевич</v>
          </cell>
          <cell r="B329" t="str">
            <v>В-26203/КЛ.Транш - 1</v>
          </cell>
          <cell r="D329">
            <v>79959974231</v>
          </cell>
          <cell r="F329">
            <v>79959974231</v>
          </cell>
        </row>
        <row r="330">
          <cell r="A330" t="str">
            <v>Виноградова Светлана Витальевна</v>
          </cell>
          <cell r="B330" t="str">
            <v>В-21731/КЛ.Транш - 1</v>
          </cell>
          <cell r="D330">
            <v>89262100201</v>
          </cell>
          <cell r="F330">
            <v>79262100201</v>
          </cell>
        </row>
        <row r="331">
          <cell r="A331" t="str">
            <v>Виноградова Светлана Витальевна</v>
          </cell>
          <cell r="B331" t="str">
            <v>В-21731/КЛ.Транш - 2</v>
          </cell>
          <cell r="D331">
            <v>89262100201</v>
          </cell>
          <cell r="F331">
            <v>79262100201</v>
          </cell>
        </row>
        <row r="332">
          <cell r="A332" t="str">
            <v>Владимиров Сергей Прохорович</v>
          </cell>
          <cell r="B332" t="str">
            <v>В-23242/КЛ.Транш - 1</v>
          </cell>
          <cell r="D332">
            <v>79241777899</v>
          </cell>
          <cell r="F332">
            <v>79241777899</v>
          </cell>
        </row>
        <row r="333">
          <cell r="A333" t="str">
            <v>Владимиров Сергей Прохорович</v>
          </cell>
          <cell r="B333" t="str">
            <v>В-23242/КЛ.Транш - 2</v>
          </cell>
          <cell r="D333">
            <v>79241777899</v>
          </cell>
          <cell r="F333">
            <v>79241777899</v>
          </cell>
        </row>
        <row r="334">
          <cell r="A334" t="str">
            <v>Власов Павел Васильевич</v>
          </cell>
          <cell r="B334" t="str">
            <v>В-13238/КЛ.Транш - 1</v>
          </cell>
          <cell r="D334">
            <v>79258309096</v>
          </cell>
          <cell r="F334">
            <v>79258309096</v>
          </cell>
        </row>
        <row r="335">
          <cell r="A335" t="str">
            <v>Вовк Таисия Руслановна</v>
          </cell>
          <cell r="B335" t="str">
            <v>В-28501/КЛ.Транш - 1</v>
          </cell>
          <cell r="D335">
            <v>79296069495</v>
          </cell>
        </row>
        <row r="336">
          <cell r="A336" t="str">
            <v>Вовк Таисия Руслановна</v>
          </cell>
          <cell r="B336" t="str">
            <v>В-28501/КЛ.Транш - 2</v>
          </cell>
          <cell r="D336">
            <v>79296069495</v>
          </cell>
        </row>
        <row r="337">
          <cell r="A337" t="str">
            <v>Водолазкин Александр Юрьевич</v>
          </cell>
          <cell r="B337" t="str">
            <v>В-23383/КЛ.Транш - 1</v>
          </cell>
          <cell r="C337">
            <v>84957044277</v>
          </cell>
          <cell r="D337">
            <v>89151714744</v>
          </cell>
          <cell r="F337">
            <v>79151714744</v>
          </cell>
        </row>
        <row r="338">
          <cell r="A338" t="str">
            <v>Войцеховский Виталий Геннадьевич</v>
          </cell>
          <cell r="B338" t="str">
            <v>В-01055/АЗ</v>
          </cell>
          <cell r="D338">
            <v>79288835903</v>
          </cell>
          <cell r="F338">
            <v>79288835903</v>
          </cell>
        </row>
        <row r="339">
          <cell r="A339" t="str">
            <v>Волегов Николай Владиславович</v>
          </cell>
          <cell r="B339" t="str">
            <v>В-09037/КЛ.Транш - 1</v>
          </cell>
          <cell r="D339">
            <v>79226439993</v>
          </cell>
          <cell r="F339">
            <v>79226439993</v>
          </cell>
        </row>
        <row r="340">
          <cell r="A340" t="str">
            <v>Волков Василий Валерьевич</v>
          </cell>
          <cell r="B340" t="str">
            <v>В-13886/КЛ.Транш - 1</v>
          </cell>
          <cell r="D340">
            <v>89605005696</v>
          </cell>
          <cell r="F340">
            <v>79605005696</v>
          </cell>
        </row>
        <row r="341">
          <cell r="A341" t="str">
            <v>Волконский Михаил Владимирович</v>
          </cell>
          <cell r="B341" t="str">
            <v>В-07290/КЛ.Транш - 3</v>
          </cell>
          <cell r="C341">
            <v>74953106792</v>
          </cell>
          <cell r="D341">
            <v>79036661667</v>
          </cell>
          <cell r="E341">
            <v>79036661667</v>
          </cell>
          <cell r="F341">
            <v>79036661667</v>
          </cell>
        </row>
        <row r="342">
          <cell r="A342" t="str">
            <v>Волконский Михаил Владимирович</v>
          </cell>
          <cell r="B342" t="str">
            <v>В-07290/КЛ.Транш - 1</v>
          </cell>
          <cell r="C342">
            <v>74953106792</v>
          </cell>
          <cell r="D342">
            <v>79036661667</v>
          </cell>
          <cell r="E342">
            <v>79036661667</v>
          </cell>
          <cell r="F342">
            <v>79036661667</v>
          </cell>
        </row>
        <row r="343">
          <cell r="A343" t="str">
            <v>Волконский Михаил Владимирович</v>
          </cell>
          <cell r="B343" t="str">
            <v>В-07290/КЛ.Транш - 2</v>
          </cell>
          <cell r="C343">
            <v>74953106792</v>
          </cell>
          <cell r="D343">
            <v>79036661667</v>
          </cell>
          <cell r="E343">
            <v>79036661667</v>
          </cell>
          <cell r="F343">
            <v>79036661667</v>
          </cell>
        </row>
        <row r="344">
          <cell r="A344" t="str">
            <v>Волохов Юрий Викторович</v>
          </cell>
          <cell r="B344" t="str">
            <v>В-16023/КЛ.Транш - 1</v>
          </cell>
          <cell r="D344">
            <v>79150507472</v>
          </cell>
          <cell r="F344">
            <v>79150507472</v>
          </cell>
        </row>
        <row r="345">
          <cell r="A345" t="str">
            <v>Воробьев Андрей Владимирович</v>
          </cell>
          <cell r="B345" t="str">
            <v>В-24071/КЛ.Транш - 1</v>
          </cell>
          <cell r="D345">
            <v>79177570712</v>
          </cell>
          <cell r="E345">
            <v>79272369726</v>
          </cell>
          <cell r="F345">
            <v>79177570712</v>
          </cell>
        </row>
        <row r="346">
          <cell r="A346" t="str">
            <v>Воронова Татьяна Алексеевна</v>
          </cell>
          <cell r="B346" t="str">
            <v>В-13005/КЛ.Транш - 2</v>
          </cell>
          <cell r="D346">
            <v>79262665181</v>
          </cell>
          <cell r="F346">
            <v>79262665181</v>
          </cell>
        </row>
        <row r="347">
          <cell r="A347" t="str">
            <v>Воронова Татьяна Алексеевна</v>
          </cell>
          <cell r="B347" t="str">
            <v>В-13005/КЛ.Транш - 3</v>
          </cell>
          <cell r="D347">
            <v>79262665181</v>
          </cell>
          <cell r="F347">
            <v>79262665181</v>
          </cell>
        </row>
        <row r="348">
          <cell r="A348" t="str">
            <v>Вороновский Евгений Григорьевич</v>
          </cell>
          <cell r="B348" t="str">
            <v>В-14789/КЛ.Транш - 1</v>
          </cell>
          <cell r="D348">
            <v>79266913548</v>
          </cell>
          <cell r="F348">
            <v>79266913548</v>
          </cell>
        </row>
        <row r="349">
          <cell r="A349" t="str">
            <v>Ворошилин Владимир Игоревич</v>
          </cell>
          <cell r="B349" t="str">
            <v>В-18600/КЛ.Транш - 1</v>
          </cell>
          <cell r="D349">
            <v>79296012855</v>
          </cell>
        </row>
        <row r="350">
          <cell r="A350" t="str">
            <v>Вяткин Евгений Федорович</v>
          </cell>
          <cell r="B350" t="str">
            <v>В-18909/КЛ.Транш - 1</v>
          </cell>
          <cell r="D350">
            <v>79851150900</v>
          </cell>
          <cell r="F350">
            <v>79851150900</v>
          </cell>
        </row>
        <row r="351">
          <cell r="A351" t="str">
            <v>Вяткин Евгений Федорович</v>
          </cell>
          <cell r="B351" t="str">
            <v>В-18909/КЛ.Транш - 3</v>
          </cell>
          <cell r="D351">
            <v>79851150900</v>
          </cell>
          <cell r="F351">
            <v>79851150900</v>
          </cell>
        </row>
        <row r="352">
          <cell r="A352" t="str">
            <v>Габитов Альберт Наилевич</v>
          </cell>
          <cell r="B352" t="str">
            <v>В-17900/КЛ.Транш - 2</v>
          </cell>
          <cell r="D352">
            <v>79991945540</v>
          </cell>
          <cell r="F352">
            <v>79991945540</v>
          </cell>
        </row>
        <row r="353">
          <cell r="A353" t="str">
            <v>Габитов Альберт Наилевич</v>
          </cell>
          <cell r="B353" t="str">
            <v>В-17900/КЛ.Транш - 1</v>
          </cell>
          <cell r="D353">
            <v>79991945540</v>
          </cell>
          <cell r="F353">
            <v>79991945540</v>
          </cell>
        </row>
        <row r="354">
          <cell r="A354" t="str">
            <v>Гавриленко Денис Владимирович</v>
          </cell>
          <cell r="B354" t="str">
            <v>В-02707/КЛ.Транш - 1</v>
          </cell>
          <cell r="D354">
            <v>79032317868</v>
          </cell>
          <cell r="F354">
            <v>79032317868</v>
          </cell>
        </row>
        <row r="355">
          <cell r="A355" t="str">
            <v>Гаврин Валентин Николаевич</v>
          </cell>
          <cell r="B355" t="str">
            <v>В-25304/АЗ</v>
          </cell>
          <cell r="D355">
            <v>79260416134</v>
          </cell>
          <cell r="F355">
            <v>79260416134</v>
          </cell>
        </row>
        <row r="356">
          <cell r="A356" t="str">
            <v>Гагарин Юрий Александрович</v>
          </cell>
          <cell r="B356" t="str">
            <v>В-28961/КЛ.Транш - 1</v>
          </cell>
          <cell r="D356">
            <v>79502023310</v>
          </cell>
        </row>
        <row r="357">
          <cell r="A357" t="str">
            <v>Гаджиев Намик Али Оглы</v>
          </cell>
          <cell r="B357" t="str">
            <v>В-28204/КЛ.Транш - 1</v>
          </cell>
          <cell r="D357">
            <v>79169966326</v>
          </cell>
          <cell r="F357">
            <v>79169966326</v>
          </cell>
        </row>
        <row r="358">
          <cell r="A358" t="str">
            <v>Гадян Артак Андраникович</v>
          </cell>
          <cell r="B358" t="str">
            <v>В-11186/КЛ.Транш - 1</v>
          </cell>
          <cell r="D358">
            <v>79645188888</v>
          </cell>
          <cell r="F358">
            <v>79645188888</v>
          </cell>
        </row>
        <row r="359">
          <cell r="A359" t="str">
            <v>Гадян Артак Андраникович</v>
          </cell>
          <cell r="B359" t="str">
            <v>В-11186/КЛ.Транш - 2</v>
          </cell>
          <cell r="D359">
            <v>79645188888</v>
          </cell>
          <cell r="F359">
            <v>79645188888</v>
          </cell>
        </row>
        <row r="360">
          <cell r="A360" t="str">
            <v>Газали Оксана Владимировна</v>
          </cell>
          <cell r="B360" t="str">
            <v>В-17192/КЛ.Транш - 1</v>
          </cell>
          <cell r="D360">
            <v>79946666644</v>
          </cell>
          <cell r="F360">
            <v>79946666644</v>
          </cell>
        </row>
        <row r="361">
          <cell r="A361" t="str">
            <v>Газали Оксана Владимировна</v>
          </cell>
          <cell r="B361" t="str">
            <v>В-17192/КЛ.Транш - 2</v>
          </cell>
          <cell r="D361">
            <v>79946666644</v>
          </cell>
          <cell r="F361">
            <v>79946666644</v>
          </cell>
        </row>
        <row r="362">
          <cell r="A362" t="str">
            <v>Гайдарлы Андрей Васильевич</v>
          </cell>
          <cell r="B362" t="str">
            <v>В-00391/АЗ_В-20211230/Ц</v>
          </cell>
          <cell r="C362">
            <v>74953162432</v>
          </cell>
          <cell r="D362">
            <v>79104231108</v>
          </cell>
          <cell r="F362">
            <v>79104231108</v>
          </cell>
        </row>
        <row r="363">
          <cell r="A363" t="str">
            <v>ГАЛАКТИКА ООО</v>
          </cell>
          <cell r="B363" t="str">
            <v>А-10122/КЭ.Транш - 1</v>
          </cell>
        </row>
        <row r="364">
          <cell r="A364" t="str">
            <v>Галанина Юлия Александровна</v>
          </cell>
          <cell r="B364" t="str">
            <v>В-00956/АЗ</v>
          </cell>
          <cell r="D364">
            <v>79104237555</v>
          </cell>
          <cell r="F364">
            <v>79104237555</v>
          </cell>
        </row>
        <row r="365">
          <cell r="A365" t="str">
            <v>Галеев Александр Ринатович</v>
          </cell>
          <cell r="B365" t="str">
            <v>В-10141/КЛ.Транш - 1</v>
          </cell>
          <cell r="D365">
            <v>79780741936</v>
          </cell>
          <cell r="F365">
            <v>79780741936</v>
          </cell>
        </row>
        <row r="366">
          <cell r="A366" t="str">
            <v>Галеев Александр Ринатович</v>
          </cell>
          <cell r="B366" t="str">
            <v>В-10141/КЛ.Транш - 2</v>
          </cell>
          <cell r="D366">
            <v>79780741936</v>
          </cell>
          <cell r="F366">
            <v>79780741936</v>
          </cell>
        </row>
        <row r="367">
          <cell r="A367" t="str">
            <v>Галёна Ольга Владимировна</v>
          </cell>
          <cell r="B367" t="str">
            <v>В-00137/АЗ_В-20211230/Ц</v>
          </cell>
          <cell r="D367">
            <v>89052670497</v>
          </cell>
          <cell r="F367">
            <v>79052670497</v>
          </cell>
        </row>
        <row r="368">
          <cell r="A368" t="str">
            <v>Галивец Андрей Олегович</v>
          </cell>
          <cell r="B368" t="str">
            <v>В-24546/КЛ.Транш - 4</v>
          </cell>
          <cell r="D368">
            <v>79995551774</v>
          </cell>
          <cell r="F368">
            <v>79995551774</v>
          </cell>
        </row>
        <row r="369">
          <cell r="A369" t="str">
            <v>Галивец Андрей Олегович</v>
          </cell>
          <cell r="B369" t="str">
            <v>В-24546/КЛ.Транш - 6</v>
          </cell>
          <cell r="D369">
            <v>79995551774</v>
          </cell>
          <cell r="F369">
            <v>79995551774</v>
          </cell>
        </row>
        <row r="370">
          <cell r="A370" t="str">
            <v>Галивец Андрей Олегович</v>
          </cell>
          <cell r="B370" t="str">
            <v>В-24546/КЛ.Транш - 5</v>
          </cell>
          <cell r="D370">
            <v>79995551774</v>
          </cell>
          <cell r="F370">
            <v>79995551774</v>
          </cell>
        </row>
        <row r="371">
          <cell r="A371" t="str">
            <v>Галимов Руслан Рашитович</v>
          </cell>
          <cell r="B371" t="str">
            <v>В-03359/КЛ.Транш - 5</v>
          </cell>
          <cell r="C371">
            <v>84746437250</v>
          </cell>
          <cell r="D371">
            <v>89192567809</v>
          </cell>
          <cell r="F371">
            <v>79192567809</v>
          </cell>
        </row>
        <row r="372">
          <cell r="A372" t="str">
            <v>Галицина Елена Викторовна</v>
          </cell>
          <cell r="B372" t="str">
            <v>В-18305/КЛ.Транш - 3</v>
          </cell>
          <cell r="D372">
            <v>79119379115</v>
          </cell>
          <cell r="F372">
            <v>79119379115</v>
          </cell>
        </row>
        <row r="373">
          <cell r="A373" t="str">
            <v>Галицина Елена Викторовна</v>
          </cell>
          <cell r="B373" t="str">
            <v>В-18305/КЛ.Транш - 2</v>
          </cell>
          <cell r="D373">
            <v>79119379115</v>
          </cell>
          <cell r="F373">
            <v>79119379115</v>
          </cell>
        </row>
        <row r="374">
          <cell r="A374" t="str">
            <v>Галицина Елена Викторовна</v>
          </cell>
          <cell r="B374" t="str">
            <v>В-18305/КЛ.Транш - 1</v>
          </cell>
          <cell r="D374">
            <v>79119379115</v>
          </cell>
          <cell r="F374">
            <v>79119379115</v>
          </cell>
        </row>
        <row r="375">
          <cell r="A375" t="str">
            <v>Галушка Светлана Анатольевна</v>
          </cell>
          <cell r="B375" t="str">
            <v>В-28089/КЛ.Транш - 1</v>
          </cell>
          <cell r="D375">
            <v>79689820536</v>
          </cell>
        </row>
        <row r="376">
          <cell r="A376" t="str">
            <v>Гальчук Илья Анатольевич</v>
          </cell>
          <cell r="B376" t="str">
            <v>Т-01867/АЗ_Т-20211028/Ц</v>
          </cell>
          <cell r="D376" t="str">
            <v>79217878342, 79819755098</v>
          </cell>
          <cell r="F376">
            <v>79217878342</v>
          </cell>
        </row>
        <row r="377">
          <cell r="A377" t="str">
            <v>Гараев Ровшан Гасымович</v>
          </cell>
          <cell r="B377" t="str">
            <v>В-13177/КЛ.Транш - 1_А-20210929/Ц</v>
          </cell>
          <cell r="D377">
            <v>79964500090</v>
          </cell>
          <cell r="F377">
            <v>79964500090</v>
          </cell>
        </row>
        <row r="378">
          <cell r="A378" t="str">
            <v>Гарнер Роман Борисович</v>
          </cell>
          <cell r="B378" t="str">
            <v>В-05009/КЛ.Транш - 1</v>
          </cell>
          <cell r="D378">
            <v>79990446618</v>
          </cell>
          <cell r="E378">
            <v>79990446618</v>
          </cell>
          <cell r="F378">
            <v>79990446618</v>
          </cell>
        </row>
        <row r="379">
          <cell r="A379" t="str">
            <v>Гасанов Ниджат Назим Оглы</v>
          </cell>
          <cell r="B379" t="str">
            <v>В-20155/КЛ.Транш - 1</v>
          </cell>
          <cell r="D379">
            <v>79261630665</v>
          </cell>
          <cell r="F379">
            <v>79261630665</v>
          </cell>
        </row>
        <row r="380">
          <cell r="A380" t="str">
            <v>Гатауллин Рафаэль Винерович</v>
          </cell>
          <cell r="B380" t="str">
            <v>В-28677/КЛ.Транш - 1</v>
          </cell>
          <cell r="C380">
            <v>84953917739</v>
          </cell>
          <cell r="D380" t="str">
            <v>89774670933, 89099083731</v>
          </cell>
          <cell r="F380">
            <v>79099083731</v>
          </cell>
        </row>
        <row r="381">
          <cell r="A381" t="str">
            <v>Гахокидзе Давид Аверионович</v>
          </cell>
          <cell r="B381" t="str">
            <v>В-09010/КЛ.Транш - 1</v>
          </cell>
          <cell r="D381">
            <v>79268848954</v>
          </cell>
          <cell r="E381">
            <v>79268848954</v>
          </cell>
          <cell r="F381">
            <v>79268848954</v>
          </cell>
        </row>
        <row r="382">
          <cell r="A382" t="str">
            <v>Гачегов Дмитрий Сергеевич</v>
          </cell>
          <cell r="B382" t="str">
            <v>В-18171/КЛ.Транш - 1_В-20211230/Ц</v>
          </cell>
          <cell r="D382">
            <v>79194472584</v>
          </cell>
          <cell r="F382">
            <v>79194472584</v>
          </cell>
        </row>
        <row r="383">
          <cell r="A383" t="str">
            <v>Гевондян Норайр Беникович</v>
          </cell>
          <cell r="B383" t="str">
            <v>В-27729/АЗ</v>
          </cell>
          <cell r="D383">
            <v>79850970609</v>
          </cell>
          <cell r="F383">
            <v>79850970609</v>
          </cell>
        </row>
        <row r="384">
          <cell r="A384" t="str">
            <v>Гевондян Сергей Норайрович</v>
          </cell>
          <cell r="B384" t="str">
            <v>В-27730/АЗ</v>
          </cell>
          <cell r="D384">
            <v>79099878181</v>
          </cell>
          <cell r="F384">
            <v>79099878181</v>
          </cell>
        </row>
        <row r="385">
          <cell r="A385" t="str">
            <v>Геворгян Агаси Ашотович</v>
          </cell>
          <cell r="B385" t="str">
            <v>В-01169/АЗ</v>
          </cell>
          <cell r="D385">
            <v>89686660823</v>
          </cell>
          <cell r="F385">
            <v>79686660823</v>
          </cell>
        </row>
        <row r="386">
          <cell r="A386" t="str">
            <v>Герейханов Фаик Гуснеддинович</v>
          </cell>
          <cell r="B386" t="str">
            <v>В-17494/КЛ.Транш - 1</v>
          </cell>
          <cell r="D386">
            <v>79670913478</v>
          </cell>
          <cell r="F386">
            <v>79670913478</v>
          </cell>
        </row>
        <row r="387">
          <cell r="A387" t="str">
            <v>Герюгов Расул Азнаурович</v>
          </cell>
          <cell r="B387" t="str">
            <v>В-00041/АЗ</v>
          </cell>
          <cell r="D387">
            <v>79226920000</v>
          </cell>
          <cell r="F387">
            <v>79226920000</v>
          </cell>
        </row>
        <row r="388">
          <cell r="A388" t="str">
            <v>Гиенко Павел Анатольевич</v>
          </cell>
          <cell r="B388" t="str">
            <v>В-13297/КЛ.Транш - 1</v>
          </cell>
          <cell r="D388">
            <v>79517616983</v>
          </cell>
          <cell r="F388">
            <v>79517616983</v>
          </cell>
        </row>
        <row r="389">
          <cell r="A389" t="str">
            <v>Гилаев Флюс Фаусович</v>
          </cell>
          <cell r="B389" t="str">
            <v>В-18164/КЛ.Транш - 1</v>
          </cell>
          <cell r="D389">
            <v>79279436825</v>
          </cell>
          <cell r="F389">
            <v>79279436825</v>
          </cell>
        </row>
        <row r="390">
          <cell r="A390" t="str">
            <v>Гильмтдинов Ильдус Вазирович</v>
          </cell>
          <cell r="B390" t="str">
            <v>В-11836/КЛ.Транш - 2</v>
          </cell>
          <cell r="E390">
            <v>89199012345</v>
          </cell>
          <cell r="F390">
            <v>79199012345</v>
          </cell>
        </row>
        <row r="391">
          <cell r="A391" t="str">
            <v>ГК АкоЛет ООО</v>
          </cell>
          <cell r="B391" t="str">
            <v>А-00386/КЭ.Транш - 1</v>
          </cell>
        </row>
        <row r="392">
          <cell r="A392" t="str">
            <v>ГЛОБУС ООО</v>
          </cell>
          <cell r="B392" t="str">
            <v>В-10021/КЭ.Транш - 1</v>
          </cell>
        </row>
        <row r="393">
          <cell r="A393" t="str">
            <v>Глухов Василий Александрович</v>
          </cell>
          <cell r="B393" t="str">
            <v>В-07147/КЛ.Транш - 2_В-20211230/Ц</v>
          </cell>
          <cell r="D393">
            <v>79017991044</v>
          </cell>
          <cell r="F393">
            <v>79017991044</v>
          </cell>
        </row>
        <row r="394">
          <cell r="A394" t="str">
            <v>Глухов Василий Александрович</v>
          </cell>
          <cell r="B394" t="str">
            <v>В-07147/КЛ.Транш - 1_В-20211230/Ц</v>
          </cell>
          <cell r="D394">
            <v>79017991044</v>
          </cell>
          <cell r="F394">
            <v>79017991044</v>
          </cell>
        </row>
        <row r="395">
          <cell r="A395" t="str">
            <v>Глухов Максим Сергеевич</v>
          </cell>
          <cell r="B395" t="str">
            <v>В-12410/КЛ.Транш - 1</v>
          </cell>
          <cell r="D395">
            <v>89530237298</v>
          </cell>
          <cell r="F395">
            <v>79530237298</v>
          </cell>
        </row>
        <row r="396">
          <cell r="A396" t="str">
            <v>Гнедаш Александр Александрович</v>
          </cell>
          <cell r="B396" t="str">
            <v>В-09882/КЛ.Транш - 8</v>
          </cell>
          <cell r="D396">
            <v>79885261920</v>
          </cell>
          <cell r="F396">
            <v>79885261920</v>
          </cell>
        </row>
        <row r="397">
          <cell r="A397" t="str">
            <v>Гнедаш Александр Александрович</v>
          </cell>
          <cell r="B397" t="str">
            <v>В-09882/КЛ.Транш - 9</v>
          </cell>
          <cell r="D397">
            <v>79885261920</v>
          </cell>
          <cell r="F397">
            <v>79885261920</v>
          </cell>
        </row>
        <row r="398">
          <cell r="A398" t="str">
            <v>Гнедаш Александр Александрович</v>
          </cell>
          <cell r="B398" t="str">
            <v>В-09882/КЛ.Транш - 10</v>
          </cell>
          <cell r="D398">
            <v>79885261920</v>
          </cell>
          <cell r="F398">
            <v>79885261920</v>
          </cell>
        </row>
        <row r="399">
          <cell r="A399" t="str">
            <v>Говоруха Андрей Михайлович</v>
          </cell>
          <cell r="B399" t="str">
            <v>В-21568/КЛ.Транш - 1</v>
          </cell>
          <cell r="D399">
            <v>79197535350</v>
          </cell>
          <cell r="F399">
            <v>79197535350</v>
          </cell>
        </row>
        <row r="400">
          <cell r="A400" t="str">
            <v>Гоголев Александр Александрович</v>
          </cell>
          <cell r="B400" t="str">
            <v>В-00980/АЗ_А-20210929/Ц</v>
          </cell>
          <cell r="D400">
            <v>79219788007</v>
          </cell>
          <cell r="F400">
            <v>79219788007</v>
          </cell>
        </row>
        <row r="401">
          <cell r="A401" t="str">
            <v>Гогохия Вероника Валериевна</v>
          </cell>
          <cell r="B401" t="str">
            <v>В-01216/АЗ</v>
          </cell>
          <cell r="D401">
            <v>89772506866</v>
          </cell>
          <cell r="F401">
            <v>79772506866</v>
          </cell>
        </row>
        <row r="402">
          <cell r="A402" t="str">
            <v>Годуйко Николай Николаевич</v>
          </cell>
          <cell r="B402" t="str">
            <v>В-27315/КЛ.Транш - 1</v>
          </cell>
          <cell r="D402">
            <v>79113595178</v>
          </cell>
          <cell r="F402">
            <v>79113595178</v>
          </cell>
        </row>
        <row r="403">
          <cell r="A403" t="str">
            <v>Гойгереев Камал Исаевич</v>
          </cell>
          <cell r="B403" t="str">
            <v>В-18983/КЛ.Транш - 1_В-20211230/Ц</v>
          </cell>
          <cell r="D403">
            <v>79081691911</v>
          </cell>
          <cell r="F403">
            <v>79081691911</v>
          </cell>
        </row>
        <row r="404">
          <cell r="A404" t="str">
            <v>Головатинский Лев Витальевич</v>
          </cell>
          <cell r="B404" t="str">
            <v>А-04404/АЗ</v>
          </cell>
          <cell r="C404">
            <v>74957120821</v>
          </cell>
          <cell r="D404">
            <v>79637101572</v>
          </cell>
          <cell r="E404">
            <v>79637101572</v>
          </cell>
          <cell r="F404">
            <v>79637101572</v>
          </cell>
        </row>
        <row r="405">
          <cell r="A405" t="str">
            <v>Головач Николай Михайлович</v>
          </cell>
          <cell r="B405" t="str">
            <v>А-04070/АЗ</v>
          </cell>
          <cell r="D405" t="str">
            <v>79096904002, 79258487276</v>
          </cell>
          <cell r="E405">
            <v>79096904002</v>
          </cell>
          <cell r="F405">
            <v>79096904002</v>
          </cell>
        </row>
        <row r="406">
          <cell r="A406" t="str">
            <v>Головач Николай Михайлович</v>
          </cell>
          <cell r="B406" t="str">
            <v>А-05114/АЗ</v>
          </cell>
          <cell r="D406" t="str">
            <v>79096904002, 79258487276</v>
          </cell>
          <cell r="E406">
            <v>79096904002</v>
          </cell>
          <cell r="F406">
            <v>79096904002</v>
          </cell>
        </row>
        <row r="407">
          <cell r="A407" t="str">
            <v>Головина Екатерина Давидовна</v>
          </cell>
          <cell r="B407" t="str">
            <v>В-01072/КЛ.Транш - 1</v>
          </cell>
          <cell r="D407">
            <v>79032413858</v>
          </cell>
          <cell r="F407">
            <v>79032413858</v>
          </cell>
        </row>
        <row r="408">
          <cell r="A408" t="str">
            <v>Голосенин Тимофей Васильевич</v>
          </cell>
          <cell r="B408" t="str">
            <v>В-08348/КЛ.Транш - 7</v>
          </cell>
          <cell r="D408">
            <v>79785538206</v>
          </cell>
          <cell r="F408">
            <v>79785538206</v>
          </cell>
        </row>
        <row r="409">
          <cell r="A409" t="str">
            <v>Голота Илья Викторович</v>
          </cell>
          <cell r="B409" t="str">
            <v>В-00359/КЛ.Транш - 2</v>
          </cell>
          <cell r="D409">
            <v>79267580129</v>
          </cell>
          <cell r="F409">
            <v>79267580129</v>
          </cell>
        </row>
        <row r="410">
          <cell r="A410" t="str">
            <v>Голубев Михаил Владимирович</v>
          </cell>
          <cell r="B410" t="str">
            <v>В-20166/КЛ.Транш - 1</v>
          </cell>
          <cell r="D410">
            <v>79851565362</v>
          </cell>
          <cell r="F410">
            <v>79851565362</v>
          </cell>
        </row>
        <row r="411">
          <cell r="A411" t="str">
            <v>Голубева Ольга Петровна</v>
          </cell>
          <cell r="B411" t="str">
            <v>В-15560/КЛ.Транш - 1</v>
          </cell>
          <cell r="D411">
            <v>79189187170</v>
          </cell>
          <cell r="F411">
            <v>79189187170</v>
          </cell>
        </row>
        <row r="412">
          <cell r="A412" t="str">
            <v>Голубь Елена Николаевна</v>
          </cell>
          <cell r="B412" t="str">
            <v>В-18958/КЛ.Транш - 1</v>
          </cell>
          <cell r="D412">
            <v>79054787383</v>
          </cell>
          <cell r="F412">
            <v>79054787383</v>
          </cell>
        </row>
        <row r="413">
          <cell r="A413" t="str">
            <v>Гончарь Юрий Валерьевич</v>
          </cell>
          <cell r="B413" t="str">
            <v>В-21630/КЛ.Транш - 1</v>
          </cell>
          <cell r="D413">
            <v>79020475456</v>
          </cell>
          <cell r="F413">
            <v>79020475456</v>
          </cell>
        </row>
        <row r="414">
          <cell r="A414" t="str">
            <v>Горбачев Денис Леонидович</v>
          </cell>
          <cell r="B414" t="str">
            <v>В-25981/АЗ</v>
          </cell>
          <cell r="D414">
            <v>79312660646</v>
          </cell>
          <cell r="F414">
            <v>79312660646</v>
          </cell>
        </row>
        <row r="415">
          <cell r="A415" t="str">
            <v>Горбачев Денис Леонидович</v>
          </cell>
          <cell r="B415" t="str">
            <v>В-01182/АЗ</v>
          </cell>
          <cell r="D415">
            <v>79312660646</v>
          </cell>
          <cell r="F415">
            <v>79312660646</v>
          </cell>
        </row>
        <row r="416">
          <cell r="A416" t="str">
            <v>Горбачев Иван Эдуардович</v>
          </cell>
          <cell r="B416" t="str">
            <v>В-23229/АЗ</v>
          </cell>
          <cell r="D416">
            <v>89095704607</v>
          </cell>
          <cell r="F416">
            <v>79095704607</v>
          </cell>
        </row>
        <row r="417">
          <cell r="A417" t="str">
            <v>Горбачёв Олег Юрьевич</v>
          </cell>
          <cell r="B417" t="str">
            <v>В-23104/КЛ.Транш - 1</v>
          </cell>
          <cell r="D417">
            <v>89039678570</v>
          </cell>
          <cell r="F417">
            <v>79039678570</v>
          </cell>
        </row>
        <row r="418">
          <cell r="A418" t="str">
            <v>Горбенко Олег Олегович</v>
          </cell>
          <cell r="B418" t="str">
            <v>В-24823/КЛ.Транш - 1</v>
          </cell>
          <cell r="D418">
            <v>79186862303</v>
          </cell>
          <cell r="F418">
            <v>79806862303</v>
          </cell>
        </row>
        <row r="419">
          <cell r="A419" t="str">
            <v>Горбунов Александр Георгиевич</v>
          </cell>
          <cell r="B419" t="str">
            <v>В-22699/КЛ.Транш - 1</v>
          </cell>
          <cell r="D419">
            <v>79257780505</v>
          </cell>
        </row>
        <row r="420">
          <cell r="A420" t="str">
            <v>Гордеев Дмитрий Романович</v>
          </cell>
          <cell r="B420" t="str">
            <v>В-00592/АЗ</v>
          </cell>
          <cell r="D420">
            <v>79689060307</v>
          </cell>
          <cell r="F420">
            <v>79689060307</v>
          </cell>
        </row>
        <row r="421">
          <cell r="A421" t="str">
            <v>Горохов Сергей Владимирович 2</v>
          </cell>
          <cell r="B421" t="str">
            <v>В-00065/АЗ</v>
          </cell>
          <cell r="D421">
            <v>79296627026</v>
          </cell>
          <cell r="F421">
            <v>79296627026</v>
          </cell>
        </row>
        <row r="422">
          <cell r="A422" t="str">
            <v>Горшков Никита Григорьевич</v>
          </cell>
          <cell r="B422" t="str">
            <v>В-04967/КЛ.Транш - 4</v>
          </cell>
          <cell r="D422">
            <v>79267172165</v>
          </cell>
          <cell r="F422">
            <v>79267172165</v>
          </cell>
        </row>
        <row r="423">
          <cell r="A423" t="str">
            <v>Грабовская Вероника Викторовна</v>
          </cell>
          <cell r="B423" t="str">
            <v>В-00017/КЛ.Транш - 2</v>
          </cell>
          <cell r="D423">
            <v>89255555113</v>
          </cell>
          <cell r="F423">
            <v>79255555113</v>
          </cell>
        </row>
        <row r="424">
          <cell r="A424" t="str">
            <v>Грабовская Вероника Викторовна</v>
          </cell>
          <cell r="B424" t="str">
            <v>В-00017/КЛ.Транш - 3</v>
          </cell>
          <cell r="D424">
            <v>89255555113</v>
          </cell>
          <cell r="F424">
            <v>79255555113</v>
          </cell>
        </row>
        <row r="425">
          <cell r="A425" t="str">
            <v>Грачев Сергей Владимирович</v>
          </cell>
          <cell r="B425" t="str">
            <v>А-05165/АЗ_А-20200626/Ц</v>
          </cell>
          <cell r="D425">
            <v>79531567506</v>
          </cell>
          <cell r="E425">
            <v>79531567506</v>
          </cell>
          <cell r="F425">
            <v>79531567506</v>
          </cell>
        </row>
        <row r="426">
          <cell r="A426" t="str">
            <v>Гребнев Юрий Александрович</v>
          </cell>
          <cell r="B426" t="str">
            <v>В-00837/АЗ</v>
          </cell>
          <cell r="D426">
            <v>79627087474</v>
          </cell>
          <cell r="F426">
            <v>79627090099</v>
          </cell>
        </row>
        <row r="427">
          <cell r="A427" t="str">
            <v>Гребнев Юрий Александрович</v>
          </cell>
          <cell r="B427" t="str">
            <v>В-00838/АЗ</v>
          </cell>
          <cell r="D427">
            <v>79627087474</v>
          </cell>
          <cell r="F427">
            <v>79627090099</v>
          </cell>
        </row>
        <row r="428">
          <cell r="A428" t="str">
            <v>Гречкин Сергей Петрович</v>
          </cell>
          <cell r="B428" t="str">
            <v>В-22026/КЛ.Транш - 1_В-20211230/Ц</v>
          </cell>
          <cell r="D428">
            <v>79188891591</v>
          </cell>
          <cell r="F428">
            <v>79188891591</v>
          </cell>
        </row>
        <row r="429">
          <cell r="A429" t="str">
            <v>Гречко Алексей Сергеевич</v>
          </cell>
          <cell r="B429" t="str">
            <v>В-13530/КЛ.Транш - 1</v>
          </cell>
          <cell r="D429">
            <v>79289054735</v>
          </cell>
          <cell r="F429">
            <v>79289054735</v>
          </cell>
        </row>
        <row r="430">
          <cell r="A430" t="str">
            <v>Гречко Алексей Сергеевич</v>
          </cell>
          <cell r="B430" t="str">
            <v>В-13530/КЛ.Транш - 2</v>
          </cell>
          <cell r="D430">
            <v>79289054735</v>
          </cell>
          <cell r="F430">
            <v>79289054735</v>
          </cell>
        </row>
        <row r="431">
          <cell r="A431" t="str">
            <v>Гриб Юрий Валерьевич</v>
          </cell>
          <cell r="B431" t="str">
            <v>В-26474/КЛ.Транш - 1</v>
          </cell>
          <cell r="D431">
            <v>79528209675</v>
          </cell>
        </row>
        <row r="432">
          <cell r="A432" t="str">
            <v>Григоренко Андрей Николаевич</v>
          </cell>
          <cell r="B432" t="str">
            <v>В-00693/АЗ</v>
          </cell>
          <cell r="D432">
            <v>79811676768</v>
          </cell>
          <cell r="F432">
            <v>79811676768</v>
          </cell>
        </row>
        <row r="433">
          <cell r="A433" t="str">
            <v>Григорьев Олег Вячеславович</v>
          </cell>
          <cell r="B433" t="str">
            <v>В-18894/КЛ.Транш - 1</v>
          </cell>
          <cell r="D433">
            <v>79255668462</v>
          </cell>
          <cell r="F433">
            <v>79255668462</v>
          </cell>
        </row>
        <row r="434">
          <cell r="A434" t="str">
            <v>Григорьев Эдуард Юрьевич</v>
          </cell>
          <cell r="B434" t="str">
            <v>В-02337/КЛ.Транш - 3</v>
          </cell>
          <cell r="C434">
            <v>74954330830</v>
          </cell>
          <cell r="D434">
            <v>79055504528</v>
          </cell>
          <cell r="F434">
            <v>79055504528</v>
          </cell>
        </row>
        <row r="435">
          <cell r="A435" t="str">
            <v>Григорьев Эдуард Юрьевич</v>
          </cell>
          <cell r="B435" t="str">
            <v>В-02337/КЛ.Транш - 2</v>
          </cell>
          <cell r="C435">
            <v>74954330830</v>
          </cell>
          <cell r="D435">
            <v>79055504528</v>
          </cell>
          <cell r="F435">
            <v>79055504528</v>
          </cell>
        </row>
        <row r="436">
          <cell r="A436" t="str">
            <v>Григорьев Эдуард Юрьевич</v>
          </cell>
          <cell r="B436" t="str">
            <v>В-02337/КЛ.Транш - 1</v>
          </cell>
          <cell r="C436">
            <v>74954330830</v>
          </cell>
          <cell r="D436">
            <v>79055504528</v>
          </cell>
          <cell r="F436">
            <v>79055504528</v>
          </cell>
        </row>
        <row r="437">
          <cell r="A437" t="str">
            <v>Григорьева Наталья Владимировна</v>
          </cell>
          <cell r="B437" t="str">
            <v>В-00345/АЗ</v>
          </cell>
          <cell r="C437">
            <v>74954330830</v>
          </cell>
          <cell r="D437">
            <v>79629696550</v>
          </cell>
          <cell r="F437">
            <v>79629696550</v>
          </cell>
        </row>
        <row r="438">
          <cell r="A438" t="str">
            <v>Григорьева Наталья Владимировна</v>
          </cell>
          <cell r="B438" t="str">
            <v>В-01074/АЗ</v>
          </cell>
          <cell r="C438">
            <v>74954330830</v>
          </cell>
          <cell r="D438">
            <v>79629696550</v>
          </cell>
          <cell r="F438">
            <v>79629696550</v>
          </cell>
        </row>
        <row r="439">
          <cell r="A439" t="str">
            <v>Григорян Артур Амраги</v>
          </cell>
          <cell r="B439" t="str">
            <v>В-03686/КЛ.Транш - 1_В-20211230/Ц</v>
          </cell>
          <cell r="D439">
            <v>79856621240</v>
          </cell>
          <cell r="F439">
            <v>79856621240</v>
          </cell>
        </row>
        <row r="440">
          <cell r="A440" t="str">
            <v>Григорян Эмма Петросовна</v>
          </cell>
          <cell r="B440" t="str">
            <v>В-11553/КЛ.Транш - 1</v>
          </cell>
          <cell r="D440">
            <v>79268586463</v>
          </cell>
          <cell r="F440">
            <v>79268586463</v>
          </cell>
        </row>
        <row r="441">
          <cell r="A441" t="str">
            <v>Гриднева Татьяна Николаевна</v>
          </cell>
          <cell r="B441" t="str">
            <v>В-12484/КЛ.Транш - 1</v>
          </cell>
          <cell r="D441">
            <v>79221409471</v>
          </cell>
          <cell r="F441">
            <v>79221409471</v>
          </cell>
        </row>
        <row r="442">
          <cell r="A442" t="str">
            <v>Гридяева Лариса Павловна</v>
          </cell>
          <cell r="B442" t="str">
            <v>В-25530/КЛ.Транш - 1</v>
          </cell>
          <cell r="D442">
            <v>79028711574</v>
          </cell>
          <cell r="F442">
            <v>79028711574</v>
          </cell>
        </row>
        <row r="443">
          <cell r="A443" t="str">
            <v>Гринь Юлия Владимировна</v>
          </cell>
          <cell r="B443" t="str">
            <v>В-17051/КЛ.Транш - 1</v>
          </cell>
          <cell r="D443">
            <v>79000019313</v>
          </cell>
          <cell r="F443">
            <v>79000019313</v>
          </cell>
        </row>
        <row r="444">
          <cell r="A444" t="str">
            <v>Гриценко Дмитрий Владимирович</v>
          </cell>
          <cell r="B444" t="str">
            <v>В-25126/КЛ.Транш - 1</v>
          </cell>
          <cell r="D444">
            <v>79379741600</v>
          </cell>
          <cell r="F444">
            <v>79379741600</v>
          </cell>
        </row>
        <row r="445">
          <cell r="A445" t="str">
            <v>Гриценко Дмитрий Владимирович</v>
          </cell>
          <cell r="B445" t="str">
            <v>В-25126/КЛ.Транш - 2</v>
          </cell>
          <cell r="D445">
            <v>79379741600</v>
          </cell>
          <cell r="F445">
            <v>79379741600</v>
          </cell>
        </row>
        <row r="446">
          <cell r="A446" t="str">
            <v>Гришенков Николай Викторович</v>
          </cell>
          <cell r="B446" t="str">
            <v>А-05139/АЗ_А-20200626/Ц</v>
          </cell>
          <cell r="D446" t="str">
            <v>79112345357, 79217572301</v>
          </cell>
          <cell r="E446">
            <v>79112345357</v>
          </cell>
          <cell r="F446">
            <v>79112345357</v>
          </cell>
        </row>
        <row r="447">
          <cell r="A447" t="str">
            <v>Громов Алексей Геннадьевич</v>
          </cell>
          <cell r="B447" t="str">
            <v>В-04162/КЛ.Транш - 1</v>
          </cell>
          <cell r="D447">
            <v>79257820905</v>
          </cell>
          <cell r="F447">
            <v>79257820905</v>
          </cell>
        </row>
        <row r="448">
          <cell r="A448" t="str">
            <v>Громов Вячеслав Александрович</v>
          </cell>
          <cell r="B448" t="str">
            <v>Т-01931/АЗ_Т-20211028/Ц</v>
          </cell>
          <cell r="D448">
            <v>79602588237</v>
          </cell>
          <cell r="F448">
            <v>79602588237</v>
          </cell>
        </row>
        <row r="449">
          <cell r="A449" t="str">
            <v>Громов Вячеслав Александрович</v>
          </cell>
          <cell r="B449" t="str">
            <v>В-00951/АЗ_В-20211230/Ц</v>
          </cell>
          <cell r="D449">
            <v>79602588237</v>
          </cell>
          <cell r="F449">
            <v>79602588237</v>
          </cell>
        </row>
        <row r="450">
          <cell r="A450" t="str">
            <v>Громов Сергей Дмитриевич</v>
          </cell>
          <cell r="B450" t="str">
            <v>В-03392/КЛ.Транш - 1</v>
          </cell>
          <cell r="D450">
            <v>89167136953</v>
          </cell>
          <cell r="F450">
            <v>79167136953</v>
          </cell>
        </row>
        <row r="451">
          <cell r="A451" t="str">
            <v>Груничев Александр Леонидович</v>
          </cell>
          <cell r="B451" t="str">
            <v>В-00858/АЗ</v>
          </cell>
          <cell r="D451">
            <v>79213673273</v>
          </cell>
          <cell r="F451">
            <v>79213673273</v>
          </cell>
        </row>
        <row r="452">
          <cell r="A452" t="str">
            <v>ГТ.Билдинг ООО</v>
          </cell>
          <cell r="B452" t="str">
            <v>В-00044/КЭ.Транш - 1</v>
          </cell>
        </row>
        <row r="453">
          <cell r="A453" t="str">
            <v>Губайдуллаев Хафиз Рафхатович</v>
          </cell>
          <cell r="B453" t="str">
            <v>В-08268/КЛ.Транш - 2</v>
          </cell>
          <cell r="D453">
            <v>79272855894</v>
          </cell>
          <cell r="F453">
            <v>79272855894</v>
          </cell>
        </row>
        <row r="454">
          <cell r="A454" t="str">
            <v>Губская Светлана Анатольевна</v>
          </cell>
          <cell r="B454" t="str">
            <v>В-11396/КЛ.Транш - 2</v>
          </cell>
          <cell r="D454">
            <v>79852289127</v>
          </cell>
          <cell r="F454">
            <v>79852289127</v>
          </cell>
        </row>
        <row r="455">
          <cell r="A455" t="str">
            <v>Гудименко Константин Алексеевич</v>
          </cell>
          <cell r="B455" t="str">
            <v>В-07411/КЛ.Транш - 1_В-20211230/Ц</v>
          </cell>
          <cell r="C455">
            <v>84999789703</v>
          </cell>
          <cell r="D455">
            <v>89854422722</v>
          </cell>
          <cell r="F455">
            <v>79854422722</v>
          </cell>
        </row>
        <row r="456">
          <cell r="A456" t="str">
            <v>Гудименко Константин Алексеевич</v>
          </cell>
          <cell r="B456" t="str">
            <v>В-07411/КЛ.Транш - 4_В-20211230/Ц</v>
          </cell>
          <cell r="C456">
            <v>84999789703</v>
          </cell>
          <cell r="D456">
            <v>89854422722</v>
          </cell>
          <cell r="F456">
            <v>79854422722</v>
          </cell>
        </row>
        <row r="457">
          <cell r="A457" t="str">
            <v>Гудименко Константин Алексеевич</v>
          </cell>
          <cell r="B457" t="str">
            <v>В-07411/КЛ.Транш - 2_В-20211230/Ц</v>
          </cell>
          <cell r="C457">
            <v>84999789703</v>
          </cell>
          <cell r="D457">
            <v>89854422722</v>
          </cell>
          <cell r="F457">
            <v>79854422722</v>
          </cell>
        </row>
        <row r="458">
          <cell r="A458" t="str">
            <v>Гудименко Константин Алексеевич</v>
          </cell>
          <cell r="B458" t="str">
            <v>В-07411/КЛ.Транш - 3_В-20211230/Ц</v>
          </cell>
          <cell r="C458">
            <v>84999789703</v>
          </cell>
          <cell r="D458">
            <v>89854422722</v>
          </cell>
          <cell r="F458">
            <v>79854422722</v>
          </cell>
        </row>
        <row r="459">
          <cell r="A459" t="str">
            <v>Гудименко Константин Алексеевич</v>
          </cell>
          <cell r="B459" t="str">
            <v>В-07411/КЛ.Транш - 5_В-20211230/Ц</v>
          </cell>
          <cell r="C459">
            <v>84999789703</v>
          </cell>
          <cell r="D459">
            <v>89854422722</v>
          </cell>
          <cell r="F459">
            <v>79854422722</v>
          </cell>
        </row>
        <row r="460">
          <cell r="A460" t="str">
            <v>Гудименко Константин Алексеевич</v>
          </cell>
          <cell r="B460" t="str">
            <v>В-07411/КЛ.Транш - 6_В-20211230/Ц</v>
          </cell>
          <cell r="C460">
            <v>84999789703</v>
          </cell>
          <cell r="D460">
            <v>89854422722</v>
          </cell>
          <cell r="F460">
            <v>79854422722</v>
          </cell>
        </row>
        <row r="461">
          <cell r="A461" t="str">
            <v>Гукасян Павел Владимирович</v>
          </cell>
          <cell r="B461" t="str">
            <v>В-14728/КЛ.Транш - 8</v>
          </cell>
          <cell r="D461">
            <v>79670036000</v>
          </cell>
          <cell r="F461">
            <v>79670036000</v>
          </cell>
        </row>
        <row r="462">
          <cell r="A462" t="str">
            <v>Гукасян Павел Владимирович</v>
          </cell>
          <cell r="B462" t="str">
            <v>В-14728/КЛ.Транш - 9</v>
          </cell>
          <cell r="D462">
            <v>79670036000</v>
          </cell>
          <cell r="F462">
            <v>79670036000</v>
          </cell>
        </row>
        <row r="463">
          <cell r="A463" t="str">
            <v>Гукасян Павел Владимирович</v>
          </cell>
          <cell r="B463" t="str">
            <v>В-14728/КЛ.Транш - 6</v>
          </cell>
          <cell r="D463">
            <v>79670036000</v>
          </cell>
          <cell r="F463">
            <v>79670036000</v>
          </cell>
        </row>
        <row r="464">
          <cell r="A464" t="str">
            <v>Гукасян Павел Владимирович</v>
          </cell>
          <cell r="B464" t="str">
            <v>В-14728/КЛ.Транш - 7</v>
          </cell>
          <cell r="D464">
            <v>79670036000</v>
          </cell>
          <cell r="F464">
            <v>79670036000</v>
          </cell>
        </row>
        <row r="465">
          <cell r="A465" t="str">
            <v>Гулиев Адиль Джангирович</v>
          </cell>
          <cell r="B465" t="str">
            <v>В-00161/АЗ</v>
          </cell>
          <cell r="C465">
            <v>84999063947</v>
          </cell>
          <cell r="D465">
            <v>89161090060</v>
          </cell>
          <cell r="F465">
            <v>79161090060</v>
          </cell>
        </row>
        <row r="466">
          <cell r="A466" t="str">
            <v>Гулиева Сусан Мубариз Кызы</v>
          </cell>
          <cell r="B466" t="str">
            <v>В-25757/КЛ.Транш - 1</v>
          </cell>
          <cell r="D466">
            <v>79913807181</v>
          </cell>
          <cell r="F466">
            <v>79913807181</v>
          </cell>
        </row>
        <row r="467">
          <cell r="A467" t="str">
            <v>Гулканян Наири Гарникович</v>
          </cell>
          <cell r="B467" t="str">
            <v>В-25640/КЛ.Транш - 1</v>
          </cell>
          <cell r="D467">
            <v>79261434729</v>
          </cell>
          <cell r="F467">
            <v>79261434729</v>
          </cell>
        </row>
        <row r="468">
          <cell r="A468" t="str">
            <v>Гупало Илья Александрович</v>
          </cell>
          <cell r="B468" t="str">
            <v>В-01217/АЗ</v>
          </cell>
          <cell r="C468">
            <v>78125445862</v>
          </cell>
          <cell r="D468">
            <v>89119212562</v>
          </cell>
          <cell r="F468">
            <v>79119212562</v>
          </cell>
        </row>
        <row r="469">
          <cell r="A469" t="str">
            <v>Гуркин Владимир Рудольфович</v>
          </cell>
          <cell r="B469" t="str">
            <v>В-20118/КЛ.Транш - 1</v>
          </cell>
          <cell r="D469">
            <v>79271310093</v>
          </cell>
          <cell r="E469">
            <v>79881860636</v>
          </cell>
          <cell r="F469">
            <v>79271310093</v>
          </cell>
        </row>
        <row r="470">
          <cell r="A470" t="str">
            <v>Гуров Евгений Сергеевич</v>
          </cell>
          <cell r="B470" t="str">
            <v>В-18586/КЛ.Транш - 1</v>
          </cell>
          <cell r="D470">
            <v>79154250785</v>
          </cell>
          <cell r="F470">
            <v>79154250785</v>
          </cell>
        </row>
        <row r="471">
          <cell r="A471" t="str">
            <v>Гусев Владимир Николаевич</v>
          </cell>
          <cell r="B471" t="str">
            <v>В-00496/АЗ</v>
          </cell>
          <cell r="C471">
            <v>74964266361</v>
          </cell>
          <cell r="D471">
            <v>79060330420</v>
          </cell>
          <cell r="E471">
            <v>89057584727</v>
          </cell>
          <cell r="F471">
            <v>79060330420</v>
          </cell>
        </row>
        <row r="472">
          <cell r="A472" t="str">
            <v>Гусейинов Рафиг Шамил</v>
          </cell>
          <cell r="B472" t="str">
            <v>В-00497/АЗ</v>
          </cell>
          <cell r="D472">
            <v>79670963535</v>
          </cell>
          <cell r="F472">
            <v>79670963535</v>
          </cell>
        </row>
        <row r="473">
          <cell r="A473" t="str">
            <v>Гусейнов Магомед Динисламович</v>
          </cell>
          <cell r="B473" t="str">
            <v>В-27747/КЛ.Транш - 1</v>
          </cell>
          <cell r="D473">
            <v>79011808364</v>
          </cell>
        </row>
        <row r="474">
          <cell r="A474" t="str">
            <v>Гусейнов Муслум Нурали Оглы</v>
          </cell>
          <cell r="B474" t="str">
            <v>А-05110/АЗ_А-20200626/Ц</v>
          </cell>
          <cell r="D474">
            <v>79160281047</v>
          </cell>
          <cell r="E474">
            <v>79160281047</v>
          </cell>
        </row>
        <row r="475">
          <cell r="A475" t="str">
            <v>Гуциев Илес Эдильбекович</v>
          </cell>
          <cell r="B475" t="str">
            <v>В-00911/АЗ_В-20211230/Ц</v>
          </cell>
          <cell r="D475">
            <v>79250599777</v>
          </cell>
          <cell r="F475">
            <v>79250599777</v>
          </cell>
        </row>
        <row r="476">
          <cell r="A476" t="str">
            <v>Гуциев Илес Эдильбекович</v>
          </cell>
          <cell r="B476" t="str">
            <v>В-00927/АЗ_В-20211230/Ц</v>
          </cell>
          <cell r="D476">
            <v>79250599777</v>
          </cell>
          <cell r="F476">
            <v>79250599777</v>
          </cell>
        </row>
        <row r="477">
          <cell r="A477" t="str">
            <v>Гучуа Натия Геноевна</v>
          </cell>
          <cell r="B477" t="str">
            <v>А-04018/АЗ_А-20200626/Ц</v>
          </cell>
          <cell r="C477">
            <v>78125362375</v>
          </cell>
          <cell r="D477">
            <v>79523954672</v>
          </cell>
          <cell r="E477">
            <v>79523954672</v>
          </cell>
          <cell r="F477">
            <v>79523954672</v>
          </cell>
        </row>
        <row r="478">
          <cell r="A478" t="str">
            <v>Гюльбалаев Азамат Шарфитдинович</v>
          </cell>
          <cell r="B478" t="str">
            <v>В-00581/АЗ</v>
          </cell>
          <cell r="C478">
            <v>74956330012</v>
          </cell>
          <cell r="D478">
            <v>79672695733</v>
          </cell>
          <cell r="F478">
            <v>79672695733</v>
          </cell>
        </row>
        <row r="479">
          <cell r="A479" t="str">
            <v>Давыдов Игорь Александрович</v>
          </cell>
          <cell r="B479" t="str">
            <v>В-28437/КЛ.Транш - 1</v>
          </cell>
          <cell r="D479">
            <v>79996977662</v>
          </cell>
        </row>
        <row r="480">
          <cell r="A480" t="str">
            <v>Дагиров Рустам Шамсутдинович</v>
          </cell>
          <cell r="B480" t="str">
            <v>В-00431/КЛ.Транш - 1</v>
          </cell>
          <cell r="D480">
            <v>79260559936</v>
          </cell>
          <cell r="F480">
            <v>79260559936</v>
          </cell>
        </row>
        <row r="481">
          <cell r="A481" t="str">
            <v>Дагиров Рустам Шамсутдинович</v>
          </cell>
          <cell r="B481" t="str">
            <v>В-00431/КЛ.Транш - 2</v>
          </cell>
          <cell r="D481">
            <v>79260559936</v>
          </cell>
          <cell r="F481">
            <v>79260559936</v>
          </cell>
        </row>
        <row r="482">
          <cell r="A482" t="str">
            <v>Далгатов Гаджимурад Магомедович</v>
          </cell>
          <cell r="B482" t="str">
            <v>В-12746/КЛ.Транш - 24</v>
          </cell>
          <cell r="D482">
            <v>79259999244</v>
          </cell>
          <cell r="F482">
            <v>79259999244</v>
          </cell>
        </row>
        <row r="483">
          <cell r="A483" t="str">
            <v>Далгатов Гаджимурад Магомедович</v>
          </cell>
          <cell r="B483" t="str">
            <v>В-12746/КЛ.Транш - 7</v>
          </cell>
          <cell r="D483">
            <v>79259999244</v>
          </cell>
          <cell r="F483">
            <v>79259999244</v>
          </cell>
        </row>
        <row r="484">
          <cell r="A484" t="str">
            <v>Далгатов Гаджимурад Магомедович</v>
          </cell>
          <cell r="B484" t="str">
            <v>В-12746/КЛ.Транш - 15</v>
          </cell>
          <cell r="D484">
            <v>79259999244</v>
          </cell>
          <cell r="F484">
            <v>79259999244</v>
          </cell>
        </row>
        <row r="485">
          <cell r="A485" t="str">
            <v>Далгатов Гаджимурад Магомедович</v>
          </cell>
          <cell r="B485" t="str">
            <v>В-12746/КЛ.Транш - 19</v>
          </cell>
          <cell r="D485">
            <v>79259999244</v>
          </cell>
          <cell r="F485">
            <v>79259999244</v>
          </cell>
        </row>
        <row r="486">
          <cell r="A486" t="str">
            <v>Далгатов Гаджимурад Магомедович</v>
          </cell>
          <cell r="B486" t="str">
            <v>В-12746/КЛ.Транш - 23</v>
          </cell>
          <cell r="D486">
            <v>79259999244</v>
          </cell>
          <cell r="F486">
            <v>79259999244</v>
          </cell>
        </row>
        <row r="487">
          <cell r="A487" t="str">
            <v>Далгатов Гаджимурад Магомедович</v>
          </cell>
          <cell r="B487" t="str">
            <v>В-12746/КЛ.Транш - 25</v>
          </cell>
          <cell r="D487">
            <v>79259999244</v>
          </cell>
          <cell r="F487">
            <v>79259999244</v>
          </cell>
        </row>
        <row r="488">
          <cell r="A488" t="str">
            <v>Далгатов Гаджимурад Магомедович</v>
          </cell>
          <cell r="B488" t="str">
            <v>В-12746/КЛ.Транш - 9</v>
          </cell>
          <cell r="D488">
            <v>79259999244</v>
          </cell>
          <cell r="F488">
            <v>79259999244</v>
          </cell>
        </row>
        <row r="489">
          <cell r="A489" t="str">
            <v>Далгатов Гаджимурад Магомедович</v>
          </cell>
          <cell r="B489" t="str">
            <v>В-12746/КЛ.Транш - 10</v>
          </cell>
          <cell r="D489">
            <v>79259999244</v>
          </cell>
          <cell r="F489">
            <v>79259999244</v>
          </cell>
        </row>
        <row r="490">
          <cell r="A490" t="str">
            <v>Далгатов Гаджимурад Магомедович</v>
          </cell>
          <cell r="B490" t="str">
            <v>В-12746/КЛ.Транш - 16</v>
          </cell>
          <cell r="D490">
            <v>79259999244</v>
          </cell>
          <cell r="F490">
            <v>79259999244</v>
          </cell>
        </row>
        <row r="491">
          <cell r="A491" t="str">
            <v>Дам Вихерс Юлия Владимировна</v>
          </cell>
          <cell r="B491" t="str">
            <v>А-03641/АЗ</v>
          </cell>
          <cell r="D491">
            <v>79522711234</v>
          </cell>
          <cell r="E491">
            <v>79522711234</v>
          </cell>
          <cell r="F491">
            <v>79522711234</v>
          </cell>
        </row>
        <row r="492">
          <cell r="A492" t="str">
            <v>Данелян Рафик Размикович</v>
          </cell>
          <cell r="B492" t="str">
            <v>В-26290/КЛ.Транш - 1</v>
          </cell>
          <cell r="D492">
            <v>79151876677</v>
          </cell>
          <cell r="F492">
            <v>79151876677</v>
          </cell>
        </row>
        <row r="493">
          <cell r="A493" t="str">
            <v>Данилин Дмитрий Павлович</v>
          </cell>
          <cell r="B493" t="str">
            <v>А-04119/АЗ</v>
          </cell>
          <cell r="D493">
            <v>79998060525</v>
          </cell>
          <cell r="E493">
            <v>79998060525</v>
          </cell>
          <cell r="F493">
            <v>79998060525</v>
          </cell>
        </row>
        <row r="494">
          <cell r="A494" t="str">
            <v>Даниялов Марат Алавутдинович</v>
          </cell>
          <cell r="B494" t="str">
            <v>В-17533/КЛ.Транш - 1_В-20211230/Ц</v>
          </cell>
          <cell r="D494">
            <v>79046045670</v>
          </cell>
          <cell r="F494">
            <v>79046045670</v>
          </cell>
        </row>
        <row r="495">
          <cell r="A495" t="str">
            <v>Дарвичева Татьяна Викторовна</v>
          </cell>
          <cell r="B495" t="str">
            <v>В-00702/АЗ</v>
          </cell>
          <cell r="D495">
            <v>79649401001</v>
          </cell>
          <cell r="E495">
            <v>79649401001</v>
          </cell>
          <cell r="F495">
            <v>79649401001</v>
          </cell>
        </row>
        <row r="496">
          <cell r="A496" t="str">
            <v>Дарвичева Татьяна Викторовна</v>
          </cell>
          <cell r="B496" t="str">
            <v>Т-01843/АЗ_Т-20200626/Ц</v>
          </cell>
          <cell r="D496">
            <v>79649401001</v>
          </cell>
          <cell r="E496">
            <v>79649401001</v>
          </cell>
          <cell r="F496">
            <v>79649401001</v>
          </cell>
        </row>
        <row r="497">
          <cell r="A497" t="str">
            <v>Дарвичева Татьяна Викторовна</v>
          </cell>
          <cell r="B497" t="str">
            <v>А-05421/АЗ_А-20200626/Ц</v>
          </cell>
          <cell r="D497">
            <v>79649401001</v>
          </cell>
          <cell r="E497">
            <v>79649401001</v>
          </cell>
          <cell r="F497">
            <v>79649401001</v>
          </cell>
        </row>
        <row r="498">
          <cell r="A498" t="str">
            <v>Дементьев Александр Валерьевич</v>
          </cell>
          <cell r="B498" t="str">
            <v>В-19564/КЛ.Транш - 1</v>
          </cell>
          <cell r="D498">
            <v>79875984452</v>
          </cell>
          <cell r="F498">
            <v>79875984452</v>
          </cell>
        </row>
        <row r="499">
          <cell r="A499" t="str">
            <v>Дементьев Александр Валерьевич</v>
          </cell>
          <cell r="B499" t="str">
            <v>В-19564/КЛ.Транш - 2</v>
          </cell>
          <cell r="D499">
            <v>79875984452</v>
          </cell>
          <cell r="F499">
            <v>79875984452</v>
          </cell>
        </row>
        <row r="500">
          <cell r="A500" t="str">
            <v>Дементьев Василий Алексеевич</v>
          </cell>
          <cell r="B500" t="str">
            <v>В-10909/КЛ.Транш - 1</v>
          </cell>
          <cell r="D500">
            <v>79370745455</v>
          </cell>
          <cell r="F500">
            <v>79370745455</v>
          </cell>
        </row>
        <row r="501">
          <cell r="A501" t="str">
            <v>Демченко Андрей Сергеевич</v>
          </cell>
          <cell r="B501" t="str">
            <v>В-01050/АЗ</v>
          </cell>
          <cell r="D501">
            <v>79181848343</v>
          </cell>
          <cell r="F501">
            <v>79181848343</v>
          </cell>
        </row>
        <row r="502">
          <cell r="A502" t="str">
            <v>Демченко Андрей Сергеевич</v>
          </cell>
          <cell r="B502" t="str">
            <v>В-01051/АЗ</v>
          </cell>
          <cell r="D502">
            <v>79181848343</v>
          </cell>
          <cell r="F502">
            <v>79181848343</v>
          </cell>
        </row>
        <row r="503">
          <cell r="A503" t="str">
            <v>Денисенко Руслана Анатольевна</v>
          </cell>
          <cell r="B503" t="str">
            <v>В-12380/КЛ.Транш - 1_В-20211230/Ц</v>
          </cell>
          <cell r="D503">
            <v>89192213172</v>
          </cell>
          <cell r="F503">
            <v>79192213172</v>
          </cell>
        </row>
        <row r="504">
          <cell r="A504" t="str">
            <v>Деревяга Илья Викторович</v>
          </cell>
          <cell r="B504" t="str">
            <v>В-13070/КЛ.Транш - 2</v>
          </cell>
          <cell r="D504">
            <v>79292876220</v>
          </cell>
          <cell r="F504">
            <v>79292876220</v>
          </cell>
        </row>
        <row r="505">
          <cell r="A505" t="str">
            <v>Деревяга Илья Викторович</v>
          </cell>
          <cell r="B505" t="str">
            <v>В-13070/КЛ.Транш - 3</v>
          </cell>
          <cell r="D505">
            <v>79292876220</v>
          </cell>
          <cell r="F505">
            <v>79292876220</v>
          </cell>
        </row>
        <row r="506">
          <cell r="A506" t="str">
            <v>Джабраилов Саид-Хусейн Хасанович</v>
          </cell>
          <cell r="B506" t="str">
            <v>В-12401/КЛ.Транш - 2</v>
          </cell>
          <cell r="D506" t="str">
            <v>79189250990, 79286682038</v>
          </cell>
          <cell r="F506">
            <v>79189250990</v>
          </cell>
        </row>
        <row r="507">
          <cell r="A507" t="str">
            <v>Джабраилов Саид-Хусейн Хасанович</v>
          </cell>
          <cell r="B507" t="str">
            <v>В-12401/КЛ.Транш - 1</v>
          </cell>
          <cell r="D507" t="str">
            <v>79189250990, 79286682038</v>
          </cell>
          <cell r="F507">
            <v>79189250990</v>
          </cell>
        </row>
        <row r="508">
          <cell r="A508" t="str">
            <v>Джангуланова Амина Бауржановна</v>
          </cell>
          <cell r="B508" t="str">
            <v>В-24594/АЗ</v>
          </cell>
          <cell r="D508">
            <v>79889362730</v>
          </cell>
          <cell r="F508">
            <v>79889362730</v>
          </cell>
        </row>
        <row r="509">
          <cell r="A509" t="str">
            <v>Джулакян Мартирос Жораевич</v>
          </cell>
          <cell r="B509" t="str">
            <v>В-06481/КЛ.Транш - 7</v>
          </cell>
          <cell r="C509">
            <v>84953144886</v>
          </cell>
          <cell r="D509">
            <v>89166698782</v>
          </cell>
          <cell r="F509">
            <v>79166698782</v>
          </cell>
        </row>
        <row r="510">
          <cell r="A510" t="str">
            <v>Джумаева Муслима Султоновна</v>
          </cell>
          <cell r="B510" t="str">
            <v>В-01148/АЗ</v>
          </cell>
          <cell r="D510">
            <v>79654428428</v>
          </cell>
        </row>
        <row r="511">
          <cell r="A511" t="str">
            <v>Дзейтов Муслим Алиевич</v>
          </cell>
          <cell r="B511" t="str">
            <v>В-20300/КЛ.Транш - 1_В-20211230/Ц</v>
          </cell>
          <cell r="D511">
            <v>79604328888</v>
          </cell>
          <cell r="F511">
            <v>79604328888</v>
          </cell>
        </row>
        <row r="512">
          <cell r="A512" t="str">
            <v>Дзюба Евгений Григорьевич</v>
          </cell>
          <cell r="B512" t="str">
            <v>В-22409/КЛ.Транш - 1</v>
          </cell>
          <cell r="C512">
            <v>7</v>
          </cell>
          <cell r="D512">
            <v>79243287578</v>
          </cell>
          <cell r="F512">
            <v>79243287578</v>
          </cell>
        </row>
        <row r="513">
          <cell r="A513" t="str">
            <v>Диакону Сергей Борисович</v>
          </cell>
          <cell r="B513" t="str">
            <v>В-25367/АЗ</v>
          </cell>
          <cell r="D513">
            <v>79653384337</v>
          </cell>
          <cell r="F513">
            <v>79653384337</v>
          </cell>
        </row>
        <row r="514">
          <cell r="A514" t="str">
            <v>Диденко Роман Владимирович</v>
          </cell>
          <cell r="B514" t="str">
            <v>В-12256/КЛ.Транш - 1</v>
          </cell>
          <cell r="D514">
            <v>79040950112</v>
          </cell>
          <cell r="F514">
            <v>79040950112</v>
          </cell>
        </row>
        <row r="515">
          <cell r="A515" t="str">
            <v>Дидиев Хасан Асланович</v>
          </cell>
          <cell r="B515" t="str">
            <v>В-15163/КЛ.Транш - 1</v>
          </cell>
          <cell r="D515">
            <v>79100000660</v>
          </cell>
          <cell r="F515">
            <v>79100000660</v>
          </cell>
        </row>
        <row r="516">
          <cell r="A516" t="str">
            <v>Дмитриев Алексей Евгеньевич</v>
          </cell>
          <cell r="B516" t="str">
            <v>Т-01890/АЗ_Т-20211028/Ц</v>
          </cell>
          <cell r="D516">
            <v>89689301685</v>
          </cell>
          <cell r="F516">
            <v>79689301685</v>
          </cell>
        </row>
        <row r="517">
          <cell r="A517" t="str">
            <v>Добрица Любовь Анатольевна</v>
          </cell>
          <cell r="B517" t="str">
            <v>А-04742/АЗ</v>
          </cell>
          <cell r="D517">
            <v>79162115502</v>
          </cell>
          <cell r="E517">
            <v>79162115502</v>
          </cell>
        </row>
        <row r="518">
          <cell r="A518" t="str">
            <v>Добров Дмитрий Сергеевич</v>
          </cell>
          <cell r="B518" t="str">
            <v>В-16882/КЛ.Транш - 2</v>
          </cell>
          <cell r="D518">
            <v>79773644183</v>
          </cell>
          <cell r="F518">
            <v>79773644183</v>
          </cell>
        </row>
        <row r="519">
          <cell r="A519" t="str">
            <v>Догарева Мария Станиславовна</v>
          </cell>
          <cell r="B519" t="str">
            <v>В-03259/КЛ.Транш - 1</v>
          </cell>
          <cell r="D519">
            <v>89687969551</v>
          </cell>
          <cell r="F519">
            <v>79687969551</v>
          </cell>
        </row>
        <row r="520">
          <cell r="A520" t="str">
            <v>Додохова Анна Николаевна</v>
          </cell>
          <cell r="B520" t="str">
            <v>В-00272/АЗ_В-20211230/Ц</v>
          </cell>
          <cell r="D520">
            <v>89851610177</v>
          </cell>
          <cell r="F520">
            <v>79851610177</v>
          </cell>
        </row>
        <row r="521">
          <cell r="A521" t="str">
            <v>Долгополов Сергей Юрьевич</v>
          </cell>
          <cell r="B521" t="str">
            <v>В-07544/КЛ.Транш - 1</v>
          </cell>
          <cell r="D521">
            <v>89771848609</v>
          </cell>
          <cell r="F521">
            <v>79771848609</v>
          </cell>
        </row>
        <row r="522">
          <cell r="A522" t="str">
            <v>Долгошеев Александр Юрьевич</v>
          </cell>
          <cell r="B522" t="str">
            <v>В-13719/КЛ.Транш - 1</v>
          </cell>
          <cell r="D522">
            <v>89636517614</v>
          </cell>
          <cell r="F522">
            <v>79636517614</v>
          </cell>
        </row>
        <row r="523">
          <cell r="A523" t="str">
            <v>Доновский Даниил Дмитриевич</v>
          </cell>
          <cell r="B523" t="str">
            <v>В-11733/КЛ.Транш - 1_В-20211230/Ц</v>
          </cell>
          <cell r="D523">
            <v>89817820994</v>
          </cell>
          <cell r="F523">
            <v>79817820994</v>
          </cell>
        </row>
        <row r="524">
          <cell r="A524" t="str">
            <v>Дорожинская Екатерина Андреевна</v>
          </cell>
          <cell r="B524" t="str">
            <v>В-23074/КЛ.Транш - 1</v>
          </cell>
          <cell r="D524">
            <v>89045231800</v>
          </cell>
          <cell r="F524">
            <v>79045231800</v>
          </cell>
        </row>
        <row r="525">
          <cell r="A525" t="str">
            <v>Дорохин Артем Олегович</v>
          </cell>
          <cell r="B525" t="str">
            <v>В-24493/КЛ.Транш - 1</v>
          </cell>
          <cell r="D525">
            <v>79807420517</v>
          </cell>
          <cell r="F525">
            <v>79807420517</v>
          </cell>
        </row>
        <row r="526">
          <cell r="A526" t="str">
            <v>ДОРРЕМСТРОЙ ООО</v>
          </cell>
          <cell r="B526" t="str">
            <v>В-00077/КЭ.Транш - 1</v>
          </cell>
        </row>
        <row r="527">
          <cell r="A527" t="str">
            <v>Дортман Ольга Александровна</v>
          </cell>
          <cell r="B527" t="str">
            <v>В-24934/КЛ.Транш - 3</v>
          </cell>
          <cell r="D527">
            <v>79645851812</v>
          </cell>
          <cell r="F527">
            <v>79645851812</v>
          </cell>
        </row>
        <row r="528">
          <cell r="A528" t="str">
            <v>Дортман Ольга Александровна</v>
          </cell>
          <cell r="B528" t="str">
            <v>В-24934/КЛ.Транш - 2</v>
          </cell>
          <cell r="D528">
            <v>79645851812</v>
          </cell>
          <cell r="F528">
            <v>79645851812</v>
          </cell>
        </row>
        <row r="529">
          <cell r="A529" t="str">
            <v>Дортман Ольга Александровна</v>
          </cell>
          <cell r="B529" t="str">
            <v>В-24934/КЛ.Транш - 1</v>
          </cell>
          <cell r="D529">
            <v>79645851812</v>
          </cell>
          <cell r="F529">
            <v>79645851812</v>
          </cell>
        </row>
        <row r="530">
          <cell r="A530" t="str">
            <v>Доценко Артём Анатольевич</v>
          </cell>
          <cell r="B530" t="str">
            <v>В-19715/КЛ.Транш - 1</v>
          </cell>
          <cell r="D530">
            <v>79046461888</v>
          </cell>
          <cell r="F530">
            <v>79046461888</v>
          </cell>
        </row>
        <row r="531">
          <cell r="A531" t="str">
            <v>Дробный Александр Олегович</v>
          </cell>
          <cell r="B531" t="str">
            <v>В-20084/КЛ.Транш - 1</v>
          </cell>
          <cell r="D531">
            <v>79629951331</v>
          </cell>
          <cell r="F531">
            <v>79629951331</v>
          </cell>
        </row>
        <row r="532">
          <cell r="A532" t="str">
            <v>Дробот Роман Вячеславович</v>
          </cell>
          <cell r="B532" t="str">
            <v>В-12943/КЛ.Транш - 1</v>
          </cell>
          <cell r="D532">
            <v>89270689752</v>
          </cell>
          <cell r="F532">
            <v>79270689752</v>
          </cell>
        </row>
        <row r="533">
          <cell r="A533" t="str">
            <v>Дрожжин Андрей Юрьевич</v>
          </cell>
          <cell r="B533" t="str">
            <v>В-19897/КЛ.Транш - 1</v>
          </cell>
          <cell r="D533">
            <v>79855607848</v>
          </cell>
          <cell r="F533">
            <v>79855607848</v>
          </cell>
        </row>
        <row r="534">
          <cell r="A534" t="str">
            <v>Дубовская Юлия Олеговна</v>
          </cell>
          <cell r="B534" t="str">
            <v>В-05840/КЛ.Транш - 2</v>
          </cell>
          <cell r="D534">
            <v>79161251076</v>
          </cell>
          <cell r="E534">
            <v>79161251076</v>
          </cell>
          <cell r="F534">
            <v>79161251076</v>
          </cell>
        </row>
        <row r="535">
          <cell r="A535" t="str">
            <v>Дубров Алексей Владимирович</v>
          </cell>
          <cell r="B535" t="str">
            <v>В-27980/КЛ.Транш - 1</v>
          </cell>
          <cell r="D535">
            <v>79881315422</v>
          </cell>
          <cell r="F535">
            <v>79881315422</v>
          </cell>
        </row>
        <row r="536">
          <cell r="A536" t="str">
            <v>Дубский Денис Николаевич</v>
          </cell>
          <cell r="B536" t="str">
            <v>В-14987/КЛ.Транш - 1</v>
          </cell>
          <cell r="D536">
            <v>79822759202</v>
          </cell>
          <cell r="F536">
            <v>79822759202</v>
          </cell>
        </row>
        <row r="537">
          <cell r="A537" t="str">
            <v>Дудин Василий Васильевич</v>
          </cell>
          <cell r="B537" t="str">
            <v>В-16067/КЛ.Транш - 1</v>
          </cell>
          <cell r="D537">
            <v>79621334524</v>
          </cell>
          <cell r="F537">
            <v>79621334524</v>
          </cell>
        </row>
        <row r="538">
          <cell r="A538" t="str">
            <v>Дунаева Любовь Анатольевна</v>
          </cell>
          <cell r="B538" t="str">
            <v>В-10704/КЛ.Транш - 1</v>
          </cell>
          <cell r="D538">
            <v>79035483254</v>
          </cell>
          <cell r="F538">
            <v>79035483254</v>
          </cell>
        </row>
        <row r="539">
          <cell r="A539" t="str">
            <v>Дыгова Раиса Мусарбиевна</v>
          </cell>
          <cell r="B539" t="str">
            <v>В-10648/КЛ.Транш - 2</v>
          </cell>
          <cell r="D539">
            <v>79955067888</v>
          </cell>
          <cell r="F539">
            <v>79955067888</v>
          </cell>
        </row>
        <row r="540">
          <cell r="A540" t="str">
            <v>Дядченко Елена Валентиновна</v>
          </cell>
          <cell r="B540" t="str">
            <v>В-00233/КЛ.Транш - 1</v>
          </cell>
          <cell r="D540">
            <v>79852928484</v>
          </cell>
          <cell r="F540">
            <v>79852928484</v>
          </cell>
        </row>
        <row r="541">
          <cell r="A541" t="str">
            <v>Евсеев Сергей Анатольевич</v>
          </cell>
          <cell r="B541" t="str">
            <v>В-10492/КЛ.Транш - 1</v>
          </cell>
          <cell r="D541">
            <v>79080610858</v>
          </cell>
          <cell r="F541">
            <v>79080610858</v>
          </cell>
        </row>
        <row r="542">
          <cell r="A542" t="str">
            <v>Евстигнеев Дмитрий Станиславович</v>
          </cell>
          <cell r="B542" t="str">
            <v>В-01175/АЗ</v>
          </cell>
          <cell r="D542">
            <v>79161179491</v>
          </cell>
          <cell r="F542">
            <v>79161179491</v>
          </cell>
        </row>
        <row r="543">
          <cell r="A543" t="str">
            <v>Евстратов Игорь Владимирович</v>
          </cell>
          <cell r="B543" t="str">
            <v>В-16257/КЛ.Транш - 2</v>
          </cell>
          <cell r="C543">
            <v>84999027819</v>
          </cell>
          <cell r="D543">
            <v>89165460080</v>
          </cell>
          <cell r="F543">
            <v>79019831564</v>
          </cell>
        </row>
        <row r="544">
          <cell r="A544" t="str">
            <v>Евтина Яна Анатольевна</v>
          </cell>
          <cell r="B544" t="str">
            <v>В-17605/КЛ.Транш - 1</v>
          </cell>
          <cell r="D544">
            <v>79514157455</v>
          </cell>
          <cell r="F544">
            <v>79514157455</v>
          </cell>
        </row>
        <row r="545">
          <cell r="A545" t="str">
            <v>Егиазарян Геворг Рубикович</v>
          </cell>
          <cell r="B545" t="str">
            <v>В-28358/КЛ.Транш - 1</v>
          </cell>
          <cell r="D545">
            <v>79035900820</v>
          </cell>
        </row>
        <row r="546">
          <cell r="A546" t="str">
            <v>Егоров Андрей Вячеславович</v>
          </cell>
          <cell r="B546" t="str">
            <v>В-29052/КЛ.Транш - 1</v>
          </cell>
          <cell r="D546">
            <v>79539657046</v>
          </cell>
        </row>
        <row r="547">
          <cell r="A547" t="str">
            <v>Егоров Владимир Борисович</v>
          </cell>
          <cell r="B547" t="str">
            <v>В-26251/КЛ.Транш - 1</v>
          </cell>
          <cell r="D547">
            <v>79219092868</v>
          </cell>
          <cell r="F547">
            <v>79219092868</v>
          </cell>
        </row>
        <row r="548">
          <cell r="A548" t="str">
            <v>Егоров Павел Евгеньевич</v>
          </cell>
          <cell r="B548" t="str">
            <v>В-25229/АЗ</v>
          </cell>
          <cell r="D548">
            <v>79602316434</v>
          </cell>
        </row>
        <row r="549">
          <cell r="A549" t="str">
            <v>Егоров Сергей Владимирович</v>
          </cell>
          <cell r="B549" t="str">
            <v>В-00438/КЛ.Транш - 1</v>
          </cell>
          <cell r="D549">
            <v>79017129658</v>
          </cell>
          <cell r="F549">
            <v>79017129658</v>
          </cell>
        </row>
        <row r="550">
          <cell r="A550" t="str">
            <v>Егоршева Ирина Александровна</v>
          </cell>
          <cell r="B550" t="str">
            <v>В-00617/КЛ.Транш - 1_Т-20211028/Ц</v>
          </cell>
          <cell r="C550">
            <v>74957530256</v>
          </cell>
          <cell r="D550">
            <v>79037716969</v>
          </cell>
          <cell r="F550">
            <v>79037716969</v>
          </cell>
        </row>
        <row r="551">
          <cell r="A551" t="str">
            <v>Егоян Арарат Хнгяносович</v>
          </cell>
          <cell r="B551" t="str">
            <v>В-26477/КЛ.Транш - 1</v>
          </cell>
          <cell r="D551">
            <v>79685452266</v>
          </cell>
        </row>
        <row r="552">
          <cell r="A552" t="str">
            <v>Егоян Вард Баласанович</v>
          </cell>
          <cell r="B552" t="str">
            <v>В-01038/АЗ</v>
          </cell>
          <cell r="D552">
            <v>79032135256</v>
          </cell>
          <cell r="E552">
            <v>79032135256</v>
          </cell>
          <cell r="F552">
            <v>79032135256</v>
          </cell>
        </row>
        <row r="553">
          <cell r="A553" t="str">
            <v>Егупов Дмитрий Сергеевич</v>
          </cell>
          <cell r="B553" t="str">
            <v>В-28549/АЗ</v>
          </cell>
          <cell r="D553">
            <v>89023113609</v>
          </cell>
          <cell r="F553">
            <v>79023113609</v>
          </cell>
        </row>
        <row r="554">
          <cell r="A554" t="str">
            <v>Егупов Дмитрий Сергеевич</v>
          </cell>
          <cell r="B554" t="str">
            <v>В-28968/АЗ</v>
          </cell>
          <cell r="D554">
            <v>89023113609</v>
          </cell>
          <cell r="F554">
            <v>79023113609</v>
          </cell>
        </row>
        <row r="555">
          <cell r="A555" t="str">
            <v>Елизарова Виктория Андреевна</v>
          </cell>
          <cell r="B555" t="str">
            <v>В-21269/КЛ.Транш - 1_В-20211230/Ц</v>
          </cell>
          <cell r="D555">
            <v>89006503653</v>
          </cell>
          <cell r="F555">
            <v>79006503653</v>
          </cell>
        </row>
        <row r="556">
          <cell r="A556" t="str">
            <v>Елисеев Вячеслав Викторович</v>
          </cell>
          <cell r="B556" t="str">
            <v>В-25509/КЛ.Транш - 1</v>
          </cell>
          <cell r="D556">
            <v>79661279090</v>
          </cell>
          <cell r="F556">
            <v>79661279090</v>
          </cell>
        </row>
        <row r="557">
          <cell r="A557" t="str">
            <v>Елисеев Вячеслав Викторович</v>
          </cell>
          <cell r="B557" t="str">
            <v>В-01675/КЛ.Транш - 3</v>
          </cell>
          <cell r="D557">
            <v>79661279090</v>
          </cell>
          <cell r="F557">
            <v>79661279090</v>
          </cell>
        </row>
        <row r="558">
          <cell r="A558" t="str">
            <v>Елистратов Сергей Викторович</v>
          </cell>
          <cell r="B558" t="str">
            <v>В-11447/КЛ.Транш - 1</v>
          </cell>
          <cell r="D558">
            <v>79163455552</v>
          </cell>
          <cell r="F558">
            <v>79163455552</v>
          </cell>
        </row>
        <row r="559">
          <cell r="A559" t="str">
            <v>Ельшин Владимир Анатольевич</v>
          </cell>
          <cell r="B559" t="str">
            <v>В-01161/АЗ</v>
          </cell>
          <cell r="D559">
            <v>79260403500</v>
          </cell>
          <cell r="F559">
            <v>79260403500</v>
          </cell>
        </row>
        <row r="560">
          <cell r="A560" t="str">
            <v>Емелин Сергей Анатольевич</v>
          </cell>
          <cell r="B560" t="str">
            <v>В-23655/КЛ.Транш - 3</v>
          </cell>
          <cell r="D560">
            <v>79536694040</v>
          </cell>
          <cell r="F560">
            <v>79536694040</v>
          </cell>
        </row>
        <row r="561">
          <cell r="A561" t="str">
            <v>Емельяненко Александр Николаевич</v>
          </cell>
          <cell r="B561" t="str">
            <v>В-14529/КЛ.Транш - 1_В-20211230/Ц</v>
          </cell>
          <cell r="D561">
            <v>79167185401</v>
          </cell>
          <cell r="F561">
            <v>79167185401</v>
          </cell>
        </row>
        <row r="562">
          <cell r="A562" t="str">
            <v>Ергашев Мухаммаджон Абдувалиевич</v>
          </cell>
          <cell r="B562" t="str">
            <v>В-12042/КЛ.Транш - 1</v>
          </cell>
          <cell r="E562">
            <v>79060407129</v>
          </cell>
          <cell r="F562">
            <v>79060407129</v>
          </cell>
        </row>
        <row r="563">
          <cell r="A563" t="str">
            <v>Еременко Сергей Артурович</v>
          </cell>
          <cell r="B563" t="str">
            <v>В-19349/КЛ.Транш - 1_В-20211230/Ц</v>
          </cell>
          <cell r="D563">
            <v>79309556325</v>
          </cell>
          <cell r="E563">
            <v>79040021967</v>
          </cell>
          <cell r="F563">
            <v>79309556325</v>
          </cell>
        </row>
        <row r="564">
          <cell r="A564" t="str">
            <v>Еремян Артур Корюнович</v>
          </cell>
          <cell r="B564" t="str">
            <v>В-05135/КЛ.Транш - 1</v>
          </cell>
          <cell r="D564">
            <v>79778044852</v>
          </cell>
          <cell r="F564">
            <v>79778044852</v>
          </cell>
        </row>
        <row r="565">
          <cell r="A565" t="str">
            <v>Ермак Анатолий Антонович</v>
          </cell>
          <cell r="B565" t="str">
            <v>В-01156/АЗ</v>
          </cell>
          <cell r="D565">
            <v>79647780138</v>
          </cell>
          <cell r="F565">
            <v>79647780138</v>
          </cell>
        </row>
        <row r="566">
          <cell r="A566" t="str">
            <v>Ермаков Владислав Олегович</v>
          </cell>
          <cell r="B566" t="str">
            <v>В-23339/АЗ_В-20211230/Ц</v>
          </cell>
          <cell r="D566">
            <v>79852343377</v>
          </cell>
        </row>
        <row r="567">
          <cell r="A567" t="str">
            <v>Ермаков Кирилл Андреевич</v>
          </cell>
          <cell r="B567" t="str">
            <v>В-01015/КЛ.Транш - 3</v>
          </cell>
          <cell r="D567">
            <v>79055511185</v>
          </cell>
          <cell r="F567">
            <v>79055511185</v>
          </cell>
        </row>
        <row r="568">
          <cell r="A568" t="str">
            <v>Ермакова Кристина Алексеевна</v>
          </cell>
          <cell r="B568" t="str">
            <v>В-23325/АЗ_В-20211230/Ц</v>
          </cell>
          <cell r="C568">
            <v>74993748109</v>
          </cell>
          <cell r="D568">
            <v>79031346914</v>
          </cell>
        </row>
        <row r="569">
          <cell r="A569" t="str">
            <v>Ермилин Виталий Владимирович</v>
          </cell>
          <cell r="B569" t="str">
            <v>В-19901/КЛ.Транш - 1_В-20211230/Ц</v>
          </cell>
          <cell r="D569">
            <v>79630996834</v>
          </cell>
          <cell r="F569">
            <v>79630996834</v>
          </cell>
        </row>
        <row r="570">
          <cell r="A570" t="str">
            <v>Ермишин Сергей Михайлович</v>
          </cell>
          <cell r="B570" t="str">
            <v>В-00085/АЗ</v>
          </cell>
          <cell r="C570">
            <v>74992304961</v>
          </cell>
          <cell r="D570">
            <v>79036299111</v>
          </cell>
          <cell r="E570">
            <v>79036299111</v>
          </cell>
          <cell r="F570">
            <v>79036299111</v>
          </cell>
        </row>
        <row r="571">
          <cell r="A571" t="str">
            <v>Ермишин Сергей Михайлович</v>
          </cell>
          <cell r="B571" t="str">
            <v>А-05305/АЗ_А-20200626/Ц</v>
          </cell>
          <cell r="C571">
            <v>74992304961</v>
          </cell>
          <cell r="D571">
            <v>79036299111</v>
          </cell>
          <cell r="E571">
            <v>79036299111</v>
          </cell>
          <cell r="F571">
            <v>79036299111</v>
          </cell>
        </row>
        <row r="572">
          <cell r="A572" t="str">
            <v>Ерофеева Марина Игоревна</v>
          </cell>
          <cell r="B572" t="str">
            <v>В-26743/КЛ.Транш - 1</v>
          </cell>
          <cell r="D572">
            <v>79145195995</v>
          </cell>
        </row>
        <row r="573">
          <cell r="A573" t="str">
            <v>Ерохина Маргарида дэ Матушь</v>
          </cell>
          <cell r="B573" t="str">
            <v>В-00183/АЗ</v>
          </cell>
          <cell r="D573">
            <v>79774130804</v>
          </cell>
          <cell r="F573">
            <v>79774130804</v>
          </cell>
        </row>
        <row r="574">
          <cell r="A574" t="str">
            <v>Ерохов Андрей Вячеславович</v>
          </cell>
          <cell r="B574" t="str">
            <v>А-04639/АЗ</v>
          </cell>
          <cell r="C574">
            <v>79672271927</v>
          </cell>
          <cell r="D574">
            <v>79104164733</v>
          </cell>
          <cell r="E574">
            <v>79104164733</v>
          </cell>
        </row>
        <row r="575">
          <cell r="A575" t="str">
            <v>Ерошкин Роман Сергеевич</v>
          </cell>
          <cell r="B575" t="str">
            <v>В-04159/КЛ.Транш - 1</v>
          </cell>
          <cell r="D575">
            <v>79253754710</v>
          </cell>
          <cell r="F575">
            <v>79253754710</v>
          </cell>
        </row>
        <row r="576">
          <cell r="A576" t="str">
            <v>Ерошов Дмитрий Иванович</v>
          </cell>
          <cell r="B576" t="str">
            <v>В-03907/КЛ.Транш - 2</v>
          </cell>
          <cell r="D576">
            <v>79096775510</v>
          </cell>
          <cell r="F576">
            <v>79096775510</v>
          </cell>
        </row>
        <row r="577">
          <cell r="A577" t="str">
            <v>Есиков Алексей Вячеславович</v>
          </cell>
          <cell r="B577" t="str">
            <v>В-09470/КЛ.Транш - 2</v>
          </cell>
          <cell r="D577">
            <v>79602369556</v>
          </cell>
          <cell r="F577">
            <v>79602369556</v>
          </cell>
        </row>
        <row r="578">
          <cell r="A578" t="str">
            <v>Ефимчук Олег Николаевич</v>
          </cell>
          <cell r="B578" t="str">
            <v>В-00411/АЗ</v>
          </cell>
          <cell r="C578">
            <v>74953564947</v>
          </cell>
          <cell r="D578">
            <v>79161465673</v>
          </cell>
          <cell r="F578">
            <v>79161465673</v>
          </cell>
        </row>
        <row r="579">
          <cell r="A579" t="str">
            <v>Ефремов Николай Михайлович</v>
          </cell>
          <cell r="B579" t="str">
            <v>В-00540/КЛ.Транш - 1</v>
          </cell>
          <cell r="D579">
            <v>79006366087</v>
          </cell>
          <cell r="F579">
            <v>79006366037</v>
          </cell>
        </row>
        <row r="580">
          <cell r="A580" t="str">
            <v>Жалилов Марифжон Махамадаминович</v>
          </cell>
          <cell r="B580" t="str">
            <v>В-12435/КЛ.Транш - 1</v>
          </cell>
          <cell r="D580">
            <v>79533728902</v>
          </cell>
          <cell r="F580">
            <v>79533728902</v>
          </cell>
        </row>
        <row r="581">
          <cell r="A581" t="str">
            <v>Жалилов Руслан Мамасаитович</v>
          </cell>
          <cell r="B581" t="str">
            <v>В-24798/АЗ</v>
          </cell>
          <cell r="D581">
            <v>79261006026</v>
          </cell>
          <cell r="E581">
            <v>79261006026</v>
          </cell>
          <cell r="F581">
            <v>79261006026</v>
          </cell>
        </row>
        <row r="582">
          <cell r="A582" t="str">
            <v>Жамлиханов Руслан Мигдятович</v>
          </cell>
          <cell r="B582" t="str">
            <v>В-22920/КЛ.Транш - 1</v>
          </cell>
          <cell r="D582">
            <v>79504259973</v>
          </cell>
          <cell r="F582">
            <v>79504259973</v>
          </cell>
        </row>
        <row r="583">
          <cell r="A583" t="str">
            <v>Жарков Камиль Орифжонович</v>
          </cell>
          <cell r="B583" t="str">
            <v>В-00457/АЗ_Т-20211028/Ц</v>
          </cell>
          <cell r="D583">
            <v>79036663133</v>
          </cell>
          <cell r="E583">
            <v>79036663133</v>
          </cell>
          <cell r="F583">
            <v>79036663133</v>
          </cell>
        </row>
        <row r="584">
          <cell r="A584" t="str">
            <v>Желядинов Рустам Максутович</v>
          </cell>
          <cell r="B584" t="str">
            <v>А-04223/АЗ</v>
          </cell>
          <cell r="C584">
            <v>74965124552</v>
          </cell>
          <cell r="D584">
            <v>79269400595</v>
          </cell>
          <cell r="E584">
            <v>79269400595</v>
          </cell>
        </row>
        <row r="585">
          <cell r="A585" t="str">
            <v>Женихов Александр Николаевич</v>
          </cell>
          <cell r="B585" t="str">
            <v>В-20171/КЛ.Транш - 1</v>
          </cell>
          <cell r="D585">
            <v>79536708626</v>
          </cell>
          <cell r="F585">
            <v>79536708626</v>
          </cell>
        </row>
        <row r="586">
          <cell r="A586" t="str">
            <v>Жирнов Игорь Владимирович</v>
          </cell>
          <cell r="B586" t="str">
            <v>В-08644/КЛ.Транш - 1</v>
          </cell>
          <cell r="D586">
            <v>79997159400</v>
          </cell>
          <cell r="F586">
            <v>79997159400</v>
          </cell>
        </row>
        <row r="587">
          <cell r="A587" t="str">
            <v>Житаренко Юрий Иванович</v>
          </cell>
          <cell r="B587" t="str">
            <v>В-10495/КЛ.Транш - 1</v>
          </cell>
          <cell r="D587">
            <v>79040121789</v>
          </cell>
          <cell r="F587">
            <v>79040121789</v>
          </cell>
        </row>
        <row r="588">
          <cell r="A588" t="str">
            <v>Жолобов Алексей Юрьевич</v>
          </cell>
          <cell r="B588" t="str">
            <v>В-27416/АЗ</v>
          </cell>
          <cell r="D588">
            <v>79637560542</v>
          </cell>
        </row>
        <row r="589">
          <cell r="A589" t="str">
            <v>Жубоев Дамир Асланович</v>
          </cell>
          <cell r="B589" t="str">
            <v>В-16541/КЛ.Транш - 1</v>
          </cell>
          <cell r="D589">
            <v>79256466364</v>
          </cell>
          <cell r="F589">
            <v>79256466364</v>
          </cell>
        </row>
        <row r="590">
          <cell r="A590" t="str">
            <v>Жумабаев Умар Сонунбекович</v>
          </cell>
          <cell r="B590" t="str">
            <v>В-19597/КЛ.Транш - 6</v>
          </cell>
          <cell r="D590">
            <v>79800046483</v>
          </cell>
          <cell r="F590">
            <v>79800046483</v>
          </cell>
        </row>
        <row r="591">
          <cell r="A591" t="str">
            <v>Жумабаев Умар Сонунбекович</v>
          </cell>
          <cell r="B591" t="str">
            <v>В-19597/КЛ.Транш - 5</v>
          </cell>
          <cell r="D591">
            <v>79800046483</v>
          </cell>
          <cell r="F591">
            <v>79800046483</v>
          </cell>
        </row>
        <row r="592">
          <cell r="A592" t="str">
            <v>Жумабаев Умар Сонунбекович</v>
          </cell>
          <cell r="B592" t="str">
            <v>В-19597/КЛ.Транш - 1</v>
          </cell>
          <cell r="D592">
            <v>79800046483</v>
          </cell>
          <cell r="F592">
            <v>79800046483</v>
          </cell>
        </row>
        <row r="593">
          <cell r="A593" t="str">
            <v>Жумабаев Умар Сонунбекович</v>
          </cell>
          <cell r="B593" t="str">
            <v>В-19597/КЛ.Транш - 3</v>
          </cell>
          <cell r="D593">
            <v>79800046483</v>
          </cell>
          <cell r="F593">
            <v>79800046483</v>
          </cell>
        </row>
        <row r="594">
          <cell r="A594" t="str">
            <v>Жумабаев Умар Сонунбекович</v>
          </cell>
          <cell r="B594" t="str">
            <v>В-19597/КЛ.Транш - 2</v>
          </cell>
          <cell r="D594">
            <v>79800046483</v>
          </cell>
          <cell r="F594">
            <v>79800046483</v>
          </cell>
        </row>
        <row r="595">
          <cell r="A595" t="str">
            <v>Жумабаев Умар Сонунбекович</v>
          </cell>
          <cell r="B595" t="str">
            <v>В-19597/КЛ.Транш - 4</v>
          </cell>
          <cell r="D595">
            <v>79800046483</v>
          </cell>
          <cell r="F595">
            <v>79800046483</v>
          </cell>
        </row>
        <row r="596">
          <cell r="A596" t="str">
            <v>Журавлёв Денис Сергеевич</v>
          </cell>
          <cell r="B596" t="str">
            <v>В-25052/КЛ.Транш - 1</v>
          </cell>
          <cell r="D596">
            <v>79229271317</v>
          </cell>
          <cell r="F596">
            <v>79229271317</v>
          </cell>
        </row>
        <row r="597">
          <cell r="A597" t="str">
            <v>Журавлева Анастасия Александровна</v>
          </cell>
          <cell r="B597" t="str">
            <v>В-01098/АЗ</v>
          </cell>
          <cell r="D597">
            <v>89055553616</v>
          </cell>
          <cell r="F597">
            <v>79055553616</v>
          </cell>
        </row>
        <row r="598">
          <cell r="A598" t="str">
            <v>Журавлева Наталья Юрьевна</v>
          </cell>
          <cell r="B598" t="str">
            <v>В-21208/КЛ.Транш - 1_В-20211230/Ц</v>
          </cell>
          <cell r="D598">
            <v>89067819144</v>
          </cell>
          <cell r="F598">
            <v>79067819144</v>
          </cell>
        </row>
        <row r="599">
          <cell r="A599" t="str">
            <v>Журавлева Наталья Юрьевна</v>
          </cell>
          <cell r="B599" t="str">
            <v>В-21208/КЛ.Транш - 2_В-20211230/Ц</v>
          </cell>
          <cell r="D599">
            <v>89067819144</v>
          </cell>
          <cell r="F599">
            <v>79067819144</v>
          </cell>
        </row>
        <row r="600">
          <cell r="A600" t="str">
            <v>Забиров Ринат Шавкатович</v>
          </cell>
          <cell r="B600" t="str">
            <v>В-01179/АЗ_В-20211230/Ц</v>
          </cell>
          <cell r="D600">
            <v>79119863113</v>
          </cell>
          <cell r="F600">
            <v>79119863113</v>
          </cell>
        </row>
        <row r="601">
          <cell r="A601" t="str">
            <v>Завойских Станислав Вадимович</v>
          </cell>
          <cell r="B601" t="str">
            <v>В-24012/КЛ.Транш - 1</v>
          </cell>
          <cell r="D601">
            <v>89168261965</v>
          </cell>
          <cell r="F601">
            <v>79168261965</v>
          </cell>
        </row>
        <row r="602">
          <cell r="A602" t="str">
            <v>Заворина Елена Георгиевна</v>
          </cell>
          <cell r="B602" t="str">
            <v>В-15073/КЛ.Транш - 3</v>
          </cell>
          <cell r="C602">
            <v>74964425733</v>
          </cell>
          <cell r="D602">
            <v>79055613931</v>
          </cell>
          <cell r="E602">
            <v>79055613931</v>
          </cell>
          <cell r="F602">
            <v>79055613931</v>
          </cell>
        </row>
        <row r="603">
          <cell r="A603" t="str">
            <v>Загорулько Алексей Сергеевич</v>
          </cell>
          <cell r="B603" t="str">
            <v>В-26517/КЛ.Транш - 1</v>
          </cell>
          <cell r="D603">
            <v>79654586720</v>
          </cell>
        </row>
        <row r="604">
          <cell r="A604" t="str">
            <v>Загорулько Елена Михайловна</v>
          </cell>
          <cell r="B604" t="str">
            <v>В-17962/КЛ.Транш - 1</v>
          </cell>
          <cell r="D604">
            <v>89295634233</v>
          </cell>
          <cell r="F604">
            <v>79295634233</v>
          </cell>
        </row>
        <row r="605">
          <cell r="A605" t="str">
            <v>Загребельный Юрий Николаевич</v>
          </cell>
          <cell r="B605" t="str">
            <v>В-25407/КЛ.Транш - 1</v>
          </cell>
          <cell r="D605">
            <v>79251766003</v>
          </cell>
          <cell r="F605">
            <v>79251766003</v>
          </cell>
        </row>
        <row r="606">
          <cell r="A606" t="str">
            <v>Заика Денис Викторович</v>
          </cell>
          <cell r="B606" t="str">
            <v>В-04333/КЛ.Транш - 3</v>
          </cell>
          <cell r="D606">
            <v>79031598282</v>
          </cell>
          <cell r="F606">
            <v>79031598282</v>
          </cell>
        </row>
        <row r="607">
          <cell r="A607" t="str">
            <v>Заика Денис Викторович</v>
          </cell>
          <cell r="B607" t="str">
            <v>В-04333/КЛ.Транш - 8</v>
          </cell>
          <cell r="D607">
            <v>79031598282</v>
          </cell>
          <cell r="F607">
            <v>79031598282</v>
          </cell>
        </row>
        <row r="608">
          <cell r="A608" t="str">
            <v>Зайцев Антон Эдуардович</v>
          </cell>
          <cell r="B608" t="str">
            <v>В-14196/КЛ.Транш - 1</v>
          </cell>
          <cell r="D608">
            <v>79869500103</v>
          </cell>
          <cell r="F608">
            <v>79869500103</v>
          </cell>
        </row>
        <row r="609">
          <cell r="A609" t="str">
            <v>Зайцев Владимир Васильевич</v>
          </cell>
          <cell r="B609" t="str">
            <v>В-24363/КЛ.Транш - 1</v>
          </cell>
          <cell r="D609">
            <v>79091638358</v>
          </cell>
          <cell r="F609">
            <v>79091638358</v>
          </cell>
        </row>
        <row r="610">
          <cell r="A610" t="str">
            <v>Зайцев Владимир Васильевич</v>
          </cell>
          <cell r="B610" t="str">
            <v>В-24363/КЛ.Транш - 2</v>
          </cell>
          <cell r="D610">
            <v>79091638358</v>
          </cell>
          <cell r="F610">
            <v>79091638358</v>
          </cell>
        </row>
        <row r="611">
          <cell r="A611" t="str">
            <v>Зайцев Иван Владимирович</v>
          </cell>
          <cell r="B611" t="str">
            <v>В-13449/КЛ.Транш - 1</v>
          </cell>
          <cell r="D611">
            <v>79966163228</v>
          </cell>
          <cell r="F611">
            <v>79966163228</v>
          </cell>
        </row>
        <row r="612">
          <cell r="A612" t="str">
            <v>Зайцева Светлана Юрьевна</v>
          </cell>
          <cell r="B612" t="str">
            <v>В-22744/КЛ.Транш - 1</v>
          </cell>
          <cell r="D612">
            <v>79517794128</v>
          </cell>
          <cell r="F612">
            <v>79517794128</v>
          </cell>
        </row>
        <row r="613">
          <cell r="A613" t="str">
            <v>Залевский Александр Владиславович</v>
          </cell>
          <cell r="B613" t="str">
            <v>В-02641/КЛ.Транш - 1</v>
          </cell>
          <cell r="D613">
            <v>89683369352</v>
          </cell>
          <cell r="E613">
            <v>89777011323</v>
          </cell>
          <cell r="F613">
            <v>79683369352</v>
          </cell>
        </row>
        <row r="614">
          <cell r="A614" t="str">
            <v>Заманов Сулейман Валех оглы</v>
          </cell>
          <cell r="B614" t="str">
            <v>В-00872/АЗ</v>
          </cell>
          <cell r="D614">
            <v>79150554143</v>
          </cell>
          <cell r="F614">
            <v>79150554143</v>
          </cell>
        </row>
        <row r="615">
          <cell r="A615" t="str">
            <v>Заргаров Насиб Зияддин Оглы</v>
          </cell>
          <cell r="B615" t="str">
            <v>В-00678/КЛ.Транш - 1</v>
          </cell>
          <cell r="D615">
            <v>89031415151</v>
          </cell>
          <cell r="F615">
            <v>79031415151</v>
          </cell>
        </row>
        <row r="616">
          <cell r="A616" t="str">
            <v>Заргарян Марианна Марленовна</v>
          </cell>
          <cell r="B616" t="str">
            <v>В-15330/КЛ.Транш - 1_В-20211230/Ц</v>
          </cell>
          <cell r="D616">
            <v>79661451051</v>
          </cell>
          <cell r="F616">
            <v>79661451051</v>
          </cell>
        </row>
        <row r="617">
          <cell r="A617" t="str">
            <v>Заречкина Светлана Сергеевна</v>
          </cell>
          <cell r="B617" t="str">
            <v>В-05064/КЛ.Транш - 1</v>
          </cell>
          <cell r="D617">
            <v>79151771236</v>
          </cell>
          <cell r="F617">
            <v>79151771236</v>
          </cell>
        </row>
        <row r="618">
          <cell r="A618" t="str">
            <v>Зарипов Булат Ульфатович</v>
          </cell>
          <cell r="B618" t="str">
            <v>В-15156/КЛ.Транш - 1_В-20211230/Ц</v>
          </cell>
          <cell r="D618">
            <v>79997503686</v>
          </cell>
          <cell r="F618">
            <v>79997503686</v>
          </cell>
        </row>
        <row r="619">
          <cell r="A619" t="str">
            <v>Захаркин Алексей Викторович</v>
          </cell>
          <cell r="B619" t="str">
            <v>В-01898/КЛ.Транш - 1</v>
          </cell>
          <cell r="D619">
            <v>79035496858</v>
          </cell>
          <cell r="F619">
            <v>79035496858</v>
          </cell>
        </row>
        <row r="620">
          <cell r="A620" t="str">
            <v>Захаркова Ирина Валерьевна</v>
          </cell>
          <cell r="B620" t="str">
            <v>В-11847/КЛ.Транш - 1</v>
          </cell>
          <cell r="C620">
            <v>79109060450</v>
          </cell>
        </row>
        <row r="621">
          <cell r="A621" t="str">
            <v>Захаров Виктор Алексеевич</v>
          </cell>
          <cell r="B621" t="str">
            <v>В-28703/КЛ.Транш - 1</v>
          </cell>
          <cell r="D621">
            <v>89778809927</v>
          </cell>
          <cell r="F621">
            <v>79778809927</v>
          </cell>
        </row>
        <row r="622">
          <cell r="A622" t="str">
            <v>Захаров Евгений Николаевич 2</v>
          </cell>
          <cell r="B622" t="str">
            <v>В-00986/КЛ.Транш - 1</v>
          </cell>
          <cell r="D622">
            <v>89060977611</v>
          </cell>
          <cell r="F622">
            <v>79060977611</v>
          </cell>
        </row>
        <row r="623">
          <cell r="A623" t="str">
            <v>Захарова Ирина Константиновна</v>
          </cell>
          <cell r="B623" t="str">
            <v>В-12912/КЛ.Транш - 1</v>
          </cell>
          <cell r="D623">
            <v>79519086580</v>
          </cell>
          <cell r="F623">
            <v>79519086580</v>
          </cell>
        </row>
        <row r="624">
          <cell r="A624" t="str">
            <v>Зеленков Алексей Владимирович</v>
          </cell>
          <cell r="B624" t="str">
            <v>В-08942/КЛ.Транш - 1</v>
          </cell>
          <cell r="D624">
            <v>79160050904</v>
          </cell>
          <cell r="F624">
            <v>79160050904</v>
          </cell>
        </row>
        <row r="625">
          <cell r="A625" t="str">
            <v>Зеленский Альберт Александрович</v>
          </cell>
          <cell r="B625" t="str">
            <v>В-00100/АЗ</v>
          </cell>
          <cell r="D625">
            <v>79283343232</v>
          </cell>
          <cell r="F625">
            <v>79283343232</v>
          </cell>
        </row>
        <row r="626">
          <cell r="A626" t="str">
            <v>Зелинский Антон Павлович</v>
          </cell>
          <cell r="B626" t="str">
            <v>В-17310/КЛ.Транш - 1</v>
          </cell>
          <cell r="D626">
            <v>79646999991</v>
          </cell>
          <cell r="F626">
            <v>79646999991</v>
          </cell>
        </row>
        <row r="627">
          <cell r="A627" t="str">
            <v>Зенин Александр Петрович</v>
          </cell>
          <cell r="B627" t="str">
            <v>А-04751/АЗ</v>
          </cell>
          <cell r="D627">
            <v>79623634939</v>
          </cell>
          <cell r="E627">
            <v>79623634939</v>
          </cell>
        </row>
        <row r="628">
          <cell r="A628" t="str">
            <v>Зинина Анна Вячеславовна</v>
          </cell>
          <cell r="B628" t="str">
            <v>В-14560/КЛ.Транш - 3</v>
          </cell>
          <cell r="D628">
            <v>79033812771</v>
          </cell>
          <cell r="F628">
            <v>79033812771</v>
          </cell>
        </row>
        <row r="629">
          <cell r="A629" t="str">
            <v>Зинина Анна Вячеславовна</v>
          </cell>
          <cell r="B629" t="str">
            <v>В-14560/КЛ.Транш - 2</v>
          </cell>
          <cell r="D629">
            <v>79033812771</v>
          </cell>
          <cell r="F629">
            <v>79033812771</v>
          </cell>
        </row>
        <row r="630">
          <cell r="A630" t="str">
            <v>Зинкевич Константин Владимирович</v>
          </cell>
          <cell r="B630" t="str">
            <v>В-17167/КЛ.Транш - 1_В-20211230/Ц</v>
          </cell>
          <cell r="D630">
            <v>79284641675</v>
          </cell>
          <cell r="F630">
            <v>79284641675</v>
          </cell>
        </row>
        <row r="631">
          <cell r="A631" t="str">
            <v>Зиновьева Елена Николаевна</v>
          </cell>
          <cell r="B631" t="str">
            <v>В-15831/КЛ.Транш - 1</v>
          </cell>
          <cell r="D631">
            <v>79155238688</v>
          </cell>
          <cell r="F631">
            <v>79155238688</v>
          </cell>
        </row>
        <row r="632">
          <cell r="A632" t="str">
            <v>Зияев Азиз Джамшедович</v>
          </cell>
          <cell r="B632" t="str">
            <v>В-00835/АЗ_В-20211230/Ц</v>
          </cell>
          <cell r="D632">
            <v>89997114444</v>
          </cell>
          <cell r="F632">
            <v>79997114444</v>
          </cell>
        </row>
        <row r="633">
          <cell r="A633" t="str">
            <v>Зияев Азиз Джамшедович</v>
          </cell>
          <cell r="B633" t="str">
            <v>В-00836/АЗ_В-20211230/Ц</v>
          </cell>
          <cell r="D633">
            <v>89997114444</v>
          </cell>
          <cell r="F633">
            <v>79997114444</v>
          </cell>
        </row>
        <row r="634">
          <cell r="A634" t="str">
            <v>Зияев Азиз Джамшедович</v>
          </cell>
          <cell r="B634" t="str">
            <v>В-00832/АЗ_В-20211230/Ц</v>
          </cell>
          <cell r="D634">
            <v>89997114444</v>
          </cell>
          <cell r="F634">
            <v>79997114444</v>
          </cell>
        </row>
        <row r="635">
          <cell r="A635" t="str">
            <v>Зияев Азиз Джамшедович</v>
          </cell>
          <cell r="B635" t="str">
            <v>В-00833/АЗ_В-20211230/Ц</v>
          </cell>
          <cell r="D635">
            <v>89997114444</v>
          </cell>
          <cell r="F635">
            <v>79997114444</v>
          </cell>
        </row>
        <row r="636">
          <cell r="A636" t="str">
            <v>Златин Денис Петрович</v>
          </cell>
          <cell r="B636" t="str">
            <v>В-24927/КЛ.Транш - 1</v>
          </cell>
          <cell r="D636">
            <v>79092265724</v>
          </cell>
          <cell r="F636">
            <v>79092265724</v>
          </cell>
        </row>
        <row r="637">
          <cell r="A637" t="str">
            <v>Змиевский Владимир Владимирович</v>
          </cell>
          <cell r="B637" t="str">
            <v>В-00953/АЗ</v>
          </cell>
          <cell r="D637">
            <v>79062610803</v>
          </cell>
          <cell r="F637">
            <v>79062610803</v>
          </cell>
        </row>
        <row r="638">
          <cell r="A638" t="str">
            <v>Зозулич Мария Федоровна</v>
          </cell>
          <cell r="B638" t="str">
            <v>В-15735/КЛ.Транш - 2</v>
          </cell>
          <cell r="D638">
            <v>79102164993</v>
          </cell>
          <cell r="F638">
            <v>79102164993</v>
          </cell>
        </row>
        <row r="639">
          <cell r="A639" t="str">
            <v>Золотарева Марина Владимировна 2</v>
          </cell>
          <cell r="B639" t="str">
            <v>В-20713/КЛ.Транш - 1</v>
          </cell>
          <cell r="D639">
            <v>79289571255</v>
          </cell>
          <cell r="E639">
            <v>79281640574</v>
          </cell>
          <cell r="F639">
            <v>79289571255</v>
          </cell>
        </row>
        <row r="640">
          <cell r="A640" t="str">
            <v>Золотарева Марина Владимировна 2</v>
          </cell>
          <cell r="B640" t="str">
            <v>В-20713/КЛ.Транш - 2</v>
          </cell>
          <cell r="D640">
            <v>79289571255</v>
          </cell>
          <cell r="E640">
            <v>79281640574</v>
          </cell>
          <cell r="F640">
            <v>79289571255</v>
          </cell>
        </row>
        <row r="641">
          <cell r="A641" t="str">
            <v>Золотов Олег Владимирович</v>
          </cell>
          <cell r="B641" t="str">
            <v>В-23840/КЛ.Транш - 1_В-20211230/Ц</v>
          </cell>
          <cell r="D641">
            <v>79011757052</v>
          </cell>
          <cell r="F641">
            <v>79011757052</v>
          </cell>
        </row>
        <row r="642">
          <cell r="A642" t="str">
            <v>Зотов Дмитрий Анатольевич</v>
          </cell>
          <cell r="B642" t="str">
            <v>В-23555/КЛ.Транш - 1</v>
          </cell>
          <cell r="D642">
            <v>79156605620</v>
          </cell>
          <cell r="F642">
            <v>79156605620</v>
          </cell>
        </row>
        <row r="643">
          <cell r="A643" t="str">
            <v>Зотов Дмитрий Анатольевич</v>
          </cell>
          <cell r="B643" t="str">
            <v>В-23555/КЛ.Транш - 2</v>
          </cell>
          <cell r="D643">
            <v>79156605620</v>
          </cell>
          <cell r="F643">
            <v>79156605620</v>
          </cell>
        </row>
        <row r="644">
          <cell r="A644" t="str">
            <v>Зубов Виталий Владимирович</v>
          </cell>
          <cell r="B644" t="str">
            <v>В-06343/КЛ.Транш - 1</v>
          </cell>
          <cell r="D644">
            <v>79035427065</v>
          </cell>
          <cell r="F644">
            <v>79035427065</v>
          </cell>
        </row>
        <row r="645">
          <cell r="A645" t="str">
            <v>Зубов Виталий Владимирович</v>
          </cell>
          <cell r="B645" t="str">
            <v>В-06343/КЛ.Транш - 2</v>
          </cell>
          <cell r="D645">
            <v>79035427065</v>
          </cell>
          <cell r="F645">
            <v>79035427065</v>
          </cell>
        </row>
        <row r="646">
          <cell r="A646" t="str">
            <v>Зуева Мария Михайловна</v>
          </cell>
          <cell r="B646" t="str">
            <v>В-22996/КЛ.Транш - 3</v>
          </cell>
          <cell r="D646">
            <v>89858917170</v>
          </cell>
          <cell r="F646">
            <v>79858917170</v>
          </cell>
        </row>
        <row r="647">
          <cell r="A647" t="str">
            <v>Зуева Мария Михайловна</v>
          </cell>
          <cell r="B647" t="str">
            <v>В-22996/КЛ.Транш - 1</v>
          </cell>
          <cell r="D647">
            <v>89858917170</v>
          </cell>
          <cell r="F647">
            <v>79858917170</v>
          </cell>
        </row>
        <row r="648">
          <cell r="A648" t="str">
            <v>Зуева Мария Михайловна</v>
          </cell>
          <cell r="B648" t="str">
            <v>В-22996/КЛ.Транш - 4</v>
          </cell>
          <cell r="D648">
            <v>89858917170</v>
          </cell>
          <cell r="F648">
            <v>79858917170</v>
          </cell>
        </row>
        <row r="649">
          <cell r="A649" t="str">
            <v>Зуева Мария Михайловна</v>
          </cell>
          <cell r="B649" t="str">
            <v>В-22996/КЛ.Транш - 2</v>
          </cell>
          <cell r="D649">
            <v>89858917170</v>
          </cell>
          <cell r="F649">
            <v>79858917170</v>
          </cell>
        </row>
        <row r="650">
          <cell r="A650" t="str">
            <v>Зуева Светлана Григорьевна</v>
          </cell>
          <cell r="B650" t="str">
            <v>А-04955/АЗ</v>
          </cell>
          <cell r="C650">
            <v>74953724696</v>
          </cell>
          <cell r="D650">
            <v>79859206617</v>
          </cell>
          <cell r="E650">
            <v>79859206617</v>
          </cell>
        </row>
        <row r="651">
          <cell r="A651" t="str">
            <v>Зюба Наталья Сергеевна</v>
          </cell>
          <cell r="B651" t="str">
            <v>В-01634/КЛ.Транш - 4</v>
          </cell>
          <cell r="D651">
            <v>79661280456</v>
          </cell>
          <cell r="F651">
            <v>79661280456</v>
          </cell>
        </row>
        <row r="652">
          <cell r="A652" t="str">
            <v>Зюнин Александр Сергеевич</v>
          </cell>
          <cell r="B652" t="str">
            <v>В-11781/КЛ.Транш - 3</v>
          </cell>
          <cell r="D652">
            <v>89268116094</v>
          </cell>
          <cell r="F652">
            <v>79268116094</v>
          </cell>
        </row>
        <row r="653">
          <cell r="A653" t="str">
            <v>Ибрагимов Асхаб Ибрагимович</v>
          </cell>
          <cell r="B653" t="str">
            <v>В-24610/КЛ.Транш - 1</v>
          </cell>
          <cell r="D653">
            <v>89672545999</v>
          </cell>
          <cell r="F653">
            <v>79672545999</v>
          </cell>
        </row>
        <row r="654">
          <cell r="A654" t="str">
            <v>Ибрагимов Тимирбулат Мусаевич</v>
          </cell>
          <cell r="B654" t="str">
            <v>В-06092/КЛ.Транш - 1</v>
          </cell>
          <cell r="D654">
            <v>89296335133</v>
          </cell>
          <cell r="F654">
            <v>79296335133</v>
          </cell>
        </row>
        <row r="655">
          <cell r="A655" t="str">
            <v>Ивакин Тимофей Геннадьевич</v>
          </cell>
          <cell r="B655" t="str">
            <v>В-17852/КЛ.Транш - 1_В-20211230/Ц</v>
          </cell>
          <cell r="D655">
            <v>79105261243</v>
          </cell>
          <cell r="F655">
            <v>79105261243</v>
          </cell>
        </row>
        <row r="656">
          <cell r="A656" t="str">
            <v>Иванец Дмитрий Андреевич</v>
          </cell>
          <cell r="B656" t="str">
            <v>В-00823/АЗ</v>
          </cell>
          <cell r="D656">
            <v>79214459367</v>
          </cell>
          <cell r="F656">
            <v>79214459367</v>
          </cell>
        </row>
        <row r="657">
          <cell r="A657" t="str">
            <v>Иванов Александр Сергеевич</v>
          </cell>
          <cell r="B657" t="str">
            <v>В-23782/КЛ.Транш - 4</v>
          </cell>
          <cell r="D657">
            <v>79162049438</v>
          </cell>
          <cell r="F657">
            <v>79162049438</v>
          </cell>
        </row>
        <row r="658">
          <cell r="A658" t="str">
            <v>Иванов Александр Сергеевич</v>
          </cell>
          <cell r="B658" t="str">
            <v>В-23782/КЛ.Транш - 5</v>
          </cell>
          <cell r="D658">
            <v>79162049438</v>
          </cell>
          <cell r="F658">
            <v>79162049438</v>
          </cell>
        </row>
        <row r="659">
          <cell r="A659" t="str">
            <v>Иванов Алексей Александрович</v>
          </cell>
          <cell r="B659" t="str">
            <v>В-03465/КЛ.Транш - 1</v>
          </cell>
          <cell r="D659">
            <v>79384802224</v>
          </cell>
          <cell r="F659">
            <v>79384802224</v>
          </cell>
        </row>
        <row r="660">
          <cell r="A660" t="str">
            <v>Иванов Антон Олегович</v>
          </cell>
          <cell r="B660" t="str">
            <v>В-17095/КЛ.Транш - 1</v>
          </cell>
          <cell r="D660">
            <v>79206859288</v>
          </cell>
          <cell r="F660">
            <v>79206859288</v>
          </cell>
        </row>
        <row r="661">
          <cell r="A661" t="str">
            <v>Иванов Борис Александрович</v>
          </cell>
          <cell r="B661" t="str">
            <v>В-17625/КЛ.Транш - 1_В-20211230/Ц</v>
          </cell>
          <cell r="D661">
            <v>79811123018</v>
          </cell>
          <cell r="F661">
            <v>79811123018</v>
          </cell>
        </row>
        <row r="662">
          <cell r="A662" t="str">
            <v>Иванов Владимир Леонидович</v>
          </cell>
          <cell r="B662" t="str">
            <v>В-11534/КЛ.Транш - 1</v>
          </cell>
          <cell r="D662">
            <v>79637203035</v>
          </cell>
          <cell r="F662">
            <v>79637203035</v>
          </cell>
        </row>
        <row r="663">
          <cell r="A663" t="str">
            <v>Иванов Владимир Леонидович</v>
          </cell>
          <cell r="B663" t="str">
            <v>В-11534/КЛ.Транш - 2</v>
          </cell>
          <cell r="D663">
            <v>79637203035</v>
          </cell>
          <cell r="F663">
            <v>79637203035</v>
          </cell>
        </row>
        <row r="664">
          <cell r="A664" t="str">
            <v>Иванов Евгений Владимирович</v>
          </cell>
          <cell r="B664" t="str">
            <v>А-00063/БЭ</v>
          </cell>
          <cell r="D664">
            <v>79037296324</v>
          </cell>
          <cell r="E664">
            <v>79037296324</v>
          </cell>
          <cell r="F664">
            <v>79037296324</v>
          </cell>
        </row>
        <row r="665">
          <cell r="A665" t="str">
            <v>Иванов Евгений Владимирович</v>
          </cell>
          <cell r="B665" t="str">
            <v>Т-00038/БЭ_Т-20211028/Ц</v>
          </cell>
          <cell r="D665">
            <v>79037296324</v>
          </cell>
          <cell r="E665">
            <v>79037296324</v>
          </cell>
          <cell r="F665">
            <v>79037296324</v>
          </cell>
        </row>
        <row r="666">
          <cell r="A666" t="str">
            <v>Иванов Илья Андреевич</v>
          </cell>
          <cell r="B666" t="str">
            <v>В-18216/КЛ.Транш - 1_В-20211230/Ц</v>
          </cell>
          <cell r="D666">
            <v>79313541669</v>
          </cell>
          <cell r="F666">
            <v>79313541669</v>
          </cell>
        </row>
        <row r="667">
          <cell r="A667" t="str">
            <v>Иванов Николай Александрович</v>
          </cell>
          <cell r="B667" t="str">
            <v>В-17061/КЛ.Транш - 1</v>
          </cell>
          <cell r="D667">
            <v>79033638557</v>
          </cell>
          <cell r="F667">
            <v>79033638557</v>
          </cell>
        </row>
        <row r="668">
          <cell r="A668" t="str">
            <v>Иванов Сергей Викторович</v>
          </cell>
          <cell r="B668" t="str">
            <v>Т-01775/АЗ_Т-20200626/Ц</v>
          </cell>
          <cell r="D668">
            <v>79163337170</v>
          </cell>
          <cell r="E668">
            <v>79163337170</v>
          </cell>
          <cell r="F668">
            <v>79163337170</v>
          </cell>
        </row>
        <row r="669">
          <cell r="A669" t="str">
            <v>Иванов Сергей Викторович</v>
          </cell>
          <cell r="B669" t="str">
            <v>А-05285/АЗ_Т-20200626/Ц</v>
          </cell>
          <cell r="D669">
            <v>79163337170</v>
          </cell>
          <cell r="E669">
            <v>79163337170</v>
          </cell>
          <cell r="F669">
            <v>79163337170</v>
          </cell>
        </row>
        <row r="670">
          <cell r="A670" t="str">
            <v>Иванченко Сергей Александрович</v>
          </cell>
          <cell r="B670" t="str">
            <v>В-12551/КЛ.Транш - 1_В-20211230/Ц</v>
          </cell>
          <cell r="D670">
            <v>89123452515</v>
          </cell>
          <cell r="F670">
            <v>79123452515</v>
          </cell>
        </row>
        <row r="671">
          <cell r="A671" t="str">
            <v>Ивкин Александр Викторович</v>
          </cell>
          <cell r="B671" t="str">
            <v>В-17362/КЛ.Транш - 1_В-20211230/Ц</v>
          </cell>
          <cell r="D671">
            <v>79034366683</v>
          </cell>
          <cell r="F671">
            <v>79034366683</v>
          </cell>
        </row>
        <row r="672">
          <cell r="A672" t="str">
            <v>Ивлева Ольга Николаевна</v>
          </cell>
          <cell r="B672" t="str">
            <v>В-00972/АЗ</v>
          </cell>
          <cell r="C672">
            <v>84954134290</v>
          </cell>
          <cell r="D672">
            <v>89039650503</v>
          </cell>
          <cell r="F672">
            <v>79039650503</v>
          </cell>
        </row>
        <row r="673">
          <cell r="A673" t="str">
            <v>Игнатенко Александр Анатольевич</v>
          </cell>
          <cell r="B673" t="str">
            <v>В-01146/АЗ</v>
          </cell>
          <cell r="C673">
            <v>78124607228</v>
          </cell>
          <cell r="D673">
            <v>79119225906</v>
          </cell>
          <cell r="E673">
            <v>79119225906</v>
          </cell>
          <cell r="F673">
            <v>79119225906</v>
          </cell>
        </row>
        <row r="674">
          <cell r="A674" t="str">
            <v>Игнатенко Вера Александровна</v>
          </cell>
          <cell r="B674" t="str">
            <v>В-01145/АЗ</v>
          </cell>
          <cell r="D674">
            <v>79213793379</v>
          </cell>
        </row>
        <row r="675">
          <cell r="A675" t="str">
            <v>Иджян Соломон Сергеевич</v>
          </cell>
          <cell r="B675" t="str">
            <v>А-05208/АЗ</v>
          </cell>
          <cell r="D675">
            <v>79881622202</v>
          </cell>
          <cell r="E675">
            <v>79881622202</v>
          </cell>
        </row>
        <row r="676">
          <cell r="A676" t="str">
            <v>Иджян Соломон Сергеевич</v>
          </cell>
          <cell r="B676" t="str">
            <v>Т-01758/АЗ_А-20200626/Ц</v>
          </cell>
          <cell r="D676">
            <v>79881622202</v>
          </cell>
          <cell r="E676">
            <v>79881622202</v>
          </cell>
        </row>
        <row r="677">
          <cell r="A677" t="str">
            <v>Измайлова Юлия Игоревна</v>
          </cell>
          <cell r="B677" t="str">
            <v>В-19662/КЛ.Транш - 1</v>
          </cell>
          <cell r="D677">
            <v>79057510088</v>
          </cell>
          <cell r="F677">
            <v>79057510088</v>
          </cell>
        </row>
        <row r="678">
          <cell r="A678" t="str">
            <v>Ильин Руслан Михайлович</v>
          </cell>
          <cell r="B678" t="str">
            <v>В-28544/КЛ.Транш - 1</v>
          </cell>
          <cell r="D678">
            <v>79186920208</v>
          </cell>
        </row>
        <row r="679">
          <cell r="A679" t="str">
            <v>Ильин Сергей Михайлович</v>
          </cell>
          <cell r="B679" t="str">
            <v>В-09203/КЛ.Транш - 1</v>
          </cell>
          <cell r="D679">
            <v>79157355780</v>
          </cell>
          <cell r="F679">
            <v>79157355780</v>
          </cell>
        </row>
        <row r="680">
          <cell r="A680" t="str">
            <v>Ильинский Владимир Юрьевич</v>
          </cell>
          <cell r="B680" t="str">
            <v>В-16915/КЛ.Транш - 1_В-20211230/Ц</v>
          </cell>
          <cell r="D680">
            <v>79147072143</v>
          </cell>
          <cell r="F680">
            <v>79147072143</v>
          </cell>
        </row>
        <row r="681">
          <cell r="A681" t="str">
            <v>Ильченко Анастасия Сергеевна</v>
          </cell>
          <cell r="B681" t="str">
            <v>В-00320/КЛ.Транш - 1</v>
          </cell>
          <cell r="C681">
            <v>84991498866</v>
          </cell>
          <cell r="D681">
            <v>89261613726</v>
          </cell>
          <cell r="F681">
            <v>79261613726</v>
          </cell>
        </row>
        <row r="682">
          <cell r="A682" t="str">
            <v>Инджелер Фатих</v>
          </cell>
          <cell r="B682" t="str">
            <v>В-10278/КЛ.Транш - 1</v>
          </cell>
          <cell r="D682">
            <v>79295613402</v>
          </cell>
          <cell r="F682">
            <v>79295613402</v>
          </cell>
        </row>
        <row r="683">
          <cell r="A683" t="str">
            <v>Инютин Никита Александрович</v>
          </cell>
          <cell r="B683" t="str">
            <v>В-25747/КЛ.Транш - 1_В-20211230/Ц</v>
          </cell>
          <cell r="D683">
            <v>79192524444</v>
          </cell>
          <cell r="F683">
            <v>79192524444</v>
          </cell>
        </row>
        <row r="684">
          <cell r="A684" t="str">
            <v>ИП Аббасов Амин Тофиг Оглы</v>
          </cell>
          <cell r="B684" t="str">
            <v>А-10045/КЭ.Транш - 2</v>
          </cell>
          <cell r="D684">
            <v>89643724946</v>
          </cell>
          <cell r="F684">
            <v>79643724946</v>
          </cell>
        </row>
        <row r="685">
          <cell r="A685" t="str">
            <v>ИП Акулич Александр Сергеевич</v>
          </cell>
          <cell r="B685" t="str">
            <v>А-10061/КЭ.Транш - 1</v>
          </cell>
          <cell r="D685">
            <v>79214407990</v>
          </cell>
          <cell r="F685">
            <v>79214407990</v>
          </cell>
        </row>
        <row r="686">
          <cell r="A686" t="str">
            <v>ИП Антонов Павел Владимирович</v>
          </cell>
          <cell r="B686" t="str">
            <v>А-10100/КЭ.Транш - 3</v>
          </cell>
          <cell r="D686">
            <v>79056321557</v>
          </cell>
          <cell r="F686">
            <v>79046321557</v>
          </cell>
        </row>
        <row r="687">
          <cell r="A687" t="str">
            <v>ИП Аракелян Мелине Микаеловна</v>
          </cell>
          <cell r="B687" t="str">
            <v>В-00054/КЭ.Транш - 1</v>
          </cell>
          <cell r="C687">
            <v>79166331642</v>
          </cell>
          <cell r="D687">
            <v>79264361146</v>
          </cell>
        </row>
        <row r="688">
          <cell r="A688" t="str">
            <v>ИП Артемов Александр Викторович</v>
          </cell>
          <cell r="B688" t="str">
            <v>В-30007/КЭ.Транш - 1</v>
          </cell>
          <cell r="D688">
            <v>79184334107</v>
          </cell>
        </row>
        <row r="689">
          <cell r="A689" t="str">
            <v>ИП Артемов Александр Викторович</v>
          </cell>
          <cell r="B689" t="str">
            <v>В-30007/КЭ.Транш - 2</v>
          </cell>
          <cell r="D689">
            <v>79184334107</v>
          </cell>
        </row>
        <row r="690">
          <cell r="A690" t="str">
            <v>ИП Арутюнян Ваге Андреасович</v>
          </cell>
          <cell r="B690" t="str">
            <v>В-00021/КЭ.Транш - 1_В-20211230/Ц</v>
          </cell>
          <cell r="D690">
            <v>79153880555</v>
          </cell>
          <cell r="F690">
            <v>79153880555</v>
          </cell>
        </row>
        <row r="691">
          <cell r="A691" t="str">
            <v>ИП Байрахтарян Артём Григорьевич</v>
          </cell>
          <cell r="B691" t="str">
            <v>В-00069/КЭ.Транш - 1</v>
          </cell>
          <cell r="D691">
            <v>79099695252</v>
          </cell>
        </row>
        <row r="692">
          <cell r="A692" t="str">
            <v>ИП Белан Надежда Александровна</v>
          </cell>
          <cell r="B692" t="str">
            <v>В-30001/КЭ.Транш - 1</v>
          </cell>
          <cell r="D692">
            <v>79183323932</v>
          </cell>
          <cell r="F692">
            <v>79183323932</v>
          </cell>
        </row>
        <row r="693">
          <cell r="A693" t="str">
            <v>ИП Белов Александр Сергеевич</v>
          </cell>
          <cell r="B693" t="str">
            <v>В-00060/КЭ.Транш - 1</v>
          </cell>
          <cell r="C693">
            <v>74954304918</v>
          </cell>
          <cell r="D693">
            <v>79099391969</v>
          </cell>
        </row>
        <row r="694">
          <cell r="A694" t="str">
            <v>ИП Беляева Виктория Александровна</v>
          </cell>
          <cell r="B694" t="str">
            <v>А-10063/КЭ.Транш - 1</v>
          </cell>
          <cell r="D694">
            <v>79213460096</v>
          </cell>
          <cell r="F694">
            <v>79213460096</v>
          </cell>
        </row>
        <row r="695">
          <cell r="A695" t="str">
            <v>ИП Богданова Лариса Анатольевна</v>
          </cell>
          <cell r="B695" t="str">
            <v>Т-10005/КЭ_Т-20211028/Ц</v>
          </cell>
          <cell r="C695">
            <v>78122450263</v>
          </cell>
          <cell r="D695">
            <v>79112545697</v>
          </cell>
          <cell r="F695">
            <v>79112545697</v>
          </cell>
        </row>
        <row r="696">
          <cell r="A696" t="str">
            <v>ИП Бойко Василий Анатольевич</v>
          </cell>
          <cell r="B696" t="str">
            <v>Т-00004/КЭ_Т-20211028/Ц</v>
          </cell>
          <cell r="D696">
            <v>79671222197</v>
          </cell>
          <cell r="E696">
            <v>79671222197</v>
          </cell>
        </row>
        <row r="697">
          <cell r="A697" t="str">
            <v>ИП Быданов Кирилл Владимирович</v>
          </cell>
          <cell r="B697" t="str">
            <v>А-10087/КЭ.Транш - 1</v>
          </cell>
          <cell r="D697">
            <v>79110946955</v>
          </cell>
          <cell r="F697">
            <v>79110946955</v>
          </cell>
        </row>
        <row r="698">
          <cell r="A698" t="str">
            <v>ИП Вертейко Алексей Михайлович</v>
          </cell>
          <cell r="B698" t="str">
            <v>В-30003/КЭ.Транш - 1</v>
          </cell>
          <cell r="D698">
            <v>79182987033</v>
          </cell>
          <cell r="F698">
            <v>79182987033</v>
          </cell>
        </row>
        <row r="699">
          <cell r="A699" t="str">
            <v>ИП Грозин Андрей Викторович</v>
          </cell>
          <cell r="B699" t="str">
            <v>А-00281/КЭ.Транш - 3</v>
          </cell>
          <cell r="C699">
            <v>84956751687</v>
          </cell>
          <cell r="D699">
            <v>89264038833</v>
          </cell>
          <cell r="F699">
            <v>79264038833</v>
          </cell>
        </row>
        <row r="700">
          <cell r="A700" t="str">
            <v>ИП Грозин Андрей Викторович</v>
          </cell>
          <cell r="B700" t="str">
            <v>А-00389/КЭ.Транш - 1</v>
          </cell>
          <cell r="C700">
            <v>84956751687</v>
          </cell>
          <cell r="D700">
            <v>89264038833</v>
          </cell>
          <cell r="F700">
            <v>79264038833</v>
          </cell>
        </row>
        <row r="701">
          <cell r="A701" t="str">
            <v>ИП Грозин Андрей Викторович</v>
          </cell>
          <cell r="B701" t="str">
            <v>А-00389/КЭ.Транш - 2</v>
          </cell>
          <cell r="C701">
            <v>84956751687</v>
          </cell>
          <cell r="D701">
            <v>89264038833</v>
          </cell>
          <cell r="F701">
            <v>79264038833</v>
          </cell>
        </row>
        <row r="702">
          <cell r="A702" t="str">
            <v>ИП Деньга Виктор Иванович</v>
          </cell>
          <cell r="B702" t="str">
            <v>В-00079/КЭ.Транш - 1</v>
          </cell>
          <cell r="D702">
            <v>79197747777</v>
          </cell>
        </row>
        <row r="703">
          <cell r="A703" t="str">
            <v>ИП Жаворонков Сергей Владимирович</v>
          </cell>
          <cell r="B703" t="str">
            <v>В-00043/КЭ.Транш - 1</v>
          </cell>
          <cell r="D703">
            <v>79255898029</v>
          </cell>
          <cell r="F703">
            <v>79255898029</v>
          </cell>
        </row>
        <row r="704">
          <cell r="A704" t="str">
            <v>ИП Зинченко Аркадий Александрович</v>
          </cell>
          <cell r="B704" t="str">
            <v>Т-10006/КЭ_Т-20211028/Ц</v>
          </cell>
          <cell r="D704">
            <v>79110063666</v>
          </cell>
          <cell r="F704">
            <v>79110063666</v>
          </cell>
        </row>
        <row r="705">
          <cell r="A705" t="str">
            <v>ИП Камшонков Александр Владимирович</v>
          </cell>
          <cell r="B705" t="str">
            <v>Т-00008/КЭ_Т-20211028/Ц</v>
          </cell>
          <cell r="C705">
            <v>74955020211</v>
          </cell>
          <cell r="D705">
            <v>79037289950</v>
          </cell>
          <cell r="F705">
            <v>79037289950</v>
          </cell>
        </row>
        <row r="706">
          <cell r="A706" t="str">
            <v>ИП Керимов Азер Байрам Оглы</v>
          </cell>
          <cell r="B706" t="str">
            <v>В-00051/КЭ.Транш - 1</v>
          </cell>
          <cell r="D706">
            <v>79256450105</v>
          </cell>
        </row>
        <row r="707">
          <cell r="A707" t="str">
            <v>ИП Клименченко Ирина Анатольевна</v>
          </cell>
          <cell r="B707" t="str">
            <v>А-30002/КЭ.Транш - 1</v>
          </cell>
          <cell r="C707">
            <v>89180370897</v>
          </cell>
          <cell r="D707">
            <v>89880827319</v>
          </cell>
        </row>
        <row r="708">
          <cell r="A708" t="str">
            <v>ИП Клякин Станислав Анатольевич</v>
          </cell>
          <cell r="B708" t="str">
            <v>Т-00002/КЭ_Т-20211028/Ц</v>
          </cell>
          <cell r="D708">
            <v>89168153007</v>
          </cell>
          <cell r="F708">
            <v>79168153007</v>
          </cell>
        </row>
        <row r="709">
          <cell r="A709" t="str">
            <v>ИП Королев Александр Владимирович</v>
          </cell>
          <cell r="B709" t="str">
            <v>А-10036/КЭ.Транш - 1</v>
          </cell>
          <cell r="F709">
            <v>79516730527</v>
          </cell>
        </row>
        <row r="710">
          <cell r="A710" t="str">
            <v>ИП Кругляк Наталья Анатольевна</v>
          </cell>
          <cell r="B710" t="str">
            <v>Т-00001/КЭ_Т-20211028/Ц</v>
          </cell>
          <cell r="D710">
            <v>89258274885</v>
          </cell>
          <cell r="F710">
            <v>79258274885</v>
          </cell>
        </row>
        <row r="711">
          <cell r="A711" t="str">
            <v>ИП Мамедов Рамин Алим Оглы</v>
          </cell>
          <cell r="B711" t="str">
            <v>В-00081/КЭ.Транш - 1</v>
          </cell>
          <cell r="D711">
            <v>79623235380</v>
          </cell>
          <cell r="F711">
            <v>79623235380</v>
          </cell>
        </row>
        <row r="712">
          <cell r="A712" t="str">
            <v>ИП Мамедов Эльдар Эльдарович</v>
          </cell>
          <cell r="B712" t="str">
            <v>А-00314/КЭ.Транш - 1</v>
          </cell>
          <cell r="C712">
            <v>84953038589</v>
          </cell>
          <cell r="D712">
            <v>89037650087</v>
          </cell>
          <cell r="F712">
            <v>79037650087</v>
          </cell>
        </row>
        <row r="713">
          <cell r="A713" t="str">
            <v>ИП Махавкина Валентина Николаевна</v>
          </cell>
          <cell r="B713" t="str">
            <v>А-10066/КЭ.Транш - 4</v>
          </cell>
          <cell r="D713" t="str">
            <v>89117829082, 89216434249</v>
          </cell>
          <cell r="F713">
            <v>79117829082</v>
          </cell>
        </row>
        <row r="714">
          <cell r="A714" t="str">
            <v>ИП Махавкина Валентина Николаевна</v>
          </cell>
          <cell r="B714" t="str">
            <v>А-10066/КЭ.Транш - 2</v>
          </cell>
          <cell r="D714" t="str">
            <v>89117829082, 89216434249</v>
          </cell>
          <cell r="F714">
            <v>79117829082</v>
          </cell>
        </row>
        <row r="715">
          <cell r="A715" t="str">
            <v>ИП Махавкина Валентина Николаевна</v>
          </cell>
          <cell r="B715" t="str">
            <v>А-10066/КЭ.Транш - 3</v>
          </cell>
          <cell r="D715" t="str">
            <v>89117829082, 89216434249</v>
          </cell>
          <cell r="F715">
            <v>79117829082</v>
          </cell>
        </row>
        <row r="716">
          <cell r="A716" t="str">
            <v>ИП Месропян Аревик Орбеловна</v>
          </cell>
          <cell r="B716" t="str">
            <v>В-00063/КЭ.Транш - 3</v>
          </cell>
          <cell r="D716">
            <v>79017013028</v>
          </cell>
        </row>
        <row r="717">
          <cell r="A717" t="str">
            <v>ИП Мехтиев Артём Викторович</v>
          </cell>
          <cell r="B717" t="str">
            <v>А-00255/КЭ.Транш - 1</v>
          </cell>
          <cell r="D717">
            <v>89258486280</v>
          </cell>
          <cell r="F717">
            <v>79258486280</v>
          </cell>
        </row>
        <row r="718">
          <cell r="A718" t="str">
            <v>ИП Нартоков Анзор Русланович</v>
          </cell>
          <cell r="B718" t="str">
            <v>А-00309/КЭ.Транш - 1</v>
          </cell>
          <cell r="F718">
            <v>79036772919</v>
          </cell>
        </row>
        <row r="719">
          <cell r="A719" t="str">
            <v>ИП Нартоков Анзор Русланович</v>
          </cell>
          <cell r="B719" t="str">
            <v>А-00309/КЭ.Транш - 2</v>
          </cell>
          <cell r="F719">
            <v>79036772919</v>
          </cell>
        </row>
        <row r="720">
          <cell r="A720" t="str">
            <v>ИП Окунева Лилия Викторовна</v>
          </cell>
          <cell r="B720" t="str">
            <v>В-00052/КЭ.Транш - 1</v>
          </cell>
          <cell r="D720">
            <v>79164344394</v>
          </cell>
        </row>
        <row r="721">
          <cell r="A721" t="str">
            <v>ИП Петров Юрий Викторович</v>
          </cell>
          <cell r="B721" t="str">
            <v>В-10025/КЭ.Транш - 1</v>
          </cell>
          <cell r="D721">
            <v>79111440300</v>
          </cell>
        </row>
        <row r="722">
          <cell r="A722" t="str">
            <v>ИП Петрухин Анатолий Васильевич</v>
          </cell>
          <cell r="B722" t="str">
            <v>В-30002/КЭ.Транш - 2</v>
          </cell>
          <cell r="D722">
            <v>79183629001</v>
          </cell>
          <cell r="E722">
            <v>89288819932</v>
          </cell>
          <cell r="F722">
            <v>79183629001</v>
          </cell>
        </row>
        <row r="723">
          <cell r="A723" t="str">
            <v>ИП Пивкин Константин Леонидович</v>
          </cell>
          <cell r="B723" t="str">
            <v>А-30005/КЭ.Транш - 1</v>
          </cell>
          <cell r="D723">
            <v>79061878051</v>
          </cell>
        </row>
        <row r="724">
          <cell r="A724" t="str">
            <v>ИП Пулянина Вероника Александровна</v>
          </cell>
          <cell r="B724" t="str">
            <v>А-00418/КЭ.Транш - 1</v>
          </cell>
          <cell r="C724">
            <v>74956863875</v>
          </cell>
          <cell r="D724">
            <v>79686805555</v>
          </cell>
          <cell r="F724">
            <v>79686805555</v>
          </cell>
        </row>
        <row r="725">
          <cell r="A725" t="str">
            <v>ИП Разумова Регина Дмитриевна</v>
          </cell>
          <cell r="B725" t="str">
            <v>В-00047/КЭ.Транш - 2</v>
          </cell>
          <cell r="C725">
            <v>7831472777</v>
          </cell>
          <cell r="D725">
            <v>7977722199</v>
          </cell>
          <cell r="F725">
            <v>79777221997</v>
          </cell>
        </row>
        <row r="726">
          <cell r="A726" t="str">
            <v>ИП Разумова Регина Дмитриевна</v>
          </cell>
          <cell r="B726" t="str">
            <v>В-00047/КЭ.Транш - 1</v>
          </cell>
          <cell r="C726">
            <v>7831472777</v>
          </cell>
          <cell r="D726">
            <v>7977722199</v>
          </cell>
          <cell r="F726">
            <v>79777221997</v>
          </cell>
        </row>
        <row r="727">
          <cell r="A727" t="str">
            <v>ИП Русин Дмитрий Валерьевич</v>
          </cell>
          <cell r="B727" t="str">
            <v>А-00467/КЭ.Транш - 1</v>
          </cell>
          <cell r="D727">
            <v>79671777722</v>
          </cell>
          <cell r="F727">
            <v>79671777722</v>
          </cell>
        </row>
        <row r="728">
          <cell r="A728" t="str">
            <v>ИП Сбитнева Нелли Игоревна</v>
          </cell>
          <cell r="B728" t="str">
            <v>А-00305/КЭ.Транш - 1</v>
          </cell>
          <cell r="F728">
            <v>79651080061</v>
          </cell>
        </row>
        <row r="729">
          <cell r="A729" t="str">
            <v>ИП Светлов Виталий Анатольевич</v>
          </cell>
          <cell r="B729" t="str">
            <v>А-10101/КЭ.Транш - 4</v>
          </cell>
          <cell r="D729">
            <v>79219537332</v>
          </cell>
          <cell r="F729">
            <v>79219537332</v>
          </cell>
        </row>
        <row r="730">
          <cell r="A730" t="str">
            <v>ИП Светлов Виталий Анатольевич</v>
          </cell>
          <cell r="B730" t="str">
            <v>В-10008/КЭ.Транш - 1</v>
          </cell>
          <cell r="D730">
            <v>79219537332</v>
          </cell>
          <cell r="F730">
            <v>79219537332</v>
          </cell>
        </row>
        <row r="731">
          <cell r="A731" t="str">
            <v>ИП Светлов Виталий Анатольевич</v>
          </cell>
          <cell r="B731" t="str">
            <v>В-10008/КЭ.Транш - 3</v>
          </cell>
          <cell r="D731">
            <v>79219537332</v>
          </cell>
          <cell r="F731">
            <v>79219537332</v>
          </cell>
        </row>
        <row r="732">
          <cell r="A732" t="str">
            <v>ИП Светлов Виталий Анатольевич</v>
          </cell>
          <cell r="B732" t="str">
            <v>В-10008/КЭ.Транш - 2</v>
          </cell>
          <cell r="D732">
            <v>79219537332</v>
          </cell>
          <cell r="F732">
            <v>79219537332</v>
          </cell>
        </row>
        <row r="733">
          <cell r="A733" t="str">
            <v>ИП Светлов Виталий Анатольевич</v>
          </cell>
          <cell r="B733" t="str">
            <v>В-10024/КЭ.Транш - 1</v>
          </cell>
          <cell r="D733">
            <v>79219537332</v>
          </cell>
          <cell r="F733">
            <v>79219537332</v>
          </cell>
        </row>
        <row r="734">
          <cell r="A734" t="str">
            <v>ИП Силкин Максим Алексеевич</v>
          </cell>
          <cell r="B734" t="str">
            <v>В-00032/КЭ.Транш - 14</v>
          </cell>
          <cell r="D734">
            <v>79653030110</v>
          </cell>
          <cell r="F734">
            <v>79653030110</v>
          </cell>
        </row>
        <row r="735">
          <cell r="A735" t="str">
            <v>ИП Силкин Максим Алексеевич</v>
          </cell>
          <cell r="B735" t="str">
            <v>В-00032/КЭ.Транш - 12</v>
          </cell>
          <cell r="D735">
            <v>79653030110</v>
          </cell>
          <cell r="F735">
            <v>79653030110</v>
          </cell>
        </row>
        <row r="736">
          <cell r="A736" t="str">
            <v>ИП Силкин Максим Алексеевич</v>
          </cell>
          <cell r="B736" t="str">
            <v>В-00032/КЭ.Транш - 13</v>
          </cell>
          <cell r="D736">
            <v>79653030110</v>
          </cell>
          <cell r="F736">
            <v>79653030110</v>
          </cell>
        </row>
        <row r="737">
          <cell r="A737" t="str">
            <v>ИП Силкин Максим Алексеевич</v>
          </cell>
          <cell r="B737" t="str">
            <v>В-00032/КЭ.Транш - 11</v>
          </cell>
          <cell r="D737">
            <v>79653030110</v>
          </cell>
          <cell r="F737">
            <v>79653030110</v>
          </cell>
        </row>
        <row r="738">
          <cell r="A738" t="str">
            <v>ИП Силкин Максим Алексеевич</v>
          </cell>
          <cell r="B738" t="str">
            <v>В-00032/КЭ.Транш - 10</v>
          </cell>
          <cell r="D738">
            <v>79653030110</v>
          </cell>
          <cell r="F738">
            <v>79653030110</v>
          </cell>
        </row>
        <row r="739">
          <cell r="A739" t="str">
            <v>ИП Силкин Максим Алексеевич</v>
          </cell>
          <cell r="B739" t="str">
            <v>В-00032/КЭ.Транш - 8</v>
          </cell>
          <cell r="D739">
            <v>79653030110</v>
          </cell>
          <cell r="F739">
            <v>79653030110</v>
          </cell>
        </row>
        <row r="740">
          <cell r="A740" t="str">
            <v>ИП Силютина Анна Геннадьевна</v>
          </cell>
          <cell r="B740" t="str">
            <v>А-00404/КЭ.Транш - 1</v>
          </cell>
          <cell r="D740">
            <v>79266552454</v>
          </cell>
        </row>
        <row r="741">
          <cell r="A741" t="str">
            <v>ИП Стрельникова Татьяна Владимировна</v>
          </cell>
          <cell r="B741" t="str">
            <v>В-00058/КЭ.Транш - 1</v>
          </cell>
          <cell r="C741">
            <v>74991262471</v>
          </cell>
          <cell r="D741">
            <v>79268711354</v>
          </cell>
        </row>
        <row r="742">
          <cell r="A742" t="str">
            <v>ИП Султанова Екатерина Владимировна</v>
          </cell>
          <cell r="B742" t="str">
            <v>А-00161/КЭ.Транш - 1</v>
          </cell>
          <cell r="F742">
            <v>79166461336</v>
          </cell>
        </row>
        <row r="743">
          <cell r="A743" t="str">
            <v>ИП Тен Елена Манкильевна</v>
          </cell>
          <cell r="B743" t="str">
            <v>В-00012/КЭ.Транш - 1_В-20211230/Ц</v>
          </cell>
          <cell r="C743">
            <v>84997435488</v>
          </cell>
          <cell r="E743">
            <v>89032215051</v>
          </cell>
          <cell r="F743">
            <v>79032215051</v>
          </cell>
        </row>
        <row r="744">
          <cell r="A744" t="str">
            <v>ИП Трескунова Ольга Евгеньевна</v>
          </cell>
          <cell r="B744" t="str">
            <v>А-10102/КЭ.Транш - 1</v>
          </cell>
          <cell r="C744">
            <v>78123767854</v>
          </cell>
          <cell r="D744">
            <v>79602570045</v>
          </cell>
          <cell r="F744">
            <v>79602570045</v>
          </cell>
        </row>
        <row r="745">
          <cell r="A745" t="str">
            <v>ИП Удалов Игорь Игоревич</v>
          </cell>
          <cell r="B745" t="str">
            <v>А-00435/КЭ.Транш - 1</v>
          </cell>
          <cell r="C745">
            <v>84954541093</v>
          </cell>
          <cell r="D745">
            <v>89857664406</v>
          </cell>
          <cell r="F745">
            <v>79857664406</v>
          </cell>
        </row>
        <row r="746">
          <cell r="A746" t="str">
            <v>ИП Фараджов Зейнал Алинаги Оглы</v>
          </cell>
          <cell r="B746" t="str">
            <v>А-10039/КЭ.Транш - 1</v>
          </cell>
        </row>
        <row r="747">
          <cell r="A747" t="str">
            <v>ИП Федотов Тихон Андреевич</v>
          </cell>
          <cell r="B747" t="str">
            <v>В-30009/КЭ.Транш - 1_В-20211230/Ц</v>
          </cell>
          <cell r="D747">
            <v>79180796816</v>
          </cell>
        </row>
        <row r="748">
          <cell r="A748" t="str">
            <v>ИП Филатов Андрей Анатольевич</v>
          </cell>
          <cell r="B748" t="str">
            <v>А-10032/КЭ.Транш - 1</v>
          </cell>
          <cell r="C748">
            <v>88124960628</v>
          </cell>
          <cell r="D748">
            <v>79213033777</v>
          </cell>
          <cell r="F748">
            <v>79213033777</v>
          </cell>
        </row>
        <row r="749">
          <cell r="A749" t="str">
            <v>ИП Филатов Андрей Анатольевич</v>
          </cell>
          <cell r="B749" t="str">
            <v>А-10032/КЭ.Транш - 2</v>
          </cell>
          <cell r="C749">
            <v>88124960628</v>
          </cell>
          <cell r="D749">
            <v>79213033777</v>
          </cell>
          <cell r="F749">
            <v>79213033777</v>
          </cell>
        </row>
        <row r="750">
          <cell r="A750" t="str">
            <v>ИП Харин Евгений Александрович</v>
          </cell>
          <cell r="B750" t="str">
            <v>А-00458/КЭ.Транш - 1</v>
          </cell>
          <cell r="C750">
            <v>84957001752</v>
          </cell>
          <cell r="D750">
            <v>89263901989</v>
          </cell>
          <cell r="F750">
            <v>79263901989</v>
          </cell>
        </row>
        <row r="751">
          <cell r="A751" t="str">
            <v>ИП Харин Евгений Александрович</v>
          </cell>
          <cell r="B751" t="str">
            <v>В-00022/КЭ.Транш - 1_А-20210929/Ц</v>
          </cell>
          <cell r="C751">
            <v>84957001752</v>
          </cell>
          <cell r="D751">
            <v>89263901989</v>
          </cell>
          <cell r="F751">
            <v>79263901989</v>
          </cell>
        </row>
        <row r="752">
          <cell r="A752" t="str">
            <v>ИП Чеботарь Анжелика Сергеевна</v>
          </cell>
          <cell r="B752" t="str">
            <v>А-00327/КЭ.Транш - 1</v>
          </cell>
          <cell r="C752">
            <v>84955406056</v>
          </cell>
          <cell r="E752">
            <v>89057463369</v>
          </cell>
          <cell r="F752">
            <v>79057463369</v>
          </cell>
        </row>
        <row r="753">
          <cell r="A753" t="str">
            <v>ИП Чермошенцева Галина Сергеевна</v>
          </cell>
          <cell r="B753" t="str">
            <v>А-00357/КЭ.Транш - 1</v>
          </cell>
          <cell r="D753" t="str">
            <v>7919101-73-48</v>
          </cell>
          <cell r="F753">
            <v>79191017348</v>
          </cell>
        </row>
        <row r="754">
          <cell r="A754" t="str">
            <v>ИП Шумакова Наталья Владимировна</v>
          </cell>
          <cell r="B754" t="str">
            <v>В-00061/КЭ.Транш - 1</v>
          </cell>
          <cell r="C754">
            <v>74955546921</v>
          </cell>
          <cell r="D754">
            <v>79265834643</v>
          </cell>
          <cell r="F754">
            <v>79265834643</v>
          </cell>
        </row>
        <row r="755">
          <cell r="A755" t="str">
            <v>ИП Ячменёва Ольга Сергеевна</v>
          </cell>
          <cell r="B755" t="str">
            <v>А-10092/КЭ.Транш - 1</v>
          </cell>
          <cell r="D755">
            <v>79218777612</v>
          </cell>
          <cell r="F755">
            <v>79218777612</v>
          </cell>
        </row>
        <row r="756">
          <cell r="A756" t="str">
            <v>ИП Ячменёва Ольга Сергеевна</v>
          </cell>
          <cell r="B756" t="str">
            <v>А-10092/КЭ.Транш - 2</v>
          </cell>
          <cell r="D756">
            <v>79218777612</v>
          </cell>
          <cell r="F756">
            <v>79218777612</v>
          </cell>
        </row>
        <row r="757">
          <cell r="A757" t="str">
            <v>ИП Ячменёва Ольга Сергеевна</v>
          </cell>
          <cell r="B757" t="str">
            <v>А-10092/КЭ.Транш - 3</v>
          </cell>
          <cell r="D757">
            <v>79218777612</v>
          </cell>
          <cell r="F757">
            <v>79218777612</v>
          </cell>
        </row>
        <row r="758">
          <cell r="A758" t="str">
            <v>Ирицян Армен Дживанович</v>
          </cell>
          <cell r="B758" t="str">
            <v>В-28538/КЛ.Транш - 1</v>
          </cell>
          <cell r="D758">
            <v>89260579191</v>
          </cell>
          <cell r="F758">
            <v>79260579191</v>
          </cell>
        </row>
        <row r="759">
          <cell r="A759" t="str">
            <v>Исаев Александр Васильевич</v>
          </cell>
          <cell r="B759" t="str">
            <v>В-20430/КЛ.Транш - 1</v>
          </cell>
          <cell r="D759">
            <v>79803760029</v>
          </cell>
          <cell r="F759">
            <v>79803760029</v>
          </cell>
        </row>
        <row r="760">
          <cell r="A760" t="str">
            <v>Исаков Иван Владимирович</v>
          </cell>
          <cell r="B760" t="str">
            <v>В-20787/КЛ.Транш - 1</v>
          </cell>
          <cell r="D760">
            <v>79526609261</v>
          </cell>
          <cell r="F760">
            <v>79526609261</v>
          </cell>
        </row>
        <row r="761">
          <cell r="A761" t="str">
            <v>Исаков Магомед Владимирович</v>
          </cell>
          <cell r="B761" t="str">
            <v>В-12016/КЛ.Транш - 2</v>
          </cell>
          <cell r="E761">
            <v>79653763822</v>
          </cell>
          <cell r="F761">
            <v>79653763822</v>
          </cell>
        </row>
        <row r="762">
          <cell r="A762" t="str">
            <v>Исаков Магомед Владимирович</v>
          </cell>
          <cell r="B762" t="str">
            <v>В-12016/КЛ.Транш - 1</v>
          </cell>
          <cell r="E762">
            <v>79653763822</v>
          </cell>
          <cell r="F762">
            <v>79653763822</v>
          </cell>
        </row>
        <row r="763">
          <cell r="A763" t="str">
            <v>Исаков Магомед Владимирович</v>
          </cell>
          <cell r="B763" t="str">
            <v>В-12016/КЛ.Транш - 3</v>
          </cell>
          <cell r="E763">
            <v>79653763822</v>
          </cell>
          <cell r="F763">
            <v>79653763822</v>
          </cell>
        </row>
        <row r="764">
          <cell r="A764" t="str">
            <v>Исаков Магомед Владимирович</v>
          </cell>
          <cell r="B764" t="str">
            <v>В-12016/КЛ.Транш - 4</v>
          </cell>
          <cell r="E764">
            <v>79653763822</v>
          </cell>
          <cell r="F764">
            <v>79653763822</v>
          </cell>
        </row>
        <row r="765">
          <cell r="A765" t="str">
            <v>Исаченков Сергей Алексеевич</v>
          </cell>
          <cell r="B765" t="str">
            <v>В-00683/КЛ.Транш - 1</v>
          </cell>
          <cell r="D765">
            <v>79055468135</v>
          </cell>
          <cell r="F765">
            <v>79055468135</v>
          </cell>
        </row>
        <row r="766">
          <cell r="A766" t="str">
            <v>Искендеров Рашад Сахиб Оглы</v>
          </cell>
          <cell r="B766" t="str">
            <v>В-11407/КЛ.Транш - 1</v>
          </cell>
          <cell r="D766">
            <v>79360039999</v>
          </cell>
          <cell r="E766">
            <v>79258719777</v>
          </cell>
          <cell r="F766">
            <v>79360039999</v>
          </cell>
        </row>
        <row r="767">
          <cell r="A767" t="str">
            <v>Ичалов Абдула Гаджиахмедович</v>
          </cell>
          <cell r="B767" t="str">
            <v>В-23978/КЛ.Транш - 1</v>
          </cell>
          <cell r="D767">
            <v>79260945209</v>
          </cell>
          <cell r="F767">
            <v>79260945209</v>
          </cell>
        </row>
        <row r="768">
          <cell r="A768" t="str">
            <v>Ичалов Абдула Гаджиахмедович</v>
          </cell>
          <cell r="B768" t="str">
            <v>В-23978/КЛ.Транш - 2</v>
          </cell>
          <cell r="D768">
            <v>79260945209</v>
          </cell>
          <cell r="F768">
            <v>79260945209</v>
          </cell>
        </row>
        <row r="769">
          <cell r="A769" t="str">
            <v>Ишутин Станислав Андреевич</v>
          </cell>
          <cell r="B769" t="str">
            <v>В-22728/КЛ.Транш - 1</v>
          </cell>
          <cell r="D769">
            <v>89246915179</v>
          </cell>
          <cell r="F769">
            <v>79246915179</v>
          </cell>
        </row>
        <row r="770">
          <cell r="A770" t="str">
            <v>Каверин Владимир Геннадьевич</v>
          </cell>
          <cell r="B770" t="str">
            <v>В-00477/АЗ</v>
          </cell>
          <cell r="C770">
            <v>74956124088</v>
          </cell>
          <cell r="D770">
            <v>79253915548</v>
          </cell>
          <cell r="F770">
            <v>79253915548</v>
          </cell>
        </row>
        <row r="771">
          <cell r="A771" t="str">
            <v>Казанин Игорь Викторович</v>
          </cell>
          <cell r="B771" t="str">
            <v>В-16873/КЛ.Транш - 1</v>
          </cell>
          <cell r="D771">
            <v>79110906632</v>
          </cell>
          <cell r="F771">
            <v>79110906632</v>
          </cell>
        </row>
        <row r="772">
          <cell r="A772" t="str">
            <v>Казанцева Альбина Валерьевна</v>
          </cell>
          <cell r="B772" t="str">
            <v>В-00398/АЗ</v>
          </cell>
          <cell r="D772">
            <v>79150774249</v>
          </cell>
          <cell r="F772">
            <v>79686636333</v>
          </cell>
        </row>
        <row r="773">
          <cell r="A773" t="str">
            <v>Казарян Валико Беникович</v>
          </cell>
          <cell r="B773" t="str">
            <v>В-17201/КЛ.Транш - 1</v>
          </cell>
          <cell r="D773">
            <v>79189768183</v>
          </cell>
          <cell r="F773">
            <v>79189768183</v>
          </cell>
        </row>
        <row r="774">
          <cell r="A774" t="str">
            <v>Казарян Валико Беникович</v>
          </cell>
          <cell r="B774" t="str">
            <v>В-17201/КЛ.Транш - 2</v>
          </cell>
          <cell r="D774">
            <v>79189768183</v>
          </cell>
          <cell r="F774">
            <v>79189768183</v>
          </cell>
        </row>
        <row r="775">
          <cell r="A775" t="str">
            <v>Казачкин Андрей Юрьевич</v>
          </cell>
          <cell r="B775" t="str">
            <v>В-27630/КЛ.Транш - 1</v>
          </cell>
          <cell r="D775">
            <v>79176862261</v>
          </cell>
        </row>
        <row r="776">
          <cell r="A776" t="str">
            <v>Казеев Радмир Рамирович</v>
          </cell>
          <cell r="B776" t="str">
            <v>В-00660/АЗ_В-20211230/Ц</v>
          </cell>
          <cell r="D776">
            <v>79507357541</v>
          </cell>
          <cell r="F776">
            <v>79507357541</v>
          </cell>
        </row>
        <row r="777">
          <cell r="A777" t="str">
            <v>Казыханова Лилия Расимовна</v>
          </cell>
          <cell r="B777" t="str">
            <v>В-10509/КЛ.Транш - 1</v>
          </cell>
          <cell r="D777">
            <v>79373458961</v>
          </cell>
          <cell r="F777">
            <v>79373458961</v>
          </cell>
        </row>
        <row r="778">
          <cell r="A778" t="str">
            <v>Калантаров Артур Григорьевич</v>
          </cell>
          <cell r="B778" t="str">
            <v>В-20653/КЛ.Транш - 1</v>
          </cell>
          <cell r="D778">
            <v>79518318177</v>
          </cell>
          <cell r="F778">
            <v>79518318177</v>
          </cell>
        </row>
        <row r="779">
          <cell r="A779" t="str">
            <v>Калантарян Артур Вазгени</v>
          </cell>
          <cell r="B779" t="str">
            <v>В-00687/АЗ</v>
          </cell>
          <cell r="D779">
            <v>79263078831</v>
          </cell>
          <cell r="E779">
            <v>79263078831</v>
          </cell>
          <cell r="F779">
            <v>79263078831</v>
          </cell>
        </row>
        <row r="780">
          <cell r="A780" t="str">
            <v>Калашников Алексей Владимирович</v>
          </cell>
          <cell r="B780" t="str">
            <v>В-09250/КЛ.Транш - 1_В-20211230/Ц</v>
          </cell>
          <cell r="D780">
            <v>79520936493</v>
          </cell>
          <cell r="F780">
            <v>79520936493</v>
          </cell>
        </row>
        <row r="781">
          <cell r="A781" t="str">
            <v>Калашников Юрий Витальевич</v>
          </cell>
          <cell r="B781" t="str">
            <v>В-27855/КЛ.Транш - 1</v>
          </cell>
          <cell r="D781">
            <v>79788555595</v>
          </cell>
          <cell r="F781">
            <v>79788555595</v>
          </cell>
        </row>
        <row r="782">
          <cell r="A782" t="str">
            <v>Календжян Вячеслав Вячеславович</v>
          </cell>
          <cell r="B782" t="str">
            <v>В-01187/АЗ</v>
          </cell>
          <cell r="D782">
            <v>79882831967</v>
          </cell>
          <cell r="F782">
            <v>79882831967</v>
          </cell>
        </row>
        <row r="783">
          <cell r="A783" t="str">
            <v>Календиров Зейнадин Равильевич</v>
          </cell>
          <cell r="B783" t="str">
            <v>В-17067/КЛ.Транш - 1</v>
          </cell>
          <cell r="D783">
            <v>79266208744</v>
          </cell>
          <cell r="F783">
            <v>79266208744</v>
          </cell>
        </row>
        <row r="784">
          <cell r="A784" t="str">
            <v>Калинин Алексей Дмитриевич</v>
          </cell>
          <cell r="B784" t="str">
            <v>В-01198/АЗ</v>
          </cell>
          <cell r="C784">
            <v>74997364205</v>
          </cell>
          <cell r="D784">
            <v>79852862217</v>
          </cell>
          <cell r="F784">
            <v>79852862217</v>
          </cell>
        </row>
        <row r="785">
          <cell r="A785" t="str">
            <v>Калинин Андрей Викторович</v>
          </cell>
          <cell r="B785" t="str">
            <v>В-25795/АЗ</v>
          </cell>
          <cell r="D785">
            <v>79021615586</v>
          </cell>
          <cell r="F785">
            <v>79161615586</v>
          </cell>
        </row>
        <row r="786">
          <cell r="A786" t="str">
            <v>Калошин Павел Сергеевич</v>
          </cell>
          <cell r="B786" t="str">
            <v>В-03473/КЛ.Транш - 1</v>
          </cell>
          <cell r="D786">
            <v>89263066332</v>
          </cell>
          <cell r="F786">
            <v>79263066332</v>
          </cell>
        </row>
        <row r="787">
          <cell r="A787" t="str">
            <v>Каляев Владимир Александрович</v>
          </cell>
          <cell r="B787" t="str">
            <v>В-01911/КЛ.Транш - 1</v>
          </cell>
          <cell r="D787">
            <v>79096382011</v>
          </cell>
          <cell r="F787">
            <v>79096382011</v>
          </cell>
        </row>
        <row r="788">
          <cell r="A788" t="str">
            <v>Камбулина Ирина Юрьевна</v>
          </cell>
          <cell r="B788" t="str">
            <v>В-19846/КЛ.Транш - 1_В-20211230/Ц</v>
          </cell>
          <cell r="D788">
            <v>79775081549</v>
          </cell>
          <cell r="F788">
            <v>79775081549</v>
          </cell>
        </row>
        <row r="789">
          <cell r="A789" t="str">
            <v>Каменев Константин Николаевич</v>
          </cell>
          <cell r="B789" t="str">
            <v>В-25687/АЗ</v>
          </cell>
          <cell r="D789">
            <v>79999722055</v>
          </cell>
          <cell r="F789">
            <v>79999722055</v>
          </cell>
        </row>
        <row r="790">
          <cell r="A790" t="str">
            <v>Камшилин Александр Александрович</v>
          </cell>
          <cell r="B790" t="str">
            <v>А-00053/БЭ</v>
          </cell>
          <cell r="D790">
            <v>79153179132</v>
          </cell>
          <cell r="E790">
            <v>79153179132</v>
          </cell>
          <cell r="F790">
            <v>79153179132</v>
          </cell>
        </row>
        <row r="791">
          <cell r="A791" t="str">
            <v>Камшилина Татьяна Ивановна</v>
          </cell>
          <cell r="B791" t="str">
            <v>А-04328/АЗ</v>
          </cell>
          <cell r="C791">
            <v>74953793636</v>
          </cell>
          <cell r="D791">
            <v>79646415781</v>
          </cell>
          <cell r="E791">
            <v>79646415781</v>
          </cell>
          <cell r="F791">
            <v>79646415781</v>
          </cell>
        </row>
        <row r="792">
          <cell r="A792" t="str">
            <v>Камшилина Татьяна Ивановна</v>
          </cell>
          <cell r="B792" t="str">
            <v>Т-00030/БЭ_Т-20211028/Ц</v>
          </cell>
          <cell r="C792">
            <v>74953793636</v>
          </cell>
          <cell r="D792">
            <v>79646415781</v>
          </cell>
          <cell r="E792">
            <v>79646415781</v>
          </cell>
          <cell r="F792">
            <v>79646415781</v>
          </cell>
        </row>
        <row r="793">
          <cell r="A793" t="str">
            <v>Камшилина Татьяна Ивановна</v>
          </cell>
          <cell r="B793" t="str">
            <v>А-00051/БЭ</v>
          </cell>
          <cell r="C793">
            <v>74953793636</v>
          </cell>
          <cell r="D793">
            <v>79646415781</v>
          </cell>
          <cell r="E793">
            <v>79646415781</v>
          </cell>
          <cell r="F793">
            <v>79646415781</v>
          </cell>
        </row>
        <row r="794">
          <cell r="A794" t="str">
            <v>Камышов Игорь Николаевич</v>
          </cell>
          <cell r="B794" t="str">
            <v>В-19766/КЛ.Транш - 1_В-20211230/Ц</v>
          </cell>
          <cell r="D794">
            <v>79211160376</v>
          </cell>
          <cell r="F794">
            <v>79211160376</v>
          </cell>
        </row>
        <row r="795">
          <cell r="A795" t="str">
            <v>Кандаков Хайдарали Махмадрузиевич</v>
          </cell>
          <cell r="B795" t="str">
            <v>В-27038/АЗ</v>
          </cell>
          <cell r="D795">
            <v>79855155844</v>
          </cell>
          <cell r="F795">
            <v>79855155844</v>
          </cell>
        </row>
        <row r="796">
          <cell r="A796" t="str">
            <v>Кандаков Хайдарали Махмадрузиевич</v>
          </cell>
          <cell r="B796" t="str">
            <v>В-24618/АЗ</v>
          </cell>
          <cell r="D796">
            <v>79855155844</v>
          </cell>
          <cell r="F796">
            <v>79855155844</v>
          </cell>
        </row>
        <row r="797">
          <cell r="A797" t="str">
            <v>Кандаков Хайдарали Махмадрузиевич</v>
          </cell>
          <cell r="B797" t="str">
            <v>В-00907/КЛ.Транш - 8</v>
          </cell>
          <cell r="D797">
            <v>79855155844</v>
          </cell>
          <cell r="F797">
            <v>79855155844</v>
          </cell>
        </row>
        <row r="798">
          <cell r="A798" t="str">
            <v>Кандаков Хайдарали Махмадрузиевич</v>
          </cell>
          <cell r="B798" t="str">
            <v>В-00907/КЛ.Транш - 7</v>
          </cell>
          <cell r="D798">
            <v>79855155844</v>
          </cell>
          <cell r="F798">
            <v>79855155844</v>
          </cell>
        </row>
        <row r="799">
          <cell r="A799" t="str">
            <v>Кандаков Хайдарали Махмадрузиевич</v>
          </cell>
          <cell r="B799" t="str">
            <v>В-25494/АЗ</v>
          </cell>
          <cell r="D799">
            <v>79855155844</v>
          </cell>
          <cell r="F799">
            <v>79855155844</v>
          </cell>
        </row>
        <row r="800">
          <cell r="A800" t="str">
            <v>Капанадзе Илья Абелиевич</v>
          </cell>
          <cell r="B800" t="str">
            <v>В-15770/КЛ.Транш - 2</v>
          </cell>
          <cell r="D800">
            <v>79104377375</v>
          </cell>
          <cell r="F800">
            <v>79104377375</v>
          </cell>
        </row>
        <row r="801">
          <cell r="A801" t="str">
            <v>Караваев Александр Викторович</v>
          </cell>
          <cell r="B801" t="str">
            <v>В-10001/КЛ.Транш - 1</v>
          </cell>
          <cell r="D801">
            <v>79515067413</v>
          </cell>
          <cell r="F801">
            <v>79515067413</v>
          </cell>
        </row>
        <row r="802">
          <cell r="A802" t="str">
            <v>Караваев Александр Викторович</v>
          </cell>
          <cell r="B802" t="str">
            <v>В-10001/КЛ.Транш - 2</v>
          </cell>
          <cell r="D802">
            <v>79515067413</v>
          </cell>
          <cell r="F802">
            <v>79515067413</v>
          </cell>
        </row>
        <row r="803">
          <cell r="A803" t="str">
            <v>Караваев Александр Викторович</v>
          </cell>
          <cell r="B803" t="str">
            <v>В-10001/КЛ.Транш - 3</v>
          </cell>
          <cell r="D803">
            <v>79515067413</v>
          </cell>
          <cell r="F803">
            <v>79515067413</v>
          </cell>
        </row>
        <row r="804">
          <cell r="A804" t="str">
            <v>Караваев Евгений Сергеевич</v>
          </cell>
          <cell r="B804" t="str">
            <v>А-03853/АЗ</v>
          </cell>
          <cell r="D804">
            <v>79859981646</v>
          </cell>
          <cell r="E804">
            <v>79859981646</v>
          </cell>
          <cell r="F804">
            <v>79859981646</v>
          </cell>
        </row>
        <row r="805">
          <cell r="A805" t="str">
            <v>КАРАВАН ООО</v>
          </cell>
          <cell r="B805" t="str">
            <v>В-10018/КЭ.Транш - 1</v>
          </cell>
        </row>
        <row r="806">
          <cell r="A806" t="str">
            <v>Карагезян Шушаник Вачагановна</v>
          </cell>
          <cell r="B806" t="str">
            <v>В-28159/КЛ.Транш - 1</v>
          </cell>
          <cell r="D806">
            <v>79892612951</v>
          </cell>
          <cell r="F806">
            <v>79892612951</v>
          </cell>
        </row>
        <row r="807">
          <cell r="A807" t="str">
            <v>Карманов Александр Иванович</v>
          </cell>
          <cell r="B807" t="str">
            <v>В-13600/КЛ.Транш - 1_В-20211230/Ц</v>
          </cell>
          <cell r="D807">
            <v>79035579777</v>
          </cell>
          <cell r="F807">
            <v>79035579777</v>
          </cell>
        </row>
        <row r="808">
          <cell r="A808" t="str">
            <v>Карманов Виталий Петрович</v>
          </cell>
          <cell r="B808" t="str">
            <v>В-17597/КЛ.Транш - 1</v>
          </cell>
          <cell r="D808">
            <v>79002969088</v>
          </cell>
          <cell r="F808">
            <v>79002969088</v>
          </cell>
        </row>
        <row r="809">
          <cell r="A809" t="str">
            <v>Карманов Виталий Петрович</v>
          </cell>
          <cell r="B809" t="str">
            <v>В-17597/КЛ.Транш - 2</v>
          </cell>
          <cell r="D809">
            <v>79002969088</v>
          </cell>
          <cell r="F809">
            <v>79002969088</v>
          </cell>
        </row>
        <row r="810">
          <cell r="A810" t="str">
            <v>Карпушин Артемий Михайлович</v>
          </cell>
          <cell r="B810" t="str">
            <v>В-09500/КЛ.Транш - 1</v>
          </cell>
          <cell r="D810">
            <v>79186611695</v>
          </cell>
          <cell r="F810">
            <v>79186611695</v>
          </cell>
        </row>
        <row r="811">
          <cell r="A811" t="str">
            <v>Карташова Евгения Анатольевна</v>
          </cell>
          <cell r="B811" t="str">
            <v>В-11472/КЛ.Транш - 2</v>
          </cell>
          <cell r="D811">
            <v>89787532105</v>
          </cell>
          <cell r="F811">
            <v>79787532105</v>
          </cell>
        </row>
        <row r="812">
          <cell r="A812" t="str">
            <v>Карташова Евгения Анатольевна</v>
          </cell>
          <cell r="B812" t="str">
            <v>В-11472/КЛ.Транш - 3</v>
          </cell>
          <cell r="D812">
            <v>89787532105</v>
          </cell>
          <cell r="F812">
            <v>79787532105</v>
          </cell>
        </row>
        <row r="813">
          <cell r="A813" t="str">
            <v>Карчун Вероника Витальевна</v>
          </cell>
          <cell r="B813" t="str">
            <v>В-21222/КЛ.Транш - 1</v>
          </cell>
          <cell r="D813">
            <v>79776755972</v>
          </cell>
          <cell r="F813">
            <v>79776755972</v>
          </cell>
        </row>
        <row r="814">
          <cell r="A814" t="str">
            <v>Касаткин Евгений Олегович</v>
          </cell>
          <cell r="B814" t="str">
            <v>В-22897/КЛ.Транш - 1</v>
          </cell>
          <cell r="D814">
            <v>89067386886</v>
          </cell>
          <cell r="F814">
            <v>79067386886</v>
          </cell>
        </row>
        <row r="815">
          <cell r="A815" t="str">
            <v>Касутин Евгений Дмитриевич</v>
          </cell>
          <cell r="B815" t="str">
            <v>В-22434/АЗ_В-20211230/Ц</v>
          </cell>
          <cell r="D815">
            <v>79261450744</v>
          </cell>
          <cell r="F815">
            <v>79261450744</v>
          </cell>
        </row>
        <row r="816">
          <cell r="A816" t="str">
            <v>Касутина Виктория Алексеевна</v>
          </cell>
          <cell r="B816" t="str">
            <v>В-22436/АЗ_В-20211230/Ц</v>
          </cell>
          <cell r="D816">
            <v>79150140495</v>
          </cell>
          <cell r="F816">
            <v>79150140495</v>
          </cell>
        </row>
        <row r="817">
          <cell r="A817" t="str">
            <v>Качев Дмитрий Вячеславович</v>
          </cell>
          <cell r="B817" t="str">
            <v>В-14937/КЛ.Транш - 3</v>
          </cell>
          <cell r="D817">
            <v>89851800691</v>
          </cell>
          <cell r="F817">
            <v>79851800691</v>
          </cell>
        </row>
        <row r="818">
          <cell r="A818" t="str">
            <v>Качев Дмитрий Вячеславович</v>
          </cell>
          <cell r="B818" t="str">
            <v>В-14937/КЛ.Транш - 2</v>
          </cell>
          <cell r="D818">
            <v>89851800691</v>
          </cell>
          <cell r="F818">
            <v>79851800691</v>
          </cell>
        </row>
        <row r="819">
          <cell r="A819" t="str">
            <v>Качев Дмитрий Вячеславович</v>
          </cell>
          <cell r="B819" t="str">
            <v>В-14937/КЛ.Транш - 1</v>
          </cell>
          <cell r="D819">
            <v>89851800691</v>
          </cell>
          <cell r="F819">
            <v>79851800691</v>
          </cell>
        </row>
        <row r="820">
          <cell r="A820" t="str">
            <v>Качев Дмитрий Вячеславович</v>
          </cell>
          <cell r="B820" t="str">
            <v>В-14937/КЛ.Транш - 4</v>
          </cell>
          <cell r="D820">
            <v>89851800691</v>
          </cell>
          <cell r="F820">
            <v>79851800691</v>
          </cell>
        </row>
        <row r="821">
          <cell r="A821" t="str">
            <v>Кашуба Артем Сергеевич</v>
          </cell>
          <cell r="B821" t="str">
            <v>В-06453/КЛ.Транш - 4</v>
          </cell>
          <cell r="C821">
            <v>79150742783</v>
          </cell>
          <cell r="D821">
            <v>79652274249</v>
          </cell>
          <cell r="F821">
            <v>79652274249</v>
          </cell>
        </row>
        <row r="822">
          <cell r="A822" t="str">
            <v>Кашуба Артем Сергеевич</v>
          </cell>
          <cell r="B822" t="str">
            <v>В-06453/КЛ.Транш - 3</v>
          </cell>
          <cell r="C822">
            <v>79150742783</v>
          </cell>
          <cell r="D822">
            <v>79652274249</v>
          </cell>
          <cell r="F822">
            <v>79652274249</v>
          </cell>
        </row>
        <row r="823">
          <cell r="A823" t="str">
            <v>Кебурия Илья Нугзариевич</v>
          </cell>
          <cell r="B823" t="str">
            <v>В-17106/КЛ.Транш - 1</v>
          </cell>
          <cell r="D823">
            <v>79670001900</v>
          </cell>
          <cell r="F823">
            <v>79670001900</v>
          </cell>
        </row>
        <row r="824">
          <cell r="A824" t="str">
            <v>КЕЙСТОУН ООО</v>
          </cell>
          <cell r="B824" t="str">
            <v>В-00042/КЭ.Транш - 1</v>
          </cell>
        </row>
        <row r="825">
          <cell r="A825" t="str">
            <v>Келехсаев Эдуард Павлович</v>
          </cell>
          <cell r="B825" t="str">
            <v>В-01092/КЛ.Транш - 1</v>
          </cell>
          <cell r="D825">
            <v>79852608668</v>
          </cell>
          <cell r="F825">
            <v>79852608668</v>
          </cell>
        </row>
        <row r="826">
          <cell r="A826" t="str">
            <v>Келешян Мария Георгиевна</v>
          </cell>
          <cell r="B826" t="str">
            <v>В-18438/КЛ.Транш - 1</v>
          </cell>
          <cell r="D826">
            <v>79189086446</v>
          </cell>
          <cell r="F826">
            <v>79189086446</v>
          </cell>
        </row>
        <row r="827">
          <cell r="A827" t="str">
            <v>Кильдюшкин Андрей Николаевич</v>
          </cell>
          <cell r="B827" t="str">
            <v>В-07877/КЛ.Транш - 15</v>
          </cell>
          <cell r="D827">
            <v>79513421351</v>
          </cell>
          <cell r="F827">
            <v>79513421351</v>
          </cell>
        </row>
        <row r="828">
          <cell r="A828" t="str">
            <v>Кильдюшкин Андрей Николаевич</v>
          </cell>
          <cell r="B828" t="str">
            <v>В-07877/КЛ.Транш - 12</v>
          </cell>
          <cell r="D828">
            <v>79513421351</v>
          </cell>
          <cell r="F828">
            <v>79513421351</v>
          </cell>
        </row>
        <row r="829">
          <cell r="A829" t="str">
            <v>Кильдюшкин Андрей Николаевич</v>
          </cell>
          <cell r="B829" t="str">
            <v>В-07877/КЛ.Транш - 14</v>
          </cell>
          <cell r="D829">
            <v>79513421351</v>
          </cell>
          <cell r="F829">
            <v>79513421351</v>
          </cell>
        </row>
        <row r="830">
          <cell r="A830" t="str">
            <v>Ким Александр Эдуардович</v>
          </cell>
          <cell r="B830" t="str">
            <v>В-25351/КЛ.Транш - 2</v>
          </cell>
          <cell r="D830">
            <v>79640411161</v>
          </cell>
          <cell r="F830">
            <v>79640411161</v>
          </cell>
        </row>
        <row r="831">
          <cell r="A831" t="str">
            <v>Ким Александр Эдуардович</v>
          </cell>
          <cell r="B831" t="str">
            <v>В-25351/КЛ.Транш - 1</v>
          </cell>
          <cell r="D831">
            <v>79640411161</v>
          </cell>
          <cell r="F831">
            <v>79640411161</v>
          </cell>
        </row>
        <row r="832">
          <cell r="A832" t="str">
            <v>Кирейчиков Виктор Николаевич</v>
          </cell>
          <cell r="B832" t="str">
            <v>В-14835/КЛ.Транш - 2</v>
          </cell>
          <cell r="D832">
            <v>79125918296</v>
          </cell>
          <cell r="F832">
            <v>79125918296</v>
          </cell>
        </row>
        <row r="833">
          <cell r="A833" t="str">
            <v>Кирейчиков Виктор Николаевич</v>
          </cell>
          <cell r="B833" t="str">
            <v>В-14835/КЛ.Транш - 1</v>
          </cell>
          <cell r="D833">
            <v>79125918296</v>
          </cell>
          <cell r="F833">
            <v>79125918296</v>
          </cell>
        </row>
        <row r="834">
          <cell r="A834" t="str">
            <v>Кириллов Николай Валерьевич</v>
          </cell>
          <cell r="B834" t="str">
            <v>В-20703/КЛ.Транш - 1_В-20211230/Ц</v>
          </cell>
          <cell r="D834">
            <v>79273218536</v>
          </cell>
          <cell r="F834">
            <v>79273218536</v>
          </cell>
        </row>
        <row r="835">
          <cell r="A835" t="str">
            <v>Кириллова Екатерина Александровна</v>
          </cell>
          <cell r="B835" t="str">
            <v>В-20377/КЛ.Транш - 1</v>
          </cell>
          <cell r="D835">
            <v>79811854810</v>
          </cell>
          <cell r="F835">
            <v>79811854810</v>
          </cell>
        </row>
        <row r="836">
          <cell r="A836" t="str">
            <v>Кирпищикова Александра Александровна</v>
          </cell>
          <cell r="B836" t="str">
            <v>В-28927/КЛ.Транш - 1</v>
          </cell>
          <cell r="D836">
            <v>89124090352</v>
          </cell>
          <cell r="F836">
            <v>79124090352</v>
          </cell>
        </row>
        <row r="837">
          <cell r="A837" t="str">
            <v>Киселев Александр Максимович</v>
          </cell>
          <cell r="B837" t="str">
            <v>В-19346/КЛ.Транш - 2</v>
          </cell>
          <cell r="D837">
            <v>79963497388</v>
          </cell>
          <cell r="F837">
            <v>79963497388</v>
          </cell>
        </row>
        <row r="838">
          <cell r="A838" t="str">
            <v>Киселев Александр Максимович</v>
          </cell>
          <cell r="B838" t="str">
            <v>В-19346/КЛ.Транш - 3</v>
          </cell>
          <cell r="D838">
            <v>79963497388</v>
          </cell>
          <cell r="F838">
            <v>79963497388</v>
          </cell>
        </row>
        <row r="839">
          <cell r="A839" t="str">
            <v>Киселев Андрей Владимирович</v>
          </cell>
          <cell r="B839" t="str">
            <v>В-14178/КЛ.Транш - 1</v>
          </cell>
          <cell r="D839">
            <v>79209797895</v>
          </cell>
          <cell r="F839">
            <v>79209797895</v>
          </cell>
        </row>
        <row r="840">
          <cell r="A840" t="str">
            <v>Кисель Наталья Александровна</v>
          </cell>
          <cell r="B840" t="str">
            <v>В-12553/КЛ.Транш - 1</v>
          </cell>
          <cell r="D840">
            <v>89645269797</v>
          </cell>
          <cell r="F840">
            <v>79645269797</v>
          </cell>
        </row>
        <row r="841">
          <cell r="A841" t="str">
            <v>Кисенко Евгений Николаевич</v>
          </cell>
          <cell r="B841" t="str">
            <v>В-00433/КЛ.Транш - 1</v>
          </cell>
          <cell r="D841">
            <v>79259144229</v>
          </cell>
          <cell r="F841">
            <v>79259144229</v>
          </cell>
        </row>
        <row r="842">
          <cell r="A842" t="str">
            <v>Клементьев Александр Александрович</v>
          </cell>
          <cell r="B842" t="str">
            <v>В-13477/КЛ.Транш - 2</v>
          </cell>
          <cell r="D842">
            <v>79966062441</v>
          </cell>
          <cell r="F842">
            <v>79966062441</v>
          </cell>
        </row>
        <row r="843">
          <cell r="A843" t="str">
            <v>Климахина Татьяна Сергеевна</v>
          </cell>
          <cell r="B843" t="str">
            <v>В-09890/КЛ.Транш - 1</v>
          </cell>
          <cell r="D843">
            <v>79215516110</v>
          </cell>
          <cell r="F843">
            <v>79215516110</v>
          </cell>
        </row>
        <row r="844">
          <cell r="A844" t="str">
            <v>Климов Павел Александрович</v>
          </cell>
          <cell r="B844" t="str">
            <v>В-29080/КЛ.Транш - 1</v>
          </cell>
          <cell r="D844">
            <v>79154087667</v>
          </cell>
        </row>
        <row r="845">
          <cell r="A845" t="str">
            <v>Клинов Сергей Евгеньевич</v>
          </cell>
          <cell r="B845" t="str">
            <v>В-19593/КЛ.Транш - 1</v>
          </cell>
          <cell r="D845">
            <v>79035083364</v>
          </cell>
          <cell r="F845">
            <v>79035083364</v>
          </cell>
        </row>
        <row r="846">
          <cell r="A846" t="str">
            <v>Клочихина Ирина Валерьевна</v>
          </cell>
          <cell r="B846" t="str">
            <v>В-12372/КЛ.Транш - 1</v>
          </cell>
          <cell r="D846">
            <v>79501929924</v>
          </cell>
          <cell r="F846">
            <v>79501929924</v>
          </cell>
        </row>
        <row r="847">
          <cell r="A847" t="str">
            <v>Клюев Павел Валерьевич</v>
          </cell>
          <cell r="B847" t="str">
            <v>В-16768/КЛ.Транш - 1</v>
          </cell>
          <cell r="D847">
            <v>79997352009</v>
          </cell>
        </row>
        <row r="848">
          <cell r="A848" t="str">
            <v>Князев Алексей Иванович</v>
          </cell>
          <cell r="B848" t="str">
            <v>В-08368/КЛ.Транш - 2</v>
          </cell>
          <cell r="D848">
            <v>79258916468</v>
          </cell>
          <cell r="F848">
            <v>79258916468</v>
          </cell>
        </row>
        <row r="849">
          <cell r="A849" t="str">
            <v>Кобальт ООО</v>
          </cell>
          <cell r="B849" t="str">
            <v>В-00073/КЭ.Транш - 1</v>
          </cell>
        </row>
        <row r="850">
          <cell r="A850" t="str">
            <v>Кобальт ООО</v>
          </cell>
          <cell r="B850" t="str">
            <v>В-00018/КЭ.Транш - 1</v>
          </cell>
        </row>
        <row r="851">
          <cell r="A851" t="str">
            <v>Кобахидзе Тэмури Юрьевич</v>
          </cell>
          <cell r="B851" t="str">
            <v>В-15778/КЛ.Транш - 2</v>
          </cell>
          <cell r="D851">
            <v>79057778814</v>
          </cell>
          <cell r="F851">
            <v>79057778814</v>
          </cell>
        </row>
        <row r="852">
          <cell r="A852" t="str">
            <v>Кобахидзе Тэмури Юрьевич</v>
          </cell>
          <cell r="B852" t="str">
            <v>В-15778/КЛ.Транш - 1</v>
          </cell>
          <cell r="D852">
            <v>79057778814</v>
          </cell>
          <cell r="F852">
            <v>79057778814</v>
          </cell>
        </row>
        <row r="853">
          <cell r="A853" t="str">
            <v>Кобзев Олег Викторович</v>
          </cell>
          <cell r="B853" t="str">
            <v>В-12231/КЛ.Транш - 1</v>
          </cell>
          <cell r="D853">
            <v>79204982027</v>
          </cell>
          <cell r="F853">
            <v>79202380239</v>
          </cell>
        </row>
        <row r="854">
          <cell r="A854" t="str">
            <v>Ковбасенко Александр Анатольевич</v>
          </cell>
          <cell r="B854" t="str">
            <v>Т-01646/АЗ_А-20200626/Ц</v>
          </cell>
          <cell r="D854">
            <v>79057366422</v>
          </cell>
          <cell r="E854">
            <v>79057366422</v>
          </cell>
        </row>
        <row r="855">
          <cell r="A855" t="str">
            <v>Ковбасенко Александр Анатольевич</v>
          </cell>
          <cell r="B855" t="str">
            <v>А-04684/АЗ</v>
          </cell>
          <cell r="D855">
            <v>79057366422</v>
          </cell>
          <cell r="E855">
            <v>79057366422</v>
          </cell>
        </row>
        <row r="856">
          <cell r="A856" t="str">
            <v>Ковригина Ирина Евгеньевна</v>
          </cell>
          <cell r="B856" t="str">
            <v>В-17380/КЛ.Транш - 1</v>
          </cell>
          <cell r="D856">
            <v>79167486030</v>
          </cell>
          <cell r="F856">
            <v>79167486030</v>
          </cell>
        </row>
        <row r="857">
          <cell r="A857" t="str">
            <v>Коврик Леонид Николаевич</v>
          </cell>
          <cell r="B857" t="str">
            <v>В-00783/КЛ.Транш - 2</v>
          </cell>
          <cell r="D857">
            <v>89262227441</v>
          </cell>
          <cell r="F857">
            <v>79262227441</v>
          </cell>
        </row>
        <row r="858">
          <cell r="A858" t="str">
            <v>Ковылин Герман Олегович</v>
          </cell>
          <cell r="B858" t="str">
            <v>Т-01681/АЗ_Т-20210517/Ц</v>
          </cell>
          <cell r="D858">
            <v>79160847326</v>
          </cell>
          <cell r="E858">
            <v>79160847326</v>
          </cell>
          <cell r="F858">
            <v>79160847326</v>
          </cell>
        </row>
        <row r="859">
          <cell r="A859" t="str">
            <v>Ковылин Герман Олегович</v>
          </cell>
          <cell r="B859" t="str">
            <v>А-03533/АЗ_А-20210517/Ц</v>
          </cell>
          <cell r="D859">
            <v>79160847326</v>
          </cell>
          <cell r="E859">
            <v>79160847326</v>
          </cell>
          <cell r="F859">
            <v>79160847326</v>
          </cell>
        </row>
        <row r="860">
          <cell r="A860" t="str">
            <v>Кожанов Александр Михайлович</v>
          </cell>
          <cell r="B860" t="str">
            <v>В-19104/КЛ.Транш - 1</v>
          </cell>
          <cell r="D860">
            <v>79885454000</v>
          </cell>
          <cell r="F860">
            <v>79885454000</v>
          </cell>
        </row>
        <row r="861">
          <cell r="A861" t="str">
            <v>Кожинов Дмитрий Сергеевич</v>
          </cell>
          <cell r="B861" t="str">
            <v>В-28598/КЛ.Транш - 1</v>
          </cell>
          <cell r="D861">
            <v>79218827998</v>
          </cell>
        </row>
        <row r="862">
          <cell r="A862" t="str">
            <v>Кожухова Наталья Евгеньевна</v>
          </cell>
          <cell r="B862" t="str">
            <v>В-26409/КЛ.Транш - 1</v>
          </cell>
          <cell r="D862">
            <v>79109169642</v>
          </cell>
        </row>
        <row r="863">
          <cell r="A863" t="str">
            <v>Козин Яков Геннадьевич</v>
          </cell>
          <cell r="B863" t="str">
            <v>В-01131/АЗ_А-20210929/Ц</v>
          </cell>
          <cell r="D863">
            <v>89778347388</v>
          </cell>
          <cell r="F863">
            <v>79778347388</v>
          </cell>
        </row>
        <row r="864">
          <cell r="A864" t="str">
            <v>Козлов Александр Борисович</v>
          </cell>
          <cell r="B864" t="str">
            <v>В-09513/КЛ.Транш - 2_В-20211230/Ц</v>
          </cell>
          <cell r="C864">
            <v>88123699128</v>
          </cell>
          <cell r="D864">
            <v>89112729349</v>
          </cell>
          <cell r="F864">
            <v>79112729349</v>
          </cell>
        </row>
        <row r="865">
          <cell r="A865" t="str">
            <v>Козлов Александр Борисович</v>
          </cell>
          <cell r="B865" t="str">
            <v>В-09513/КЛ.Транш - 4_В-20211230/Ц</v>
          </cell>
          <cell r="C865">
            <v>88123699128</v>
          </cell>
          <cell r="D865">
            <v>89112729349</v>
          </cell>
          <cell r="F865">
            <v>79112729349</v>
          </cell>
        </row>
        <row r="866">
          <cell r="A866" t="str">
            <v>Козлов Александр Борисович</v>
          </cell>
          <cell r="B866" t="str">
            <v>В-09513/КЛ.Транш - 1_В-20211230/Ц</v>
          </cell>
          <cell r="C866">
            <v>88123699128</v>
          </cell>
          <cell r="D866">
            <v>89112729349</v>
          </cell>
          <cell r="F866">
            <v>79112729349</v>
          </cell>
        </row>
        <row r="867">
          <cell r="A867" t="str">
            <v>Козлов Александр Борисович</v>
          </cell>
          <cell r="B867" t="str">
            <v>В-09513/КЛ.Транш - 3_В-20211230/Ц</v>
          </cell>
          <cell r="C867">
            <v>88123699128</v>
          </cell>
          <cell r="D867">
            <v>89112729349</v>
          </cell>
          <cell r="F867">
            <v>79112729349</v>
          </cell>
        </row>
        <row r="868">
          <cell r="A868" t="str">
            <v>Козлов Иван Александрович</v>
          </cell>
          <cell r="B868" t="str">
            <v>В-14546/КЛ.Транш - 1</v>
          </cell>
          <cell r="D868">
            <v>79807009030</v>
          </cell>
          <cell r="F868">
            <v>79807009030</v>
          </cell>
        </row>
        <row r="869">
          <cell r="A869" t="str">
            <v>Козубекова Наргиза Жапарбаевна</v>
          </cell>
          <cell r="B869" t="str">
            <v>В-16728/КЛ.Транш - 1</v>
          </cell>
          <cell r="D869">
            <v>79257349013</v>
          </cell>
        </row>
        <row r="870">
          <cell r="A870" t="str">
            <v>Кокина Татьяна Викторовна</v>
          </cell>
          <cell r="B870" t="str">
            <v>В-15583/КЛ.Транш - 1</v>
          </cell>
          <cell r="D870">
            <v>79275752020</v>
          </cell>
          <cell r="F870">
            <v>79275752020</v>
          </cell>
        </row>
        <row r="871">
          <cell r="A871" t="str">
            <v>Коконев Николай Александрович</v>
          </cell>
          <cell r="B871" t="str">
            <v>В-11713/КЛ.Транш - 1</v>
          </cell>
          <cell r="D871">
            <v>89263768117</v>
          </cell>
          <cell r="F871">
            <v>79263768117</v>
          </cell>
        </row>
        <row r="872">
          <cell r="A872" t="str">
            <v>Колебанова Екатерина Александровна</v>
          </cell>
          <cell r="B872" t="str">
            <v>В-12880/КЛ.Транш - 1</v>
          </cell>
          <cell r="D872">
            <v>79871116379</v>
          </cell>
          <cell r="F872">
            <v>79871116379</v>
          </cell>
        </row>
        <row r="873">
          <cell r="A873" t="str">
            <v>Колесников Евгений Михайлович</v>
          </cell>
          <cell r="B873" t="str">
            <v>В-18921/КЛ.Транш - 1</v>
          </cell>
          <cell r="D873">
            <v>79501040612</v>
          </cell>
          <cell r="F873">
            <v>79501040612</v>
          </cell>
        </row>
        <row r="874">
          <cell r="A874" t="str">
            <v>Колесников Михаил Вячеславович</v>
          </cell>
          <cell r="B874" t="str">
            <v>В-28090/АЗ</v>
          </cell>
          <cell r="D874">
            <v>79064793696</v>
          </cell>
        </row>
        <row r="875">
          <cell r="A875" t="str">
            <v>Колобашкин Андрей Владимирович</v>
          </cell>
          <cell r="B875" t="str">
            <v>В-22663/КЛ.Транш - 1</v>
          </cell>
          <cell r="C875">
            <v>84957322252</v>
          </cell>
          <cell r="D875">
            <v>89852505225</v>
          </cell>
          <cell r="F875">
            <v>79852505225</v>
          </cell>
        </row>
        <row r="876">
          <cell r="A876" t="str">
            <v>Колосков Александр Михайлович</v>
          </cell>
          <cell r="B876" t="str">
            <v>В-15668/КЛ.Транш - 1</v>
          </cell>
          <cell r="D876">
            <v>79213465279</v>
          </cell>
          <cell r="F876">
            <v>79213465279</v>
          </cell>
        </row>
        <row r="877">
          <cell r="A877" t="str">
            <v>Колпаков Антон Валерьевич</v>
          </cell>
          <cell r="B877" t="str">
            <v>В-19880/КЛ.Транш - 1</v>
          </cell>
          <cell r="D877">
            <v>79672796448</v>
          </cell>
          <cell r="F877">
            <v>79672796448</v>
          </cell>
        </row>
        <row r="878">
          <cell r="A878" t="str">
            <v>Кольчицкий Захар Викторович</v>
          </cell>
          <cell r="B878" t="str">
            <v>В-11334/КЛ.Транш - 1_В-20211230/Ц</v>
          </cell>
          <cell r="C878">
            <v>78123030056</v>
          </cell>
          <cell r="D878">
            <v>79062603305</v>
          </cell>
          <cell r="F878">
            <v>79062603305</v>
          </cell>
        </row>
        <row r="879">
          <cell r="A879" t="str">
            <v>Комаров Андрей Сергеевич</v>
          </cell>
          <cell r="B879" t="str">
            <v>В-26776/КЛ.Транш - 1</v>
          </cell>
          <cell r="D879">
            <v>79185435217</v>
          </cell>
          <cell r="F879">
            <v>79185435217</v>
          </cell>
        </row>
        <row r="880">
          <cell r="A880" t="str">
            <v>Комаров Евгений Николаевич</v>
          </cell>
          <cell r="B880" t="str">
            <v>В-25401/КЛ.Транш - 1</v>
          </cell>
          <cell r="D880">
            <v>79232220181</v>
          </cell>
          <cell r="F880">
            <v>79232220181</v>
          </cell>
        </row>
        <row r="881">
          <cell r="A881" t="str">
            <v>Комаров Роман Иванович</v>
          </cell>
          <cell r="B881" t="str">
            <v>В-00884/КЛ.Транш - 2</v>
          </cell>
          <cell r="D881">
            <v>89165326132</v>
          </cell>
          <cell r="F881">
            <v>89165326132</v>
          </cell>
        </row>
        <row r="882">
          <cell r="A882" t="str">
            <v>Комаров Роман Иванович</v>
          </cell>
          <cell r="B882" t="str">
            <v>В-00884/КЛ.Транш - 1</v>
          </cell>
          <cell r="D882">
            <v>89165326132</v>
          </cell>
          <cell r="F882">
            <v>89165326132</v>
          </cell>
        </row>
        <row r="883">
          <cell r="A883" t="str">
            <v>Комарова Марина Владимировна</v>
          </cell>
          <cell r="B883" t="str">
            <v>В-11630/КЛ.Транш - 1</v>
          </cell>
          <cell r="D883">
            <v>79534275511</v>
          </cell>
          <cell r="F883">
            <v>79534275511</v>
          </cell>
        </row>
        <row r="884">
          <cell r="A884" t="str">
            <v>Кондратьев Андрей Александрович</v>
          </cell>
          <cell r="B884" t="str">
            <v>В-16933/КЛ.Транш - 2</v>
          </cell>
          <cell r="D884">
            <v>79919296255</v>
          </cell>
        </row>
        <row r="885">
          <cell r="A885" t="str">
            <v>Кондратюк Алексей Николаевич</v>
          </cell>
          <cell r="B885" t="str">
            <v>В-24308/КЛ.Транш - 1</v>
          </cell>
          <cell r="D885">
            <v>79303799999</v>
          </cell>
          <cell r="F885">
            <v>79303799999</v>
          </cell>
        </row>
        <row r="886">
          <cell r="A886" t="str">
            <v>Кондратюк Алексей Николаевич</v>
          </cell>
          <cell r="B886" t="str">
            <v>В-24308/КЛ.Транш - 2</v>
          </cell>
          <cell r="D886">
            <v>79303799999</v>
          </cell>
          <cell r="F886">
            <v>79303799999</v>
          </cell>
        </row>
        <row r="887">
          <cell r="A887" t="str">
            <v>Кондрашов Василий Игоревич</v>
          </cell>
          <cell r="B887" t="str">
            <v>В-16455/КЛ.Транш - 1</v>
          </cell>
          <cell r="D887">
            <v>79636642614</v>
          </cell>
          <cell r="F887">
            <v>79636642614</v>
          </cell>
        </row>
        <row r="888">
          <cell r="A888" t="str">
            <v>Конев Сергей Арсентьевич</v>
          </cell>
          <cell r="B888" t="str">
            <v>В-01184/АЗ</v>
          </cell>
          <cell r="D888">
            <v>79296042566</v>
          </cell>
          <cell r="F888">
            <v>79296042566</v>
          </cell>
        </row>
        <row r="889">
          <cell r="A889" t="str">
            <v>Конокотин Леонид Викторович</v>
          </cell>
          <cell r="B889" t="str">
            <v>А-05308/АЗ_В-20211230/Ц</v>
          </cell>
          <cell r="C889">
            <v>74955988883</v>
          </cell>
          <cell r="D889">
            <v>79858567531</v>
          </cell>
          <cell r="E889">
            <v>79858567531</v>
          </cell>
        </row>
        <row r="890">
          <cell r="A890" t="str">
            <v>Конуркин Сергей Сергеевич</v>
          </cell>
          <cell r="B890" t="str">
            <v>В-27646/КЛ.Транш - 1</v>
          </cell>
          <cell r="D890">
            <v>79166918483</v>
          </cell>
          <cell r="F890">
            <v>79166918483</v>
          </cell>
        </row>
        <row r="891">
          <cell r="A891" t="str">
            <v>Копытман Александр Семенович</v>
          </cell>
          <cell r="B891" t="str">
            <v>В-17469/КЛ.Транш - 2</v>
          </cell>
          <cell r="C891">
            <v>74953213033</v>
          </cell>
          <cell r="D891">
            <v>79647243012</v>
          </cell>
          <cell r="F891">
            <v>79647243012</v>
          </cell>
        </row>
        <row r="892">
          <cell r="A892" t="str">
            <v>Копытман Александр Семенович</v>
          </cell>
          <cell r="B892" t="str">
            <v>В-17469/КЛ.Транш - 1</v>
          </cell>
          <cell r="C892">
            <v>74953213033</v>
          </cell>
          <cell r="D892">
            <v>79647243012</v>
          </cell>
          <cell r="F892">
            <v>79647243012</v>
          </cell>
        </row>
        <row r="893">
          <cell r="A893" t="str">
            <v>Коржев Александр Сергеевич</v>
          </cell>
          <cell r="B893" t="str">
            <v>В-03758/КЛ.Транш - 1</v>
          </cell>
          <cell r="D893">
            <v>89500277426</v>
          </cell>
          <cell r="F893">
            <v>79500277426</v>
          </cell>
        </row>
        <row r="894">
          <cell r="A894" t="str">
            <v>Коркина Елена Александровна</v>
          </cell>
          <cell r="B894" t="str">
            <v>В-19991/КЛ.Транш - 3</v>
          </cell>
          <cell r="D894">
            <v>89537495179</v>
          </cell>
          <cell r="F894">
            <v>79537495179</v>
          </cell>
        </row>
        <row r="895">
          <cell r="A895" t="str">
            <v>Коркина Елена Александровна</v>
          </cell>
          <cell r="B895" t="str">
            <v>В-19991/КЛ.Транш - 2</v>
          </cell>
          <cell r="D895">
            <v>89537495179</v>
          </cell>
          <cell r="F895">
            <v>79537495179</v>
          </cell>
        </row>
        <row r="896">
          <cell r="A896" t="str">
            <v>Коркина Елена Александровна</v>
          </cell>
          <cell r="B896" t="str">
            <v>В-19991/КЛ.Транш - 1</v>
          </cell>
          <cell r="D896">
            <v>89537495179</v>
          </cell>
          <cell r="F896">
            <v>79537495179</v>
          </cell>
        </row>
        <row r="897">
          <cell r="A897" t="str">
            <v>Кормилицын Максим Геннадиевич</v>
          </cell>
          <cell r="B897" t="str">
            <v>В-28252/КЛ.Транш - 1</v>
          </cell>
          <cell r="D897">
            <v>79533203044</v>
          </cell>
        </row>
        <row r="898">
          <cell r="A898" t="str">
            <v>Корнач Антон Владимирович</v>
          </cell>
          <cell r="B898" t="str">
            <v>В-07328/КЛ.Транш - 2</v>
          </cell>
          <cell r="D898">
            <v>79052188999</v>
          </cell>
          <cell r="E898">
            <v>79052188999</v>
          </cell>
          <cell r="F898">
            <v>79052188999</v>
          </cell>
        </row>
        <row r="899">
          <cell r="A899" t="str">
            <v>Корнач Антон Владимирович</v>
          </cell>
          <cell r="B899" t="str">
            <v>В-07328/КЛ.Транш - 1</v>
          </cell>
          <cell r="D899">
            <v>79052188999</v>
          </cell>
          <cell r="E899">
            <v>79052188999</v>
          </cell>
          <cell r="F899">
            <v>79052188999</v>
          </cell>
        </row>
        <row r="900">
          <cell r="A900" t="str">
            <v>Корниенко Андрей Юрьевич</v>
          </cell>
          <cell r="B900" t="str">
            <v>В-03846/КЛ.Транш - 1</v>
          </cell>
          <cell r="D900">
            <v>79856828788</v>
          </cell>
          <cell r="F900">
            <v>79856828788</v>
          </cell>
        </row>
        <row r="901">
          <cell r="A901" t="str">
            <v>Корниенко Андрей Юрьевич</v>
          </cell>
          <cell r="B901" t="str">
            <v>В-03846/КЛ.Транш - 2</v>
          </cell>
          <cell r="D901">
            <v>79856828788</v>
          </cell>
          <cell r="F901">
            <v>79856828788</v>
          </cell>
        </row>
        <row r="902">
          <cell r="A902" t="str">
            <v>Корнилов Александр Дмитриевич</v>
          </cell>
          <cell r="B902" t="str">
            <v>В-22352/АЗ_В-20211230/Ц</v>
          </cell>
          <cell r="D902">
            <v>79210981891</v>
          </cell>
          <cell r="F902">
            <v>79210981891</v>
          </cell>
        </row>
        <row r="903">
          <cell r="A903" t="str">
            <v>Корнилова Алена Константиновна</v>
          </cell>
          <cell r="B903" t="str">
            <v>В-19681/КЛ.Транш - 1</v>
          </cell>
          <cell r="D903">
            <v>79142988812</v>
          </cell>
          <cell r="F903">
            <v>79142988812</v>
          </cell>
        </row>
        <row r="904">
          <cell r="A904" t="str">
            <v>Корнилова Наталия Владимировна</v>
          </cell>
          <cell r="B904" t="str">
            <v>В-18496/КЛ.Транш - 1</v>
          </cell>
          <cell r="D904">
            <v>79051999634</v>
          </cell>
          <cell r="F904">
            <v>79051999634</v>
          </cell>
        </row>
        <row r="905">
          <cell r="A905" t="str">
            <v>Корносенков Евгений Алексеевич</v>
          </cell>
          <cell r="B905" t="str">
            <v>В-09290/КЛ.Транш - 1</v>
          </cell>
          <cell r="D905">
            <v>79227254469</v>
          </cell>
          <cell r="F905">
            <v>79227254469</v>
          </cell>
        </row>
        <row r="906">
          <cell r="A906" t="str">
            <v>Королёв Дмитрий Евгеньевич</v>
          </cell>
          <cell r="B906" t="str">
            <v>А-00035/БЭ</v>
          </cell>
          <cell r="D906" t="str">
            <v>89160200226, 89067697494</v>
          </cell>
          <cell r="F906">
            <v>79160200226</v>
          </cell>
        </row>
        <row r="907">
          <cell r="A907" t="str">
            <v>Королев Максим Владимирович</v>
          </cell>
          <cell r="B907" t="str">
            <v>В-00586/АЗ_В-20211230/Ц</v>
          </cell>
          <cell r="C907">
            <v>74997058072</v>
          </cell>
          <cell r="D907">
            <v>79852156157</v>
          </cell>
          <cell r="F907">
            <v>79852156157</v>
          </cell>
        </row>
        <row r="908">
          <cell r="A908" t="str">
            <v>Королёв Сергей Николаевич</v>
          </cell>
          <cell r="B908" t="str">
            <v>В-18141/КЛ.Транш - 1</v>
          </cell>
          <cell r="D908">
            <v>79119272677</v>
          </cell>
          <cell r="F908">
            <v>79119272677</v>
          </cell>
        </row>
        <row r="909">
          <cell r="A909" t="str">
            <v>Король Маргарита Игоревна</v>
          </cell>
          <cell r="B909" t="str">
            <v>В-22935/КЛ.Транш - 1</v>
          </cell>
          <cell r="D909">
            <v>79189780081</v>
          </cell>
          <cell r="F909">
            <v>79189780081</v>
          </cell>
        </row>
        <row r="910">
          <cell r="A910" t="str">
            <v>Король Маргарита Игоревна</v>
          </cell>
          <cell r="B910" t="str">
            <v>В-22935/КЛ.Транш - 2</v>
          </cell>
          <cell r="D910">
            <v>79189780081</v>
          </cell>
          <cell r="F910">
            <v>79189780081</v>
          </cell>
        </row>
        <row r="911">
          <cell r="A911" t="str">
            <v>Коростелкина Татьяна Владимировна</v>
          </cell>
          <cell r="B911" t="str">
            <v>В-19070/КЛ.Транш - 2</v>
          </cell>
          <cell r="D911">
            <v>79773424080</v>
          </cell>
          <cell r="F911">
            <v>79773424080</v>
          </cell>
        </row>
        <row r="912">
          <cell r="A912" t="str">
            <v>Коростелкина Татьяна Владимировна</v>
          </cell>
          <cell r="B912" t="str">
            <v>В-19070/КЛ.Транш - 4</v>
          </cell>
          <cell r="D912">
            <v>79773424080</v>
          </cell>
          <cell r="F912">
            <v>79773424080</v>
          </cell>
        </row>
        <row r="913">
          <cell r="A913" t="str">
            <v>Коростелкина Татьяна Владимировна</v>
          </cell>
          <cell r="B913" t="str">
            <v>В-19070/КЛ.Транш - 3</v>
          </cell>
          <cell r="D913">
            <v>79773424080</v>
          </cell>
          <cell r="F913">
            <v>79773424080</v>
          </cell>
        </row>
        <row r="914">
          <cell r="A914" t="str">
            <v>Косарева Надежда Николаевна</v>
          </cell>
          <cell r="B914" t="str">
            <v>В-01191/АЗ</v>
          </cell>
          <cell r="D914">
            <v>79152806029</v>
          </cell>
          <cell r="F914">
            <v>79152806029</v>
          </cell>
        </row>
        <row r="915">
          <cell r="A915" t="str">
            <v>Косинова Мария Евгеньевна</v>
          </cell>
          <cell r="B915" t="str">
            <v>Т-01797/АЗ_Т-20210517/Ц</v>
          </cell>
          <cell r="C915">
            <v>74956897819</v>
          </cell>
          <cell r="D915">
            <v>79857604715</v>
          </cell>
          <cell r="E915">
            <v>79857604715</v>
          </cell>
          <cell r="F915">
            <v>79161419930</v>
          </cell>
        </row>
        <row r="916">
          <cell r="A916" t="str">
            <v>Косинова Мария Евгеньевна</v>
          </cell>
          <cell r="B916" t="str">
            <v>А-05332/АЗ_А-20210517/Ц</v>
          </cell>
          <cell r="C916">
            <v>74956897819</v>
          </cell>
          <cell r="D916">
            <v>79857604715</v>
          </cell>
          <cell r="E916">
            <v>79857604715</v>
          </cell>
          <cell r="F916">
            <v>79161419930</v>
          </cell>
        </row>
        <row r="917">
          <cell r="A917" t="str">
            <v>Кострыгина Юлия Викторовна</v>
          </cell>
          <cell r="B917" t="str">
            <v>В-22100/КЛ.Транш - 1_В-20211230/Ц</v>
          </cell>
          <cell r="D917">
            <v>89267296527</v>
          </cell>
          <cell r="F917">
            <v>79267296527</v>
          </cell>
        </row>
        <row r="918">
          <cell r="A918" t="str">
            <v>Кострюков Сергей Вячеславович</v>
          </cell>
          <cell r="B918" t="str">
            <v>В-24021/КЛ.Транш - 1</v>
          </cell>
          <cell r="D918">
            <v>89999709808</v>
          </cell>
          <cell r="F918">
            <v>79999709808</v>
          </cell>
        </row>
        <row r="919">
          <cell r="A919" t="str">
            <v>Котелло Марина Юрьевна</v>
          </cell>
          <cell r="B919" t="str">
            <v>В-09928/КЛ.Транш - 1</v>
          </cell>
          <cell r="D919">
            <v>79787238135</v>
          </cell>
          <cell r="F919">
            <v>79787238135</v>
          </cell>
        </row>
        <row r="920">
          <cell r="A920" t="str">
            <v>Котляров Алексей Дмитриевич</v>
          </cell>
          <cell r="B920" t="str">
            <v>В-05611/КЛ.Транш - 1</v>
          </cell>
          <cell r="D920">
            <v>79296414245</v>
          </cell>
          <cell r="F920">
            <v>79296414245</v>
          </cell>
        </row>
        <row r="921">
          <cell r="A921" t="str">
            <v>Котов Руслан Геннадьевич</v>
          </cell>
          <cell r="B921" t="str">
            <v>В-12740/КЛ.Транш - 2</v>
          </cell>
          <cell r="D921">
            <v>79033285823</v>
          </cell>
          <cell r="F921">
            <v>79033285823</v>
          </cell>
        </row>
        <row r="922">
          <cell r="A922" t="str">
            <v>Коханов Андрей Валентинович</v>
          </cell>
          <cell r="B922" t="str">
            <v>В-08513/КЛ.Транш - 1</v>
          </cell>
          <cell r="D922">
            <v>89645897667</v>
          </cell>
          <cell r="F922">
            <v>79645897667</v>
          </cell>
        </row>
        <row r="923">
          <cell r="A923" t="str">
            <v>Коцуба Андрей Сергеевич</v>
          </cell>
          <cell r="B923" t="str">
            <v>В-00737/АЗ</v>
          </cell>
          <cell r="D923">
            <v>79886733377</v>
          </cell>
          <cell r="F923">
            <v>79886733377</v>
          </cell>
        </row>
        <row r="924">
          <cell r="A924" t="str">
            <v>Кочарян Саргис Сетракович</v>
          </cell>
          <cell r="B924" t="str">
            <v>В-13219/КЛ.Транш - 1</v>
          </cell>
          <cell r="D924">
            <v>79030302121</v>
          </cell>
          <cell r="F924">
            <v>79030302121</v>
          </cell>
        </row>
        <row r="925">
          <cell r="A925" t="str">
            <v>Кочнева Наталья Николаевна</v>
          </cell>
          <cell r="B925" t="str">
            <v>В-21666/КЛ.Транш - 1</v>
          </cell>
          <cell r="D925">
            <v>79995636451</v>
          </cell>
          <cell r="E925">
            <v>79923341175</v>
          </cell>
          <cell r="F925">
            <v>79995636451</v>
          </cell>
        </row>
        <row r="926">
          <cell r="A926" t="str">
            <v>Кошевой Андрей Анатольевич</v>
          </cell>
          <cell r="B926" t="str">
            <v>В-26318/КЛ.Транш - 1</v>
          </cell>
          <cell r="D926">
            <v>89269094951</v>
          </cell>
          <cell r="F926">
            <v>79269094951</v>
          </cell>
        </row>
        <row r="927">
          <cell r="A927" t="str">
            <v>Кошевой Андрей Анатольевич</v>
          </cell>
          <cell r="B927" t="str">
            <v>В-02029/КЛ.Транш - 2</v>
          </cell>
          <cell r="D927">
            <v>89269094951</v>
          </cell>
          <cell r="F927">
            <v>79269094951</v>
          </cell>
        </row>
        <row r="928">
          <cell r="A928" t="str">
            <v>Кошелева Светлана Сергеевна</v>
          </cell>
          <cell r="B928" t="str">
            <v>В-23633/КЛ.Транш - 1_В-20211230/Ц</v>
          </cell>
          <cell r="D928">
            <v>89671011113</v>
          </cell>
          <cell r="F928">
            <v>79671011113</v>
          </cell>
        </row>
        <row r="929">
          <cell r="A929" t="str">
            <v>Кравченко Вера Юрьевна</v>
          </cell>
          <cell r="B929" t="str">
            <v>В-05725/КЛ.Транш - 5</v>
          </cell>
          <cell r="D929">
            <v>79254080346</v>
          </cell>
          <cell r="F929">
            <v>79254080346</v>
          </cell>
        </row>
        <row r="930">
          <cell r="A930" t="str">
            <v>Кравченко Вера Юрьевна</v>
          </cell>
          <cell r="B930" t="str">
            <v>В-05725/КЛ.Транш - 6</v>
          </cell>
          <cell r="D930">
            <v>79254080346</v>
          </cell>
          <cell r="F930">
            <v>79254080346</v>
          </cell>
        </row>
        <row r="931">
          <cell r="A931" t="str">
            <v>Кравченко Владимир Николаевич</v>
          </cell>
          <cell r="B931" t="str">
            <v>В-21960/КЛ.Транш - 1</v>
          </cell>
          <cell r="D931">
            <v>89091500039</v>
          </cell>
          <cell r="F931">
            <v>79091500039</v>
          </cell>
        </row>
        <row r="932">
          <cell r="A932" t="str">
            <v>Кравченко Владимир Николаевич</v>
          </cell>
          <cell r="B932" t="str">
            <v>В-21960/КЛ.Транш - 2</v>
          </cell>
          <cell r="D932">
            <v>89091500039</v>
          </cell>
          <cell r="F932">
            <v>79091500039</v>
          </cell>
        </row>
        <row r="933">
          <cell r="A933" t="str">
            <v>Кравчук Андрей Николаевич</v>
          </cell>
          <cell r="B933" t="str">
            <v>В-14094/КЛ.Транш - 2</v>
          </cell>
          <cell r="D933">
            <v>79081930608</v>
          </cell>
          <cell r="F933">
            <v>79081930608</v>
          </cell>
        </row>
        <row r="934">
          <cell r="A934" t="str">
            <v>Крайнева Марина Александровна</v>
          </cell>
          <cell r="B934" t="str">
            <v>В-28684/КЛ.Транш - 1</v>
          </cell>
          <cell r="D934">
            <v>79370214535</v>
          </cell>
          <cell r="F934">
            <v>79370214535</v>
          </cell>
        </row>
        <row r="935">
          <cell r="A935" t="str">
            <v>КРАЙСАВТО ООО</v>
          </cell>
          <cell r="B935" t="str">
            <v>В-00083/КЭ.Транш - 1</v>
          </cell>
        </row>
        <row r="936">
          <cell r="A936" t="str">
            <v>Красников Константин Михайлович</v>
          </cell>
          <cell r="B936" t="str">
            <v>В-26099/КЛ.Транш - 2</v>
          </cell>
          <cell r="D936">
            <v>89031850064</v>
          </cell>
          <cell r="F936">
            <v>79031850064</v>
          </cell>
        </row>
        <row r="937">
          <cell r="A937" t="str">
            <v>Красников Константин Михайлович</v>
          </cell>
          <cell r="B937" t="str">
            <v>В-26099/КЛ.Транш - 1</v>
          </cell>
          <cell r="D937">
            <v>89031850064</v>
          </cell>
          <cell r="F937">
            <v>79031850064</v>
          </cell>
        </row>
        <row r="938">
          <cell r="A938" t="str">
            <v>Краснов Николай Викторович</v>
          </cell>
          <cell r="B938" t="str">
            <v>В-07706/КЛ.Транш - 1</v>
          </cell>
          <cell r="D938">
            <v>79649962555</v>
          </cell>
          <cell r="E938">
            <v>79649962555</v>
          </cell>
          <cell r="F938">
            <v>79649962555</v>
          </cell>
        </row>
        <row r="939">
          <cell r="A939" t="str">
            <v>Краснокутская Ирина Анатольевна</v>
          </cell>
          <cell r="B939" t="str">
            <v>В-26649/АЗ</v>
          </cell>
          <cell r="D939">
            <v>79819361966</v>
          </cell>
        </row>
        <row r="940">
          <cell r="A940" t="str">
            <v>Краснокутский Анатолий Владимирович</v>
          </cell>
          <cell r="B940" t="str">
            <v>В-26651/АЗ</v>
          </cell>
          <cell r="D940">
            <v>79119244780</v>
          </cell>
        </row>
        <row r="941">
          <cell r="A941" t="str">
            <v>Креатив дизайн ООО</v>
          </cell>
          <cell r="B941" t="str">
            <v>А-00375/КЭ.Транш - 1</v>
          </cell>
        </row>
        <row r="942">
          <cell r="A942" t="str">
            <v>Кривотулов Дмитрий Александрович</v>
          </cell>
          <cell r="B942" t="str">
            <v>В-02402/КЛ.Транш - 1</v>
          </cell>
          <cell r="C942">
            <v>74954430871</v>
          </cell>
          <cell r="D942">
            <v>79154731682</v>
          </cell>
          <cell r="F942">
            <v>79154731682</v>
          </cell>
        </row>
        <row r="943">
          <cell r="A943" t="str">
            <v>Крикунов Тимофей Николаевич</v>
          </cell>
          <cell r="B943" t="str">
            <v>В-07632/КЛ.Транш - 1</v>
          </cell>
          <cell r="D943">
            <v>79608727270</v>
          </cell>
          <cell r="F943">
            <v>79608727270</v>
          </cell>
        </row>
        <row r="944">
          <cell r="A944" t="str">
            <v>КРОШКИ ООО</v>
          </cell>
          <cell r="B944" t="str">
            <v>А-00211/КЭ.Транш - 2</v>
          </cell>
        </row>
        <row r="945">
          <cell r="A945" t="str">
            <v>Крыгин Илья Владимирович</v>
          </cell>
          <cell r="B945" t="str">
            <v>В-18715/КЛ.Транш - 1</v>
          </cell>
          <cell r="D945">
            <v>79175621918</v>
          </cell>
          <cell r="F945">
            <v>79175621918</v>
          </cell>
        </row>
        <row r="946">
          <cell r="A946" t="str">
            <v>Крыгин Илья Владимирович</v>
          </cell>
          <cell r="B946" t="str">
            <v>В-18715/КЛ.Транш - 2</v>
          </cell>
          <cell r="D946">
            <v>79175621918</v>
          </cell>
          <cell r="F946">
            <v>79175621918</v>
          </cell>
        </row>
        <row r="947">
          <cell r="A947" t="str">
            <v>Крыгин Илья Владимирович</v>
          </cell>
          <cell r="B947" t="str">
            <v>В-18715/КЛ.Транш - 4</v>
          </cell>
          <cell r="D947">
            <v>79175621918</v>
          </cell>
          <cell r="F947">
            <v>79175621918</v>
          </cell>
        </row>
        <row r="948">
          <cell r="A948" t="str">
            <v>Крюков Сергей Викторович</v>
          </cell>
          <cell r="B948" t="str">
            <v>А-05392/АЗ</v>
          </cell>
          <cell r="C948">
            <v>74967265167</v>
          </cell>
          <cell r="D948">
            <v>79037968869</v>
          </cell>
          <cell r="E948">
            <v>79037968869</v>
          </cell>
          <cell r="F948">
            <v>79037968869</v>
          </cell>
        </row>
        <row r="949">
          <cell r="A949" t="str">
            <v>Крюков Сергей Викторович</v>
          </cell>
          <cell r="B949" t="str">
            <v>Т-01827/АЗ_Т-20211028/Ц</v>
          </cell>
          <cell r="C949">
            <v>74967265167</v>
          </cell>
          <cell r="D949">
            <v>79037968869</v>
          </cell>
          <cell r="E949">
            <v>79037968869</v>
          </cell>
          <cell r="F949">
            <v>79037968869</v>
          </cell>
        </row>
        <row r="950">
          <cell r="A950" t="str">
            <v>Крюков Сергей Викторович</v>
          </cell>
          <cell r="B950" t="str">
            <v>В-00280/КЛ.Транш - 1</v>
          </cell>
          <cell r="C950">
            <v>74967265167</v>
          </cell>
          <cell r="D950">
            <v>79037968869</v>
          </cell>
          <cell r="E950">
            <v>79037968869</v>
          </cell>
          <cell r="F950">
            <v>79037968869</v>
          </cell>
        </row>
        <row r="951">
          <cell r="A951" t="str">
            <v>Крюков Сергей Викторович</v>
          </cell>
          <cell r="B951" t="str">
            <v>В-00280/КЛ.Транш - 2</v>
          </cell>
          <cell r="C951">
            <v>74967265167</v>
          </cell>
          <cell r="D951">
            <v>79037968869</v>
          </cell>
          <cell r="E951">
            <v>79037968869</v>
          </cell>
          <cell r="F951">
            <v>79037968869</v>
          </cell>
        </row>
        <row r="952">
          <cell r="A952" t="str">
            <v>Крючковский Сергей Владиславович</v>
          </cell>
          <cell r="B952" t="str">
            <v>В-25457/КЛ.Транш - 1</v>
          </cell>
          <cell r="D952">
            <v>79677405071</v>
          </cell>
          <cell r="F952">
            <v>79677405071</v>
          </cell>
        </row>
        <row r="953">
          <cell r="A953" t="str">
            <v>Кудаев Марат Арсенович</v>
          </cell>
          <cell r="B953" t="str">
            <v>В-24596/АЗ</v>
          </cell>
          <cell r="D953">
            <v>79999815353</v>
          </cell>
          <cell r="F953">
            <v>79999815353</v>
          </cell>
        </row>
        <row r="954">
          <cell r="A954" t="str">
            <v>Кудрин Роман Анатольевич</v>
          </cell>
          <cell r="B954" t="str">
            <v>В-25529/КЛ.Транш - 1</v>
          </cell>
          <cell r="D954">
            <v>79106121114</v>
          </cell>
        </row>
        <row r="955">
          <cell r="A955" t="str">
            <v>Кудрявцев Геннадий Владимирович</v>
          </cell>
          <cell r="B955" t="str">
            <v>В-12548/КЛ.Транш - 2_В-20211230/Ц</v>
          </cell>
          <cell r="C955">
            <v>74954946112</v>
          </cell>
          <cell r="D955">
            <v>79264645049</v>
          </cell>
          <cell r="E955">
            <v>79264645049</v>
          </cell>
          <cell r="F955">
            <v>79264645049</v>
          </cell>
        </row>
        <row r="956">
          <cell r="A956" t="str">
            <v>Кудряшов Савва Романович</v>
          </cell>
          <cell r="B956" t="str">
            <v>В-25573/КЛ.Транш - 1</v>
          </cell>
          <cell r="D956">
            <v>79261805555</v>
          </cell>
          <cell r="F956">
            <v>79261805555</v>
          </cell>
        </row>
        <row r="957">
          <cell r="A957" t="str">
            <v>Кудряшов Савва Романович</v>
          </cell>
          <cell r="B957" t="str">
            <v>В-25573/КЛ.Транш - 2</v>
          </cell>
          <cell r="D957">
            <v>79261805555</v>
          </cell>
          <cell r="F957">
            <v>79261805555</v>
          </cell>
        </row>
        <row r="958">
          <cell r="A958" t="str">
            <v>Кузнецов Алексей Анатольевич</v>
          </cell>
          <cell r="B958" t="str">
            <v>В-22048/КЛ.Транш - 1</v>
          </cell>
          <cell r="D958">
            <v>89038153824</v>
          </cell>
          <cell r="F958">
            <v>79038153824</v>
          </cell>
        </row>
        <row r="959">
          <cell r="A959" t="str">
            <v>Кузнецов Иван Михайлович</v>
          </cell>
          <cell r="B959" t="str">
            <v>В-16516/КЛ.Транш - 1</v>
          </cell>
          <cell r="D959">
            <v>79959979969</v>
          </cell>
          <cell r="F959">
            <v>79959979969</v>
          </cell>
        </row>
        <row r="960">
          <cell r="A960" t="str">
            <v>Кузнецов Иван Михайлович</v>
          </cell>
          <cell r="B960" t="str">
            <v>В-16516/КЛ.Транш - 3</v>
          </cell>
          <cell r="D960">
            <v>79959979969</v>
          </cell>
          <cell r="F960">
            <v>79959979969</v>
          </cell>
        </row>
        <row r="961">
          <cell r="A961" t="str">
            <v>Кузнецов Иван Михайлович</v>
          </cell>
          <cell r="B961" t="str">
            <v>В-16516/КЛ.Транш - 7</v>
          </cell>
          <cell r="D961">
            <v>79959979969</v>
          </cell>
          <cell r="F961">
            <v>79959979969</v>
          </cell>
        </row>
        <row r="962">
          <cell r="A962" t="str">
            <v>Кузнецов Иван Михайлович</v>
          </cell>
          <cell r="B962" t="str">
            <v>В-16516/КЛ.Транш - 6</v>
          </cell>
          <cell r="D962">
            <v>79959979969</v>
          </cell>
          <cell r="F962">
            <v>79959979969</v>
          </cell>
        </row>
        <row r="963">
          <cell r="A963" t="str">
            <v>Кузнецов Иван Михайлович</v>
          </cell>
          <cell r="B963" t="str">
            <v>В-16516/КЛ.Транш - 4</v>
          </cell>
          <cell r="D963">
            <v>79959979969</v>
          </cell>
          <cell r="F963">
            <v>79959979969</v>
          </cell>
        </row>
        <row r="964">
          <cell r="A964" t="str">
            <v>Кузнецов Иван Михайлович</v>
          </cell>
          <cell r="B964" t="str">
            <v>В-16516/КЛ.Транш - 5</v>
          </cell>
          <cell r="D964">
            <v>79959979969</v>
          </cell>
          <cell r="F964">
            <v>79959979969</v>
          </cell>
        </row>
        <row r="965">
          <cell r="A965" t="str">
            <v>Кузнецова Александра Николаевна</v>
          </cell>
          <cell r="B965" t="str">
            <v>В-22683/КЛ.Транш - 1</v>
          </cell>
          <cell r="D965">
            <v>79268847323</v>
          </cell>
          <cell r="F965">
            <v>79268847323</v>
          </cell>
        </row>
        <row r="966">
          <cell r="A966" t="str">
            <v>Кузнецова Екатерина Владиславовна</v>
          </cell>
          <cell r="B966" t="str">
            <v>В-18929/КЛ.Транш - 1</v>
          </cell>
          <cell r="D966">
            <v>79104398750</v>
          </cell>
          <cell r="F966">
            <v>79104398750</v>
          </cell>
        </row>
        <row r="967">
          <cell r="A967" t="str">
            <v>Кузнецова Елена Витальевна</v>
          </cell>
          <cell r="B967" t="str">
            <v>А-10026/БЭ</v>
          </cell>
          <cell r="C967">
            <v>78125262467</v>
          </cell>
          <cell r="D967">
            <v>79219738607</v>
          </cell>
          <cell r="E967">
            <v>79219738607</v>
          </cell>
          <cell r="F967">
            <v>79219738607</v>
          </cell>
        </row>
        <row r="968">
          <cell r="A968" t="str">
            <v>Кузнецова Ирина Геннадьевна</v>
          </cell>
          <cell r="B968" t="str">
            <v>В-04395/КЛ.Транш - 4</v>
          </cell>
          <cell r="D968">
            <v>79052076286</v>
          </cell>
          <cell r="F968">
            <v>79052076286</v>
          </cell>
        </row>
        <row r="969">
          <cell r="A969" t="str">
            <v>Кузнецова Юлия Сергеевна</v>
          </cell>
          <cell r="B969" t="str">
            <v>В-06920/КЛ.Транш - 1</v>
          </cell>
          <cell r="D969">
            <v>79959960900</v>
          </cell>
          <cell r="F969">
            <v>79959960900</v>
          </cell>
        </row>
        <row r="970">
          <cell r="A970" t="str">
            <v>Кузнецова Юлия Сергеевна</v>
          </cell>
          <cell r="B970" t="str">
            <v>В-06920/КЛ.Транш - 3</v>
          </cell>
          <cell r="D970">
            <v>79959960900</v>
          </cell>
          <cell r="F970">
            <v>79959960900</v>
          </cell>
        </row>
        <row r="971">
          <cell r="A971" t="str">
            <v>Кузнецова Юлия Сергеевна</v>
          </cell>
          <cell r="B971" t="str">
            <v>В-06920/КЛ.Транш - 2</v>
          </cell>
          <cell r="D971">
            <v>79959960900</v>
          </cell>
          <cell r="F971">
            <v>79959960900</v>
          </cell>
        </row>
        <row r="972">
          <cell r="A972" t="str">
            <v>Кузьмин Михаил Юрьевич</v>
          </cell>
          <cell r="B972" t="str">
            <v>В-12113/КЛ.Транш - 1</v>
          </cell>
          <cell r="D972">
            <v>89213341802</v>
          </cell>
          <cell r="F972">
            <v>79213341802</v>
          </cell>
        </row>
        <row r="973">
          <cell r="A973" t="str">
            <v>Кузьмичев Иван Сергеевич</v>
          </cell>
          <cell r="B973" t="str">
            <v>В-20731/КЛ.Транш - 1</v>
          </cell>
          <cell r="D973">
            <v>79996794623</v>
          </cell>
          <cell r="F973">
            <v>79996794623</v>
          </cell>
        </row>
        <row r="974">
          <cell r="A974" t="str">
            <v>Кузьмичев Иван Сергеевич</v>
          </cell>
          <cell r="B974" t="str">
            <v>В-20731/КЛ.Транш - 4</v>
          </cell>
          <cell r="D974">
            <v>79996794623</v>
          </cell>
          <cell r="F974">
            <v>79996794623</v>
          </cell>
        </row>
        <row r="975">
          <cell r="A975" t="str">
            <v>Кузьмичев Иван Сергеевич</v>
          </cell>
          <cell r="B975" t="str">
            <v>В-20731/КЛ.Транш - 2</v>
          </cell>
          <cell r="D975">
            <v>79996794623</v>
          </cell>
          <cell r="F975">
            <v>79996794623</v>
          </cell>
        </row>
        <row r="976">
          <cell r="A976" t="str">
            <v>Кузьмичев Иван Сергеевич</v>
          </cell>
          <cell r="B976" t="str">
            <v>В-20731/КЛ.Транш - 3</v>
          </cell>
          <cell r="D976">
            <v>79996794623</v>
          </cell>
          <cell r="F976">
            <v>79996794623</v>
          </cell>
        </row>
        <row r="977">
          <cell r="A977" t="str">
            <v>Кузьмичев Иван Сергеевич</v>
          </cell>
          <cell r="B977" t="str">
            <v>В-20731/КЛ.Транш - 5</v>
          </cell>
          <cell r="D977">
            <v>79996794623</v>
          </cell>
          <cell r="F977">
            <v>79996794623</v>
          </cell>
        </row>
        <row r="978">
          <cell r="A978" t="str">
            <v>Куксова Елена Юрьевна</v>
          </cell>
          <cell r="B978" t="str">
            <v>В-12163/КЛ.Транш - 1</v>
          </cell>
          <cell r="D978">
            <v>79102220721</v>
          </cell>
          <cell r="F978">
            <v>79102220721</v>
          </cell>
        </row>
        <row r="979">
          <cell r="A979" t="str">
            <v>Куксова Елена Юрьевна</v>
          </cell>
          <cell r="B979" t="str">
            <v>В-12163/КЛ.Транш - 2</v>
          </cell>
          <cell r="D979">
            <v>79102220721</v>
          </cell>
          <cell r="F979">
            <v>79102220721</v>
          </cell>
        </row>
        <row r="980">
          <cell r="A980" t="str">
            <v>Кукушкин Сергей Петрович</v>
          </cell>
          <cell r="B980" t="str">
            <v>В-03460/КЛ.Транш - 1</v>
          </cell>
          <cell r="D980">
            <v>89035288379</v>
          </cell>
          <cell r="F980">
            <v>79035288379</v>
          </cell>
        </row>
        <row r="981">
          <cell r="A981" t="str">
            <v>Купряков Алексей Игоревич</v>
          </cell>
          <cell r="B981" t="str">
            <v>В-01210/АЗ</v>
          </cell>
          <cell r="D981">
            <v>89037971637</v>
          </cell>
          <cell r="F981">
            <v>79037971637</v>
          </cell>
        </row>
        <row r="982">
          <cell r="A982" t="str">
            <v>Куразян Гарий Рафаэлович</v>
          </cell>
          <cell r="B982" t="str">
            <v>В-20384/КЛ.Транш - 1</v>
          </cell>
          <cell r="D982">
            <v>79897033074</v>
          </cell>
          <cell r="F982">
            <v>79897033074</v>
          </cell>
        </row>
        <row r="983">
          <cell r="A983" t="str">
            <v>Куренкова Марина Анатольевна</v>
          </cell>
          <cell r="B983" t="str">
            <v>В-08270/КЛ.Транш - 1</v>
          </cell>
          <cell r="D983">
            <v>79690483616</v>
          </cell>
          <cell r="F983">
            <v>79690483616</v>
          </cell>
        </row>
        <row r="984">
          <cell r="A984" t="str">
            <v>Курехян Жорж Эдуардович</v>
          </cell>
          <cell r="B984" t="str">
            <v>В-24366/КЛ.Транш - 1</v>
          </cell>
          <cell r="D984">
            <v>79610700909</v>
          </cell>
        </row>
        <row r="985">
          <cell r="A985" t="str">
            <v>Курмаев Виталий Юрьевич</v>
          </cell>
          <cell r="B985" t="str">
            <v>В-11882/КЛ.Транш - 1</v>
          </cell>
          <cell r="E985">
            <v>79534227208</v>
          </cell>
        </row>
        <row r="986">
          <cell r="A986" t="str">
            <v>Курмаев Виталий Юрьевич</v>
          </cell>
          <cell r="B986" t="str">
            <v>В-11882/КЛ.Транш - 2</v>
          </cell>
          <cell r="E986">
            <v>79534227208</v>
          </cell>
        </row>
        <row r="987">
          <cell r="A987" t="str">
            <v>Курмаев Виталий Юрьевич</v>
          </cell>
          <cell r="B987" t="str">
            <v>В-11882/КЛ.Транш - 3</v>
          </cell>
          <cell r="E987">
            <v>79534227208</v>
          </cell>
        </row>
        <row r="988">
          <cell r="A988" t="str">
            <v>Курнакова Надежда Александровна</v>
          </cell>
          <cell r="B988" t="str">
            <v>В-23897/КЛ.Транш - 1</v>
          </cell>
          <cell r="D988">
            <v>79517587421</v>
          </cell>
          <cell r="F988">
            <v>79517587421</v>
          </cell>
        </row>
        <row r="989">
          <cell r="A989" t="str">
            <v>Куров Владимир Грацианович</v>
          </cell>
          <cell r="B989" t="str">
            <v>В-26742/КЛ.Транш - 2</v>
          </cell>
          <cell r="C989">
            <v>74957542967</v>
          </cell>
          <cell r="D989">
            <v>79166700238</v>
          </cell>
          <cell r="F989">
            <v>79166700238</v>
          </cell>
        </row>
        <row r="990">
          <cell r="A990" t="str">
            <v>Куров Владимир Грацианович</v>
          </cell>
          <cell r="B990" t="str">
            <v>В-26742/КЛ.Транш - 1</v>
          </cell>
          <cell r="C990">
            <v>74957542967</v>
          </cell>
          <cell r="D990">
            <v>79166700238</v>
          </cell>
          <cell r="F990">
            <v>79166700238</v>
          </cell>
        </row>
        <row r="991">
          <cell r="A991" t="str">
            <v>Курышев Дмитрий Александрович</v>
          </cell>
          <cell r="B991" t="str">
            <v>А-04827/АЗ</v>
          </cell>
          <cell r="C991">
            <v>74967978708</v>
          </cell>
          <cell r="D991">
            <v>79269917034</v>
          </cell>
          <cell r="E991">
            <v>79269917034</v>
          </cell>
        </row>
        <row r="992">
          <cell r="A992" t="str">
            <v>Кутанов Егор Сергеевич</v>
          </cell>
          <cell r="B992" t="str">
            <v>В-15451/КЛ.Транш - 1</v>
          </cell>
          <cell r="D992">
            <v>79637178904</v>
          </cell>
          <cell r="E992">
            <v>79150327094</v>
          </cell>
          <cell r="F992">
            <v>79637178904</v>
          </cell>
        </row>
        <row r="993">
          <cell r="A993" t="str">
            <v>Кутепов Виктор Николаевич</v>
          </cell>
          <cell r="B993" t="str">
            <v>В-21933/КЛ.Транш - 1</v>
          </cell>
          <cell r="D993">
            <v>79911121011</v>
          </cell>
          <cell r="F993">
            <v>79911121011</v>
          </cell>
        </row>
        <row r="994">
          <cell r="A994" t="str">
            <v>Кутлуахметов Руслан Зауилович</v>
          </cell>
          <cell r="B994" t="str">
            <v>В-19791/КЛ.Транш - 1_В-20211230/Ц</v>
          </cell>
          <cell r="D994">
            <v>79786084762</v>
          </cell>
          <cell r="F994">
            <v>79786084762</v>
          </cell>
        </row>
        <row r="995">
          <cell r="A995" t="str">
            <v>Кучевский Сергей Геннадьевич</v>
          </cell>
          <cell r="B995" t="str">
            <v>В-00103/КЛ.Транш - 1_В-20211230/Ц</v>
          </cell>
          <cell r="D995">
            <v>89854448580</v>
          </cell>
          <cell r="F995">
            <v>79854448580</v>
          </cell>
        </row>
        <row r="996">
          <cell r="A996" t="str">
            <v>ЛАВиК ООО</v>
          </cell>
          <cell r="B996" t="str">
            <v>А-00395/КЭ.Транш - 3</v>
          </cell>
        </row>
        <row r="997">
          <cell r="A997" t="str">
            <v>ЛАВиК ООО</v>
          </cell>
          <cell r="B997" t="str">
            <v>А-00395/КЭ.Транш - 2</v>
          </cell>
        </row>
        <row r="998">
          <cell r="A998" t="str">
            <v>Лазарева Ирина Михайловна</v>
          </cell>
          <cell r="B998" t="str">
            <v>В-04536/КЛ.Транш - 4</v>
          </cell>
          <cell r="E998">
            <v>79218749181</v>
          </cell>
          <cell r="F998">
            <v>79112730146</v>
          </cell>
        </row>
        <row r="999">
          <cell r="A999" t="str">
            <v>Лазарева Ирина Михайловна</v>
          </cell>
          <cell r="B999" t="str">
            <v>В-04536/КЛ.Транш - 3</v>
          </cell>
          <cell r="E999">
            <v>79218749181</v>
          </cell>
          <cell r="F999">
            <v>79112730146</v>
          </cell>
        </row>
        <row r="1000">
          <cell r="A1000" t="str">
            <v>Лазарян Давид Игоревич</v>
          </cell>
          <cell r="B1000" t="str">
            <v>В-20200/КЛ.Транш - 1</v>
          </cell>
          <cell r="D1000">
            <v>79683330999</v>
          </cell>
          <cell r="F1000">
            <v>79683330999</v>
          </cell>
        </row>
        <row r="1001">
          <cell r="A1001" t="str">
            <v>Лазарян Давид Игоревич</v>
          </cell>
          <cell r="B1001" t="str">
            <v>В-20200/КЛ.Транш - 2</v>
          </cell>
          <cell r="D1001">
            <v>79683330999</v>
          </cell>
          <cell r="F1001">
            <v>79683330999</v>
          </cell>
        </row>
        <row r="1002">
          <cell r="A1002" t="str">
            <v>Лапин Дмитрий Геннадьевич</v>
          </cell>
          <cell r="B1002" t="str">
            <v>В-17724/КЛ.Транш - 1_В-20211230/Ц</v>
          </cell>
          <cell r="D1002">
            <v>79212243720</v>
          </cell>
          <cell r="F1002">
            <v>79212243720</v>
          </cell>
        </row>
        <row r="1003">
          <cell r="A1003" t="str">
            <v>Лапкин Руслан Евгеньевич</v>
          </cell>
          <cell r="B1003" t="str">
            <v>В-23930/АЗ</v>
          </cell>
          <cell r="D1003">
            <v>79037209373</v>
          </cell>
          <cell r="F1003">
            <v>79037209373</v>
          </cell>
        </row>
        <row r="1004">
          <cell r="A1004" t="str">
            <v>Лапшин Владимир Николаевич</v>
          </cell>
          <cell r="B1004" t="str">
            <v>В-13202/КЛ.Транш - 3</v>
          </cell>
          <cell r="D1004">
            <v>79109502279</v>
          </cell>
          <cell r="F1004">
            <v>79109502279</v>
          </cell>
        </row>
        <row r="1005">
          <cell r="A1005" t="str">
            <v>Ларина Анна Ильинична</v>
          </cell>
          <cell r="B1005" t="str">
            <v>В-10050/КЛ.Транш - 1</v>
          </cell>
          <cell r="D1005">
            <v>79685265733</v>
          </cell>
          <cell r="F1005">
            <v>79685265733</v>
          </cell>
        </row>
        <row r="1006">
          <cell r="A1006" t="str">
            <v>Ларичева Ольга Ивановна</v>
          </cell>
          <cell r="B1006" t="str">
            <v>В-25217/КЛ.Транш - 1</v>
          </cell>
          <cell r="D1006">
            <v>79635227014</v>
          </cell>
          <cell r="F1006">
            <v>79635227014</v>
          </cell>
        </row>
        <row r="1007">
          <cell r="A1007" t="str">
            <v>Ларчик Денис Владимирович</v>
          </cell>
          <cell r="B1007" t="str">
            <v>В-12033/КЛ.Транш - 1</v>
          </cell>
          <cell r="E1007">
            <v>79627262124</v>
          </cell>
          <cell r="F1007">
            <v>79627262124</v>
          </cell>
        </row>
        <row r="1008">
          <cell r="A1008" t="str">
            <v>Лебедев Мирон Робертович</v>
          </cell>
          <cell r="B1008" t="str">
            <v>В-01120/АЗ_А-20210929/Ц</v>
          </cell>
          <cell r="D1008">
            <v>79096257979</v>
          </cell>
          <cell r="F1008">
            <v>79096257979</v>
          </cell>
        </row>
        <row r="1009">
          <cell r="A1009" t="str">
            <v>Лебедева Евгения Александровна</v>
          </cell>
          <cell r="B1009" t="str">
            <v>В-20855/КЛ.Транш - 1</v>
          </cell>
          <cell r="D1009">
            <v>79852570390</v>
          </cell>
          <cell r="F1009">
            <v>79852570390</v>
          </cell>
        </row>
        <row r="1010">
          <cell r="A1010" t="str">
            <v>Лебедовский Максим Юрьевич</v>
          </cell>
          <cell r="B1010" t="str">
            <v>В-20046/КЛ.Транш - 1</v>
          </cell>
          <cell r="D1010">
            <v>79964765365</v>
          </cell>
          <cell r="F1010">
            <v>79964765365</v>
          </cell>
        </row>
        <row r="1011">
          <cell r="A1011" t="str">
            <v>Левин Сергей Владимирович</v>
          </cell>
          <cell r="B1011" t="str">
            <v>В-18367/КЛ.Транш - 1</v>
          </cell>
          <cell r="D1011">
            <v>79892112978</v>
          </cell>
          <cell r="F1011">
            <v>79892112978</v>
          </cell>
        </row>
        <row r="1012">
          <cell r="A1012" t="str">
            <v>Левин Сергей Сергеевич</v>
          </cell>
          <cell r="B1012" t="str">
            <v>В-11967/КЛ.Транш - 2</v>
          </cell>
          <cell r="E1012">
            <v>79019998830</v>
          </cell>
          <cell r="F1012">
            <v>79019998830</v>
          </cell>
        </row>
        <row r="1013">
          <cell r="A1013" t="str">
            <v>Левин Сергей Сергеевич</v>
          </cell>
          <cell r="B1013" t="str">
            <v>В-11967/КЛ.Транш - 1</v>
          </cell>
          <cell r="E1013">
            <v>79019998830</v>
          </cell>
          <cell r="F1013">
            <v>79019998830</v>
          </cell>
        </row>
        <row r="1014">
          <cell r="A1014" t="str">
            <v>Левченков Георгий Михайлович</v>
          </cell>
          <cell r="B1014" t="str">
            <v>В-28436/АЗ</v>
          </cell>
          <cell r="D1014">
            <v>79185881804</v>
          </cell>
        </row>
        <row r="1015">
          <cell r="A1015" t="str">
            <v>Леднев Алексей Иванович</v>
          </cell>
          <cell r="B1015" t="str">
            <v>В-13264/КЛ.Транш - 1</v>
          </cell>
          <cell r="D1015">
            <v>79205548825</v>
          </cell>
          <cell r="F1015">
            <v>79205548825</v>
          </cell>
        </row>
        <row r="1016">
          <cell r="A1016" t="str">
            <v>Леднев Алексей Иванович</v>
          </cell>
          <cell r="B1016" t="str">
            <v>В-13264/КЛ.Транш - 2</v>
          </cell>
          <cell r="D1016">
            <v>79205548825</v>
          </cell>
          <cell r="F1016">
            <v>79205548825</v>
          </cell>
        </row>
        <row r="1017">
          <cell r="A1017" t="str">
            <v>Леднев Алексей Иванович</v>
          </cell>
          <cell r="B1017" t="str">
            <v>В-13264/КЛ.Транш - 3</v>
          </cell>
          <cell r="D1017">
            <v>79205548825</v>
          </cell>
          <cell r="F1017">
            <v>79205548825</v>
          </cell>
        </row>
        <row r="1018">
          <cell r="A1018" t="str">
            <v>Лекторова Екатерина Николаевна</v>
          </cell>
          <cell r="B1018" t="str">
            <v>В-12098/КЛ.Транш - 1</v>
          </cell>
          <cell r="D1018">
            <v>79160973836</v>
          </cell>
          <cell r="F1018">
            <v>79160973836</v>
          </cell>
        </row>
        <row r="1019">
          <cell r="A1019" t="str">
            <v>Лекторова Екатерина Николаевна</v>
          </cell>
          <cell r="B1019" t="str">
            <v>В-12098/КЛ.Транш - 2</v>
          </cell>
          <cell r="D1019">
            <v>79160973836</v>
          </cell>
          <cell r="F1019">
            <v>79160973836</v>
          </cell>
        </row>
        <row r="1020">
          <cell r="A1020" t="str">
            <v>Лемкин Николай Иванович</v>
          </cell>
          <cell r="B1020" t="str">
            <v>В-26664/КЛ.Транш - 1</v>
          </cell>
          <cell r="D1020">
            <v>79172851122</v>
          </cell>
        </row>
        <row r="1021">
          <cell r="A1021" t="str">
            <v>Леонова Юлия Вячеславовна</v>
          </cell>
          <cell r="B1021" t="str">
            <v>В-27287/КЛ.Транш - 1</v>
          </cell>
          <cell r="D1021">
            <v>79775819625</v>
          </cell>
          <cell r="F1021">
            <v>79775819625</v>
          </cell>
        </row>
        <row r="1022">
          <cell r="A1022" t="str">
            <v>Лещев Андрей Николаевич</v>
          </cell>
          <cell r="B1022" t="str">
            <v>В-15085/КЛ.Транш - 1</v>
          </cell>
          <cell r="D1022">
            <v>79165202008</v>
          </cell>
          <cell r="F1022">
            <v>79165202008</v>
          </cell>
        </row>
        <row r="1023">
          <cell r="A1023" t="str">
            <v>Лещинский Михаил Дмитриевич</v>
          </cell>
          <cell r="B1023" t="str">
            <v>В-01107/АЗ_В-20211230/Ц</v>
          </cell>
          <cell r="D1023">
            <v>79373080743</v>
          </cell>
          <cell r="F1023">
            <v>79213080743</v>
          </cell>
        </row>
        <row r="1024">
          <cell r="A1024" t="str">
            <v>Ли Юлия Олеговна</v>
          </cell>
          <cell r="B1024" t="str">
            <v>В-17171/КЛ.Транш - 2</v>
          </cell>
          <cell r="D1024">
            <v>79090285655</v>
          </cell>
          <cell r="E1024">
            <v>79030848740</v>
          </cell>
          <cell r="F1024">
            <v>79090285655</v>
          </cell>
        </row>
        <row r="1025">
          <cell r="A1025" t="str">
            <v>Ливанов Игорь Викторович</v>
          </cell>
          <cell r="B1025" t="str">
            <v>В-20381/КЛ.Транш - 1</v>
          </cell>
          <cell r="D1025">
            <v>79219956156</v>
          </cell>
          <cell r="F1025">
            <v>79219956156</v>
          </cell>
        </row>
        <row r="1026">
          <cell r="A1026" t="str">
            <v>ЛИДЕР ГРУПП ООО</v>
          </cell>
          <cell r="B1026" t="str">
            <v>В-00011/КЭ.Транш - 1_А-20210929/Ц</v>
          </cell>
        </row>
        <row r="1027">
          <cell r="A1027" t="str">
            <v>Линник Борис Владимирович</v>
          </cell>
          <cell r="B1027" t="str">
            <v>В-26761/АЗ</v>
          </cell>
          <cell r="D1027">
            <v>79265002272</v>
          </cell>
        </row>
        <row r="1028">
          <cell r="A1028" t="str">
            <v>Липатова Марина Александровна</v>
          </cell>
          <cell r="B1028" t="str">
            <v>В-26233/КЛ.Транш - 1</v>
          </cell>
          <cell r="D1028">
            <v>79002597888</v>
          </cell>
          <cell r="F1028">
            <v>79002597888</v>
          </cell>
        </row>
        <row r="1029">
          <cell r="A1029" t="str">
            <v>Липницкая Калерия Алексеевна</v>
          </cell>
          <cell r="B1029" t="str">
            <v>В-14310/КЛ.Транш - 1_В-20211230/Ц</v>
          </cell>
          <cell r="D1029">
            <v>79515824076</v>
          </cell>
          <cell r="F1029">
            <v>79515824076</v>
          </cell>
        </row>
        <row r="1030">
          <cell r="A1030" t="str">
            <v>Лисичкина Елена Александровна</v>
          </cell>
          <cell r="B1030" t="str">
            <v>В-00044/КЛ.Транш - 1</v>
          </cell>
          <cell r="D1030">
            <v>79175562011</v>
          </cell>
          <cell r="F1030">
            <v>79175562011</v>
          </cell>
        </row>
        <row r="1031">
          <cell r="A1031" t="str">
            <v>Литвинов Дмитрий Геннадьевич</v>
          </cell>
          <cell r="B1031" t="str">
            <v>В-11277/КЛ.Транш - 1</v>
          </cell>
          <cell r="C1031">
            <v>74967646406</v>
          </cell>
          <cell r="D1031">
            <v>79104090933</v>
          </cell>
          <cell r="F1031">
            <v>79104090933</v>
          </cell>
        </row>
        <row r="1032">
          <cell r="A1032" t="str">
            <v>Литвинов Дмитрий Геннадьевич</v>
          </cell>
          <cell r="B1032" t="str">
            <v>В-11277/КЛ.Транш - 2</v>
          </cell>
          <cell r="C1032">
            <v>74967646406</v>
          </cell>
          <cell r="D1032">
            <v>79104090933</v>
          </cell>
          <cell r="F1032">
            <v>79104090933</v>
          </cell>
        </row>
        <row r="1033">
          <cell r="A1033" t="str">
            <v>Лихачева Мария Николаевна</v>
          </cell>
          <cell r="B1033" t="str">
            <v>В-22057/КЛ.Транш - 2</v>
          </cell>
          <cell r="D1033">
            <v>89144493888</v>
          </cell>
          <cell r="F1033">
            <v>79144493888</v>
          </cell>
        </row>
        <row r="1034">
          <cell r="A1034" t="str">
            <v>Лихачева Мария Николаевна</v>
          </cell>
          <cell r="B1034" t="str">
            <v>В-22057/КЛ.Транш - 1</v>
          </cell>
          <cell r="D1034">
            <v>89144493888</v>
          </cell>
          <cell r="F1034">
            <v>79144493888</v>
          </cell>
        </row>
        <row r="1035">
          <cell r="A1035" t="str">
            <v>Логачева Светлана Юрьевна</v>
          </cell>
          <cell r="B1035" t="str">
            <v>А-03766/АЗ</v>
          </cell>
          <cell r="C1035">
            <v>74953680372</v>
          </cell>
          <cell r="D1035" t="str">
            <v>79251864064, 79104778886</v>
          </cell>
          <cell r="E1035">
            <v>79251864064</v>
          </cell>
        </row>
        <row r="1036">
          <cell r="A1036" t="str">
            <v>Логвинчук Василий Святославович</v>
          </cell>
          <cell r="B1036" t="str">
            <v>В-18366/КЛ.Транш - 1_В-20211230/Ц</v>
          </cell>
          <cell r="D1036">
            <v>79778938956</v>
          </cell>
          <cell r="E1036">
            <v>79776115100</v>
          </cell>
          <cell r="F1036">
            <v>79778938956</v>
          </cell>
        </row>
        <row r="1037">
          <cell r="A1037" t="str">
            <v>Логинова Татьяна Анатольевна</v>
          </cell>
          <cell r="B1037" t="str">
            <v>В-24967/АЗ</v>
          </cell>
          <cell r="D1037">
            <v>79539115898</v>
          </cell>
          <cell r="F1037">
            <v>79539115898</v>
          </cell>
        </row>
        <row r="1038">
          <cell r="A1038" t="str">
            <v>Лого-Трейд ООО</v>
          </cell>
          <cell r="B1038" t="str">
            <v>В-00036/КЭ.Транш - 2</v>
          </cell>
        </row>
        <row r="1039">
          <cell r="A1039" t="str">
            <v>Лого-Трейд Смоленск ООО</v>
          </cell>
          <cell r="B1039" t="str">
            <v>В-00078/КЭ.Транш - 1</v>
          </cell>
        </row>
        <row r="1040">
          <cell r="A1040" t="str">
            <v>Ложкин Денис Юрьевич</v>
          </cell>
          <cell r="B1040" t="str">
            <v>В-22642/КЛ.Транш - 1</v>
          </cell>
          <cell r="D1040">
            <v>79773803362</v>
          </cell>
          <cell r="F1040">
            <v>79773803362</v>
          </cell>
        </row>
        <row r="1041">
          <cell r="A1041" t="str">
            <v>Локшина Ольга Владимировна</v>
          </cell>
          <cell r="B1041" t="str">
            <v>В-23919/КЛ.Транш - 1</v>
          </cell>
          <cell r="D1041">
            <v>89194867647</v>
          </cell>
          <cell r="F1041">
            <v>79194867647</v>
          </cell>
        </row>
        <row r="1042">
          <cell r="A1042" t="str">
            <v>Ломакин Александр Валерьевич</v>
          </cell>
          <cell r="B1042" t="str">
            <v>В-26357/АЗ</v>
          </cell>
          <cell r="D1042">
            <v>89162142226</v>
          </cell>
        </row>
        <row r="1043">
          <cell r="A1043" t="str">
            <v>Ломакин Алексей Алексеевич</v>
          </cell>
          <cell r="B1043" t="str">
            <v>В-20546/КЛ.Транш - 1</v>
          </cell>
          <cell r="D1043">
            <v>79601579694</v>
          </cell>
          <cell r="F1043">
            <v>79601579694</v>
          </cell>
        </row>
        <row r="1044">
          <cell r="A1044" t="str">
            <v>Ломакина Людмила Викторовна</v>
          </cell>
          <cell r="B1044" t="str">
            <v>В-26394/АЗ</v>
          </cell>
          <cell r="D1044">
            <v>79162142227</v>
          </cell>
        </row>
        <row r="1045">
          <cell r="A1045" t="str">
            <v>Лотонин Александр Олегович</v>
          </cell>
          <cell r="B1045" t="str">
            <v>В-19585/КЛ.Транш - 1</v>
          </cell>
          <cell r="D1045">
            <v>79045527952</v>
          </cell>
          <cell r="F1045">
            <v>79045527952</v>
          </cell>
        </row>
        <row r="1046">
          <cell r="A1046" t="str">
            <v>Луковкин Владимир Федорович</v>
          </cell>
          <cell r="B1046" t="str">
            <v>В-08391/КЛ.Транш - 1_В-20211230/Ц</v>
          </cell>
          <cell r="D1046">
            <v>89773531063</v>
          </cell>
          <cell r="F1046">
            <v>79773531063</v>
          </cell>
        </row>
        <row r="1047">
          <cell r="A1047" t="str">
            <v>Лукьяненко Руслан Сергеевич</v>
          </cell>
          <cell r="B1047" t="str">
            <v>В-16100/КЛ.Транш - 1</v>
          </cell>
          <cell r="D1047">
            <v>79773815084</v>
          </cell>
          <cell r="F1047">
            <v>79773815084</v>
          </cell>
        </row>
        <row r="1048">
          <cell r="A1048" t="str">
            <v>Лыжин Андрей Анатольевич</v>
          </cell>
          <cell r="B1048" t="str">
            <v>В-14415/КЛ.Транш - 1</v>
          </cell>
          <cell r="D1048">
            <v>79282138735</v>
          </cell>
          <cell r="F1048">
            <v>79282138735</v>
          </cell>
        </row>
        <row r="1049">
          <cell r="A1049" t="str">
            <v>Лысак Екатерина Дмитриевна</v>
          </cell>
          <cell r="B1049" t="str">
            <v>В-23066/КЛ.Транш - 1</v>
          </cell>
          <cell r="D1049">
            <v>89873510687</v>
          </cell>
          <cell r="F1049">
            <v>79873510687</v>
          </cell>
        </row>
        <row r="1050">
          <cell r="A1050" t="str">
            <v>Лысенкова Инна Ивановна</v>
          </cell>
          <cell r="B1050" t="str">
            <v>В-10123/КЛ.Транш - 8_В-20211230/Ц</v>
          </cell>
          <cell r="D1050">
            <v>79200261961</v>
          </cell>
          <cell r="F1050">
            <v>79308049905</v>
          </cell>
        </row>
        <row r="1051">
          <cell r="A1051" t="str">
            <v>Лысенкова Инна Ивановна</v>
          </cell>
          <cell r="B1051" t="str">
            <v>В-10123/КЛ.Транш - 6_В-20211230/Ц</v>
          </cell>
          <cell r="D1051">
            <v>79200261961</v>
          </cell>
          <cell r="F1051">
            <v>79308049905</v>
          </cell>
        </row>
        <row r="1052">
          <cell r="A1052" t="str">
            <v>Лысенкова Инна Ивановна</v>
          </cell>
          <cell r="B1052" t="str">
            <v>В-10123/КЛ.Транш - 9_В-20211230/Ц</v>
          </cell>
          <cell r="D1052">
            <v>79200261961</v>
          </cell>
          <cell r="F1052">
            <v>79308049905</v>
          </cell>
        </row>
        <row r="1053">
          <cell r="A1053" t="str">
            <v>Лысяк Яна Вадимовна</v>
          </cell>
          <cell r="B1053" t="str">
            <v>В-00175/АЗ_Т-20211028/Ц</v>
          </cell>
          <cell r="D1053">
            <v>89653185028</v>
          </cell>
          <cell r="F1053">
            <v>79653185028</v>
          </cell>
        </row>
        <row r="1054">
          <cell r="A1054" t="str">
            <v>Любушкин Сергей Васильевич</v>
          </cell>
          <cell r="B1054" t="str">
            <v>В-02961/КЛ.Транш - 1</v>
          </cell>
          <cell r="D1054">
            <v>79031255661</v>
          </cell>
          <cell r="F1054">
            <v>79031255661</v>
          </cell>
        </row>
        <row r="1055">
          <cell r="A1055" t="str">
            <v>Лютов Станислав Анатольевич</v>
          </cell>
          <cell r="B1055" t="str">
            <v>В-16037/КЛ.Транш - 1</v>
          </cell>
          <cell r="D1055">
            <v>79650654438</v>
          </cell>
          <cell r="E1055">
            <v>79650654438</v>
          </cell>
          <cell r="F1055">
            <v>79650654438</v>
          </cell>
        </row>
        <row r="1056">
          <cell r="A1056" t="str">
            <v>Лютов Станислав Анатольевич</v>
          </cell>
          <cell r="B1056" t="str">
            <v>В-16037/КЛ.Транш - 2</v>
          </cell>
          <cell r="D1056">
            <v>79650654438</v>
          </cell>
          <cell r="E1056">
            <v>79650654438</v>
          </cell>
          <cell r="F1056">
            <v>79650654438</v>
          </cell>
        </row>
        <row r="1057">
          <cell r="A1057" t="str">
            <v>Люшняк Владислав Анатольевич</v>
          </cell>
          <cell r="B1057" t="str">
            <v>В-12000/КЛ.Транш - 1</v>
          </cell>
          <cell r="E1057">
            <v>79508600535</v>
          </cell>
          <cell r="F1057">
            <v>79289013232</v>
          </cell>
        </row>
        <row r="1058">
          <cell r="A1058" t="str">
            <v>Лякишев Павел Александрович</v>
          </cell>
          <cell r="B1058" t="str">
            <v>В-16242/КЛ.Транш - 2</v>
          </cell>
          <cell r="C1058">
            <v>74954938752</v>
          </cell>
          <cell r="D1058">
            <v>79167906097</v>
          </cell>
          <cell r="F1058">
            <v>79167906097</v>
          </cell>
        </row>
        <row r="1059">
          <cell r="A1059" t="str">
            <v>Лялин Анатолий Геннадьевич</v>
          </cell>
          <cell r="B1059" t="str">
            <v>В-19025/КЛ.Транш - 1_В-20211230/Ц</v>
          </cell>
          <cell r="D1059">
            <v>79960475545</v>
          </cell>
          <cell r="F1059">
            <v>79960475545</v>
          </cell>
        </row>
        <row r="1060">
          <cell r="A1060" t="str">
            <v>Лямин Сергей Александрович</v>
          </cell>
          <cell r="B1060" t="str">
            <v>В-00814/АЗ</v>
          </cell>
          <cell r="D1060">
            <v>79811985778</v>
          </cell>
          <cell r="F1060">
            <v>79811985778</v>
          </cell>
        </row>
        <row r="1061">
          <cell r="A1061" t="str">
            <v>Лянгасова Светлана Юрьевна</v>
          </cell>
          <cell r="B1061" t="str">
            <v>А-04950/АЗ</v>
          </cell>
          <cell r="D1061">
            <v>79851677250</v>
          </cell>
          <cell r="E1061">
            <v>79851677250</v>
          </cell>
        </row>
        <row r="1062">
          <cell r="A1062" t="str">
            <v>Ляхович Александр Александрович</v>
          </cell>
          <cell r="B1062" t="str">
            <v>В-14837/КЛ.Транш - 1</v>
          </cell>
          <cell r="D1062">
            <v>89272017750</v>
          </cell>
          <cell r="F1062">
            <v>79272017750</v>
          </cell>
        </row>
        <row r="1063">
          <cell r="A1063" t="str">
            <v>Магомедов Ахмед Багаутдинович</v>
          </cell>
          <cell r="B1063" t="str">
            <v>В-18163/КЛ.Транш - 1</v>
          </cell>
          <cell r="D1063">
            <v>89850889987</v>
          </cell>
          <cell r="F1063">
            <v>79850889987</v>
          </cell>
        </row>
        <row r="1064">
          <cell r="A1064" t="str">
            <v>Магомедов Саид Магомедрасулович</v>
          </cell>
          <cell r="B1064" t="str">
            <v>В-26170/КЛ.Транш - 1</v>
          </cell>
          <cell r="D1064">
            <v>79234700010</v>
          </cell>
          <cell r="F1064">
            <v>79234700010</v>
          </cell>
        </row>
        <row r="1065">
          <cell r="A1065" t="str">
            <v>Мазаев Вадим Викторович</v>
          </cell>
          <cell r="B1065" t="str">
            <v>А-04910/АЗ_А-20200626/Ц</v>
          </cell>
          <cell r="C1065">
            <v>74991711619</v>
          </cell>
          <cell r="D1065">
            <v>79166000550</v>
          </cell>
          <cell r="E1065">
            <v>79166000550</v>
          </cell>
        </row>
        <row r="1066">
          <cell r="A1066" t="str">
            <v>Мазориев Рахматуло Саидович</v>
          </cell>
          <cell r="B1066" t="str">
            <v>В-13528/КЛ.Транш - 1</v>
          </cell>
          <cell r="D1066">
            <v>89167504349</v>
          </cell>
          <cell r="F1066">
            <v>79259119530</v>
          </cell>
        </row>
        <row r="1067">
          <cell r="A1067" t="str">
            <v>Мазориев Рахматуло Саидович</v>
          </cell>
          <cell r="B1067" t="str">
            <v>В-13528/КЛ.Транш - 2</v>
          </cell>
          <cell r="D1067">
            <v>89167504349</v>
          </cell>
          <cell r="F1067">
            <v>79259119530</v>
          </cell>
        </row>
        <row r="1068">
          <cell r="A1068" t="str">
            <v>Мазориев Рахматуло Саидович</v>
          </cell>
          <cell r="B1068" t="str">
            <v>В-13528/КЛ.Транш - 3</v>
          </cell>
          <cell r="D1068">
            <v>89167504349</v>
          </cell>
          <cell r="F1068">
            <v>79259119530</v>
          </cell>
        </row>
        <row r="1069">
          <cell r="A1069" t="str">
            <v>Мазуренко Наталья Владимировна</v>
          </cell>
          <cell r="B1069" t="str">
            <v>В-01109/АЗ</v>
          </cell>
          <cell r="D1069">
            <v>79067385873</v>
          </cell>
          <cell r="F1069">
            <v>79067385873</v>
          </cell>
        </row>
        <row r="1070">
          <cell r="A1070" t="str">
            <v>Мазуренко Наталья Владимировна</v>
          </cell>
          <cell r="B1070" t="str">
            <v>В-01099/АЗ</v>
          </cell>
          <cell r="D1070">
            <v>79067385873</v>
          </cell>
          <cell r="F1070">
            <v>79067385873</v>
          </cell>
        </row>
        <row r="1071">
          <cell r="A1071" t="str">
            <v>Мазурин Николай Анатольевич</v>
          </cell>
          <cell r="B1071" t="str">
            <v>В-07072/КЛ.Транш - 3</v>
          </cell>
          <cell r="D1071">
            <v>79161282203</v>
          </cell>
          <cell r="F1071">
            <v>79161282203</v>
          </cell>
        </row>
        <row r="1072">
          <cell r="A1072" t="str">
            <v>Мазурин Николай Анатольевич</v>
          </cell>
          <cell r="B1072" t="str">
            <v>В-07072/КЛ.Транш - 1</v>
          </cell>
          <cell r="D1072">
            <v>79161282203</v>
          </cell>
          <cell r="F1072">
            <v>79161282203</v>
          </cell>
        </row>
        <row r="1073">
          <cell r="A1073" t="str">
            <v>Мазурин Николай Анатольевич</v>
          </cell>
          <cell r="B1073" t="str">
            <v>В-07072/КЛ.Транш - 2</v>
          </cell>
          <cell r="D1073">
            <v>79161282203</v>
          </cell>
          <cell r="F1073">
            <v>79161282203</v>
          </cell>
        </row>
        <row r="1074">
          <cell r="A1074" t="str">
            <v>Майоров Олег Владимирович</v>
          </cell>
          <cell r="B1074" t="str">
            <v>В-21219/КЛ.Транш - 1_В-20211230/Ц</v>
          </cell>
          <cell r="D1074">
            <v>79089505301</v>
          </cell>
          <cell r="F1074">
            <v>79089505301</v>
          </cell>
        </row>
        <row r="1075">
          <cell r="A1075" t="str">
            <v>Майорова Наталья Вениаминовна</v>
          </cell>
          <cell r="B1075" t="str">
            <v>В-18237/КЛ.Транш - 1_В-20211230/Ц</v>
          </cell>
          <cell r="D1075">
            <v>79627707262</v>
          </cell>
          <cell r="F1075">
            <v>79627707262</v>
          </cell>
        </row>
        <row r="1076">
          <cell r="A1076" t="str">
            <v>Макаренко Екатерина Васильевна</v>
          </cell>
          <cell r="B1076" t="str">
            <v>В-26950/КЛ.Транш - 1</v>
          </cell>
          <cell r="D1076">
            <v>79605632818</v>
          </cell>
          <cell r="F1076">
            <v>79605632818</v>
          </cell>
        </row>
        <row r="1077">
          <cell r="A1077" t="str">
            <v>Макаренко Инна Сергеевна</v>
          </cell>
          <cell r="B1077" t="str">
            <v>В-24037/КЛ.Транш - 1</v>
          </cell>
          <cell r="D1077">
            <v>79233395323</v>
          </cell>
          <cell r="F1077">
            <v>79233395323</v>
          </cell>
        </row>
        <row r="1078">
          <cell r="A1078" t="str">
            <v>Макаров Алексей Александрович</v>
          </cell>
          <cell r="B1078" t="str">
            <v>В-12294/КЛ.Транш - 1</v>
          </cell>
          <cell r="D1078">
            <v>79162703135</v>
          </cell>
          <cell r="F1078">
            <v>79162703135</v>
          </cell>
        </row>
        <row r="1079">
          <cell r="A1079" t="str">
            <v>Макаров Алексей Александрович1</v>
          </cell>
          <cell r="B1079" t="str">
            <v>В-00766/АЗ</v>
          </cell>
          <cell r="C1079">
            <v>84953430946</v>
          </cell>
          <cell r="D1079">
            <v>89099928726</v>
          </cell>
          <cell r="F1079">
            <v>79099928726</v>
          </cell>
        </row>
        <row r="1080">
          <cell r="A1080" t="str">
            <v>Макаров Станислав Васильевич</v>
          </cell>
          <cell r="B1080" t="str">
            <v>В-01196/АЗ</v>
          </cell>
          <cell r="D1080">
            <v>79643323292</v>
          </cell>
          <cell r="F1080">
            <v>79643323292</v>
          </cell>
        </row>
        <row r="1081">
          <cell r="A1081" t="str">
            <v>Макарова Ирина Сергеевна</v>
          </cell>
          <cell r="B1081" t="str">
            <v>В-01174/КЛ.Транш - 1</v>
          </cell>
          <cell r="D1081">
            <v>79216364069</v>
          </cell>
          <cell r="F1081">
            <v>79216364069</v>
          </cell>
        </row>
        <row r="1082">
          <cell r="A1082" t="str">
            <v>Макс Технолоджис ООО</v>
          </cell>
          <cell r="B1082" t="str">
            <v>В-10027/КЭ.Транш - 1</v>
          </cell>
        </row>
        <row r="1083">
          <cell r="A1083" t="str">
            <v>Макси-Строй ООО</v>
          </cell>
          <cell r="B1083" t="str">
            <v>В-00030/КЭ.Транш - 1</v>
          </cell>
        </row>
        <row r="1084">
          <cell r="A1084" t="str">
            <v>Малинина Оксана Александровна</v>
          </cell>
          <cell r="B1084" t="str">
            <v>В-16432/КЛ.Транш - 1</v>
          </cell>
          <cell r="D1084">
            <v>79268813850</v>
          </cell>
          <cell r="F1084">
            <v>79268813850</v>
          </cell>
        </row>
        <row r="1085">
          <cell r="A1085" t="str">
            <v>Малхасян Арарат Балабекович</v>
          </cell>
          <cell r="B1085" t="str">
            <v>В-15138/КЛ.Транш - 1</v>
          </cell>
          <cell r="D1085">
            <v>79111600980</v>
          </cell>
          <cell r="F1085">
            <v>79111600980</v>
          </cell>
        </row>
        <row r="1086">
          <cell r="A1086" t="str">
            <v>Мамалюк Алексей Михайлович</v>
          </cell>
          <cell r="B1086" t="str">
            <v>В-27434/КЛ.Транш - 1</v>
          </cell>
          <cell r="D1086">
            <v>79197761777</v>
          </cell>
        </row>
        <row r="1087">
          <cell r="A1087" t="str">
            <v>Мамбетов Менглибий Курманбиевич</v>
          </cell>
          <cell r="B1087" t="str">
            <v>В-00355/АЗ</v>
          </cell>
          <cell r="D1087">
            <v>79312169844</v>
          </cell>
          <cell r="F1087">
            <v>79312169844</v>
          </cell>
        </row>
        <row r="1088">
          <cell r="A1088" t="str">
            <v>Мамедов Динар Рашид Оглы</v>
          </cell>
          <cell r="B1088" t="str">
            <v>В-05253/КЛ.Транш - 4</v>
          </cell>
          <cell r="D1088">
            <v>89261760120</v>
          </cell>
          <cell r="F1088">
            <v>79261760120</v>
          </cell>
        </row>
        <row r="1089">
          <cell r="A1089" t="str">
            <v>Мамедов Рамин Алим Оглы</v>
          </cell>
          <cell r="B1089" t="str">
            <v>В-15391/КЛ.Транш - 4</v>
          </cell>
          <cell r="D1089">
            <v>79623235380</v>
          </cell>
          <cell r="F1089">
            <v>79623235380</v>
          </cell>
        </row>
        <row r="1090">
          <cell r="A1090" t="str">
            <v>Мамедов Рамин Алим Оглы</v>
          </cell>
          <cell r="B1090" t="str">
            <v>В-15391/КЛ.Транш - 3</v>
          </cell>
          <cell r="D1090">
            <v>79623235380</v>
          </cell>
          <cell r="F1090">
            <v>79623235380</v>
          </cell>
        </row>
        <row r="1091">
          <cell r="A1091" t="str">
            <v>Мамедов Рамин Алим Оглы</v>
          </cell>
          <cell r="B1091" t="str">
            <v>В-15391/КЛ.Транш - 6</v>
          </cell>
          <cell r="D1091">
            <v>79623235380</v>
          </cell>
          <cell r="F1091">
            <v>79623235380</v>
          </cell>
        </row>
        <row r="1092">
          <cell r="A1092" t="str">
            <v>Мамедов Рамин Алим Оглы</v>
          </cell>
          <cell r="B1092" t="str">
            <v>В-15391/КЛ.Транш - 5</v>
          </cell>
          <cell r="D1092">
            <v>79623235380</v>
          </cell>
          <cell r="F1092">
            <v>79623235380</v>
          </cell>
        </row>
        <row r="1093">
          <cell r="A1093" t="str">
            <v>Мамедов Рамин Алим Оглы</v>
          </cell>
          <cell r="B1093" t="str">
            <v>В-15391/КЛ.Транш - 2</v>
          </cell>
          <cell r="D1093">
            <v>79623235380</v>
          </cell>
          <cell r="F1093">
            <v>79623235380</v>
          </cell>
        </row>
        <row r="1094">
          <cell r="A1094" t="str">
            <v>Мамедова Рагиба Алескер Кызы</v>
          </cell>
          <cell r="B1094" t="str">
            <v>В-27421/КЛ.Транш - 1</v>
          </cell>
          <cell r="D1094">
            <v>79100899299</v>
          </cell>
        </row>
        <row r="1095">
          <cell r="A1095" t="str">
            <v>Мамлина Наталия Андреевна</v>
          </cell>
          <cell r="B1095" t="str">
            <v>В-11605/КЛ.Транш - 1</v>
          </cell>
          <cell r="D1095">
            <v>89036514804</v>
          </cell>
          <cell r="F1095">
            <v>79036514804</v>
          </cell>
        </row>
        <row r="1096">
          <cell r="A1096" t="str">
            <v>Манаенко Ольга Владимировна</v>
          </cell>
          <cell r="B1096" t="str">
            <v>В-19464/КЛ.Транш - 1</v>
          </cell>
          <cell r="D1096">
            <v>79096780569</v>
          </cell>
          <cell r="F1096">
            <v>79096780569</v>
          </cell>
        </row>
        <row r="1097">
          <cell r="A1097" t="str">
            <v>Манасян Ашот Сергеевич</v>
          </cell>
          <cell r="B1097" t="str">
            <v>В-19504/КЛ.Транш - 1</v>
          </cell>
          <cell r="D1097">
            <v>79164624485</v>
          </cell>
          <cell r="E1097">
            <v>79164624485</v>
          </cell>
          <cell r="F1097">
            <v>79258805062</v>
          </cell>
        </row>
        <row r="1098">
          <cell r="A1098" t="str">
            <v>Мандров Вячеслав Александрович</v>
          </cell>
          <cell r="B1098" t="str">
            <v>В-24841/КЛ.Транш - 1</v>
          </cell>
          <cell r="D1098">
            <v>79992164924</v>
          </cell>
          <cell r="F1098">
            <v>79992164924</v>
          </cell>
        </row>
        <row r="1099">
          <cell r="A1099" t="str">
            <v>Манин Сергей Викторович</v>
          </cell>
          <cell r="B1099" t="str">
            <v>В-04293/КЛ.Транш - 1_В-20211230/Ц</v>
          </cell>
          <cell r="D1099">
            <v>79099559554</v>
          </cell>
          <cell r="F1099">
            <v>79099559554</v>
          </cell>
        </row>
        <row r="1100">
          <cell r="A1100" t="str">
            <v>Манукян Артур Агасиевич</v>
          </cell>
          <cell r="B1100" t="str">
            <v>В-15280/КЛ.Транш - 1</v>
          </cell>
          <cell r="D1100">
            <v>79652960111</v>
          </cell>
          <cell r="F1100">
            <v>79652960111</v>
          </cell>
        </row>
        <row r="1101">
          <cell r="A1101" t="str">
            <v>Манукян Вардан Эмильевич</v>
          </cell>
          <cell r="B1101" t="str">
            <v>В-00622/АЗ_Т-20211028/Ц</v>
          </cell>
          <cell r="D1101">
            <v>79182011137</v>
          </cell>
        </row>
        <row r="1102">
          <cell r="A1102" t="str">
            <v>Маренич Иван Евгеньевич</v>
          </cell>
          <cell r="B1102" t="str">
            <v>В-01176/АЗ_В-20211230/Ц</v>
          </cell>
          <cell r="D1102">
            <v>79296539667</v>
          </cell>
          <cell r="F1102">
            <v>79296539667</v>
          </cell>
        </row>
        <row r="1103">
          <cell r="A1103" t="str">
            <v>Марецкий Андрей Юрьевич</v>
          </cell>
          <cell r="B1103" t="str">
            <v>В-07093/КЛ.Транш - 6</v>
          </cell>
          <cell r="D1103">
            <v>79119671372</v>
          </cell>
          <cell r="F1103">
            <v>79119671372</v>
          </cell>
        </row>
        <row r="1104">
          <cell r="A1104" t="str">
            <v>Марков Владислав Владимирович</v>
          </cell>
          <cell r="B1104" t="str">
            <v>В-26247/КЛ.Транш - 1</v>
          </cell>
          <cell r="D1104">
            <v>79805323834</v>
          </cell>
        </row>
        <row r="1105">
          <cell r="A1105" t="str">
            <v>Маркова Екатерина Викторовна</v>
          </cell>
          <cell r="B1105" t="str">
            <v>В-03615/КЛ.Транш - 1</v>
          </cell>
          <cell r="C1105">
            <v>74953042437</v>
          </cell>
          <cell r="D1105">
            <v>79060744144</v>
          </cell>
          <cell r="F1105">
            <v>79060744144</v>
          </cell>
        </row>
        <row r="1106">
          <cell r="A1106" t="str">
            <v>МАРО АРТ ГРУПП ООО</v>
          </cell>
          <cell r="B1106" t="str">
            <v>А-00466/КЭ.Транш - 1</v>
          </cell>
        </row>
        <row r="1107">
          <cell r="A1107" t="str">
            <v>Марочканич Василий Иванович</v>
          </cell>
          <cell r="B1107" t="str">
            <v>В-22386/КЛ.Транш - 1</v>
          </cell>
          <cell r="D1107">
            <v>89166701820</v>
          </cell>
          <cell r="F1107">
            <v>79166701820</v>
          </cell>
        </row>
        <row r="1108">
          <cell r="A1108" t="str">
            <v>Марочканич Василий Иванович</v>
          </cell>
          <cell r="B1108" t="str">
            <v>В-22386/КЛ.Транш - 3</v>
          </cell>
          <cell r="D1108">
            <v>89166701820</v>
          </cell>
          <cell r="F1108">
            <v>79166701820</v>
          </cell>
        </row>
        <row r="1109">
          <cell r="A1109" t="str">
            <v>Марочканич Василий Иванович</v>
          </cell>
          <cell r="B1109" t="str">
            <v>В-22386/КЛ.Транш - 5</v>
          </cell>
          <cell r="D1109">
            <v>89166701820</v>
          </cell>
          <cell r="F1109">
            <v>79166701820</v>
          </cell>
        </row>
        <row r="1110">
          <cell r="A1110" t="str">
            <v>Марочканич Василий Иванович</v>
          </cell>
          <cell r="B1110" t="str">
            <v>В-22386/КЛ.Транш - 2</v>
          </cell>
          <cell r="D1110">
            <v>89166701820</v>
          </cell>
          <cell r="F1110">
            <v>79166701820</v>
          </cell>
        </row>
        <row r="1111">
          <cell r="A1111" t="str">
            <v>Марочканич Василий Иванович</v>
          </cell>
          <cell r="B1111" t="str">
            <v>В-22386/КЛ.Транш - 4</v>
          </cell>
          <cell r="D1111">
            <v>89166701820</v>
          </cell>
          <cell r="F1111">
            <v>79166701820</v>
          </cell>
        </row>
        <row r="1112">
          <cell r="A1112" t="str">
            <v>Мартазов Вадим Алексеевич</v>
          </cell>
          <cell r="B1112" t="str">
            <v>В-20497/КЛ.Транш - 1</v>
          </cell>
          <cell r="D1112">
            <v>79057123553</v>
          </cell>
          <cell r="F1112">
            <v>79057123553</v>
          </cell>
        </row>
        <row r="1113">
          <cell r="A1113" t="str">
            <v>Мартазов Вадим Алексеевич</v>
          </cell>
          <cell r="B1113" t="str">
            <v>В-20497/КЛ.Транш - 2</v>
          </cell>
          <cell r="D1113">
            <v>79057123553</v>
          </cell>
          <cell r="F1113">
            <v>79057123553</v>
          </cell>
        </row>
        <row r="1114">
          <cell r="A1114" t="str">
            <v>Мартынко Александра Андреевна</v>
          </cell>
          <cell r="B1114" t="str">
            <v>В-26816/КЛ.Транш - 1</v>
          </cell>
          <cell r="D1114">
            <v>79883677666</v>
          </cell>
        </row>
        <row r="1115">
          <cell r="A1115" t="str">
            <v>Мартынов Максим Анатольевич</v>
          </cell>
          <cell r="B1115" t="str">
            <v>В-25098/КЛ.Транш - 1</v>
          </cell>
          <cell r="D1115">
            <v>79779376497</v>
          </cell>
          <cell r="F1115">
            <v>79779376497</v>
          </cell>
        </row>
        <row r="1116">
          <cell r="A1116" t="str">
            <v>Масальский Александр Михайлович</v>
          </cell>
          <cell r="B1116" t="str">
            <v>В-19475/КЛ.Транш - 1</v>
          </cell>
          <cell r="D1116">
            <v>79164732470</v>
          </cell>
          <cell r="F1116">
            <v>79164732470</v>
          </cell>
        </row>
        <row r="1117">
          <cell r="A1117" t="str">
            <v>Масальский Руслан Иванович</v>
          </cell>
          <cell r="B1117" t="str">
            <v>В-12368/КЛ.Транш - 1</v>
          </cell>
          <cell r="D1117">
            <v>79516642080</v>
          </cell>
          <cell r="F1117">
            <v>79516642080</v>
          </cell>
        </row>
        <row r="1118">
          <cell r="A1118" t="str">
            <v>Маслов Андрей Алексеевич</v>
          </cell>
          <cell r="B1118" t="str">
            <v>В-12525/КЛ.Транш - 1</v>
          </cell>
          <cell r="D1118">
            <v>89377406043</v>
          </cell>
          <cell r="E1118">
            <v>89962330882</v>
          </cell>
          <cell r="F1118">
            <v>79377406043</v>
          </cell>
        </row>
        <row r="1119">
          <cell r="A1119" t="str">
            <v>Матарыко Александр Валерьевич</v>
          </cell>
          <cell r="B1119" t="str">
            <v>В-21737/КЛ.Транш - 1</v>
          </cell>
          <cell r="D1119">
            <v>89885265904</v>
          </cell>
          <cell r="F1119">
            <v>79885265904</v>
          </cell>
        </row>
        <row r="1120">
          <cell r="A1120" t="str">
            <v>Матвеев Александр Иванович</v>
          </cell>
          <cell r="B1120" t="str">
            <v>А-03822/АЗ</v>
          </cell>
          <cell r="D1120">
            <v>79161274311</v>
          </cell>
          <cell r="E1120">
            <v>79161274311</v>
          </cell>
          <cell r="F1120">
            <v>79161274311</v>
          </cell>
        </row>
        <row r="1121">
          <cell r="A1121" t="str">
            <v>Матвеев Алексей Геннадьевич</v>
          </cell>
          <cell r="B1121" t="str">
            <v>В-28329/КЛ.Транш - 1</v>
          </cell>
          <cell r="D1121">
            <v>89004949749</v>
          </cell>
          <cell r="F1121">
            <v>79004949749</v>
          </cell>
        </row>
        <row r="1122">
          <cell r="A1122" t="str">
            <v>Матвеев Андрей Александрович</v>
          </cell>
          <cell r="B1122" t="str">
            <v>В-09795/КЛ.Транш - 1</v>
          </cell>
          <cell r="D1122">
            <v>79883618694</v>
          </cell>
          <cell r="F1122">
            <v>79883618694</v>
          </cell>
        </row>
        <row r="1123">
          <cell r="A1123" t="str">
            <v>Матвеева Дарья Вячеславовна</v>
          </cell>
          <cell r="B1123" t="str">
            <v>В-13828/КЛ.Транш - 1</v>
          </cell>
          <cell r="D1123">
            <v>79652489708</v>
          </cell>
          <cell r="F1123">
            <v>79652489708</v>
          </cell>
        </row>
        <row r="1124">
          <cell r="A1124" t="str">
            <v>Матиев Шодмон Эргашевич</v>
          </cell>
          <cell r="B1124" t="str">
            <v>А-04352/АЗ</v>
          </cell>
          <cell r="D1124">
            <v>79055595757</v>
          </cell>
          <cell r="E1124">
            <v>79055595757</v>
          </cell>
          <cell r="F1124">
            <v>79055595757</v>
          </cell>
        </row>
        <row r="1125">
          <cell r="A1125" t="str">
            <v>Матренин Сергей Викторович</v>
          </cell>
          <cell r="B1125" t="str">
            <v>В-24883/КЛ.Транш - 1</v>
          </cell>
          <cell r="D1125">
            <v>79774447323</v>
          </cell>
        </row>
        <row r="1126">
          <cell r="A1126" t="str">
            <v>Матренин Сергей Викторович</v>
          </cell>
          <cell r="B1126" t="str">
            <v>В-24883/КЛ.Транш - 2</v>
          </cell>
          <cell r="D1126">
            <v>79774447323</v>
          </cell>
        </row>
        <row r="1127">
          <cell r="A1127" t="str">
            <v>Матросов Дмитрий Сергеевич</v>
          </cell>
          <cell r="B1127" t="str">
            <v>В-04229/КЛ.Транш - 1_В-20211230/Ц</v>
          </cell>
          <cell r="C1127">
            <v>78125597723</v>
          </cell>
          <cell r="D1127">
            <v>79119240316</v>
          </cell>
          <cell r="F1127">
            <v>79119240316</v>
          </cell>
        </row>
        <row r="1128">
          <cell r="A1128" t="str">
            <v>Матузов Алексей Викторович</v>
          </cell>
          <cell r="B1128" t="str">
            <v>В-21048/КЛ.Транш - 1</v>
          </cell>
          <cell r="D1128">
            <v>89154833760</v>
          </cell>
          <cell r="F1128">
            <v>79154833760</v>
          </cell>
        </row>
        <row r="1129">
          <cell r="A1129" t="str">
            <v>Матченко Олеся Александровна</v>
          </cell>
          <cell r="B1129" t="str">
            <v>В-08204/КЛ.Транш - 1</v>
          </cell>
          <cell r="D1129">
            <v>89778088915</v>
          </cell>
          <cell r="F1129">
            <v>79778088915</v>
          </cell>
        </row>
        <row r="1130">
          <cell r="A1130" t="str">
            <v>Матюнин Алексей Владимирович</v>
          </cell>
          <cell r="B1130" t="str">
            <v>В-01119/АЗ_А-20210929/Ц</v>
          </cell>
          <cell r="D1130">
            <v>79263597234</v>
          </cell>
          <cell r="F1130">
            <v>79263597234</v>
          </cell>
        </row>
        <row r="1131">
          <cell r="A1131" t="str">
            <v>Махадибиров Шамиль Магомедханович</v>
          </cell>
          <cell r="B1131" t="str">
            <v>В-27407/КЛ.Транш - 1</v>
          </cell>
          <cell r="D1131">
            <v>79678209099</v>
          </cell>
        </row>
        <row r="1132">
          <cell r="A1132" t="str">
            <v>Махмудов Денис Мамедшарифович</v>
          </cell>
          <cell r="B1132" t="str">
            <v>В-25593/КЛ.Транш - 1</v>
          </cell>
          <cell r="D1132">
            <v>79000099959</v>
          </cell>
          <cell r="F1132">
            <v>79000099959</v>
          </cell>
        </row>
        <row r="1133">
          <cell r="A1133" t="str">
            <v>Мацола Артём Иванович</v>
          </cell>
          <cell r="B1133" t="str">
            <v>В-17062/КЛ.Транш - 3</v>
          </cell>
          <cell r="D1133">
            <v>79524349798</v>
          </cell>
          <cell r="F1133">
            <v>79524349798</v>
          </cell>
        </row>
        <row r="1134">
          <cell r="A1134" t="str">
            <v>Мацола Артём Иванович</v>
          </cell>
          <cell r="B1134" t="str">
            <v>В-17062/КЛ.Транш - 1</v>
          </cell>
          <cell r="D1134">
            <v>79524349798</v>
          </cell>
          <cell r="F1134">
            <v>79524349798</v>
          </cell>
        </row>
        <row r="1135">
          <cell r="A1135" t="str">
            <v>Мацола Артём Иванович</v>
          </cell>
          <cell r="B1135" t="str">
            <v>В-17062/КЛ.Транш - 2</v>
          </cell>
          <cell r="D1135">
            <v>79524349798</v>
          </cell>
          <cell r="F1135">
            <v>79524349798</v>
          </cell>
        </row>
        <row r="1136">
          <cell r="A1136" t="str">
            <v>Мачкалян Оганнес Саргисович</v>
          </cell>
          <cell r="B1136" t="str">
            <v>В-00469/АЗ_В-20211230/Ц</v>
          </cell>
          <cell r="D1136">
            <v>79680000208</v>
          </cell>
          <cell r="F1136">
            <v>79680000208</v>
          </cell>
        </row>
        <row r="1137">
          <cell r="A1137" t="str">
            <v>Мачнева Галина Петровна</v>
          </cell>
          <cell r="B1137" t="str">
            <v>В-13104/КЛ.Транш - 1</v>
          </cell>
          <cell r="D1137">
            <v>79998936010</v>
          </cell>
          <cell r="F1137">
            <v>79998936010</v>
          </cell>
        </row>
        <row r="1138">
          <cell r="A1138" t="str">
            <v>Машковцев Алексей Валерьевич</v>
          </cell>
          <cell r="B1138" t="str">
            <v>В-18757/КЛ.Транш - 1</v>
          </cell>
          <cell r="D1138">
            <v>79265656981</v>
          </cell>
          <cell r="F1138">
            <v>79265656981</v>
          </cell>
        </row>
        <row r="1139">
          <cell r="A1139" t="str">
            <v>Меликян Нона Арменовна</v>
          </cell>
          <cell r="B1139" t="str">
            <v>В-23728/КЛ.Транш - 1</v>
          </cell>
          <cell r="D1139">
            <v>79286075151</v>
          </cell>
          <cell r="F1139">
            <v>79286075151</v>
          </cell>
        </row>
        <row r="1140">
          <cell r="A1140" t="str">
            <v>Мелитонян Саят Араевич</v>
          </cell>
          <cell r="B1140" t="str">
            <v>А-04022/АЗ</v>
          </cell>
          <cell r="D1140">
            <v>79060615035</v>
          </cell>
          <cell r="E1140">
            <v>79060615035</v>
          </cell>
          <cell r="F1140">
            <v>79060615035</v>
          </cell>
        </row>
        <row r="1141">
          <cell r="A1141" t="str">
            <v>Мелкумян Масис Владимирович</v>
          </cell>
          <cell r="B1141" t="str">
            <v>В-05425/КЛ.Транш - 1_В-20211230/Ц</v>
          </cell>
          <cell r="D1141">
            <v>79031617299</v>
          </cell>
          <cell r="F1141">
            <v>79031617299</v>
          </cell>
        </row>
        <row r="1142">
          <cell r="A1142" t="str">
            <v>Мелкумян Масис Владимирович</v>
          </cell>
          <cell r="B1142" t="str">
            <v>В-05425/КЛ.Транш - 2_В-20211230/Ц</v>
          </cell>
          <cell r="D1142">
            <v>79031617299</v>
          </cell>
          <cell r="F1142">
            <v>79031617299</v>
          </cell>
        </row>
        <row r="1143">
          <cell r="A1143" t="str">
            <v>Мелоян Вардан Айкович</v>
          </cell>
          <cell r="B1143" t="str">
            <v>В-27878/АЗ</v>
          </cell>
          <cell r="D1143">
            <v>79251004250</v>
          </cell>
        </row>
        <row r="1144">
          <cell r="A1144" t="str">
            <v>Мельник Дмитрий Петрович</v>
          </cell>
          <cell r="B1144" t="str">
            <v>В-20205/КЛ.Транш - 1</v>
          </cell>
          <cell r="D1144">
            <v>79787675480</v>
          </cell>
          <cell r="F1144">
            <v>79787675480</v>
          </cell>
        </row>
        <row r="1145">
          <cell r="A1145" t="str">
            <v>Мельников Денис Александрович</v>
          </cell>
          <cell r="B1145" t="str">
            <v>В-15682/КЛ.Транш - 1</v>
          </cell>
          <cell r="D1145">
            <v>79287785494</v>
          </cell>
          <cell r="F1145">
            <v>79287785494</v>
          </cell>
        </row>
        <row r="1146">
          <cell r="A1146" t="str">
            <v>Мемешев Шабан Юсуфович</v>
          </cell>
          <cell r="B1146" t="str">
            <v>В-17910/КЛ.Транш - 1</v>
          </cell>
          <cell r="D1146">
            <v>79781440760</v>
          </cell>
          <cell r="F1146">
            <v>79781440760</v>
          </cell>
        </row>
        <row r="1147">
          <cell r="A1147" t="str">
            <v>Мерцалов Константин Вадимович</v>
          </cell>
          <cell r="B1147" t="str">
            <v>В-24521/КЛ.Транш - 1</v>
          </cell>
          <cell r="D1147">
            <v>79297750693</v>
          </cell>
          <cell r="F1147">
            <v>79297750693</v>
          </cell>
        </row>
        <row r="1148">
          <cell r="A1148" t="str">
            <v>Месропян Аревик Орбеловна</v>
          </cell>
          <cell r="B1148" t="str">
            <v>Т-01885/АЗ_Т-20211028/Ц</v>
          </cell>
          <cell r="D1148">
            <v>79017013028</v>
          </cell>
          <cell r="F1148">
            <v>79017013028</v>
          </cell>
        </row>
        <row r="1149">
          <cell r="A1149" t="str">
            <v>Метлин Семён Петрович</v>
          </cell>
          <cell r="B1149" t="str">
            <v>В-06379/КЛ.Транш - 1</v>
          </cell>
          <cell r="D1149">
            <v>79169482628</v>
          </cell>
          <cell r="F1149">
            <v>79169482628</v>
          </cell>
        </row>
        <row r="1150">
          <cell r="A1150" t="str">
            <v>Мжавия Гела Ленгизович</v>
          </cell>
          <cell r="B1150" t="str">
            <v>В-23424/КЛ.Транш - 1</v>
          </cell>
          <cell r="D1150">
            <v>79250690887</v>
          </cell>
          <cell r="F1150">
            <v>79250690887</v>
          </cell>
        </row>
        <row r="1151">
          <cell r="A1151" t="str">
            <v>Микаелян Ваге Беникович</v>
          </cell>
          <cell r="B1151" t="str">
            <v>В-12226/КЛ.Транш - 2</v>
          </cell>
          <cell r="D1151">
            <v>79253755716</v>
          </cell>
          <cell r="F1151">
            <v>79253755716</v>
          </cell>
        </row>
        <row r="1152">
          <cell r="A1152" t="str">
            <v>Минаев Николай Тамазович</v>
          </cell>
          <cell r="B1152" t="str">
            <v>В-12276/КЛ.Транш - 2</v>
          </cell>
          <cell r="D1152">
            <v>79661762288</v>
          </cell>
          <cell r="F1152">
            <v>79661762288</v>
          </cell>
        </row>
        <row r="1153">
          <cell r="A1153" t="str">
            <v>Минаева Елена Викторовна</v>
          </cell>
          <cell r="B1153" t="str">
            <v>В-19326/КЛ.Транш - 1</v>
          </cell>
          <cell r="C1153">
            <v>84954697777</v>
          </cell>
          <cell r="D1153">
            <v>89857667306</v>
          </cell>
          <cell r="F1153">
            <v>79857667306</v>
          </cell>
        </row>
        <row r="1154">
          <cell r="A1154" t="str">
            <v>Минаева Наталия Анатольевна</v>
          </cell>
          <cell r="B1154" t="str">
            <v>В-17417/КЛ.Транш - 1</v>
          </cell>
          <cell r="D1154">
            <v>79689084760</v>
          </cell>
          <cell r="F1154">
            <v>79689084760</v>
          </cell>
        </row>
        <row r="1155">
          <cell r="A1155" t="str">
            <v>Минашвили Юрий Мишаевич</v>
          </cell>
          <cell r="B1155" t="str">
            <v>В-26452/КЛ.Транш - 1</v>
          </cell>
          <cell r="D1155">
            <v>79287712977</v>
          </cell>
        </row>
        <row r="1156">
          <cell r="A1156" t="str">
            <v>Мироненко Вадим Викторович</v>
          </cell>
          <cell r="B1156" t="str">
            <v>В-01061/АЗ</v>
          </cell>
          <cell r="E1156">
            <v>89778849297</v>
          </cell>
          <cell r="F1156">
            <v>79778849297</v>
          </cell>
        </row>
        <row r="1157">
          <cell r="A1157" t="str">
            <v>Миронов Александр Александрович</v>
          </cell>
          <cell r="B1157" t="str">
            <v>В-00147/АЗ_Т-20211028/Ц</v>
          </cell>
          <cell r="D1157">
            <v>89263554908</v>
          </cell>
          <cell r="F1157">
            <v>79263554908</v>
          </cell>
        </row>
        <row r="1158">
          <cell r="A1158" t="str">
            <v>Мирошниченко Евгений Константинович</v>
          </cell>
          <cell r="B1158" t="str">
            <v>В-16457/КЛ.Транш - 1_В-20211230/Ц</v>
          </cell>
          <cell r="D1158">
            <v>79785055075</v>
          </cell>
          <cell r="F1158">
            <v>79785055075</v>
          </cell>
        </row>
        <row r="1159">
          <cell r="A1159" t="str">
            <v>Мисюк Георгий Анатольевич</v>
          </cell>
          <cell r="B1159" t="str">
            <v>В-22309/АЗ</v>
          </cell>
          <cell r="D1159">
            <v>79051187073</v>
          </cell>
        </row>
        <row r="1160">
          <cell r="A1160" t="str">
            <v>Митясов Вячеслав Владимирович</v>
          </cell>
          <cell r="B1160" t="str">
            <v>В-11892/КЛ.Транш - 1_А-20210929/Ц</v>
          </cell>
          <cell r="E1160">
            <v>79299604520</v>
          </cell>
        </row>
        <row r="1161">
          <cell r="A1161" t="str">
            <v>Михайлик Василий Александрович</v>
          </cell>
          <cell r="B1161" t="str">
            <v>В-23085/КЛ.Транш - 1</v>
          </cell>
          <cell r="D1161">
            <v>89246288617</v>
          </cell>
          <cell r="F1161">
            <v>79246288617</v>
          </cell>
        </row>
        <row r="1162">
          <cell r="A1162" t="str">
            <v>Михалевский Александр Михайлович</v>
          </cell>
          <cell r="B1162" t="str">
            <v>А-05130/АЗ</v>
          </cell>
          <cell r="D1162">
            <v>79169207370</v>
          </cell>
          <cell r="E1162">
            <v>79169207370</v>
          </cell>
        </row>
        <row r="1163">
          <cell r="A1163" t="str">
            <v>Михальчук Анна Евгеньевна</v>
          </cell>
          <cell r="B1163" t="str">
            <v>В-19949/КЛ.Транш - 1</v>
          </cell>
          <cell r="D1163">
            <v>79012783847</v>
          </cell>
          <cell r="F1163">
            <v>79012783847</v>
          </cell>
        </row>
        <row r="1164">
          <cell r="A1164" t="str">
            <v>Мичурин Евгений Алексеевич</v>
          </cell>
          <cell r="B1164" t="str">
            <v>В-09649/КЛ.Транш - 1</v>
          </cell>
          <cell r="D1164">
            <v>79321138882</v>
          </cell>
          <cell r="F1164">
            <v>79321138882</v>
          </cell>
        </row>
        <row r="1165">
          <cell r="A1165" t="str">
            <v>Мишин Александр Александрович</v>
          </cell>
          <cell r="B1165" t="str">
            <v>В-07520/КЛ.Транш - 2</v>
          </cell>
          <cell r="D1165">
            <v>79254693138</v>
          </cell>
          <cell r="F1165">
            <v>79254693138</v>
          </cell>
        </row>
        <row r="1166">
          <cell r="A1166" t="str">
            <v>Мкртчян Григор Рубикович</v>
          </cell>
          <cell r="B1166" t="str">
            <v>В-07559/КЛ.Транш - 1</v>
          </cell>
          <cell r="D1166">
            <v>79688871144</v>
          </cell>
          <cell r="F1166">
            <v>79688871144</v>
          </cell>
        </row>
        <row r="1167">
          <cell r="A1167" t="str">
            <v>Мкртчян Григор Рубикович</v>
          </cell>
          <cell r="B1167" t="str">
            <v>В-07559/КЛ.Транш - 4</v>
          </cell>
          <cell r="D1167">
            <v>79688871144</v>
          </cell>
          <cell r="F1167">
            <v>79688871144</v>
          </cell>
        </row>
        <row r="1168">
          <cell r="A1168" t="str">
            <v>Мкртчян Григор Рубикович</v>
          </cell>
          <cell r="B1168" t="str">
            <v>В-07559/КЛ.Транш - 3</v>
          </cell>
          <cell r="D1168">
            <v>79688871144</v>
          </cell>
          <cell r="F1168">
            <v>79688871144</v>
          </cell>
        </row>
        <row r="1169">
          <cell r="A1169" t="str">
            <v>Мкртчян Григор Рубикович</v>
          </cell>
          <cell r="B1169" t="str">
            <v>В-07559/КЛ.Транш - 5</v>
          </cell>
          <cell r="D1169">
            <v>79688871144</v>
          </cell>
          <cell r="F1169">
            <v>79688871144</v>
          </cell>
        </row>
        <row r="1170">
          <cell r="A1170" t="str">
            <v>Мнацаканян Карен Аракелович</v>
          </cell>
          <cell r="B1170" t="str">
            <v>В-13742/КЛ.Транш - 1</v>
          </cell>
          <cell r="D1170">
            <v>79688618888</v>
          </cell>
          <cell r="E1170">
            <v>79150088880</v>
          </cell>
          <cell r="F1170">
            <v>79150088880</v>
          </cell>
        </row>
        <row r="1171">
          <cell r="A1171" t="str">
            <v>Мовсесян Гарик Вагифович</v>
          </cell>
          <cell r="B1171" t="str">
            <v>В-24878/КЛ.Транш - 1</v>
          </cell>
          <cell r="D1171">
            <v>79093328822</v>
          </cell>
          <cell r="F1171">
            <v>79093328822</v>
          </cell>
        </row>
        <row r="1172">
          <cell r="A1172" t="str">
            <v>Моисеев Михаил Исаевич</v>
          </cell>
          <cell r="B1172" t="str">
            <v>В-01875/КЛ.Транш - 1</v>
          </cell>
          <cell r="D1172">
            <v>79219419812</v>
          </cell>
          <cell r="F1172">
            <v>79219419812</v>
          </cell>
        </row>
        <row r="1173">
          <cell r="A1173" t="str">
            <v>Моисеев Павел Викторович</v>
          </cell>
          <cell r="B1173" t="str">
            <v>В-01165/АЗ</v>
          </cell>
          <cell r="D1173">
            <v>79117752939</v>
          </cell>
          <cell r="F1173">
            <v>79117752939</v>
          </cell>
        </row>
        <row r="1174">
          <cell r="A1174" t="str">
            <v>Моисеев Сергей Алексеевич</v>
          </cell>
          <cell r="B1174" t="str">
            <v>В-13185/КЛ.Транш - 1</v>
          </cell>
          <cell r="C1174">
            <v>74956119452</v>
          </cell>
          <cell r="D1174">
            <v>79258338745</v>
          </cell>
          <cell r="E1174">
            <v>79258338745</v>
          </cell>
          <cell r="F1174">
            <v>79258338745</v>
          </cell>
        </row>
        <row r="1175">
          <cell r="A1175" t="str">
            <v>Моисеенков Дмитрий Владимирович</v>
          </cell>
          <cell r="B1175" t="str">
            <v>В-15091/КЛ.Транш - 3</v>
          </cell>
          <cell r="D1175">
            <v>79263046300</v>
          </cell>
          <cell r="F1175">
            <v>79263046300</v>
          </cell>
        </row>
        <row r="1176">
          <cell r="A1176" t="str">
            <v>Мокрицкий Константин Александрович</v>
          </cell>
          <cell r="B1176" t="str">
            <v>В-22052/КЛ.Транш - 2</v>
          </cell>
          <cell r="D1176">
            <v>79165312594</v>
          </cell>
          <cell r="F1176">
            <v>79165312594</v>
          </cell>
        </row>
        <row r="1177">
          <cell r="A1177" t="str">
            <v>Мокрицкий Константин Александрович</v>
          </cell>
          <cell r="B1177" t="str">
            <v>В-22052/КЛ.Транш - 1</v>
          </cell>
          <cell r="D1177">
            <v>79165312594</v>
          </cell>
          <cell r="F1177">
            <v>79165312594</v>
          </cell>
        </row>
        <row r="1178">
          <cell r="A1178" t="str">
            <v>Молчанов Дмитрий Викторович</v>
          </cell>
          <cell r="B1178" t="str">
            <v>В-19425/КЛ.Транш - 1</v>
          </cell>
          <cell r="D1178">
            <v>79152571893</v>
          </cell>
          <cell r="F1178">
            <v>79152571893</v>
          </cell>
        </row>
        <row r="1179">
          <cell r="A1179" t="str">
            <v>Мордвинцева Елена Александровна</v>
          </cell>
          <cell r="B1179" t="str">
            <v>В-27065/АЗ</v>
          </cell>
          <cell r="D1179">
            <v>79877848924</v>
          </cell>
        </row>
        <row r="1180">
          <cell r="A1180" t="str">
            <v>Морин Владимир Александрович</v>
          </cell>
          <cell r="B1180" t="str">
            <v>В-17785/КЛ.Транш - 1</v>
          </cell>
          <cell r="D1180">
            <v>79657591464</v>
          </cell>
          <cell r="F1180">
            <v>79657591464</v>
          </cell>
        </row>
        <row r="1181">
          <cell r="A1181" t="str">
            <v>Морозкина Наталья Сергеевна</v>
          </cell>
          <cell r="B1181" t="str">
            <v>В-00239/КЛ.Транш - 1</v>
          </cell>
          <cell r="D1181">
            <v>89998833823</v>
          </cell>
          <cell r="F1181">
            <v>79998833823</v>
          </cell>
        </row>
        <row r="1182">
          <cell r="A1182" t="str">
            <v>Морозов Владимир Владимирович</v>
          </cell>
          <cell r="B1182" t="str">
            <v>А-03942/АЗ</v>
          </cell>
          <cell r="D1182">
            <v>79057624635</v>
          </cell>
          <cell r="E1182">
            <v>79057624635</v>
          </cell>
          <cell r="F1182">
            <v>79057624635</v>
          </cell>
        </row>
        <row r="1183">
          <cell r="A1183" t="str">
            <v>Морозов Владимир Павлович</v>
          </cell>
          <cell r="B1183" t="str">
            <v>В-03585/КЛ.Транш - 1</v>
          </cell>
          <cell r="D1183">
            <v>89169376628</v>
          </cell>
          <cell r="F1183">
            <v>79169376628</v>
          </cell>
        </row>
        <row r="1184">
          <cell r="A1184" t="str">
            <v>Морозов Евгений Станиславович</v>
          </cell>
          <cell r="B1184" t="str">
            <v>Т-01935/АЗ_Т-20210920/Ц</v>
          </cell>
          <cell r="D1184">
            <v>79165890435</v>
          </cell>
          <cell r="F1184">
            <v>79165890435</v>
          </cell>
        </row>
        <row r="1185">
          <cell r="A1185" t="str">
            <v>Морозов Евгений Станиславович</v>
          </cell>
          <cell r="B1185" t="str">
            <v>В-00963/АЗ</v>
          </cell>
          <cell r="D1185">
            <v>79165890435</v>
          </cell>
          <cell r="F1185">
            <v>79165890435</v>
          </cell>
        </row>
        <row r="1186">
          <cell r="A1186" t="str">
            <v>Морозов Евгений Станиславович</v>
          </cell>
          <cell r="B1186" t="str">
            <v>А-05463/АЗ_А-20210920/Ц</v>
          </cell>
          <cell r="D1186">
            <v>79165890435</v>
          </cell>
          <cell r="F1186">
            <v>79165890435</v>
          </cell>
        </row>
        <row r="1187">
          <cell r="A1187" t="str">
            <v>Морозов Олег Валерьевич</v>
          </cell>
          <cell r="B1187" t="str">
            <v>В-15532/КЛ.Транш - 1</v>
          </cell>
          <cell r="D1187">
            <v>79009994082</v>
          </cell>
          <cell r="F1187">
            <v>79009994082</v>
          </cell>
        </row>
        <row r="1188">
          <cell r="A1188" t="str">
            <v>Москалев Ярослав Вячеславович</v>
          </cell>
          <cell r="B1188" t="str">
            <v>В-00557/АЗ</v>
          </cell>
          <cell r="C1188">
            <v>88125521715</v>
          </cell>
          <cell r="D1188">
            <v>89218649897</v>
          </cell>
          <cell r="F1188">
            <v>79218649897</v>
          </cell>
        </row>
        <row r="1189">
          <cell r="A1189" t="str">
            <v>Мотыка Андрей Павлович</v>
          </cell>
          <cell r="B1189" t="str">
            <v>В-16934/КЛ.Транш - 5</v>
          </cell>
          <cell r="D1189">
            <v>79164531259</v>
          </cell>
          <cell r="E1189">
            <v>79853598839</v>
          </cell>
        </row>
        <row r="1190">
          <cell r="A1190" t="str">
            <v>Мотыка Андрей Павлович</v>
          </cell>
          <cell r="B1190" t="str">
            <v>В-16934/КЛ.Транш - 3</v>
          </cell>
          <cell r="D1190">
            <v>79164531259</v>
          </cell>
          <cell r="E1190">
            <v>79853598839</v>
          </cell>
        </row>
        <row r="1191">
          <cell r="A1191" t="str">
            <v>Мотыка Андрей Павлович</v>
          </cell>
          <cell r="B1191" t="str">
            <v>В-16934/КЛ.Транш - 1</v>
          </cell>
          <cell r="D1191">
            <v>79164531259</v>
          </cell>
          <cell r="E1191">
            <v>79853598839</v>
          </cell>
        </row>
        <row r="1192">
          <cell r="A1192" t="str">
            <v>Мотыка Андрей Павлович</v>
          </cell>
          <cell r="B1192" t="str">
            <v>В-16934/КЛ.Транш - 4</v>
          </cell>
          <cell r="D1192">
            <v>79164531259</v>
          </cell>
          <cell r="E1192">
            <v>79853598839</v>
          </cell>
        </row>
        <row r="1193">
          <cell r="A1193" t="str">
            <v>Мошкин Андрей Викторович</v>
          </cell>
          <cell r="B1193" t="str">
            <v>В-00508/АЗ</v>
          </cell>
          <cell r="C1193">
            <v>74956764035</v>
          </cell>
          <cell r="D1193">
            <v>79164441499</v>
          </cell>
          <cell r="F1193">
            <v>79164441499</v>
          </cell>
        </row>
        <row r="1194">
          <cell r="A1194" t="str">
            <v>Мощинская Елена Николаевна</v>
          </cell>
          <cell r="B1194" t="str">
            <v>В-19227/КЛ.Транш - 1</v>
          </cell>
          <cell r="D1194">
            <v>79260461793</v>
          </cell>
          <cell r="F1194">
            <v>79260461793</v>
          </cell>
        </row>
        <row r="1195">
          <cell r="A1195" t="str">
            <v>Мощинская Елена Николаевна</v>
          </cell>
          <cell r="B1195" t="str">
            <v>В-19227/КЛ.Транш - 2</v>
          </cell>
          <cell r="D1195">
            <v>79260461793</v>
          </cell>
          <cell r="F1195">
            <v>79260461793</v>
          </cell>
        </row>
        <row r="1196">
          <cell r="A1196" t="str">
            <v>МСККОРП ООО</v>
          </cell>
          <cell r="B1196" t="str">
            <v>А-00084/КЭ.Транш - 3</v>
          </cell>
        </row>
        <row r="1197">
          <cell r="A1197" t="str">
            <v>МСКСТРОЙ ООО</v>
          </cell>
          <cell r="B1197" t="str">
            <v>В-00075/КЭ.Транш - 1</v>
          </cell>
        </row>
        <row r="1198">
          <cell r="A1198" t="str">
            <v>Музыка Евгений Александрович</v>
          </cell>
          <cell r="B1198" t="str">
            <v>В-20458/КЛ.Транш - 1</v>
          </cell>
          <cell r="D1198">
            <v>79787665046</v>
          </cell>
          <cell r="F1198">
            <v>79787665046</v>
          </cell>
        </row>
        <row r="1199">
          <cell r="A1199" t="str">
            <v>Музыка Марина Александровна</v>
          </cell>
          <cell r="B1199" t="str">
            <v>В-24612/АЗ</v>
          </cell>
          <cell r="D1199">
            <v>79260298384</v>
          </cell>
          <cell r="F1199">
            <v>79260298384</v>
          </cell>
        </row>
        <row r="1200">
          <cell r="A1200" t="str">
            <v>Муллоев Хошимчон Пулотович</v>
          </cell>
          <cell r="B1200" t="str">
            <v>В-01023/КЛ.Транш - 1</v>
          </cell>
          <cell r="D1200">
            <v>79771055875</v>
          </cell>
          <cell r="F1200">
            <v>79251441260</v>
          </cell>
        </row>
        <row r="1201">
          <cell r="A1201" t="str">
            <v>Муминов Фирдавс Юсуфович</v>
          </cell>
          <cell r="B1201" t="str">
            <v>В-01147/АЗ</v>
          </cell>
          <cell r="D1201">
            <v>79652300400</v>
          </cell>
        </row>
        <row r="1202">
          <cell r="A1202" t="str">
            <v>Муравьев Сергей Сергеевич</v>
          </cell>
          <cell r="B1202" t="str">
            <v>В-20490/КЛ.Транш - 1</v>
          </cell>
          <cell r="D1202">
            <v>79066640680</v>
          </cell>
          <cell r="F1202">
            <v>79961652949</v>
          </cell>
        </row>
        <row r="1203">
          <cell r="A1203" t="str">
            <v>Мурадян Грачья Юрикович</v>
          </cell>
          <cell r="B1203" t="str">
            <v>В-26102/АЗ</v>
          </cell>
          <cell r="D1203">
            <v>79660007770</v>
          </cell>
          <cell r="F1203">
            <v>79660007770</v>
          </cell>
        </row>
        <row r="1204">
          <cell r="A1204" t="str">
            <v>Мурадян Севак Норикович</v>
          </cell>
          <cell r="B1204" t="str">
            <v>В-07133/КЛ.Транш - 1</v>
          </cell>
          <cell r="D1204">
            <v>79060486688</v>
          </cell>
          <cell r="F1204">
            <v>79060486688</v>
          </cell>
        </row>
        <row r="1205">
          <cell r="A1205" t="str">
            <v>Мурадян Севак Норикович</v>
          </cell>
          <cell r="B1205" t="str">
            <v>В-07133/КЛ.Транш - 4</v>
          </cell>
          <cell r="D1205">
            <v>79060486688</v>
          </cell>
          <cell r="F1205">
            <v>79060486688</v>
          </cell>
        </row>
        <row r="1206">
          <cell r="A1206" t="str">
            <v>Мурадян Эдгар Рафаелович</v>
          </cell>
          <cell r="B1206" t="str">
            <v>В-08077/КЛ.Транш - 1</v>
          </cell>
          <cell r="D1206">
            <v>79161011366</v>
          </cell>
          <cell r="F1206">
            <v>79161011366</v>
          </cell>
        </row>
        <row r="1207">
          <cell r="A1207" t="str">
            <v>Муратов Альмурат Муратович</v>
          </cell>
          <cell r="B1207" t="str">
            <v>В-01216/КЛ.Транш - 4_В-20211230/Ц</v>
          </cell>
          <cell r="D1207">
            <v>79170925912</v>
          </cell>
          <cell r="F1207">
            <v>79170925912</v>
          </cell>
        </row>
        <row r="1208">
          <cell r="A1208" t="str">
            <v>Муратов Альмурат Муратович</v>
          </cell>
          <cell r="B1208" t="str">
            <v>В-01216/КЛ.Транш - 5_В-20211230/Ц</v>
          </cell>
          <cell r="D1208">
            <v>79170925912</v>
          </cell>
          <cell r="F1208">
            <v>79170925912</v>
          </cell>
        </row>
        <row r="1209">
          <cell r="A1209" t="str">
            <v>Мурашова Наталья Николаевна</v>
          </cell>
          <cell r="B1209" t="str">
            <v>В-06411/КЛ.Транш - 1</v>
          </cell>
          <cell r="D1209">
            <v>79032339637</v>
          </cell>
          <cell r="F1209">
            <v>79032339637</v>
          </cell>
        </row>
        <row r="1210">
          <cell r="A1210" t="str">
            <v>Мурина Оксана Викторовна</v>
          </cell>
          <cell r="B1210" t="str">
            <v>В-12483/КЛ.Транш - 1</v>
          </cell>
          <cell r="D1210">
            <v>89163043591</v>
          </cell>
          <cell r="F1210">
            <v>79163043591</v>
          </cell>
        </row>
        <row r="1211">
          <cell r="A1211" t="str">
            <v>Муродов Шерзод Пулотхонович</v>
          </cell>
          <cell r="B1211" t="str">
            <v>В-00102/АЗ</v>
          </cell>
          <cell r="D1211">
            <v>79676666290</v>
          </cell>
          <cell r="F1211">
            <v>79652316060</v>
          </cell>
        </row>
        <row r="1212">
          <cell r="A1212" t="str">
            <v>Муршудзаде Ягуб Эльхан Оглы</v>
          </cell>
          <cell r="B1212" t="str">
            <v>В-04596/КЛ.Транш - 2</v>
          </cell>
          <cell r="D1212">
            <v>89252005859</v>
          </cell>
          <cell r="F1212">
            <v>79252005859</v>
          </cell>
        </row>
        <row r="1213">
          <cell r="A1213" t="str">
            <v>Мусаев Заурбек Хадживелиевич</v>
          </cell>
          <cell r="B1213" t="str">
            <v>В-24350/КЛ.Транш - 1</v>
          </cell>
          <cell r="D1213">
            <v>79055340899</v>
          </cell>
          <cell r="F1213">
            <v>89055340899</v>
          </cell>
        </row>
        <row r="1214">
          <cell r="A1214" t="str">
            <v>Мусаев Натиг Байрам Оглы</v>
          </cell>
          <cell r="B1214" t="str">
            <v>В-25627/КЛ.Транш - 1</v>
          </cell>
          <cell r="D1214">
            <v>79219073232</v>
          </cell>
          <cell r="F1214">
            <v>79219073237</v>
          </cell>
        </row>
        <row r="1215">
          <cell r="A1215" t="str">
            <v>Мусаев Рустам Камилжонович</v>
          </cell>
          <cell r="B1215" t="str">
            <v>А-04412/АЗ</v>
          </cell>
          <cell r="D1215">
            <v>79261232390</v>
          </cell>
          <cell r="E1215">
            <v>79261232390</v>
          </cell>
        </row>
        <row r="1216">
          <cell r="A1216" t="str">
            <v>Мусаев Саид Рамазанович</v>
          </cell>
          <cell r="B1216" t="str">
            <v>В-17687/КЛ.Транш - 1_В-20211230/Ц</v>
          </cell>
          <cell r="D1216">
            <v>79255580555</v>
          </cell>
          <cell r="F1216">
            <v>79993446050</v>
          </cell>
        </row>
        <row r="1217">
          <cell r="A1217" t="str">
            <v>Мусаев Саид Рамазанович</v>
          </cell>
          <cell r="B1217" t="str">
            <v>В-17687/КЛ.Транш - 2_В-20211230/Ц</v>
          </cell>
          <cell r="D1217">
            <v>79255580555</v>
          </cell>
          <cell r="F1217">
            <v>79993446050</v>
          </cell>
        </row>
        <row r="1218">
          <cell r="A1218" t="str">
            <v>Мусаелян Вилен Карленович</v>
          </cell>
          <cell r="B1218" t="str">
            <v>В-12167/КЛ.Транш - 1_А-20210929/Ц</v>
          </cell>
          <cell r="C1218">
            <v>79281997644</v>
          </cell>
          <cell r="D1218">
            <v>79081980881</v>
          </cell>
          <cell r="F1218">
            <v>79081980881</v>
          </cell>
        </row>
        <row r="1219">
          <cell r="A1219" t="str">
            <v>Мустафин Ринад Исмаилович</v>
          </cell>
          <cell r="B1219" t="str">
            <v>В-17199/КЛ.Транш - 3</v>
          </cell>
          <cell r="D1219">
            <v>79036898056</v>
          </cell>
          <cell r="F1219">
            <v>79036898056</v>
          </cell>
        </row>
        <row r="1220">
          <cell r="A1220" t="str">
            <v>Мустафин Ринад Исмаилович</v>
          </cell>
          <cell r="B1220" t="str">
            <v>В-17199/КЛ.Транш - 2</v>
          </cell>
          <cell r="D1220">
            <v>79036898056</v>
          </cell>
          <cell r="F1220">
            <v>79036898056</v>
          </cell>
        </row>
        <row r="1221">
          <cell r="A1221" t="str">
            <v>Мустафин Ринад Исмаилович</v>
          </cell>
          <cell r="B1221" t="str">
            <v>В-17199/КЛ.Транш - 1</v>
          </cell>
          <cell r="D1221">
            <v>79036898056</v>
          </cell>
          <cell r="F1221">
            <v>79036898056</v>
          </cell>
        </row>
        <row r="1222">
          <cell r="A1222" t="str">
            <v>Мустафьева Айтан Таджединовна</v>
          </cell>
          <cell r="B1222" t="str">
            <v>В-24261/КЛ.Транш - 1</v>
          </cell>
          <cell r="D1222">
            <v>79964272738</v>
          </cell>
          <cell r="F1222">
            <v>79964272738</v>
          </cell>
        </row>
        <row r="1223">
          <cell r="A1223" t="str">
            <v>Мухаев Андрей Игоревич</v>
          </cell>
          <cell r="B1223" t="str">
            <v>В-22912/КЛ.Транш - 1</v>
          </cell>
          <cell r="D1223">
            <v>79094062253</v>
          </cell>
          <cell r="F1223">
            <v>79094062253</v>
          </cell>
        </row>
        <row r="1224">
          <cell r="A1224" t="str">
            <v>Мылов Сергей Геннадьевич</v>
          </cell>
          <cell r="B1224" t="str">
            <v>В-05402/КЛ.Транш - 4</v>
          </cell>
          <cell r="D1224">
            <v>79266588248</v>
          </cell>
          <cell r="E1224">
            <v>79266588248</v>
          </cell>
          <cell r="F1224">
            <v>79266588248</v>
          </cell>
        </row>
        <row r="1225">
          <cell r="A1225" t="str">
            <v>Мырзалиев Абдырасул Израилович</v>
          </cell>
          <cell r="B1225" t="str">
            <v>В-13640/КЛ.Транш - 1</v>
          </cell>
          <cell r="D1225">
            <v>79679070701</v>
          </cell>
          <cell r="F1225">
            <v>79679070701</v>
          </cell>
        </row>
        <row r="1226">
          <cell r="A1226" t="str">
            <v>Набойченко Юлия Александровна</v>
          </cell>
          <cell r="B1226" t="str">
            <v>В-25865/КЛ.Транш - 1</v>
          </cell>
          <cell r="D1226">
            <v>79787200413</v>
          </cell>
        </row>
        <row r="1227">
          <cell r="A1227" t="str">
            <v>Навасардян Алёна Евгеньевна</v>
          </cell>
          <cell r="B1227" t="str">
            <v>В-14818/КЛ.Транш - 1</v>
          </cell>
          <cell r="D1227">
            <v>89081355049</v>
          </cell>
          <cell r="F1227">
            <v>79081355049</v>
          </cell>
        </row>
        <row r="1228">
          <cell r="A1228" t="str">
            <v>Навоян Георг Анатолевич</v>
          </cell>
          <cell r="B1228" t="str">
            <v>В-27848/АЗ</v>
          </cell>
          <cell r="D1228">
            <v>79950000030</v>
          </cell>
        </row>
        <row r="1229">
          <cell r="A1229" t="str">
            <v>Нагаева Елена Александровна</v>
          </cell>
          <cell r="B1229" t="str">
            <v>В-25671/АЗ</v>
          </cell>
          <cell r="D1229">
            <v>79149951882</v>
          </cell>
          <cell r="F1229">
            <v>79149951882</v>
          </cell>
        </row>
        <row r="1230">
          <cell r="A1230" t="str">
            <v>Надеев Алексей Александрович</v>
          </cell>
          <cell r="B1230" t="str">
            <v>В-21321/КЛ.Транш - 1</v>
          </cell>
          <cell r="D1230">
            <v>89160417078</v>
          </cell>
          <cell r="F1230">
            <v>79160417078</v>
          </cell>
        </row>
        <row r="1231">
          <cell r="A1231" t="str">
            <v>Назаров Всеволод Владимирович</v>
          </cell>
          <cell r="B1231" t="str">
            <v>В-19740/КЛ.Транш - 6</v>
          </cell>
          <cell r="C1231">
            <v>84953912485</v>
          </cell>
          <cell r="D1231">
            <v>89036798811</v>
          </cell>
          <cell r="F1231">
            <v>79036798811</v>
          </cell>
        </row>
        <row r="1232">
          <cell r="A1232" t="str">
            <v>Назаров Всеволод Владимирович</v>
          </cell>
          <cell r="B1232" t="str">
            <v>В-19740/КЛ.Транш - 5</v>
          </cell>
          <cell r="C1232">
            <v>84953912485</v>
          </cell>
          <cell r="D1232">
            <v>89036798811</v>
          </cell>
          <cell r="F1232">
            <v>79036798811</v>
          </cell>
        </row>
        <row r="1233">
          <cell r="A1233" t="str">
            <v>Назаров Всеволод Владимирович</v>
          </cell>
          <cell r="B1233" t="str">
            <v>В-19740/КЛ.Транш - 7</v>
          </cell>
          <cell r="C1233">
            <v>84953912485</v>
          </cell>
          <cell r="D1233">
            <v>89036798811</v>
          </cell>
          <cell r="F1233">
            <v>79036798811</v>
          </cell>
        </row>
        <row r="1234">
          <cell r="A1234" t="str">
            <v>Назаров Всеволод Владимирович</v>
          </cell>
          <cell r="B1234" t="str">
            <v>В-19740/КЛ.Транш - 8</v>
          </cell>
          <cell r="C1234">
            <v>84953912485</v>
          </cell>
          <cell r="D1234">
            <v>89036798811</v>
          </cell>
          <cell r="F1234">
            <v>79036798811</v>
          </cell>
        </row>
        <row r="1235">
          <cell r="A1235" t="str">
            <v>Насибов Баходур Юсуфджонович</v>
          </cell>
          <cell r="B1235" t="str">
            <v>В-19679/КЛ.Транш - 2</v>
          </cell>
          <cell r="D1235">
            <v>79778614145</v>
          </cell>
          <cell r="F1235">
            <v>79778614145</v>
          </cell>
        </row>
        <row r="1236">
          <cell r="A1236" t="str">
            <v>Насибуллин Илья Назипович</v>
          </cell>
          <cell r="B1236" t="str">
            <v>В-21451/КЛ.Транш - 1</v>
          </cell>
          <cell r="D1236">
            <v>89371714141</v>
          </cell>
          <cell r="F1236">
            <v>79371714141</v>
          </cell>
        </row>
        <row r="1237">
          <cell r="A1237" t="str">
            <v>Насонов Александр Александрович</v>
          </cell>
          <cell r="B1237" t="str">
            <v>В-22201/КЛ.Транш - 1_В-20211230/Ц</v>
          </cell>
          <cell r="D1237">
            <v>89511603201</v>
          </cell>
          <cell r="F1237">
            <v>79511603201</v>
          </cell>
        </row>
        <row r="1238">
          <cell r="A1238" t="str">
            <v>Насырова Шахлохон Раимжановна</v>
          </cell>
          <cell r="B1238" t="str">
            <v>В-19286/КЛ.Транш - 1</v>
          </cell>
          <cell r="D1238">
            <v>79855645225</v>
          </cell>
          <cell r="F1238">
            <v>79855645225</v>
          </cell>
        </row>
        <row r="1239">
          <cell r="A1239" t="str">
            <v>Натаров Владимир Валерьевич</v>
          </cell>
          <cell r="B1239" t="str">
            <v>В-27641/КЛ.Транш - 1</v>
          </cell>
          <cell r="D1239">
            <v>79512752606</v>
          </cell>
          <cell r="F1239">
            <v>79512752606</v>
          </cell>
        </row>
        <row r="1240">
          <cell r="A1240" t="str">
            <v>Науменко Андрей Николаевич</v>
          </cell>
          <cell r="B1240" t="str">
            <v>В-25370/АЗ</v>
          </cell>
          <cell r="D1240">
            <v>79237504761</v>
          </cell>
          <cell r="F1240">
            <v>79237504761</v>
          </cell>
        </row>
        <row r="1241">
          <cell r="A1241" t="str">
            <v>Наумик Екатерина Андреевна</v>
          </cell>
          <cell r="B1241" t="str">
            <v>В-14074/КЛ.Транш - 2</v>
          </cell>
          <cell r="D1241">
            <v>79002077402</v>
          </cell>
          <cell r="F1241">
            <v>79002077402</v>
          </cell>
        </row>
        <row r="1242">
          <cell r="A1242" t="str">
            <v>Наумик Екатерина Андреевна</v>
          </cell>
          <cell r="B1242" t="str">
            <v>В-14074/КЛ.Транш - 1</v>
          </cell>
          <cell r="D1242">
            <v>79002077402</v>
          </cell>
          <cell r="F1242">
            <v>79002077402</v>
          </cell>
        </row>
        <row r="1243">
          <cell r="A1243" t="str">
            <v>Наумов Олег Владимирович</v>
          </cell>
          <cell r="B1243" t="str">
            <v>В-12790/КЛ.Транш - 1</v>
          </cell>
          <cell r="D1243">
            <v>79152920318</v>
          </cell>
          <cell r="F1243">
            <v>79152920318</v>
          </cell>
        </row>
        <row r="1244">
          <cell r="A1244" t="str">
            <v>Нахапетов Артур Валерьевич</v>
          </cell>
          <cell r="B1244" t="str">
            <v>В-01203/АЗ</v>
          </cell>
          <cell r="D1244">
            <v>79859229900</v>
          </cell>
          <cell r="E1244">
            <v>74997632035</v>
          </cell>
          <cell r="F1244">
            <v>79859229900</v>
          </cell>
        </row>
        <row r="1245">
          <cell r="A1245" t="str">
            <v>Неборский Андрей Валерьевич</v>
          </cell>
          <cell r="B1245" t="str">
            <v>А-05344/АЗ</v>
          </cell>
          <cell r="D1245">
            <v>79215574252</v>
          </cell>
          <cell r="E1245">
            <v>79215574252</v>
          </cell>
          <cell r="F1245">
            <v>79215574252</v>
          </cell>
        </row>
        <row r="1246">
          <cell r="A1246" t="str">
            <v>Невешкин Роман Викторович</v>
          </cell>
          <cell r="B1246" t="str">
            <v>В-02026/КЛ.Транш - 1</v>
          </cell>
          <cell r="C1246">
            <v>74991381364</v>
          </cell>
          <cell r="D1246">
            <v>79852223626</v>
          </cell>
          <cell r="F1246">
            <v>79852223626</v>
          </cell>
        </row>
        <row r="1247">
          <cell r="A1247" t="str">
            <v>Невкипелый Дмитрий Валерьевич</v>
          </cell>
          <cell r="B1247" t="str">
            <v>В-27521/КЛ.Транш - 1</v>
          </cell>
          <cell r="D1247">
            <v>79186930426</v>
          </cell>
        </row>
        <row r="1248">
          <cell r="A1248" t="str">
            <v>Недялков Алексей Иванович</v>
          </cell>
          <cell r="B1248" t="str">
            <v>В-00598/АЗ_В-20211230/Ц</v>
          </cell>
          <cell r="D1248">
            <v>89264923565</v>
          </cell>
          <cell r="F1248">
            <v>79264923565</v>
          </cell>
        </row>
        <row r="1249">
          <cell r="A1249" t="str">
            <v>Некрасов Алексей Сергеевич</v>
          </cell>
          <cell r="B1249" t="str">
            <v>В-03114/КЛ.Транш - 1_В-20211230/Ц</v>
          </cell>
          <cell r="D1249">
            <v>79645007000</v>
          </cell>
          <cell r="F1249">
            <v>79645007000</v>
          </cell>
        </row>
        <row r="1250">
          <cell r="A1250" t="str">
            <v>Нефедова Елена Викторовна</v>
          </cell>
          <cell r="B1250" t="str">
            <v>В-24081/АЗ</v>
          </cell>
          <cell r="C1250">
            <v>84957113153</v>
          </cell>
          <cell r="D1250">
            <v>89055695968</v>
          </cell>
          <cell r="F1250">
            <v>79055695968</v>
          </cell>
        </row>
        <row r="1251">
          <cell r="A1251" t="str">
            <v>Нигметов Ренат Ерсаинович</v>
          </cell>
          <cell r="B1251" t="str">
            <v>В-14706/КЛ.Транш - 1</v>
          </cell>
          <cell r="D1251">
            <v>79371220706</v>
          </cell>
          <cell r="F1251">
            <v>79371220706</v>
          </cell>
        </row>
        <row r="1252">
          <cell r="A1252" t="str">
            <v>Никитенко Роман Владимирович</v>
          </cell>
          <cell r="B1252" t="str">
            <v>Т-01897/АЗ_Т-20211028/Ц</v>
          </cell>
          <cell r="D1252">
            <v>89032660077</v>
          </cell>
          <cell r="F1252">
            <v>79032660077</v>
          </cell>
        </row>
        <row r="1253">
          <cell r="A1253" t="str">
            <v>Никитина Анастасия Витальевна</v>
          </cell>
          <cell r="B1253" t="str">
            <v>В-00839/КЛ.Транш - 1</v>
          </cell>
          <cell r="D1253">
            <v>79777226790</v>
          </cell>
          <cell r="F1253">
            <v>79777226790</v>
          </cell>
        </row>
        <row r="1254">
          <cell r="A1254" t="str">
            <v>Никитина Елена Сергеевна</v>
          </cell>
          <cell r="B1254" t="str">
            <v>В-05768/КЛ.Транш - 1</v>
          </cell>
          <cell r="D1254">
            <v>79605088075</v>
          </cell>
          <cell r="F1254">
            <v>79605088075</v>
          </cell>
        </row>
        <row r="1255">
          <cell r="A1255" t="str">
            <v>Никифоров Александр Андреевич</v>
          </cell>
          <cell r="B1255" t="str">
            <v>В-11307/КЛ.Транш - 1</v>
          </cell>
          <cell r="C1255">
            <v>79252233923</v>
          </cell>
          <cell r="D1255">
            <v>79252233923</v>
          </cell>
          <cell r="F1255">
            <v>79252233923</v>
          </cell>
        </row>
        <row r="1256">
          <cell r="A1256" t="str">
            <v>Николаев Дмитрий Васильевич</v>
          </cell>
          <cell r="B1256" t="str">
            <v>В-28471/КЛ.Транш - 1</v>
          </cell>
          <cell r="D1256">
            <v>89267201007</v>
          </cell>
          <cell r="F1256">
            <v>79267201007</v>
          </cell>
        </row>
        <row r="1257">
          <cell r="A1257" t="str">
            <v>Николаева Юлия Викторовна</v>
          </cell>
          <cell r="B1257" t="str">
            <v>В-17924/КЛ.Транш - 1</v>
          </cell>
          <cell r="D1257">
            <v>79166199324</v>
          </cell>
          <cell r="F1257">
            <v>79166199324</v>
          </cell>
        </row>
        <row r="1258">
          <cell r="A1258" t="str">
            <v>Никонов Андрей Георгиевич</v>
          </cell>
          <cell r="B1258" t="str">
            <v>В-02690/КЛ.Транш - 1</v>
          </cell>
          <cell r="D1258">
            <v>79295770310</v>
          </cell>
          <cell r="F1258">
            <v>79295770310</v>
          </cell>
        </row>
        <row r="1259">
          <cell r="A1259" t="str">
            <v>Никоноров Александр Владимирович</v>
          </cell>
          <cell r="B1259" t="str">
            <v>В-03414/КЛ.Транш - 1</v>
          </cell>
          <cell r="D1259">
            <v>79220935999</v>
          </cell>
          <cell r="F1259">
            <v>79220935999</v>
          </cell>
        </row>
        <row r="1260">
          <cell r="A1260" t="str">
            <v>Никулкин Андрей Викторович</v>
          </cell>
          <cell r="B1260" t="str">
            <v>В-24247/КЛ.Транш - 1</v>
          </cell>
          <cell r="D1260">
            <v>79069003891</v>
          </cell>
          <cell r="F1260">
            <v>79069003891</v>
          </cell>
        </row>
        <row r="1261">
          <cell r="A1261" t="str">
            <v>Никульченков Сергей Анатольевич</v>
          </cell>
          <cell r="B1261" t="str">
            <v>В-25093/КЛ.Транш - 1</v>
          </cell>
          <cell r="D1261">
            <v>79780184127</v>
          </cell>
          <cell r="F1261">
            <v>79780184127</v>
          </cell>
        </row>
        <row r="1262">
          <cell r="A1262" t="str">
            <v>НОВАЯ СПАРТА ООО</v>
          </cell>
          <cell r="B1262" t="str">
            <v>А-00433/КЭ.Транш - 1</v>
          </cell>
        </row>
        <row r="1263">
          <cell r="A1263" t="str">
            <v>Новиков Артем Дмитриевич</v>
          </cell>
          <cell r="B1263" t="str">
            <v>В-24137/КЛ.Транш - 1</v>
          </cell>
          <cell r="D1263">
            <v>89150153386</v>
          </cell>
          <cell r="F1263">
            <v>79150153386</v>
          </cell>
        </row>
        <row r="1264">
          <cell r="A1264" t="str">
            <v>Новиков Артем Дмитриевич</v>
          </cell>
          <cell r="B1264" t="str">
            <v>В-24137/КЛ.Транш - 3</v>
          </cell>
          <cell r="D1264">
            <v>89150153386</v>
          </cell>
          <cell r="F1264">
            <v>79150153386</v>
          </cell>
        </row>
        <row r="1265">
          <cell r="A1265" t="str">
            <v>Новиков Артем Дмитриевич</v>
          </cell>
          <cell r="B1265" t="str">
            <v>В-24137/КЛ.Транш - 2</v>
          </cell>
          <cell r="D1265">
            <v>89150153386</v>
          </cell>
          <cell r="F1265">
            <v>79150153386</v>
          </cell>
        </row>
        <row r="1266">
          <cell r="A1266" t="str">
            <v>Новиков Егор Викторович</v>
          </cell>
          <cell r="B1266" t="str">
            <v>В-03811/КЛ.Транш - 1</v>
          </cell>
          <cell r="D1266">
            <v>79055088363</v>
          </cell>
          <cell r="F1266">
            <v>79055088363</v>
          </cell>
        </row>
        <row r="1267">
          <cell r="A1267" t="str">
            <v>Новоселов Евгений Михайлович</v>
          </cell>
          <cell r="B1267" t="str">
            <v>А-02772/АЗ</v>
          </cell>
          <cell r="D1267" t="str">
            <v>79153804488, 79153803344</v>
          </cell>
          <cell r="E1267">
            <v>79153804488</v>
          </cell>
          <cell r="F1267">
            <v>79153803344</v>
          </cell>
        </row>
        <row r="1268">
          <cell r="A1268" t="str">
            <v>Новоселов Сергей Владимирович</v>
          </cell>
          <cell r="B1268" t="str">
            <v>В-19548/КЛ.Транш - 1</v>
          </cell>
          <cell r="D1268">
            <v>79504835179</v>
          </cell>
          <cell r="F1268">
            <v>79504835179</v>
          </cell>
        </row>
        <row r="1269">
          <cell r="A1269" t="str">
            <v>Новрузов Марат Абильфас Оглы</v>
          </cell>
          <cell r="B1269" t="str">
            <v>В-24983/КЛ.Транш - 1_В-20211230/Ц</v>
          </cell>
          <cell r="D1269">
            <v>79640218461</v>
          </cell>
          <cell r="F1269">
            <v>79640218461</v>
          </cell>
        </row>
        <row r="1270">
          <cell r="A1270" t="str">
            <v>НОРДИНВЕСТ ООО</v>
          </cell>
          <cell r="B1270" t="str">
            <v>А-10096/КЭ.Транш - 1</v>
          </cell>
        </row>
        <row r="1271">
          <cell r="A1271" t="str">
            <v>НПО ПРОЕКТСТРОЙ ООО</v>
          </cell>
          <cell r="B1271" t="str">
            <v>В-00038/КЭ.Транш - 1</v>
          </cell>
        </row>
        <row r="1272">
          <cell r="A1272" t="str">
            <v>Нуждина Юлия Вадимовна</v>
          </cell>
          <cell r="B1272" t="str">
            <v>В-19988/КЛ.Транш - 1</v>
          </cell>
          <cell r="D1272">
            <v>79042830556</v>
          </cell>
          <cell r="F1272">
            <v>79042830556</v>
          </cell>
        </row>
        <row r="1273">
          <cell r="A1273" t="str">
            <v>Нургушиев Нуридин Эдильбийевич</v>
          </cell>
          <cell r="B1273" t="str">
            <v>В-11333/КЛ.Транш - 1_В-20211230/Ц</v>
          </cell>
          <cell r="D1273">
            <v>89856469898</v>
          </cell>
          <cell r="F1273">
            <v>79856469898</v>
          </cell>
        </row>
        <row r="1274">
          <cell r="A1274" t="str">
            <v>Нурмагомедов Тимурлан Алиевич</v>
          </cell>
          <cell r="B1274" t="str">
            <v>В-06587/КЛ.Транш - 6</v>
          </cell>
          <cell r="C1274">
            <v>78124230808</v>
          </cell>
          <cell r="D1274">
            <v>79317112122</v>
          </cell>
          <cell r="F1274">
            <v>79317112122</v>
          </cell>
        </row>
        <row r="1275">
          <cell r="A1275" t="str">
            <v>Нурмагомедов Тимурлан Алиевич</v>
          </cell>
          <cell r="B1275" t="str">
            <v>В-06587/КЛ.Транш - 4</v>
          </cell>
          <cell r="C1275">
            <v>78124230808</v>
          </cell>
          <cell r="D1275">
            <v>79317112122</v>
          </cell>
          <cell r="F1275">
            <v>79317112122</v>
          </cell>
        </row>
        <row r="1276">
          <cell r="A1276" t="str">
            <v>Нурмагомедов Тимурлан Алиевич</v>
          </cell>
          <cell r="B1276" t="str">
            <v>В-06587/КЛ.Транш - 5</v>
          </cell>
          <cell r="C1276">
            <v>78124230808</v>
          </cell>
          <cell r="D1276">
            <v>79317112122</v>
          </cell>
          <cell r="F1276">
            <v>79317112122</v>
          </cell>
        </row>
        <row r="1277">
          <cell r="A1277" t="str">
            <v>Нюхов Руслан Нюхович</v>
          </cell>
          <cell r="B1277" t="str">
            <v>Т-01910/АЗ_Т-20211028/Ц</v>
          </cell>
          <cell r="D1277">
            <v>79268760005</v>
          </cell>
          <cell r="F1277">
            <v>79268760005</v>
          </cell>
        </row>
        <row r="1278">
          <cell r="A1278" t="str">
            <v>Оверченко Виктория Владимировна</v>
          </cell>
          <cell r="B1278" t="str">
            <v>В-09421/КЛ.Транш - 1_А-20210929/Ц</v>
          </cell>
          <cell r="D1278">
            <v>79255957929</v>
          </cell>
          <cell r="F1278">
            <v>79255957929</v>
          </cell>
        </row>
        <row r="1279">
          <cell r="A1279" t="str">
            <v>Овсепян Жирайр Араевич</v>
          </cell>
          <cell r="B1279" t="str">
            <v>В-20786/КЛ.Транш - 1</v>
          </cell>
          <cell r="D1279">
            <v>79102437545</v>
          </cell>
          <cell r="F1279">
            <v>79102437545</v>
          </cell>
        </row>
        <row r="1280">
          <cell r="A1280" t="str">
            <v>Овчинников Виталий Сергеевич</v>
          </cell>
          <cell r="B1280" t="str">
            <v>В-00634/АЗ</v>
          </cell>
          <cell r="D1280">
            <v>89181530907</v>
          </cell>
          <cell r="F1280">
            <v>79181530907</v>
          </cell>
        </row>
        <row r="1281">
          <cell r="A1281" t="str">
            <v>Оганесян Асмик Самвеловна</v>
          </cell>
          <cell r="B1281" t="str">
            <v>В-28424/АЗ</v>
          </cell>
          <cell r="D1281">
            <v>79688518888</v>
          </cell>
        </row>
        <row r="1282">
          <cell r="A1282" t="str">
            <v>Оганесян Ваге Наириович</v>
          </cell>
          <cell r="B1282" t="str">
            <v>В-26005/АЗ</v>
          </cell>
          <cell r="D1282">
            <v>79661685959</v>
          </cell>
          <cell r="F1282">
            <v>79661685959</v>
          </cell>
        </row>
        <row r="1283">
          <cell r="A1283" t="str">
            <v>Оганесян Наири Миранович</v>
          </cell>
          <cell r="B1283" t="str">
            <v>В-20921/КЛ.Транш - 1</v>
          </cell>
          <cell r="D1283">
            <v>79067090059</v>
          </cell>
          <cell r="F1283">
            <v>79067090059</v>
          </cell>
        </row>
        <row r="1284">
          <cell r="A1284" t="str">
            <v>Огурцова Людмила Михайловна</v>
          </cell>
          <cell r="B1284" t="str">
            <v>В-21075/КЛ.Транш - 1</v>
          </cell>
          <cell r="D1284">
            <v>79997721003</v>
          </cell>
          <cell r="E1284">
            <v>79104112382</v>
          </cell>
          <cell r="F1284">
            <v>79997721003</v>
          </cell>
        </row>
        <row r="1285">
          <cell r="A1285" t="str">
            <v>Одинцова Ирина Вячеславовна</v>
          </cell>
          <cell r="B1285" t="str">
            <v>В-01388/КЛ.Транш - 1</v>
          </cell>
          <cell r="D1285">
            <v>89854310155</v>
          </cell>
          <cell r="F1285">
            <v>79854310155</v>
          </cell>
        </row>
        <row r="1286">
          <cell r="A1286" t="str">
            <v>Одинцова Ирина Вячеславовна</v>
          </cell>
          <cell r="B1286" t="str">
            <v>В-01388/КЛ.Транш - 2</v>
          </cell>
          <cell r="D1286">
            <v>89854310155</v>
          </cell>
          <cell r="F1286">
            <v>79854310155</v>
          </cell>
        </row>
        <row r="1287">
          <cell r="A1287" t="str">
            <v>Ожован Андриан Васильевич</v>
          </cell>
          <cell r="B1287" t="str">
            <v>В-00610/АЗ</v>
          </cell>
          <cell r="D1287">
            <v>79260353798</v>
          </cell>
          <cell r="F1287">
            <v>79260353798</v>
          </cell>
        </row>
        <row r="1288">
          <cell r="A1288" t="str">
            <v>Ожован Андриан Васильевич</v>
          </cell>
          <cell r="B1288" t="str">
            <v>В-00847/АЗ</v>
          </cell>
          <cell r="D1288">
            <v>79260353798</v>
          </cell>
          <cell r="F1288">
            <v>79260353798</v>
          </cell>
        </row>
        <row r="1289">
          <cell r="A1289" t="str">
            <v>Озарян Сергей Васильевич</v>
          </cell>
          <cell r="B1289" t="str">
            <v>В-01104/АЗ</v>
          </cell>
          <cell r="D1289">
            <v>79183802057</v>
          </cell>
          <cell r="F1289">
            <v>79183802057</v>
          </cell>
        </row>
        <row r="1290">
          <cell r="A1290" t="str">
            <v>Озёрская Дарья Семеновна</v>
          </cell>
          <cell r="B1290" t="str">
            <v>В-00317/АЗ_В-20211230/Ц</v>
          </cell>
          <cell r="D1290">
            <v>89509157587</v>
          </cell>
          <cell r="F1290">
            <v>79509157587</v>
          </cell>
        </row>
        <row r="1291">
          <cell r="A1291" t="str">
            <v>Ок Мехмет Салим</v>
          </cell>
          <cell r="B1291" t="str">
            <v>В-27256/КЛ.Транш - 1</v>
          </cell>
          <cell r="D1291">
            <v>89185540969</v>
          </cell>
          <cell r="F1291">
            <v>79185540969</v>
          </cell>
        </row>
        <row r="1292">
          <cell r="A1292" t="str">
            <v>Омаров Расул Казибекович</v>
          </cell>
          <cell r="B1292" t="str">
            <v>В-12919/КЛ.Транш - 1</v>
          </cell>
          <cell r="D1292">
            <v>79289741541</v>
          </cell>
          <cell r="F1292">
            <v>79289741541</v>
          </cell>
        </row>
        <row r="1293">
          <cell r="A1293" t="str">
            <v>ООО "МФК "ВЗАИМНО"</v>
          </cell>
          <cell r="B1293" t="str">
            <v>В-01/АЭК/21</v>
          </cell>
        </row>
        <row r="1294">
          <cell r="A1294" t="str">
            <v>ООО "МФК "ВЗАИМНО"</v>
          </cell>
          <cell r="B1294" t="str">
            <v>В-01/АЭК/19</v>
          </cell>
        </row>
        <row r="1295">
          <cell r="A1295" t="str">
            <v>ООО "МФК "ВЗАИМНО"</v>
          </cell>
          <cell r="B1295" t="str">
            <v>В-01/АТЛ/13</v>
          </cell>
        </row>
        <row r="1296">
          <cell r="A1296" t="str">
            <v>ООО "МФК "ВЗАИМНО"</v>
          </cell>
          <cell r="B1296" t="str">
            <v>В-01/АТЛ/16</v>
          </cell>
        </row>
        <row r="1297">
          <cell r="A1297" t="str">
            <v>ООО "МФК "ВЗАИМНО"</v>
          </cell>
          <cell r="B1297" t="str">
            <v>В-01/АТЛ/12</v>
          </cell>
        </row>
        <row r="1298">
          <cell r="A1298" t="str">
            <v>ООО "МФК "ВЗАИМНО"</v>
          </cell>
          <cell r="B1298" t="str">
            <v>В-01/АТЛ/14</v>
          </cell>
        </row>
        <row r="1299">
          <cell r="A1299" t="str">
            <v>ООО "МФК "ВЗАИМНО"</v>
          </cell>
          <cell r="B1299" t="str">
            <v>В-01/АЭК/26</v>
          </cell>
        </row>
        <row r="1300">
          <cell r="A1300" t="str">
            <v>ООО "МФК "ВЗАИМНО"</v>
          </cell>
          <cell r="B1300" t="str">
            <v>В-01/АЭК/22</v>
          </cell>
        </row>
        <row r="1301">
          <cell r="A1301" t="str">
            <v>ООО СК ЭВЕРЕСТ</v>
          </cell>
          <cell r="B1301" t="str">
            <v>В-00062/КЭ.Транш - 1</v>
          </cell>
        </row>
        <row r="1302">
          <cell r="A1302" t="str">
            <v>ООО СК ЭВЕРЕСТ</v>
          </cell>
          <cell r="B1302" t="str">
            <v>В-00062/КЭ.Транш - 2</v>
          </cell>
        </row>
        <row r="1303">
          <cell r="A1303" t="str">
            <v>ОРБИТА ООО</v>
          </cell>
          <cell r="B1303" t="str">
            <v>В-00055/КЭ.Транш - 1</v>
          </cell>
        </row>
        <row r="1304">
          <cell r="A1304" t="str">
            <v>Орехов Александр Викторович</v>
          </cell>
          <cell r="B1304" t="str">
            <v>В-11932/КЛ.Транш - 1</v>
          </cell>
          <cell r="E1304">
            <v>89688360986</v>
          </cell>
          <cell r="F1304">
            <v>79688360986</v>
          </cell>
        </row>
        <row r="1305">
          <cell r="A1305" t="str">
            <v>Орехова Екатерина Юрьевна</v>
          </cell>
          <cell r="B1305" t="str">
            <v>В-01509/КЛ.Транш - 1</v>
          </cell>
          <cell r="D1305">
            <v>89169917475</v>
          </cell>
          <cell r="F1305">
            <v>79169917475</v>
          </cell>
        </row>
        <row r="1306">
          <cell r="A1306" t="str">
            <v>Ореховский Евгений Валериевич</v>
          </cell>
          <cell r="B1306" t="str">
            <v>В-23643/АЗ</v>
          </cell>
          <cell r="D1306">
            <v>79675373839</v>
          </cell>
          <cell r="F1306">
            <v>79675373839</v>
          </cell>
        </row>
        <row r="1307">
          <cell r="A1307" t="str">
            <v>Ореховский Евгений Валериевич</v>
          </cell>
          <cell r="B1307" t="str">
            <v>В-01135/АЗ</v>
          </cell>
          <cell r="D1307">
            <v>79675373839</v>
          </cell>
          <cell r="F1307">
            <v>79675373839</v>
          </cell>
        </row>
        <row r="1308">
          <cell r="A1308" t="str">
            <v>Оруджов Намаддин Новрузович</v>
          </cell>
          <cell r="B1308" t="str">
            <v>В-28299/КЛ.Транш - 1</v>
          </cell>
          <cell r="D1308">
            <v>79052591870</v>
          </cell>
        </row>
        <row r="1309">
          <cell r="A1309" t="str">
            <v>Осадчий Сергей Александрович</v>
          </cell>
          <cell r="B1309" t="str">
            <v>В-20087/КЛ.Транш - 1</v>
          </cell>
          <cell r="D1309">
            <v>79616822745</v>
          </cell>
          <cell r="F1309">
            <v>79616822745</v>
          </cell>
        </row>
        <row r="1310">
          <cell r="A1310" t="str">
            <v>Осетров Олег Андреевич</v>
          </cell>
          <cell r="B1310" t="str">
            <v>А-05349/АЗ_В-20211230/Ц</v>
          </cell>
          <cell r="C1310">
            <v>74955280049</v>
          </cell>
          <cell r="D1310">
            <v>79636947892</v>
          </cell>
          <cell r="E1310">
            <v>79636947892</v>
          </cell>
        </row>
        <row r="1311">
          <cell r="A1311" t="str">
            <v>Оскомова Инна Анатольевна</v>
          </cell>
          <cell r="B1311" t="str">
            <v>В-13545/КЛ.Транш - 1</v>
          </cell>
          <cell r="D1311">
            <v>79525173455</v>
          </cell>
          <cell r="F1311">
            <v>79525173455</v>
          </cell>
        </row>
        <row r="1312">
          <cell r="A1312" t="str">
            <v>Осмаев Абдул-Латиф Исламович</v>
          </cell>
          <cell r="B1312" t="str">
            <v>В-26125/АЗ</v>
          </cell>
          <cell r="D1312">
            <v>89887274117</v>
          </cell>
          <cell r="F1312">
            <v>79887274117</v>
          </cell>
        </row>
        <row r="1313">
          <cell r="A1313" t="str">
            <v>Осмаев Джабраил Исламович</v>
          </cell>
          <cell r="B1313" t="str">
            <v>В-26172/АЗ</v>
          </cell>
          <cell r="D1313">
            <v>89164682005</v>
          </cell>
        </row>
        <row r="1314">
          <cell r="A1314" t="str">
            <v>Осмаев Ибрагим Исламович</v>
          </cell>
          <cell r="B1314" t="str">
            <v>В-01023/АЗ</v>
          </cell>
          <cell r="D1314">
            <v>79969160095</v>
          </cell>
          <cell r="F1314">
            <v>79969160095</v>
          </cell>
        </row>
        <row r="1315">
          <cell r="A1315" t="str">
            <v>Осмаева Зулихан Авхадовна</v>
          </cell>
          <cell r="B1315" t="str">
            <v>В-01022/АЗ</v>
          </cell>
          <cell r="D1315">
            <v>79261236273</v>
          </cell>
          <cell r="F1315">
            <v>79261236273</v>
          </cell>
        </row>
        <row r="1316">
          <cell r="A1316" t="str">
            <v>Османов Расул Магомедович</v>
          </cell>
          <cell r="B1316" t="str">
            <v>В-13055/КЛ.Транш - 1</v>
          </cell>
          <cell r="D1316">
            <v>89679427780</v>
          </cell>
          <cell r="F1316">
            <v>79292444055</v>
          </cell>
        </row>
        <row r="1317">
          <cell r="A1317" t="str">
            <v>Островский Кирилл Эдуардович</v>
          </cell>
          <cell r="B1317" t="str">
            <v>В-00232/КЛ.Транш - 1_Т-20211028/Ц</v>
          </cell>
          <cell r="C1317">
            <v>79104122412</v>
          </cell>
          <cell r="D1317">
            <v>79104122412</v>
          </cell>
          <cell r="E1317">
            <v>79853525372</v>
          </cell>
          <cell r="F1317">
            <v>79104122412</v>
          </cell>
        </row>
        <row r="1318">
          <cell r="A1318" t="str">
            <v>ОФИС КРАФТ ООО</v>
          </cell>
          <cell r="B1318" t="str">
            <v>В-00035/КЭ.Транш - 7</v>
          </cell>
        </row>
        <row r="1319">
          <cell r="A1319" t="str">
            <v>ОФИС КРАФТ ООО</v>
          </cell>
          <cell r="B1319" t="str">
            <v>В-00035/КЭ.Транш - 8</v>
          </cell>
        </row>
        <row r="1320">
          <cell r="A1320" t="str">
            <v>ОФИС КРАФТ ООО</v>
          </cell>
          <cell r="B1320" t="str">
            <v>В-00035/КЭ.Транш - 3</v>
          </cell>
        </row>
        <row r="1321">
          <cell r="A1321" t="str">
            <v>Павленко Александр Викторович</v>
          </cell>
          <cell r="B1321" t="str">
            <v>В-26352/АЗ</v>
          </cell>
          <cell r="D1321">
            <v>79800009800</v>
          </cell>
          <cell r="F1321">
            <v>79800009800</v>
          </cell>
        </row>
        <row r="1322">
          <cell r="A1322" t="str">
            <v>Павликивский Владимир Васильевич</v>
          </cell>
          <cell r="B1322" t="str">
            <v>В-19097/КЛ.Транш - 1_В-20211230/Ц</v>
          </cell>
          <cell r="D1322">
            <v>79615928763</v>
          </cell>
          <cell r="F1322">
            <v>79615928763</v>
          </cell>
        </row>
        <row r="1323">
          <cell r="A1323" t="str">
            <v>Павлов Алексей Георгиевич</v>
          </cell>
          <cell r="B1323" t="str">
            <v>В-12523/КЛ.Транш - 2</v>
          </cell>
          <cell r="D1323">
            <v>89806869347</v>
          </cell>
          <cell r="F1323">
            <v>79806869347</v>
          </cell>
        </row>
        <row r="1324">
          <cell r="A1324" t="str">
            <v>Павлов Владимир Геннадьевич</v>
          </cell>
          <cell r="B1324" t="str">
            <v>В-00600/АЗ</v>
          </cell>
          <cell r="C1324">
            <v>78127539329</v>
          </cell>
          <cell r="D1324">
            <v>79523718333</v>
          </cell>
          <cell r="E1324">
            <v>79523718333</v>
          </cell>
          <cell r="F1324">
            <v>79523718333</v>
          </cell>
        </row>
        <row r="1325">
          <cell r="A1325" t="str">
            <v>Павлов Вячеслав Игоревич</v>
          </cell>
          <cell r="B1325" t="str">
            <v>В-12574/КЛ.Транш - 1</v>
          </cell>
          <cell r="D1325">
            <v>89636718919</v>
          </cell>
          <cell r="F1325">
            <v>79636718919</v>
          </cell>
        </row>
        <row r="1326">
          <cell r="A1326" t="str">
            <v>Павлов Вячеслав Игоревич</v>
          </cell>
          <cell r="B1326" t="str">
            <v>В-12574/КЛ.Транш - 2</v>
          </cell>
          <cell r="D1326">
            <v>89636718919</v>
          </cell>
          <cell r="F1326">
            <v>79636718919</v>
          </cell>
        </row>
        <row r="1327">
          <cell r="A1327" t="str">
            <v>Павлов Вячеслав Игоревич</v>
          </cell>
          <cell r="B1327" t="str">
            <v>В-12574/КЛ.Транш - 3</v>
          </cell>
          <cell r="D1327">
            <v>89636718919</v>
          </cell>
          <cell r="F1327">
            <v>79636718919</v>
          </cell>
        </row>
        <row r="1328">
          <cell r="A1328" t="str">
            <v>Павлов Денис Витальевич</v>
          </cell>
          <cell r="B1328" t="str">
            <v>В-03672/КЛ.Транш - 1_В-20211230/Ц</v>
          </cell>
          <cell r="C1328">
            <v>79299207175</v>
          </cell>
          <cell r="D1328">
            <v>79011854509</v>
          </cell>
          <cell r="F1328">
            <v>79011854509</v>
          </cell>
        </row>
        <row r="1329">
          <cell r="A1329" t="str">
            <v>Павлов Максим Андреевич</v>
          </cell>
          <cell r="B1329" t="str">
            <v>В-12013/КЛ.Транш - 3</v>
          </cell>
          <cell r="D1329">
            <v>79108611294</v>
          </cell>
          <cell r="F1329">
            <v>79108611294</v>
          </cell>
        </row>
        <row r="1330">
          <cell r="A1330" t="str">
            <v>Павлов Максим Андреевич</v>
          </cell>
          <cell r="B1330" t="str">
            <v>В-12013/КЛ.Транш - 1</v>
          </cell>
          <cell r="D1330">
            <v>79108611294</v>
          </cell>
          <cell r="F1330">
            <v>79108611294</v>
          </cell>
        </row>
        <row r="1331">
          <cell r="A1331" t="str">
            <v>Павлов Максим Андреевич</v>
          </cell>
          <cell r="B1331" t="str">
            <v>В-12013/КЛ.Транш - 2</v>
          </cell>
          <cell r="D1331">
            <v>79108611294</v>
          </cell>
          <cell r="F1331">
            <v>79108611294</v>
          </cell>
        </row>
        <row r="1332">
          <cell r="A1332" t="str">
            <v>Павлова Светлана Юрьевна</v>
          </cell>
          <cell r="B1332" t="str">
            <v>А-04614/АЗ</v>
          </cell>
          <cell r="C1332">
            <v>74957544140</v>
          </cell>
          <cell r="D1332">
            <v>79036821800</v>
          </cell>
          <cell r="E1332">
            <v>79036821800</v>
          </cell>
        </row>
        <row r="1333">
          <cell r="A1333" t="str">
            <v>Павлюк Татьяна Николаевна</v>
          </cell>
          <cell r="B1333" t="str">
            <v>В-17747/КЛ.Транш - 1</v>
          </cell>
          <cell r="D1333">
            <v>79629134902</v>
          </cell>
          <cell r="F1333">
            <v>79629134902</v>
          </cell>
        </row>
        <row r="1334">
          <cell r="A1334" t="str">
            <v>Павлюк Татьяна Николаевна</v>
          </cell>
          <cell r="B1334" t="str">
            <v>В-17747/КЛ.Транш - 2</v>
          </cell>
          <cell r="D1334">
            <v>79629134902</v>
          </cell>
          <cell r="F1334">
            <v>79629134902</v>
          </cell>
        </row>
        <row r="1335">
          <cell r="A1335" t="str">
            <v>Павлюченко Михаил Михайлович</v>
          </cell>
          <cell r="B1335" t="str">
            <v>В-03197/КЛ.Транш - 2</v>
          </cell>
          <cell r="D1335">
            <v>79186518314</v>
          </cell>
          <cell r="F1335">
            <v>79186518314</v>
          </cell>
        </row>
        <row r="1336">
          <cell r="A1336" t="str">
            <v>Палакян Ваге Гарникович</v>
          </cell>
          <cell r="B1336" t="str">
            <v>В-01160/АЗ</v>
          </cell>
          <cell r="D1336">
            <v>79161443504</v>
          </cell>
          <cell r="F1336">
            <v>79161443504</v>
          </cell>
        </row>
        <row r="1337">
          <cell r="A1337" t="str">
            <v>Палоян Самвел Максимович</v>
          </cell>
          <cell r="B1337" t="str">
            <v>В-21632/КЛ.Транш - 1</v>
          </cell>
          <cell r="D1337">
            <v>89033874777</v>
          </cell>
          <cell r="F1337">
            <v>79033874777</v>
          </cell>
        </row>
        <row r="1338">
          <cell r="A1338" t="str">
            <v>Панина Ирина Валентиновна</v>
          </cell>
          <cell r="B1338" t="str">
            <v>В-09260/КЛ.Транш - 2</v>
          </cell>
          <cell r="D1338">
            <v>79202543991</v>
          </cell>
          <cell r="F1338">
            <v>79202543991</v>
          </cell>
        </row>
        <row r="1339">
          <cell r="A1339" t="str">
            <v>Панков Петр Владимирович</v>
          </cell>
          <cell r="B1339" t="str">
            <v>В-10611/КЛ.Транш - 1</v>
          </cell>
          <cell r="D1339">
            <v>79954096330</v>
          </cell>
          <cell r="F1339">
            <v>79954096330</v>
          </cell>
        </row>
        <row r="1340">
          <cell r="A1340" t="str">
            <v>Панов Дмитрий Евгеньевич</v>
          </cell>
          <cell r="B1340" t="str">
            <v>В-15405/КЛ.Транш - 1</v>
          </cell>
          <cell r="C1340">
            <v>74954204779</v>
          </cell>
          <cell r="D1340">
            <v>79266232397</v>
          </cell>
          <cell r="F1340">
            <v>79266232397</v>
          </cell>
        </row>
        <row r="1341">
          <cell r="A1341" t="str">
            <v>Панова Наталья Анатольевна</v>
          </cell>
          <cell r="B1341" t="str">
            <v>В-23354/АЗ</v>
          </cell>
          <cell r="D1341">
            <v>79652991319</v>
          </cell>
          <cell r="F1341">
            <v>79652991319</v>
          </cell>
        </row>
        <row r="1342">
          <cell r="A1342" t="str">
            <v>Панова Наталья Анатольевна</v>
          </cell>
          <cell r="B1342" t="str">
            <v>В-23813/АЗ</v>
          </cell>
          <cell r="D1342">
            <v>79652991319</v>
          </cell>
          <cell r="F1342">
            <v>79652991319</v>
          </cell>
        </row>
        <row r="1343">
          <cell r="A1343" t="str">
            <v>Паносян Эдуард Айрапетович</v>
          </cell>
          <cell r="B1343" t="str">
            <v>В-21416/КЛ.Транш - 1</v>
          </cell>
          <cell r="D1343">
            <v>79646447151</v>
          </cell>
          <cell r="F1343">
            <v>79646447151</v>
          </cell>
        </row>
        <row r="1344">
          <cell r="A1344" t="str">
            <v>Паносян Эдуард Айрапетович</v>
          </cell>
          <cell r="B1344" t="str">
            <v>В-21416/КЛ.Транш - 3</v>
          </cell>
          <cell r="D1344">
            <v>79646447151</v>
          </cell>
          <cell r="F1344">
            <v>79646447151</v>
          </cell>
        </row>
        <row r="1345">
          <cell r="A1345" t="str">
            <v>Паносян Эдуард Айрапетович</v>
          </cell>
          <cell r="B1345" t="str">
            <v>В-21416/КЛ.Транш - 2</v>
          </cell>
          <cell r="D1345">
            <v>79646447151</v>
          </cell>
          <cell r="F1345">
            <v>79646447151</v>
          </cell>
        </row>
        <row r="1346">
          <cell r="A1346" t="str">
            <v>Пантелеев Антон Дмитриевич</v>
          </cell>
          <cell r="B1346" t="str">
            <v>В-25657/КЛ.Транш - 1</v>
          </cell>
          <cell r="D1346">
            <v>79771000089</v>
          </cell>
          <cell r="E1346">
            <v>79169343410</v>
          </cell>
          <cell r="F1346">
            <v>79771000089</v>
          </cell>
        </row>
        <row r="1347">
          <cell r="A1347" t="str">
            <v>Пантелеев Даниил Александрович</v>
          </cell>
          <cell r="B1347" t="str">
            <v>В-21847/КЛ.Транш - 1</v>
          </cell>
          <cell r="D1347">
            <v>79996211495</v>
          </cell>
          <cell r="F1347">
            <v>79996211495</v>
          </cell>
        </row>
        <row r="1348">
          <cell r="A1348" t="str">
            <v>Папикян Андраник Климентович</v>
          </cell>
          <cell r="B1348" t="str">
            <v>В-29072/КЛ.Транш - 1</v>
          </cell>
          <cell r="D1348">
            <v>89171740555</v>
          </cell>
          <cell r="F1348">
            <v>79171740555</v>
          </cell>
        </row>
        <row r="1349">
          <cell r="A1349" t="str">
            <v>Паронян Егор Каренович</v>
          </cell>
          <cell r="B1349" t="str">
            <v>В-24687/КЛ.Транш - 1</v>
          </cell>
          <cell r="D1349">
            <v>79257145406</v>
          </cell>
          <cell r="F1349">
            <v>79257145406</v>
          </cell>
        </row>
        <row r="1350">
          <cell r="A1350" t="str">
            <v>Парфенов Дмитрий Юрьевич</v>
          </cell>
          <cell r="B1350" t="str">
            <v>В-01082/АЗ</v>
          </cell>
          <cell r="C1350">
            <v>78122932998</v>
          </cell>
          <cell r="D1350">
            <v>79219440419</v>
          </cell>
          <cell r="F1350">
            <v>79219440419</v>
          </cell>
        </row>
        <row r="1351">
          <cell r="A1351" t="str">
            <v>Парфенов Дмитрий Юрьевич</v>
          </cell>
          <cell r="B1351" t="str">
            <v>В-27151/АЗ</v>
          </cell>
          <cell r="C1351">
            <v>78122932998</v>
          </cell>
          <cell r="D1351">
            <v>79219440419</v>
          </cell>
          <cell r="F1351">
            <v>79219440419</v>
          </cell>
        </row>
        <row r="1352">
          <cell r="A1352" t="str">
            <v>Парфёнова Наталья Николаевна</v>
          </cell>
          <cell r="B1352" t="str">
            <v>В-28323/КЛ.Транш - 1</v>
          </cell>
          <cell r="D1352">
            <v>89508739431</v>
          </cell>
          <cell r="F1352">
            <v>79508739431</v>
          </cell>
        </row>
        <row r="1353">
          <cell r="A1353" t="str">
            <v>Пархоменко Вячеслав Юрьевич</v>
          </cell>
          <cell r="B1353" t="str">
            <v>В-01180/АЗ</v>
          </cell>
          <cell r="D1353">
            <v>89624223090</v>
          </cell>
          <cell r="F1353">
            <v>79624223090</v>
          </cell>
        </row>
        <row r="1354">
          <cell r="A1354" t="str">
            <v>Пахомов Михаил Юрьевич</v>
          </cell>
          <cell r="B1354" t="str">
            <v>В-13136/КЛ.Транш - 1_В-20211230/Ц</v>
          </cell>
          <cell r="D1354">
            <v>79151530509</v>
          </cell>
          <cell r="F1354">
            <v>79151530509</v>
          </cell>
        </row>
        <row r="1355">
          <cell r="A1355" t="str">
            <v>Пашков Андрей Александрович</v>
          </cell>
          <cell r="B1355" t="str">
            <v>В-00793/АЗ</v>
          </cell>
          <cell r="D1355">
            <v>79161085064</v>
          </cell>
          <cell r="E1355">
            <v>79161085064</v>
          </cell>
          <cell r="F1355">
            <v>79161085064</v>
          </cell>
        </row>
        <row r="1356">
          <cell r="A1356" t="str">
            <v>Пашнин Дмитрий Александрович</v>
          </cell>
          <cell r="B1356" t="str">
            <v>В-20948/КЛ.Транш - 1</v>
          </cell>
          <cell r="D1356">
            <v>79525188327</v>
          </cell>
          <cell r="F1356">
            <v>79525188327</v>
          </cell>
        </row>
        <row r="1357">
          <cell r="A1357" t="str">
            <v>Певзнер Сергей Ефимович</v>
          </cell>
          <cell r="B1357" t="str">
            <v>В-23004/КЛ.Транш - 2</v>
          </cell>
          <cell r="D1357">
            <v>79787554089</v>
          </cell>
          <cell r="F1357">
            <v>79787554089</v>
          </cell>
        </row>
        <row r="1358">
          <cell r="A1358" t="str">
            <v>Певзнер Сергей Ефимович</v>
          </cell>
          <cell r="B1358" t="str">
            <v>В-23004/КЛ.Транш - 3</v>
          </cell>
          <cell r="D1358">
            <v>79787554089</v>
          </cell>
          <cell r="F1358">
            <v>79787554089</v>
          </cell>
        </row>
        <row r="1359">
          <cell r="A1359" t="str">
            <v>Пелипенко Алексей Николаевич</v>
          </cell>
          <cell r="B1359" t="str">
            <v>В-23585/КЛ.Транш - 1</v>
          </cell>
          <cell r="D1359">
            <v>79620311278</v>
          </cell>
          <cell r="F1359">
            <v>79620311278</v>
          </cell>
        </row>
        <row r="1360">
          <cell r="A1360" t="str">
            <v>Пеньков Алексей Александрович</v>
          </cell>
          <cell r="B1360" t="str">
            <v>В-25302/КЛ.Транш - 1</v>
          </cell>
          <cell r="D1360">
            <v>79995856356</v>
          </cell>
          <cell r="F1360">
            <v>79995856356</v>
          </cell>
        </row>
        <row r="1361">
          <cell r="A1361" t="str">
            <v>Первушина Юлия Владимировна</v>
          </cell>
          <cell r="B1361" t="str">
            <v>В-15165/КЛ.Транш - 1_В-20211230/Ц</v>
          </cell>
          <cell r="D1361">
            <v>79091318881</v>
          </cell>
          <cell r="F1361">
            <v>79091318881</v>
          </cell>
        </row>
        <row r="1362">
          <cell r="A1362" t="str">
            <v>Перевалов Артём Владимирович</v>
          </cell>
          <cell r="B1362" t="str">
            <v>В-07717/КЛ.Транш - 1</v>
          </cell>
          <cell r="D1362">
            <v>79871573353</v>
          </cell>
          <cell r="F1362">
            <v>79871573353</v>
          </cell>
        </row>
        <row r="1363">
          <cell r="A1363" t="str">
            <v>Перевалов Артём Владимирович</v>
          </cell>
          <cell r="B1363" t="str">
            <v>В-07717/КЛ.Транш - 2</v>
          </cell>
          <cell r="D1363">
            <v>79871573353</v>
          </cell>
          <cell r="F1363">
            <v>79871573353</v>
          </cell>
        </row>
        <row r="1364">
          <cell r="A1364" t="str">
            <v>Перевалов Артём Владимирович</v>
          </cell>
          <cell r="B1364" t="str">
            <v>В-07717/КЛ.Транш - 3</v>
          </cell>
          <cell r="D1364">
            <v>79871573353</v>
          </cell>
          <cell r="F1364">
            <v>79871573353</v>
          </cell>
        </row>
        <row r="1365">
          <cell r="A1365" t="str">
            <v>Перевалов Артём Владимирович</v>
          </cell>
          <cell r="B1365" t="str">
            <v>В-07717/КЛ.Транш - 4</v>
          </cell>
          <cell r="D1365">
            <v>79871573353</v>
          </cell>
          <cell r="F1365">
            <v>79871573353</v>
          </cell>
        </row>
        <row r="1366">
          <cell r="A1366" t="str">
            <v>Перевалов Артём Владимирович</v>
          </cell>
          <cell r="B1366" t="str">
            <v>В-07717/КЛ.Транш - 5</v>
          </cell>
          <cell r="D1366">
            <v>79871573353</v>
          </cell>
          <cell r="F1366">
            <v>79871573353</v>
          </cell>
        </row>
        <row r="1367">
          <cell r="A1367" t="str">
            <v>Перевозников Андрей Анатольевич</v>
          </cell>
          <cell r="B1367" t="str">
            <v>В-16877/КЛ.Транш - 1_В-20211230/Ц</v>
          </cell>
          <cell r="D1367">
            <v>79271054440</v>
          </cell>
          <cell r="F1367">
            <v>79271054440</v>
          </cell>
        </row>
        <row r="1368">
          <cell r="A1368" t="str">
            <v>Пестерев Андрей Николаевич</v>
          </cell>
          <cell r="B1368" t="str">
            <v>В-26806/АЗ</v>
          </cell>
          <cell r="D1368">
            <v>89222040824</v>
          </cell>
        </row>
        <row r="1369">
          <cell r="A1369" t="str">
            <v>Петку Сергей Владимирович</v>
          </cell>
          <cell r="B1369" t="str">
            <v>В-04809/КЛ.Транш - 1</v>
          </cell>
          <cell r="D1369">
            <v>89687088080</v>
          </cell>
          <cell r="F1369">
            <v>79687088080</v>
          </cell>
        </row>
        <row r="1370">
          <cell r="A1370" t="str">
            <v>Петров Александр Владимирович</v>
          </cell>
          <cell r="B1370" t="str">
            <v>А-04641/АЗ</v>
          </cell>
          <cell r="C1370">
            <v>78127410205</v>
          </cell>
          <cell r="D1370">
            <v>79217789918</v>
          </cell>
          <cell r="E1370">
            <v>79217789918</v>
          </cell>
          <cell r="F1370">
            <v>79217789918</v>
          </cell>
        </row>
        <row r="1371">
          <cell r="A1371" t="str">
            <v>Петров Артём Валериевич</v>
          </cell>
          <cell r="B1371" t="str">
            <v>В-21987/КЛ.Транш - 1</v>
          </cell>
          <cell r="D1371">
            <v>79787809099</v>
          </cell>
          <cell r="F1371">
            <v>79787809099</v>
          </cell>
        </row>
        <row r="1372">
          <cell r="A1372" t="str">
            <v>Петров Денис Александрович</v>
          </cell>
          <cell r="B1372" t="str">
            <v>В-01113/АЗ</v>
          </cell>
          <cell r="D1372">
            <v>89251604075</v>
          </cell>
          <cell r="F1372">
            <v>79251604075</v>
          </cell>
        </row>
        <row r="1373">
          <cell r="A1373" t="str">
            <v>Петров Николай Анатольевич</v>
          </cell>
          <cell r="B1373" t="str">
            <v>В-28393/КЛ.Транш - 1</v>
          </cell>
          <cell r="D1373">
            <v>79114359104</v>
          </cell>
        </row>
        <row r="1374">
          <cell r="A1374" t="str">
            <v>Петров Сергей Анатольевич</v>
          </cell>
          <cell r="B1374" t="str">
            <v>В-17043/КЛ.Транш - 1_В-20211230/Ц</v>
          </cell>
          <cell r="D1374">
            <v>79775948292</v>
          </cell>
        </row>
        <row r="1375">
          <cell r="A1375" t="str">
            <v>Петров Сергей Владимирович</v>
          </cell>
          <cell r="B1375" t="str">
            <v>В-18167/КЛ.Транш - 1_В-20211230/Ц</v>
          </cell>
          <cell r="D1375">
            <v>79033565564</v>
          </cell>
          <cell r="F1375">
            <v>79033565564</v>
          </cell>
        </row>
        <row r="1376">
          <cell r="A1376" t="str">
            <v>Петров Юрий Викторович</v>
          </cell>
          <cell r="B1376" t="str">
            <v>В-26450/АЗ</v>
          </cell>
          <cell r="C1376">
            <v>78124615929</v>
          </cell>
          <cell r="D1376">
            <v>79111440300</v>
          </cell>
          <cell r="F1376">
            <v>79111440300</v>
          </cell>
        </row>
        <row r="1377">
          <cell r="A1377" t="str">
            <v>Петрова Елена Владимировна</v>
          </cell>
          <cell r="B1377" t="str">
            <v>В-03974/КЛ.Транш - 3</v>
          </cell>
          <cell r="D1377">
            <v>79167743039</v>
          </cell>
          <cell r="F1377">
            <v>79167743039</v>
          </cell>
        </row>
        <row r="1378">
          <cell r="A1378" t="str">
            <v>Петрова Ирина Валентиновна</v>
          </cell>
          <cell r="B1378" t="str">
            <v>В-18215/КЛ.Транш - 1</v>
          </cell>
          <cell r="D1378">
            <v>79525327400</v>
          </cell>
          <cell r="F1378">
            <v>79525327400</v>
          </cell>
        </row>
        <row r="1379">
          <cell r="A1379" t="str">
            <v>Петросян Анаит Ервандовна</v>
          </cell>
          <cell r="B1379" t="str">
            <v>В-28753/КЛ.Транш - 1</v>
          </cell>
          <cell r="D1379">
            <v>89032631790</v>
          </cell>
          <cell r="F1379">
            <v>79032631790</v>
          </cell>
        </row>
        <row r="1380">
          <cell r="A1380" t="str">
            <v>Петрухин Анатолий Васильевич</v>
          </cell>
          <cell r="B1380" t="str">
            <v>В-00850/АЗ</v>
          </cell>
          <cell r="D1380">
            <v>89183629001</v>
          </cell>
          <cell r="F1380">
            <v>79183629001</v>
          </cell>
        </row>
        <row r="1381">
          <cell r="A1381" t="str">
            <v>Петрухин Анатолий Васильевич</v>
          </cell>
          <cell r="B1381" t="str">
            <v>В-01015/АЗ</v>
          </cell>
          <cell r="D1381">
            <v>89183629001</v>
          </cell>
          <cell r="F1381">
            <v>79183629001</v>
          </cell>
        </row>
        <row r="1382">
          <cell r="A1382" t="str">
            <v>Петрухин Анатолий Васильевич</v>
          </cell>
          <cell r="B1382" t="str">
            <v>В-01125/АЗ</v>
          </cell>
          <cell r="D1382">
            <v>89183629001</v>
          </cell>
          <cell r="F1382">
            <v>79183629001</v>
          </cell>
        </row>
        <row r="1383">
          <cell r="A1383" t="str">
            <v>Петухов Евгений Владимирович</v>
          </cell>
          <cell r="B1383" t="str">
            <v>В-00473/КЛ.Транш - 4</v>
          </cell>
          <cell r="D1383">
            <v>79213566544</v>
          </cell>
          <cell r="F1383">
            <v>79213566544</v>
          </cell>
        </row>
        <row r="1384">
          <cell r="A1384" t="str">
            <v>Петухов Евгений Владимирович</v>
          </cell>
          <cell r="B1384" t="str">
            <v>В-23712/КЛ.Транш - 2</v>
          </cell>
          <cell r="D1384">
            <v>79213566544</v>
          </cell>
          <cell r="F1384">
            <v>79213566544</v>
          </cell>
        </row>
        <row r="1385">
          <cell r="A1385" t="str">
            <v>Петухов Евгений Владимирович</v>
          </cell>
          <cell r="B1385" t="str">
            <v>В-23712/КЛ.Транш - 4</v>
          </cell>
          <cell r="D1385">
            <v>79213566544</v>
          </cell>
          <cell r="F1385">
            <v>79213566544</v>
          </cell>
        </row>
        <row r="1386">
          <cell r="A1386" t="str">
            <v>Петухов Евгений Владимирович</v>
          </cell>
          <cell r="B1386" t="str">
            <v>В-23712/КЛ.Транш - 3</v>
          </cell>
          <cell r="D1386">
            <v>79213566544</v>
          </cell>
          <cell r="F1386">
            <v>79213566544</v>
          </cell>
        </row>
        <row r="1387">
          <cell r="A1387" t="str">
            <v>Петухов Евгений Владимирович</v>
          </cell>
          <cell r="B1387" t="str">
            <v>В-00473/КЛ.Транш - 3</v>
          </cell>
          <cell r="D1387">
            <v>79213566544</v>
          </cell>
          <cell r="F1387">
            <v>79213566544</v>
          </cell>
        </row>
        <row r="1388">
          <cell r="A1388" t="str">
            <v>Петухов Евгений Владимирович</v>
          </cell>
          <cell r="B1388" t="str">
            <v>В-23712/КЛ.Транш - 1</v>
          </cell>
          <cell r="D1388">
            <v>79213566544</v>
          </cell>
          <cell r="F1388">
            <v>79213566544</v>
          </cell>
        </row>
        <row r="1389">
          <cell r="A1389" t="str">
            <v>Печеников Александр Иванович</v>
          </cell>
          <cell r="B1389" t="str">
            <v>В-01085/АЗ</v>
          </cell>
          <cell r="C1389">
            <v>74957079699</v>
          </cell>
          <cell r="D1389">
            <v>79687697000</v>
          </cell>
          <cell r="E1389">
            <v>79687697000</v>
          </cell>
          <cell r="F1389">
            <v>79687697000</v>
          </cell>
        </row>
        <row r="1390">
          <cell r="A1390" t="str">
            <v>Печеникова Оксана Александровна</v>
          </cell>
          <cell r="B1390" t="str">
            <v>В-01084/АЗ</v>
          </cell>
          <cell r="D1390">
            <v>79258380111</v>
          </cell>
          <cell r="E1390">
            <v>79258380111</v>
          </cell>
          <cell r="F1390">
            <v>79258380111</v>
          </cell>
        </row>
        <row r="1391">
          <cell r="A1391" t="str">
            <v>Печников Алексей Олегович</v>
          </cell>
          <cell r="B1391" t="str">
            <v>В-00573/АЗ</v>
          </cell>
          <cell r="D1391">
            <v>79263771273</v>
          </cell>
          <cell r="E1391">
            <v>79263771273</v>
          </cell>
          <cell r="F1391">
            <v>79263771273</v>
          </cell>
        </row>
        <row r="1392">
          <cell r="A1392" t="str">
            <v>Печников Алексей Олегович</v>
          </cell>
          <cell r="B1392" t="str">
            <v>А-05166/АЗ_А-20201019/Ц</v>
          </cell>
          <cell r="D1392">
            <v>79263771273</v>
          </cell>
          <cell r="E1392">
            <v>79263771273</v>
          </cell>
          <cell r="F1392">
            <v>79263771273</v>
          </cell>
        </row>
        <row r="1393">
          <cell r="A1393" t="str">
            <v>Пешков Владимир Сергеевич</v>
          </cell>
          <cell r="B1393" t="str">
            <v>В-25852/КЛ.Транш - 1</v>
          </cell>
          <cell r="D1393">
            <v>79615965688</v>
          </cell>
        </row>
        <row r="1394">
          <cell r="A1394" t="str">
            <v>Пивченкова Наталья Александровна</v>
          </cell>
          <cell r="B1394" t="str">
            <v>В-25950/КЛ.Транш - 1</v>
          </cell>
          <cell r="D1394">
            <v>79263206950</v>
          </cell>
          <cell r="F1394">
            <v>79263206950</v>
          </cell>
        </row>
        <row r="1395">
          <cell r="A1395" t="str">
            <v>Пилосов Павел Петрович</v>
          </cell>
          <cell r="B1395" t="str">
            <v>В-02944/КЛ.Транш - 1</v>
          </cell>
          <cell r="D1395">
            <v>79859983172</v>
          </cell>
          <cell r="F1395">
            <v>79859983172</v>
          </cell>
        </row>
        <row r="1396">
          <cell r="A1396" t="str">
            <v>Пилюгин Олег Васильевич</v>
          </cell>
          <cell r="B1396" t="str">
            <v>В-21175/КЛ.Транш - 1</v>
          </cell>
          <cell r="D1396">
            <v>79802518283</v>
          </cell>
          <cell r="F1396">
            <v>79802518283</v>
          </cell>
        </row>
        <row r="1397">
          <cell r="A1397" t="str">
            <v>Пинясов Александр Степанович</v>
          </cell>
          <cell r="B1397" t="str">
            <v>Т-01876/АЗ_Т-20211028/Ц</v>
          </cell>
          <cell r="D1397">
            <v>79774497100</v>
          </cell>
          <cell r="F1397">
            <v>79774497100</v>
          </cell>
        </row>
        <row r="1398">
          <cell r="A1398" t="str">
            <v>ПКБ НТТ ООО</v>
          </cell>
          <cell r="B1398" t="str">
            <v>В-00045/КЭ.Транш - 1</v>
          </cell>
        </row>
        <row r="1399">
          <cell r="A1399" t="str">
            <v>Платонов Николай Владимирович</v>
          </cell>
          <cell r="B1399" t="str">
            <v>В-25807/АЗ</v>
          </cell>
          <cell r="D1399">
            <v>79821136983</v>
          </cell>
        </row>
        <row r="1400">
          <cell r="A1400" t="str">
            <v>Платунова Жанна Александровна</v>
          </cell>
          <cell r="B1400" t="str">
            <v>А-04384/АЗ</v>
          </cell>
          <cell r="D1400">
            <v>79267952800</v>
          </cell>
          <cell r="E1400">
            <v>79267952800</v>
          </cell>
        </row>
        <row r="1401">
          <cell r="A1401" t="str">
            <v>Плотников Николай Алексеевич</v>
          </cell>
          <cell r="B1401" t="str">
            <v>В-12696/КЛ.Транш - 3</v>
          </cell>
          <cell r="D1401">
            <v>89169194220</v>
          </cell>
          <cell r="F1401">
            <v>79169194220</v>
          </cell>
        </row>
        <row r="1402">
          <cell r="A1402" t="str">
            <v>Плющ Татьяна Владимировна</v>
          </cell>
          <cell r="B1402" t="str">
            <v>В-13516/КЛ.Транш - 3</v>
          </cell>
          <cell r="D1402">
            <v>79883424571</v>
          </cell>
          <cell r="F1402">
            <v>79883424571</v>
          </cell>
        </row>
        <row r="1403">
          <cell r="A1403" t="str">
            <v>Плющ Татьяна Владимировна</v>
          </cell>
          <cell r="B1403" t="str">
            <v>В-13516/КЛ.Транш - 4</v>
          </cell>
          <cell r="D1403">
            <v>79883424571</v>
          </cell>
          <cell r="F1403">
            <v>79883424571</v>
          </cell>
        </row>
        <row r="1404">
          <cell r="A1404" t="str">
            <v>Плющ Татьяна Владимировна</v>
          </cell>
          <cell r="B1404" t="str">
            <v>В-13516/КЛ.Транш - 2</v>
          </cell>
          <cell r="D1404">
            <v>79883424571</v>
          </cell>
          <cell r="F1404">
            <v>79883424571</v>
          </cell>
        </row>
        <row r="1405">
          <cell r="A1405" t="str">
            <v>Погосян Араик Акобович</v>
          </cell>
          <cell r="B1405" t="str">
            <v>В-28057/АЗ</v>
          </cell>
          <cell r="D1405">
            <v>79850863266</v>
          </cell>
        </row>
        <row r="1406">
          <cell r="A1406" t="str">
            <v>Погосян Давид Грачьяевич</v>
          </cell>
          <cell r="B1406" t="str">
            <v>В-21708/КЛ.Транш - 4</v>
          </cell>
          <cell r="D1406">
            <v>89250295009</v>
          </cell>
          <cell r="F1406">
            <v>79250295009</v>
          </cell>
        </row>
        <row r="1407">
          <cell r="A1407" t="str">
            <v>Погосян Давид Грачьяевич</v>
          </cell>
          <cell r="B1407" t="str">
            <v>В-21708/КЛ.Транш - 5</v>
          </cell>
          <cell r="D1407">
            <v>89250295009</v>
          </cell>
          <cell r="F1407">
            <v>79250295009</v>
          </cell>
        </row>
        <row r="1408">
          <cell r="A1408" t="str">
            <v>Погребняк Константин Николаевич</v>
          </cell>
          <cell r="B1408" t="str">
            <v>Т-01915/АЗ_Т-20211028/Ц</v>
          </cell>
          <cell r="D1408">
            <v>79216590909</v>
          </cell>
          <cell r="F1408">
            <v>79216590909</v>
          </cell>
        </row>
        <row r="1409">
          <cell r="A1409" t="str">
            <v>Погребняк Федор Олегович</v>
          </cell>
          <cell r="B1409" t="str">
            <v>В-07005/КЛ.Транш - 1</v>
          </cell>
          <cell r="D1409">
            <v>79169895491</v>
          </cell>
          <cell r="F1409">
            <v>79169895491</v>
          </cell>
        </row>
        <row r="1410">
          <cell r="A1410" t="str">
            <v>Погребняк Федор Олегович</v>
          </cell>
          <cell r="B1410" t="str">
            <v>В-07005/КЛ.Транш - 3</v>
          </cell>
          <cell r="D1410">
            <v>79169895491</v>
          </cell>
          <cell r="F1410">
            <v>79169895491</v>
          </cell>
        </row>
        <row r="1411">
          <cell r="A1411" t="str">
            <v>Погребняк Федор Олегович</v>
          </cell>
          <cell r="B1411" t="str">
            <v>В-07005/КЛ.Транш - 2</v>
          </cell>
          <cell r="D1411">
            <v>79169895491</v>
          </cell>
          <cell r="F1411">
            <v>79169895491</v>
          </cell>
        </row>
        <row r="1412">
          <cell r="A1412" t="str">
            <v>Погудин Вячеслав Сергеевич</v>
          </cell>
          <cell r="B1412" t="str">
            <v>В-27716/КЛ.Транш - 1</v>
          </cell>
          <cell r="D1412">
            <v>79517690106</v>
          </cell>
          <cell r="F1412">
            <v>79517690106</v>
          </cell>
        </row>
        <row r="1413">
          <cell r="A1413" t="str">
            <v>Поддубный Николай Станиславович</v>
          </cell>
          <cell r="B1413" t="str">
            <v>В-00612/АЗ</v>
          </cell>
          <cell r="D1413">
            <v>89175996075</v>
          </cell>
          <cell r="F1413">
            <v>79175996075</v>
          </cell>
        </row>
        <row r="1414">
          <cell r="A1414" t="str">
            <v>Подтуркин Алексей Сергеевич</v>
          </cell>
          <cell r="B1414" t="str">
            <v>В-28274/КЛ.Транш - 1</v>
          </cell>
          <cell r="D1414">
            <v>79191349401</v>
          </cell>
          <cell r="F1414">
            <v>79191349401</v>
          </cell>
        </row>
        <row r="1415">
          <cell r="A1415" t="str">
            <v>Подчуфарова Лариса Николаевна</v>
          </cell>
          <cell r="B1415" t="str">
            <v>В-22449/КЛ.Транш - 1</v>
          </cell>
          <cell r="D1415">
            <v>79164869058</v>
          </cell>
          <cell r="F1415">
            <v>79164869058</v>
          </cell>
        </row>
        <row r="1416">
          <cell r="A1416" t="str">
            <v>Покатаев Андрей Борисович</v>
          </cell>
          <cell r="B1416" t="str">
            <v>В-13405/КЛ.Транш - 1</v>
          </cell>
          <cell r="D1416">
            <v>89162176242</v>
          </cell>
          <cell r="F1416">
            <v>79162176242</v>
          </cell>
        </row>
        <row r="1417">
          <cell r="A1417" t="str">
            <v>Полханов Владимир Николаевич</v>
          </cell>
          <cell r="B1417" t="str">
            <v>В-21053/КЛ.Транш - 1</v>
          </cell>
          <cell r="D1417">
            <v>79265668445</v>
          </cell>
          <cell r="E1417">
            <v>79267512775</v>
          </cell>
        </row>
        <row r="1418">
          <cell r="A1418" t="str">
            <v>Полханов Владимир Николаевич</v>
          </cell>
          <cell r="B1418" t="str">
            <v>В-21053/КЛ.Транш - 4</v>
          </cell>
          <cell r="D1418">
            <v>79265668445</v>
          </cell>
          <cell r="E1418">
            <v>79267512775</v>
          </cell>
        </row>
        <row r="1419">
          <cell r="A1419" t="str">
            <v>Поляков Евгений Сергеевич</v>
          </cell>
          <cell r="B1419" t="str">
            <v>В-20060/КЛ.Транш - 1</v>
          </cell>
          <cell r="D1419">
            <v>79065448815</v>
          </cell>
          <cell r="F1419">
            <v>79065448815</v>
          </cell>
        </row>
        <row r="1420">
          <cell r="A1420" t="str">
            <v>Полякова Дарья Евгеньевна</v>
          </cell>
          <cell r="B1420" t="str">
            <v>В-12897/КЛ.Транш - 1</v>
          </cell>
          <cell r="D1420">
            <v>89326199360</v>
          </cell>
          <cell r="F1420">
            <v>79326199360</v>
          </cell>
        </row>
        <row r="1421">
          <cell r="A1421" t="str">
            <v>Поляруш Ирина Валерьевна</v>
          </cell>
          <cell r="B1421" t="str">
            <v>В-01046/АЗ</v>
          </cell>
          <cell r="D1421">
            <v>79050979789</v>
          </cell>
          <cell r="F1421">
            <v>79050979789</v>
          </cell>
        </row>
        <row r="1422">
          <cell r="A1422" t="str">
            <v>Пономарчук Андрей Борисович</v>
          </cell>
          <cell r="B1422" t="str">
            <v>В-07595/КЛ.Транш - 1</v>
          </cell>
          <cell r="C1422">
            <v>74991696140</v>
          </cell>
          <cell r="D1422">
            <v>79037970956</v>
          </cell>
          <cell r="F1422">
            <v>79037970956</v>
          </cell>
        </row>
        <row r="1423">
          <cell r="A1423" t="str">
            <v>Попков Вадим Борисович</v>
          </cell>
          <cell r="B1423" t="str">
            <v>В-01078/АЗ</v>
          </cell>
          <cell r="D1423">
            <v>89166703637</v>
          </cell>
          <cell r="E1423">
            <v>79166220182</v>
          </cell>
          <cell r="F1423">
            <v>79166703637</v>
          </cell>
        </row>
        <row r="1424">
          <cell r="A1424" t="str">
            <v>Поплавков Александр Петрович</v>
          </cell>
          <cell r="B1424" t="str">
            <v>В-26604/КЛ.Транш - 1</v>
          </cell>
          <cell r="D1424">
            <v>79254232555</v>
          </cell>
        </row>
        <row r="1425">
          <cell r="A1425" t="str">
            <v>Попов Виктор Вячеславович</v>
          </cell>
          <cell r="B1425" t="str">
            <v>В-21306/КЛ.Транш - 1</v>
          </cell>
          <cell r="D1425">
            <v>89032553195</v>
          </cell>
          <cell r="F1425">
            <v>79032553195</v>
          </cell>
        </row>
        <row r="1426">
          <cell r="A1426" t="str">
            <v>Попов Григорий Сергеевич</v>
          </cell>
          <cell r="B1426" t="str">
            <v>В-22423/КЛ.Транш - 1</v>
          </cell>
          <cell r="D1426">
            <v>79691066600</v>
          </cell>
          <cell r="F1426">
            <v>79691066600</v>
          </cell>
        </row>
        <row r="1427">
          <cell r="A1427" t="str">
            <v>Попов Михаил Александрович</v>
          </cell>
          <cell r="B1427" t="str">
            <v>В-25810/АЗ</v>
          </cell>
          <cell r="D1427">
            <v>79821033358</v>
          </cell>
        </row>
        <row r="1428">
          <cell r="A1428" t="str">
            <v>Попов Роман Николаевич</v>
          </cell>
          <cell r="B1428" t="str">
            <v>В-11946/КЛ.Транш - 2_В-20211230/Ц</v>
          </cell>
          <cell r="E1428">
            <v>89851150459</v>
          </cell>
          <cell r="F1428">
            <v>79851150459</v>
          </cell>
        </row>
        <row r="1429">
          <cell r="A1429" t="str">
            <v>Попов Роман Николаевич</v>
          </cell>
          <cell r="B1429" t="str">
            <v>В-11946/КЛ.Транш - 3_В-20211230/Ц</v>
          </cell>
          <cell r="E1429">
            <v>89851150459</v>
          </cell>
          <cell r="F1429">
            <v>79851150459</v>
          </cell>
        </row>
        <row r="1430">
          <cell r="A1430" t="str">
            <v>Попова Марина Альбертовна</v>
          </cell>
          <cell r="B1430" t="str">
            <v>А-05354/АЗ</v>
          </cell>
          <cell r="D1430">
            <v>79650553434</v>
          </cell>
          <cell r="E1430">
            <v>79650553434</v>
          </cell>
          <cell r="F1430">
            <v>79650553434</v>
          </cell>
        </row>
        <row r="1431">
          <cell r="A1431" t="str">
            <v>Попова Марина Альбертовна</v>
          </cell>
          <cell r="B1431" t="str">
            <v>Т-01811/АЗ_Т-20211028/Ц</v>
          </cell>
          <cell r="D1431">
            <v>79650553434</v>
          </cell>
          <cell r="E1431">
            <v>79650553434</v>
          </cell>
          <cell r="F1431">
            <v>79650553434</v>
          </cell>
        </row>
        <row r="1432">
          <cell r="A1432" t="str">
            <v>Попова Мария Спиридоновна</v>
          </cell>
          <cell r="B1432" t="str">
            <v>В-27435/КЛ.Транш - 1</v>
          </cell>
          <cell r="D1432">
            <v>79383128283</v>
          </cell>
        </row>
        <row r="1433">
          <cell r="A1433" t="str">
            <v>Посвенчук Владислав Андреевич</v>
          </cell>
          <cell r="B1433" t="str">
            <v>В-05187/КЛ.Транш - 1</v>
          </cell>
          <cell r="D1433">
            <v>79779373261</v>
          </cell>
          <cell r="F1433">
            <v>79779373261</v>
          </cell>
        </row>
        <row r="1434">
          <cell r="A1434" t="str">
            <v>Потапов Виталий Борисович</v>
          </cell>
          <cell r="B1434" t="str">
            <v>В-00884/АЗ</v>
          </cell>
          <cell r="D1434">
            <v>79885596245</v>
          </cell>
          <cell r="F1434">
            <v>79885596245</v>
          </cell>
        </row>
        <row r="1435">
          <cell r="A1435" t="str">
            <v>Потёмкина Юлия Сергеевна</v>
          </cell>
          <cell r="B1435" t="str">
            <v>В-08822/КЛ.Транш - 1</v>
          </cell>
          <cell r="D1435">
            <v>79107086382</v>
          </cell>
          <cell r="F1435">
            <v>79107086382</v>
          </cell>
        </row>
        <row r="1436">
          <cell r="A1436" t="str">
            <v>Потороченков Игорь Сергеевич</v>
          </cell>
          <cell r="B1436" t="str">
            <v>А-00049/БЭ</v>
          </cell>
          <cell r="D1436">
            <v>79150662977</v>
          </cell>
          <cell r="E1436">
            <v>79150662977</v>
          </cell>
        </row>
        <row r="1437">
          <cell r="A1437" t="str">
            <v>Почапский Антон Вячеславович</v>
          </cell>
          <cell r="B1437" t="str">
            <v>В-13669/КЛ.Транш - 4_В-20211230/Ц</v>
          </cell>
          <cell r="D1437">
            <v>79372025353</v>
          </cell>
          <cell r="F1437">
            <v>79372025353</v>
          </cell>
        </row>
        <row r="1438">
          <cell r="A1438" t="str">
            <v>Почапский Антон Вячеславович</v>
          </cell>
          <cell r="B1438" t="str">
            <v>В-13669/КЛ.Транш - 6_В-20211230/Ц</v>
          </cell>
          <cell r="D1438">
            <v>79372025353</v>
          </cell>
          <cell r="F1438">
            <v>79372025353</v>
          </cell>
        </row>
        <row r="1439">
          <cell r="A1439" t="str">
            <v>Почапский Антон Вячеславович</v>
          </cell>
          <cell r="B1439" t="str">
            <v>В-13669/КЛ.Транш - 2_В-20211230/Ц</v>
          </cell>
          <cell r="D1439">
            <v>79372025353</v>
          </cell>
          <cell r="F1439">
            <v>79372025353</v>
          </cell>
        </row>
        <row r="1440">
          <cell r="A1440" t="str">
            <v>Почапский Антон Вячеславович</v>
          </cell>
          <cell r="B1440" t="str">
            <v>В-13669/КЛ.Транш - 3_В-20211230/Ц</v>
          </cell>
          <cell r="D1440">
            <v>79372025353</v>
          </cell>
          <cell r="F1440">
            <v>79372025353</v>
          </cell>
        </row>
        <row r="1441">
          <cell r="A1441" t="str">
            <v>Почапский Антон Вячеславович</v>
          </cell>
          <cell r="B1441" t="str">
            <v>В-13669/КЛ.Транш - 5_В-20211230/Ц</v>
          </cell>
          <cell r="D1441">
            <v>79372025353</v>
          </cell>
          <cell r="F1441">
            <v>79372025353</v>
          </cell>
        </row>
        <row r="1442">
          <cell r="A1442" t="str">
            <v>Правдивцева Наталья Владимировна</v>
          </cell>
          <cell r="B1442" t="str">
            <v>В-08745/КЛ.Транш - 1</v>
          </cell>
          <cell r="D1442">
            <v>79017232908</v>
          </cell>
          <cell r="F1442">
            <v>79017232908</v>
          </cell>
        </row>
        <row r="1443">
          <cell r="A1443" t="str">
            <v>Преснецов Андрей Владимирович</v>
          </cell>
          <cell r="B1443" t="str">
            <v>В-14029/КЛ.Транш - 1</v>
          </cell>
          <cell r="D1443">
            <v>79821779947</v>
          </cell>
          <cell r="F1443">
            <v>79821779947</v>
          </cell>
        </row>
        <row r="1444">
          <cell r="A1444" t="str">
            <v>Проклов Игорь Петрович</v>
          </cell>
          <cell r="B1444" t="str">
            <v>В-20218/КЛ.Транш - 1</v>
          </cell>
          <cell r="D1444">
            <v>79605961359</v>
          </cell>
          <cell r="F1444">
            <v>79605961359</v>
          </cell>
        </row>
        <row r="1445">
          <cell r="A1445" t="str">
            <v>Пронина Кристина Яковлевна</v>
          </cell>
          <cell r="B1445" t="str">
            <v>В-20140/КЛ.Транш - 6</v>
          </cell>
          <cell r="D1445">
            <v>79645781616</v>
          </cell>
          <cell r="F1445">
            <v>79645781616</v>
          </cell>
        </row>
        <row r="1446">
          <cell r="A1446" t="str">
            <v>Пронина Кристина Яковлевна</v>
          </cell>
          <cell r="B1446" t="str">
            <v>В-20140/КЛ.Транш - 1</v>
          </cell>
          <cell r="D1446">
            <v>79645781616</v>
          </cell>
          <cell r="F1446">
            <v>79645781616</v>
          </cell>
        </row>
        <row r="1447">
          <cell r="A1447" t="str">
            <v>Пронина Кристина Яковлевна</v>
          </cell>
          <cell r="B1447" t="str">
            <v>В-20140/КЛ.Транш - 2</v>
          </cell>
          <cell r="D1447">
            <v>79645781616</v>
          </cell>
          <cell r="F1447">
            <v>79645781616</v>
          </cell>
        </row>
        <row r="1448">
          <cell r="A1448" t="str">
            <v>Пронина Кристина Яковлевна</v>
          </cell>
          <cell r="B1448" t="str">
            <v>В-20140/КЛ.Транш - 3</v>
          </cell>
          <cell r="D1448">
            <v>79645781616</v>
          </cell>
          <cell r="F1448">
            <v>79645781616</v>
          </cell>
        </row>
        <row r="1449">
          <cell r="A1449" t="str">
            <v>Пронина Кристина Яковлевна</v>
          </cell>
          <cell r="B1449" t="str">
            <v>В-20140/КЛ.Транш - 4</v>
          </cell>
          <cell r="D1449">
            <v>79645781616</v>
          </cell>
          <cell r="F1449">
            <v>79645781616</v>
          </cell>
        </row>
        <row r="1450">
          <cell r="A1450" t="str">
            <v>Пронина Кристина Яковлевна</v>
          </cell>
          <cell r="B1450" t="str">
            <v>В-20140/КЛ.Транш - 5</v>
          </cell>
          <cell r="D1450">
            <v>79645781616</v>
          </cell>
          <cell r="F1450">
            <v>79645781616</v>
          </cell>
        </row>
        <row r="1451">
          <cell r="A1451" t="str">
            <v>ПРОСТРАНСТВО РАЗВИТИЯ ЛЕРНЕР ООО</v>
          </cell>
          <cell r="B1451" t="str">
            <v>А-00419/КЭ.Транш - 2</v>
          </cell>
        </row>
        <row r="1452">
          <cell r="A1452" t="str">
            <v>Протасов Александр Николаевич</v>
          </cell>
          <cell r="B1452" t="str">
            <v>В-00321/АЗ</v>
          </cell>
          <cell r="D1452">
            <v>79672651789</v>
          </cell>
          <cell r="F1452">
            <v>79672651789</v>
          </cell>
        </row>
        <row r="1453">
          <cell r="A1453" t="str">
            <v>Прохоров Александр Владимирович</v>
          </cell>
          <cell r="B1453" t="str">
            <v>В-11009/КЛ.Транш - 1</v>
          </cell>
          <cell r="D1453">
            <v>79307268930</v>
          </cell>
          <cell r="F1453">
            <v>89307268930</v>
          </cell>
        </row>
        <row r="1454">
          <cell r="A1454" t="str">
            <v>Прохорова Лариса Александровна</v>
          </cell>
          <cell r="B1454" t="str">
            <v>В-25278/КЛ.Транш - 1</v>
          </cell>
          <cell r="D1454">
            <v>79536402725</v>
          </cell>
          <cell r="F1454">
            <v>79536402725</v>
          </cell>
        </row>
        <row r="1455">
          <cell r="A1455" t="str">
            <v>Прохорова Наталья Васильевна</v>
          </cell>
          <cell r="B1455" t="str">
            <v>А-03947/АЗ_А-20210517/Ц</v>
          </cell>
          <cell r="D1455">
            <v>79268786680</v>
          </cell>
          <cell r="E1455">
            <v>79268786680</v>
          </cell>
          <cell r="F1455">
            <v>79262446405</v>
          </cell>
        </row>
        <row r="1456">
          <cell r="A1456" t="str">
            <v>Прохорова Наталья Васильевна</v>
          </cell>
          <cell r="B1456" t="str">
            <v>Т-01497/АЗ_Т-20210517/Ц</v>
          </cell>
          <cell r="D1456">
            <v>79268786680</v>
          </cell>
          <cell r="E1456">
            <v>79268786680</v>
          </cell>
          <cell r="F1456">
            <v>79262446405</v>
          </cell>
        </row>
        <row r="1457">
          <cell r="A1457" t="str">
            <v>Прусаков Максим Владимирович</v>
          </cell>
          <cell r="B1457" t="str">
            <v>В-16261/КЛ.Транш - 1</v>
          </cell>
          <cell r="D1457">
            <v>79006904761</v>
          </cell>
          <cell r="F1457">
            <v>79006904761</v>
          </cell>
        </row>
        <row r="1458">
          <cell r="A1458" t="str">
            <v>Пугин Дмитрий Михайлович</v>
          </cell>
          <cell r="B1458" t="str">
            <v>В-00489/АЗ</v>
          </cell>
          <cell r="D1458">
            <v>79260621118</v>
          </cell>
          <cell r="E1458">
            <v>79260621118</v>
          </cell>
          <cell r="F1458">
            <v>79260621118</v>
          </cell>
        </row>
        <row r="1459">
          <cell r="A1459" t="str">
            <v>Пудлич Ульяна Петровна</v>
          </cell>
          <cell r="B1459" t="str">
            <v>В-21019/КЛ.Транш - 1</v>
          </cell>
          <cell r="D1459">
            <v>79397830641</v>
          </cell>
          <cell r="F1459">
            <v>79397830641</v>
          </cell>
        </row>
        <row r="1460">
          <cell r="A1460" t="str">
            <v>Пустовойтов Сергей Николаевич</v>
          </cell>
          <cell r="B1460" t="str">
            <v>В-21454/КЛ.Транш - 1_В-20211230/Ц</v>
          </cell>
          <cell r="D1460">
            <v>89629392967</v>
          </cell>
          <cell r="F1460">
            <v>79629392967</v>
          </cell>
        </row>
        <row r="1461">
          <cell r="A1461" t="str">
            <v>Пушкарев Александр Борисович</v>
          </cell>
          <cell r="B1461" t="str">
            <v>В-15954/КЛ.Транш - 1</v>
          </cell>
          <cell r="D1461">
            <v>79112345885</v>
          </cell>
          <cell r="F1461">
            <v>79112345885</v>
          </cell>
        </row>
        <row r="1462">
          <cell r="A1462" t="str">
            <v>Пушкарев Александр Юрьевич</v>
          </cell>
          <cell r="B1462" t="str">
            <v>В-11679/КЛ.Транш - 1</v>
          </cell>
          <cell r="D1462">
            <v>89181360267</v>
          </cell>
          <cell r="F1462">
            <v>79181360267</v>
          </cell>
        </row>
        <row r="1463">
          <cell r="A1463" t="str">
            <v>Пушкарева Виолетта Алексеевна</v>
          </cell>
          <cell r="B1463" t="str">
            <v>В-22864/КЛ.Транш - 1</v>
          </cell>
          <cell r="D1463">
            <v>89146692870</v>
          </cell>
          <cell r="F1463">
            <v>79146692870</v>
          </cell>
        </row>
        <row r="1464">
          <cell r="A1464" t="str">
            <v>Пшеничников Дмитрий Станиславович</v>
          </cell>
          <cell r="B1464" t="str">
            <v>В-22538/КЛ.Транш - 1</v>
          </cell>
          <cell r="D1464">
            <v>89222155131</v>
          </cell>
          <cell r="F1464">
            <v>79222155131</v>
          </cell>
        </row>
        <row r="1465">
          <cell r="A1465" t="str">
            <v>Пшеничников Дмитрий Станиславович</v>
          </cell>
          <cell r="B1465" t="str">
            <v>В-22538/КЛ.Транш - 3</v>
          </cell>
          <cell r="D1465">
            <v>89222155131</v>
          </cell>
          <cell r="F1465">
            <v>79222155131</v>
          </cell>
        </row>
        <row r="1466">
          <cell r="A1466" t="str">
            <v>Пыдык Сергей Васильевич</v>
          </cell>
          <cell r="B1466" t="str">
            <v>В-19595/КЛ.Транш - 1</v>
          </cell>
          <cell r="D1466">
            <v>79895113623</v>
          </cell>
          <cell r="F1466">
            <v>79895113623</v>
          </cell>
        </row>
        <row r="1467">
          <cell r="A1467" t="str">
            <v>Пыдык Сергей Васильевич</v>
          </cell>
          <cell r="B1467" t="str">
            <v>В-19595/КЛ.Транш - 2</v>
          </cell>
          <cell r="D1467">
            <v>79895113623</v>
          </cell>
          <cell r="F1467">
            <v>79895113623</v>
          </cell>
        </row>
        <row r="1468">
          <cell r="A1468" t="str">
            <v>Пыдык Сергей Васильевич</v>
          </cell>
          <cell r="B1468" t="str">
            <v>В-19595/КЛ.Транш - 3</v>
          </cell>
          <cell r="D1468">
            <v>79895113623</v>
          </cell>
          <cell r="F1468">
            <v>79895113623</v>
          </cell>
        </row>
        <row r="1469">
          <cell r="A1469" t="str">
            <v>Рагимов Рафик Балайевич</v>
          </cell>
          <cell r="B1469" t="str">
            <v>В-17315/КЛ.Транш - 1_В-20211230/Ц</v>
          </cell>
          <cell r="D1469">
            <v>79374216566</v>
          </cell>
          <cell r="F1469">
            <v>79374216566</v>
          </cell>
        </row>
        <row r="1470">
          <cell r="A1470" t="str">
            <v>Радев Николай Васильевич</v>
          </cell>
          <cell r="B1470" t="str">
            <v>В-02777/КЛ.Транш - 1_В-20211230/Ц</v>
          </cell>
          <cell r="D1470" t="str">
            <v>89035063758, 89057418905</v>
          </cell>
          <cell r="F1470">
            <v>79035063758</v>
          </cell>
        </row>
        <row r="1471">
          <cell r="A1471" t="str">
            <v>Радев Николай Васильевич</v>
          </cell>
          <cell r="B1471" t="str">
            <v>В-02777/КЛ.Транш - 2_В-20211230/Ц</v>
          </cell>
          <cell r="D1471" t="str">
            <v>89035063758, 89057418905</v>
          </cell>
          <cell r="F1471">
            <v>79035063758</v>
          </cell>
        </row>
        <row r="1472">
          <cell r="A1472" t="str">
            <v>Раджабалиева Саният Рамазановна</v>
          </cell>
          <cell r="B1472" t="str">
            <v>В-04527/КЛ.Транш - 8</v>
          </cell>
          <cell r="D1472">
            <v>89284186057</v>
          </cell>
          <cell r="F1472">
            <v>79284186057</v>
          </cell>
        </row>
        <row r="1473">
          <cell r="A1473" t="str">
            <v>Раджабов Рахматулло Хакимович</v>
          </cell>
          <cell r="B1473" t="str">
            <v>В-02125/КЛ.Транш - 2</v>
          </cell>
          <cell r="D1473">
            <v>89167836999</v>
          </cell>
          <cell r="F1473">
            <v>79167836999</v>
          </cell>
        </row>
        <row r="1474">
          <cell r="A1474" t="str">
            <v>Радыш Сергей Романович</v>
          </cell>
          <cell r="B1474" t="str">
            <v>В-16861/КЛ.Транш - 1</v>
          </cell>
          <cell r="D1474">
            <v>79622770058</v>
          </cell>
          <cell r="F1474">
            <v>79622770058</v>
          </cell>
        </row>
        <row r="1475">
          <cell r="A1475" t="str">
            <v>Райков Дмитрий Васильевич</v>
          </cell>
          <cell r="B1475" t="str">
            <v>В-18532/КЛ.Транш - 2</v>
          </cell>
          <cell r="D1475">
            <v>89629036084</v>
          </cell>
          <cell r="F1475">
            <v>79629036084</v>
          </cell>
        </row>
        <row r="1476">
          <cell r="A1476" t="str">
            <v>Райков Дмитрий Васильевич</v>
          </cell>
          <cell r="B1476" t="str">
            <v>В-18532/КЛ.Транш - 1</v>
          </cell>
          <cell r="D1476">
            <v>89629036084</v>
          </cell>
          <cell r="F1476">
            <v>79629036084</v>
          </cell>
        </row>
        <row r="1477">
          <cell r="A1477" t="str">
            <v>Ракитенко Николай Сергеевич</v>
          </cell>
          <cell r="B1477" t="str">
            <v>В-09640/КЛ.Транш - 1</v>
          </cell>
          <cell r="D1477">
            <v>79779026405</v>
          </cell>
          <cell r="F1477">
            <v>79779026405</v>
          </cell>
        </row>
        <row r="1478">
          <cell r="A1478" t="str">
            <v>Рамазанов Абакар Рамазанович</v>
          </cell>
          <cell r="B1478" t="str">
            <v>В-17916/КЛ.Транш - 1</v>
          </cell>
          <cell r="D1478">
            <v>79674060120</v>
          </cell>
          <cell r="F1478">
            <v>79674060120</v>
          </cell>
        </row>
        <row r="1479">
          <cell r="A1479" t="str">
            <v>Рамишвили Марина Зурабовна</v>
          </cell>
          <cell r="B1479" t="str">
            <v>В-08609/КЛ.Транш - 1</v>
          </cell>
          <cell r="D1479">
            <v>79035571505</v>
          </cell>
          <cell r="F1479">
            <v>79035571505</v>
          </cell>
        </row>
        <row r="1480">
          <cell r="A1480" t="str">
            <v>Рамишвили Марина Зурабовна</v>
          </cell>
          <cell r="B1480" t="str">
            <v>В-08609/КЛ.Транш - 2</v>
          </cell>
          <cell r="D1480">
            <v>79035571505</v>
          </cell>
          <cell r="F1480">
            <v>79035571505</v>
          </cell>
        </row>
        <row r="1481">
          <cell r="A1481" t="str">
            <v>Рассказов Максим Владимирович</v>
          </cell>
          <cell r="B1481" t="str">
            <v>В-21040/КЛ.Транш - 1_В-20211230/Ц</v>
          </cell>
          <cell r="D1481">
            <v>79771704067</v>
          </cell>
          <cell r="F1481">
            <v>79771704067</v>
          </cell>
        </row>
        <row r="1482">
          <cell r="A1482" t="str">
            <v>Расулов Ахмедхан Саидбекович</v>
          </cell>
          <cell r="B1482" t="str">
            <v>В-14168/КЛ.Транш - 3</v>
          </cell>
          <cell r="D1482">
            <v>79684450505</v>
          </cell>
          <cell r="F1482">
            <v>79684450505</v>
          </cell>
        </row>
        <row r="1483">
          <cell r="A1483" t="str">
            <v>Расулов Ахмедхан Саидбекович</v>
          </cell>
          <cell r="B1483" t="str">
            <v>В-14168/КЛ.Транш - 4</v>
          </cell>
          <cell r="D1483">
            <v>79684450505</v>
          </cell>
          <cell r="F1483">
            <v>79684450505</v>
          </cell>
        </row>
        <row r="1484">
          <cell r="A1484" t="str">
            <v>Ратчина Эльвира Олеговна</v>
          </cell>
          <cell r="B1484" t="str">
            <v>В-25924/АЗ</v>
          </cell>
          <cell r="D1484">
            <v>79197233364</v>
          </cell>
        </row>
        <row r="1485">
          <cell r="A1485" t="str">
            <v>Рафиев Агалар Сейдага-оглы</v>
          </cell>
          <cell r="B1485" t="str">
            <v>А-04236/АЗ</v>
          </cell>
          <cell r="D1485">
            <v>79672104280</v>
          </cell>
          <cell r="E1485">
            <v>79672104280</v>
          </cell>
          <cell r="F1485">
            <v>79672104280</v>
          </cell>
        </row>
        <row r="1486">
          <cell r="A1486" t="str">
            <v>Рахимов Фарход Каримович</v>
          </cell>
          <cell r="B1486" t="str">
            <v>В-26114/КЛ.Транш - 1</v>
          </cell>
          <cell r="D1486">
            <v>79967770177</v>
          </cell>
          <cell r="F1486">
            <v>79967770177</v>
          </cell>
        </row>
        <row r="1487">
          <cell r="A1487" t="str">
            <v>Рахманов Данил Алексеевич</v>
          </cell>
          <cell r="B1487" t="str">
            <v>В-15698/КЛ.Транш - 1</v>
          </cell>
          <cell r="D1487">
            <v>79998195377</v>
          </cell>
          <cell r="F1487">
            <v>79998195377</v>
          </cell>
        </row>
        <row r="1488">
          <cell r="A1488" t="str">
            <v>Рева Анастасия Владимировна</v>
          </cell>
          <cell r="B1488" t="str">
            <v>В-16959/КЛ.Транш - 1</v>
          </cell>
          <cell r="D1488">
            <v>79997966127</v>
          </cell>
          <cell r="F1488">
            <v>79997966127</v>
          </cell>
        </row>
        <row r="1489">
          <cell r="A1489" t="str">
            <v>Рева Анастасия Владимировна</v>
          </cell>
          <cell r="B1489" t="str">
            <v>В-16959/КЛ.Транш - 2</v>
          </cell>
          <cell r="D1489">
            <v>79997966127</v>
          </cell>
          <cell r="F1489">
            <v>79997966127</v>
          </cell>
        </row>
        <row r="1490">
          <cell r="A1490" t="str">
            <v>Резников Сергей Владимирович</v>
          </cell>
          <cell r="B1490" t="str">
            <v>В-09247/КЛ.Транш - 1_А-20210929/Ц</v>
          </cell>
          <cell r="D1490">
            <v>79265343777</v>
          </cell>
          <cell r="F1490">
            <v>79265343777</v>
          </cell>
        </row>
        <row r="1491">
          <cell r="A1491" t="str">
            <v>РЖДК ООО</v>
          </cell>
          <cell r="B1491" t="str">
            <v>А-00416/КЭ.Транш - 2</v>
          </cell>
        </row>
        <row r="1492">
          <cell r="A1492" t="str">
            <v>Рикшпун Татьяна Александровна</v>
          </cell>
          <cell r="B1492" t="str">
            <v>В-03329/КЛ.Транш - 11</v>
          </cell>
          <cell r="C1492">
            <v>74954231708</v>
          </cell>
          <cell r="D1492">
            <v>79055552760</v>
          </cell>
          <cell r="E1492">
            <v>79055552760</v>
          </cell>
          <cell r="F1492">
            <v>79055552760</v>
          </cell>
        </row>
        <row r="1493">
          <cell r="A1493" t="str">
            <v>Рикшпун Татьяна Александровна</v>
          </cell>
          <cell r="B1493" t="str">
            <v>В-03329/КЛ.Транш - 13</v>
          </cell>
          <cell r="C1493">
            <v>74954231708</v>
          </cell>
          <cell r="D1493">
            <v>79055552760</v>
          </cell>
          <cell r="E1493">
            <v>79055552760</v>
          </cell>
          <cell r="F1493">
            <v>79055552760</v>
          </cell>
        </row>
        <row r="1494">
          <cell r="A1494" t="str">
            <v>Рикшпун Татьяна Александровна</v>
          </cell>
          <cell r="B1494" t="str">
            <v>В-03329/КЛ.Транш - 14</v>
          </cell>
          <cell r="C1494">
            <v>74954231708</v>
          </cell>
          <cell r="D1494">
            <v>79055552760</v>
          </cell>
          <cell r="E1494">
            <v>79055552760</v>
          </cell>
          <cell r="F1494">
            <v>79055552760</v>
          </cell>
        </row>
        <row r="1495">
          <cell r="A1495" t="str">
            <v>Рикшпун Татьяна Александровна</v>
          </cell>
          <cell r="B1495" t="str">
            <v>В-03329/КЛ.Транш - 12</v>
          </cell>
          <cell r="C1495">
            <v>74954231708</v>
          </cell>
          <cell r="D1495">
            <v>79055552760</v>
          </cell>
          <cell r="E1495">
            <v>79055552760</v>
          </cell>
          <cell r="F1495">
            <v>79055552760</v>
          </cell>
        </row>
        <row r="1496">
          <cell r="A1496" t="str">
            <v>Рогава Ольга Евгеньевна</v>
          </cell>
          <cell r="B1496" t="str">
            <v>В-13603/КЛ.Транш - 1</v>
          </cell>
          <cell r="D1496">
            <v>89856337777</v>
          </cell>
          <cell r="F1496">
            <v>79856338888</v>
          </cell>
        </row>
        <row r="1497">
          <cell r="A1497" t="str">
            <v>Рогава Ольга Евгеньевна</v>
          </cell>
          <cell r="B1497" t="str">
            <v>В-13603/КЛ.Транш - 6</v>
          </cell>
          <cell r="D1497">
            <v>89856337777</v>
          </cell>
          <cell r="F1497">
            <v>79856338888</v>
          </cell>
        </row>
        <row r="1498">
          <cell r="A1498" t="str">
            <v>Рогава Ольга Евгеньевна</v>
          </cell>
          <cell r="B1498" t="str">
            <v>В-13603/КЛ.Транш - 5</v>
          </cell>
          <cell r="D1498">
            <v>89856337777</v>
          </cell>
          <cell r="F1498">
            <v>79856338888</v>
          </cell>
        </row>
        <row r="1499">
          <cell r="A1499" t="str">
            <v>Рогава Ольга Евгеньевна</v>
          </cell>
          <cell r="B1499" t="str">
            <v>В-13603/КЛ.Транш - 4</v>
          </cell>
          <cell r="D1499">
            <v>89856337777</v>
          </cell>
          <cell r="F1499">
            <v>79856338888</v>
          </cell>
        </row>
        <row r="1500">
          <cell r="A1500" t="str">
            <v>Рогава Ольга Евгеньевна</v>
          </cell>
          <cell r="B1500" t="str">
            <v>В-13603/КЛ.Транш - 7</v>
          </cell>
          <cell r="D1500">
            <v>89856337777</v>
          </cell>
          <cell r="F1500">
            <v>79856338888</v>
          </cell>
        </row>
        <row r="1501">
          <cell r="A1501" t="str">
            <v>Рогальский Алексей Станиславович</v>
          </cell>
          <cell r="B1501" t="str">
            <v>В-01009/АЗ</v>
          </cell>
          <cell r="D1501">
            <v>79296544736</v>
          </cell>
          <cell r="F1501">
            <v>79296544736</v>
          </cell>
        </row>
        <row r="1502">
          <cell r="A1502" t="str">
            <v>Рогозин Андрей Иванович</v>
          </cell>
          <cell r="B1502" t="str">
            <v>Т-01722/АЗ_Т-20211028/Ц</v>
          </cell>
          <cell r="D1502">
            <v>79112263126</v>
          </cell>
          <cell r="F1502">
            <v>79112263126</v>
          </cell>
        </row>
        <row r="1503">
          <cell r="A1503" t="str">
            <v>Рогозина Диана Александровна</v>
          </cell>
          <cell r="B1503" t="str">
            <v>В-21094/КЛ.Транш - 1</v>
          </cell>
          <cell r="D1503">
            <v>79811397967</v>
          </cell>
          <cell r="F1503">
            <v>79811397967</v>
          </cell>
        </row>
        <row r="1504">
          <cell r="A1504" t="str">
            <v>Рожкова Наталья Петровна</v>
          </cell>
          <cell r="B1504" t="str">
            <v>В-11595/КЛ.Транш - 1_В-20211230/Ц</v>
          </cell>
          <cell r="D1504">
            <v>79260146032</v>
          </cell>
          <cell r="F1504">
            <v>79260146032</v>
          </cell>
        </row>
        <row r="1505">
          <cell r="A1505" t="str">
            <v>Розанов Сергей Александрович</v>
          </cell>
          <cell r="B1505" t="str">
            <v>В-12813/КЛ.Транш - 1</v>
          </cell>
          <cell r="D1505">
            <v>79165419633</v>
          </cell>
          <cell r="F1505">
            <v>79165419633</v>
          </cell>
        </row>
        <row r="1506">
          <cell r="A1506" t="str">
            <v>Ромайкина Анна Андреевна</v>
          </cell>
          <cell r="B1506" t="str">
            <v>В-00854/АЗ</v>
          </cell>
          <cell r="D1506">
            <v>79031286811</v>
          </cell>
          <cell r="F1506">
            <v>79031286811</v>
          </cell>
        </row>
        <row r="1507">
          <cell r="A1507" t="str">
            <v>Романенко Антон Алексеевич</v>
          </cell>
          <cell r="B1507" t="str">
            <v>В-28368/АЗ</v>
          </cell>
          <cell r="D1507">
            <v>79161186757</v>
          </cell>
        </row>
        <row r="1508">
          <cell r="A1508" t="str">
            <v>Романов Алексей Викторович</v>
          </cell>
          <cell r="B1508" t="str">
            <v>В-11948/КЛ.Транш - 1</v>
          </cell>
          <cell r="E1508">
            <v>79277774188</v>
          </cell>
          <cell r="F1508">
            <v>79277774188</v>
          </cell>
        </row>
        <row r="1509">
          <cell r="A1509" t="str">
            <v>Романов Евгений Юрьевич</v>
          </cell>
          <cell r="B1509" t="str">
            <v>В-00955/АЗ</v>
          </cell>
          <cell r="D1509">
            <v>79161111516</v>
          </cell>
          <cell r="F1509">
            <v>79161111516</v>
          </cell>
        </row>
        <row r="1510">
          <cell r="A1510" t="str">
            <v>Романова Анна Григорьевна</v>
          </cell>
          <cell r="B1510" t="str">
            <v>В-27661/КЛ.Транш - 2</v>
          </cell>
          <cell r="D1510">
            <v>89153885548</v>
          </cell>
          <cell r="F1510">
            <v>79153885548</v>
          </cell>
        </row>
        <row r="1511">
          <cell r="A1511" t="str">
            <v>Романюк Александр Михайлович</v>
          </cell>
          <cell r="B1511" t="str">
            <v>В-20206/КЛ.Транш - 2</v>
          </cell>
          <cell r="D1511">
            <v>79191771892</v>
          </cell>
          <cell r="F1511">
            <v>79191771892</v>
          </cell>
        </row>
        <row r="1512">
          <cell r="A1512" t="str">
            <v>Росляков Артем Владимирович</v>
          </cell>
          <cell r="B1512" t="str">
            <v>В-18538/КЛ.Транш - 1_В-20211230/Ц</v>
          </cell>
          <cell r="D1512">
            <v>79660036024</v>
          </cell>
          <cell r="F1512">
            <v>79660036024</v>
          </cell>
        </row>
        <row r="1513">
          <cell r="A1513" t="str">
            <v>Росляков Олег Николаевич</v>
          </cell>
          <cell r="B1513" t="str">
            <v>В-24554/КЛ.Транш - 1</v>
          </cell>
          <cell r="D1513">
            <v>79617141702</v>
          </cell>
          <cell r="F1513">
            <v>79617141702</v>
          </cell>
        </row>
        <row r="1514">
          <cell r="A1514" t="str">
            <v>Ростовцев Александр Петрович</v>
          </cell>
          <cell r="B1514" t="str">
            <v>Т-01868/АЗ_Т-20211028/Ц</v>
          </cell>
          <cell r="D1514">
            <v>79660477576</v>
          </cell>
          <cell r="E1514">
            <v>79660477576</v>
          </cell>
          <cell r="F1514">
            <v>89660477576</v>
          </cell>
        </row>
        <row r="1515">
          <cell r="A1515" t="str">
            <v>Рубайло Андрей Евгеньевич</v>
          </cell>
          <cell r="B1515" t="str">
            <v>В-00892/АЗ</v>
          </cell>
          <cell r="C1515">
            <v>84953182687</v>
          </cell>
          <cell r="D1515">
            <v>89067751593</v>
          </cell>
          <cell r="F1515">
            <v>79067751593</v>
          </cell>
        </row>
        <row r="1516">
          <cell r="A1516" t="str">
            <v>Рузавина Наталья Викторовна</v>
          </cell>
          <cell r="B1516" t="str">
            <v>В-21245/КЛ.Транш - 1</v>
          </cell>
          <cell r="D1516">
            <v>79134929319</v>
          </cell>
          <cell r="F1516">
            <v>79134929319</v>
          </cell>
        </row>
        <row r="1517">
          <cell r="A1517" t="str">
            <v>Рузавина Наталья Викторовна</v>
          </cell>
          <cell r="B1517" t="str">
            <v>В-21245/КЛ.Транш - 3</v>
          </cell>
          <cell r="D1517">
            <v>79134929319</v>
          </cell>
          <cell r="F1517">
            <v>79134929319</v>
          </cell>
        </row>
        <row r="1518">
          <cell r="A1518" t="str">
            <v>Рузавина Наталья Викторовна</v>
          </cell>
          <cell r="B1518" t="str">
            <v>В-21245/КЛ.Транш - 2</v>
          </cell>
          <cell r="D1518">
            <v>79134929319</v>
          </cell>
          <cell r="F1518">
            <v>79134929319</v>
          </cell>
        </row>
        <row r="1519">
          <cell r="A1519" t="str">
            <v>Рыбаков Виктор Васильевич</v>
          </cell>
          <cell r="B1519" t="str">
            <v>В-01425/КЛ.Транш - 1</v>
          </cell>
          <cell r="D1519">
            <v>79778192293</v>
          </cell>
          <cell r="F1519">
            <v>79778192293</v>
          </cell>
        </row>
        <row r="1520">
          <cell r="A1520" t="str">
            <v>Рыбникова Ольга Ивановна</v>
          </cell>
          <cell r="B1520" t="str">
            <v>В-13638/КЛ.Транш - 1</v>
          </cell>
          <cell r="D1520">
            <v>79213231062</v>
          </cell>
          <cell r="F1520">
            <v>79213231062</v>
          </cell>
        </row>
        <row r="1521">
          <cell r="A1521" t="str">
            <v>Рыжков Вячеслав Николаевич</v>
          </cell>
          <cell r="B1521" t="str">
            <v>В-28083/КЛ.Транш - 1</v>
          </cell>
          <cell r="D1521">
            <v>89168567622</v>
          </cell>
          <cell r="F1521">
            <v>79168567622</v>
          </cell>
        </row>
        <row r="1522">
          <cell r="A1522" t="str">
            <v>Рыцарева Анжелика Витальевна</v>
          </cell>
          <cell r="B1522" t="str">
            <v>В-20360/КЛ.Транш - 1</v>
          </cell>
          <cell r="D1522">
            <v>79787956719</v>
          </cell>
          <cell r="F1522">
            <v>79787956719</v>
          </cell>
        </row>
        <row r="1523">
          <cell r="A1523" t="str">
            <v>Рыченков Александр Николаевич</v>
          </cell>
          <cell r="B1523" t="str">
            <v>В-01422/КЛ.Транш - 1</v>
          </cell>
          <cell r="C1523">
            <v>74991141410</v>
          </cell>
          <cell r="D1523">
            <v>79057788090</v>
          </cell>
          <cell r="F1523">
            <v>79057788090</v>
          </cell>
        </row>
        <row r="1524">
          <cell r="A1524" t="str">
            <v>Рябов Игорь Владимирович</v>
          </cell>
          <cell r="B1524" t="str">
            <v>В-21911/КЛ.Транш - 1</v>
          </cell>
          <cell r="D1524">
            <v>79104846827</v>
          </cell>
          <cell r="F1524">
            <v>79104846827</v>
          </cell>
        </row>
        <row r="1525">
          <cell r="A1525" t="str">
            <v>Рябоконов Алексей Викторович</v>
          </cell>
          <cell r="B1525" t="str">
            <v>В-03450/КЛ.Транш - 1</v>
          </cell>
          <cell r="D1525">
            <v>89164254509</v>
          </cell>
          <cell r="F1525">
            <v>79164254509</v>
          </cell>
        </row>
        <row r="1526">
          <cell r="A1526" t="str">
            <v>Рязанцев Дмитрий Тимурович</v>
          </cell>
          <cell r="B1526" t="str">
            <v>В-06852/КЛ.Транш - 3</v>
          </cell>
          <cell r="D1526">
            <v>89205222976</v>
          </cell>
          <cell r="F1526">
            <v>79205222976</v>
          </cell>
        </row>
        <row r="1527">
          <cell r="A1527" t="str">
            <v>Рязанцев Дмитрий Тимурович</v>
          </cell>
          <cell r="B1527" t="str">
            <v>В-06852/КЛ.Транш - 2</v>
          </cell>
          <cell r="D1527">
            <v>89205222976</v>
          </cell>
          <cell r="F1527">
            <v>79205222976</v>
          </cell>
        </row>
        <row r="1528">
          <cell r="A1528" t="str">
            <v>Рязанцев Дмитрий Тимурович</v>
          </cell>
          <cell r="B1528" t="str">
            <v>В-06852/КЛ.Транш - 1</v>
          </cell>
          <cell r="D1528">
            <v>89205222976</v>
          </cell>
          <cell r="F1528">
            <v>79205222976</v>
          </cell>
        </row>
        <row r="1529">
          <cell r="A1529" t="str">
            <v>Саакян Людвик Геворгович</v>
          </cell>
          <cell r="B1529" t="str">
            <v>В-06992/КЛ.Транш - 1</v>
          </cell>
          <cell r="D1529">
            <v>79160404440</v>
          </cell>
          <cell r="F1529">
            <v>79160404440</v>
          </cell>
        </row>
        <row r="1530">
          <cell r="A1530" t="str">
            <v>Саакян Оганнес Мнацаканович</v>
          </cell>
          <cell r="B1530" t="str">
            <v>В-18654/КЛ.Транш - 1_В-20211230/Ц</v>
          </cell>
          <cell r="D1530">
            <v>79621691503</v>
          </cell>
          <cell r="F1530">
            <v>79621691503</v>
          </cell>
        </row>
        <row r="1531">
          <cell r="A1531" t="str">
            <v>Саакян Рафик Самвелович</v>
          </cell>
          <cell r="B1531" t="str">
            <v>В-13625/КЛ.Транш - 1</v>
          </cell>
          <cell r="D1531">
            <v>79284176335</v>
          </cell>
          <cell r="F1531">
            <v>79284176335</v>
          </cell>
        </row>
        <row r="1532">
          <cell r="A1532" t="str">
            <v>Саблинский Владимир Иванович</v>
          </cell>
          <cell r="B1532" t="str">
            <v>В-27438/АЗ</v>
          </cell>
          <cell r="D1532">
            <v>79263470289</v>
          </cell>
          <cell r="F1532">
            <v>79263470289</v>
          </cell>
        </row>
        <row r="1533">
          <cell r="A1533" t="str">
            <v>Савельев Александр Владимирович</v>
          </cell>
          <cell r="B1533" t="str">
            <v>В-17853/КЛ.Транш - 1</v>
          </cell>
          <cell r="D1533">
            <v>79773423510</v>
          </cell>
          <cell r="F1533">
            <v>79773423510</v>
          </cell>
        </row>
        <row r="1534">
          <cell r="A1534" t="str">
            <v>Савельев Александр Владимирович</v>
          </cell>
          <cell r="B1534" t="str">
            <v>В-17853/КЛ.Транш - 5</v>
          </cell>
          <cell r="D1534">
            <v>79773423510</v>
          </cell>
          <cell r="F1534">
            <v>79773423510</v>
          </cell>
        </row>
        <row r="1535">
          <cell r="A1535" t="str">
            <v>Савельев Александр Владимирович</v>
          </cell>
          <cell r="B1535" t="str">
            <v>В-17853/КЛ.Транш - 3</v>
          </cell>
          <cell r="D1535">
            <v>79773423510</v>
          </cell>
          <cell r="F1535">
            <v>79773423510</v>
          </cell>
        </row>
        <row r="1536">
          <cell r="A1536" t="str">
            <v>Савельев Александр Владимирович</v>
          </cell>
          <cell r="B1536" t="str">
            <v>В-17853/КЛ.Транш - 2</v>
          </cell>
          <cell r="D1536">
            <v>79773423510</v>
          </cell>
          <cell r="F1536">
            <v>79773423510</v>
          </cell>
        </row>
        <row r="1537">
          <cell r="A1537" t="str">
            <v>Савельев Александр Владимирович</v>
          </cell>
          <cell r="B1537" t="str">
            <v>В-17853/КЛ.Транш - 4</v>
          </cell>
          <cell r="D1537">
            <v>79773423510</v>
          </cell>
          <cell r="F1537">
            <v>79773423510</v>
          </cell>
        </row>
        <row r="1538">
          <cell r="A1538" t="str">
            <v>Савельев Александр Владимирович</v>
          </cell>
          <cell r="B1538" t="str">
            <v>В-17853/КЛ.Транш - 6</v>
          </cell>
          <cell r="D1538">
            <v>79773423510</v>
          </cell>
          <cell r="F1538">
            <v>79773423510</v>
          </cell>
        </row>
        <row r="1539">
          <cell r="A1539" t="str">
            <v>Савельев Александр Владимирович</v>
          </cell>
          <cell r="B1539" t="str">
            <v>В-17853/КЛ.Транш - 7</v>
          </cell>
          <cell r="D1539">
            <v>79773423510</v>
          </cell>
          <cell r="F1539">
            <v>79773423510</v>
          </cell>
        </row>
        <row r="1540">
          <cell r="A1540" t="str">
            <v>Савельев Григорий Алексеевич</v>
          </cell>
          <cell r="B1540" t="str">
            <v>В-03738/КЛ.Транш - 1</v>
          </cell>
          <cell r="D1540">
            <v>79998786606</v>
          </cell>
          <cell r="F1540">
            <v>79998486606</v>
          </cell>
        </row>
        <row r="1541">
          <cell r="A1541" t="str">
            <v>Савельев Станислав Валентинович</v>
          </cell>
          <cell r="B1541" t="str">
            <v>В-08454/КЛ.Транш - 1</v>
          </cell>
          <cell r="D1541">
            <v>79779410734</v>
          </cell>
          <cell r="F1541">
            <v>79779410734</v>
          </cell>
        </row>
        <row r="1542">
          <cell r="A1542" t="str">
            <v>Савин Евгений Иванович</v>
          </cell>
          <cell r="B1542" t="str">
            <v>В-19891/КЛ.Транш - 1</v>
          </cell>
          <cell r="D1542">
            <v>79146766666</v>
          </cell>
          <cell r="F1542">
            <v>79146766666</v>
          </cell>
        </row>
        <row r="1543">
          <cell r="A1543" t="str">
            <v>Савиных Татьяна Николаевна</v>
          </cell>
          <cell r="B1543" t="str">
            <v>В-21184/КЛ.Транш - 1</v>
          </cell>
          <cell r="D1543">
            <v>89127395040</v>
          </cell>
          <cell r="F1543">
            <v>79127395040</v>
          </cell>
        </row>
        <row r="1544">
          <cell r="A1544" t="str">
            <v>Савостьянов Илья Сергеевич</v>
          </cell>
          <cell r="B1544" t="str">
            <v>В-25966/КЛ.Транш - 1</v>
          </cell>
          <cell r="D1544">
            <v>79629608240</v>
          </cell>
          <cell r="F1544">
            <v>79629608240</v>
          </cell>
        </row>
        <row r="1545">
          <cell r="A1545" t="str">
            <v>Савостьянов Илья Сергеевич</v>
          </cell>
          <cell r="B1545" t="str">
            <v>В-25966/КЛ.Транш - 2</v>
          </cell>
          <cell r="D1545">
            <v>79629608240</v>
          </cell>
          <cell r="F1545">
            <v>79629608240</v>
          </cell>
        </row>
        <row r="1546">
          <cell r="A1546" t="str">
            <v>Савчук Елена Александровна</v>
          </cell>
          <cell r="B1546" t="str">
            <v>В-21872/КЛ.Транш - 1</v>
          </cell>
          <cell r="D1546">
            <v>89652999878</v>
          </cell>
          <cell r="F1546">
            <v>79652999878</v>
          </cell>
        </row>
        <row r="1547">
          <cell r="A1547" t="str">
            <v>Садигов Нарман Адждар Оглы</v>
          </cell>
          <cell r="B1547" t="str">
            <v>В-11050/КЛ.Транш - 1</v>
          </cell>
          <cell r="D1547">
            <v>79851883999</v>
          </cell>
          <cell r="F1547">
            <v>79851883999</v>
          </cell>
        </row>
        <row r="1548">
          <cell r="A1548" t="str">
            <v>Садкеев Игорь Евгеньевич</v>
          </cell>
          <cell r="B1548" t="str">
            <v>В-00690/АЗ_В-20211230/Ц</v>
          </cell>
          <cell r="C1548">
            <v>84956586366</v>
          </cell>
          <cell r="D1548">
            <v>89851613318</v>
          </cell>
          <cell r="F1548">
            <v>79851613318</v>
          </cell>
        </row>
        <row r="1549">
          <cell r="A1549" t="str">
            <v>Садырбекова Дамира Маматовна</v>
          </cell>
          <cell r="B1549" t="str">
            <v>В-09292/КЛ.Транш - 1_В-20211230/Ц</v>
          </cell>
          <cell r="C1549">
            <v>78123340990</v>
          </cell>
          <cell r="D1549">
            <v>79117238178</v>
          </cell>
          <cell r="F1549">
            <v>79117238178</v>
          </cell>
        </row>
        <row r="1550">
          <cell r="A1550" t="str">
            <v>Сазанова Екатерина Владимировна</v>
          </cell>
          <cell r="B1550" t="str">
            <v>В-01215/АЗ</v>
          </cell>
          <cell r="C1550">
            <v>84956148106</v>
          </cell>
          <cell r="D1550">
            <v>89166743325</v>
          </cell>
          <cell r="F1550">
            <v>79166743325</v>
          </cell>
        </row>
        <row r="1551">
          <cell r="A1551" t="str">
            <v>Сайдалиева Наталия Владимировна</v>
          </cell>
          <cell r="B1551" t="str">
            <v>В-12662/КЛ.Транш - 1</v>
          </cell>
          <cell r="D1551">
            <v>79156940784</v>
          </cell>
          <cell r="F1551">
            <v>79156940784</v>
          </cell>
        </row>
        <row r="1552">
          <cell r="A1552" t="str">
            <v>Сайфуллин Айнур Чулпанович</v>
          </cell>
          <cell r="B1552" t="str">
            <v>В-22889/КЛ.Транш - 3</v>
          </cell>
          <cell r="D1552">
            <v>89276355045</v>
          </cell>
          <cell r="F1552">
            <v>79276355045</v>
          </cell>
        </row>
        <row r="1553">
          <cell r="A1553" t="str">
            <v>Сайфуллин Айнур Чулпанович</v>
          </cell>
          <cell r="B1553" t="str">
            <v>В-22889/КЛ.Транш - 2</v>
          </cell>
          <cell r="D1553">
            <v>89276355045</v>
          </cell>
          <cell r="F1553">
            <v>79276355045</v>
          </cell>
        </row>
        <row r="1554">
          <cell r="A1554" t="str">
            <v>Сайфуллин Айнур Чулпанович</v>
          </cell>
          <cell r="B1554" t="str">
            <v>В-22889/КЛ.Транш - 1</v>
          </cell>
          <cell r="D1554">
            <v>89276355045</v>
          </cell>
          <cell r="F1554">
            <v>79276355045</v>
          </cell>
        </row>
        <row r="1555">
          <cell r="A1555" t="str">
            <v>Сайфуллин Рауль Чулпанович</v>
          </cell>
          <cell r="B1555" t="str">
            <v>В-27250/КЛ.Транш - 1</v>
          </cell>
          <cell r="D1555">
            <v>79377811572</v>
          </cell>
        </row>
        <row r="1556">
          <cell r="A1556" t="str">
            <v>Сайфуллин Рауль Чулпанович</v>
          </cell>
          <cell r="B1556" t="str">
            <v>В-27250/КЛ.Транш - 2</v>
          </cell>
          <cell r="D1556">
            <v>79377811572</v>
          </cell>
        </row>
        <row r="1557">
          <cell r="A1557" t="str">
            <v>Саламатин Максим Витальевич</v>
          </cell>
          <cell r="B1557" t="str">
            <v>В-05256/КЛ.Транш - 4</v>
          </cell>
          <cell r="D1557">
            <v>79269416891</v>
          </cell>
          <cell r="F1557">
            <v>79269416891</v>
          </cell>
        </row>
        <row r="1558">
          <cell r="A1558" t="str">
            <v>Саламатин Максим Витальевич</v>
          </cell>
          <cell r="B1558" t="str">
            <v>В-05256/КЛ.Транш - 3</v>
          </cell>
          <cell r="D1558">
            <v>79269416891</v>
          </cell>
          <cell r="F1558">
            <v>79269416891</v>
          </cell>
        </row>
        <row r="1559">
          <cell r="A1559" t="str">
            <v>Саликов Альберт Якубович</v>
          </cell>
          <cell r="B1559" t="str">
            <v>В-02110/КЛ.Транш - 1</v>
          </cell>
          <cell r="D1559">
            <v>89882404886</v>
          </cell>
          <cell r="F1559">
            <v>79882404886</v>
          </cell>
        </row>
        <row r="1560">
          <cell r="A1560" t="str">
            <v>Салимов Шерзод Тохирович</v>
          </cell>
          <cell r="B1560" t="str">
            <v>В-20442/КЛ.Транш - 1_В-20211230/Ц</v>
          </cell>
          <cell r="D1560">
            <v>79964265100</v>
          </cell>
          <cell r="F1560">
            <v>79964265100</v>
          </cell>
        </row>
        <row r="1561">
          <cell r="A1561" t="str">
            <v>Салихов Нурмагамед Гусенович</v>
          </cell>
          <cell r="B1561" t="str">
            <v>В-00182/КЛ.Транш - 1</v>
          </cell>
          <cell r="D1561">
            <v>89064466686</v>
          </cell>
          <cell r="F1561">
            <v>79064466686</v>
          </cell>
        </row>
        <row r="1562">
          <cell r="A1562" t="str">
            <v>Салихов Нурмагамед Гусенович</v>
          </cell>
          <cell r="B1562" t="str">
            <v>В-00182/КЛ.Транш - 2</v>
          </cell>
          <cell r="D1562">
            <v>89064466686</v>
          </cell>
          <cell r="F1562">
            <v>79064466686</v>
          </cell>
        </row>
        <row r="1563">
          <cell r="A1563" t="str">
            <v>Сальников Вячеслав Витальевич</v>
          </cell>
          <cell r="B1563" t="str">
            <v>В-00314/КЛ.Транш - 84</v>
          </cell>
          <cell r="D1563">
            <v>79778623009</v>
          </cell>
          <cell r="F1563">
            <v>79778623009</v>
          </cell>
        </row>
        <row r="1564">
          <cell r="A1564" t="str">
            <v>Сальников Вячеслав Витальевич</v>
          </cell>
          <cell r="B1564" t="str">
            <v>В-00314/КЛ.Транш - 85</v>
          </cell>
          <cell r="D1564">
            <v>79778623009</v>
          </cell>
          <cell r="F1564">
            <v>79778623009</v>
          </cell>
        </row>
        <row r="1565">
          <cell r="A1565" t="str">
            <v>Сальников Вячеслав Витальевич</v>
          </cell>
          <cell r="B1565" t="str">
            <v>В-00314/КЛ.Транш - 86</v>
          </cell>
          <cell r="D1565">
            <v>79778623009</v>
          </cell>
          <cell r="F1565">
            <v>79778623009</v>
          </cell>
        </row>
        <row r="1566">
          <cell r="A1566" t="str">
            <v>Самарина Наталья Александровна</v>
          </cell>
          <cell r="B1566" t="str">
            <v>В-11287/КЛ.Транш - 2</v>
          </cell>
          <cell r="D1566">
            <v>79265260275</v>
          </cell>
          <cell r="F1566">
            <v>79265260275</v>
          </cell>
        </row>
        <row r="1567">
          <cell r="A1567" t="str">
            <v>Самедов Эльдар Абилевич</v>
          </cell>
          <cell r="B1567" t="str">
            <v>В-18631/КЛ.Транш - 1</v>
          </cell>
          <cell r="D1567">
            <v>79268100105</v>
          </cell>
          <cell r="F1567">
            <v>79268100105</v>
          </cell>
        </row>
        <row r="1568">
          <cell r="A1568" t="str">
            <v>Самойленко Ирина Геннадьевна</v>
          </cell>
          <cell r="B1568" t="str">
            <v>В-15750/КЛ.Транш - 3_В-20211230/Ц</v>
          </cell>
          <cell r="D1568">
            <v>79057421218</v>
          </cell>
          <cell r="E1568">
            <v>79067271326</v>
          </cell>
          <cell r="F1568">
            <v>79057421218</v>
          </cell>
        </row>
        <row r="1569">
          <cell r="A1569" t="str">
            <v>Самойленко Ирина Геннадьевна</v>
          </cell>
          <cell r="B1569" t="str">
            <v>В-15750/КЛ.Транш - 1_В-20211230/Ц</v>
          </cell>
          <cell r="D1569">
            <v>79057421218</v>
          </cell>
          <cell r="E1569">
            <v>79067271326</v>
          </cell>
          <cell r="F1569">
            <v>79057421218</v>
          </cell>
        </row>
        <row r="1570">
          <cell r="A1570" t="str">
            <v>Самойленко Ирина Геннадьевна</v>
          </cell>
          <cell r="B1570" t="str">
            <v>В-15750/КЛ.Транш - 2_В-20211230/Ц</v>
          </cell>
          <cell r="D1570">
            <v>79057421218</v>
          </cell>
          <cell r="E1570">
            <v>79067271326</v>
          </cell>
          <cell r="F1570">
            <v>79057421218</v>
          </cell>
        </row>
        <row r="1571">
          <cell r="A1571" t="str">
            <v>Самойленко Роман Владимирович</v>
          </cell>
          <cell r="B1571" t="str">
            <v>В-01200/АЗ_В-20211230/Ц</v>
          </cell>
          <cell r="D1571">
            <v>79067271326</v>
          </cell>
          <cell r="F1571">
            <v>79067271326</v>
          </cell>
        </row>
        <row r="1572">
          <cell r="A1572" t="str">
            <v>Самойлов Дмитрий Анатольевич</v>
          </cell>
          <cell r="B1572" t="str">
            <v>В-03206/КЛ.Транш - 1</v>
          </cell>
          <cell r="D1572">
            <v>79660168099</v>
          </cell>
          <cell r="F1572">
            <v>79660168099</v>
          </cell>
        </row>
        <row r="1573">
          <cell r="A1573" t="str">
            <v>Самохин Алексей Владимирович</v>
          </cell>
          <cell r="B1573" t="str">
            <v>А-05231/АЗ</v>
          </cell>
          <cell r="D1573">
            <v>79164153299</v>
          </cell>
          <cell r="E1573">
            <v>79164153299</v>
          </cell>
          <cell r="F1573">
            <v>79164153299</v>
          </cell>
        </row>
        <row r="1574">
          <cell r="A1574" t="str">
            <v>Самохин Николай Александрович</v>
          </cell>
          <cell r="B1574" t="str">
            <v>В-25466/АЗ</v>
          </cell>
          <cell r="D1574">
            <v>79037409910</v>
          </cell>
        </row>
        <row r="1575">
          <cell r="A1575" t="str">
            <v>Самошин Дмитрий Сергеевич</v>
          </cell>
          <cell r="B1575" t="str">
            <v>В-23923/КЛ.Транш - 1</v>
          </cell>
          <cell r="D1575">
            <v>79778016312</v>
          </cell>
          <cell r="F1575">
            <v>79778016312</v>
          </cell>
        </row>
        <row r="1576">
          <cell r="A1576" t="str">
            <v>Сапельников Юрий Александрович</v>
          </cell>
          <cell r="B1576" t="str">
            <v>В-02975/КЛ.Транш - 1</v>
          </cell>
          <cell r="C1576">
            <v>88614221285</v>
          </cell>
          <cell r="D1576">
            <v>89189346497</v>
          </cell>
          <cell r="F1576">
            <v>79189346497</v>
          </cell>
        </row>
        <row r="1577">
          <cell r="A1577" t="str">
            <v>Саповский Олег Владимирович</v>
          </cell>
          <cell r="B1577" t="str">
            <v>А-00029/БЭ</v>
          </cell>
          <cell r="D1577">
            <v>79257295462</v>
          </cell>
          <cell r="E1577">
            <v>79257295462</v>
          </cell>
        </row>
        <row r="1578">
          <cell r="A1578" t="str">
            <v>Сапожников Станислав Михайлович</v>
          </cell>
          <cell r="B1578" t="str">
            <v>В-26827/КЛ.Транш - 1</v>
          </cell>
          <cell r="D1578">
            <v>79378844883</v>
          </cell>
        </row>
        <row r="1579">
          <cell r="A1579" t="str">
            <v>Сапрыкин Сергей Владимирович</v>
          </cell>
          <cell r="B1579" t="str">
            <v>В-00638/АЗ</v>
          </cell>
          <cell r="D1579">
            <v>79218744541</v>
          </cell>
          <cell r="F1579">
            <v>79218744541</v>
          </cell>
        </row>
        <row r="1580">
          <cell r="A1580" t="str">
            <v>Сапунов Дмитрий Владимирович</v>
          </cell>
          <cell r="B1580" t="str">
            <v>В-01188/АЗ</v>
          </cell>
          <cell r="D1580">
            <v>79912401545</v>
          </cell>
          <cell r="F1580">
            <v>79912401545</v>
          </cell>
        </row>
        <row r="1581">
          <cell r="A1581" t="str">
            <v>Сарибаева Эльнара Исмаиловна</v>
          </cell>
          <cell r="B1581" t="str">
            <v>В-00395/АЗ_В-20211230/Ц</v>
          </cell>
          <cell r="D1581">
            <v>79118292202</v>
          </cell>
          <cell r="F1581">
            <v>79118292202</v>
          </cell>
        </row>
        <row r="1582">
          <cell r="A1582" t="str">
            <v>Сариди Михаил Арсенович</v>
          </cell>
          <cell r="B1582" t="str">
            <v>В-24169/АЗ</v>
          </cell>
          <cell r="D1582">
            <v>79258228888</v>
          </cell>
          <cell r="F1582">
            <v>79258228888</v>
          </cell>
        </row>
        <row r="1583">
          <cell r="A1583" t="str">
            <v>Саркисов Никита Витальевич</v>
          </cell>
          <cell r="B1583" t="str">
            <v>В-25425/КЛ.Транш - 1</v>
          </cell>
          <cell r="D1583">
            <v>79892648701</v>
          </cell>
          <cell r="E1583">
            <v>79892648701</v>
          </cell>
          <cell r="F1583">
            <v>79892648701</v>
          </cell>
        </row>
        <row r="1584">
          <cell r="A1584" t="str">
            <v>Саркисян Ваган Вартанович</v>
          </cell>
          <cell r="B1584" t="str">
            <v>В-28224/КЛ.Транш - 1</v>
          </cell>
          <cell r="D1584">
            <v>79295331111</v>
          </cell>
        </row>
        <row r="1585">
          <cell r="A1585" t="str">
            <v>Саркисян Геворк Александрович</v>
          </cell>
          <cell r="B1585" t="str">
            <v>В-00051/КЛ.Транш - 1</v>
          </cell>
          <cell r="D1585">
            <v>89121701017</v>
          </cell>
          <cell r="F1585">
            <v>79121701017</v>
          </cell>
        </row>
        <row r="1586">
          <cell r="A1586" t="str">
            <v>Саркисян Геворк Александрович</v>
          </cell>
          <cell r="B1586" t="str">
            <v>В-00051/КЛ.Транш - 2</v>
          </cell>
          <cell r="D1586">
            <v>89121701017</v>
          </cell>
          <cell r="F1586">
            <v>79121701017</v>
          </cell>
        </row>
        <row r="1587">
          <cell r="A1587" t="str">
            <v>Сатаров Андрей Викторович</v>
          </cell>
          <cell r="B1587" t="str">
            <v>В-05377/КЛ.Транш - 2</v>
          </cell>
          <cell r="D1587">
            <v>79099323760</v>
          </cell>
          <cell r="E1587">
            <v>79099323760</v>
          </cell>
          <cell r="F1587">
            <v>79099323760</v>
          </cell>
        </row>
        <row r="1588">
          <cell r="A1588" t="str">
            <v>Саутин Александр Юрьевич</v>
          </cell>
          <cell r="B1588" t="str">
            <v>В-12391/КЛ.Транш - 1_В-20211230/Ц</v>
          </cell>
          <cell r="D1588">
            <v>89262862881</v>
          </cell>
          <cell r="F1588">
            <v>79262862881</v>
          </cell>
        </row>
        <row r="1589">
          <cell r="A1589" t="str">
            <v>Саутин Александр Юрьевич</v>
          </cell>
          <cell r="B1589" t="str">
            <v>В-12391/КЛ.Транш - 2_В-20211230/Ц</v>
          </cell>
          <cell r="D1589">
            <v>89262862881</v>
          </cell>
          <cell r="F1589">
            <v>79262862881</v>
          </cell>
        </row>
        <row r="1590">
          <cell r="A1590" t="str">
            <v>Сафаралиев Ровшан Гиняз Оглы</v>
          </cell>
          <cell r="B1590" t="str">
            <v>В-28680/КЛ.Транш - 1</v>
          </cell>
          <cell r="D1590">
            <v>89917435696</v>
          </cell>
          <cell r="F1590">
            <v>79917435696</v>
          </cell>
        </row>
        <row r="1591">
          <cell r="A1591" t="str">
            <v>Сафронова Кристина Руслановна</v>
          </cell>
          <cell r="B1591" t="str">
            <v>В-05772/КЛ.Транш - 1</v>
          </cell>
          <cell r="D1591">
            <v>89167930703</v>
          </cell>
          <cell r="F1591">
            <v>79167930703</v>
          </cell>
        </row>
        <row r="1592">
          <cell r="A1592" t="str">
            <v>Сахимова Анна Владимировна</v>
          </cell>
          <cell r="B1592" t="str">
            <v>В-19329/КЛ.Транш - 1_В-20211230/Ц</v>
          </cell>
          <cell r="D1592">
            <v>79621905500</v>
          </cell>
          <cell r="F1592">
            <v>79621905500</v>
          </cell>
        </row>
        <row r="1593">
          <cell r="A1593" t="str">
            <v>Сбоев Виктор Юрьевич</v>
          </cell>
          <cell r="B1593" t="str">
            <v>В-22246/КЛ.Транш - 3</v>
          </cell>
          <cell r="D1593">
            <v>79167878787</v>
          </cell>
          <cell r="E1593">
            <v>79267878787</v>
          </cell>
          <cell r="F1593">
            <v>79167878787</v>
          </cell>
        </row>
        <row r="1594">
          <cell r="A1594" t="str">
            <v>Свентковский Анатолий Владимирович</v>
          </cell>
          <cell r="B1594" t="str">
            <v>В-28643/АЗ</v>
          </cell>
          <cell r="D1594">
            <v>79166080111</v>
          </cell>
          <cell r="F1594">
            <v>79166080111</v>
          </cell>
        </row>
        <row r="1595">
          <cell r="A1595" t="str">
            <v>Светлов Виталий Анатольевич</v>
          </cell>
          <cell r="B1595" t="str">
            <v>В-26449/АЗ</v>
          </cell>
          <cell r="C1595">
            <v>78125837550</v>
          </cell>
          <cell r="D1595">
            <v>79219537332</v>
          </cell>
          <cell r="E1595">
            <v>79219537332</v>
          </cell>
          <cell r="F1595">
            <v>79219537332</v>
          </cell>
        </row>
        <row r="1596">
          <cell r="A1596" t="str">
            <v>Свинцов Александр Владиславович</v>
          </cell>
          <cell r="B1596" t="str">
            <v>В-09719/КЛ.Транш - 1</v>
          </cell>
          <cell r="D1596">
            <v>79223655638</v>
          </cell>
          <cell r="F1596">
            <v>79223655638</v>
          </cell>
        </row>
        <row r="1597">
          <cell r="A1597" t="str">
            <v>СЕВЕРНЫЙ ФЛОТ ООО</v>
          </cell>
          <cell r="B1597" t="str">
            <v>А-10090/КЭ.Транш - 2</v>
          </cell>
        </row>
        <row r="1598">
          <cell r="A1598" t="str">
            <v>СЕЙЛМЕД ООО</v>
          </cell>
          <cell r="B1598" t="str">
            <v>В-00003/КЭ.Транш - 1_А-20210929/Ц</v>
          </cell>
        </row>
        <row r="1599">
          <cell r="A1599" t="str">
            <v>Секриеру Вячеслав Андреевич</v>
          </cell>
          <cell r="B1599" t="str">
            <v>В-00449/КЛ.Транш - 1</v>
          </cell>
          <cell r="D1599">
            <v>89257845767</v>
          </cell>
          <cell r="F1599">
            <v>79257845767</v>
          </cell>
        </row>
        <row r="1600">
          <cell r="A1600" t="str">
            <v>Селеверстов Михаил Васильевич</v>
          </cell>
          <cell r="B1600" t="str">
            <v>В-18414/КЛ.Транш - 1</v>
          </cell>
          <cell r="D1600">
            <v>79058451345</v>
          </cell>
          <cell r="F1600">
            <v>79058451345</v>
          </cell>
        </row>
        <row r="1601">
          <cell r="A1601" t="str">
            <v>Селеверстов Михаил Васильевич</v>
          </cell>
          <cell r="B1601" t="str">
            <v>В-18414/КЛ.Транш - 2</v>
          </cell>
          <cell r="D1601">
            <v>79058451345</v>
          </cell>
          <cell r="F1601">
            <v>79058451345</v>
          </cell>
        </row>
        <row r="1602">
          <cell r="A1602" t="str">
            <v>Селиверстова Евгения Владимировна</v>
          </cell>
          <cell r="B1602" t="str">
            <v>В-19285/КЛ.Транш - 1</v>
          </cell>
          <cell r="D1602">
            <v>79253202640</v>
          </cell>
          <cell r="F1602">
            <v>79253202640</v>
          </cell>
        </row>
        <row r="1603">
          <cell r="A1603" t="str">
            <v>Сельцова Наталья Юрьевна</v>
          </cell>
          <cell r="B1603" t="str">
            <v>В-00439/КЛ.Транш - 1</v>
          </cell>
          <cell r="C1603">
            <v>74992064926</v>
          </cell>
          <cell r="D1603">
            <v>79031244788</v>
          </cell>
          <cell r="F1603">
            <v>79031244788</v>
          </cell>
        </row>
        <row r="1604">
          <cell r="A1604" t="str">
            <v>Сельцова Наталья Юрьевна</v>
          </cell>
          <cell r="B1604" t="str">
            <v>В-00439/КЛ.Транш - 2</v>
          </cell>
          <cell r="C1604">
            <v>74992064926</v>
          </cell>
          <cell r="D1604">
            <v>79031244788</v>
          </cell>
          <cell r="F1604">
            <v>79031244788</v>
          </cell>
        </row>
        <row r="1605">
          <cell r="A1605" t="str">
            <v>Селютин Петр Петрович</v>
          </cell>
          <cell r="B1605" t="str">
            <v>А-04028/АЗ</v>
          </cell>
          <cell r="D1605">
            <v>79112102190</v>
          </cell>
          <cell r="E1605">
            <v>79112102190</v>
          </cell>
          <cell r="F1605">
            <v>79112102190</v>
          </cell>
        </row>
        <row r="1606">
          <cell r="A1606" t="str">
            <v>Семененко Трофим Игоревич</v>
          </cell>
          <cell r="B1606" t="str">
            <v>В-14913/КЛ.Транш - 1</v>
          </cell>
          <cell r="D1606">
            <v>79152990588</v>
          </cell>
          <cell r="F1606">
            <v>79152990588</v>
          </cell>
        </row>
        <row r="1607">
          <cell r="A1607" t="str">
            <v>Семенов Андрей Сергеевич</v>
          </cell>
          <cell r="B1607" t="str">
            <v>В-13740/КЛ.Транш - 1</v>
          </cell>
          <cell r="D1607">
            <v>79264150405</v>
          </cell>
          <cell r="F1607">
            <v>79264150405</v>
          </cell>
        </row>
        <row r="1608">
          <cell r="A1608" t="str">
            <v>Семенов Евгений Александрович</v>
          </cell>
          <cell r="B1608" t="str">
            <v>В-15171/КЛ.Транш - 1</v>
          </cell>
          <cell r="D1608">
            <v>79858928860</v>
          </cell>
          <cell r="F1608">
            <v>79858928860</v>
          </cell>
        </row>
        <row r="1609">
          <cell r="A1609" t="str">
            <v>Семенов Николай Юрьевич</v>
          </cell>
          <cell r="B1609" t="str">
            <v>А-05271/АЗ</v>
          </cell>
          <cell r="D1609">
            <v>79652559169</v>
          </cell>
          <cell r="E1609">
            <v>79652559169</v>
          </cell>
        </row>
        <row r="1610">
          <cell r="A1610" t="str">
            <v>Семенов Сергей Юрьевич</v>
          </cell>
          <cell r="B1610" t="str">
            <v>В-20623/КЛ.Транш - 1</v>
          </cell>
          <cell r="D1610">
            <v>79311002444</v>
          </cell>
          <cell r="F1610">
            <v>79311002444</v>
          </cell>
        </row>
        <row r="1611">
          <cell r="A1611" t="str">
            <v>Семенченко Денис Алексеевич</v>
          </cell>
          <cell r="B1611" t="str">
            <v>В-17423/КЛ.Транш - 1</v>
          </cell>
          <cell r="D1611">
            <v>79990870918</v>
          </cell>
          <cell r="F1611">
            <v>79990870918</v>
          </cell>
        </row>
        <row r="1612">
          <cell r="A1612" t="str">
            <v>Семенчукова Яна Олеговна</v>
          </cell>
          <cell r="B1612" t="str">
            <v>В-28889/КЛ.Транш - 1</v>
          </cell>
          <cell r="D1612">
            <v>79082926524</v>
          </cell>
        </row>
        <row r="1613">
          <cell r="A1613" t="str">
            <v>Семочкин Владимир Владимирович</v>
          </cell>
          <cell r="B1613" t="str">
            <v>В-00291/АЗ</v>
          </cell>
          <cell r="D1613">
            <v>89251163575</v>
          </cell>
          <cell r="F1613">
            <v>79251163575</v>
          </cell>
        </row>
        <row r="1614">
          <cell r="A1614" t="str">
            <v>Семочкин Владимир Владимирович</v>
          </cell>
          <cell r="B1614" t="str">
            <v>В-00726/АЗ</v>
          </cell>
          <cell r="D1614">
            <v>89251163575</v>
          </cell>
          <cell r="F1614">
            <v>79251163575</v>
          </cell>
        </row>
        <row r="1615">
          <cell r="A1615" t="str">
            <v>Сенченко Анна Станиславовна</v>
          </cell>
          <cell r="B1615" t="str">
            <v>В-12540/КЛ.Транш - 1</v>
          </cell>
          <cell r="D1615">
            <v>89687515050</v>
          </cell>
          <cell r="F1615">
            <v>79687515050</v>
          </cell>
        </row>
        <row r="1616">
          <cell r="A1616" t="str">
            <v>Сервис-Запчасть ООО</v>
          </cell>
          <cell r="B1616" t="str">
            <v>А-00403/КЭ.Транш - 1</v>
          </cell>
        </row>
        <row r="1617">
          <cell r="A1617" t="str">
            <v>Сергеев Даниил Борисович</v>
          </cell>
          <cell r="B1617" t="str">
            <v>В-25211/АЗ</v>
          </cell>
          <cell r="D1617">
            <v>79819406227</v>
          </cell>
        </row>
        <row r="1618">
          <cell r="A1618" t="str">
            <v>Сергеева Светлана Викторовна</v>
          </cell>
          <cell r="B1618" t="str">
            <v>В-00463/КЛ.Транш - 1</v>
          </cell>
          <cell r="C1618">
            <v>89153484524</v>
          </cell>
          <cell r="D1618">
            <v>89036148007</v>
          </cell>
          <cell r="F1618">
            <v>79036148007</v>
          </cell>
        </row>
        <row r="1619">
          <cell r="A1619" t="str">
            <v>Сергушкин Александр Николаевич</v>
          </cell>
          <cell r="B1619" t="str">
            <v>В-12791/КЛ.Транш - 4</v>
          </cell>
          <cell r="D1619">
            <v>79685389779</v>
          </cell>
          <cell r="F1619">
            <v>79685389779</v>
          </cell>
        </row>
        <row r="1620">
          <cell r="A1620" t="str">
            <v>Сердюк Вероника Владимировна</v>
          </cell>
          <cell r="B1620" t="str">
            <v>В-08065/КЛ.Транш - 1</v>
          </cell>
          <cell r="D1620">
            <v>89298508291</v>
          </cell>
          <cell r="F1620">
            <v>79298508291</v>
          </cell>
        </row>
        <row r="1621">
          <cell r="A1621" t="str">
            <v>Сердюк Лидия Мянсуровна</v>
          </cell>
          <cell r="B1621" t="str">
            <v>А-03756/АЗ</v>
          </cell>
          <cell r="C1621">
            <v>78125680878</v>
          </cell>
          <cell r="D1621">
            <v>79818882788</v>
          </cell>
          <cell r="E1621">
            <v>79818882788</v>
          </cell>
          <cell r="F1621">
            <v>79818882788</v>
          </cell>
        </row>
        <row r="1622">
          <cell r="A1622" t="str">
            <v>Серегола Дмитрий Михайлович</v>
          </cell>
          <cell r="B1622" t="str">
            <v>В-24909/АЗ</v>
          </cell>
          <cell r="D1622">
            <v>89522389764</v>
          </cell>
          <cell r="F1622">
            <v>79522389764</v>
          </cell>
        </row>
        <row r="1623">
          <cell r="A1623" t="str">
            <v>Серов Лев Николаевич</v>
          </cell>
          <cell r="B1623" t="str">
            <v>В-00608/АЗ</v>
          </cell>
          <cell r="D1623">
            <v>79637153829</v>
          </cell>
          <cell r="F1623">
            <v>79637153829</v>
          </cell>
        </row>
        <row r="1624">
          <cell r="A1624" t="str">
            <v>Серов Лев Николаевич</v>
          </cell>
          <cell r="B1624" t="str">
            <v>В-00932/АЗ</v>
          </cell>
          <cell r="D1624">
            <v>79637153829</v>
          </cell>
          <cell r="F1624">
            <v>79637153829</v>
          </cell>
        </row>
        <row r="1625">
          <cell r="A1625" t="str">
            <v>Серопян Айк Мгерович</v>
          </cell>
          <cell r="B1625" t="str">
            <v>В-10466/КЛ.Транш - 1</v>
          </cell>
          <cell r="C1625">
            <v>84957746560</v>
          </cell>
          <cell r="D1625" t="str">
            <v>89167239743, 89096377766</v>
          </cell>
          <cell r="F1625">
            <v>79167239743</v>
          </cell>
        </row>
        <row r="1626">
          <cell r="A1626" t="str">
            <v>Сеферян Галина Андрониковна</v>
          </cell>
          <cell r="B1626" t="str">
            <v>В-12693/КЛ.Транш - 2</v>
          </cell>
          <cell r="D1626">
            <v>89165232608</v>
          </cell>
          <cell r="F1626">
            <v>79165232608</v>
          </cell>
        </row>
        <row r="1627">
          <cell r="A1627" t="str">
            <v>Сеферян Галина Андрониковна</v>
          </cell>
          <cell r="B1627" t="str">
            <v>В-12693/КЛ.Транш - 4</v>
          </cell>
          <cell r="D1627">
            <v>89165232608</v>
          </cell>
          <cell r="F1627">
            <v>79165232608</v>
          </cell>
        </row>
        <row r="1628">
          <cell r="A1628" t="str">
            <v>Сеферян Галина Андрониковна</v>
          </cell>
          <cell r="B1628" t="str">
            <v>В-12693/КЛ.Транш - 3</v>
          </cell>
          <cell r="D1628">
            <v>89165232608</v>
          </cell>
          <cell r="F1628">
            <v>79165232608</v>
          </cell>
        </row>
        <row r="1629">
          <cell r="A1629" t="str">
            <v>СиБи Групп Рус ООО</v>
          </cell>
          <cell r="B1629" t="str">
            <v>А-00446/КЭ.Транш - 1</v>
          </cell>
        </row>
        <row r="1630">
          <cell r="A1630" t="str">
            <v>СиБи Групп Рус ООО</v>
          </cell>
          <cell r="B1630" t="str">
            <v>А-00446/КЭ.Транш - 2</v>
          </cell>
        </row>
        <row r="1631">
          <cell r="A1631" t="str">
            <v>Сиденко Ольга Викторовна</v>
          </cell>
          <cell r="B1631" t="str">
            <v>В-21972/КЛ.Транш - 2</v>
          </cell>
          <cell r="D1631">
            <v>7999631641</v>
          </cell>
          <cell r="E1631">
            <v>79996313641</v>
          </cell>
          <cell r="F1631">
            <v>79996313641</v>
          </cell>
        </row>
        <row r="1632">
          <cell r="A1632" t="str">
            <v>Сиденко Роман Викторович</v>
          </cell>
          <cell r="B1632" t="str">
            <v>В-26592/КЛ.Транш - 1</v>
          </cell>
          <cell r="D1632">
            <v>79996992736</v>
          </cell>
          <cell r="F1632">
            <v>79996992736</v>
          </cell>
        </row>
        <row r="1633">
          <cell r="A1633" t="str">
            <v>Сидоренко Надежда Алексеевна</v>
          </cell>
          <cell r="B1633" t="str">
            <v>В-25306/КЛ.Транш - 1</v>
          </cell>
          <cell r="D1633">
            <v>79184037119</v>
          </cell>
          <cell r="F1633">
            <v>79184037119</v>
          </cell>
        </row>
        <row r="1634">
          <cell r="A1634" t="str">
            <v>Сидоров Александр Владимирович</v>
          </cell>
          <cell r="B1634" t="str">
            <v>В-19355/КЛ.Транш - 1</v>
          </cell>
          <cell r="D1634">
            <v>79163572699</v>
          </cell>
          <cell r="F1634">
            <v>79163572699</v>
          </cell>
        </row>
        <row r="1635">
          <cell r="A1635" t="str">
            <v>Сидорович Дмитрий Владимирович</v>
          </cell>
          <cell r="B1635" t="str">
            <v>В-20449/КЛ.Транш - 1</v>
          </cell>
          <cell r="D1635">
            <v>79856935772</v>
          </cell>
          <cell r="F1635">
            <v>79856935772</v>
          </cell>
        </row>
        <row r="1636">
          <cell r="A1636" t="str">
            <v>Силкин Максим Алексеевич</v>
          </cell>
          <cell r="B1636" t="str">
            <v>В-24172/АЗ</v>
          </cell>
          <cell r="D1636">
            <v>79653030110</v>
          </cell>
          <cell r="F1636">
            <v>79653030110</v>
          </cell>
        </row>
        <row r="1637">
          <cell r="A1637" t="str">
            <v>Симонов Станислав Валерьевич</v>
          </cell>
          <cell r="B1637" t="str">
            <v>В-17752/КЛ.Транш - 1</v>
          </cell>
          <cell r="D1637">
            <v>79142198143</v>
          </cell>
          <cell r="F1637">
            <v>79142198143</v>
          </cell>
        </row>
        <row r="1638">
          <cell r="A1638" t="str">
            <v>Симонов Станислав Валерьевич</v>
          </cell>
          <cell r="B1638" t="str">
            <v>В-17752/КЛ.Транш - 2</v>
          </cell>
          <cell r="D1638">
            <v>79142198143</v>
          </cell>
          <cell r="F1638">
            <v>79142198143</v>
          </cell>
        </row>
        <row r="1639">
          <cell r="A1639" t="str">
            <v>Симонова Дарья Павловна</v>
          </cell>
          <cell r="B1639" t="str">
            <v>В-28376/КЛ.Транш - 1</v>
          </cell>
          <cell r="D1639">
            <v>79124972991</v>
          </cell>
        </row>
        <row r="1640">
          <cell r="A1640" t="str">
            <v>Сироткин Олег Георгиевич</v>
          </cell>
          <cell r="B1640" t="str">
            <v>В-03365/КЛ.Транш - 2</v>
          </cell>
          <cell r="D1640" t="str">
            <v>79217997111, 79211820088</v>
          </cell>
          <cell r="F1640">
            <v>79211820088</v>
          </cell>
        </row>
        <row r="1641">
          <cell r="A1641" t="str">
            <v>Сироткин Олег Георгиевич</v>
          </cell>
          <cell r="B1641" t="str">
            <v>В-03365/КЛ.Транш - 3</v>
          </cell>
          <cell r="D1641" t="str">
            <v>79217997111, 79211820088</v>
          </cell>
          <cell r="F1641">
            <v>79211820088</v>
          </cell>
        </row>
        <row r="1642">
          <cell r="A1642" t="str">
            <v>Сироткин Олег Георгиевич</v>
          </cell>
          <cell r="B1642" t="str">
            <v>В-03365/КЛ.Транш - 5</v>
          </cell>
          <cell r="D1642" t="str">
            <v>79217997111, 79211820088</v>
          </cell>
          <cell r="F1642">
            <v>79211820088</v>
          </cell>
        </row>
        <row r="1643">
          <cell r="A1643" t="str">
            <v>Сироткин Олег Георгиевич</v>
          </cell>
          <cell r="B1643" t="str">
            <v>В-03365/КЛ.Транш - 4</v>
          </cell>
          <cell r="D1643" t="str">
            <v>79217997111, 79211820088</v>
          </cell>
          <cell r="F1643">
            <v>79211820088</v>
          </cell>
        </row>
        <row r="1644">
          <cell r="A1644" t="str">
            <v>СК ОЛИМП ООО</v>
          </cell>
          <cell r="B1644" t="str">
            <v>В-10026/КЭ.Транш - 1</v>
          </cell>
        </row>
        <row r="1645">
          <cell r="A1645" t="str">
            <v>Скляр Николай Николаевич</v>
          </cell>
          <cell r="B1645" t="str">
            <v>В-20931/КЛ.Транш - 1</v>
          </cell>
          <cell r="D1645">
            <v>89211899999</v>
          </cell>
          <cell r="F1645">
            <v>79211899999</v>
          </cell>
        </row>
        <row r="1646">
          <cell r="A1646" t="str">
            <v>Скляр Николай Николаевич</v>
          </cell>
          <cell r="B1646" t="str">
            <v>В-20931/КЛ.Транш - 2</v>
          </cell>
          <cell r="D1646">
            <v>89211899999</v>
          </cell>
          <cell r="F1646">
            <v>79211899999</v>
          </cell>
        </row>
        <row r="1647">
          <cell r="A1647" t="str">
            <v>Скопинов Иван Алексеевич</v>
          </cell>
          <cell r="B1647" t="str">
            <v>В-00178/КЛ.Транш - 1</v>
          </cell>
          <cell r="D1647">
            <v>79267586613</v>
          </cell>
          <cell r="F1647">
            <v>79267586613</v>
          </cell>
        </row>
        <row r="1648">
          <cell r="A1648" t="str">
            <v>Скоробогатов Анатолий Николаевич</v>
          </cell>
          <cell r="B1648" t="str">
            <v>В-11830/КЛ.Транш - 1</v>
          </cell>
          <cell r="F1648">
            <v>79064381838</v>
          </cell>
        </row>
        <row r="1649">
          <cell r="A1649" t="str">
            <v>Скрипичников Егор Сергеевич</v>
          </cell>
          <cell r="B1649" t="str">
            <v>В-09174/КЛ.Транш - 9</v>
          </cell>
          <cell r="D1649">
            <v>79047520322</v>
          </cell>
          <cell r="F1649">
            <v>79047520322</v>
          </cell>
        </row>
        <row r="1650">
          <cell r="A1650" t="str">
            <v>Скрипичников Егор Сергеевич</v>
          </cell>
          <cell r="B1650" t="str">
            <v>В-09174/КЛ.Транш - 10</v>
          </cell>
          <cell r="D1650">
            <v>79047520322</v>
          </cell>
          <cell r="F1650">
            <v>79047520322</v>
          </cell>
        </row>
        <row r="1651">
          <cell r="A1651" t="str">
            <v>Скрипичников Егор Сергеевич</v>
          </cell>
          <cell r="B1651" t="str">
            <v>В-09174/КЛ.Транш - 7</v>
          </cell>
          <cell r="D1651">
            <v>79047520322</v>
          </cell>
          <cell r="F1651">
            <v>79047520322</v>
          </cell>
        </row>
        <row r="1652">
          <cell r="A1652" t="str">
            <v>Скрипичников Егор Сергеевич</v>
          </cell>
          <cell r="B1652" t="str">
            <v>В-09174/КЛ.Транш - 8</v>
          </cell>
          <cell r="D1652">
            <v>79047520322</v>
          </cell>
          <cell r="F1652">
            <v>79047520322</v>
          </cell>
        </row>
        <row r="1653">
          <cell r="A1653" t="str">
            <v>Слепнев Иван Викторович</v>
          </cell>
          <cell r="B1653" t="str">
            <v>В-20251/КЛ.Транш - 2</v>
          </cell>
          <cell r="D1653">
            <v>79264620143</v>
          </cell>
          <cell r="F1653">
            <v>79264620143</v>
          </cell>
        </row>
        <row r="1654">
          <cell r="A1654" t="str">
            <v>Слепцова Маргарита Олеговна</v>
          </cell>
          <cell r="B1654" t="str">
            <v>В-01035/АЗ</v>
          </cell>
          <cell r="D1654">
            <v>79161613613</v>
          </cell>
          <cell r="F1654">
            <v>79161613613</v>
          </cell>
        </row>
        <row r="1655">
          <cell r="A1655" t="str">
            <v>Слепцова Маргарита Олеговна</v>
          </cell>
          <cell r="B1655" t="str">
            <v>В-01017/АЗ</v>
          </cell>
          <cell r="D1655">
            <v>79161613613</v>
          </cell>
          <cell r="F1655">
            <v>79161613613</v>
          </cell>
        </row>
        <row r="1656">
          <cell r="A1656" t="str">
            <v>Смирнов Андрей Евгеньевич</v>
          </cell>
          <cell r="B1656" t="str">
            <v>В-26242/КЛ.Транш - 1</v>
          </cell>
          <cell r="D1656">
            <v>79206545207</v>
          </cell>
        </row>
        <row r="1657">
          <cell r="A1657" t="str">
            <v>Смирнов Игорь Александрович</v>
          </cell>
          <cell r="B1657" t="str">
            <v>В-24580/КЛ.Транш - 1</v>
          </cell>
          <cell r="D1657">
            <v>89646299696</v>
          </cell>
          <cell r="F1657">
            <v>79646299696</v>
          </cell>
        </row>
        <row r="1658">
          <cell r="A1658" t="str">
            <v>Смирнов Михаил Львович</v>
          </cell>
          <cell r="B1658" t="str">
            <v>В-18317/КЛ.Транш - 1</v>
          </cell>
          <cell r="C1658">
            <v>84992017974</v>
          </cell>
          <cell r="D1658">
            <v>89036121416</v>
          </cell>
          <cell r="F1658">
            <v>79036121416</v>
          </cell>
        </row>
        <row r="1659">
          <cell r="A1659" t="str">
            <v>Смирнова Наталия Васильевна</v>
          </cell>
          <cell r="B1659" t="str">
            <v>В-26237/КЛ.Транш - 1</v>
          </cell>
          <cell r="D1659">
            <v>79264723692</v>
          </cell>
          <cell r="F1659">
            <v>79264723692</v>
          </cell>
        </row>
        <row r="1660">
          <cell r="A1660" t="str">
            <v>Смолин Виктор Иванович</v>
          </cell>
          <cell r="B1660" t="str">
            <v>В-27788/КЛ.Транш - 1</v>
          </cell>
          <cell r="D1660">
            <v>79034048781</v>
          </cell>
        </row>
        <row r="1661">
          <cell r="A1661" t="str">
            <v>Снегирёв Сергей Викторович</v>
          </cell>
          <cell r="B1661" t="str">
            <v>В-00271/АЗ_Т-20211028/Ц</v>
          </cell>
          <cell r="D1661">
            <v>89161527901</v>
          </cell>
          <cell r="F1661">
            <v>79161527901</v>
          </cell>
        </row>
        <row r="1662">
          <cell r="A1662" t="str">
            <v>Собиров Раджабали Карахужаевич</v>
          </cell>
          <cell r="B1662" t="str">
            <v>В-06818/КЛ.Транш - 1</v>
          </cell>
          <cell r="D1662">
            <v>79215568512</v>
          </cell>
          <cell r="F1662">
            <v>79215568512</v>
          </cell>
        </row>
        <row r="1663">
          <cell r="A1663" t="str">
            <v>Соболев Владимир Александрович</v>
          </cell>
          <cell r="B1663" t="str">
            <v>В-12152/КЛ.Транш - 1</v>
          </cell>
          <cell r="D1663">
            <v>79779552327</v>
          </cell>
          <cell r="F1663">
            <v>79779552327</v>
          </cell>
        </row>
        <row r="1664">
          <cell r="A1664" t="str">
            <v>Сойников Денис Валерьевич</v>
          </cell>
          <cell r="B1664" t="str">
            <v>В-24754/КЛ.Транш - 1</v>
          </cell>
          <cell r="D1664">
            <v>89852269623</v>
          </cell>
          <cell r="F1664">
            <v>79852269623</v>
          </cell>
        </row>
        <row r="1665">
          <cell r="A1665" t="str">
            <v>Соколов Игорь Васильевич</v>
          </cell>
          <cell r="B1665" t="str">
            <v>В-02902/КЛ.Транш - 1_В-20211230/Ц</v>
          </cell>
          <cell r="D1665">
            <v>89611346867</v>
          </cell>
          <cell r="F1665">
            <v>79611346867</v>
          </cell>
        </row>
        <row r="1666">
          <cell r="A1666" t="str">
            <v>Соколов Константин Валентинович</v>
          </cell>
          <cell r="B1666" t="str">
            <v>В-28433/КЛ.Транш - 1</v>
          </cell>
          <cell r="D1666">
            <v>79122443945</v>
          </cell>
        </row>
        <row r="1667">
          <cell r="A1667" t="str">
            <v>Соколов Константин Иванович</v>
          </cell>
          <cell r="B1667" t="str">
            <v>В-28906/КЛ.Транш - 1</v>
          </cell>
          <cell r="D1667">
            <v>89622259165</v>
          </cell>
          <cell r="F1667">
            <v>79622259165</v>
          </cell>
        </row>
        <row r="1668">
          <cell r="A1668" t="str">
            <v>Соколов Сергей Юрьевич</v>
          </cell>
          <cell r="B1668" t="str">
            <v>В-23940/АЗ</v>
          </cell>
          <cell r="D1668">
            <v>79096579794</v>
          </cell>
          <cell r="F1668">
            <v>79096579794</v>
          </cell>
        </row>
        <row r="1669">
          <cell r="A1669" t="str">
            <v>Соколова Екатерина Николаевна</v>
          </cell>
          <cell r="B1669" t="str">
            <v>В-25764/КЛ.Транш - 1</v>
          </cell>
          <cell r="D1669">
            <v>89202421917</v>
          </cell>
          <cell r="F1669">
            <v>79202421917</v>
          </cell>
        </row>
        <row r="1670">
          <cell r="A1670" t="str">
            <v>Соколова Елена Викторовна</v>
          </cell>
          <cell r="B1670" t="str">
            <v>В-20544/КЛ.Транш - 1</v>
          </cell>
          <cell r="D1670">
            <v>79207306661</v>
          </cell>
          <cell r="E1670">
            <v>79207351666</v>
          </cell>
          <cell r="F1670">
            <v>79207306661</v>
          </cell>
        </row>
        <row r="1671">
          <cell r="A1671" t="str">
            <v>Солдатенков Алексей Геннадиевич</v>
          </cell>
          <cell r="B1671" t="str">
            <v>В-14544/КЛ.Транш - 1</v>
          </cell>
          <cell r="D1671">
            <v>79998242758</v>
          </cell>
          <cell r="F1671">
            <v>79998242758</v>
          </cell>
        </row>
        <row r="1672">
          <cell r="A1672" t="str">
            <v>Солдатенков Алексей Геннадиевич</v>
          </cell>
          <cell r="B1672" t="str">
            <v>В-14544/КЛ.Транш - 2</v>
          </cell>
          <cell r="D1672">
            <v>79998242758</v>
          </cell>
          <cell r="F1672">
            <v>79998242758</v>
          </cell>
        </row>
        <row r="1673">
          <cell r="A1673" t="str">
            <v>Соловьёв Владимир Павлович</v>
          </cell>
          <cell r="B1673" t="str">
            <v>В-22238/КЛ.Транш - 1_В20211230/Ц</v>
          </cell>
          <cell r="D1673">
            <v>89257376406</v>
          </cell>
          <cell r="F1673">
            <v>79257376406</v>
          </cell>
        </row>
        <row r="1674">
          <cell r="A1674" t="str">
            <v>Соловьев Сергей Сергеевич</v>
          </cell>
          <cell r="B1674" t="str">
            <v>В-05365/КЛ.Транш - 2</v>
          </cell>
          <cell r="D1674">
            <v>79254057353</v>
          </cell>
          <cell r="F1674">
            <v>79254057353</v>
          </cell>
        </row>
        <row r="1675">
          <cell r="A1675" t="str">
            <v>Соловьев Сергей Сергеевич</v>
          </cell>
          <cell r="B1675" t="str">
            <v>В-05365/КЛ.Транш - 5</v>
          </cell>
          <cell r="D1675">
            <v>79254057353</v>
          </cell>
          <cell r="F1675">
            <v>79254057353</v>
          </cell>
        </row>
        <row r="1676">
          <cell r="A1676" t="str">
            <v>Соловьев Сергей Сергеевич</v>
          </cell>
          <cell r="B1676" t="str">
            <v>В-05365/КЛ.Транш - 3</v>
          </cell>
          <cell r="D1676">
            <v>79254057353</v>
          </cell>
          <cell r="F1676">
            <v>79254057353</v>
          </cell>
        </row>
        <row r="1677">
          <cell r="A1677" t="str">
            <v>Солодов Михаил Александрович</v>
          </cell>
          <cell r="B1677" t="str">
            <v>В-01319/КЛ.Транш - 1</v>
          </cell>
          <cell r="D1677">
            <v>89153197526</v>
          </cell>
          <cell r="F1677">
            <v>79153197526</v>
          </cell>
        </row>
        <row r="1678">
          <cell r="A1678" t="str">
            <v>Соломатин Алексей Юрьевич</v>
          </cell>
          <cell r="B1678" t="str">
            <v>В-00896/АЗ</v>
          </cell>
          <cell r="C1678">
            <v>74997395574</v>
          </cell>
          <cell r="D1678">
            <v>79856007744</v>
          </cell>
          <cell r="E1678">
            <v>79856007744</v>
          </cell>
          <cell r="F1678">
            <v>79856007744</v>
          </cell>
        </row>
        <row r="1679">
          <cell r="A1679" t="str">
            <v>Солохин Александр Игоревич</v>
          </cell>
          <cell r="B1679" t="str">
            <v>В-00478/КЛ.Транш - 1</v>
          </cell>
          <cell r="D1679">
            <v>89152122617</v>
          </cell>
          <cell r="F1679">
            <v>79152122617</v>
          </cell>
        </row>
        <row r="1680">
          <cell r="A1680" t="str">
            <v>Солохин Александр Игоревич</v>
          </cell>
          <cell r="B1680" t="str">
            <v>В-00478/КЛ.Транш - 2</v>
          </cell>
          <cell r="D1680">
            <v>89152122617</v>
          </cell>
          <cell r="F1680">
            <v>79152122617</v>
          </cell>
        </row>
        <row r="1681">
          <cell r="A1681" t="str">
            <v>Сомов Денис Валерьевич</v>
          </cell>
          <cell r="B1681" t="str">
            <v>В-13034/КЛ.Транш - 2</v>
          </cell>
          <cell r="D1681">
            <v>89223428176</v>
          </cell>
          <cell r="F1681">
            <v>79223428176</v>
          </cell>
        </row>
        <row r="1682">
          <cell r="A1682" t="str">
            <v>Сомов Денис Валерьевич</v>
          </cell>
          <cell r="B1682" t="str">
            <v>В-13034/КЛ.Транш - 1</v>
          </cell>
          <cell r="D1682">
            <v>89223428176</v>
          </cell>
          <cell r="F1682">
            <v>79223428176</v>
          </cell>
        </row>
        <row r="1683">
          <cell r="A1683" t="str">
            <v>Сомсиков Антон Николаевич</v>
          </cell>
          <cell r="B1683" t="str">
            <v>В-02105/КЛ.Транш - 1</v>
          </cell>
          <cell r="D1683">
            <v>79817100666</v>
          </cell>
          <cell r="F1683">
            <v>79817100666</v>
          </cell>
        </row>
        <row r="1684">
          <cell r="A1684" t="str">
            <v>Сорокин Александр Вадимович</v>
          </cell>
          <cell r="B1684" t="str">
            <v>Т-01799/АЗ_В-20211230/Ц</v>
          </cell>
          <cell r="D1684">
            <v>89220003323</v>
          </cell>
          <cell r="F1684">
            <v>79220003323</v>
          </cell>
        </row>
        <row r="1685">
          <cell r="A1685" t="str">
            <v>Сорокин Константин Витальевич</v>
          </cell>
          <cell r="B1685" t="str">
            <v>В-10433/КЛ.Транш - 1</v>
          </cell>
          <cell r="D1685">
            <v>79268686455</v>
          </cell>
          <cell r="F1685">
            <v>79268686455</v>
          </cell>
        </row>
        <row r="1686">
          <cell r="A1686" t="str">
            <v>Сорокин Константин Витальевич</v>
          </cell>
          <cell r="B1686" t="str">
            <v>В-10433/КЛ.Транш - 2</v>
          </cell>
          <cell r="D1686">
            <v>79268686455</v>
          </cell>
          <cell r="F1686">
            <v>79268686455</v>
          </cell>
        </row>
        <row r="1687">
          <cell r="A1687" t="str">
            <v>Сорокин Руслан Энриевич</v>
          </cell>
          <cell r="B1687" t="str">
            <v>В-00733/АЗ_В-20211230/Ц</v>
          </cell>
          <cell r="D1687">
            <v>89853377416</v>
          </cell>
          <cell r="F1687">
            <v>79853377416</v>
          </cell>
        </row>
        <row r="1688">
          <cell r="A1688" t="str">
            <v>Сорокина Екатерина Васильевна</v>
          </cell>
          <cell r="B1688" t="str">
            <v>В-10701/КЛ.Транш - 2</v>
          </cell>
          <cell r="D1688" t="str">
            <v>79650346204, 89535282032</v>
          </cell>
          <cell r="F1688">
            <v>79650346204</v>
          </cell>
        </row>
        <row r="1689">
          <cell r="A1689" t="str">
            <v>Сорокина Екатерина Васильевна</v>
          </cell>
          <cell r="B1689" t="str">
            <v>В-10701/КЛ.Транш - 1</v>
          </cell>
          <cell r="D1689" t="str">
            <v>79650346204, 89535282032</v>
          </cell>
          <cell r="F1689">
            <v>79650346204</v>
          </cell>
        </row>
        <row r="1690">
          <cell r="A1690" t="str">
            <v>Сорокина Наталья Владимировна</v>
          </cell>
          <cell r="B1690" t="str">
            <v>В-00966/АЗ</v>
          </cell>
          <cell r="D1690">
            <v>89267240919</v>
          </cell>
          <cell r="F1690">
            <v>79267240919</v>
          </cell>
        </row>
        <row r="1691">
          <cell r="A1691" t="str">
            <v>Сорочкин Сергей Эдуардович</v>
          </cell>
          <cell r="B1691" t="str">
            <v>В-01080/КЛ.Транш - 5</v>
          </cell>
          <cell r="C1691">
            <v>84965150214</v>
          </cell>
          <cell r="D1691">
            <v>89263241855</v>
          </cell>
          <cell r="F1691">
            <v>79263241855</v>
          </cell>
        </row>
        <row r="1692">
          <cell r="A1692" t="str">
            <v>Сосков Иван Сергеевич</v>
          </cell>
          <cell r="B1692" t="str">
            <v>В-18022/КЛ.Транш - 1_В-20211230/Ц</v>
          </cell>
          <cell r="D1692">
            <v>79242511127</v>
          </cell>
          <cell r="F1692">
            <v>79143591608</v>
          </cell>
        </row>
        <row r="1693">
          <cell r="A1693" t="str">
            <v>Союзметиз ООО</v>
          </cell>
          <cell r="B1693" t="str">
            <v>А-00410/КЭ.Транш - 1</v>
          </cell>
        </row>
        <row r="1694">
          <cell r="A1694" t="str">
            <v>СПЕКТР ООО</v>
          </cell>
          <cell r="B1694" t="str">
            <v>В-30006/КЭ.Транш - 2</v>
          </cell>
        </row>
        <row r="1695">
          <cell r="A1695" t="str">
            <v>СПЕКТР ООО</v>
          </cell>
          <cell r="B1695" t="str">
            <v>В-30006/КЭ.Транш - 1</v>
          </cell>
        </row>
        <row r="1696">
          <cell r="A1696" t="str">
            <v>СПЕЦДОРСТРОЙ ООО</v>
          </cell>
          <cell r="B1696" t="str">
            <v>В-30004/КЭ.Транш - 1</v>
          </cell>
        </row>
        <row r="1697">
          <cell r="A1697" t="str">
            <v>Спиридонов Сергей Владимирович</v>
          </cell>
          <cell r="B1697" t="str">
            <v>В-21946/КЛ.Транш - 1</v>
          </cell>
          <cell r="D1697">
            <v>89167958397</v>
          </cell>
          <cell r="F1697">
            <v>79167958397</v>
          </cell>
        </row>
        <row r="1698">
          <cell r="A1698" t="str">
            <v>Спирина Полина Витальевна</v>
          </cell>
          <cell r="B1698" t="str">
            <v>В-03765/КЛ.Транш - 14</v>
          </cell>
          <cell r="C1698">
            <v>84997494577</v>
          </cell>
          <cell r="D1698">
            <v>89267166785</v>
          </cell>
          <cell r="F1698">
            <v>79267166785</v>
          </cell>
        </row>
        <row r="1699">
          <cell r="A1699" t="str">
            <v>Спирина Полина Витальевна</v>
          </cell>
          <cell r="B1699" t="str">
            <v>В-03765/КЛ.Транш - 11</v>
          </cell>
          <cell r="C1699">
            <v>84997494577</v>
          </cell>
          <cell r="D1699">
            <v>89267166785</v>
          </cell>
          <cell r="F1699">
            <v>79267166785</v>
          </cell>
        </row>
        <row r="1700">
          <cell r="A1700" t="str">
            <v>Спирина Полина Витальевна</v>
          </cell>
          <cell r="B1700" t="str">
            <v>В-03765/КЛ.Транш - 12</v>
          </cell>
          <cell r="C1700">
            <v>84997494577</v>
          </cell>
          <cell r="D1700">
            <v>89267166785</v>
          </cell>
          <cell r="F1700">
            <v>79267166785</v>
          </cell>
        </row>
        <row r="1701">
          <cell r="A1701" t="str">
            <v>Спирина Полина Витальевна</v>
          </cell>
          <cell r="B1701" t="str">
            <v>В-03765/КЛ.Транш - 13</v>
          </cell>
          <cell r="C1701">
            <v>84997494577</v>
          </cell>
          <cell r="D1701">
            <v>89267166785</v>
          </cell>
          <cell r="F1701">
            <v>79267166785</v>
          </cell>
        </row>
        <row r="1702">
          <cell r="A1702" t="str">
            <v>Спицын Антон Вадимович</v>
          </cell>
          <cell r="B1702" t="str">
            <v>В-20109/КЛ.Транш - 1</v>
          </cell>
          <cell r="D1702">
            <v>79064511521</v>
          </cell>
          <cell r="F1702">
            <v>79064511521</v>
          </cell>
        </row>
        <row r="1703">
          <cell r="A1703" t="str">
            <v>Спичак Вадим Михайлович</v>
          </cell>
          <cell r="B1703" t="str">
            <v>В-01089/АЗ</v>
          </cell>
          <cell r="C1703">
            <v>74956182375</v>
          </cell>
          <cell r="D1703">
            <v>79153518882</v>
          </cell>
          <cell r="E1703">
            <v>79153518882</v>
          </cell>
          <cell r="F1703">
            <v>79153518882</v>
          </cell>
        </row>
        <row r="1704">
          <cell r="A1704" t="str">
            <v>Спичак Вадим Михайлович</v>
          </cell>
          <cell r="B1704" t="str">
            <v>А-05381/АЗ</v>
          </cell>
          <cell r="C1704">
            <v>74956182375</v>
          </cell>
          <cell r="D1704">
            <v>79153518882</v>
          </cell>
          <cell r="E1704">
            <v>79153518882</v>
          </cell>
          <cell r="F1704">
            <v>79153518882</v>
          </cell>
        </row>
        <row r="1705">
          <cell r="A1705" t="str">
            <v>Спичак Вадим Михайлович</v>
          </cell>
          <cell r="B1705" t="str">
            <v>Т-01821/АЗ_Т-20211028/Ц</v>
          </cell>
          <cell r="C1705">
            <v>74956182375</v>
          </cell>
          <cell r="D1705">
            <v>79153518882</v>
          </cell>
          <cell r="E1705">
            <v>79153518882</v>
          </cell>
          <cell r="F1705">
            <v>79153518882</v>
          </cell>
        </row>
        <row r="1706">
          <cell r="A1706" t="str">
            <v>Станкеев Сергей Николаевич</v>
          </cell>
          <cell r="B1706" t="str">
            <v>В-06186/КЛ.Транш - 1_А-20210929/Ц</v>
          </cell>
          <cell r="D1706">
            <v>79651049468</v>
          </cell>
          <cell r="F1706">
            <v>79651049468</v>
          </cell>
        </row>
        <row r="1707">
          <cell r="A1707" t="str">
            <v>Станкеев Сергей Николаевич</v>
          </cell>
          <cell r="B1707" t="str">
            <v>В-06186/КЛ.Транш - 2_А-20210929/Ц</v>
          </cell>
          <cell r="D1707">
            <v>79651049468</v>
          </cell>
          <cell r="F1707">
            <v>79651049468</v>
          </cell>
        </row>
        <row r="1708">
          <cell r="A1708" t="str">
            <v>Стародубов Виталий Юрьевич</v>
          </cell>
          <cell r="B1708" t="str">
            <v>В-08603/КЛ.Транш - 1</v>
          </cell>
          <cell r="D1708">
            <v>79158532878</v>
          </cell>
          <cell r="F1708">
            <v>79158532878</v>
          </cell>
        </row>
        <row r="1709">
          <cell r="A1709" t="str">
            <v>Степанов Алексей Владимирович</v>
          </cell>
          <cell r="B1709" t="str">
            <v>В-00498/КЛ.Транш - 2</v>
          </cell>
          <cell r="C1709">
            <v>78124460901</v>
          </cell>
          <cell r="D1709">
            <v>79219185170</v>
          </cell>
          <cell r="F1709">
            <v>79219185170</v>
          </cell>
        </row>
        <row r="1710">
          <cell r="A1710" t="str">
            <v>Степанов Алексей Геннадьевич</v>
          </cell>
          <cell r="B1710" t="str">
            <v>А-04171/АЗ</v>
          </cell>
          <cell r="C1710">
            <v>74999083718</v>
          </cell>
          <cell r="D1710">
            <v>79269363002</v>
          </cell>
          <cell r="E1710">
            <v>79269363002</v>
          </cell>
          <cell r="F1710">
            <v>79269363002</v>
          </cell>
        </row>
        <row r="1711">
          <cell r="A1711" t="str">
            <v>Степанов Андрей Васильевич</v>
          </cell>
          <cell r="B1711" t="str">
            <v>Т-01865/АЗ_Т-20211028/Ц</v>
          </cell>
          <cell r="C1711">
            <v>74955889236</v>
          </cell>
          <cell r="D1711">
            <v>79164885887</v>
          </cell>
          <cell r="F1711">
            <v>79164885887</v>
          </cell>
        </row>
        <row r="1712">
          <cell r="A1712" t="str">
            <v>Степанов Игорь Александрович</v>
          </cell>
          <cell r="B1712" t="str">
            <v>В-12716/КЛ.Транш - 1</v>
          </cell>
          <cell r="D1712">
            <v>89107795024</v>
          </cell>
          <cell r="F1712">
            <v>79107795024</v>
          </cell>
        </row>
        <row r="1713">
          <cell r="A1713" t="str">
            <v>Степанова Анна Олеговна</v>
          </cell>
          <cell r="B1713" t="str">
            <v>В-01252/КЛ.Транш - 1_В-20211230/Ц</v>
          </cell>
          <cell r="D1713">
            <v>79110297773</v>
          </cell>
          <cell r="F1713">
            <v>79110297773</v>
          </cell>
        </row>
        <row r="1714">
          <cell r="A1714" t="str">
            <v>Степанян Степан Бахтиярович</v>
          </cell>
          <cell r="B1714" t="str">
            <v>В-00818/АЗ</v>
          </cell>
          <cell r="D1714">
            <v>79897501234</v>
          </cell>
          <cell r="F1714">
            <v>79897501234</v>
          </cell>
        </row>
        <row r="1715">
          <cell r="A1715" t="str">
            <v>Степанян Тигран Геворгович</v>
          </cell>
          <cell r="B1715" t="str">
            <v>В-19252/КЛ.Транш - 1</v>
          </cell>
          <cell r="D1715" t="str">
            <v>89035260173, 84959833436</v>
          </cell>
          <cell r="F1715">
            <v>79035260173</v>
          </cell>
        </row>
        <row r="1716">
          <cell r="A1716" t="str">
            <v>Степенко Александр Сергеевич</v>
          </cell>
          <cell r="B1716" t="str">
            <v>В-12269/КЛ.Транш - 1</v>
          </cell>
          <cell r="D1716">
            <v>79268140732</v>
          </cell>
          <cell r="F1716">
            <v>79268140732</v>
          </cell>
        </row>
        <row r="1717">
          <cell r="A1717" t="str">
            <v>Стрельникова Татьяна Владимировна</v>
          </cell>
          <cell r="B1717" t="str">
            <v>В-21352/КЛ.Транш - 1</v>
          </cell>
          <cell r="D1717">
            <v>79268711354</v>
          </cell>
          <cell r="F1717">
            <v>79268711354</v>
          </cell>
        </row>
        <row r="1718">
          <cell r="A1718" t="str">
            <v>Стрельникова Татьяна Владимировна</v>
          </cell>
          <cell r="B1718" t="str">
            <v>В-21352/КЛ.Транш - 3</v>
          </cell>
          <cell r="D1718">
            <v>79268711354</v>
          </cell>
          <cell r="F1718">
            <v>79268711354</v>
          </cell>
        </row>
        <row r="1719">
          <cell r="A1719" t="str">
            <v>Стрельникова Татьяна Владимировна</v>
          </cell>
          <cell r="B1719" t="str">
            <v>В-21352/КЛ.Транш - 2</v>
          </cell>
          <cell r="D1719">
            <v>79268711354</v>
          </cell>
          <cell r="F1719">
            <v>79268711354</v>
          </cell>
        </row>
        <row r="1720">
          <cell r="A1720" t="str">
            <v>Стрельцов Денис Николаевич</v>
          </cell>
          <cell r="B1720" t="str">
            <v>В-09213/КЛ.Транш - 1</v>
          </cell>
          <cell r="D1720">
            <v>79150995788</v>
          </cell>
          <cell r="E1720">
            <v>79035708460</v>
          </cell>
          <cell r="F1720">
            <v>79150995788</v>
          </cell>
        </row>
        <row r="1721">
          <cell r="A1721" t="str">
            <v>Стрельченкова Мария Владимировна</v>
          </cell>
          <cell r="B1721" t="str">
            <v>В-26644/КЛ.Транш - 1</v>
          </cell>
          <cell r="D1721">
            <v>89660875445</v>
          </cell>
          <cell r="F1721">
            <v>79660875445</v>
          </cell>
        </row>
        <row r="1722">
          <cell r="A1722" t="str">
            <v>СТРОЙ ПРОТЕК ООО</v>
          </cell>
          <cell r="B1722" t="str">
            <v>А-10037/КЭ.Транш - 1</v>
          </cell>
        </row>
        <row r="1723">
          <cell r="A1723" t="str">
            <v>Строй-Универсал ООО</v>
          </cell>
          <cell r="B1723" t="str">
            <v>А-00366/КЭ.Транш - 3</v>
          </cell>
        </row>
        <row r="1724">
          <cell r="A1724" t="str">
            <v>Строчкин Сергей Иванович</v>
          </cell>
          <cell r="B1724" t="str">
            <v>А-05195/АЗ</v>
          </cell>
          <cell r="D1724">
            <v>79266395888</v>
          </cell>
          <cell r="E1724">
            <v>79266395888</v>
          </cell>
        </row>
        <row r="1725">
          <cell r="A1725" t="str">
            <v>Строчкин Сергей Иванович</v>
          </cell>
          <cell r="B1725" t="str">
            <v>Т-01754/АЗ_20190723/Ц</v>
          </cell>
          <cell r="D1725">
            <v>79266395888</v>
          </cell>
          <cell r="E1725">
            <v>79266395888</v>
          </cell>
        </row>
        <row r="1726">
          <cell r="A1726" t="str">
            <v>Струнгарь Григорий Васильевич</v>
          </cell>
          <cell r="B1726" t="str">
            <v>В-00547/АЗ</v>
          </cell>
          <cell r="D1726">
            <v>79661018911</v>
          </cell>
          <cell r="F1726">
            <v>79661018911</v>
          </cell>
        </row>
        <row r="1727">
          <cell r="A1727" t="str">
            <v>Сукач Галина Александровна</v>
          </cell>
          <cell r="B1727" t="str">
            <v>В-07377/КЛ.Транш - 1</v>
          </cell>
          <cell r="D1727">
            <v>79111303089</v>
          </cell>
          <cell r="F1727">
            <v>79111303089</v>
          </cell>
        </row>
        <row r="1728">
          <cell r="A1728" t="str">
            <v>Султанов Салим Исламович</v>
          </cell>
          <cell r="B1728" t="str">
            <v>В-24072/АЗ_В-20211230/Ц</v>
          </cell>
          <cell r="D1728">
            <v>79998708670</v>
          </cell>
          <cell r="F1728">
            <v>79998708670</v>
          </cell>
        </row>
        <row r="1729">
          <cell r="A1729" t="str">
            <v>Султанова Анастасия Григорьевна</v>
          </cell>
          <cell r="B1729" t="str">
            <v>В-29007/КЛ.Транш - 1</v>
          </cell>
          <cell r="D1729">
            <v>79378402894</v>
          </cell>
        </row>
        <row r="1730">
          <cell r="A1730" t="str">
            <v>Султанова Анна Валерьевна</v>
          </cell>
          <cell r="B1730" t="str">
            <v>В-23901/КЛ.Транш - 1</v>
          </cell>
          <cell r="D1730">
            <v>79263845053</v>
          </cell>
          <cell r="F1730">
            <v>79263845053</v>
          </cell>
        </row>
        <row r="1731">
          <cell r="A1731" t="str">
            <v>Сундуков Сергей Сергеевич</v>
          </cell>
          <cell r="B1731" t="str">
            <v>В-19457/КЛ.Транш - 1</v>
          </cell>
          <cell r="D1731">
            <v>79807162030</v>
          </cell>
          <cell r="F1731">
            <v>79807162030</v>
          </cell>
        </row>
        <row r="1732">
          <cell r="A1732" t="str">
            <v>Сурагин Владимир Игоревич</v>
          </cell>
          <cell r="B1732" t="str">
            <v>Т-01835/АЗ_Т-20211028/Ц</v>
          </cell>
          <cell r="E1732">
            <v>79199683989</v>
          </cell>
        </row>
        <row r="1733">
          <cell r="A1733" t="str">
            <v>Сурин Георгий Николаевич</v>
          </cell>
          <cell r="B1733" t="str">
            <v>Т-01880/АЗ_Т-20211028/Ц</v>
          </cell>
          <cell r="D1733">
            <v>79651729544</v>
          </cell>
          <cell r="F1733">
            <v>79651729544</v>
          </cell>
        </row>
        <row r="1734">
          <cell r="A1734" t="str">
            <v>Сутько Максим Николаевич</v>
          </cell>
          <cell r="B1734" t="str">
            <v>В-01013/КЛ.Транш - 1</v>
          </cell>
          <cell r="D1734">
            <v>79217875907</v>
          </cell>
          <cell r="F1734">
            <v>79217875907</v>
          </cell>
        </row>
        <row r="1735">
          <cell r="A1735" t="str">
            <v>Сухов Алексей Александрович</v>
          </cell>
          <cell r="B1735" t="str">
            <v>В-10627/КЛ.Транш - 1</v>
          </cell>
          <cell r="D1735">
            <v>79096760046</v>
          </cell>
          <cell r="E1735">
            <v>79096760046</v>
          </cell>
          <cell r="F1735">
            <v>79096760046</v>
          </cell>
        </row>
        <row r="1736">
          <cell r="A1736" t="str">
            <v>Сывороткин Сергей Валентинович</v>
          </cell>
          <cell r="B1736" t="str">
            <v>В-23979/КЛ.Транш - 1</v>
          </cell>
          <cell r="D1736">
            <v>79616120056</v>
          </cell>
          <cell r="F1736">
            <v>79616120056</v>
          </cell>
        </row>
        <row r="1737">
          <cell r="A1737" t="str">
            <v>Сырышева Жанна Евгеньевна</v>
          </cell>
          <cell r="B1737" t="str">
            <v>В-18972/КЛ.Транш - 1</v>
          </cell>
          <cell r="D1737">
            <v>79112266824</v>
          </cell>
          <cell r="F1737">
            <v>79112266824</v>
          </cell>
        </row>
        <row r="1738">
          <cell r="A1738" t="str">
            <v>Сытник Александр Владимирович</v>
          </cell>
          <cell r="B1738" t="str">
            <v>В-27422/КЛ.Транш - 1</v>
          </cell>
        </row>
        <row r="1739">
          <cell r="A1739" t="str">
            <v>Сычев Станислав Геннадьевич</v>
          </cell>
          <cell r="B1739" t="str">
            <v>А-05334/АЗ_А-20210517/Ц</v>
          </cell>
          <cell r="D1739">
            <v>79052176333</v>
          </cell>
          <cell r="E1739">
            <v>79052176333</v>
          </cell>
          <cell r="F1739">
            <v>79052176333</v>
          </cell>
        </row>
        <row r="1740">
          <cell r="A1740" t="str">
            <v>Сычев Станислав Геннадьевич</v>
          </cell>
          <cell r="B1740" t="str">
            <v>Т-01798/АЗ_Т-20210517/Ц</v>
          </cell>
          <cell r="D1740">
            <v>79052176333</v>
          </cell>
          <cell r="E1740">
            <v>79052176333</v>
          </cell>
          <cell r="F1740">
            <v>79052176333</v>
          </cell>
        </row>
        <row r="1741">
          <cell r="A1741" t="str">
            <v>Тагаева Ольга Гиниядовна</v>
          </cell>
          <cell r="B1741" t="str">
            <v>В-20210/КЛ.Транш - 1</v>
          </cell>
          <cell r="D1741">
            <v>79068500727</v>
          </cell>
          <cell r="F1741">
            <v>79068500727</v>
          </cell>
        </row>
        <row r="1742">
          <cell r="A1742" t="str">
            <v>Тагаева Ольга Гиниядовна</v>
          </cell>
          <cell r="B1742" t="str">
            <v>В-20210/КЛ.Транш - 2</v>
          </cell>
          <cell r="D1742">
            <v>79068500727</v>
          </cell>
          <cell r="F1742">
            <v>79068500727</v>
          </cell>
        </row>
        <row r="1743">
          <cell r="A1743" t="str">
            <v>Тагиев Рафаел Иса Оглы</v>
          </cell>
          <cell r="B1743" t="str">
            <v>В-12007/КЛ.Транш - 2</v>
          </cell>
          <cell r="E1743">
            <v>79167908897</v>
          </cell>
          <cell r="F1743">
            <v>79167908897</v>
          </cell>
        </row>
        <row r="1744">
          <cell r="A1744" t="str">
            <v>Талаев Алексей Анатольевич</v>
          </cell>
          <cell r="B1744" t="str">
            <v>В-10890/КЛ.Транш - 1</v>
          </cell>
          <cell r="D1744">
            <v>79241724674</v>
          </cell>
          <cell r="F1744">
            <v>79241724674</v>
          </cell>
        </row>
        <row r="1745">
          <cell r="A1745" t="str">
            <v>Танишева Ольга Сергеевна</v>
          </cell>
          <cell r="B1745" t="str">
            <v>В-16610/КЛ.Транш - 1</v>
          </cell>
          <cell r="D1745">
            <v>79184362296</v>
          </cell>
          <cell r="E1745">
            <v>79086889615</v>
          </cell>
          <cell r="F1745">
            <v>79184362296</v>
          </cell>
        </row>
        <row r="1746">
          <cell r="A1746" t="str">
            <v>Тарасов Александр Владимирович</v>
          </cell>
          <cell r="B1746" t="str">
            <v>В-02849/КЛ.Транш - 1</v>
          </cell>
          <cell r="D1746">
            <v>89536117014</v>
          </cell>
          <cell r="F1746">
            <v>79536117014</v>
          </cell>
        </row>
        <row r="1747">
          <cell r="A1747" t="str">
            <v>Тарасов Дмитрий Алексеевич</v>
          </cell>
          <cell r="B1747" t="str">
            <v>В-26432/АЗ</v>
          </cell>
          <cell r="C1747">
            <v>84956589832</v>
          </cell>
          <cell r="D1747">
            <v>89165046605</v>
          </cell>
          <cell r="F1747">
            <v>79165046605</v>
          </cell>
        </row>
        <row r="1748">
          <cell r="A1748" t="str">
            <v>Тарасов Дмитрий Алексеевич</v>
          </cell>
          <cell r="B1748" t="str">
            <v>В-01068/АЗ</v>
          </cell>
          <cell r="C1748">
            <v>84956589832</v>
          </cell>
          <cell r="D1748">
            <v>89165046605</v>
          </cell>
          <cell r="F1748">
            <v>79165046605</v>
          </cell>
        </row>
        <row r="1749">
          <cell r="A1749" t="str">
            <v>Тарасов Олег Васильевич</v>
          </cell>
          <cell r="B1749" t="str">
            <v>В-22205/КЛ.Транш - 1</v>
          </cell>
          <cell r="D1749">
            <v>79829081999</v>
          </cell>
          <cell r="F1749">
            <v>79829081999</v>
          </cell>
        </row>
        <row r="1750">
          <cell r="A1750" t="str">
            <v>Тарасов Олег Васильевич</v>
          </cell>
          <cell r="B1750" t="str">
            <v>В-22205/КЛ.Транш - 2</v>
          </cell>
          <cell r="D1750">
            <v>79829081999</v>
          </cell>
          <cell r="F1750">
            <v>79829081999</v>
          </cell>
        </row>
        <row r="1751">
          <cell r="A1751" t="str">
            <v>Тарасов Сергей Валерьевич</v>
          </cell>
          <cell r="B1751" t="str">
            <v>В-28154/КЛ.Транш - 1</v>
          </cell>
          <cell r="D1751">
            <v>79788315190</v>
          </cell>
          <cell r="F1751">
            <v>79788315190</v>
          </cell>
        </row>
        <row r="1752">
          <cell r="A1752" t="str">
            <v>Ташланова Юлия Юрьевна</v>
          </cell>
          <cell r="B1752" t="str">
            <v>В-17788/КЛ.Транш - 3</v>
          </cell>
          <cell r="D1752">
            <v>79630330171</v>
          </cell>
          <cell r="F1752">
            <v>79630330171</v>
          </cell>
        </row>
        <row r="1753">
          <cell r="A1753" t="str">
            <v>Ташланова Юлия Юрьевна</v>
          </cell>
          <cell r="B1753" t="str">
            <v>В-17788/КЛ.Транш - 1</v>
          </cell>
          <cell r="D1753">
            <v>79630330171</v>
          </cell>
          <cell r="F1753">
            <v>79630330171</v>
          </cell>
        </row>
        <row r="1754">
          <cell r="A1754" t="str">
            <v>Ташланова Юлия Юрьевна</v>
          </cell>
          <cell r="B1754" t="str">
            <v>В-17788/КЛ.Транш - 2</v>
          </cell>
          <cell r="D1754">
            <v>79630330171</v>
          </cell>
          <cell r="F1754">
            <v>79630330171</v>
          </cell>
        </row>
        <row r="1755">
          <cell r="A1755" t="str">
            <v>Темникова Оксана Дмитриевна</v>
          </cell>
          <cell r="B1755" t="str">
            <v>В-15393/КЛ.Транш - 1</v>
          </cell>
          <cell r="D1755">
            <v>79297003562</v>
          </cell>
          <cell r="F1755">
            <v>79297003562</v>
          </cell>
        </row>
        <row r="1756">
          <cell r="A1756" t="str">
            <v>Теплякова Оксана Вячеславовна</v>
          </cell>
          <cell r="B1756" t="str">
            <v>В-22101/КЛ.Транш - 1</v>
          </cell>
          <cell r="D1756">
            <v>89678258615</v>
          </cell>
          <cell r="F1756">
            <v>79678258615</v>
          </cell>
        </row>
        <row r="1757">
          <cell r="A1757" t="str">
            <v>Терентьев Антон Николаевич</v>
          </cell>
          <cell r="B1757" t="str">
            <v>В-01193/АЗ</v>
          </cell>
          <cell r="D1757">
            <v>89169337638</v>
          </cell>
          <cell r="F1757">
            <v>79169337638</v>
          </cell>
        </row>
        <row r="1758">
          <cell r="A1758" t="str">
            <v>Терехов Андрей Анатольевич</v>
          </cell>
          <cell r="B1758" t="str">
            <v>В-20035/КЛ.Транш - 1</v>
          </cell>
          <cell r="D1758">
            <v>79104401148</v>
          </cell>
          <cell r="F1758">
            <v>79104401148</v>
          </cell>
        </row>
        <row r="1759">
          <cell r="A1759" t="str">
            <v>Терещенко Дмитрий Андреевич</v>
          </cell>
          <cell r="B1759" t="str">
            <v>В-05766/КЛ.Транш - 4</v>
          </cell>
          <cell r="C1759">
            <v>74994575281</v>
          </cell>
          <cell r="D1759">
            <v>79100000656</v>
          </cell>
          <cell r="E1759">
            <v>79100000656</v>
          </cell>
          <cell r="F1759">
            <v>79100000656</v>
          </cell>
        </row>
        <row r="1760">
          <cell r="A1760" t="str">
            <v>Терновая Наталия Вячеславовна</v>
          </cell>
          <cell r="B1760" t="str">
            <v>В-26135/КЛ.Транш - 1</v>
          </cell>
          <cell r="D1760">
            <v>79261701103</v>
          </cell>
          <cell r="F1760">
            <v>79261701103</v>
          </cell>
        </row>
        <row r="1761">
          <cell r="A1761" t="str">
            <v>Тертишник Павел Валерьевич</v>
          </cell>
          <cell r="B1761" t="str">
            <v>В-23906/КЛ.Транш - 1</v>
          </cell>
          <cell r="D1761">
            <v>79168487359</v>
          </cell>
          <cell r="F1761">
            <v>79168487359</v>
          </cell>
        </row>
        <row r="1762">
          <cell r="A1762" t="str">
            <v>Теслюк Игорь Анатольевич</v>
          </cell>
          <cell r="B1762" t="str">
            <v>В-00256/КЛ.Транш - 1_В-20211230/Ц</v>
          </cell>
          <cell r="D1762">
            <v>79096888811</v>
          </cell>
          <cell r="F1762">
            <v>79096888811</v>
          </cell>
        </row>
        <row r="1763">
          <cell r="A1763" t="str">
            <v>Теслюк Игорь Анатольевич</v>
          </cell>
          <cell r="B1763" t="str">
            <v>В-00256/КЛ.Транш - 2_В-20211230/Ц</v>
          </cell>
          <cell r="D1763">
            <v>79096888811</v>
          </cell>
          <cell r="F1763">
            <v>79096888811</v>
          </cell>
        </row>
        <row r="1764">
          <cell r="A1764" t="str">
            <v>Тетерин Владимир Михайлович</v>
          </cell>
          <cell r="B1764" t="str">
            <v>В-08962/КЛ.Транш - 1</v>
          </cell>
          <cell r="D1764">
            <v>79051449523</v>
          </cell>
          <cell r="F1764">
            <v>79051449523</v>
          </cell>
        </row>
        <row r="1765">
          <cell r="A1765" t="str">
            <v>ТехТара ООО</v>
          </cell>
          <cell r="B1765" t="str">
            <v>В-00070/КЭ.Транш - 1</v>
          </cell>
        </row>
        <row r="1766">
          <cell r="A1766" t="str">
            <v>Тигранян Гор Робертович</v>
          </cell>
          <cell r="B1766" t="str">
            <v>В-27843/КЛ.Транш - 1</v>
          </cell>
          <cell r="D1766">
            <v>89057949299</v>
          </cell>
          <cell r="F1766">
            <v>79057949299</v>
          </cell>
        </row>
        <row r="1767">
          <cell r="A1767" t="str">
            <v>Тимонин Виктор Викторович</v>
          </cell>
          <cell r="B1767" t="str">
            <v>В-01143/АЗ</v>
          </cell>
          <cell r="D1767">
            <v>79189414997</v>
          </cell>
          <cell r="F1767">
            <v>79189414997</v>
          </cell>
        </row>
        <row r="1768">
          <cell r="A1768" t="str">
            <v>Тимохин Иван Алексеевич</v>
          </cell>
          <cell r="B1768" t="str">
            <v>В-20329/КЛ.Транш - 1</v>
          </cell>
          <cell r="D1768">
            <v>79154745516</v>
          </cell>
          <cell r="F1768">
            <v>79154745516</v>
          </cell>
        </row>
        <row r="1769">
          <cell r="A1769" t="str">
            <v>Тимохин Иван Алексеевич</v>
          </cell>
          <cell r="B1769" t="str">
            <v>В-20329/КЛ.Транш - 2</v>
          </cell>
          <cell r="D1769">
            <v>79154745516</v>
          </cell>
          <cell r="F1769">
            <v>79154745516</v>
          </cell>
        </row>
        <row r="1770">
          <cell r="A1770" t="str">
            <v>Тимошинин Сергей Сергеевич</v>
          </cell>
          <cell r="B1770" t="str">
            <v>В-00553/КЛ.Транш - 5_В-20211230/Ц</v>
          </cell>
          <cell r="D1770">
            <v>79250281798</v>
          </cell>
          <cell r="F1770">
            <v>79250281798</v>
          </cell>
        </row>
        <row r="1771">
          <cell r="A1771" t="str">
            <v>Тимошинин Сергей Сергеевич</v>
          </cell>
          <cell r="B1771" t="str">
            <v>В-00553/КЛ.Транш - 7_В-20211230/Ц</v>
          </cell>
          <cell r="D1771">
            <v>79250281798</v>
          </cell>
          <cell r="F1771">
            <v>79250281798</v>
          </cell>
        </row>
        <row r="1772">
          <cell r="A1772" t="str">
            <v>Тимошинин Сергей Сергеевич</v>
          </cell>
          <cell r="B1772" t="str">
            <v>В-00553/КЛ.Транш - 8_В-20211230/Ц</v>
          </cell>
          <cell r="D1772">
            <v>79250281798</v>
          </cell>
          <cell r="F1772">
            <v>79250281798</v>
          </cell>
        </row>
        <row r="1773">
          <cell r="A1773" t="str">
            <v>Титов Максим Сергеевич</v>
          </cell>
          <cell r="B1773" t="str">
            <v>В-14484/КЛ.Транш - 1</v>
          </cell>
          <cell r="D1773">
            <v>79826356431</v>
          </cell>
          <cell r="F1773">
            <v>79826356431</v>
          </cell>
        </row>
        <row r="1774">
          <cell r="A1774" t="str">
            <v>Тихонов Максим Алексеевич</v>
          </cell>
          <cell r="B1774" t="str">
            <v>В-08042/КЛ.Транш - 1_В-20211230/Ц</v>
          </cell>
          <cell r="C1774">
            <v>84957018552</v>
          </cell>
          <cell r="D1774">
            <v>89771729998</v>
          </cell>
          <cell r="F1774">
            <v>79771729998</v>
          </cell>
        </row>
        <row r="1775">
          <cell r="A1775" t="str">
            <v>Тихонова Ирина Анатольевна</v>
          </cell>
          <cell r="B1775" t="str">
            <v>В-03300/КЛ.Транш - 1</v>
          </cell>
          <cell r="D1775">
            <v>89153008651</v>
          </cell>
          <cell r="F1775">
            <v>79153008651</v>
          </cell>
        </row>
        <row r="1776">
          <cell r="A1776" t="str">
            <v>ТК МЕЖРЕГИОНСЕРВИС-77 ООО</v>
          </cell>
          <cell r="B1776" t="str">
            <v>В-00034/КЭ.Транш - 1_В20211230/Ц</v>
          </cell>
        </row>
        <row r="1777">
          <cell r="A1777" t="str">
            <v>Токин Юрий Эдуардович</v>
          </cell>
          <cell r="B1777" t="str">
            <v>В-27334/КЛ.Транш - 1</v>
          </cell>
          <cell r="D1777">
            <v>79778502087</v>
          </cell>
        </row>
        <row r="1778">
          <cell r="A1778" t="str">
            <v>Толкачева Елена Владимировна</v>
          </cell>
          <cell r="B1778" t="str">
            <v>В-03761/КЛ.Транш - 1</v>
          </cell>
          <cell r="D1778">
            <v>79104938470</v>
          </cell>
          <cell r="F1778">
            <v>79104938470</v>
          </cell>
        </row>
        <row r="1779">
          <cell r="A1779" t="str">
            <v>Тонконогов Артем Андреевич</v>
          </cell>
          <cell r="B1779" t="str">
            <v>В-21858/КЛ.Транш - 1_В-20211230/Ц</v>
          </cell>
          <cell r="D1779">
            <v>79209336766</v>
          </cell>
          <cell r="F1779">
            <v>79209336766</v>
          </cell>
        </row>
        <row r="1780">
          <cell r="A1780" t="str">
            <v>Торокулов Уланбек Талайбекович</v>
          </cell>
          <cell r="B1780" t="str">
            <v>В-06130/КЛ.Транш - 4</v>
          </cell>
          <cell r="C1780">
            <v>89612443737</v>
          </cell>
          <cell r="D1780">
            <v>89266343296</v>
          </cell>
          <cell r="F1780">
            <v>79266343296</v>
          </cell>
        </row>
        <row r="1781">
          <cell r="A1781" t="str">
            <v>Торокулов Уланбек Талайбекович</v>
          </cell>
          <cell r="B1781" t="str">
            <v>В-06130/КЛ.Транш - 5</v>
          </cell>
          <cell r="C1781">
            <v>89612443737</v>
          </cell>
          <cell r="D1781">
            <v>89266343296</v>
          </cell>
          <cell r="F1781">
            <v>79266343296</v>
          </cell>
        </row>
        <row r="1782">
          <cell r="A1782" t="str">
            <v>Торокулов Уланбек Талайбекович</v>
          </cell>
          <cell r="B1782" t="str">
            <v>В-06130/КЛ.Транш - 6</v>
          </cell>
          <cell r="C1782">
            <v>89612443737</v>
          </cell>
          <cell r="D1782">
            <v>89266343296</v>
          </cell>
          <cell r="F1782">
            <v>79266343296</v>
          </cell>
        </row>
        <row r="1783">
          <cell r="A1783" t="str">
            <v>Торокулов Уланбек Талайбекович</v>
          </cell>
          <cell r="B1783" t="str">
            <v>В-06130/КЛ.Транш - 7</v>
          </cell>
          <cell r="C1783">
            <v>89612443737</v>
          </cell>
          <cell r="D1783">
            <v>89266343296</v>
          </cell>
          <cell r="F1783">
            <v>79266343296</v>
          </cell>
        </row>
        <row r="1784">
          <cell r="A1784" t="str">
            <v>Торосян Ара Вирапович</v>
          </cell>
          <cell r="B1784" t="str">
            <v>В-05654/КЛ.Транш - 1</v>
          </cell>
          <cell r="D1784">
            <v>79999610139</v>
          </cell>
          <cell r="F1784">
            <v>79999610139</v>
          </cell>
        </row>
        <row r="1785">
          <cell r="A1785" t="str">
            <v>Травничек Андрей Михайлович</v>
          </cell>
          <cell r="B1785" t="str">
            <v>В-04096/КЛ.Транш - 1</v>
          </cell>
          <cell r="C1785">
            <v>74963166864</v>
          </cell>
          <cell r="D1785">
            <v>79264249787</v>
          </cell>
          <cell r="F1785">
            <v>79264249787</v>
          </cell>
        </row>
        <row r="1786">
          <cell r="A1786" t="str">
            <v>Травничек Андрей Михайлович</v>
          </cell>
          <cell r="B1786" t="str">
            <v>В-04096/КЛ.Транш - 2</v>
          </cell>
          <cell r="C1786">
            <v>74963166864</v>
          </cell>
          <cell r="D1786">
            <v>79264249787</v>
          </cell>
          <cell r="F1786">
            <v>79264249787</v>
          </cell>
        </row>
        <row r="1787">
          <cell r="A1787" t="str">
            <v>Травничек Андрей Михайлович</v>
          </cell>
          <cell r="B1787" t="str">
            <v>В-04096/КЛ.Транш - 3</v>
          </cell>
          <cell r="C1787">
            <v>74963166864</v>
          </cell>
          <cell r="D1787">
            <v>79264249787</v>
          </cell>
          <cell r="F1787">
            <v>79264249787</v>
          </cell>
        </row>
        <row r="1788">
          <cell r="A1788" t="str">
            <v>ТРАНСЛОГ ООО</v>
          </cell>
          <cell r="B1788" t="str">
            <v>А-10118/КЭ.Транш - 1</v>
          </cell>
        </row>
        <row r="1789">
          <cell r="A1789" t="str">
            <v>ТРАНСЛОГ ООО</v>
          </cell>
          <cell r="B1789" t="str">
            <v>В-10022/КЭ.Транш - 1</v>
          </cell>
        </row>
        <row r="1790">
          <cell r="A1790" t="str">
            <v>Трахов Заур Шамсудинович</v>
          </cell>
          <cell r="B1790" t="str">
            <v>В-26963/КЛ.Транш - 1</v>
          </cell>
          <cell r="D1790">
            <v>79182202722</v>
          </cell>
        </row>
        <row r="1791">
          <cell r="A1791" t="str">
            <v>Трененков Александр Николаевич</v>
          </cell>
          <cell r="B1791" t="str">
            <v>В-01207/АЗ</v>
          </cell>
          <cell r="D1791">
            <v>79021231202</v>
          </cell>
          <cell r="E1791">
            <v>79603792747</v>
          </cell>
          <cell r="F1791">
            <v>79021231202</v>
          </cell>
        </row>
        <row r="1792">
          <cell r="A1792" t="str">
            <v>ТРИТОНН ООО</v>
          </cell>
          <cell r="B1792" t="str">
            <v>В-30010/КЭ.Транш - 1</v>
          </cell>
        </row>
        <row r="1793">
          <cell r="A1793" t="str">
            <v>Трифонов Николай Валентинович</v>
          </cell>
          <cell r="B1793" t="str">
            <v>В-00151/АЗ_В-20211230/Ц</v>
          </cell>
          <cell r="D1793">
            <v>89117782442</v>
          </cell>
          <cell r="F1793">
            <v>79117782442</v>
          </cell>
        </row>
        <row r="1794">
          <cell r="A1794" t="str">
            <v>Тришина Екатерина Викторовна</v>
          </cell>
          <cell r="B1794" t="str">
            <v>В-21146/КЛ.Транш - 1_В-20211230/Ц</v>
          </cell>
          <cell r="D1794">
            <v>79641350337</v>
          </cell>
          <cell r="F1794">
            <v>79641350337</v>
          </cell>
        </row>
        <row r="1795">
          <cell r="A1795" t="str">
            <v>Трофименко Артем Алексеевич</v>
          </cell>
          <cell r="B1795" t="str">
            <v>В-01228/АЗ</v>
          </cell>
          <cell r="D1795">
            <v>79036691666</v>
          </cell>
          <cell r="F1795">
            <v>79036691666</v>
          </cell>
        </row>
        <row r="1796">
          <cell r="A1796" t="str">
            <v>Трофимов Олег Владимирович</v>
          </cell>
          <cell r="B1796" t="str">
            <v>В-00714/КЛ.Транш - 1</v>
          </cell>
          <cell r="D1796">
            <v>79250073343</v>
          </cell>
          <cell r="F1796">
            <v>79250073343</v>
          </cell>
        </row>
        <row r="1797">
          <cell r="A1797" t="str">
            <v>Трошин Владимир Петрович</v>
          </cell>
          <cell r="B1797" t="str">
            <v>В-28355/КЛ.Транш - 1</v>
          </cell>
          <cell r="D1797">
            <v>89202797778</v>
          </cell>
          <cell r="F1797">
            <v>79202797778</v>
          </cell>
        </row>
        <row r="1798">
          <cell r="A1798" t="str">
            <v>Трунтов Андрей Федорович</v>
          </cell>
          <cell r="B1798" t="str">
            <v>В-17824/КЛ.Транш - 1</v>
          </cell>
          <cell r="D1798">
            <v>79221799222</v>
          </cell>
          <cell r="F1798">
            <v>79221799222</v>
          </cell>
        </row>
        <row r="1799">
          <cell r="A1799" t="str">
            <v>Трупиков Дмитрий Станиславович</v>
          </cell>
          <cell r="B1799" t="str">
            <v>В-11533/КЛ.Транш - 1</v>
          </cell>
          <cell r="D1799">
            <v>89203522021</v>
          </cell>
          <cell r="F1799">
            <v>79203522021</v>
          </cell>
        </row>
        <row r="1800">
          <cell r="A1800" t="str">
            <v>Труханкин Анатолий Васильевич</v>
          </cell>
          <cell r="B1800" t="str">
            <v>В-26928/КЛ.Транш - 1</v>
          </cell>
          <cell r="D1800">
            <v>79877821153</v>
          </cell>
          <cell r="F1800">
            <v>79877821153</v>
          </cell>
        </row>
        <row r="1801">
          <cell r="A1801" t="str">
            <v>Трушникова Инна Олеговна</v>
          </cell>
          <cell r="B1801" t="str">
            <v>В-18261/КЛ.Транш - 1</v>
          </cell>
          <cell r="D1801">
            <v>79150093223</v>
          </cell>
          <cell r="E1801">
            <v>79150093223</v>
          </cell>
          <cell r="F1801">
            <v>79150093223</v>
          </cell>
        </row>
        <row r="1802">
          <cell r="A1802" t="str">
            <v>Тряпко Владимир Александрович</v>
          </cell>
          <cell r="B1802" t="str">
            <v>В-21574/КЛ.Транш - 1</v>
          </cell>
          <cell r="D1802">
            <v>79165483213</v>
          </cell>
          <cell r="F1802">
            <v>79165483213</v>
          </cell>
        </row>
        <row r="1803">
          <cell r="A1803" t="str">
            <v>Тульнова Ольга Владимировна</v>
          </cell>
          <cell r="B1803" t="str">
            <v>В-12067/КЛ.Транш - 1</v>
          </cell>
          <cell r="F1803">
            <v>79204054175</v>
          </cell>
        </row>
        <row r="1804">
          <cell r="A1804" t="str">
            <v>Тунбаев Максим Валерович</v>
          </cell>
          <cell r="B1804" t="str">
            <v>В-08148/КЛ.Транш - 2</v>
          </cell>
          <cell r="D1804">
            <v>79371877777</v>
          </cell>
          <cell r="F1804">
            <v>79371877777</v>
          </cell>
        </row>
        <row r="1805">
          <cell r="A1805" t="str">
            <v>Турумбекова Темиркан Кадырбековна</v>
          </cell>
          <cell r="B1805" t="str">
            <v>В-27753/КЛ.Транш - 1</v>
          </cell>
          <cell r="D1805">
            <v>89006229906</v>
          </cell>
          <cell r="F1805">
            <v>79006229906</v>
          </cell>
        </row>
        <row r="1806">
          <cell r="A1806" t="str">
            <v>Тутуев Александр Сергеевич</v>
          </cell>
          <cell r="B1806" t="str">
            <v>В-20607/КЛ.Транш - 1</v>
          </cell>
          <cell r="D1806">
            <v>79065140560</v>
          </cell>
          <cell r="F1806">
            <v>79065140560</v>
          </cell>
        </row>
        <row r="1807">
          <cell r="A1807" t="str">
            <v>Тюменцев Максим Сергеевич</v>
          </cell>
          <cell r="B1807" t="str">
            <v>В-03413/КЛ.Транш - 1</v>
          </cell>
          <cell r="D1807">
            <v>89388774050</v>
          </cell>
          <cell r="F1807">
            <v>79388774050</v>
          </cell>
        </row>
        <row r="1808">
          <cell r="A1808" t="str">
            <v>Тюмин Валерий Александрович</v>
          </cell>
          <cell r="B1808" t="str">
            <v>В-13025/КЛ.Транш - 1_А-20210929/Ц</v>
          </cell>
          <cell r="D1808">
            <v>79869544879</v>
          </cell>
          <cell r="F1808">
            <v>79869544879</v>
          </cell>
        </row>
        <row r="1809">
          <cell r="A1809" t="str">
            <v>Тюрин Алексей Викторович</v>
          </cell>
          <cell r="B1809" t="str">
            <v>В-16441/КЛ.Транш - 1_В-20211230/Ц</v>
          </cell>
          <cell r="D1809">
            <v>79033608111</v>
          </cell>
          <cell r="F1809">
            <v>79033608111</v>
          </cell>
        </row>
        <row r="1810">
          <cell r="A1810" t="str">
            <v>Узаков Пахлавон Муродилович</v>
          </cell>
          <cell r="B1810" t="str">
            <v>В-06143/КЛ.Транш - 1</v>
          </cell>
          <cell r="C1810">
            <v>79645921717</v>
          </cell>
          <cell r="D1810">
            <v>79150005343</v>
          </cell>
          <cell r="F1810">
            <v>79150005343</v>
          </cell>
        </row>
        <row r="1811">
          <cell r="A1811" t="str">
            <v>Ульбашева Елена Владимировна</v>
          </cell>
          <cell r="B1811" t="str">
            <v>В-28539/КЛ.Транш - 1</v>
          </cell>
          <cell r="D1811">
            <v>79643296845</v>
          </cell>
          <cell r="F1811">
            <v>79643296845</v>
          </cell>
        </row>
        <row r="1812">
          <cell r="A1812" t="str">
            <v>Унанян Самвел Мартунович</v>
          </cell>
          <cell r="B1812" t="str">
            <v>В-12432/КЛ.Транш - 1</v>
          </cell>
          <cell r="D1812">
            <v>89647151845</v>
          </cell>
          <cell r="F1812">
            <v>79647151845</v>
          </cell>
        </row>
        <row r="1813">
          <cell r="A1813" t="str">
            <v>Усанова Евгения Георгиевна</v>
          </cell>
          <cell r="B1813" t="str">
            <v>В-28642/АЗ</v>
          </cell>
          <cell r="D1813">
            <v>79166080113</v>
          </cell>
          <cell r="F1813">
            <v>79166080113</v>
          </cell>
        </row>
        <row r="1814">
          <cell r="A1814" t="str">
            <v>Усанова Екатерина Евгеньевна</v>
          </cell>
          <cell r="B1814" t="str">
            <v>В-28645/АЗ</v>
          </cell>
          <cell r="C1814">
            <v>84954628130</v>
          </cell>
          <cell r="D1814">
            <v>79857609255</v>
          </cell>
          <cell r="F1814">
            <v>79857609255</v>
          </cell>
        </row>
        <row r="1815">
          <cell r="A1815" t="str">
            <v>Усенко Сергей Константинович</v>
          </cell>
          <cell r="B1815" t="str">
            <v>В-24941/КЛ.Транш - 1</v>
          </cell>
          <cell r="D1815">
            <v>79046317839</v>
          </cell>
          <cell r="F1815">
            <v>79046317839</v>
          </cell>
        </row>
        <row r="1816">
          <cell r="A1816" t="str">
            <v>Усиков Андрей Васильевич</v>
          </cell>
          <cell r="B1816" t="str">
            <v>В-04682/КЛ.Транш - 4</v>
          </cell>
          <cell r="D1816">
            <v>79035805153</v>
          </cell>
          <cell r="F1816">
            <v>79035805153</v>
          </cell>
        </row>
        <row r="1817">
          <cell r="A1817" t="str">
            <v>Усиков Андрей Васильевич</v>
          </cell>
          <cell r="B1817" t="str">
            <v>В-04682/КЛ.Транш - 3</v>
          </cell>
          <cell r="D1817">
            <v>79035805153</v>
          </cell>
          <cell r="F1817">
            <v>79035805153</v>
          </cell>
        </row>
        <row r="1818">
          <cell r="A1818" t="str">
            <v>Усиков Андрей Васильевич</v>
          </cell>
          <cell r="B1818" t="str">
            <v>В-04682/КЛ.Транш - 8</v>
          </cell>
          <cell r="D1818">
            <v>79035805153</v>
          </cell>
          <cell r="F1818">
            <v>79035805153</v>
          </cell>
        </row>
        <row r="1819">
          <cell r="A1819" t="str">
            <v>Усиков Андрей Васильевич</v>
          </cell>
          <cell r="B1819" t="str">
            <v>В-04682/КЛ.Транш - 6</v>
          </cell>
          <cell r="D1819">
            <v>79035805153</v>
          </cell>
          <cell r="F1819">
            <v>79035805153</v>
          </cell>
        </row>
        <row r="1820">
          <cell r="A1820" t="str">
            <v>Усиков Андрей Васильевич</v>
          </cell>
          <cell r="B1820" t="str">
            <v>В-04682/КЛ.Транш - 7</v>
          </cell>
          <cell r="D1820">
            <v>79035805153</v>
          </cell>
          <cell r="F1820">
            <v>79035805153</v>
          </cell>
        </row>
        <row r="1821">
          <cell r="A1821" t="str">
            <v>Усиков Андрей Васильевич</v>
          </cell>
          <cell r="B1821" t="str">
            <v>В-04682/КЛ.Транш - 5</v>
          </cell>
          <cell r="D1821">
            <v>79035805153</v>
          </cell>
          <cell r="F1821">
            <v>79035805153</v>
          </cell>
        </row>
        <row r="1822">
          <cell r="A1822" t="str">
            <v>Устинов Максим Викторович</v>
          </cell>
          <cell r="B1822" t="str">
            <v>В-19451/КЛ.Транш - 1</v>
          </cell>
          <cell r="D1822">
            <v>79263030102</v>
          </cell>
          <cell r="F1822">
            <v>79263030102</v>
          </cell>
        </row>
        <row r="1823">
          <cell r="A1823" t="str">
            <v>Устинов Максим Викторович</v>
          </cell>
          <cell r="B1823" t="str">
            <v>В-19451/КЛ.Транш - 2</v>
          </cell>
          <cell r="D1823">
            <v>79263030102</v>
          </cell>
          <cell r="F1823">
            <v>79263030102</v>
          </cell>
        </row>
        <row r="1824">
          <cell r="A1824" t="str">
            <v>Устинов Максим Викторович</v>
          </cell>
          <cell r="B1824" t="str">
            <v>В-19451/КЛ.Транш - 3</v>
          </cell>
          <cell r="D1824">
            <v>79263030102</v>
          </cell>
          <cell r="F1824">
            <v>79263030102</v>
          </cell>
        </row>
        <row r="1825">
          <cell r="A1825" t="str">
            <v>Уткин Алексей Александрович</v>
          </cell>
          <cell r="B1825" t="str">
            <v>В-17940/КЛ.Транш - 1</v>
          </cell>
          <cell r="D1825">
            <v>79107961131</v>
          </cell>
          <cell r="F1825">
            <v>79107961131</v>
          </cell>
        </row>
        <row r="1826">
          <cell r="A1826" t="str">
            <v>Уткин Алексей Александрович</v>
          </cell>
          <cell r="B1826" t="str">
            <v>В-17940/КЛ.Транш - 3</v>
          </cell>
          <cell r="D1826">
            <v>79107961131</v>
          </cell>
          <cell r="F1826">
            <v>79107961131</v>
          </cell>
        </row>
        <row r="1827">
          <cell r="A1827" t="str">
            <v>Уткин Алексей Александрович</v>
          </cell>
          <cell r="B1827" t="str">
            <v>В-17940/КЛ.Транш - 2</v>
          </cell>
          <cell r="D1827">
            <v>79107961131</v>
          </cell>
          <cell r="F1827">
            <v>79107961131</v>
          </cell>
        </row>
        <row r="1828">
          <cell r="A1828" t="str">
            <v>Фадеев Андрей Алексеевич</v>
          </cell>
          <cell r="B1828" t="str">
            <v>В-11549/КЛ.Транш - 2</v>
          </cell>
          <cell r="D1828">
            <v>79265859234</v>
          </cell>
          <cell r="F1828">
            <v>79265859234</v>
          </cell>
        </row>
        <row r="1829">
          <cell r="A1829" t="str">
            <v>Файзуллин Марат Равильевич</v>
          </cell>
          <cell r="B1829" t="str">
            <v>В-22336/КЛ.Транш - 1</v>
          </cell>
          <cell r="D1829">
            <v>79030171115</v>
          </cell>
          <cell r="F1829">
            <v>79030171115</v>
          </cell>
        </row>
        <row r="1830">
          <cell r="A1830" t="str">
            <v>Фатьянов Валерий Михайлович</v>
          </cell>
          <cell r="B1830" t="str">
            <v>В-25978/КЛ.Транш - 1</v>
          </cell>
          <cell r="D1830">
            <v>79996008755</v>
          </cell>
          <cell r="F1830">
            <v>79996008755</v>
          </cell>
        </row>
        <row r="1831">
          <cell r="A1831" t="str">
            <v>Федоров Александр Николаевич</v>
          </cell>
          <cell r="B1831" t="str">
            <v>В-24198/КЛ.Транш - 6</v>
          </cell>
          <cell r="D1831">
            <v>79251110528</v>
          </cell>
          <cell r="F1831">
            <v>79251110528</v>
          </cell>
        </row>
        <row r="1832">
          <cell r="A1832" t="str">
            <v>Федорченко Любовь Сергеевна</v>
          </cell>
          <cell r="B1832" t="str">
            <v>В-00094/КЛ.Транш - 1</v>
          </cell>
          <cell r="D1832">
            <v>79687658661</v>
          </cell>
          <cell r="F1832">
            <v>79687658661</v>
          </cell>
        </row>
        <row r="1833">
          <cell r="A1833" t="str">
            <v>Федоткин Константин Михайлович</v>
          </cell>
          <cell r="B1833" t="str">
            <v>В-17395/КЛ.Транш - 1</v>
          </cell>
          <cell r="D1833">
            <v>79531889678</v>
          </cell>
          <cell r="F1833">
            <v>79531889678</v>
          </cell>
        </row>
        <row r="1834">
          <cell r="A1834" t="str">
            <v>Фейзуллаев Альберт Нефтуллаевич</v>
          </cell>
          <cell r="B1834" t="str">
            <v>В-04210/КЛ.Транш - 1</v>
          </cell>
          <cell r="D1834">
            <v>79675918868</v>
          </cell>
          <cell r="F1834">
            <v>79675918868</v>
          </cell>
        </row>
        <row r="1835">
          <cell r="A1835" t="str">
            <v>Фетисов Сергей Владимирович</v>
          </cell>
          <cell r="B1835" t="str">
            <v>В-12631/КЛ.Транш - 1</v>
          </cell>
          <cell r="D1835">
            <v>79204797477</v>
          </cell>
          <cell r="E1835">
            <v>79672015609</v>
          </cell>
          <cell r="F1835">
            <v>79204797477</v>
          </cell>
        </row>
        <row r="1836">
          <cell r="A1836" t="str">
            <v>Филатов Сергей Юрьевич</v>
          </cell>
          <cell r="B1836" t="str">
            <v>В-03524/КЛ.Транш - 2</v>
          </cell>
          <cell r="D1836">
            <v>79017005283</v>
          </cell>
          <cell r="F1836">
            <v>79017005283</v>
          </cell>
        </row>
        <row r="1837">
          <cell r="A1837" t="str">
            <v>Филатова Юлия Петровна</v>
          </cell>
          <cell r="B1837" t="str">
            <v>В-02583/КЛ.Транш - 9</v>
          </cell>
          <cell r="D1837">
            <v>89257662854</v>
          </cell>
          <cell r="F1837">
            <v>79257662854</v>
          </cell>
        </row>
        <row r="1838">
          <cell r="A1838" t="str">
            <v>Филатова Юлия Петровна</v>
          </cell>
          <cell r="B1838" t="str">
            <v>В-02583/КЛ.Транш - 8</v>
          </cell>
          <cell r="D1838">
            <v>89257662854</v>
          </cell>
          <cell r="F1838">
            <v>79257662854</v>
          </cell>
        </row>
        <row r="1839">
          <cell r="A1839" t="str">
            <v>Филатова Юлия Петровна</v>
          </cell>
          <cell r="B1839" t="str">
            <v>В-02583/КЛ.Транш - 6</v>
          </cell>
          <cell r="D1839">
            <v>89257662854</v>
          </cell>
          <cell r="F1839">
            <v>79257662854</v>
          </cell>
        </row>
        <row r="1840">
          <cell r="A1840" t="str">
            <v>Филатова Юлия Петровна</v>
          </cell>
          <cell r="B1840" t="str">
            <v>В-02583/КЛ.Транш - 7</v>
          </cell>
          <cell r="D1840">
            <v>89257662854</v>
          </cell>
          <cell r="F1840">
            <v>79257662854</v>
          </cell>
        </row>
        <row r="1841">
          <cell r="A1841" t="str">
            <v>Филатова Юлия Петровна</v>
          </cell>
          <cell r="B1841" t="str">
            <v>В-02583/КЛ.Транш - 5</v>
          </cell>
          <cell r="D1841">
            <v>89257662854</v>
          </cell>
          <cell r="F1841">
            <v>79257662854</v>
          </cell>
        </row>
        <row r="1842">
          <cell r="A1842" t="str">
            <v>Фоменок Николай Михайлович</v>
          </cell>
          <cell r="B1842" t="str">
            <v>В-02683/КЛ.Транш - 1</v>
          </cell>
          <cell r="D1842">
            <v>89772706703</v>
          </cell>
          <cell r="F1842">
            <v>79772706703</v>
          </cell>
        </row>
        <row r="1843">
          <cell r="A1843" t="str">
            <v>Фомин Иван Евгеньевич</v>
          </cell>
          <cell r="B1843" t="str">
            <v>В-09100/КЛ.Транш - 1</v>
          </cell>
          <cell r="D1843">
            <v>79773441744</v>
          </cell>
          <cell r="F1843">
            <v>79773441744</v>
          </cell>
        </row>
        <row r="1844">
          <cell r="A1844" t="str">
            <v>Фомичев Денис Александрович</v>
          </cell>
          <cell r="B1844" t="str">
            <v>В-20064/КЛ.Транш - 1</v>
          </cell>
          <cell r="D1844">
            <v>89037926375</v>
          </cell>
          <cell r="F1844">
            <v>79037926375</v>
          </cell>
        </row>
        <row r="1845">
          <cell r="A1845" t="str">
            <v>Фомичев Павел Петрович</v>
          </cell>
          <cell r="B1845" t="str">
            <v>В-26949/КЛ.Транш - 1</v>
          </cell>
          <cell r="D1845">
            <v>79165909758</v>
          </cell>
          <cell r="F1845">
            <v>79165909758</v>
          </cell>
        </row>
        <row r="1846">
          <cell r="A1846" t="str">
            <v>Фомичев Павел Петрович</v>
          </cell>
          <cell r="B1846" t="str">
            <v>В-26949/КЛ.Транш - 2</v>
          </cell>
          <cell r="D1846">
            <v>79165909758</v>
          </cell>
          <cell r="F1846">
            <v>79165909758</v>
          </cell>
        </row>
        <row r="1847">
          <cell r="A1847" t="str">
            <v>Фомичева Маргарита Витальевна</v>
          </cell>
          <cell r="B1847" t="str">
            <v>В-18029/КЛ.Транш - 1</v>
          </cell>
          <cell r="D1847">
            <v>79152836705</v>
          </cell>
          <cell r="F1847">
            <v>79152836705</v>
          </cell>
        </row>
        <row r="1848">
          <cell r="A1848" t="str">
            <v>Фоника Евгений Евгеньевич</v>
          </cell>
          <cell r="B1848" t="str">
            <v>В-19231/КЛ.Транш - 1</v>
          </cell>
          <cell r="D1848">
            <v>79168200304</v>
          </cell>
          <cell r="F1848">
            <v>79168200304</v>
          </cell>
        </row>
        <row r="1849">
          <cell r="A1849" t="str">
            <v>ФОРМУЛА КОМФОРТА ООО</v>
          </cell>
          <cell r="B1849" t="str">
            <v>В-10010/КЭ.Транш - 1_А-20210929/Ц</v>
          </cell>
        </row>
        <row r="1850">
          <cell r="A1850" t="str">
            <v>ФОРСАЙТ ООО</v>
          </cell>
          <cell r="B1850" t="str">
            <v>А-00257/КЭ.Транш - 1</v>
          </cell>
        </row>
        <row r="1851">
          <cell r="A1851" t="str">
            <v>ФОРСАЙТ ООО</v>
          </cell>
          <cell r="B1851" t="str">
            <v>А-00257/КЭ.Транш - 2</v>
          </cell>
        </row>
        <row r="1852">
          <cell r="A1852" t="str">
            <v>Фофанов Михаил Михайлович</v>
          </cell>
          <cell r="B1852" t="str">
            <v>В-08918/КЛ.Транш - 1</v>
          </cell>
          <cell r="C1852">
            <v>79853422469</v>
          </cell>
          <cell r="D1852">
            <v>79261931081</v>
          </cell>
          <cell r="F1852">
            <v>79261931081</v>
          </cell>
        </row>
        <row r="1853">
          <cell r="A1853" t="str">
            <v>Фролов Василий Михайлович</v>
          </cell>
          <cell r="B1853" t="str">
            <v>В-16777/КЛ.Транш - 1_В-20211230/Ц</v>
          </cell>
          <cell r="D1853">
            <v>79992105871</v>
          </cell>
        </row>
        <row r="1854">
          <cell r="A1854" t="str">
            <v>Фролов Павел Андреевич</v>
          </cell>
          <cell r="B1854" t="str">
            <v>В-20133/КЛ.Транш - 1</v>
          </cell>
          <cell r="D1854">
            <v>79534139710</v>
          </cell>
          <cell r="F1854">
            <v>79534139710</v>
          </cell>
        </row>
        <row r="1855">
          <cell r="A1855" t="str">
            <v>Фролов Павел Викторович</v>
          </cell>
          <cell r="B1855" t="str">
            <v>А-05087/АЗ</v>
          </cell>
          <cell r="D1855">
            <v>79100000714</v>
          </cell>
          <cell r="E1855">
            <v>79100000714</v>
          </cell>
        </row>
        <row r="1856">
          <cell r="A1856" t="str">
            <v>Фролов Сергей Владимирович</v>
          </cell>
          <cell r="B1856" t="str">
            <v>В-12741/КЛ.Транш - 1</v>
          </cell>
          <cell r="D1856">
            <v>89190494697</v>
          </cell>
          <cell r="F1856">
            <v>79190494697</v>
          </cell>
        </row>
        <row r="1857">
          <cell r="A1857" t="str">
            <v>ФСС ООО</v>
          </cell>
          <cell r="B1857" t="str">
            <v>В-00066/КЭ.Транш - 1</v>
          </cell>
        </row>
        <row r="1858">
          <cell r="A1858" t="str">
            <v>Футыш Оксана Ярославовна</v>
          </cell>
          <cell r="B1858" t="str">
            <v>В-22627/КЛ.Транш - 1</v>
          </cell>
          <cell r="D1858">
            <v>79207063555</v>
          </cell>
        </row>
        <row r="1859">
          <cell r="A1859" t="str">
            <v>Хадж Муса Аладдин</v>
          </cell>
          <cell r="B1859" t="str">
            <v>В-24326/КЛ.Транш - 1</v>
          </cell>
          <cell r="D1859">
            <v>79104955005</v>
          </cell>
          <cell r="F1859">
            <v>79104955005</v>
          </cell>
        </row>
        <row r="1860">
          <cell r="A1860" t="str">
            <v>Хадиев Фанис Рафисович</v>
          </cell>
          <cell r="B1860" t="str">
            <v>В-14816/КЛ.Транш - 1</v>
          </cell>
          <cell r="D1860">
            <v>89178708672</v>
          </cell>
          <cell r="F1860">
            <v>79178708672</v>
          </cell>
        </row>
        <row r="1861">
          <cell r="A1861" t="str">
            <v>Хадиев Фанис Рафисович</v>
          </cell>
          <cell r="B1861" t="str">
            <v>В-14816/КЛ.Транш - 2</v>
          </cell>
          <cell r="D1861">
            <v>89178708672</v>
          </cell>
          <cell r="F1861">
            <v>79178708672</v>
          </cell>
        </row>
        <row r="1862">
          <cell r="A1862" t="str">
            <v>Хадиев Фанис Рафисович</v>
          </cell>
          <cell r="B1862" t="str">
            <v>В-14816/КЛ.Транш - 5</v>
          </cell>
          <cell r="D1862">
            <v>89178708672</v>
          </cell>
          <cell r="F1862">
            <v>79178708672</v>
          </cell>
        </row>
        <row r="1863">
          <cell r="A1863" t="str">
            <v>Хадиев Фанис Рафисович</v>
          </cell>
          <cell r="B1863" t="str">
            <v>В-14816/КЛ.Транш - 4</v>
          </cell>
          <cell r="D1863">
            <v>89178708672</v>
          </cell>
          <cell r="F1863">
            <v>79178708672</v>
          </cell>
        </row>
        <row r="1864">
          <cell r="A1864" t="str">
            <v>Хадиев Фанис Рафисович</v>
          </cell>
          <cell r="B1864" t="str">
            <v>В-14816/КЛ.Транш - 6</v>
          </cell>
          <cell r="D1864">
            <v>89178708672</v>
          </cell>
          <cell r="F1864">
            <v>79178708672</v>
          </cell>
        </row>
        <row r="1865">
          <cell r="A1865" t="str">
            <v>Хадиев Фанис Рафисович</v>
          </cell>
          <cell r="B1865" t="str">
            <v>В-14816/КЛ.Транш - 7</v>
          </cell>
          <cell r="D1865">
            <v>89178708672</v>
          </cell>
          <cell r="F1865">
            <v>79178708672</v>
          </cell>
        </row>
        <row r="1866">
          <cell r="A1866" t="str">
            <v>Хазиев Рустам Маратович</v>
          </cell>
          <cell r="B1866" t="str">
            <v>В-14627/КЛ.Транш - 3</v>
          </cell>
          <cell r="D1866">
            <v>89378419392</v>
          </cell>
          <cell r="F1866">
            <v>79378419392</v>
          </cell>
        </row>
        <row r="1867">
          <cell r="A1867" t="str">
            <v>Хайдаров Бехруз Сайдуллоевич</v>
          </cell>
          <cell r="B1867" t="str">
            <v>В-27037/АЗ</v>
          </cell>
          <cell r="D1867">
            <v>79178658909</v>
          </cell>
          <cell r="F1867">
            <v>79178658909</v>
          </cell>
        </row>
        <row r="1868">
          <cell r="A1868" t="str">
            <v>Хайдаров Бехруз Сайдуллоевич</v>
          </cell>
          <cell r="B1868" t="str">
            <v>В-27133/АЗ</v>
          </cell>
          <cell r="D1868">
            <v>79178658909</v>
          </cell>
          <cell r="F1868">
            <v>79178658909</v>
          </cell>
        </row>
        <row r="1869">
          <cell r="A1869" t="str">
            <v>Хайретдинов Ильгиз Гакилович</v>
          </cell>
          <cell r="B1869" t="str">
            <v>В-28977/КЛ.Транш - 1</v>
          </cell>
          <cell r="D1869">
            <v>79268557240</v>
          </cell>
        </row>
        <row r="1870">
          <cell r="A1870" t="str">
            <v>Хайруллин Алексей Зуфарович</v>
          </cell>
          <cell r="B1870" t="str">
            <v>В-24875/КЛ.Транш - 2</v>
          </cell>
          <cell r="D1870">
            <v>79177740858</v>
          </cell>
          <cell r="F1870">
            <v>79177740858</v>
          </cell>
        </row>
        <row r="1871">
          <cell r="A1871" t="str">
            <v>Халиуллин Шамиль Камалович</v>
          </cell>
          <cell r="B1871" t="str">
            <v>А-03444/АЗ</v>
          </cell>
          <cell r="D1871">
            <v>79172437512</v>
          </cell>
          <cell r="E1871">
            <v>79172437512</v>
          </cell>
          <cell r="F1871">
            <v>79274187234</v>
          </cell>
        </row>
        <row r="1872">
          <cell r="A1872" t="str">
            <v>Хамидуллов Линар Надырович</v>
          </cell>
          <cell r="B1872" t="str">
            <v>В-11190/КЛ.Транш - 1</v>
          </cell>
          <cell r="D1872">
            <v>79969536478</v>
          </cell>
          <cell r="F1872">
            <v>79969536478</v>
          </cell>
        </row>
        <row r="1873">
          <cell r="A1873" t="str">
            <v>Ханамиров Ханамир Казахмедович</v>
          </cell>
          <cell r="B1873" t="str">
            <v>В-23459/КЛ.Транш - 1</v>
          </cell>
          <cell r="D1873">
            <v>79884200203</v>
          </cell>
          <cell r="F1873">
            <v>79884200203</v>
          </cell>
        </row>
        <row r="1874">
          <cell r="A1874" t="str">
            <v>Ханбеков Валерий Рифатович</v>
          </cell>
          <cell r="B1874" t="str">
            <v>В-17073/КЛ.Транш - 1_В-20211230/Ц</v>
          </cell>
          <cell r="D1874">
            <v>79026517027</v>
          </cell>
          <cell r="F1874">
            <v>79026517027</v>
          </cell>
        </row>
        <row r="1875">
          <cell r="A1875" t="str">
            <v>Ханукаев Михаил Гавриилович</v>
          </cell>
          <cell r="B1875" t="str">
            <v>В-05401/КЛ.Транш - 1</v>
          </cell>
          <cell r="C1875">
            <v>74954161475</v>
          </cell>
          <cell r="D1875">
            <v>79057597799</v>
          </cell>
          <cell r="E1875">
            <v>79057597799</v>
          </cell>
          <cell r="F1875">
            <v>79057597799</v>
          </cell>
        </row>
        <row r="1876">
          <cell r="A1876" t="str">
            <v>Харагезян Армен Вартересович</v>
          </cell>
          <cell r="B1876" t="str">
            <v>В-19862/КЛ.Транш - 1</v>
          </cell>
          <cell r="D1876">
            <v>79895096989</v>
          </cell>
          <cell r="F1876">
            <v>79895096989</v>
          </cell>
        </row>
        <row r="1877">
          <cell r="A1877" t="str">
            <v>Харатян Гегам Арамаисович</v>
          </cell>
          <cell r="B1877" t="str">
            <v>В-03463/КЛ.Транш - 1</v>
          </cell>
          <cell r="C1877">
            <v>89636739494</v>
          </cell>
          <cell r="D1877">
            <v>89873238333</v>
          </cell>
          <cell r="F1877">
            <v>79873238333</v>
          </cell>
        </row>
        <row r="1878">
          <cell r="A1878" t="str">
            <v>Харисов Раниз Мулланурович</v>
          </cell>
          <cell r="B1878" t="str">
            <v>В-23314/КЛ.Транш - 6</v>
          </cell>
          <cell r="D1878">
            <v>79172665812</v>
          </cell>
          <cell r="F1878">
            <v>79172665812</v>
          </cell>
        </row>
        <row r="1879">
          <cell r="A1879" t="str">
            <v>Харитонов Александр Васильевич</v>
          </cell>
          <cell r="B1879" t="str">
            <v>В-02376/КЛ.Транш - 1</v>
          </cell>
          <cell r="D1879">
            <v>79852000240</v>
          </cell>
          <cell r="F1879">
            <v>79852000240</v>
          </cell>
        </row>
        <row r="1880">
          <cell r="A1880" t="str">
            <v>Харитонова Ирина Александровна</v>
          </cell>
          <cell r="B1880" t="str">
            <v>В-13235/КЛ.Транш - 1</v>
          </cell>
          <cell r="D1880">
            <v>79612507774</v>
          </cell>
          <cell r="F1880">
            <v>79612507774</v>
          </cell>
        </row>
        <row r="1881">
          <cell r="A1881" t="str">
            <v>Харламов Артем Сергеевич</v>
          </cell>
          <cell r="B1881" t="str">
            <v>В-00763/КЛ.Транш - 1</v>
          </cell>
          <cell r="D1881">
            <v>79771010404</v>
          </cell>
          <cell r="F1881">
            <v>79771010404</v>
          </cell>
        </row>
        <row r="1882">
          <cell r="A1882" t="str">
            <v>Хасанов Жасур Абдурашидович</v>
          </cell>
          <cell r="B1882" t="str">
            <v>В-17153/КЛ.Транш - 1_В-20211230/Ц</v>
          </cell>
          <cell r="D1882">
            <v>79184300203</v>
          </cell>
          <cell r="F1882">
            <v>79184300203</v>
          </cell>
        </row>
        <row r="1883">
          <cell r="A1883" t="str">
            <v>Хасанов Жасур Абдурашидович</v>
          </cell>
          <cell r="B1883" t="str">
            <v>В-17153/КЛ.Транш - 2_В-20211230/Ц</v>
          </cell>
          <cell r="D1883">
            <v>79184300203</v>
          </cell>
          <cell r="F1883">
            <v>79184300203</v>
          </cell>
        </row>
        <row r="1884">
          <cell r="A1884" t="str">
            <v>Хасанов Рамзан Вахаевич</v>
          </cell>
          <cell r="B1884" t="str">
            <v>В-15200/КЛ.Транш - 1_В-20211230/Ц</v>
          </cell>
          <cell r="D1884">
            <v>79263733537</v>
          </cell>
          <cell r="F1884">
            <v>79263733537</v>
          </cell>
        </row>
        <row r="1885">
          <cell r="A1885" t="str">
            <v>Хасанханов Абдул Юсупович</v>
          </cell>
          <cell r="B1885" t="str">
            <v>В-00467/АЗ_В-20211230/Ц</v>
          </cell>
          <cell r="D1885">
            <v>79250555742</v>
          </cell>
          <cell r="E1885">
            <v>79267504045</v>
          </cell>
          <cell r="F1885">
            <v>79250555742</v>
          </cell>
        </row>
        <row r="1886">
          <cell r="A1886" t="str">
            <v>Хачатрян Лаврент Юрикович</v>
          </cell>
          <cell r="B1886" t="str">
            <v>В-28872/КЛ.Транш - 1</v>
          </cell>
          <cell r="D1886">
            <v>89687547777</v>
          </cell>
          <cell r="F1886">
            <v>79687547777</v>
          </cell>
        </row>
        <row r="1887">
          <cell r="A1887" t="str">
            <v>Хачатрян Сергей Сейранович</v>
          </cell>
          <cell r="B1887" t="str">
            <v>В-00933/АЗ</v>
          </cell>
          <cell r="C1887">
            <v>74994019637</v>
          </cell>
          <cell r="D1887">
            <v>79636499539</v>
          </cell>
          <cell r="F1887">
            <v>79636499539</v>
          </cell>
        </row>
        <row r="1888">
          <cell r="A1888" t="str">
            <v>Хачатрян Хачик Норайрович</v>
          </cell>
          <cell r="B1888" t="str">
            <v>В-12066/КЛ.Транш - 1</v>
          </cell>
          <cell r="E1888">
            <v>79151341191</v>
          </cell>
          <cell r="F1888">
            <v>79779070919</v>
          </cell>
        </row>
        <row r="1889">
          <cell r="A1889" t="str">
            <v>Хачикян Давид Алексеевич</v>
          </cell>
          <cell r="B1889" t="str">
            <v>В-11825/КЛ.Транш - 3</v>
          </cell>
          <cell r="D1889">
            <v>79169992772</v>
          </cell>
          <cell r="E1889">
            <v>79169992772</v>
          </cell>
          <cell r="F1889">
            <v>79169992772</v>
          </cell>
        </row>
        <row r="1890">
          <cell r="A1890" t="str">
            <v>Хашидов Имамутдин Салимханович</v>
          </cell>
          <cell r="B1890" t="str">
            <v>В-08121/КЛ.Транш - 4</v>
          </cell>
          <cell r="D1890">
            <v>89224068379</v>
          </cell>
          <cell r="F1890">
            <v>79224068379</v>
          </cell>
        </row>
        <row r="1891">
          <cell r="A1891" t="str">
            <v>Хашидов Имамутдин Салимханович</v>
          </cell>
          <cell r="B1891" t="str">
            <v>В-08121/КЛ.Транш - 3</v>
          </cell>
          <cell r="D1891">
            <v>89224068379</v>
          </cell>
          <cell r="F1891">
            <v>79224068379</v>
          </cell>
        </row>
        <row r="1892">
          <cell r="A1892" t="str">
            <v>Хашимов Далерджон Темурович</v>
          </cell>
          <cell r="B1892" t="str">
            <v>В-17075/КЛ.Транш - 1_В-20211230/Ц</v>
          </cell>
          <cell r="D1892">
            <v>79773997172</v>
          </cell>
          <cell r="F1892">
            <v>79773997172</v>
          </cell>
        </row>
        <row r="1893">
          <cell r="A1893" t="str">
            <v>Хечоян Владимир Левонович</v>
          </cell>
          <cell r="B1893" t="str">
            <v>В-14430/КЛ.Транш - 1</v>
          </cell>
          <cell r="D1893">
            <v>79110379585</v>
          </cell>
          <cell r="F1893">
            <v>79110379585</v>
          </cell>
        </row>
        <row r="1894">
          <cell r="A1894" t="str">
            <v>Хечоян Владимир Левонович</v>
          </cell>
          <cell r="B1894" t="str">
            <v>В-14430/КЛ.Транш - 2</v>
          </cell>
          <cell r="D1894">
            <v>79110379585</v>
          </cell>
          <cell r="F1894">
            <v>79110379585</v>
          </cell>
        </row>
        <row r="1895">
          <cell r="A1895" t="str">
            <v>Хижняк Лада Виталиевна</v>
          </cell>
          <cell r="B1895" t="str">
            <v>В-01020/АЗ</v>
          </cell>
          <cell r="D1895">
            <v>79881304486</v>
          </cell>
          <cell r="F1895">
            <v>79881304486</v>
          </cell>
        </row>
        <row r="1896">
          <cell r="A1896" t="str">
            <v>Хитров Станислав Валерьевич</v>
          </cell>
          <cell r="B1896" t="str">
            <v>В-21099/КЛ.Транш - 3</v>
          </cell>
          <cell r="D1896">
            <v>79261423862</v>
          </cell>
          <cell r="F1896">
            <v>79261423862</v>
          </cell>
        </row>
        <row r="1897">
          <cell r="A1897" t="str">
            <v>Хитров Станислав Валерьевич</v>
          </cell>
          <cell r="B1897" t="str">
            <v>В-21099/КЛ.Транш - 2</v>
          </cell>
          <cell r="D1897">
            <v>79261423862</v>
          </cell>
          <cell r="F1897">
            <v>79261423862</v>
          </cell>
        </row>
        <row r="1898">
          <cell r="A1898" t="str">
            <v>Хлебников Владимир Витальевич</v>
          </cell>
          <cell r="B1898" t="str">
            <v>В-16057/КЛ.Транш - 6</v>
          </cell>
          <cell r="D1898">
            <v>79608889082</v>
          </cell>
          <cell r="F1898">
            <v>79608889082</v>
          </cell>
        </row>
        <row r="1899">
          <cell r="A1899" t="str">
            <v>Хозяинов Сергей Александрович</v>
          </cell>
          <cell r="B1899" t="str">
            <v>В-01647/КЛ.Транш - 1</v>
          </cell>
          <cell r="D1899">
            <v>79057202038</v>
          </cell>
          <cell r="F1899">
            <v>79057202038</v>
          </cell>
        </row>
        <row r="1900">
          <cell r="A1900" t="str">
            <v>Холодков Денис Владимирович</v>
          </cell>
          <cell r="B1900" t="str">
            <v>В-27105/КЛ.Транш - 1</v>
          </cell>
          <cell r="D1900">
            <v>79030058898</v>
          </cell>
        </row>
        <row r="1901">
          <cell r="A1901" t="str">
            <v>Хоминец Владимир Владимирович</v>
          </cell>
          <cell r="B1901" t="str">
            <v>В-10474/КЛ.Транш - 3</v>
          </cell>
          <cell r="D1901">
            <v>79155979456</v>
          </cell>
          <cell r="F1901">
            <v>79155979456</v>
          </cell>
        </row>
        <row r="1902">
          <cell r="A1902" t="str">
            <v>Хоминец Владимир Владимирович</v>
          </cell>
          <cell r="B1902" t="str">
            <v>В-10474/КЛ.Транш - 6</v>
          </cell>
          <cell r="D1902">
            <v>79155979456</v>
          </cell>
          <cell r="F1902">
            <v>79155979456</v>
          </cell>
        </row>
        <row r="1903">
          <cell r="A1903" t="str">
            <v>Хоминец Владимир Владимирович</v>
          </cell>
          <cell r="B1903" t="str">
            <v>В-10474/КЛ.Транш - 5</v>
          </cell>
          <cell r="D1903">
            <v>79155979456</v>
          </cell>
          <cell r="F1903">
            <v>79155979456</v>
          </cell>
        </row>
        <row r="1904">
          <cell r="A1904" t="str">
            <v>Хоминец Владимир Владимирович</v>
          </cell>
          <cell r="B1904" t="str">
            <v>В-10474/КЛ.Транш - 4</v>
          </cell>
          <cell r="D1904">
            <v>79155979456</v>
          </cell>
          <cell r="F1904">
            <v>79155979456</v>
          </cell>
        </row>
        <row r="1905">
          <cell r="A1905" t="str">
            <v>Хомутов Алексей Николаевич</v>
          </cell>
          <cell r="B1905" t="str">
            <v>В-01102/АЗ</v>
          </cell>
          <cell r="D1905">
            <v>79031066372</v>
          </cell>
          <cell r="F1905">
            <v>79031066372</v>
          </cell>
        </row>
        <row r="1906">
          <cell r="A1906" t="str">
            <v>Хотенова Елена Витальевна</v>
          </cell>
          <cell r="B1906" t="str">
            <v>В-00249/АЗ</v>
          </cell>
          <cell r="D1906">
            <v>79169479478</v>
          </cell>
          <cell r="F1906">
            <v>79169479478</v>
          </cell>
        </row>
        <row r="1907">
          <cell r="A1907" t="str">
            <v>Хохлова Ирина Игоревна</v>
          </cell>
          <cell r="B1907" t="str">
            <v>В-22833/КЛ.Транш - 1_В-20211230/Ц</v>
          </cell>
          <cell r="D1907">
            <v>89785507555</v>
          </cell>
          <cell r="F1907">
            <v>79785507555</v>
          </cell>
        </row>
        <row r="1908">
          <cell r="A1908" t="str">
            <v>Храмков Евгений Александрович</v>
          </cell>
          <cell r="B1908" t="str">
            <v>В-28281/КЛ.Транш - 1</v>
          </cell>
          <cell r="C1908">
            <v>84986491005</v>
          </cell>
          <cell r="D1908">
            <v>89686377877</v>
          </cell>
          <cell r="F1908">
            <v>79686377877</v>
          </cell>
        </row>
        <row r="1909">
          <cell r="A1909" t="str">
            <v>Храмков Евгений Александрович</v>
          </cell>
          <cell r="B1909" t="str">
            <v>В-02960/КЛ.Транш - 7</v>
          </cell>
          <cell r="C1909">
            <v>84986491005</v>
          </cell>
          <cell r="D1909">
            <v>89686377877</v>
          </cell>
          <cell r="F1909">
            <v>79686377877</v>
          </cell>
        </row>
        <row r="1910">
          <cell r="A1910" t="str">
            <v>Храмков Евгений Александрович</v>
          </cell>
          <cell r="B1910" t="str">
            <v>В-02960/КЛ.Транш - 8</v>
          </cell>
          <cell r="C1910">
            <v>84986491005</v>
          </cell>
          <cell r="D1910">
            <v>89686377877</v>
          </cell>
          <cell r="F1910">
            <v>79686377877</v>
          </cell>
        </row>
        <row r="1911">
          <cell r="A1911" t="str">
            <v>Храмов Антон Иванович</v>
          </cell>
          <cell r="B1911" t="str">
            <v>А-04617/АЗ</v>
          </cell>
          <cell r="D1911">
            <v>79816829828</v>
          </cell>
          <cell r="E1911">
            <v>79816829828</v>
          </cell>
        </row>
        <row r="1912">
          <cell r="A1912" t="str">
            <v>Храмцова Дарья Юрьевна</v>
          </cell>
          <cell r="B1912" t="str">
            <v>В-26093/КЛ.Транш - 1</v>
          </cell>
          <cell r="D1912">
            <v>79206153081</v>
          </cell>
        </row>
        <row r="1913">
          <cell r="A1913" t="str">
            <v>Храпов Андрей Анатольевич</v>
          </cell>
          <cell r="B1913" t="str">
            <v>В-00324/АЗ</v>
          </cell>
          <cell r="D1913">
            <v>89855372096</v>
          </cell>
          <cell r="F1913">
            <v>79855372096</v>
          </cell>
        </row>
        <row r="1914">
          <cell r="A1914" t="str">
            <v>Хрипунов Клим Анатольевич</v>
          </cell>
          <cell r="B1914" t="str">
            <v>В-27634/КЛ.Транш - 1</v>
          </cell>
          <cell r="D1914">
            <v>79280631943</v>
          </cell>
          <cell r="F1914">
            <v>79280631943</v>
          </cell>
        </row>
        <row r="1915">
          <cell r="A1915" t="str">
            <v>Хромцова Надежда Владимировна</v>
          </cell>
          <cell r="B1915" t="str">
            <v>В-22183/КЛ.Транш - 1</v>
          </cell>
          <cell r="D1915">
            <v>79032230960</v>
          </cell>
          <cell r="F1915">
            <v>79032230960</v>
          </cell>
        </row>
        <row r="1916">
          <cell r="A1916" t="str">
            <v>Худин Виктор Васильевич</v>
          </cell>
          <cell r="B1916" t="str">
            <v>В-11181/КЛ.Транш - 2</v>
          </cell>
          <cell r="D1916">
            <v>79646453922</v>
          </cell>
          <cell r="E1916">
            <v>79646453922</v>
          </cell>
          <cell r="F1916">
            <v>79646453922</v>
          </cell>
        </row>
        <row r="1917">
          <cell r="A1917" t="str">
            <v>Худомясова Александра Антуановна</v>
          </cell>
          <cell r="B1917" t="str">
            <v>В-16991/КЛ.Транш - 1</v>
          </cell>
          <cell r="D1917">
            <v>79885403478</v>
          </cell>
        </row>
        <row r="1918">
          <cell r="A1918" t="str">
            <v>Худорожков Вячеслав Валерьевич</v>
          </cell>
          <cell r="B1918" t="str">
            <v>В-27581/АЗ</v>
          </cell>
          <cell r="D1918">
            <v>79826704990</v>
          </cell>
        </row>
        <row r="1919">
          <cell r="A1919" t="str">
            <v>Хулхачиев Очир Васильевич</v>
          </cell>
          <cell r="B1919" t="str">
            <v>В-18569/КЛ.Транш - 1</v>
          </cell>
          <cell r="D1919">
            <v>79371942044</v>
          </cell>
        </row>
        <row r="1920">
          <cell r="A1920" t="str">
            <v>Хуртов Сергей Георгиевич</v>
          </cell>
          <cell r="B1920" t="str">
            <v>В-12427/КЛ.Транш - 1</v>
          </cell>
          <cell r="D1920">
            <v>89850899312</v>
          </cell>
          <cell r="F1920">
            <v>79850899312</v>
          </cell>
        </row>
        <row r="1921">
          <cell r="A1921" t="str">
            <v>Хуртов Сергей Георгиевич</v>
          </cell>
          <cell r="B1921" t="str">
            <v>В-12427/КЛ.Транш - 3</v>
          </cell>
          <cell r="D1921">
            <v>89850899312</v>
          </cell>
          <cell r="F1921">
            <v>79850899312</v>
          </cell>
        </row>
        <row r="1922">
          <cell r="A1922" t="str">
            <v>Хуртов Сергей Георгиевич</v>
          </cell>
          <cell r="B1922" t="str">
            <v>В-12427/КЛ.Транш - 2</v>
          </cell>
          <cell r="D1922">
            <v>89850899312</v>
          </cell>
          <cell r="F1922">
            <v>79850899312</v>
          </cell>
        </row>
        <row r="1923">
          <cell r="A1923" t="str">
            <v>Хусаинов Шухрат Джурабоевич</v>
          </cell>
          <cell r="B1923" t="str">
            <v>В-20742/КЛ.Транш - 1</v>
          </cell>
          <cell r="D1923">
            <v>79773406041</v>
          </cell>
          <cell r="F1923">
            <v>79773406041</v>
          </cell>
        </row>
        <row r="1924">
          <cell r="A1924" t="str">
            <v>Царев Антон Борисович</v>
          </cell>
          <cell r="B1924" t="str">
            <v>В-20032/КЛ.Транш - 1</v>
          </cell>
          <cell r="D1924">
            <v>79067777090</v>
          </cell>
          <cell r="F1924">
            <v>79067777090</v>
          </cell>
        </row>
        <row r="1925">
          <cell r="A1925" t="str">
            <v>Царев Кирилл Сергеевич</v>
          </cell>
          <cell r="B1925" t="str">
            <v>В-13051/КЛ.Транш - 1_В-20211230/Ц</v>
          </cell>
          <cell r="D1925">
            <v>89085497400</v>
          </cell>
          <cell r="F1925">
            <v>79085497400</v>
          </cell>
        </row>
        <row r="1926">
          <cell r="A1926" t="str">
            <v>Царьков Павел Игоревич</v>
          </cell>
          <cell r="B1926" t="str">
            <v>В-18851/КЛ.Транш - 1</v>
          </cell>
          <cell r="D1926">
            <v>79969224020</v>
          </cell>
          <cell r="F1926">
            <v>79969224020</v>
          </cell>
        </row>
        <row r="1927">
          <cell r="A1927" t="str">
            <v>Цикишев Сергей Николаевич</v>
          </cell>
          <cell r="B1927" t="str">
            <v>В-18008/КЛ.Транш - 1</v>
          </cell>
          <cell r="D1927">
            <v>79604852414</v>
          </cell>
          <cell r="F1927">
            <v>79604852414</v>
          </cell>
        </row>
        <row r="1928">
          <cell r="A1928" t="str">
            <v>Цилевич Александр Сергеевич</v>
          </cell>
          <cell r="B1928" t="str">
            <v>В-00967/АЗ</v>
          </cell>
          <cell r="D1928">
            <v>89660932146</v>
          </cell>
          <cell r="F1928">
            <v>79660932146</v>
          </cell>
        </row>
        <row r="1929">
          <cell r="A1929" t="str">
            <v>Цинская Ольга Игоревна</v>
          </cell>
          <cell r="B1929" t="str">
            <v>В-27049/АЗ</v>
          </cell>
          <cell r="D1929">
            <v>79096806806</v>
          </cell>
        </row>
        <row r="1930">
          <cell r="A1930" t="str">
            <v>Ципис Вадим Яковлевич</v>
          </cell>
          <cell r="B1930" t="str">
            <v>В-14216/КЛ.Транш - 1</v>
          </cell>
          <cell r="D1930">
            <v>79032249082</v>
          </cell>
          <cell r="F1930">
            <v>79032249082</v>
          </cell>
        </row>
        <row r="1931">
          <cell r="A1931" t="str">
            <v>Ципис Вадим Яковлевич</v>
          </cell>
          <cell r="B1931" t="str">
            <v>В-14216/КЛ.Транш - 2</v>
          </cell>
          <cell r="D1931">
            <v>79032249082</v>
          </cell>
          <cell r="F1931">
            <v>79032249082</v>
          </cell>
        </row>
        <row r="1932">
          <cell r="A1932" t="str">
            <v>Ципис Вадим Яковлевич</v>
          </cell>
          <cell r="B1932" t="str">
            <v>В-14216/КЛ.Транш - 3</v>
          </cell>
          <cell r="D1932">
            <v>79032249082</v>
          </cell>
          <cell r="F1932">
            <v>79032249082</v>
          </cell>
        </row>
        <row r="1933">
          <cell r="A1933" t="str">
            <v>Ципис Вадим Яковлевич</v>
          </cell>
          <cell r="B1933" t="str">
            <v>В-14216/КЛ.Транш - 4</v>
          </cell>
          <cell r="D1933">
            <v>79032249082</v>
          </cell>
          <cell r="F1933">
            <v>79032249082</v>
          </cell>
        </row>
        <row r="1934">
          <cell r="A1934" t="str">
            <v>Цирамуа Наталия Наполеоновна</v>
          </cell>
          <cell r="B1934" t="str">
            <v>В-22979/КЛ.Транш - 1</v>
          </cell>
          <cell r="D1934">
            <v>79251348884</v>
          </cell>
          <cell r="F1934">
            <v>79251348884</v>
          </cell>
        </row>
        <row r="1935">
          <cell r="A1935" t="str">
            <v>Циренов Максим Алексеевич</v>
          </cell>
          <cell r="B1935" t="str">
            <v>В-16444/КЛ.Транш - 3</v>
          </cell>
          <cell r="D1935">
            <v>79166202543</v>
          </cell>
          <cell r="F1935">
            <v>79166202543</v>
          </cell>
        </row>
        <row r="1936">
          <cell r="A1936" t="str">
            <v>Циркунова Юлия Владимировна</v>
          </cell>
          <cell r="B1936" t="str">
            <v>В-01345/КЛ.Транш - 1</v>
          </cell>
          <cell r="C1936">
            <v>84959095251</v>
          </cell>
          <cell r="D1936">
            <v>89261535958</v>
          </cell>
          <cell r="F1936">
            <v>79261535958</v>
          </cell>
        </row>
        <row r="1937">
          <cell r="A1937" t="str">
            <v>Цуканов Сергей Владимирович</v>
          </cell>
          <cell r="B1937" t="str">
            <v>Т-01893/АЗ_Т-20211028/Ц</v>
          </cell>
          <cell r="D1937">
            <v>79055799357</v>
          </cell>
          <cell r="E1937">
            <v>79055799357</v>
          </cell>
          <cell r="F1937">
            <v>79055799357</v>
          </cell>
        </row>
        <row r="1938">
          <cell r="A1938" t="str">
            <v>Цуриков Яков Владимирович</v>
          </cell>
          <cell r="B1938" t="str">
            <v>В-17030/КЛ.Транш - 1</v>
          </cell>
          <cell r="D1938">
            <v>79604452020</v>
          </cell>
        </row>
        <row r="1939">
          <cell r="A1939" t="str">
            <v>Цымбалов Виталий Павлович</v>
          </cell>
          <cell r="B1939" t="str">
            <v>В-01925/КЛ.Транш - 1_В-20211230/Ц</v>
          </cell>
          <cell r="D1939">
            <v>79332220200</v>
          </cell>
          <cell r="F1939">
            <v>79332220200</v>
          </cell>
        </row>
        <row r="1940">
          <cell r="A1940" t="str">
            <v>Цымбалов Виталий Павлович</v>
          </cell>
          <cell r="B1940" t="str">
            <v>В-01925/КЛ.Транш - 2_В-20211230/Ц</v>
          </cell>
          <cell r="D1940">
            <v>79332220200</v>
          </cell>
          <cell r="F1940">
            <v>79332220200</v>
          </cell>
        </row>
        <row r="1941">
          <cell r="A1941" t="str">
            <v>Чаплыгина Наталья Владимировна</v>
          </cell>
          <cell r="B1941" t="str">
            <v>В-28789/КЛ.Транш - 1</v>
          </cell>
          <cell r="D1941">
            <v>89055094156</v>
          </cell>
          <cell r="F1941">
            <v>79055094156</v>
          </cell>
        </row>
        <row r="1942">
          <cell r="A1942" t="str">
            <v>Чащин Александр Станиславович</v>
          </cell>
          <cell r="B1942" t="str">
            <v>В-12279/КЛ.Транш - 1</v>
          </cell>
          <cell r="D1942">
            <v>89186117000</v>
          </cell>
          <cell r="F1942">
            <v>79186117000</v>
          </cell>
        </row>
        <row r="1943">
          <cell r="A1943" t="str">
            <v>Че Александр Кенчанович</v>
          </cell>
          <cell r="B1943" t="str">
            <v>В-09270/КЛ.Транш - 1</v>
          </cell>
          <cell r="D1943">
            <v>79384930366</v>
          </cell>
          <cell r="F1943">
            <v>79384930366</v>
          </cell>
        </row>
        <row r="1944">
          <cell r="A1944" t="str">
            <v>Чеботкова Полина Михайловна</v>
          </cell>
          <cell r="B1944" t="str">
            <v>В-10039/КЛ.Транш - 2</v>
          </cell>
          <cell r="D1944">
            <v>79122085348</v>
          </cell>
          <cell r="F1944">
            <v>79122085348</v>
          </cell>
        </row>
        <row r="1945">
          <cell r="A1945" t="str">
            <v>Чеботкова Полина Михайловна</v>
          </cell>
          <cell r="B1945" t="str">
            <v>В-10039/КЛ.Транш - 1</v>
          </cell>
          <cell r="D1945">
            <v>79122085348</v>
          </cell>
          <cell r="F1945">
            <v>79122085348</v>
          </cell>
        </row>
        <row r="1946">
          <cell r="A1946" t="str">
            <v>Чекалкин Михаил Михайлович</v>
          </cell>
          <cell r="B1946" t="str">
            <v>А-00714/АЗ</v>
          </cell>
          <cell r="C1946">
            <v>84955242590</v>
          </cell>
          <cell r="D1946">
            <v>89857769198</v>
          </cell>
        </row>
        <row r="1947">
          <cell r="A1947" t="str">
            <v>Чепрасова Галина Александровна</v>
          </cell>
          <cell r="B1947" t="str">
            <v>В-27914/КЛ.Транш - 1</v>
          </cell>
          <cell r="D1947">
            <v>79150326123</v>
          </cell>
        </row>
        <row r="1948">
          <cell r="A1948" t="str">
            <v>Черкасов Евгений Викторович</v>
          </cell>
          <cell r="B1948" t="str">
            <v>В-01071/АЗ</v>
          </cell>
          <cell r="C1948">
            <v>84957163304</v>
          </cell>
          <cell r="D1948">
            <v>89168648888</v>
          </cell>
          <cell r="F1948">
            <v>79168648888</v>
          </cell>
        </row>
        <row r="1949">
          <cell r="A1949" t="str">
            <v>Черкасов Евгений Викторович</v>
          </cell>
          <cell r="B1949" t="str">
            <v>В-00132/АЗ</v>
          </cell>
          <cell r="C1949">
            <v>84957163304</v>
          </cell>
          <cell r="D1949">
            <v>89168648888</v>
          </cell>
          <cell r="F1949">
            <v>79168648888</v>
          </cell>
        </row>
        <row r="1950">
          <cell r="A1950" t="str">
            <v>Чернецов Василий Николаевич</v>
          </cell>
          <cell r="B1950" t="str">
            <v>В-16693/КЛ.Транш - 2</v>
          </cell>
          <cell r="D1950">
            <v>79123175602</v>
          </cell>
          <cell r="F1950">
            <v>79123175602</v>
          </cell>
        </row>
        <row r="1951">
          <cell r="A1951" t="str">
            <v>Черников Сергей Сергеевич</v>
          </cell>
          <cell r="B1951" t="str">
            <v>В-00982/АЗ</v>
          </cell>
          <cell r="D1951">
            <v>79819698262</v>
          </cell>
          <cell r="F1951">
            <v>79006556626</v>
          </cell>
        </row>
        <row r="1952">
          <cell r="A1952" t="str">
            <v>Чернышова Татьяна Николаевна</v>
          </cell>
          <cell r="B1952" t="str">
            <v>В-03631/КЛ.Транш - 1</v>
          </cell>
          <cell r="D1952">
            <v>89263473686</v>
          </cell>
          <cell r="F1952">
            <v>79263473686</v>
          </cell>
        </row>
        <row r="1953">
          <cell r="A1953" t="str">
            <v>Черова Ирина Николаевна</v>
          </cell>
          <cell r="B1953" t="str">
            <v>В-28303/АЗ</v>
          </cell>
          <cell r="D1953">
            <v>79644227920</v>
          </cell>
        </row>
        <row r="1954">
          <cell r="A1954" t="str">
            <v>Чертов Алексей Владимирович</v>
          </cell>
          <cell r="B1954" t="str">
            <v>В-00145/КЛ.Транш - 1_В-20211230/Ц</v>
          </cell>
          <cell r="D1954">
            <v>89163203411</v>
          </cell>
          <cell r="F1954">
            <v>79163203411</v>
          </cell>
        </row>
        <row r="1955">
          <cell r="A1955" t="str">
            <v>Четверикова Ирина Алексеевна</v>
          </cell>
          <cell r="B1955" t="str">
            <v>В-00243/АЗ_Т-20211028/Ц</v>
          </cell>
          <cell r="C1955">
            <v>74954683878</v>
          </cell>
          <cell r="D1955">
            <v>79099632438</v>
          </cell>
          <cell r="E1955">
            <v>79099632438</v>
          </cell>
          <cell r="F1955">
            <v>79099632438</v>
          </cell>
        </row>
        <row r="1956">
          <cell r="A1956" t="str">
            <v>Четверикова Ирина Алексеевна</v>
          </cell>
          <cell r="B1956" t="str">
            <v>А-05335/АЗ_Т-20211028/Ц</v>
          </cell>
          <cell r="C1956">
            <v>74954683878</v>
          </cell>
          <cell r="D1956">
            <v>79099632438</v>
          </cell>
          <cell r="E1956">
            <v>79099632438</v>
          </cell>
          <cell r="F1956">
            <v>79099632438</v>
          </cell>
        </row>
        <row r="1957">
          <cell r="A1957" t="str">
            <v>Четырина Марина Юрьевна</v>
          </cell>
          <cell r="B1957" t="str">
            <v>В-02500/КЛ.Транш - 1</v>
          </cell>
          <cell r="D1957">
            <v>79645244111</v>
          </cell>
          <cell r="F1957">
            <v>79645244111</v>
          </cell>
        </row>
        <row r="1958">
          <cell r="A1958" t="str">
            <v>Чибисова Елена Валерьевна</v>
          </cell>
          <cell r="B1958" t="str">
            <v>А-03750/АЗ</v>
          </cell>
          <cell r="C1958">
            <v>74994977343</v>
          </cell>
          <cell r="D1958">
            <v>79197235613</v>
          </cell>
          <cell r="E1958">
            <v>79197235613</v>
          </cell>
          <cell r="F1958">
            <v>79197235613</v>
          </cell>
        </row>
        <row r="1959">
          <cell r="A1959" t="str">
            <v>Чикатуева Джульета Аслановна</v>
          </cell>
          <cell r="B1959" t="str">
            <v>В-25884/КЛ.Транш - 1</v>
          </cell>
          <cell r="D1959">
            <v>79286577777</v>
          </cell>
          <cell r="F1959">
            <v>79286577777</v>
          </cell>
        </row>
        <row r="1960">
          <cell r="A1960" t="str">
            <v>Чикирёв Олег Викторович</v>
          </cell>
          <cell r="B1960" t="str">
            <v>В-11326/КЛ.Транш - 1</v>
          </cell>
          <cell r="E1960">
            <v>79062462631</v>
          </cell>
          <cell r="F1960">
            <v>79062462631</v>
          </cell>
        </row>
        <row r="1961">
          <cell r="A1961" t="str">
            <v>Чикирёв Олег Викторович</v>
          </cell>
          <cell r="B1961" t="str">
            <v>В-11326/КЛ.Транш - 2</v>
          </cell>
          <cell r="E1961">
            <v>79062462631</v>
          </cell>
          <cell r="F1961">
            <v>79062462631</v>
          </cell>
        </row>
        <row r="1962">
          <cell r="A1962" t="str">
            <v>Чикунов Дмитрий Александрович</v>
          </cell>
          <cell r="B1962" t="str">
            <v>В-00918/АЗ</v>
          </cell>
          <cell r="D1962">
            <v>89099630213</v>
          </cell>
          <cell r="F1962">
            <v>79099630213</v>
          </cell>
        </row>
        <row r="1963">
          <cell r="A1963" t="str">
            <v>Члоян Геворк Мамбреович</v>
          </cell>
          <cell r="B1963" t="str">
            <v>В-01039/АЗ</v>
          </cell>
          <cell r="D1963">
            <v>79032437959</v>
          </cell>
          <cell r="F1963">
            <v>79032437959</v>
          </cell>
        </row>
        <row r="1964">
          <cell r="A1964" t="str">
            <v>Чокуев Жаркынбек Калыбекович</v>
          </cell>
          <cell r="B1964" t="str">
            <v>В-00865/АЗ</v>
          </cell>
          <cell r="D1964">
            <v>79636239373</v>
          </cell>
          <cell r="F1964">
            <v>79636239373</v>
          </cell>
        </row>
        <row r="1965">
          <cell r="A1965" t="str">
            <v>Чумакова Екатерина Александровна</v>
          </cell>
          <cell r="B1965" t="str">
            <v>В-28755/КЛ.Транш - 1</v>
          </cell>
          <cell r="D1965">
            <v>79166783580</v>
          </cell>
          <cell r="E1965">
            <v>89264020770</v>
          </cell>
          <cell r="F1965">
            <v>79166783580</v>
          </cell>
        </row>
        <row r="1966">
          <cell r="A1966" t="str">
            <v>Чупрынина Лилия Леонидовна</v>
          </cell>
          <cell r="B1966" t="str">
            <v>В-18135/КЛ.Транш - 1</v>
          </cell>
          <cell r="D1966">
            <v>79787442802</v>
          </cell>
          <cell r="F1966">
            <v>79787442802</v>
          </cell>
        </row>
        <row r="1967">
          <cell r="A1967" t="str">
            <v>Чурсинов Ярослав Александрович</v>
          </cell>
          <cell r="B1967" t="str">
            <v>В-20635/КЛ.Транш - 1_В-20211230/Ц</v>
          </cell>
          <cell r="D1967">
            <v>79530987516</v>
          </cell>
          <cell r="F1967">
            <v>79530987516</v>
          </cell>
        </row>
        <row r="1968">
          <cell r="A1968" t="str">
            <v>Чучаев Адам Аптиевич</v>
          </cell>
          <cell r="B1968" t="str">
            <v>В-08626/КЛ.Транш - 1</v>
          </cell>
          <cell r="D1968">
            <v>79377379999</v>
          </cell>
          <cell r="F1968">
            <v>79377379999</v>
          </cell>
        </row>
        <row r="1969">
          <cell r="A1969" t="str">
            <v>Шабанова Элвира Назировна</v>
          </cell>
          <cell r="B1969" t="str">
            <v>В-14633/КЛ.Транш - 1</v>
          </cell>
          <cell r="D1969">
            <v>89678666060</v>
          </cell>
          <cell r="F1969">
            <v>79678666060</v>
          </cell>
        </row>
        <row r="1970">
          <cell r="A1970" t="str">
            <v>Шагивалеев Азат Азатович</v>
          </cell>
          <cell r="B1970" t="str">
            <v>В-00675/АЗ</v>
          </cell>
          <cell r="D1970">
            <v>89152585727</v>
          </cell>
          <cell r="F1970">
            <v>79152585727</v>
          </cell>
        </row>
        <row r="1971">
          <cell r="A1971" t="str">
            <v>Шагивалеев Азат Азатович</v>
          </cell>
          <cell r="B1971" t="str">
            <v>В-01170/АЗ</v>
          </cell>
          <cell r="D1971">
            <v>89152585727</v>
          </cell>
          <cell r="F1971">
            <v>79152585727</v>
          </cell>
        </row>
        <row r="1972">
          <cell r="A1972" t="str">
            <v>Шагинян Геворк Карленович</v>
          </cell>
          <cell r="B1972" t="str">
            <v>В-22457/АЗ</v>
          </cell>
          <cell r="D1972">
            <v>89265733080</v>
          </cell>
          <cell r="F1972">
            <v>79265733080</v>
          </cell>
        </row>
        <row r="1973">
          <cell r="A1973" t="str">
            <v>Шаламова Татьяна Андреевна</v>
          </cell>
          <cell r="B1973" t="str">
            <v>В-27929/КЛ.Транш - 1</v>
          </cell>
          <cell r="D1973">
            <v>79258836928</v>
          </cell>
        </row>
        <row r="1974">
          <cell r="A1974" t="str">
            <v>Шалдыбин Данил Геннадьевич</v>
          </cell>
          <cell r="B1974" t="str">
            <v>В-23776/КЛ.Транш - 1</v>
          </cell>
          <cell r="D1974">
            <v>79873909101</v>
          </cell>
          <cell r="F1974">
            <v>79873909101</v>
          </cell>
        </row>
        <row r="1975">
          <cell r="A1975" t="str">
            <v>Шаматава Давид Роиниевич</v>
          </cell>
          <cell r="B1975" t="str">
            <v>В-18705/КЛ.Транш - 1</v>
          </cell>
          <cell r="D1975">
            <v>79160120422</v>
          </cell>
          <cell r="F1975">
            <v>79160120422</v>
          </cell>
        </row>
        <row r="1976">
          <cell r="A1976" t="str">
            <v>Шарапов Евгений Вячеславович</v>
          </cell>
          <cell r="B1976" t="str">
            <v>В-03324/КЛ.Транш - 2</v>
          </cell>
          <cell r="D1976">
            <v>89258348796</v>
          </cell>
          <cell r="F1976">
            <v>79258348796</v>
          </cell>
        </row>
        <row r="1977">
          <cell r="A1977" t="str">
            <v>Шарыгин Семен Михайлович</v>
          </cell>
          <cell r="B1977" t="str">
            <v>В-17934/КЛ.Транш - 1</v>
          </cell>
          <cell r="D1977">
            <v>79533273740</v>
          </cell>
          <cell r="F1977">
            <v>79533273740</v>
          </cell>
        </row>
        <row r="1978">
          <cell r="A1978" t="str">
            <v>Шаулов Шаул Рамбомович</v>
          </cell>
          <cell r="B1978" t="str">
            <v>В-06345/КЛ.Транш - 1</v>
          </cell>
          <cell r="C1978">
            <v>89685908978</v>
          </cell>
          <cell r="D1978">
            <v>89269492005</v>
          </cell>
          <cell r="F1978">
            <v>79685908978</v>
          </cell>
        </row>
        <row r="1979">
          <cell r="A1979" t="str">
            <v>Шахбазян Овсеп Сурикович</v>
          </cell>
          <cell r="B1979" t="str">
            <v>А-04593/АЗ</v>
          </cell>
          <cell r="C1979">
            <v>79266666189</v>
          </cell>
          <cell r="D1979">
            <v>79167470765</v>
          </cell>
          <cell r="E1979">
            <v>79167470765</v>
          </cell>
          <cell r="F1979">
            <v>79167470765</v>
          </cell>
        </row>
        <row r="1980">
          <cell r="A1980" t="str">
            <v>Шашков Константин Вячеславович</v>
          </cell>
          <cell r="B1980" t="str">
            <v>В-06035/КЛ.Транш - 1</v>
          </cell>
          <cell r="D1980">
            <v>79152939262</v>
          </cell>
          <cell r="F1980">
            <v>79152939262</v>
          </cell>
        </row>
        <row r="1981">
          <cell r="A1981" t="str">
            <v>Шевелев Олег Андреевич</v>
          </cell>
          <cell r="B1981" t="str">
            <v>В-17397/КЛ.Транш - 2</v>
          </cell>
          <cell r="D1981">
            <v>79818222555</v>
          </cell>
          <cell r="F1981">
            <v>79818222555</v>
          </cell>
        </row>
        <row r="1982">
          <cell r="A1982" t="str">
            <v>Шевкунова Елена Михайловна</v>
          </cell>
          <cell r="B1982" t="str">
            <v>В-28148/КЛ.Транш - 1</v>
          </cell>
          <cell r="D1982">
            <v>79255970190</v>
          </cell>
          <cell r="E1982">
            <v>79255970190</v>
          </cell>
          <cell r="F1982">
            <v>79255970190</v>
          </cell>
        </row>
        <row r="1983">
          <cell r="A1983" t="str">
            <v>Шевченко Евгений Вячеславович</v>
          </cell>
          <cell r="B1983" t="str">
            <v>В-24267/КЛ.Транш - 1_В-20211230/Ц</v>
          </cell>
          <cell r="D1983">
            <v>79618018181</v>
          </cell>
          <cell r="F1983">
            <v>79618018181</v>
          </cell>
        </row>
        <row r="1984">
          <cell r="A1984" t="str">
            <v>Шелин Екатерина Вячеславовна</v>
          </cell>
          <cell r="B1984" t="str">
            <v>Т-01872/АЗ_Т-20211028/Ц</v>
          </cell>
          <cell r="D1984">
            <v>79252289838</v>
          </cell>
          <cell r="F1984">
            <v>79252289838</v>
          </cell>
        </row>
        <row r="1985">
          <cell r="A1985" t="str">
            <v>Шелуднев Андрей Валерьевич</v>
          </cell>
          <cell r="B1985" t="str">
            <v>В-03938/КЛ.Транш - 2</v>
          </cell>
          <cell r="D1985">
            <v>79037000705</v>
          </cell>
          <cell r="F1985">
            <v>79037000705</v>
          </cell>
        </row>
        <row r="1986">
          <cell r="A1986" t="str">
            <v>Шелухин Игорь Вадимович</v>
          </cell>
          <cell r="B1986" t="str">
            <v>А-05100/АЗ_А-20200626/Ц</v>
          </cell>
          <cell r="C1986">
            <v>74953557949</v>
          </cell>
          <cell r="D1986">
            <v>79855552020</v>
          </cell>
          <cell r="E1986">
            <v>79855552020</v>
          </cell>
        </row>
        <row r="1987">
          <cell r="A1987" t="str">
            <v>Шергин Федор Сергеевич</v>
          </cell>
          <cell r="B1987" t="str">
            <v>В-21470/КЛ.Транш - 1</v>
          </cell>
          <cell r="D1987">
            <v>79209788666</v>
          </cell>
          <cell r="E1987">
            <v>79209788666</v>
          </cell>
          <cell r="F1987">
            <v>79209788666</v>
          </cell>
        </row>
        <row r="1988">
          <cell r="A1988" t="str">
            <v>Шереметов Мурат Анатольевич</v>
          </cell>
          <cell r="B1988" t="str">
            <v>В-24989/АЗ</v>
          </cell>
          <cell r="D1988">
            <v>89280092777</v>
          </cell>
          <cell r="F1988">
            <v>79280092777</v>
          </cell>
        </row>
        <row r="1989">
          <cell r="A1989" t="str">
            <v>Шерстнев Дмитрий Андреевич</v>
          </cell>
          <cell r="B1989" t="str">
            <v>В-24385/КЛ.Транш - 1</v>
          </cell>
          <cell r="D1989">
            <v>79787689635</v>
          </cell>
          <cell r="F1989">
            <v>79787689635</v>
          </cell>
        </row>
        <row r="1990">
          <cell r="A1990" t="str">
            <v>Шестаков Евгений Николаевич</v>
          </cell>
          <cell r="B1990" t="str">
            <v>В-21910/КЛ.Транш - 1</v>
          </cell>
          <cell r="D1990">
            <v>89213878387</v>
          </cell>
          <cell r="F1990">
            <v>79213878387</v>
          </cell>
        </row>
        <row r="1991">
          <cell r="A1991" t="str">
            <v>Шиганов Денис Юрьевич</v>
          </cell>
          <cell r="B1991" t="str">
            <v>В-11557/КЛ.Транш - 2</v>
          </cell>
          <cell r="D1991">
            <v>79677155001</v>
          </cell>
          <cell r="F1991">
            <v>79677155001</v>
          </cell>
        </row>
        <row r="1992">
          <cell r="A1992" t="str">
            <v>Шиганов Денис Юрьевич</v>
          </cell>
          <cell r="B1992" t="str">
            <v>В-11557/КЛ.Транш - 3</v>
          </cell>
          <cell r="D1992">
            <v>79677155001</v>
          </cell>
          <cell r="F1992">
            <v>79677155001</v>
          </cell>
        </row>
        <row r="1993">
          <cell r="A1993" t="str">
            <v>Шиленков Александр Владимирович</v>
          </cell>
          <cell r="B1993" t="str">
            <v>В-28064/КЛ.Транш - 1</v>
          </cell>
          <cell r="C1993">
            <v>74956391807</v>
          </cell>
          <cell r="D1993">
            <v>79162211179</v>
          </cell>
          <cell r="E1993">
            <v>79162211179</v>
          </cell>
        </row>
        <row r="1994">
          <cell r="A1994" t="str">
            <v>Шилов Владимир Васильевич</v>
          </cell>
          <cell r="B1994" t="str">
            <v>В-21894/КЛ.Транш - 4</v>
          </cell>
          <cell r="C1994">
            <v>84955232447</v>
          </cell>
          <cell r="D1994">
            <v>89267991516</v>
          </cell>
          <cell r="F1994">
            <v>79267991516</v>
          </cell>
        </row>
        <row r="1995">
          <cell r="A1995" t="str">
            <v>Шиляев Алексей Владимирович</v>
          </cell>
          <cell r="B1995" t="str">
            <v>В-17162/КЛ.Транш - 1</v>
          </cell>
          <cell r="D1995">
            <v>79897730623</v>
          </cell>
          <cell r="F1995">
            <v>79897730623</v>
          </cell>
        </row>
        <row r="1996">
          <cell r="A1996" t="str">
            <v>Шиляев Алексей Владимирович</v>
          </cell>
          <cell r="B1996" t="str">
            <v>В-17162/КЛ.Транш - 2</v>
          </cell>
          <cell r="D1996">
            <v>79897730623</v>
          </cell>
          <cell r="F1996">
            <v>79897730623</v>
          </cell>
        </row>
        <row r="1997">
          <cell r="A1997" t="str">
            <v>Шиляев Алексей Владимирович</v>
          </cell>
          <cell r="B1997" t="str">
            <v>В-17162/КЛ.Транш - 3</v>
          </cell>
          <cell r="D1997">
            <v>79897730623</v>
          </cell>
          <cell r="F1997">
            <v>79897730623</v>
          </cell>
        </row>
        <row r="1998">
          <cell r="A1998" t="str">
            <v>Ширманов Никита Александрович</v>
          </cell>
          <cell r="B1998" t="str">
            <v>В-20952/КЛ.Транш - 3</v>
          </cell>
          <cell r="D1998">
            <v>79785003671</v>
          </cell>
          <cell r="F1998">
            <v>79785003671</v>
          </cell>
        </row>
        <row r="1999">
          <cell r="A1999" t="str">
            <v>Ширманов Никита Александрович</v>
          </cell>
          <cell r="B1999" t="str">
            <v>В-20952/КЛ.Транш - 6</v>
          </cell>
          <cell r="D1999">
            <v>79785003671</v>
          </cell>
          <cell r="F1999">
            <v>79785003671</v>
          </cell>
        </row>
        <row r="2000">
          <cell r="A2000" t="str">
            <v>Ширманов Никита Александрович</v>
          </cell>
          <cell r="B2000" t="str">
            <v>В-20952/КЛ.Транш - 4</v>
          </cell>
          <cell r="D2000">
            <v>79785003671</v>
          </cell>
          <cell r="F2000">
            <v>79785003671</v>
          </cell>
        </row>
        <row r="2001">
          <cell r="A2001" t="str">
            <v>Шитова Виктория Викторовна</v>
          </cell>
          <cell r="B2001" t="str">
            <v>В-11812/КЛ.Транш - 1</v>
          </cell>
          <cell r="C2001">
            <v>74967969347</v>
          </cell>
          <cell r="E2001">
            <v>79031060506</v>
          </cell>
          <cell r="F2001">
            <v>79031060506</v>
          </cell>
        </row>
        <row r="2002">
          <cell r="A2002" t="str">
            <v>Шихалев Вячеслав Николаевич</v>
          </cell>
          <cell r="B2002" t="str">
            <v>Т-01869/АЗ_Т-20211028/Ц</v>
          </cell>
          <cell r="C2002">
            <v>74995055572</v>
          </cell>
          <cell r="D2002">
            <v>79096610693</v>
          </cell>
          <cell r="F2002">
            <v>79096610693</v>
          </cell>
        </row>
        <row r="2003">
          <cell r="A2003" t="str">
            <v>Шиховцов Игорь Николаевич</v>
          </cell>
          <cell r="B2003" t="str">
            <v>В-23410/КЛ.Транш - 1</v>
          </cell>
          <cell r="D2003">
            <v>79514452677</v>
          </cell>
          <cell r="F2003">
            <v>79514452677</v>
          </cell>
        </row>
        <row r="2004">
          <cell r="A2004" t="str">
            <v>Шишкарев Александр Павлович</v>
          </cell>
          <cell r="B2004" t="str">
            <v>Т-01540/АЗ_Т-20211028/Ц</v>
          </cell>
          <cell r="C2004">
            <v>79858667410</v>
          </cell>
          <cell r="D2004">
            <v>79037965446</v>
          </cell>
          <cell r="E2004">
            <v>79037965446</v>
          </cell>
          <cell r="F2004">
            <v>79037965446</v>
          </cell>
        </row>
        <row r="2005">
          <cell r="A2005" t="str">
            <v>Шишкарев Александр Павлович</v>
          </cell>
          <cell r="B2005" t="str">
            <v>А-04160/АЗ_Т-20211028/Ц</v>
          </cell>
          <cell r="C2005">
            <v>79858667410</v>
          </cell>
          <cell r="D2005">
            <v>79037965446</v>
          </cell>
          <cell r="E2005">
            <v>79037965446</v>
          </cell>
          <cell r="F2005">
            <v>79037965446</v>
          </cell>
        </row>
        <row r="2006">
          <cell r="A2006" t="str">
            <v>Шквыр Виктор Викторович</v>
          </cell>
          <cell r="B2006" t="str">
            <v>В-09302/КЛ.Транш - 5</v>
          </cell>
          <cell r="D2006">
            <v>79066940306</v>
          </cell>
          <cell r="F2006">
            <v>79066940306</v>
          </cell>
        </row>
        <row r="2007">
          <cell r="A2007" t="str">
            <v>Шквыр Виктор Викторович</v>
          </cell>
          <cell r="B2007" t="str">
            <v>В-09302/КЛ.Транш - 2</v>
          </cell>
          <cell r="D2007">
            <v>79066940306</v>
          </cell>
          <cell r="F2007">
            <v>79066940306</v>
          </cell>
        </row>
        <row r="2008">
          <cell r="A2008" t="str">
            <v>Шквыр Виктор Викторович</v>
          </cell>
          <cell r="B2008" t="str">
            <v>В-09302/КЛ.Транш - 3</v>
          </cell>
          <cell r="D2008">
            <v>79066940306</v>
          </cell>
          <cell r="F2008">
            <v>79066940306</v>
          </cell>
        </row>
        <row r="2009">
          <cell r="A2009" t="str">
            <v>Шквыр Виктор Викторович</v>
          </cell>
          <cell r="B2009" t="str">
            <v>В-09302/КЛ.Транш - 4</v>
          </cell>
          <cell r="D2009">
            <v>79066940306</v>
          </cell>
          <cell r="F2009">
            <v>79066940306</v>
          </cell>
        </row>
        <row r="2010">
          <cell r="A2010" t="str">
            <v>Шодиев Хуснуддин Сулоймонкулович</v>
          </cell>
          <cell r="B2010" t="str">
            <v>А-05291/АЗ</v>
          </cell>
          <cell r="C2010">
            <v>79779642850</v>
          </cell>
          <cell r="D2010">
            <v>79652644229</v>
          </cell>
          <cell r="E2010">
            <v>79652644229</v>
          </cell>
        </row>
        <row r="2011">
          <cell r="A2011" t="str">
            <v>Шопронку Сергей Харитонович</v>
          </cell>
          <cell r="B2011" t="str">
            <v>В-02154/КЛ.Транш - 1</v>
          </cell>
          <cell r="D2011">
            <v>79253219255</v>
          </cell>
          <cell r="F2011">
            <v>79253219255</v>
          </cell>
        </row>
        <row r="2012">
          <cell r="A2012" t="str">
            <v>Шувалов Александр Вячеславович</v>
          </cell>
          <cell r="B2012" t="str">
            <v>В-09636/КЛ.Транш - 1</v>
          </cell>
          <cell r="D2012">
            <v>79013890745</v>
          </cell>
          <cell r="F2012">
            <v>79013890745</v>
          </cell>
        </row>
        <row r="2013">
          <cell r="A2013" t="str">
            <v>Шумилов Валерий Игоревич</v>
          </cell>
          <cell r="B2013" t="str">
            <v>В-13042/КЛ.Транш - 1_В-20211230/Ц</v>
          </cell>
          <cell r="D2013">
            <v>89201426215</v>
          </cell>
          <cell r="F2013">
            <v>79201426215</v>
          </cell>
        </row>
        <row r="2014">
          <cell r="A2014" t="str">
            <v>Шурупова Екатерина Петровна</v>
          </cell>
          <cell r="B2014" t="str">
            <v>В-00993/КЛ.Транш - 1</v>
          </cell>
          <cell r="C2014">
            <v>84955981623</v>
          </cell>
          <cell r="D2014">
            <v>89859707794</v>
          </cell>
          <cell r="F2014">
            <v>79859707794</v>
          </cell>
        </row>
        <row r="2015">
          <cell r="A2015" t="str">
            <v>Шустов Иван Сергеевич</v>
          </cell>
          <cell r="B2015" t="str">
            <v>В-07729/КЛ.Транш - 1</v>
          </cell>
          <cell r="D2015">
            <v>79214061513</v>
          </cell>
          <cell r="F2015">
            <v>79214061513</v>
          </cell>
        </row>
        <row r="2016">
          <cell r="A2016" t="str">
            <v>Шушарин Артем Владимирович</v>
          </cell>
          <cell r="B2016" t="str">
            <v>В-11280/КЛ.Транш - 1</v>
          </cell>
          <cell r="D2016">
            <v>79028705078</v>
          </cell>
          <cell r="F2016">
            <v>79028705078</v>
          </cell>
        </row>
        <row r="2017">
          <cell r="A2017" t="str">
            <v>Щеглов Роман Сергеевич</v>
          </cell>
          <cell r="B2017" t="str">
            <v>В-12894/КЛ.Транш - 1_В-20211230/Ц</v>
          </cell>
          <cell r="D2017">
            <v>89340003444</v>
          </cell>
          <cell r="F2017">
            <v>79340003444</v>
          </cell>
        </row>
        <row r="2018">
          <cell r="A2018" t="str">
            <v>Щелков Александр Владимирович</v>
          </cell>
          <cell r="B2018" t="str">
            <v>В-15131/КЛ.Транш - 1</v>
          </cell>
          <cell r="D2018">
            <v>79197845073</v>
          </cell>
          <cell r="F2018">
            <v>79197845073</v>
          </cell>
        </row>
        <row r="2019">
          <cell r="A2019" t="str">
            <v>Щепин Артём Артурович</v>
          </cell>
          <cell r="B2019" t="str">
            <v>В-26501/КЛ.Транш - 2</v>
          </cell>
          <cell r="D2019">
            <v>79250373497</v>
          </cell>
          <cell r="F2019">
            <v>79250373497</v>
          </cell>
        </row>
        <row r="2020">
          <cell r="A2020" t="str">
            <v>Щепин Артём Артурович</v>
          </cell>
          <cell r="B2020" t="str">
            <v>В-26501/КЛ.Транш - 5</v>
          </cell>
          <cell r="D2020">
            <v>79250373497</v>
          </cell>
          <cell r="F2020">
            <v>79250373497</v>
          </cell>
        </row>
        <row r="2021">
          <cell r="A2021" t="str">
            <v>Щепин Артём Артурович</v>
          </cell>
          <cell r="B2021" t="str">
            <v>В-26501/КЛ.Транш - 4</v>
          </cell>
          <cell r="D2021">
            <v>79250373497</v>
          </cell>
          <cell r="F2021">
            <v>79250373497</v>
          </cell>
        </row>
        <row r="2022">
          <cell r="A2022" t="str">
            <v>Щепин Артём Артурович</v>
          </cell>
          <cell r="B2022" t="str">
            <v>В-26501/КЛ.Транш - 3</v>
          </cell>
          <cell r="D2022">
            <v>79250373497</v>
          </cell>
          <cell r="F2022">
            <v>79250373497</v>
          </cell>
        </row>
        <row r="2023">
          <cell r="A2023" t="str">
            <v>Щепин Артём Артурович</v>
          </cell>
          <cell r="B2023" t="str">
            <v>В-26501/КЛ.Транш - 1</v>
          </cell>
          <cell r="D2023">
            <v>79250373497</v>
          </cell>
          <cell r="F2023">
            <v>79250373497</v>
          </cell>
        </row>
        <row r="2024">
          <cell r="A2024" t="str">
            <v>Щербаков Владислав Владимирович</v>
          </cell>
          <cell r="B2024" t="str">
            <v>В-23161/КЛ.Транш - 1</v>
          </cell>
          <cell r="D2024">
            <v>89037991513</v>
          </cell>
          <cell r="F2024">
            <v>79037991513</v>
          </cell>
        </row>
        <row r="2025">
          <cell r="A2025" t="str">
            <v>Щербаков Сергей Валерьевич</v>
          </cell>
          <cell r="B2025" t="str">
            <v>В-01371/КЛ.Транш - 1</v>
          </cell>
          <cell r="D2025">
            <v>89859748828</v>
          </cell>
          <cell r="F2025">
            <v>79859748828</v>
          </cell>
        </row>
        <row r="2026">
          <cell r="A2026" t="str">
            <v>Щербаков Сергей Васильевич</v>
          </cell>
          <cell r="B2026" t="str">
            <v>В-12818/КЛ.Транш - 1</v>
          </cell>
          <cell r="D2026">
            <v>79058936511</v>
          </cell>
          <cell r="F2026">
            <v>79058936511</v>
          </cell>
        </row>
        <row r="2027">
          <cell r="A2027" t="str">
            <v>Щербин Виталий Борисович</v>
          </cell>
          <cell r="B2027" t="str">
            <v>А-01652/АЗ</v>
          </cell>
          <cell r="D2027" t="str">
            <v>79167270376, 79853012910</v>
          </cell>
          <cell r="E2027">
            <v>79167270376</v>
          </cell>
        </row>
        <row r="2028">
          <cell r="A2028" t="str">
            <v>Щербин Виталий Борисович</v>
          </cell>
          <cell r="B2028" t="str">
            <v>Т-00638/АЗ_Т-20211028/Ц</v>
          </cell>
          <cell r="D2028" t="str">
            <v>79167270376, 79853012910</v>
          </cell>
          <cell r="E2028">
            <v>79167270376</v>
          </cell>
        </row>
        <row r="2029">
          <cell r="A2029" t="str">
            <v>Щетников Станислав Александрович</v>
          </cell>
          <cell r="B2029" t="str">
            <v>В-24892/АЗ</v>
          </cell>
          <cell r="D2029">
            <v>79169286270</v>
          </cell>
          <cell r="F2029">
            <v>79169286270</v>
          </cell>
        </row>
        <row r="2030">
          <cell r="A2030" t="str">
            <v>Эврика ООО</v>
          </cell>
          <cell r="B2030" t="str">
            <v>В-00065/КЭ.Транш - 1</v>
          </cell>
        </row>
        <row r="2031">
          <cell r="A2031" t="str">
            <v>Эктов Евгений Александрович</v>
          </cell>
          <cell r="B2031" t="str">
            <v>В-00039/АЗ</v>
          </cell>
          <cell r="D2031">
            <v>89017796540</v>
          </cell>
          <cell r="F2031">
            <v>79017796540</v>
          </cell>
        </row>
        <row r="2032">
          <cell r="A2032" t="str">
            <v>ЭЛ-КОМПЛЕКТ ООО</v>
          </cell>
          <cell r="B2032" t="str">
            <v>В-00039/КЭ.Транш - 1_В-20211230/Ц</v>
          </cell>
        </row>
        <row r="2033">
          <cell r="A2033" t="str">
            <v>Элоян Артур Гамбарович</v>
          </cell>
          <cell r="B2033" t="str">
            <v>В-18548/КЛ.Транш - 1</v>
          </cell>
          <cell r="D2033">
            <v>79607319694</v>
          </cell>
          <cell r="F2033">
            <v>79607319694</v>
          </cell>
        </row>
        <row r="2034">
          <cell r="A2034" t="str">
            <v>Элоян Артур Гамбарович</v>
          </cell>
          <cell r="B2034" t="str">
            <v>В-18548/КЛ.Транш - 2</v>
          </cell>
          <cell r="D2034">
            <v>79607319694</v>
          </cell>
          <cell r="F2034">
            <v>79607319694</v>
          </cell>
        </row>
        <row r="2035">
          <cell r="A2035" t="str">
            <v>ЭльБрус ООО</v>
          </cell>
          <cell r="B2035" t="str">
            <v>В-00053/КЭ.Транш - 1</v>
          </cell>
        </row>
        <row r="2036">
          <cell r="A2036" t="str">
            <v>ЭНБЕРЛИ ООО</v>
          </cell>
          <cell r="B2036" t="str">
            <v>В-10014/КЭ.Транш - 1</v>
          </cell>
        </row>
        <row r="2037">
          <cell r="A2037" t="str">
            <v>ЭНБЕРЛИ ООО</v>
          </cell>
          <cell r="B2037" t="str">
            <v>В-10014/КЭ.Транш - 2</v>
          </cell>
        </row>
        <row r="2038">
          <cell r="A2038" t="str">
            <v>ЭНЕРГИЯ ООО</v>
          </cell>
          <cell r="B2038" t="str">
            <v>А-10099/КЭ.Транш - 2</v>
          </cell>
        </row>
        <row r="2039">
          <cell r="A2039" t="str">
            <v>ЭНЕРГИЯ ООО</v>
          </cell>
          <cell r="B2039" t="str">
            <v>А-10098/КЭ.Транш - 1</v>
          </cell>
        </row>
        <row r="2040">
          <cell r="A2040" t="str">
            <v>ЭНЕРГИЯ ООО</v>
          </cell>
          <cell r="B2040" t="str">
            <v>А-10099/КЭ.Транш - 1</v>
          </cell>
        </row>
        <row r="2041">
          <cell r="A2041" t="str">
            <v>Эргашев Баходир Закирович</v>
          </cell>
          <cell r="B2041" t="str">
            <v>В-08248/КЛ.Транш - 3</v>
          </cell>
          <cell r="D2041">
            <v>89268786830</v>
          </cell>
          <cell r="F2041">
            <v>79268786830</v>
          </cell>
        </row>
        <row r="2042">
          <cell r="A2042" t="str">
            <v>Эргюн Кристина Николаевна</v>
          </cell>
          <cell r="B2042" t="str">
            <v>В-05868/КЛ.Транш - 1</v>
          </cell>
          <cell r="D2042">
            <v>89262033088</v>
          </cell>
          <cell r="F2042">
            <v>79770503324</v>
          </cell>
        </row>
        <row r="2043">
          <cell r="A2043" t="str">
            <v>Эскеров Агаси Эскерович</v>
          </cell>
          <cell r="B2043" t="str">
            <v>В-14232/КЛ.Транш - 1</v>
          </cell>
          <cell r="D2043">
            <v>79182841372</v>
          </cell>
          <cell r="F2043">
            <v>79182841372</v>
          </cell>
        </row>
        <row r="2044">
          <cell r="A2044" t="str">
            <v>Юдин Александр Сергеевич</v>
          </cell>
          <cell r="B2044" t="str">
            <v>В-01090/АЗ</v>
          </cell>
          <cell r="D2044">
            <v>89099951765</v>
          </cell>
          <cell r="F2044">
            <v>79099951765</v>
          </cell>
        </row>
        <row r="2045">
          <cell r="A2045" t="str">
            <v>Юдин Александр Сергеевич</v>
          </cell>
          <cell r="B2045" t="str">
            <v>В-23895/АЗ</v>
          </cell>
          <cell r="D2045">
            <v>89099951765</v>
          </cell>
          <cell r="F2045">
            <v>79099951765</v>
          </cell>
        </row>
        <row r="2046">
          <cell r="A2046" t="str">
            <v>Юдина Светлана Валерьевна</v>
          </cell>
          <cell r="B2046" t="str">
            <v>В-20899/КЛ.Транш - 1</v>
          </cell>
          <cell r="D2046">
            <v>79145010453</v>
          </cell>
          <cell r="F2046">
            <v>79145010453</v>
          </cell>
        </row>
        <row r="2047">
          <cell r="A2047" t="str">
            <v>Юзбашян Ходедан Зограбович</v>
          </cell>
          <cell r="B2047" t="str">
            <v>В-00088/АЗ</v>
          </cell>
          <cell r="D2047">
            <v>79660098367</v>
          </cell>
          <cell r="F2047">
            <v>79660098367</v>
          </cell>
        </row>
        <row r="2048">
          <cell r="A2048" t="str">
            <v>Юн Вадим Вячеславович</v>
          </cell>
          <cell r="B2048" t="str">
            <v>В-24151/КЛ.Транш - 1</v>
          </cell>
          <cell r="D2048">
            <v>79016581077</v>
          </cell>
          <cell r="F2048">
            <v>79016581077</v>
          </cell>
        </row>
        <row r="2049">
          <cell r="A2049" t="str">
            <v>Юнусов Акмалдин Акрамович</v>
          </cell>
          <cell r="B2049" t="str">
            <v>В-03543/КЛ.Транш - 1</v>
          </cell>
          <cell r="D2049">
            <v>79006519767</v>
          </cell>
          <cell r="F2049">
            <v>79006519767</v>
          </cell>
        </row>
        <row r="2050">
          <cell r="A2050" t="str">
            <v>Юров Михаил Витальевич</v>
          </cell>
          <cell r="B2050" t="str">
            <v>Т-01906/АЗ_Т-20211028/Ц</v>
          </cell>
          <cell r="C2050">
            <v>79066285223</v>
          </cell>
          <cell r="D2050">
            <v>79606005503</v>
          </cell>
          <cell r="E2050">
            <v>79671852262</v>
          </cell>
          <cell r="F2050">
            <v>89606005503</v>
          </cell>
        </row>
        <row r="2051">
          <cell r="A2051" t="str">
            <v>Юрченко Дмитрий Валерьевич</v>
          </cell>
          <cell r="B2051" t="str">
            <v>В-01642/КЛ.Транш - 1</v>
          </cell>
          <cell r="D2051">
            <v>89257810598</v>
          </cell>
          <cell r="F2051">
            <v>79257810598</v>
          </cell>
        </row>
        <row r="2052">
          <cell r="A2052" t="str">
            <v>Юсупов Альберт Гиннатуллаевич</v>
          </cell>
          <cell r="B2052" t="str">
            <v>В-28235/АЗ</v>
          </cell>
          <cell r="D2052">
            <v>79030156177</v>
          </cell>
          <cell r="F2052">
            <v>79030156177</v>
          </cell>
        </row>
        <row r="2053">
          <cell r="A2053" t="str">
            <v>Юсупова Екатерина Галимжановна</v>
          </cell>
          <cell r="B2053" t="str">
            <v>В-26423/КЛ.Транш - 1</v>
          </cell>
          <cell r="D2053">
            <v>79085718098</v>
          </cell>
        </row>
        <row r="2054">
          <cell r="A2054" t="str">
            <v>Юшков Юрий Валерьевич</v>
          </cell>
          <cell r="B2054" t="str">
            <v>В-15400/КЛ.Транш - 2</v>
          </cell>
          <cell r="D2054">
            <v>79220274533</v>
          </cell>
          <cell r="F2054">
            <v>79220274533</v>
          </cell>
        </row>
        <row r="2055">
          <cell r="A2055" t="str">
            <v>Ягненков Сергей Васильевич</v>
          </cell>
          <cell r="B2055" t="str">
            <v>В-28216/КЛ.Транш - 1</v>
          </cell>
          <cell r="D2055">
            <v>89165599717</v>
          </cell>
          <cell r="F2055">
            <v>79165599717</v>
          </cell>
        </row>
        <row r="2056">
          <cell r="A2056" t="str">
            <v>Яковлев Борис Викторович</v>
          </cell>
          <cell r="B2056" t="str">
            <v>В-25824/КЛ.Транш - 1</v>
          </cell>
          <cell r="D2056">
            <v>79645796128</v>
          </cell>
          <cell r="F2056">
            <v>79645796128</v>
          </cell>
        </row>
        <row r="2057">
          <cell r="A2057" t="str">
            <v>Якубов Ислам Симандуевич</v>
          </cell>
          <cell r="B2057" t="str">
            <v>В-14920/КЛ.Транш - 1</v>
          </cell>
          <cell r="C2057">
            <v>89057277555</v>
          </cell>
          <cell r="D2057">
            <v>89263121881</v>
          </cell>
          <cell r="F2057">
            <v>79263121881</v>
          </cell>
        </row>
        <row r="2058">
          <cell r="A2058" t="str">
            <v>Якунин Валерий Викторович</v>
          </cell>
          <cell r="B2058" t="str">
            <v>В-02090/КЛ.Транш - 1</v>
          </cell>
          <cell r="C2058">
            <v>84953224104</v>
          </cell>
          <cell r="D2058">
            <v>89267163266</v>
          </cell>
          <cell r="F2058">
            <v>79267163266</v>
          </cell>
        </row>
        <row r="2059">
          <cell r="A2059" t="str">
            <v>Якунчиков Максим Анатольевич</v>
          </cell>
          <cell r="B2059" t="str">
            <v>В-22759/КЛ.Транш - 1</v>
          </cell>
          <cell r="D2059">
            <v>89165971560</v>
          </cell>
          <cell r="F2059">
            <v>79165971560</v>
          </cell>
        </row>
        <row r="2060">
          <cell r="A2060" t="str">
            <v>Янишевская Анна Сергеевна</v>
          </cell>
          <cell r="B2060" t="str">
            <v>В-14291/КЛ.Транш - 7</v>
          </cell>
          <cell r="D2060">
            <v>79859500766</v>
          </cell>
          <cell r="E2060">
            <v>79163596977</v>
          </cell>
          <cell r="F2060">
            <v>79859500766</v>
          </cell>
        </row>
        <row r="2061">
          <cell r="A2061" t="str">
            <v>Ярмоц Константин Викторович</v>
          </cell>
          <cell r="B2061" t="str">
            <v>В-20585/КЛ.Транш - 1</v>
          </cell>
          <cell r="D2061">
            <v>79829322655</v>
          </cell>
          <cell r="F2061">
            <v>79829322655</v>
          </cell>
        </row>
        <row r="2062">
          <cell r="A2062" t="str">
            <v>Ярмусь Екатерина Юрьевна</v>
          </cell>
          <cell r="B2062" t="str">
            <v>В-20172/КЛ.Транш - 1</v>
          </cell>
          <cell r="D2062">
            <v>79180577034</v>
          </cell>
          <cell r="F2062">
            <v>79180577034</v>
          </cell>
        </row>
        <row r="2063">
          <cell r="A2063" t="str">
            <v>Ярунина Олеся Олеговна</v>
          </cell>
          <cell r="B2063" t="str">
            <v>В-11861/КЛ.Транш - 1</v>
          </cell>
          <cell r="E2063">
            <v>79506259515</v>
          </cell>
          <cell r="F2063">
            <v>79506259515</v>
          </cell>
        </row>
      </sheetData>
      <sheetData sheetId="1"/>
      <sheetData sheetId="2"/>
      <sheetData sheetId="3">
        <row r="1">
          <cell r="A1" t="str">
            <v>Займ предоставленный.Номер договора</v>
          </cell>
          <cell r="B1" t="str">
            <v>Поручитель</v>
          </cell>
          <cell r="C1" t="str">
            <v>Телефон мобильный</v>
          </cell>
        </row>
        <row r="2">
          <cell r="A2" t="str">
            <v>А-00380/КЭ</v>
          </cell>
          <cell r="B2" t="str">
            <v>Мардоян Самвел Жораевич</v>
          </cell>
          <cell r="C2">
            <v>89687029464</v>
          </cell>
        </row>
        <row r="3">
          <cell r="A3" t="str">
            <v>А-00049/БЭ</v>
          </cell>
          <cell r="B3" t="str">
            <v>ДЖОЙН ИТ ООО</v>
          </cell>
        </row>
        <row r="4">
          <cell r="A4" t="str">
            <v>А-00382/КЭ</v>
          </cell>
          <cell r="B4" t="str">
            <v>Сахаров Виталий Николаевич</v>
          </cell>
          <cell r="C4">
            <v>79175357571</v>
          </cell>
        </row>
        <row r="5">
          <cell r="A5" t="str">
            <v>А-00382/КЭ</v>
          </cell>
          <cell r="B5" t="str">
            <v>Боброва Оксана Викторовна</v>
          </cell>
          <cell r="C5">
            <v>79167772257</v>
          </cell>
        </row>
        <row r="6">
          <cell r="A6" t="str">
            <v>А-00370/КЭ</v>
          </cell>
          <cell r="B6" t="str">
            <v>Чернушкин Иван Владимирович</v>
          </cell>
          <cell r="C6">
            <v>89150686919</v>
          </cell>
        </row>
        <row r="7">
          <cell r="A7" t="str">
            <v>В-00046/АЗ</v>
          </cell>
          <cell r="B7" t="str">
            <v>Аванесян Эмилия Эмиковна</v>
          </cell>
          <cell r="C7">
            <v>89263536460</v>
          </cell>
        </row>
        <row r="8">
          <cell r="A8" t="str">
            <v>В-00018/КЭ</v>
          </cell>
          <cell r="B8" t="str">
            <v>Стацик Анатолий Семенович</v>
          </cell>
          <cell r="C8">
            <v>79154755973</v>
          </cell>
        </row>
        <row r="9">
          <cell r="A9" t="str">
            <v>В-00073/КЭ</v>
          </cell>
          <cell r="B9" t="str">
            <v>Стацик Анатолий Семенович</v>
          </cell>
          <cell r="C9">
            <v>79154755973</v>
          </cell>
        </row>
        <row r="10">
          <cell r="A10" t="str">
            <v>В-00033/КЭ</v>
          </cell>
          <cell r="B10" t="str">
            <v>Апакина Анастасия Викторовна</v>
          </cell>
          <cell r="C10">
            <v>79099959191</v>
          </cell>
        </row>
        <row r="11">
          <cell r="A11" t="str">
            <v>В-00345/АЗ</v>
          </cell>
          <cell r="B11" t="str">
            <v>Григорьев Эдуард Юрьевич</v>
          </cell>
          <cell r="C11">
            <v>79055504528</v>
          </cell>
        </row>
        <row r="12">
          <cell r="A12" t="str">
            <v>В-01074/АЗ</v>
          </cell>
          <cell r="B12" t="str">
            <v>Григорьев Эдуард Юрьевич</v>
          </cell>
          <cell r="C12">
            <v>79055504528</v>
          </cell>
        </row>
        <row r="13">
          <cell r="A13" t="str">
            <v>В-00088/АЗ</v>
          </cell>
          <cell r="B13" t="str">
            <v>Юзбашян Зограб Ходедани</v>
          </cell>
          <cell r="C13">
            <v>79055396840</v>
          </cell>
        </row>
        <row r="14">
          <cell r="A14" t="str">
            <v>В-01039/АЗ</v>
          </cell>
          <cell r="B14" t="str">
            <v>Егоян Вард Баласанович</v>
          </cell>
          <cell r="C14">
            <v>79032135256</v>
          </cell>
        </row>
        <row r="15">
          <cell r="A15" t="str">
            <v>В-00053/КЭ</v>
          </cell>
          <cell r="B15" t="str">
            <v>Борисов Алексей Валерьевич</v>
          </cell>
          <cell r="C15">
            <v>79169998637</v>
          </cell>
        </row>
        <row r="16">
          <cell r="A16" t="str">
            <v>В-10019/КЭ</v>
          </cell>
          <cell r="B16" t="str">
            <v>Мельникова Елена Владимировна</v>
          </cell>
          <cell r="C16">
            <v>89112926538</v>
          </cell>
        </row>
        <row r="17">
          <cell r="A17" t="str">
            <v>В-10019/КЭ</v>
          </cell>
          <cell r="B17" t="str">
            <v>Груздев Александр Борисович</v>
          </cell>
          <cell r="C17">
            <v>89052151090</v>
          </cell>
        </row>
        <row r="18">
          <cell r="A18" t="str">
            <v>А-00391/КЭ</v>
          </cell>
          <cell r="B18" t="str">
            <v>Мироненко Галина Александровна</v>
          </cell>
          <cell r="C18">
            <v>79852103771</v>
          </cell>
        </row>
        <row r="19">
          <cell r="A19" t="str">
            <v>А-00462/КЭ</v>
          </cell>
          <cell r="B19" t="str">
            <v>Мироненко Галина Александровна</v>
          </cell>
          <cell r="C19">
            <v>79852103771</v>
          </cell>
        </row>
        <row r="20">
          <cell r="A20" t="str">
            <v>А-00360/КЭ</v>
          </cell>
          <cell r="B20" t="str">
            <v>Бабякина Ирина Алексеевна</v>
          </cell>
          <cell r="C20">
            <v>89661083233</v>
          </cell>
        </row>
        <row r="21">
          <cell r="A21" t="str">
            <v>А-00360/КЭ</v>
          </cell>
          <cell r="B21" t="str">
            <v>Гафуров Марсель Альбертович</v>
          </cell>
          <cell r="C21">
            <v>89647006767</v>
          </cell>
        </row>
        <row r="22">
          <cell r="A22" t="str">
            <v>А-30004/КЭ</v>
          </cell>
          <cell r="B22" t="str">
            <v>Сунгурян Эдуард Карапетович</v>
          </cell>
          <cell r="C22">
            <v>89186077037</v>
          </cell>
        </row>
        <row r="23">
          <cell r="A23" t="str">
            <v>А-30004/КЭ</v>
          </cell>
          <cell r="B23" t="str">
            <v>Мкртчян Арсен Самвелович</v>
          </cell>
          <cell r="C23">
            <v>89780400793</v>
          </cell>
        </row>
        <row r="24">
          <cell r="A24" t="str">
            <v>А-00392/КЭ</v>
          </cell>
          <cell r="B24" t="str">
            <v>Байрамуков Андрей Алиевич</v>
          </cell>
          <cell r="C24">
            <v>89096760666</v>
          </cell>
        </row>
        <row r="25">
          <cell r="A25" t="str">
            <v>А-00399/КЭ</v>
          </cell>
          <cell r="B25" t="str">
            <v>Мишин Андрей Васильевич</v>
          </cell>
          <cell r="C25">
            <v>79153809530</v>
          </cell>
        </row>
        <row r="26">
          <cell r="A26" t="str">
            <v>А-00406/КЭ</v>
          </cell>
          <cell r="B26" t="str">
            <v>Мишин Андрей Васильевич</v>
          </cell>
          <cell r="C26">
            <v>79153809530</v>
          </cell>
        </row>
        <row r="27">
          <cell r="A27" t="str">
            <v>В-10017/КЭ</v>
          </cell>
          <cell r="B27" t="str">
            <v>Мартиросян Вардан Лазоевич</v>
          </cell>
          <cell r="C27">
            <v>79119259881</v>
          </cell>
        </row>
        <row r="28">
          <cell r="A28" t="str">
            <v>А-10097/КЭ</v>
          </cell>
          <cell r="B28" t="str">
            <v>Грудцына Евгения Александровна</v>
          </cell>
          <cell r="C28">
            <v>79219583005</v>
          </cell>
        </row>
        <row r="29">
          <cell r="A29" t="str">
            <v>А-10097/КЭ</v>
          </cell>
          <cell r="B29" t="str">
            <v>Уразов Олег Эдуардович</v>
          </cell>
          <cell r="C29">
            <v>79213472062</v>
          </cell>
        </row>
        <row r="30">
          <cell r="A30" t="str">
            <v>А-10096/КЭ</v>
          </cell>
          <cell r="B30" t="str">
            <v>Дятко Александр Николаевич</v>
          </cell>
          <cell r="C30" t="str">
            <v>79643888770, 79117853227</v>
          </cell>
        </row>
        <row r="31">
          <cell r="A31" t="str">
            <v>А-00402/КЭ</v>
          </cell>
          <cell r="B31" t="str">
            <v>Кунижев Адалгерий Нурбиевич</v>
          </cell>
          <cell r="C31">
            <v>79857773002</v>
          </cell>
        </row>
        <row r="32">
          <cell r="A32" t="str">
            <v>В-00041/КЭ</v>
          </cell>
          <cell r="B32" t="str">
            <v>Чернышова Мария Сергеевна</v>
          </cell>
          <cell r="C32">
            <v>79104838765</v>
          </cell>
        </row>
        <row r="33">
          <cell r="A33" t="str">
            <v>А-00403/КЭ</v>
          </cell>
          <cell r="B33" t="str">
            <v>Тулупов Илья Владимирович</v>
          </cell>
          <cell r="C33">
            <v>79852982783</v>
          </cell>
        </row>
        <row r="34">
          <cell r="A34" t="str">
            <v>А-00405/КЭ</v>
          </cell>
          <cell r="B34" t="str">
            <v>Косов Василий Юрьевич</v>
          </cell>
          <cell r="C34">
            <v>79154514153</v>
          </cell>
        </row>
        <row r="35">
          <cell r="A35" t="str">
            <v>А-00063/БЭ</v>
          </cell>
          <cell r="B35" t="str">
            <v>АИТРАНС ООО</v>
          </cell>
        </row>
        <row r="36">
          <cell r="A36" t="str">
            <v>Т-00038/БЭ_Т-20211028/Ц</v>
          </cell>
          <cell r="B36" t="str">
            <v>АИТРАНС ООО</v>
          </cell>
        </row>
        <row r="37">
          <cell r="A37" t="str">
            <v>А-10098/КЭ</v>
          </cell>
          <cell r="B37" t="str">
            <v>Таиров Давран Бахтиярович</v>
          </cell>
          <cell r="C37">
            <v>79312569333</v>
          </cell>
        </row>
        <row r="38">
          <cell r="A38" t="str">
            <v>А-10099/КЭ</v>
          </cell>
          <cell r="B38" t="str">
            <v>Таиров Давран Бахтиярович</v>
          </cell>
          <cell r="C38">
            <v>79312569333</v>
          </cell>
        </row>
        <row r="39">
          <cell r="A39" t="str">
            <v>А-00409/КЭ</v>
          </cell>
          <cell r="B39" t="str">
            <v>Трунов Дмитрий Евгеньевич</v>
          </cell>
          <cell r="C39">
            <v>79852102070</v>
          </cell>
        </row>
        <row r="40">
          <cell r="A40" t="str">
            <v>А-00410/КЭ</v>
          </cell>
          <cell r="B40" t="str">
            <v>Куренков Илья Маркович</v>
          </cell>
          <cell r="C40">
            <v>89263682963</v>
          </cell>
        </row>
        <row r="41">
          <cell r="A41" t="str">
            <v>А-00410/КЭ</v>
          </cell>
          <cell r="B41" t="str">
            <v>Деев Андрей Валентинович</v>
          </cell>
          <cell r="C41">
            <v>89151992454</v>
          </cell>
        </row>
        <row r="42">
          <cell r="A42" t="str">
            <v>А-00414/КЭ</v>
          </cell>
          <cell r="B42" t="str">
            <v>Гуляев Евгений Валерьевич</v>
          </cell>
          <cell r="C42">
            <v>89197848545</v>
          </cell>
        </row>
        <row r="43">
          <cell r="A43" t="str">
            <v>А-00414/КЭ</v>
          </cell>
          <cell r="B43" t="str">
            <v>Лысенко Артур Игоревич</v>
          </cell>
          <cell r="C43">
            <v>89153459847</v>
          </cell>
        </row>
        <row r="44">
          <cell r="A44" t="str">
            <v>А-30006/КЭ</v>
          </cell>
          <cell r="B44" t="str">
            <v>Бахчоян Норик Варданович</v>
          </cell>
          <cell r="C44">
            <v>89184808307</v>
          </cell>
        </row>
        <row r="45">
          <cell r="A45" t="str">
            <v>В-05253/КЛ</v>
          </cell>
          <cell r="B45" t="str">
            <v>Гулиев Мехман Агаами Оглы</v>
          </cell>
          <cell r="C45">
            <v>79265702323</v>
          </cell>
        </row>
        <row r="46">
          <cell r="A46" t="str">
            <v>В-28424/АЗ</v>
          </cell>
          <cell r="B46" t="str">
            <v>Мнацаканян Карен Аракелович</v>
          </cell>
          <cell r="C46">
            <v>79688618888</v>
          </cell>
        </row>
        <row r="47">
          <cell r="A47" t="str">
            <v>А-00421/КЭ</v>
          </cell>
          <cell r="B47" t="str">
            <v>Мокин Алексей Федорович</v>
          </cell>
          <cell r="C47">
            <v>89251300492</v>
          </cell>
        </row>
        <row r="48">
          <cell r="A48" t="str">
            <v>В-00675/АЗ</v>
          </cell>
          <cell r="B48" t="str">
            <v>Шагивалеев Азат Мусавирович</v>
          </cell>
          <cell r="C48">
            <v>89857234373</v>
          </cell>
        </row>
        <row r="49">
          <cell r="A49" t="str">
            <v>В-13603/КЛ</v>
          </cell>
          <cell r="B49" t="str">
            <v>Рогава Отари Омариевич</v>
          </cell>
          <cell r="C49">
            <v>89856338888</v>
          </cell>
        </row>
        <row r="50">
          <cell r="A50" t="str">
            <v>А-05421/АЗ_А-20200626/Ц</v>
          </cell>
          <cell r="B50" t="str">
            <v>Миносян Валико Карапетович</v>
          </cell>
          <cell r="C50">
            <v>79649460007</v>
          </cell>
        </row>
        <row r="51">
          <cell r="A51" t="str">
            <v>В-00702/АЗ</v>
          </cell>
          <cell r="B51" t="str">
            <v>Миносян Валико Карапетович</v>
          </cell>
          <cell r="C51">
            <v>79649460007</v>
          </cell>
        </row>
        <row r="52">
          <cell r="A52" t="str">
            <v>Т-01843/АЗ_Т-20200626/Ц</v>
          </cell>
          <cell r="B52" t="str">
            <v>Миносян Валико Карапетович</v>
          </cell>
          <cell r="C52">
            <v>79649460007</v>
          </cell>
        </row>
        <row r="53">
          <cell r="A53" t="str">
            <v>А-00427/КЭ</v>
          </cell>
          <cell r="B53" t="str">
            <v>Васадзе Коба Олегиевич</v>
          </cell>
          <cell r="C53">
            <v>79055617775</v>
          </cell>
        </row>
        <row r="54">
          <cell r="A54" t="str">
            <v>А-00443/КЭ</v>
          </cell>
          <cell r="B54" t="str">
            <v>Васадзе Коба Олегиевич</v>
          </cell>
          <cell r="C54">
            <v>79055617775</v>
          </cell>
        </row>
        <row r="55">
          <cell r="A55" t="str">
            <v>В-01085/АЗ</v>
          </cell>
          <cell r="B55" t="str">
            <v>Печеникова Оксана Александровна</v>
          </cell>
          <cell r="C55">
            <v>79258380111</v>
          </cell>
        </row>
        <row r="56">
          <cell r="A56" t="str">
            <v>В-01084/АЗ</v>
          </cell>
          <cell r="B56" t="str">
            <v>Печеников Александр Иванович</v>
          </cell>
          <cell r="C56">
            <v>79687697000</v>
          </cell>
        </row>
        <row r="57">
          <cell r="A57" t="str">
            <v>А-10026/БЭ</v>
          </cell>
          <cell r="B57" t="str">
            <v>КУТЮРЬЕ НЕО ООО</v>
          </cell>
        </row>
        <row r="58">
          <cell r="A58" t="str">
            <v>А-00431/КЭ</v>
          </cell>
          <cell r="B58" t="str">
            <v>Барышов Евгений Владимирович</v>
          </cell>
          <cell r="C58">
            <v>89037289454</v>
          </cell>
        </row>
        <row r="59">
          <cell r="A59" t="str">
            <v>А-00432/КЭ</v>
          </cell>
          <cell r="B59" t="str">
            <v>Оганян Гриша Араикович</v>
          </cell>
          <cell r="C59">
            <v>89661320330</v>
          </cell>
        </row>
        <row r="60">
          <cell r="A60" t="str">
            <v>В-00011/КЭ.Транш - 1_А-20210929/Ц</v>
          </cell>
          <cell r="B60" t="str">
            <v>Оганян Гриша Араикович</v>
          </cell>
          <cell r="C60">
            <v>89661320330</v>
          </cell>
        </row>
        <row r="61">
          <cell r="A61" t="str">
            <v>А-00433/КЭ</v>
          </cell>
          <cell r="B61" t="str">
            <v>Жильцов Максим Юрьевич</v>
          </cell>
          <cell r="C61">
            <v>89165563737</v>
          </cell>
        </row>
        <row r="62">
          <cell r="A62" t="str">
            <v>А-00433/КЭ</v>
          </cell>
          <cell r="B62" t="str">
            <v>Сыроватская Полина Александровна</v>
          </cell>
          <cell r="C62">
            <v>89269230262</v>
          </cell>
        </row>
        <row r="63">
          <cell r="A63" t="str">
            <v>А-00434/КЭ</v>
          </cell>
          <cell r="B63" t="str">
            <v>Авдонин Вячеслав Игоревич</v>
          </cell>
          <cell r="C63">
            <v>89859482827</v>
          </cell>
        </row>
        <row r="64">
          <cell r="A64" t="str">
            <v>В-00854/АЗ</v>
          </cell>
          <cell r="B64" t="str">
            <v>Сурнин Валерий Валерьевич</v>
          </cell>
          <cell r="C64">
            <v>79996726990</v>
          </cell>
        </row>
        <row r="65">
          <cell r="A65" t="str">
            <v>В-24883/КЛ</v>
          </cell>
          <cell r="B65" t="str">
            <v>Матренина Ольга Владимировна</v>
          </cell>
          <cell r="C65">
            <v>89104473068</v>
          </cell>
        </row>
        <row r="66">
          <cell r="A66" t="str">
            <v>А-00442/КЭ</v>
          </cell>
          <cell r="B66" t="str">
            <v>Дрозд Артем Иванович</v>
          </cell>
          <cell r="C66">
            <v>89153044635</v>
          </cell>
        </row>
        <row r="67">
          <cell r="A67" t="str">
            <v>В-00023/КЭ</v>
          </cell>
          <cell r="B67" t="str">
            <v>Дрозд Артем Иванович</v>
          </cell>
          <cell r="C67">
            <v>89153044635</v>
          </cell>
        </row>
        <row r="68">
          <cell r="A68" t="str">
            <v>В-03383/КЛ</v>
          </cell>
          <cell r="B68" t="str">
            <v>Трго Анастасия Владимировна</v>
          </cell>
          <cell r="C68">
            <v>89162459060</v>
          </cell>
        </row>
        <row r="69">
          <cell r="A69" t="str">
            <v>А-10117/КЭ</v>
          </cell>
          <cell r="B69" t="str">
            <v>Костин Николай Васильевич</v>
          </cell>
          <cell r="C69">
            <v>89219317222</v>
          </cell>
        </row>
        <row r="70">
          <cell r="A70" t="str">
            <v>В-10002/КЭ</v>
          </cell>
          <cell r="B70" t="str">
            <v>Костин Николай Васильевич</v>
          </cell>
          <cell r="C70">
            <v>89219317222</v>
          </cell>
        </row>
        <row r="71">
          <cell r="A71" t="str">
            <v>А-00447/КЭ</v>
          </cell>
          <cell r="B71" t="str">
            <v>Иванов Юрий Константинович</v>
          </cell>
          <cell r="C71">
            <v>79030100557</v>
          </cell>
        </row>
        <row r="72">
          <cell r="A72" t="str">
            <v>А-00448/КЭ</v>
          </cell>
          <cell r="B72" t="str">
            <v>Иванов Юрий Константинович</v>
          </cell>
          <cell r="C72">
            <v>79030100557</v>
          </cell>
        </row>
        <row r="73">
          <cell r="A73" t="str">
            <v>В-00057/КЭ</v>
          </cell>
          <cell r="B73" t="str">
            <v>Абузарова Регина Ралифовна</v>
          </cell>
          <cell r="C73">
            <v>79060624856</v>
          </cell>
        </row>
        <row r="74">
          <cell r="A74" t="str">
            <v>В-10020/КЭ</v>
          </cell>
          <cell r="B74" t="str">
            <v>Роскошная Евгения Валерьевна</v>
          </cell>
          <cell r="C74">
            <v>79522032333</v>
          </cell>
        </row>
        <row r="75">
          <cell r="A75" t="str">
            <v>В-04162/КЛ</v>
          </cell>
          <cell r="B75" t="str">
            <v>Громова Татьяна Юрьевна</v>
          </cell>
          <cell r="C75">
            <v>79652000558</v>
          </cell>
        </row>
        <row r="76">
          <cell r="A76" t="str">
            <v>А-00452/КЭ</v>
          </cell>
          <cell r="B76" t="str">
            <v>Советников Роман Сергеевич</v>
          </cell>
          <cell r="C76">
            <v>79168248944</v>
          </cell>
        </row>
        <row r="77">
          <cell r="A77" t="str">
            <v>А-00453/КЭ</v>
          </cell>
          <cell r="B77" t="str">
            <v>Советников Роман Сергеевич</v>
          </cell>
          <cell r="C77">
            <v>79168248944</v>
          </cell>
        </row>
        <row r="78">
          <cell r="A78" t="str">
            <v>В-00038/КЭ</v>
          </cell>
          <cell r="B78" t="str">
            <v>Советников Роман Сергеевич</v>
          </cell>
          <cell r="C78">
            <v>79168248944</v>
          </cell>
        </row>
        <row r="79">
          <cell r="A79" t="str">
            <v>А-00454/КЭ</v>
          </cell>
          <cell r="B79" t="str">
            <v>Андреев Дмитрий Геннадьевич</v>
          </cell>
          <cell r="C79">
            <v>89154725975</v>
          </cell>
        </row>
        <row r="80">
          <cell r="A80" t="str">
            <v>В-04596/КЛ</v>
          </cell>
          <cell r="B80" t="str">
            <v>Махмудова Дилрабо Раимовна</v>
          </cell>
          <cell r="C80">
            <v>89296421020</v>
          </cell>
        </row>
        <row r="81">
          <cell r="A81" t="str">
            <v>В-23354/АЗ</v>
          </cell>
          <cell r="B81" t="str">
            <v>Брежнева Мария Михайловна</v>
          </cell>
          <cell r="C81">
            <v>79629993747</v>
          </cell>
        </row>
        <row r="82">
          <cell r="A82" t="str">
            <v>В-23813/АЗ</v>
          </cell>
          <cell r="B82" t="str">
            <v>Брежнева Мария Михайловна</v>
          </cell>
          <cell r="C82">
            <v>79629993747</v>
          </cell>
        </row>
        <row r="83">
          <cell r="A83" t="str">
            <v>В-25924/АЗ</v>
          </cell>
          <cell r="B83" t="str">
            <v>Брежнева Мария Михайловна</v>
          </cell>
          <cell r="C83">
            <v>79629993747</v>
          </cell>
        </row>
        <row r="84">
          <cell r="A84" t="str">
            <v>В-05611/КЛ</v>
          </cell>
          <cell r="B84" t="str">
            <v>Делиславова Галина Алексеевна</v>
          </cell>
          <cell r="C84">
            <v>79687899789</v>
          </cell>
        </row>
        <row r="85">
          <cell r="A85" t="str">
            <v>В-00003/КЭ.Транш - 1_А-20210929/Ц</v>
          </cell>
          <cell r="B85" t="str">
            <v>Васильева Наталья Александровна</v>
          </cell>
          <cell r="C85">
            <v>79689313557</v>
          </cell>
        </row>
        <row r="86">
          <cell r="A86" t="str">
            <v>В-01152/АЗ</v>
          </cell>
          <cell r="B86" t="str">
            <v>Погосян Мелания Гарниковна</v>
          </cell>
          <cell r="C86">
            <v>89263943440</v>
          </cell>
        </row>
        <row r="87">
          <cell r="A87" t="str">
            <v>А-10121/КЭ</v>
          </cell>
          <cell r="B87" t="str">
            <v>Коротеева Марина Михайловна</v>
          </cell>
          <cell r="C87">
            <v>79219337356</v>
          </cell>
        </row>
        <row r="88">
          <cell r="A88" t="str">
            <v>А-00466/КЭ</v>
          </cell>
          <cell r="B88" t="str">
            <v>Малыхин Владимир Григорьевич</v>
          </cell>
          <cell r="C88">
            <v>79067572291</v>
          </cell>
        </row>
        <row r="89">
          <cell r="A89" t="str">
            <v>А-10122/КЭ</v>
          </cell>
          <cell r="B89" t="str">
            <v>Суслеников Игорь Геннадьевич</v>
          </cell>
          <cell r="C89">
            <v>79219443980</v>
          </cell>
        </row>
        <row r="90">
          <cell r="A90" t="str">
            <v>А-00328/КЭ</v>
          </cell>
          <cell r="B90" t="str">
            <v>Хасанов Дмитрий Камильевич</v>
          </cell>
          <cell r="C90">
            <v>79257372636</v>
          </cell>
        </row>
        <row r="91">
          <cell r="A91" t="str">
            <v>А-00328/КЭ</v>
          </cell>
          <cell r="B91" t="str">
            <v>Грудинина Валерия Владимировна</v>
          </cell>
        </row>
        <row r="92">
          <cell r="A92" t="str">
            <v>В-00066/КЭ</v>
          </cell>
          <cell r="B92" t="str">
            <v>Николайцев Юрий Владимирович</v>
          </cell>
          <cell r="C92">
            <v>79099171136</v>
          </cell>
        </row>
        <row r="93">
          <cell r="A93" t="str">
            <v>В-30004/КЭ</v>
          </cell>
          <cell r="B93" t="str">
            <v>Литвинова Екатерина Викторовна</v>
          </cell>
          <cell r="C93">
            <v>79186107599</v>
          </cell>
        </row>
        <row r="94">
          <cell r="A94" t="str">
            <v>В-01037/АЗ</v>
          </cell>
          <cell r="B94" t="str">
            <v>Блохин Виталий Анатольевич</v>
          </cell>
          <cell r="C94" t="str">
            <v>79184820047, 79002350703</v>
          </cell>
        </row>
        <row r="95">
          <cell r="A95" t="str">
            <v>В-00008/КЭ</v>
          </cell>
          <cell r="B95" t="str">
            <v>Волков Алексей Алексеевич</v>
          </cell>
          <cell r="C95">
            <v>79067105181</v>
          </cell>
        </row>
        <row r="96">
          <cell r="A96" t="str">
            <v>В-01023/АЗ</v>
          </cell>
          <cell r="B96" t="str">
            <v>Осмаева Зулихан Авхадовна</v>
          </cell>
          <cell r="C96">
            <v>79261236273</v>
          </cell>
        </row>
        <row r="97">
          <cell r="A97" t="str">
            <v>В-01024/АЗ</v>
          </cell>
          <cell r="B97" t="str">
            <v>Осмаева Зулихан Авхадовна</v>
          </cell>
          <cell r="C97">
            <v>79261236273</v>
          </cell>
        </row>
        <row r="98">
          <cell r="A98" t="str">
            <v>В-26125/АЗ</v>
          </cell>
          <cell r="B98" t="str">
            <v>Осмаева Зулихан Авхадовна</v>
          </cell>
          <cell r="C98">
            <v>79261236273</v>
          </cell>
        </row>
        <row r="99">
          <cell r="A99" t="str">
            <v>В-26172/АЗ</v>
          </cell>
          <cell r="B99" t="str">
            <v>Осмаева Зулихан Авхадовна</v>
          </cell>
          <cell r="C99">
            <v>79261236273</v>
          </cell>
        </row>
        <row r="100">
          <cell r="A100" t="str">
            <v>В-01211/АЗ</v>
          </cell>
          <cell r="B100" t="str">
            <v>Осмаев Ибрагим Исламович</v>
          </cell>
          <cell r="C100">
            <v>79969160095</v>
          </cell>
        </row>
        <row r="101">
          <cell r="A101" t="str">
            <v>В-27564/АЗ</v>
          </cell>
          <cell r="B101" t="str">
            <v>Амирханян Эмиль Оганесович</v>
          </cell>
          <cell r="C101">
            <v>79160538081</v>
          </cell>
        </row>
        <row r="102">
          <cell r="A102" t="str">
            <v>В-28057/АЗ</v>
          </cell>
          <cell r="B102" t="str">
            <v>Амирханян Эмиль Оганесович</v>
          </cell>
          <cell r="C102">
            <v>79160538081</v>
          </cell>
        </row>
        <row r="103">
          <cell r="A103" t="str">
            <v>В-00072/КЭ</v>
          </cell>
          <cell r="B103" t="str">
            <v>Барский Михаил Яковлевич</v>
          </cell>
          <cell r="C103">
            <v>79057124488</v>
          </cell>
        </row>
        <row r="104">
          <cell r="A104" t="str">
            <v>В-09802/КЛ</v>
          </cell>
          <cell r="B104" t="str">
            <v>Навоян Георг Анатолевич</v>
          </cell>
          <cell r="C104">
            <v>79950000030</v>
          </cell>
        </row>
        <row r="105">
          <cell r="A105" t="str">
            <v>В-27878/АЗ</v>
          </cell>
          <cell r="B105" t="str">
            <v>Навоян Георг Анатолевич</v>
          </cell>
          <cell r="C105">
            <v>79950000030</v>
          </cell>
        </row>
        <row r="106">
          <cell r="A106" t="str">
            <v>В-05725/КЛ</v>
          </cell>
          <cell r="B106" t="str">
            <v>Кравченко Дмитрий Александрович</v>
          </cell>
          <cell r="C106">
            <v>79258502289</v>
          </cell>
        </row>
        <row r="107">
          <cell r="A107" t="str">
            <v>В-09838/КЛ</v>
          </cell>
          <cell r="B107" t="str">
            <v>Ульянова Ольга Юрьевна</v>
          </cell>
          <cell r="C107">
            <v>79267558846</v>
          </cell>
        </row>
        <row r="108">
          <cell r="A108" t="str">
            <v>В-27261/КЛ</v>
          </cell>
          <cell r="B108" t="str">
            <v>Алиева Марина Сергеевна</v>
          </cell>
          <cell r="C108">
            <v>79268214561</v>
          </cell>
        </row>
        <row r="109">
          <cell r="A109" t="str">
            <v>В-11050/КЛ</v>
          </cell>
          <cell r="B109" t="str">
            <v>Аласкаров Натик</v>
          </cell>
          <cell r="C109">
            <v>79966358707</v>
          </cell>
        </row>
        <row r="110">
          <cell r="A110" t="str">
            <v>В-00068/КЭ</v>
          </cell>
          <cell r="B110" t="str">
            <v>Ампрамян Елена Юрьевна</v>
          </cell>
          <cell r="C110">
            <v>79060545576</v>
          </cell>
        </row>
        <row r="111">
          <cell r="A111" t="str">
            <v>В-24169/АЗ</v>
          </cell>
          <cell r="B111" t="str">
            <v>Силкин Максим Алексеевич</v>
          </cell>
          <cell r="C111">
            <v>79653030110</v>
          </cell>
        </row>
        <row r="112">
          <cell r="A112" t="str">
            <v>В-00045/КЭ</v>
          </cell>
          <cell r="B112" t="str">
            <v>Величаев Анатолий Геннадьевич</v>
          </cell>
          <cell r="C112">
            <v>79033458814</v>
          </cell>
        </row>
        <row r="113">
          <cell r="A113" t="str">
            <v>В-10010/КЭ.Транш - 1_А-20210929/Ц</v>
          </cell>
          <cell r="B113" t="str">
            <v>Маланка Виталий Владимирович</v>
          </cell>
          <cell r="C113">
            <v>89522694422</v>
          </cell>
        </row>
        <row r="114">
          <cell r="A114" t="str">
            <v>В-01187/АЗ</v>
          </cell>
          <cell r="B114" t="str">
            <v>Сеферян Галина Андрониковна</v>
          </cell>
          <cell r="C114">
            <v>89165232608</v>
          </cell>
        </row>
        <row r="115">
          <cell r="A115" t="str">
            <v>В-10012/КЭ</v>
          </cell>
          <cell r="B115" t="str">
            <v>Микаелян Арам Арестакович</v>
          </cell>
          <cell r="C115">
            <v>89219311400</v>
          </cell>
        </row>
        <row r="116">
          <cell r="A116" t="str">
            <v>В-27065/АЗ</v>
          </cell>
          <cell r="B116" t="str">
            <v>Труханкин Анатолий Васильевич</v>
          </cell>
          <cell r="C116">
            <v>79877821153</v>
          </cell>
        </row>
        <row r="117">
          <cell r="A117" t="str">
            <v>В-00030/КЭ</v>
          </cell>
          <cell r="B117" t="str">
            <v>Воскресенский Максим Витальевич</v>
          </cell>
          <cell r="C117">
            <v>89774938664</v>
          </cell>
        </row>
        <row r="118">
          <cell r="A118" t="str">
            <v>В-01113/АЗ</v>
          </cell>
          <cell r="B118" t="str">
            <v>Краснова Анна Витальевна</v>
          </cell>
          <cell r="C118">
            <v>89267331319</v>
          </cell>
        </row>
        <row r="119">
          <cell r="A119" t="str">
            <v>В-15451/КЛ</v>
          </cell>
          <cell r="B119" t="str">
            <v>Кутанова Екатерина Вячеславовна</v>
          </cell>
          <cell r="C119">
            <v>79150327094</v>
          </cell>
        </row>
        <row r="120">
          <cell r="A120" t="str">
            <v>В-01120/АЗ_А-20210929/Ц</v>
          </cell>
          <cell r="B120" t="str">
            <v>Матюнин Алексей Владимирович</v>
          </cell>
          <cell r="C120">
            <v>79263597234</v>
          </cell>
        </row>
        <row r="121">
          <cell r="A121" t="str">
            <v>В-00033/КЭ</v>
          </cell>
          <cell r="B121" t="str">
            <v>Злобин Алексей Леонидович</v>
          </cell>
        </row>
        <row r="122">
          <cell r="A122" t="str">
            <v>В-01200/АЗ</v>
          </cell>
          <cell r="B122" t="str">
            <v>Самойленко Ирина Геннадьевна</v>
          </cell>
          <cell r="C122">
            <v>79057421218</v>
          </cell>
        </row>
        <row r="123">
          <cell r="A123" t="str">
            <v>В-00076/КЭ</v>
          </cell>
          <cell r="B123" t="str">
            <v>Скобелев Дмитрий Васильевич</v>
          </cell>
          <cell r="C123">
            <v>79628836006</v>
          </cell>
        </row>
        <row r="124">
          <cell r="A124" t="str">
            <v>В-00035/КЭ</v>
          </cell>
          <cell r="B124" t="str">
            <v>Спиваков Кирилл Игоревич</v>
          </cell>
          <cell r="C124">
            <v>79037089988</v>
          </cell>
        </row>
        <row r="125">
          <cell r="A125" t="str">
            <v>В-00075/КЭ</v>
          </cell>
          <cell r="B125" t="str">
            <v>Оганесян Наири Миранович</v>
          </cell>
          <cell r="C125">
            <v>79067090059</v>
          </cell>
        </row>
        <row r="126">
          <cell r="A126" t="str">
            <v>В-26005/АЗ</v>
          </cell>
          <cell r="B126" t="str">
            <v>Оганесян Наири Миранович</v>
          </cell>
          <cell r="C126">
            <v>79067090059</v>
          </cell>
        </row>
        <row r="127">
          <cell r="A127" t="str">
            <v>В-00075/КЭ</v>
          </cell>
          <cell r="B127" t="str">
            <v>Оганесян Ваге Наириович</v>
          </cell>
          <cell r="C127">
            <v>79661685959</v>
          </cell>
        </row>
        <row r="128">
          <cell r="A128" t="str">
            <v>В-00078/КЭ</v>
          </cell>
          <cell r="B128" t="str">
            <v>Лого-Трейд ООО</v>
          </cell>
        </row>
        <row r="129">
          <cell r="A129" t="str">
            <v>В-00036/КЭ</v>
          </cell>
          <cell r="B129" t="str">
            <v>Атабекян Николай Аркадиевич</v>
          </cell>
          <cell r="C129">
            <v>79262106333</v>
          </cell>
        </row>
        <row r="130">
          <cell r="A130" t="str">
            <v>В-00078/КЭ</v>
          </cell>
          <cell r="B130" t="str">
            <v>Атабекян Николай Аркадиевич</v>
          </cell>
          <cell r="C130">
            <v>79262106333</v>
          </cell>
        </row>
        <row r="131">
          <cell r="A131" t="str">
            <v>В-01169/АЗ</v>
          </cell>
          <cell r="B131" t="str">
            <v>Костанян Нерсик Арамович</v>
          </cell>
          <cell r="C131">
            <v>79168109900</v>
          </cell>
        </row>
        <row r="132">
          <cell r="A132" t="str">
            <v>В-01148/АЗ</v>
          </cell>
          <cell r="B132" t="str">
            <v>Муминов Фирдавс Юсуфович</v>
          </cell>
          <cell r="C132">
            <v>79652300400</v>
          </cell>
        </row>
        <row r="133">
          <cell r="A133" t="str">
            <v>В-01160/АЗ</v>
          </cell>
          <cell r="B133" t="str">
            <v>Палакян Вачик Гарникович</v>
          </cell>
          <cell r="C133">
            <v>79260107174</v>
          </cell>
        </row>
        <row r="134">
          <cell r="A134" t="str">
            <v>В-01172/АЗ</v>
          </cell>
          <cell r="B134" t="str">
            <v>Тахтаров Нурди Алиевич</v>
          </cell>
          <cell r="C134">
            <v>79298404041</v>
          </cell>
        </row>
        <row r="135">
          <cell r="A135" t="str">
            <v>В-00049/КЭ</v>
          </cell>
          <cell r="B135" t="str">
            <v>Овчаренко Валерий Николаевич</v>
          </cell>
          <cell r="C135">
            <v>79162262702</v>
          </cell>
        </row>
        <row r="136">
          <cell r="A136" t="str">
            <v>В-00049/КЭ</v>
          </cell>
          <cell r="B136" t="str">
            <v>Мартынов Георгий Валериевич</v>
          </cell>
          <cell r="C136">
            <v>79151468800</v>
          </cell>
        </row>
        <row r="137">
          <cell r="A137" t="str">
            <v>В-00049/КЭ</v>
          </cell>
          <cell r="B137" t="str">
            <v>Тисаков Валерий Николаевич</v>
          </cell>
          <cell r="C137">
            <v>79778626374</v>
          </cell>
        </row>
        <row r="138">
          <cell r="A138" t="str">
            <v>В-01228/АЗ</v>
          </cell>
          <cell r="B138" t="str">
            <v>Черкасов Сергей Николаевич</v>
          </cell>
          <cell r="C138">
            <v>79255107111</v>
          </cell>
        </row>
        <row r="139">
          <cell r="A139" t="str">
            <v>В-22436/АЗ</v>
          </cell>
          <cell r="B139" t="str">
            <v>Касутин Евгений Дмитриевич</v>
          </cell>
          <cell r="C139">
            <v>79261450744</v>
          </cell>
        </row>
        <row r="140">
          <cell r="A140" t="str">
            <v>В-00054/КЭ</v>
          </cell>
          <cell r="B140" t="str">
            <v>Манандян Аветик Сергеевич</v>
          </cell>
          <cell r="C140">
            <v>79264361146</v>
          </cell>
        </row>
        <row r="141">
          <cell r="A141" t="str">
            <v>В-23013/АЗ</v>
          </cell>
          <cell r="B141" t="str">
            <v>Жаркин Ян Юрьевич</v>
          </cell>
          <cell r="C141">
            <v>79104299909</v>
          </cell>
        </row>
        <row r="142">
          <cell r="A142" t="str">
            <v>В-00064/КЭ</v>
          </cell>
          <cell r="B142" t="str">
            <v>Лысенко Александр Викторович</v>
          </cell>
          <cell r="C142">
            <v>79150259568</v>
          </cell>
        </row>
        <row r="143">
          <cell r="A143" t="str">
            <v>В-23339/АЗ</v>
          </cell>
          <cell r="B143" t="str">
            <v>Ермакова Кристина Алексеевна</v>
          </cell>
          <cell r="C143">
            <v>79031346914</v>
          </cell>
        </row>
        <row r="144">
          <cell r="A144" t="str">
            <v>В-00055/КЭ</v>
          </cell>
          <cell r="B144" t="str">
            <v>Ситникова Елена Николаевна</v>
          </cell>
          <cell r="C144">
            <v>79776904698</v>
          </cell>
        </row>
        <row r="145">
          <cell r="A145" t="str">
            <v>В-23940/АЗ</v>
          </cell>
          <cell r="B145" t="str">
            <v>Лапкин Руслан Евгеньевич</v>
          </cell>
          <cell r="C145">
            <v>79037209373</v>
          </cell>
        </row>
        <row r="146">
          <cell r="A146" t="str">
            <v>В-24172/АЗ</v>
          </cell>
          <cell r="B146" t="str">
            <v>Сариди Михаил Арсенович</v>
          </cell>
          <cell r="C146">
            <v>79258228888</v>
          </cell>
        </row>
        <row r="147">
          <cell r="A147" t="str">
            <v>В-00062/КЭ</v>
          </cell>
          <cell r="B147" t="str">
            <v>СТРОЙМЕХАНИЗАЦИЯ ООО</v>
          </cell>
        </row>
        <row r="148">
          <cell r="A148" t="str">
            <v>В-00062/КЭ</v>
          </cell>
          <cell r="B148" t="str">
            <v>Нургушиев Булат Бегалиевич</v>
          </cell>
          <cell r="C148">
            <v>79685117733</v>
          </cell>
        </row>
        <row r="149">
          <cell r="A149" t="str">
            <v>В-00062/КЭ</v>
          </cell>
          <cell r="B149" t="str">
            <v>Сердолиев Рашид Канатович</v>
          </cell>
          <cell r="C149">
            <v>79254583690</v>
          </cell>
        </row>
        <row r="150">
          <cell r="A150" t="str">
            <v>В-24596/АЗ</v>
          </cell>
          <cell r="B150" t="str">
            <v>Джангуланова Амина Бауржановна</v>
          </cell>
          <cell r="C150">
            <v>79889362730</v>
          </cell>
        </row>
        <row r="151">
          <cell r="A151" t="str">
            <v>В-26128/АЗ</v>
          </cell>
          <cell r="B151" t="str">
            <v>Мурадян Грачья Юрикович</v>
          </cell>
          <cell r="C151">
            <v>79660007770</v>
          </cell>
        </row>
        <row r="152">
          <cell r="A152" t="str">
            <v>В-26261/АЗ</v>
          </cell>
          <cell r="B152" t="str">
            <v>Элибекян Виген Вагаршакович</v>
          </cell>
          <cell r="C152">
            <v>79629851010</v>
          </cell>
        </row>
        <row r="153">
          <cell r="A153" t="str">
            <v>В-26216/АЗ</v>
          </cell>
          <cell r="B153" t="str">
            <v>Айвазян Карен Арменович</v>
          </cell>
          <cell r="C153">
            <v>79853647030</v>
          </cell>
        </row>
        <row r="154">
          <cell r="A154" t="str">
            <v>В-27287/КЛ</v>
          </cell>
          <cell r="B154" t="str">
            <v>Горин Александр Станиславович</v>
          </cell>
          <cell r="C154">
            <v>79626218819</v>
          </cell>
        </row>
        <row r="155">
          <cell r="A155" t="str">
            <v>В-27334/КЛ</v>
          </cell>
          <cell r="B155" t="str">
            <v>Токин Эдуард Юрьевич</v>
          </cell>
          <cell r="C155">
            <v>79032218777</v>
          </cell>
        </row>
        <row r="156">
          <cell r="A156" t="str">
            <v>В-27637/АЗ</v>
          </cell>
          <cell r="B156" t="str">
            <v>Искендерова Конуль Эльман Кызы</v>
          </cell>
          <cell r="C156">
            <v>79046166462</v>
          </cell>
        </row>
        <row r="157">
          <cell r="A157" t="str">
            <v>В-27636/АЗ</v>
          </cell>
          <cell r="B157" t="str">
            <v>Джалалова Гульмира Эльман Кызы</v>
          </cell>
          <cell r="C157">
            <v>79256176522</v>
          </cell>
        </row>
        <row r="158">
          <cell r="A158" t="str">
            <v>В-00080/КЭ</v>
          </cell>
          <cell r="B158" t="str">
            <v>Иголкин Евгений Геннадьевич</v>
          </cell>
          <cell r="C158">
            <v>79152543222</v>
          </cell>
        </row>
        <row r="159">
          <cell r="A159" t="str">
            <v>В-00055/КЭ</v>
          </cell>
          <cell r="B159" t="str">
            <v>Игнатов Михаил Иванович</v>
          </cell>
          <cell r="C159">
            <v>79776903216</v>
          </cell>
        </row>
        <row r="160">
          <cell r="A160" t="str">
            <v>В-27905/КЛ</v>
          </cell>
          <cell r="B160" t="str">
            <v>Скрябин Виталий Сергеевич</v>
          </cell>
          <cell r="C160">
            <v>79244681418</v>
          </cell>
        </row>
        <row r="161">
          <cell r="A161" t="str">
            <v>В-10023/КЭ</v>
          </cell>
          <cell r="B161" t="str">
            <v>Застольский Владимир Александрович</v>
          </cell>
          <cell r="C161">
            <v>79119237877</v>
          </cell>
        </row>
        <row r="162">
          <cell r="A162" t="str">
            <v>В-10023/КЭ</v>
          </cell>
          <cell r="B162" t="str">
            <v>Застольская Александра Викторовна</v>
          </cell>
          <cell r="C162">
            <v>79110335434</v>
          </cell>
        </row>
        <row r="163">
          <cell r="A163" t="str">
            <v>В-28643/АЗ</v>
          </cell>
          <cell r="B163" t="str">
            <v>Усанова Евгения Георгиевна</v>
          </cell>
          <cell r="C163">
            <v>79166080113</v>
          </cell>
        </row>
        <row r="164">
          <cell r="A164" t="str">
            <v>В-28645/АЗ</v>
          </cell>
          <cell r="B164" t="str">
            <v>Усанова Евгения Георгиевна</v>
          </cell>
          <cell r="C164">
            <v>79166080113</v>
          </cell>
        </row>
        <row r="165">
          <cell r="A165" t="str">
            <v>В-06992/КЛ</v>
          </cell>
          <cell r="B165" t="str">
            <v>Меликян Эдуард Борисович</v>
          </cell>
          <cell r="C165">
            <v>79264473727</v>
          </cell>
        </row>
        <row r="166">
          <cell r="A166" t="str">
            <v>А-00463/КЭ</v>
          </cell>
          <cell r="B166" t="str">
            <v>Куров Владимир Грацианович</v>
          </cell>
          <cell r="C166">
            <v>79166700238</v>
          </cell>
        </row>
        <row r="167">
          <cell r="A167" t="str">
            <v>В-00005/КЭ</v>
          </cell>
          <cell r="B167" t="str">
            <v>Куров Владимир Грацианович</v>
          </cell>
          <cell r="C167">
            <v>79166700238</v>
          </cell>
        </row>
        <row r="168">
          <cell r="A168" t="str">
            <v>В-00083/КЭ</v>
          </cell>
          <cell r="B168" t="str">
            <v>Замураев Василий Николаевич</v>
          </cell>
          <cell r="C168">
            <v>79037431653</v>
          </cell>
        </row>
        <row r="169">
          <cell r="A169" t="str">
            <v>В-08121/КЛ</v>
          </cell>
          <cell r="B169" t="str">
            <v>Хашидова Зульфия Залибековна</v>
          </cell>
          <cell r="C169">
            <v>89258355365</v>
          </cell>
        </row>
        <row r="170">
          <cell r="A170" t="str">
            <v>В-01009/АЗ</v>
          </cell>
          <cell r="B170" t="str">
            <v>Рогальская Нина Ивановна</v>
          </cell>
          <cell r="C170">
            <v>79096331489</v>
          </cell>
        </row>
        <row r="171">
          <cell r="A171" t="str">
            <v>В-09891/КЛ</v>
          </cell>
          <cell r="B171" t="str">
            <v>Рогальский Алексей Станиславович</v>
          </cell>
          <cell r="C171">
            <v>79296544736</v>
          </cell>
        </row>
        <row r="172">
          <cell r="A172" t="str">
            <v>В-19504/КЛ</v>
          </cell>
          <cell r="B172" t="str">
            <v>Манасян Руслан Ашотович</v>
          </cell>
          <cell r="C172" t="str">
            <v>79102000020, 79258805062</v>
          </cell>
        </row>
        <row r="173">
          <cell r="A173" t="str">
            <v>В-01146/АЗ</v>
          </cell>
          <cell r="B173" t="str">
            <v>Игнатенко Вера Александровна</v>
          </cell>
          <cell r="C173">
            <v>79213793379</v>
          </cell>
        </row>
        <row r="174">
          <cell r="A174" t="str">
            <v>В-00039/КЭ</v>
          </cell>
          <cell r="B174" t="str">
            <v>Евстигнеев Дмитрий Станиславович</v>
          </cell>
          <cell r="C174">
            <v>79161179491</v>
          </cell>
        </row>
        <row r="175">
          <cell r="A175" t="str">
            <v>В-30005/КЭ</v>
          </cell>
          <cell r="B175" t="str">
            <v>Пархоменко Вячеслав Юрьевич</v>
          </cell>
          <cell r="C175">
            <v>89624223090</v>
          </cell>
        </row>
        <row r="176">
          <cell r="A176" t="str">
            <v>В-30004/КЭ</v>
          </cell>
          <cell r="B176" t="str">
            <v>Сычева Галина Васильевна</v>
          </cell>
          <cell r="C176">
            <v>79284674545</v>
          </cell>
        </row>
        <row r="177">
          <cell r="A177" t="str">
            <v>В-18600/КЛ</v>
          </cell>
          <cell r="B177" t="str">
            <v>Тищенко Олег Владимирович</v>
          </cell>
          <cell r="C177">
            <v>79160878969</v>
          </cell>
        </row>
        <row r="178">
          <cell r="A178" t="str">
            <v>В-30006/КЭ</v>
          </cell>
          <cell r="B178" t="str">
            <v>Котляров Олег Иванович</v>
          </cell>
          <cell r="C178">
            <v>79620245383</v>
          </cell>
        </row>
        <row r="179">
          <cell r="A179" t="str">
            <v>В-00071/КЭ</v>
          </cell>
          <cell r="B179" t="str">
            <v>Николаев Михаил Юрьевич</v>
          </cell>
          <cell r="C179">
            <v>79099241428</v>
          </cell>
        </row>
        <row r="180">
          <cell r="A180" t="str">
            <v>В-00041/КЭ</v>
          </cell>
          <cell r="B180" t="str">
            <v>Куроптева Марина Сергеевна</v>
          </cell>
          <cell r="C180">
            <v>79260626600</v>
          </cell>
        </row>
        <row r="181">
          <cell r="A181" t="str">
            <v>В-01193/АЗ</v>
          </cell>
          <cell r="B181" t="str">
            <v>Абдурахманов Ватан Сироджиддинович</v>
          </cell>
          <cell r="C181">
            <v>89096285971</v>
          </cell>
        </row>
        <row r="182">
          <cell r="A182" t="str">
            <v>В-01192/АЗ</v>
          </cell>
          <cell r="B182" t="str">
            <v>Терентьев Антон Николаевич</v>
          </cell>
          <cell r="C182">
            <v>89169337638</v>
          </cell>
        </row>
        <row r="183">
          <cell r="A183" t="str">
            <v>В-19736/КЛ</v>
          </cell>
          <cell r="B183" t="str">
            <v>Дрынков Станислав Васильевич</v>
          </cell>
          <cell r="C183">
            <v>79160717451</v>
          </cell>
        </row>
        <row r="184">
          <cell r="A184" t="str">
            <v>В-00042/КЭ</v>
          </cell>
          <cell r="B184" t="str">
            <v>Фролов Андрей Юрьевич</v>
          </cell>
          <cell r="C184">
            <v>89030116831</v>
          </cell>
        </row>
        <row r="185">
          <cell r="A185" t="str">
            <v>В-00065/КЭ</v>
          </cell>
          <cell r="B185" t="str">
            <v>Куразян Гарий Рафаэлович</v>
          </cell>
          <cell r="C185">
            <v>79897033074</v>
          </cell>
        </row>
        <row r="186">
          <cell r="A186" t="str">
            <v>В-00045/КЭ</v>
          </cell>
          <cell r="B186" t="str">
            <v>Яковлев Евгений Владимирович</v>
          </cell>
          <cell r="C186">
            <v>89022874601</v>
          </cell>
        </row>
        <row r="187">
          <cell r="A187" t="str">
            <v>В-00044/КЭ</v>
          </cell>
          <cell r="B187" t="str">
            <v>Мурадян Тигран Иосебович</v>
          </cell>
          <cell r="C187">
            <v>79778791077</v>
          </cell>
        </row>
        <row r="188">
          <cell r="A188" t="str">
            <v>В-00044/КЭ</v>
          </cell>
          <cell r="B188" t="str">
            <v>Манасян Артур Арменакович</v>
          </cell>
          <cell r="C188">
            <v>79777078733</v>
          </cell>
        </row>
        <row r="189">
          <cell r="A189" t="str">
            <v>В-21666/КЛ</v>
          </cell>
          <cell r="B189" t="str">
            <v>Лящев Владимир Андреевич</v>
          </cell>
          <cell r="C189">
            <v>79022660699</v>
          </cell>
        </row>
        <row r="190">
          <cell r="A190" t="str">
            <v>В-21795/КЛ</v>
          </cell>
          <cell r="B190" t="str">
            <v>Курлова Елена Александровна</v>
          </cell>
          <cell r="C190">
            <v>79773469025</v>
          </cell>
        </row>
        <row r="191">
          <cell r="A191" t="str">
            <v>В-00048/КЭ</v>
          </cell>
          <cell r="B191" t="str">
            <v>Поршунов Алексей Геннадьевич</v>
          </cell>
          <cell r="C191">
            <v>79688737035</v>
          </cell>
        </row>
        <row r="192">
          <cell r="A192" t="str">
            <v>В-00048/КЭ</v>
          </cell>
          <cell r="B192" t="str">
            <v>Николаев Илья Витальевич</v>
          </cell>
          <cell r="C192">
            <v>79055034162</v>
          </cell>
        </row>
        <row r="193">
          <cell r="A193" t="str">
            <v>В-21973/КЛ</v>
          </cell>
          <cell r="B193" t="str">
            <v>Аракелян Мартин Михайлович</v>
          </cell>
          <cell r="C193">
            <v>79260483639</v>
          </cell>
        </row>
        <row r="194">
          <cell r="A194" t="str">
            <v>В-23728/КЛ</v>
          </cell>
          <cell r="B194" t="str">
            <v>Меликян Сурен Арменович</v>
          </cell>
          <cell r="C194">
            <v>79286083737</v>
          </cell>
        </row>
        <row r="195">
          <cell r="A195" t="str">
            <v>В-24710/АЗ</v>
          </cell>
          <cell r="B195" t="str">
            <v>Булатова Оксана Валерьевна</v>
          </cell>
          <cell r="C195">
            <v>79882475444</v>
          </cell>
        </row>
        <row r="196">
          <cell r="A196" t="str">
            <v>В-24713/АЗ</v>
          </cell>
          <cell r="B196" t="str">
            <v>Булатова Оксана Валерьевна</v>
          </cell>
          <cell r="C196">
            <v>79882475444</v>
          </cell>
        </row>
        <row r="197">
          <cell r="A197" t="str">
            <v>В-24909/АЗ</v>
          </cell>
          <cell r="B197" t="str">
            <v>Щетников Станислав Александрович</v>
          </cell>
          <cell r="C197">
            <v>79169286270</v>
          </cell>
        </row>
        <row r="198">
          <cell r="A198" t="str">
            <v>В-25211/АЗ</v>
          </cell>
          <cell r="B198" t="str">
            <v>Щетников Станислав Александрович</v>
          </cell>
          <cell r="C198">
            <v>79169286270</v>
          </cell>
        </row>
        <row r="199">
          <cell r="A199" t="str">
            <v>В-25229/АЗ</v>
          </cell>
          <cell r="B199" t="str">
            <v>Щетников Станислав Александрович</v>
          </cell>
          <cell r="C199">
            <v>79169286270</v>
          </cell>
        </row>
        <row r="200">
          <cell r="A200" t="str">
            <v>В-24892/АЗ</v>
          </cell>
          <cell r="B200" t="str">
            <v>Серегола Дмитрий Михайлович</v>
          </cell>
          <cell r="C200">
            <v>89522389764</v>
          </cell>
        </row>
        <row r="201">
          <cell r="A201" t="str">
            <v>В-24989/АЗ</v>
          </cell>
          <cell r="B201" t="str">
            <v>Агузов Мурат Вячеславович</v>
          </cell>
          <cell r="C201">
            <v>79380282288</v>
          </cell>
        </row>
        <row r="202">
          <cell r="A202" t="str">
            <v>В-25229/АЗ</v>
          </cell>
          <cell r="B202" t="str">
            <v>Сергеев Даниил Борисович</v>
          </cell>
          <cell r="C202">
            <v>79819406227</v>
          </cell>
        </row>
        <row r="203">
          <cell r="A203" t="str">
            <v>В-25367/АЗ</v>
          </cell>
          <cell r="B203" t="str">
            <v>Гаврин Валентин Николаевич</v>
          </cell>
          <cell r="C203">
            <v>79260416134</v>
          </cell>
        </row>
        <row r="204">
          <cell r="A204" t="str">
            <v>В-25370/АЗ</v>
          </cell>
          <cell r="B204" t="str">
            <v>Гаврин Валентин Николаевич</v>
          </cell>
          <cell r="C204">
            <v>79260416134</v>
          </cell>
        </row>
        <row r="205">
          <cell r="A205" t="str">
            <v>В-00070/КЭ</v>
          </cell>
          <cell r="B205" t="str">
            <v>Кочурков Алексей Викторович</v>
          </cell>
          <cell r="C205">
            <v>79509233812</v>
          </cell>
        </row>
        <row r="206">
          <cell r="A206" t="str">
            <v>В-30010/КЭ</v>
          </cell>
          <cell r="B206" t="str">
            <v>Кунижев Адам Нурбиевич</v>
          </cell>
          <cell r="C206">
            <v>89649151001</v>
          </cell>
        </row>
        <row r="207">
          <cell r="A207" t="str">
            <v>В-30010/КЭ</v>
          </cell>
          <cell r="B207" t="str">
            <v>Тлюпов Нурдин Хизирович</v>
          </cell>
          <cell r="C207">
            <v>89604718226</v>
          </cell>
        </row>
        <row r="208">
          <cell r="A208" t="str">
            <v>В-25810/АЗ</v>
          </cell>
          <cell r="B208" t="str">
            <v>Платонов Николай Владимирович</v>
          </cell>
          <cell r="C208">
            <v>79821136983</v>
          </cell>
        </row>
        <row r="209">
          <cell r="A209" t="str">
            <v>В-26806/АЗ</v>
          </cell>
          <cell r="B209" t="str">
            <v>Рубанов Алексей Андреевич</v>
          </cell>
          <cell r="C209">
            <v>79321235727</v>
          </cell>
        </row>
        <row r="210">
          <cell r="A210" t="str">
            <v>В-27581/АЗ</v>
          </cell>
          <cell r="B210" t="str">
            <v>Рубанов Алексей Андреевич</v>
          </cell>
          <cell r="C210">
            <v>79321235727</v>
          </cell>
        </row>
        <row r="211">
          <cell r="A211" t="str">
            <v>В-00077/КЭ</v>
          </cell>
          <cell r="B211" t="str">
            <v>Арамян Сусана Отариевна</v>
          </cell>
          <cell r="C211">
            <v>79614999927</v>
          </cell>
        </row>
        <row r="212">
          <cell r="A212" t="str">
            <v>В-00078/КЭ</v>
          </cell>
          <cell r="B212" t="str">
            <v>Павлюченков Игорь Александрович</v>
          </cell>
          <cell r="C212">
            <v>79107680605</v>
          </cell>
        </row>
        <row r="213">
          <cell r="A213" t="str">
            <v>В-26649/АЗ</v>
          </cell>
          <cell r="B213" t="str">
            <v>Краснокутский Анатолий Владимирович</v>
          </cell>
          <cell r="C213">
            <v>79119244780</v>
          </cell>
        </row>
        <row r="214">
          <cell r="A214" t="str">
            <v>В-26651/АЗ</v>
          </cell>
          <cell r="B214" t="str">
            <v>Краснокутская Ирина Анатольевна</v>
          </cell>
          <cell r="C214">
            <v>79819361966</v>
          </cell>
        </row>
        <row r="215">
          <cell r="A215" t="str">
            <v>В-27730/АЗ</v>
          </cell>
          <cell r="B215" t="str">
            <v>Гевондян Норайр Беникович</v>
          </cell>
          <cell r="C215">
            <v>79850970609</v>
          </cell>
        </row>
        <row r="216">
          <cell r="A216" t="str">
            <v>В-10026/КЭ</v>
          </cell>
          <cell r="B216" t="str">
            <v>Васильева Ирина Геннадиевна</v>
          </cell>
          <cell r="C216">
            <v>79115292713</v>
          </cell>
        </row>
        <row r="217">
          <cell r="A217" t="str">
            <v>В-28299/КЛ</v>
          </cell>
          <cell r="B217" t="str">
            <v>Ходжалыев Равиль Эльман Оглы</v>
          </cell>
          <cell r="C217">
            <v>79310024423</v>
          </cell>
        </row>
        <row r="218">
          <cell r="A218" t="str">
            <v>А-10035/КЭ</v>
          </cell>
          <cell r="B218" t="str">
            <v>Тимофеев Павел Андреевич</v>
          </cell>
          <cell r="C218">
            <v>79052591063</v>
          </cell>
        </row>
        <row r="219">
          <cell r="A219" t="str">
            <v>А-10037/КЭ</v>
          </cell>
          <cell r="B219" t="str">
            <v>Соколов Дмитрий Витальевич</v>
          </cell>
          <cell r="C219">
            <v>79215844050</v>
          </cell>
        </row>
        <row r="220">
          <cell r="A220" t="str">
            <v>А-10093/КЭ</v>
          </cell>
          <cell r="B220" t="str">
            <v>Кравченко Максим Владимирович</v>
          </cell>
          <cell r="C220">
            <v>79992227373</v>
          </cell>
        </row>
        <row r="221">
          <cell r="A221" t="str">
            <v>В-10027/КЭ</v>
          </cell>
          <cell r="B221" t="str">
            <v>Кравченко Максим Владимирович</v>
          </cell>
          <cell r="C221">
            <v>79992227373</v>
          </cell>
        </row>
        <row r="222">
          <cell r="A222" t="str">
            <v>А-10047/КЭ</v>
          </cell>
          <cell r="B222" t="str">
            <v>Цымбаляк Максим Богданович</v>
          </cell>
          <cell r="C222">
            <v>79110946600</v>
          </cell>
        </row>
        <row r="223">
          <cell r="A223" t="str">
            <v>А-00464/КЭ</v>
          </cell>
          <cell r="B223" t="str">
            <v>Полоз Виталий Александрович</v>
          </cell>
          <cell r="C223">
            <v>79265209137</v>
          </cell>
        </row>
        <row r="224">
          <cell r="A224" t="str">
            <v>В-00046/КЭ</v>
          </cell>
          <cell r="B224" t="str">
            <v>Полоз Виталий Александрович</v>
          </cell>
          <cell r="C224">
            <v>79265209137</v>
          </cell>
        </row>
        <row r="225">
          <cell r="A225" t="str">
            <v>А-00464/КЭ</v>
          </cell>
          <cell r="B225" t="str">
            <v>Ефимова Нина Ивановна</v>
          </cell>
          <cell r="C225">
            <v>79099322038</v>
          </cell>
        </row>
        <row r="226">
          <cell r="A226" t="str">
            <v>В-00046/КЭ</v>
          </cell>
          <cell r="B226" t="str">
            <v>Ефимова Нина Ивановна</v>
          </cell>
          <cell r="C226">
            <v>79099322038</v>
          </cell>
        </row>
        <row r="227">
          <cell r="A227" t="str">
            <v>А-00035/БЭ</v>
          </cell>
          <cell r="B227" t="str">
            <v>КС МАРКЕТ ООО</v>
          </cell>
        </row>
        <row r="228">
          <cell r="A228" t="str">
            <v>А-00029/БЭ</v>
          </cell>
          <cell r="B228" t="str">
            <v>Арт-День ООО</v>
          </cell>
        </row>
        <row r="229">
          <cell r="A229" t="str">
            <v>А-00367/КЭ</v>
          </cell>
          <cell r="B229" t="str">
            <v>Константинов Александр Анатольевич</v>
          </cell>
          <cell r="C229">
            <v>89154851890</v>
          </cell>
        </row>
        <row r="230">
          <cell r="A230" t="str">
            <v>А-00422/КЭ</v>
          </cell>
          <cell r="B230" t="str">
            <v>Константинов Александр Анатольевич</v>
          </cell>
          <cell r="C230">
            <v>89154851890</v>
          </cell>
        </row>
        <row r="231">
          <cell r="A231" t="str">
            <v>А-00360/КЭ</v>
          </cell>
          <cell r="B231" t="str">
            <v>Гафуров Альберт Маратович</v>
          </cell>
          <cell r="C231" t="str">
            <v>89161064572, 89653441919</v>
          </cell>
        </row>
        <row r="232">
          <cell r="A232" t="str">
            <v>А-00455/КЭ</v>
          </cell>
          <cell r="B232" t="str">
            <v>Дегишмиш Евгения Анатольевна</v>
          </cell>
          <cell r="C232">
            <v>89255024496</v>
          </cell>
        </row>
        <row r="233">
          <cell r="A233" t="str">
            <v>Т-00003/КЭ_Т-20211028/Ц</v>
          </cell>
          <cell r="B233" t="str">
            <v>Дегишмиш Евгения Анатольевна</v>
          </cell>
          <cell r="C233">
            <v>89255024496</v>
          </cell>
        </row>
        <row r="234">
          <cell r="A234" t="str">
            <v>В-00346/АЗ</v>
          </cell>
          <cell r="B234" t="str">
            <v>Мамедов Вахид Сабир оглы</v>
          </cell>
          <cell r="C234">
            <v>79265783170</v>
          </cell>
        </row>
        <row r="235">
          <cell r="A235" t="str">
            <v>А-10112/КЭ</v>
          </cell>
          <cell r="B235" t="str">
            <v>Ефимов Алексей Николаевич</v>
          </cell>
        </row>
        <row r="236">
          <cell r="A236" t="str">
            <v>А-10112/КЭ</v>
          </cell>
          <cell r="B236" t="str">
            <v>Зимовой Андрей Викторович</v>
          </cell>
          <cell r="C236">
            <v>79216909080</v>
          </cell>
        </row>
        <row r="237">
          <cell r="A237" t="str">
            <v>В-10007/КЭ</v>
          </cell>
          <cell r="B237" t="str">
            <v>Кибис Юрий Михайлович</v>
          </cell>
          <cell r="C237">
            <v>79626865506</v>
          </cell>
        </row>
        <row r="238">
          <cell r="A238" t="str">
            <v>А-04412/АЗ</v>
          </cell>
          <cell r="B238" t="str">
            <v>Тухтасинов Жамшидбек Мухаматсобир угли</v>
          </cell>
          <cell r="C238">
            <v>79691462424</v>
          </cell>
        </row>
        <row r="239">
          <cell r="A239" t="str">
            <v>В-10021/КЭ</v>
          </cell>
          <cell r="B239" t="str">
            <v>Кравченко Дмитрий Сергеевич</v>
          </cell>
          <cell r="C239">
            <v>89112127734</v>
          </cell>
        </row>
        <row r="240">
          <cell r="A240" t="str">
            <v>А-00445/КЭ</v>
          </cell>
          <cell r="B240" t="str">
            <v>Биченов Сослан Эдуардович</v>
          </cell>
          <cell r="C240">
            <v>89057199949</v>
          </cell>
        </row>
        <row r="241">
          <cell r="A241" t="str">
            <v>В-01096/АЗ</v>
          </cell>
          <cell r="B241" t="str">
            <v>Казаков Антон Ильич</v>
          </cell>
          <cell r="C241" t="str">
            <v>7926780-56-61</v>
          </cell>
        </row>
        <row r="242">
          <cell r="A242" t="str">
            <v>А-10080/КЭ</v>
          </cell>
          <cell r="B242" t="str">
            <v>Артемьева Тамара Александровна</v>
          </cell>
          <cell r="C242">
            <v>89819095525</v>
          </cell>
        </row>
        <row r="243">
          <cell r="A243" t="str">
            <v>А-10080/КЭ</v>
          </cell>
          <cell r="B243" t="str">
            <v>Вечканова Мария Михайловна</v>
          </cell>
          <cell r="C243">
            <v>89265600210</v>
          </cell>
        </row>
        <row r="244">
          <cell r="A244" t="str">
            <v>В-10018/КЭ</v>
          </cell>
          <cell r="B244" t="str">
            <v>Фридман Михаил Валерьевич</v>
          </cell>
          <cell r="C244">
            <v>79118192010</v>
          </cell>
        </row>
        <row r="245">
          <cell r="A245" t="str">
            <v>Т-10003/КЭ_Т-20211028/Ц</v>
          </cell>
          <cell r="B245" t="str">
            <v>Третьяков Виктор Владимирович</v>
          </cell>
          <cell r="C245">
            <v>79062265999</v>
          </cell>
        </row>
        <row r="246">
          <cell r="A246" t="str">
            <v>В-10025/КЭ</v>
          </cell>
          <cell r="B246" t="str">
            <v>Светлов Виталий Анатольевич</v>
          </cell>
          <cell r="C246">
            <v>79219537332</v>
          </cell>
        </row>
        <row r="247">
          <cell r="A247" t="str">
            <v>В-26450/АЗ</v>
          </cell>
          <cell r="B247" t="str">
            <v>Светлов Виталий Анатольевич</v>
          </cell>
          <cell r="C247">
            <v>79219537332</v>
          </cell>
        </row>
        <row r="248">
          <cell r="A248" t="str">
            <v>В-01216/АЗ</v>
          </cell>
          <cell r="B248" t="str">
            <v>Гогохия Георгий Андреевич</v>
          </cell>
          <cell r="C248">
            <v>89629999501</v>
          </cell>
        </row>
        <row r="249">
          <cell r="A249" t="str">
            <v>А-00375/КЭ</v>
          </cell>
          <cell r="B249" t="str">
            <v>Сытник Сергей Александрович</v>
          </cell>
          <cell r="C249">
            <v>89852905669</v>
          </cell>
        </row>
        <row r="250">
          <cell r="A250" t="str">
            <v>А-30001/КЭ</v>
          </cell>
          <cell r="B250" t="str">
            <v>Елманов Антон Юрьевич</v>
          </cell>
          <cell r="C250">
            <v>79951107159</v>
          </cell>
        </row>
        <row r="251">
          <cell r="A251" t="str">
            <v>А-30003/КЭ</v>
          </cell>
          <cell r="B251" t="str">
            <v>Закарьян Цовинар Андрониковна</v>
          </cell>
          <cell r="C251">
            <v>79183126223</v>
          </cell>
        </row>
        <row r="252">
          <cell r="A252" t="str">
            <v>А-30003/КЭ</v>
          </cell>
          <cell r="B252" t="str">
            <v>Закарьян Вартан Мкртычевич</v>
          </cell>
          <cell r="C252">
            <v>79184080889</v>
          </cell>
        </row>
        <row r="253">
          <cell r="A253" t="str">
            <v>А-03947/АЗ_А-20210517/Ц</v>
          </cell>
          <cell r="B253" t="str">
            <v>Кружалин Игорь Васильевич</v>
          </cell>
          <cell r="C253">
            <v>79262446405</v>
          </cell>
        </row>
        <row r="254">
          <cell r="A254" t="str">
            <v>Т-01497/АЗ_Т-20210517/Ц</v>
          </cell>
          <cell r="B254" t="str">
            <v>Кружалин Игорь Васильевич</v>
          </cell>
          <cell r="C254">
            <v>79262446405</v>
          </cell>
        </row>
        <row r="255">
          <cell r="A255" t="str">
            <v>А-00416/КЭ</v>
          </cell>
          <cell r="B255" t="str">
            <v>Олейник Александр Николаевич</v>
          </cell>
          <cell r="C255">
            <v>79191020400</v>
          </cell>
        </row>
        <row r="256">
          <cell r="A256" t="str">
            <v>А-00294/КЭ</v>
          </cell>
          <cell r="B256" t="str">
            <v>Гумбатов Камран Вагиф оглы</v>
          </cell>
        </row>
        <row r="257">
          <cell r="A257" t="str">
            <v>В-00051/КЭ</v>
          </cell>
          <cell r="B257" t="str">
            <v>Мамедова Илона Вановна</v>
          </cell>
          <cell r="C257">
            <v>79060630839</v>
          </cell>
        </row>
        <row r="258">
          <cell r="A258" t="str">
            <v>В-00051/КЭ</v>
          </cell>
          <cell r="B258" t="str">
            <v>Мамедов Сеймур Фазил Оглы</v>
          </cell>
          <cell r="C258">
            <v>79265788626</v>
          </cell>
        </row>
        <row r="259">
          <cell r="A259" t="str">
            <v>А-00395/КЭ</v>
          </cell>
          <cell r="B259" t="str">
            <v>Левко Анатолий Владимирович</v>
          </cell>
          <cell r="C259">
            <v>89269045079</v>
          </cell>
        </row>
        <row r="260">
          <cell r="A260" t="str">
            <v>А-00385/КЭ</v>
          </cell>
          <cell r="B260" t="str">
            <v>Гайдуков Илья Валерьевич</v>
          </cell>
          <cell r="C260">
            <v>89778078637</v>
          </cell>
        </row>
        <row r="261">
          <cell r="A261" t="str">
            <v>А-00413/КЭ</v>
          </cell>
          <cell r="B261" t="str">
            <v>Корохов Александр Владимирович</v>
          </cell>
          <cell r="C261">
            <v>89104421442</v>
          </cell>
        </row>
        <row r="262">
          <cell r="A262" t="str">
            <v>А-00413/КЭ</v>
          </cell>
          <cell r="B262" t="str">
            <v>Свириденко Александр Викторович</v>
          </cell>
          <cell r="C262">
            <v>89852119724</v>
          </cell>
        </row>
        <row r="263">
          <cell r="A263" t="str">
            <v>А-00371/КЭ</v>
          </cell>
          <cell r="B263" t="str">
            <v>Лашкевич Вадим Викторович</v>
          </cell>
          <cell r="C263">
            <v>79152378000</v>
          </cell>
        </row>
        <row r="264">
          <cell r="A264" t="str">
            <v>А-00451/КЭ</v>
          </cell>
          <cell r="B264" t="str">
            <v>Лашкевич Вадим Викторович</v>
          </cell>
          <cell r="C264">
            <v>79152378000</v>
          </cell>
        </row>
        <row r="265">
          <cell r="A265" t="str">
            <v>А-00446/КЭ</v>
          </cell>
          <cell r="B265" t="str">
            <v>Джузенова Дарья Геннадьевна</v>
          </cell>
          <cell r="C265">
            <v>89163182491</v>
          </cell>
        </row>
        <row r="266">
          <cell r="A266" t="str">
            <v>А-00446/КЭ</v>
          </cell>
          <cell r="B266" t="str">
            <v>Самоваров Дмитрий Львович</v>
          </cell>
          <cell r="C266">
            <v>89104238505</v>
          </cell>
        </row>
        <row r="267">
          <cell r="A267" t="str">
            <v>А-10050/КЭ</v>
          </cell>
          <cell r="B267" t="str">
            <v>Ходаков Олег Эрнстович</v>
          </cell>
        </row>
        <row r="268">
          <cell r="A268" t="str">
            <v>А-00051/БЭ</v>
          </cell>
          <cell r="B268" t="str">
            <v>ПромМаркет ООО</v>
          </cell>
        </row>
        <row r="269">
          <cell r="A269" t="str">
            <v>А-00053/БЭ</v>
          </cell>
          <cell r="B269" t="str">
            <v>ПромМаркет ООО</v>
          </cell>
        </row>
        <row r="270">
          <cell r="A270" t="str">
            <v>Т-00030/БЭ_Т-20211028/Ц</v>
          </cell>
          <cell r="B270" t="str">
            <v>ПромМаркет ООО</v>
          </cell>
        </row>
        <row r="271">
          <cell r="A271" t="str">
            <v>А-00436/КЭ</v>
          </cell>
          <cell r="B271" t="str">
            <v>Гавриш Владимир Викторович</v>
          </cell>
          <cell r="C271">
            <v>89035095374</v>
          </cell>
        </row>
        <row r="272">
          <cell r="A272" t="str">
            <v>А-00082/КЭ</v>
          </cell>
          <cell r="B272" t="str">
            <v>Мурзаев Игорь Николаевич</v>
          </cell>
        </row>
        <row r="273">
          <cell r="A273" t="str">
            <v>А-00084/КЭ</v>
          </cell>
          <cell r="B273" t="str">
            <v>Вилков Андрей Евгеньевич</v>
          </cell>
        </row>
        <row r="274">
          <cell r="A274" t="str">
            <v>А-00084/КЭ</v>
          </cell>
          <cell r="B274" t="str">
            <v>Чотчаев Артур Ахматович</v>
          </cell>
        </row>
        <row r="275">
          <cell r="A275" t="str">
            <v>А-00464/КЭ</v>
          </cell>
          <cell r="B275" t="str">
            <v>Головенский Руслан Иванович</v>
          </cell>
          <cell r="C275">
            <v>89260070566</v>
          </cell>
        </row>
        <row r="276">
          <cell r="A276" t="str">
            <v>В-00046/КЭ</v>
          </cell>
          <cell r="B276" t="str">
            <v>Головенский Руслан Иванович</v>
          </cell>
          <cell r="C276">
            <v>89260070566</v>
          </cell>
        </row>
        <row r="277">
          <cell r="A277" t="str">
            <v>А-00419/КЭ</v>
          </cell>
          <cell r="B277" t="str">
            <v>Дубовская Юлия Олеговна</v>
          </cell>
          <cell r="C277">
            <v>79161251076</v>
          </cell>
        </row>
        <row r="278">
          <cell r="A278" t="str">
            <v>А-00379/КЭ</v>
          </cell>
          <cell r="B278" t="str">
            <v>Тальчук Владимир Валентинович</v>
          </cell>
          <cell r="C278">
            <v>89257723770</v>
          </cell>
        </row>
        <row r="279">
          <cell r="A279" t="str">
            <v>А-00053/БЭ</v>
          </cell>
          <cell r="B279" t="str">
            <v>Камшилин Александр Вячеславович</v>
          </cell>
          <cell r="C279">
            <v>89099328330</v>
          </cell>
        </row>
        <row r="280">
          <cell r="A280" t="str">
            <v>А-00437/КЭ</v>
          </cell>
          <cell r="B280" t="str">
            <v>Марковская Кристина Гансовна</v>
          </cell>
          <cell r="C280">
            <v>79037262617</v>
          </cell>
        </row>
        <row r="281">
          <cell r="A281" t="str">
            <v>А-00165/КЭ</v>
          </cell>
          <cell r="B281" t="str">
            <v>Казаков Василий Владимирович</v>
          </cell>
        </row>
        <row r="282">
          <cell r="A282" t="str">
            <v>А-00412/КЭ</v>
          </cell>
          <cell r="B282" t="str">
            <v>Котов Дмитрий Александрович</v>
          </cell>
          <cell r="C282">
            <v>89851637403</v>
          </cell>
        </row>
        <row r="283">
          <cell r="A283" t="str">
            <v>А-00388/КЭ</v>
          </cell>
          <cell r="B283" t="str">
            <v>Шахабутдинов Марат Камильевич</v>
          </cell>
          <cell r="C283" t="str">
            <v>89254524462, 89266576834</v>
          </cell>
        </row>
        <row r="284">
          <cell r="A284" t="str">
            <v>А-00009/КЭ</v>
          </cell>
          <cell r="B284" t="str">
            <v>Каблуков Роман Евгеньевич</v>
          </cell>
        </row>
        <row r="285">
          <cell r="A285" t="str">
            <v>А-00016/КЭ</v>
          </cell>
          <cell r="B285" t="str">
            <v>Захарова Валентина Юрьевна</v>
          </cell>
        </row>
        <row r="286">
          <cell r="A286" t="str">
            <v>А-00006/ИЗ</v>
          </cell>
          <cell r="B286" t="str">
            <v>Гизатуллин Сергей Равильевич</v>
          </cell>
          <cell r="C286">
            <v>89264255647</v>
          </cell>
        </row>
        <row r="287">
          <cell r="A287" t="str">
            <v>А-00006/ИЗ</v>
          </cell>
          <cell r="B287" t="str">
            <v>Гизатуллин Сергей Равильевич</v>
          </cell>
          <cell r="C287" t="str">
            <v>89264255647, 89296415521</v>
          </cell>
        </row>
        <row r="288">
          <cell r="A288" t="str">
            <v>А-00006/ИЗ</v>
          </cell>
          <cell r="B288" t="str">
            <v>Гизатуллин Сергей Равильевич</v>
          </cell>
          <cell r="C288">
            <v>89296415521</v>
          </cell>
        </row>
        <row r="289">
          <cell r="A289" t="str">
            <v>А-00160/КЭ</v>
          </cell>
          <cell r="B289" t="str">
            <v>Седов Юрий Иванович</v>
          </cell>
          <cell r="C289">
            <v>79859287390</v>
          </cell>
        </row>
        <row r="290">
          <cell r="A290" t="str">
            <v>А-00094/КЭ</v>
          </cell>
          <cell r="B290" t="str">
            <v>Шоренко Владислав Анатольевич</v>
          </cell>
        </row>
        <row r="291">
          <cell r="A291" t="str">
            <v>А-00094/КЭ</v>
          </cell>
          <cell r="B291" t="str">
            <v>Ишмухаметов Айрат Ринатович</v>
          </cell>
        </row>
        <row r="292">
          <cell r="A292" t="str">
            <v>А-02635/АЗ</v>
          </cell>
          <cell r="B292" t="str">
            <v>Борисов Александр Васильевич</v>
          </cell>
          <cell r="C292">
            <v>79858186888</v>
          </cell>
        </row>
        <row r="293">
          <cell r="A293" t="str">
            <v>А-02585/АЗ</v>
          </cell>
          <cell r="B293" t="str">
            <v>Хмелевская Алла Евгеньевна</v>
          </cell>
          <cell r="C293" t="str">
            <v>79258265025, 79167000730</v>
          </cell>
        </row>
        <row r="294">
          <cell r="A294" t="str">
            <v>А-00115/КЭ</v>
          </cell>
          <cell r="B294" t="str">
            <v>Черных Александр Владимирович</v>
          </cell>
        </row>
        <row r="295">
          <cell r="A295" t="str">
            <v>А-00002/ИЗ</v>
          </cell>
          <cell r="B295" t="str">
            <v>Айнетдинова Зульфия Наилевна</v>
          </cell>
        </row>
        <row r="296">
          <cell r="A296" t="str">
            <v>А-00116/КЭ</v>
          </cell>
          <cell r="B296" t="str">
            <v>Айнетдинова Зульфия Наилевна</v>
          </cell>
        </row>
        <row r="297">
          <cell r="A297" t="str">
            <v>А-00425/КЭ</v>
          </cell>
          <cell r="B297" t="str">
            <v>Таран Сергей Иванович</v>
          </cell>
          <cell r="C297">
            <v>89852201595</v>
          </cell>
        </row>
        <row r="298">
          <cell r="A298" t="str">
            <v>А-00440/КЭ</v>
          </cell>
          <cell r="B298" t="str">
            <v>Казарян Арман Овикович</v>
          </cell>
          <cell r="C298">
            <v>89670503102</v>
          </cell>
        </row>
        <row r="299">
          <cell r="A299" t="str">
            <v>В-00029/КЭ</v>
          </cell>
          <cell r="B299" t="str">
            <v>Казарян Арман Овикович</v>
          </cell>
          <cell r="C299">
            <v>89670503102</v>
          </cell>
        </row>
        <row r="300">
          <cell r="A300" t="str">
            <v>А-00369/КЭ</v>
          </cell>
          <cell r="B300" t="str">
            <v>Гусев Евгений Николаевич</v>
          </cell>
          <cell r="C300">
            <v>89165916887</v>
          </cell>
        </row>
        <row r="301">
          <cell r="A301" t="str">
            <v>А-00366/КЭ</v>
          </cell>
          <cell r="B301" t="str">
            <v>Павленко Александр Петрович</v>
          </cell>
          <cell r="C301" t="str">
            <v>79686808235, 79773121320</v>
          </cell>
        </row>
        <row r="302">
          <cell r="A302" t="str">
            <v>А-00242/КЭ</v>
          </cell>
          <cell r="B302" t="str">
            <v>Сушина Виктория Витальевна</v>
          </cell>
        </row>
        <row r="303">
          <cell r="A303" t="str">
            <v>В-00066/КЭ</v>
          </cell>
          <cell r="B303" t="str">
            <v>Баландина Алина Валерьевна</v>
          </cell>
          <cell r="C303">
            <v>79152659188</v>
          </cell>
        </row>
        <row r="304">
          <cell r="A304" t="str">
            <v>А-00084/КЭ</v>
          </cell>
          <cell r="B304" t="str">
            <v>Алекберова Ирина Александровна</v>
          </cell>
          <cell r="C304" t="str">
            <v>79265394067, 79776874592</v>
          </cell>
        </row>
        <row r="305">
          <cell r="A305" t="str">
            <v>А-00005/КЭ</v>
          </cell>
          <cell r="B305" t="str">
            <v>Носков Андрей Юрьевич</v>
          </cell>
        </row>
        <row r="306">
          <cell r="A306" t="str">
            <v>А-00368/КЭ</v>
          </cell>
          <cell r="B306" t="str">
            <v>Родионова Ирина Викторовна</v>
          </cell>
          <cell r="C306">
            <v>89647239273</v>
          </cell>
        </row>
        <row r="307">
          <cell r="A307" t="str">
            <v>А-03750/АЗ</v>
          </cell>
          <cell r="B307" t="str">
            <v>Чибисов Роман Николаевич</v>
          </cell>
          <cell r="C307">
            <v>79166875550</v>
          </cell>
        </row>
        <row r="308">
          <cell r="A308" t="str">
            <v>В-26352/АЗ</v>
          </cell>
          <cell r="B308" t="str">
            <v>Ломакин Александр Валерьевич</v>
          </cell>
          <cell r="C308">
            <v>89162142226</v>
          </cell>
        </row>
        <row r="309">
          <cell r="A309" t="str">
            <v>В-26394/АЗ</v>
          </cell>
          <cell r="B309" t="str">
            <v>Ломакин Александр Валерьевич</v>
          </cell>
          <cell r="C309">
            <v>89162142226</v>
          </cell>
        </row>
        <row r="310">
          <cell r="A310" t="str">
            <v>А-00401/КЭ</v>
          </cell>
          <cell r="B310" t="str">
            <v>Сомова Валерия Владимировна</v>
          </cell>
          <cell r="C310">
            <v>79851101058</v>
          </cell>
        </row>
        <row r="311">
          <cell r="A311" t="str">
            <v>А-00396/КЭ</v>
          </cell>
          <cell r="B311" t="str">
            <v>Болквадзе Александр Теймуразович</v>
          </cell>
          <cell r="C311" t="str">
            <v>89857647438, 89104858500</v>
          </cell>
        </row>
        <row r="312">
          <cell r="A312" t="str">
            <v>В-22453/АЗ</v>
          </cell>
          <cell r="B312" t="str">
            <v>Болквадзе Александр Теймуразович</v>
          </cell>
          <cell r="C312" t="str">
            <v>89857647438, 89104858500</v>
          </cell>
        </row>
        <row r="313">
          <cell r="A313" t="str">
            <v>В-22457/АЗ</v>
          </cell>
          <cell r="B313" t="str">
            <v>Болквадзе Александр Теймуразович</v>
          </cell>
          <cell r="C313" t="str">
            <v>89857647438, 89104858500</v>
          </cell>
        </row>
        <row r="314">
          <cell r="A314" t="str">
            <v>А-00183/КЭ</v>
          </cell>
          <cell r="B314" t="str">
            <v>Ильин Сергей Викторович</v>
          </cell>
        </row>
        <row r="315">
          <cell r="A315" t="str">
            <v>В-04343/КЛ</v>
          </cell>
          <cell r="B315" t="str">
            <v>Басенцян Петрос Шаваршович</v>
          </cell>
          <cell r="C315">
            <v>89257729252</v>
          </cell>
        </row>
        <row r="316">
          <cell r="A316" t="str">
            <v>В-10014/КЭ</v>
          </cell>
          <cell r="B316" t="str">
            <v>Ткаченко Александр Яковлевич</v>
          </cell>
          <cell r="C316">
            <v>89215916040</v>
          </cell>
        </row>
        <row r="317">
          <cell r="A317" t="str">
            <v>А-02772/АЗ</v>
          </cell>
          <cell r="B317" t="str">
            <v>Новоселова Марина Николаевна</v>
          </cell>
          <cell r="C317">
            <v>79169558664</v>
          </cell>
        </row>
        <row r="318">
          <cell r="A318" t="str">
            <v>А-00420/КЭ</v>
          </cell>
          <cell r="B318" t="str">
            <v>Симонов Евгений Евгеньевич</v>
          </cell>
          <cell r="C318">
            <v>89152334724</v>
          </cell>
        </row>
        <row r="319">
          <cell r="A319" t="str">
            <v>А-00195/КЭ</v>
          </cell>
          <cell r="B319" t="str">
            <v>Григорян Лолита Рудиковна</v>
          </cell>
        </row>
        <row r="320">
          <cell r="A320" t="str">
            <v>А-10052/КЭ</v>
          </cell>
          <cell r="B320" t="str">
            <v>Викторов Александр Владимирович</v>
          </cell>
          <cell r="C320">
            <v>89522875231</v>
          </cell>
        </row>
        <row r="321">
          <cell r="A321" t="str">
            <v>В-10022/КЭ</v>
          </cell>
          <cell r="B321" t="str">
            <v>Варданян Овик Грачикович</v>
          </cell>
          <cell r="C321" t="str">
            <v>79013735823, 79643849454</v>
          </cell>
        </row>
        <row r="322">
          <cell r="A322" t="str">
            <v>В-04536/КЛ</v>
          </cell>
          <cell r="B322" t="str">
            <v>Лазарев Сергей Александрович</v>
          </cell>
          <cell r="C322">
            <v>89112730146</v>
          </cell>
        </row>
        <row r="323">
          <cell r="A323" t="str">
            <v>А-00210/КЭ</v>
          </cell>
          <cell r="B323" t="str">
            <v>Макаров Александр Владимирович</v>
          </cell>
        </row>
        <row r="324">
          <cell r="A324" t="str">
            <v>А-00211/КЭ</v>
          </cell>
          <cell r="B324" t="str">
            <v>Фомина Галина Вадимовна</v>
          </cell>
        </row>
        <row r="325">
          <cell r="A325" t="str">
            <v>А-00230/КЭ</v>
          </cell>
          <cell r="B325" t="str">
            <v>Васильев Дмитрий Владимирович</v>
          </cell>
        </row>
        <row r="326">
          <cell r="A326" t="str">
            <v>А-20003/КЭ</v>
          </cell>
          <cell r="B326" t="str">
            <v>Хузин Равис Рамилевич</v>
          </cell>
        </row>
        <row r="327">
          <cell r="A327" t="str">
            <v>А-10106/КЭ</v>
          </cell>
          <cell r="B327" t="str">
            <v>Лачугин Роман Владимирович</v>
          </cell>
          <cell r="C327" t="str">
            <v>79052356075, 79119757137</v>
          </cell>
        </row>
        <row r="328">
          <cell r="A328" t="str">
            <v>А-00245/КЭ</v>
          </cell>
          <cell r="B328" t="str">
            <v>Фофанов Александр Борисович</v>
          </cell>
        </row>
        <row r="329">
          <cell r="A329" t="str">
            <v>А-03444/АЗ</v>
          </cell>
          <cell r="B329" t="str">
            <v>Халиуллина Альмира Шамилевна</v>
          </cell>
          <cell r="C329">
            <v>79274187234</v>
          </cell>
        </row>
        <row r="330">
          <cell r="A330" t="str">
            <v>А-10113/КЭ</v>
          </cell>
          <cell r="B330" t="str">
            <v>Пронько Галина Николаевна</v>
          </cell>
          <cell r="C330">
            <v>89214057717</v>
          </cell>
        </row>
        <row r="331">
          <cell r="A331" t="str">
            <v>А-00257/КЭ</v>
          </cell>
          <cell r="B331" t="str">
            <v>Галимшанова Алина Равильевна</v>
          </cell>
        </row>
        <row r="332">
          <cell r="A332" t="str">
            <v>А-10090/КЭ</v>
          </cell>
          <cell r="B332" t="str">
            <v>Крючков Максим Игоревич</v>
          </cell>
          <cell r="C332">
            <v>89602747097</v>
          </cell>
        </row>
        <row r="333">
          <cell r="A333" t="str">
            <v>А-00267/КЭ</v>
          </cell>
          <cell r="B333" t="str">
            <v>Ветров Алексей Игоревич</v>
          </cell>
          <cell r="C333" t="str">
            <v>+7 (963) 7158808</v>
          </cell>
        </row>
        <row r="334">
          <cell r="A334" t="str">
            <v>А-00386/КЭ</v>
          </cell>
          <cell r="B334" t="str">
            <v>Ветров Алексей Игоревич</v>
          </cell>
          <cell r="C334" t="str">
            <v>+7 (963) 7158808</v>
          </cell>
        </row>
        <row r="335">
          <cell r="A335" t="str">
            <v>В-10014/КЭ</v>
          </cell>
          <cell r="B335" t="str">
            <v>Проксима ООО</v>
          </cell>
        </row>
        <row r="350">
          <cell r="C350"/>
        </row>
        <row r="351">
          <cell r="C351"/>
        </row>
        <row r="352">
          <cell r="C352"/>
        </row>
        <row r="353">
          <cell r="C353"/>
        </row>
        <row r="355">
          <cell r="C355"/>
        </row>
        <row r="356">
          <cell r="C356"/>
        </row>
        <row r="357">
          <cell r="C357"/>
        </row>
        <row r="358">
          <cell r="C358"/>
        </row>
        <row r="359">
          <cell r="C359"/>
        </row>
        <row r="363">
          <cell r="C363"/>
        </row>
        <row r="382">
          <cell r="C382"/>
        </row>
        <row r="388">
          <cell r="C388"/>
        </row>
        <row r="389">
          <cell r="C389"/>
        </row>
        <row r="393">
          <cell r="C393"/>
        </row>
        <row r="394">
          <cell r="C394"/>
        </row>
        <row r="395">
          <cell r="C395"/>
        </row>
        <row r="396">
          <cell r="C396"/>
        </row>
        <row r="397">
          <cell r="C397"/>
        </row>
        <row r="398">
          <cell r="C398"/>
        </row>
        <row r="399">
          <cell r="C399"/>
        </row>
        <row r="400">
          <cell r="C400"/>
        </row>
        <row r="402">
          <cell r="C402"/>
        </row>
        <row r="403">
          <cell r="C403"/>
        </row>
        <row r="404">
          <cell r="C404"/>
        </row>
        <row r="405">
          <cell r="C405"/>
        </row>
        <row r="418">
          <cell r="C418"/>
        </row>
        <row r="419">
          <cell r="C419"/>
        </row>
        <row r="420">
          <cell r="C420"/>
        </row>
        <row r="421">
          <cell r="C421"/>
        </row>
        <row r="422">
          <cell r="C422"/>
        </row>
        <row r="428">
          <cell r="C428"/>
        </row>
        <row r="430">
          <cell r="C430"/>
        </row>
        <row r="431">
          <cell r="C431"/>
        </row>
        <row r="433">
          <cell r="C433"/>
        </row>
        <row r="434">
          <cell r="C434"/>
        </row>
        <row r="436">
          <cell r="C436"/>
        </row>
        <row r="438">
          <cell r="C438"/>
        </row>
        <row r="439">
          <cell r="C439"/>
        </row>
        <row r="440">
          <cell r="C440"/>
        </row>
        <row r="441">
          <cell r="C441"/>
        </row>
        <row r="442">
          <cell r="C442"/>
        </row>
        <row r="443">
          <cell r="C443"/>
        </row>
        <row r="444">
          <cell r="C444"/>
        </row>
        <row r="445">
          <cell r="C445"/>
        </row>
        <row r="446">
          <cell r="C446"/>
        </row>
        <row r="447">
          <cell r="C447"/>
        </row>
        <row r="448">
          <cell r="C448"/>
        </row>
        <row r="449">
          <cell r="C449"/>
        </row>
        <row r="450">
          <cell r="C450"/>
        </row>
        <row r="451">
          <cell r="C451"/>
        </row>
        <row r="453">
          <cell r="C453"/>
        </row>
        <row r="454">
          <cell r="C454"/>
        </row>
        <row r="461">
          <cell r="C461"/>
        </row>
        <row r="462">
          <cell r="C462"/>
        </row>
        <row r="464">
          <cell r="C464"/>
        </row>
        <row r="465">
          <cell r="C465"/>
        </row>
        <row r="466">
          <cell r="C466"/>
        </row>
        <row r="471">
          <cell r="C471"/>
        </row>
        <row r="472">
          <cell r="C472"/>
        </row>
        <row r="475">
          <cell r="C475"/>
        </row>
        <row r="476">
          <cell r="C476"/>
        </row>
        <row r="478">
          <cell r="C478"/>
        </row>
        <row r="480">
          <cell r="C480"/>
        </row>
        <row r="482">
          <cell r="C482"/>
        </row>
        <row r="484">
          <cell r="C484"/>
        </row>
        <row r="486">
          <cell r="C486"/>
        </row>
        <row r="490">
          <cell r="C490"/>
        </row>
        <row r="492">
          <cell r="C492"/>
        </row>
        <row r="493">
          <cell r="C493"/>
        </row>
        <row r="494">
          <cell r="C494"/>
        </row>
        <row r="495">
          <cell r="C495"/>
        </row>
        <row r="496">
          <cell r="C496"/>
        </row>
        <row r="497">
          <cell r="C497"/>
        </row>
        <row r="504">
          <cell r="C504"/>
        </row>
        <row r="510">
          <cell r="C510"/>
        </row>
        <row r="520">
          <cell r="C520"/>
        </row>
        <row r="525">
          <cell r="C525"/>
        </row>
        <row r="527">
          <cell r="C527"/>
        </row>
        <row r="528">
          <cell r="C528"/>
        </row>
        <row r="531">
          <cell r="C531"/>
        </row>
        <row r="532">
          <cell r="C532"/>
        </row>
        <row r="536">
          <cell r="C536"/>
        </row>
        <row r="542">
          <cell r="C542"/>
        </row>
        <row r="543">
          <cell r="C543"/>
        </row>
        <row r="550">
          <cell r="C550"/>
        </row>
        <row r="551">
          <cell r="C551"/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s.kvasko@mfovzaimno.ru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S579"/>
  <sheetViews>
    <sheetView tabSelected="1" zoomScale="85" zoomScaleNormal="85" workbookViewId="0">
      <pane ySplit="1" topLeftCell="A2" activePane="bottomLeft" state="frozen"/>
      <selection activeCell="A172171" sqref="A172171"/>
      <selection pane="bottomLeft" activeCell="C2" sqref="C2:C40"/>
    </sheetView>
  </sheetViews>
  <sheetFormatPr defaultRowHeight="15" x14ac:dyDescent="0.25"/>
  <cols>
    <col min="1" max="1" width="40.7109375" customWidth="1"/>
    <col min="2" max="2" width="23" bestFit="1" customWidth="1"/>
    <col min="3" max="3" width="24.85546875" customWidth="1"/>
    <col min="4" max="4" width="50.7109375" style="23" customWidth="1"/>
    <col min="5" max="5" width="29.140625" customWidth="1"/>
    <col min="6" max="6" width="24" customWidth="1"/>
    <col min="7" max="7" width="14.28515625" customWidth="1"/>
    <col min="8" max="8" width="34.42578125" customWidth="1"/>
    <col min="9" max="9" width="9.140625" customWidth="1"/>
    <col min="10" max="10" width="23.28515625" customWidth="1"/>
    <col min="11" max="11" width="13.140625" customWidth="1"/>
    <col min="12" max="12" width="15.5703125" customWidth="1"/>
    <col min="13" max="13" width="10" customWidth="1"/>
    <col min="14" max="15" width="11.28515625" customWidth="1"/>
    <col min="16" max="16" width="10.28515625" customWidth="1"/>
    <col min="17" max="18" width="9.140625" customWidth="1"/>
    <col min="19" max="19" width="10.85546875" customWidth="1"/>
  </cols>
  <sheetData>
    <row r="1" spans="1:19" ht="15.75" x14ac:dyDescent="0.25">
      <c r="A1" s="3" t="s">
        <v>122</v>
      </c>
      <c r="B1" s="3" t="s">
        <v>0</v>
      </c>
      <c r="C1" s="3" t="s">
        <v>1</v>
      </c>
      <c r="D1" s="9" t="s">
        <v>123</v>
      </c>
      <c r="E1" s="8" t="s">
        <v>2</v>
      </c>
      <c r="F1" s="8" t="s">
        <v>88</v>
      </c>
      <c r="G1" s="8" t="s">
        <v>125</v>
      </c>
      <c r="H1" s="8" t="s">
        <v>126</v>
      </c>
      <c r="I1" s="8" t="s">
        <v>124</v>
      </c>
      <c r="J1" s="8" t="s">
        <v>77</v>
      </c>
      <c r="K1" s="8" t="s">
        <v>127</v>
      </c>
      <c r="L1" s="8" t="s">
        <v>128</v>
      </c>
      <c r="M1" s="8" t="s">
        <v>129</v>
      </c>
      <c r="N1" s="8" t="s">
        <v>130</v>
      </c>
      <c r="O1" s="8" t="s">
        <v>134</v>
      </c>
      <c r="P1" s="8" t="s">
        <v>151</v>
      </c>
      <c r="Q1" s="20" t="s">
        <v>201</v>
      </c>
      <c r="R1" s="20" t="s">
        <v>202</v>
      </c>
      <c r="S1" s="20" t="s">
        <v>232</v>
      </c>
    </row>
    <row r="2" spans="1:19" x14ac:dyDescent="0.25">
      <c r="A2" t="s">
        <v>827</v>
      </c>
      <c r="B2" t="s">
        <v>828</v>
      </c>
      <c r="C2">
        <f>IF(IFERROR(IFERROR(IF(VLOOKUP(B2,'[3]тел(заем)'!$B:$F,5,0),VLOOKUP(B2,'[3]тел(заем)'!$B:$F,5,0),VLOOKUP(B2,'[3]тел(заем)'!$B:$D,3,0)),VLOOKUP(B2,'[3]тел(заем)'!$B:$F,5,0)),VLOOKUP(A2,'[3]тел(заем)'!$A:$F,6,0))&gt;0,IFERROR(IFERROR(IF(VLOOKUP(B2,'[3]тел(заем)'!$B:$F,5,0),VLOOKUP(B2,'[3]тел(заем)'!$B:$F,5,0),VLOOKUP(B2,'[3]тел(заем)'!$B:$D,3,0)),VLOOKUP(B2,'[3]тел(заем)'!$B:$F,5,0)),VLOOKUP(A2,'[3]тел(заем)'!$A:$F,6,0)),IF(VLOOKUP(A2,'[1]тел(заемРасш)'!$B:$G,6,0)&gt;0,VLOOKUP(A2,'[1]тел(заемРасш)'!$B:$G,6,0),VLOOKUP(A2,'[1]тел(заемРасш)'!$B:$F,5,0)))</f>
        <v>79002077402</v>
      </c>
      <c r="D2"/>
      <c r="E2" t="str">
        <f t="shared" ref="E2:E40" si="0">RIGHT(A2,LEN(A2)-SEARCH(" ",A2))</f>
        <v>Екатерина Андреевна</v>
      </c>
      <c r="F2" t="str">
        <f t="shared" ref="F2:F40" si="1">IFERROR(MID(A2,FIND(" ",A2,1)+1,FIND(" ",A2,FIND(" ",A2,1)+1)-FIND(" ",A2,1)-1),RIGHT(A2,LEN(A2)-FIND(" ",A2)))</f>
        <v>Екатерина</v>
      </c>
      <c r="G2" t="str">
        <f>IFERROR(VLOOKUP(LEFT(B2,10),'[3]тел(пор)'!$A:$C,3,0),"")</f>
        <v/>
      </c>
      <c r="H2" t="str">
        <f>IFERROR(VLOOKUP(LEFT(B2,10),'[3]тел(пор)'!$A:$B,2,0),"")</f>
        <v/>
      </c>
      <c r="I2" t="str">
        <f>IFERROR(IF(VLOOKUP(B2,оплата!A:A,1,0)&lt;&gt;1,"!Деньги!"),"")</f>
        <v/>
      </c>
      <c r="S2" t="str">
        <f>IFERROR(IF(VLOOKUP(MID(C2,2,3)+0,тесты!A:A,1,0),"мегафон"),"")</f>
        <v/>
      </c>
    </row>
    <row r="3" spans="1:19" x14ac:dyDescent="0.25">
      <c r="A3" t="s">
        <v>829</v>
      </c>
      <c r="B3" t="s">
        <v>830</v>
      </c>
      <c r="C3">
        <f>IF(IFERROR(IFERROR(IF(VLOOKUP(B3,'[3]тел(заем)'!$B:$F,5,0),VLOOKUP(B3,'[3]тел(заем)'!$B:$F,5,0),VLOOKUP(B3,'[3]тел(заем)'!$B:$D,3,0)),VLOOKUP(B3,'[3]тел(заем)'!$B:$F,5,0)),VLOOKUP(A3,'[3]тел(заем)'!$A:$F,6,0))&gt;0,IFERROR(IFERROR(IF(VLOOKUP(B3,'[3]тел(заем)'!$B:$F,5,0),VLOOKUP(B3,'[3]тел(заем)'!$B:$F,5,0),VLOOKUP(B3,'[3]тел(заем)'!$B:$D,3,0)),VLOOKUP(B3,'[3]тел(заем)'!$B:$F,5,0)),VLOOKUP(A3,'[3]тел(заем)'!$A:$F,6,0)),IF(VLOOKUP(A3,'[1]тел(заемРасш)'!$B:$G,6,0)&gt;0,VLOOKUP(A3,'[1]тел(заемРасш)'!$B:$G,6,0),VLOOKUP(A3,'[1]тел(заемРасш)'!$B:$F,5,0)))</f>
        <v>79612507774</v>
      </c>
      <c r="D3"/>
      <c r="E3" t="str">
        <f t="shared" si="0"/>
        <v>Ирина Александровна</v>
      </c>
      <c r="F3" t="str">
        <f t="shared" si="1"/>
        <v>Ирина</v>
      </c>
      <c r="G3" t="str">
        <f>IFERROR(VLOOKUP(LEFT(B3,10),'[3]тел(пор)'!$A:$C,3,0),"")</f>
        <v/>
      </c>
      <c r="H3" t="str">
        <f>IFERROR(VLOOKUP(LEFT(B3,10),'[3]тел(пор)'!$A:$B,2,0),"")</f>
        <v/>
      </c>
      <c r="I3" t="str">
        <f>IFERROR(IF(VLOOKUP(B3,оплата!A:A,1,0)&lt;&gt;1,"!Деньги!"),"")</f>
        <v/>
      </c>
      <c r="S3" t="str">
        <f>IFERROR(IF(VLOOKUP(MID(C3,2,3)+0,тесты!A:A,1,0),"мегафон"),"")</f>
        <v/>
      </c>
    </row>
    <row r="4" spans="1:19" x14ac:dyDescent="0.25">
      <c r="A4" t="s">
        <v>831</v>
      </c>
      <c r="B4" t="s">
        <v>832</v>
      </c>
      <c r="C4">
        <f>IF(IFERROR(IFERROR(IF(VLOOKUP(B4,'[3]тел(заем)'!$B:$F,5,0),VLOOKUP(B4,'[3]тел(заем)'!$B:$F,5,0),VLOOKUP(B4,'[3]тел(заем)'!$B:$D,3,0)),VLOOKUP(B4,'[3]тел(заем)'!$B:$F,5,0)),VLOOKUP(A4,'[3]тел(заем)'!$A:$F,6,0))&gt;0,IFERROR(IFERROR(IF(VLOOKUP(B4,'[3]тел(заем)'!$B:$F,5,0),VLOOKUP(B4,'[3]тел(заем)'!$B:$F,5,0),VLOOKUP(B4,'[3]тел(заем)'!$B:$D,3,0)),VLOOKUP(B4,'[3]тел(заем)'!$B:$F,5,0)),VLOOKUP(A4,'[3]тел(заем)'!$A:$F,6,0)),IF(VLOOKUP(A4,'[1]тел(заемРасш)'!$B:$G,6,0)&gt;0,VLOOKUP(A4,'[1]тел(заемРасш)'!$B:$G,6,0),VLOOKUP(A4,'[1]тел(заемРасш)'!$B:$F,5,0)))</f>
        <v>79145195995</v>
      </c>
      <c r="D4"/>
      <c r="E4" t="str">
        <f t="shared" si="0"/>
        <v>Марина Игоревна</v>
      </c>
      <c r="F4" t="str">
        <f t="shared" si="1"/>
        <v>Марина</v>
      </c>
      <c r="G4" t="str">
        <f>IFERROR(VLOOKUP(LEFT(B4,10),'[3]тел(пор)'!$A:$C,3,0),"")</f>
        <v/>
      </c>
      <c r="H4" t="str">
        <f>IFERROR(VLOOKUP(LEFT(B4,10),'[3]тел(пор)'!$A:$B,2,0),"")</f>
        <v/>
      </c>
      <c r="I4" t="str">
        <f>IFERROR(IF(VLOOKUP(B4,оплата!A:A,1,0)&lt;&gt;1,"!Деньги!"),"")</f>
        <v/>
      </c>
      <c r="S4" t="str">
        <f>IFERROR(IF(VLOOKUP(MID(C4,2,3)+0,тесты!A:A,1,0),"мегафон"),"")</f>
        <v/>
      </c>
    </row>
    <row r="5" spans="1:19" x14ac:dyDescent="0.25">
      <c r="A5" t="s">
        <v>833</v>
      </c>
      <c r="B5" t="s">
        <v>834</v>
      </c>
      <c r="C5">
        <f>IF(IFERROR(IFERROR(IF(VLOOKUP(B5,'[3]тел(заем)'!$B:$F,5,0),VLOOKUP(B5,'[3]тел(заем)'!$B:$F,5,0),VLOOKUP(B5,'[3]тел(заем)'!$B:$D,3,0)),VLOOKUP(B5,'[3]тел(заем)'!$B:$F,5,0)),VLOOKUP(A5,'[3]тел(заем)'!$A:$F,6,0))&gt;0,IFERROR(IFERROR(IF(VLOOKUP(B5,'[3]тел(заем)'!$B:$F,5,0),VLOOKUP(B5,'[3]тел(заем)'!$B:$F,5,0),VLOOKUP(B5,'[3]тел(заем)'!$B:$D,3,0)),VLOOKUP(B5,'[3]тел(заем)'!$B:$F,5,0)),VLOOKUP(A5,'[3]тел(заем)'!$A:$F,6,0)),IF(VLOOKUP(A5,'[1]тел(заемРасш)'!$B:$G,6,0)&gt;0,VLOOKUP(A5,'[1]тел(заемРасш)'!$B:$G,6,0),VLOOKUP(A5,'[1]тел(заемРасш)'!$B:$F,5,0)))</f>
        <v>79036514804</v>
      </c>
      <c r="D5"/>
      <c r="E5" t="str">
        <f t="shared" si="0"/>
        <v>Наталия Андреевна</v>
      </c>
      <c r="F5" t="str">
        <f t="shared" si="1"/>
        <v>Наталия</v>
      </c>
      <c r="G5" t="str">
        <f>IFERROR(VLOOKUP(LEFT(B5,10),'[3]тел(пор)'!$A:$C,3,0),"")</f>
        <v/>
      </c>
      <c r="H5" t="str">
        <f>IFERROR(VLOOKUP(LEFT(B5,10),'[3]тел(пор)'!$A:$B,2,0),"")</f>
        <v/>
      </c>
      <c r="I5" t="str">
        <f>IFERROR(IF(VLOOKUP(B5,оплата!A:A,1,0)&lt;&gt;1,"!Деньги!"),"")</f>
        <v/>
      </c>
      <c r="S5" t="str">
        <f>IFERROR(IF(VLOOKUP(MID(C5,2,3)+0,тесты!A:A,1,0),"мегафон"),"")</f>
        <v/>
      </c>
    </row>
    <row r="6" spans="1:19" x14ac:dyDescent="0.25">
      <c r="A6" t="s">
        <v>835</v>
      </c>
      <c r="B6" t="s">
        <v>836</v>
      </c>
      <c r="C6">
        <f>IF(IFERROR(IFERROR(IF(VLOOKUP(B6,'[3]тел(заем)'!$B:$F,5,0),VLOOKUP(B6,'[3]тел(заем)'!$B:$F,5,0),VLOOKUP(B6,'[3]тел(заем)'!$B:$D,3,0)),VLOOKUP(B6,'[3]тел(заем)'!$B:$F,5,0)),VLOOKUP(A6,'[3]тел(заем)'!$A:$F,6,0))&gt;0,IFERROR(IFERROR(IF(VLOOKUP(B6,'[3]тел(заем)'!$B:$F,5,0),VLOOKUP(B6,'[3]тел(заем)'!$B:$F,5,0),VLOOKUP(B6,'[3]тел(заем)'!$B:$D,3,0)),VLOOKUP(B6,'[3]тел(заем)'!$B:$F,5,0)),VLOOKUP(A6,'[3]тел(заем)'!$A:$F,6,0)),IF(VLOOKUP(A6,'[1]тел(заемРасш)'!$B:$G,6,0)&gt;0,VLOOKUP(A6,'[1]тел(заемРасш)'!$B:$G,6,0),VLOOKUP(A6,'[1]тел(заемРасш)'!$B:$F,5,0)))</f>
        <v>79378844883</v>
      </c>
      <c r="D6"/>
      <c r="E6" t="str">
        <f t="shared" si="0"/>
        <v>Станислав Михайлович</v>
      </c>
      <c r="F6" t="str">
        <f t="shared" si="1"/>
        <v>Станислав</v>
      </c>
      <c r="G6" t="str">
        <f>IFERROR(VLOOKUP(LEFT(B6,10),'[3]тел(пор)'!$A:$C,3,0),"")</f>
        <v/>
      </c>
      <c r="H6" t="str">
        <f>IFERROR(VLOOKUP(LEFT(B6,10),'[3]тел(пор)'!$A:$B,2,0),"")</f>
        <v/>
      </c>
      <c r="I6" t="str">
        <f>IFERROR(IF(VLOOKUP(B6,оплата!A:A,1,0)&lt;&gt;1,"!Деньги!"),"")</f>
        <v/>
      </c>
      <c r="S6" t="str">
        <f>IFERROR(IF(VLOOKUP(MID(C6,2,3)+0,тесты!A:A,1,0),"мегафон"),"")</f>
        <v>мегафон</v>
      </c>
    </row>
    <row r="7" spans="1:19" x14ac:dyDescent="0.25">
      <c r="A7" t="s">
        <v>837</v>
      </c>
      <c r="B7" t="s">
        <v>838</v>
      </c>
      <c r="C7">
        <f>IF(IFERROR(IFERROR(IF(VLOOKUP(B7,'[3]тел(заем)'!$B:$F,5,0),VLOOKUP(B7,'[3]тел(заем)'!$B:$F,5,0),VLOOKUP(B7,'[3]тел(заем)'!$B:$D,3,0)),VLOOKUP(B7,'[3]тел(заем)'!$B:$F,5,0)),VLOOKUP(A7,'[3]тел(заем)'!$A:$F,6,0))&gt;0,IFERROR(IFERROR(IF(VLOOKUP(B7,'[3]тел(заем)'!$B:$F,5,0),VLOOKUP(B7,'[3]тел(заем)'!$B:$F,5,0),VLOOKUP(B7,'[3]тел(заем)'!$B:$D,3,0)),VLOOKUP(B7,'[3]тел(заем)'!$B:$F,5,0)),VLOOKUP(A7,'[3]тел(заем)'!$A:$F,6,0)),IF(VLOOKUP(A7,'[1]тел(заемРасш)'!$B:$G,6,0)&gt;0,VLOOKUP(A7,'[1]тел(заемРасш)'!$B:$G,6,0),VLOOKUP(A7,'[1]тел(заемРасш)'!$B:$F,5,0)))</f>
        <v>79296012855</v>
      </c>
      <c r="D7"/>
      <c r="E7" t="str">
        <f t="shared" si="0"/>
        <v>Владимир Игоревич</v>
      </c>
      <c r="F7" t="str">
        <f t="shared" si="1"/>
        <v>Владимир</v>
      </c>
      <c r="G7">
        <f>IFERROR(VLOOKUP(LEFT(B7,10),'[3]тел(пор)'!$A:$C,3,0),"")</f>
        <v>79160878969</v>
      </c>
      <c r="H7" t="str">
        <f>IFERROR(VLOOKUP(LEFT(B7,10),'[3]тел(пор)'!$A:$B,2,0),"")</f>
        <v>Тищенко Олег Владимирович</v>
      </c>
      <c r="I7" t="str">
        <f>IFERROR(IF(VLOOKUP(B7,оплата!A:A,1,0)&lt;&gt;1,"!Деньги!"),"")</f>
        <v/>
      </c>
      <c r="S7" t="str">
        <f>IFERROR(IF(VLOOKUP(MID(C7,2,3)+0,тесты!A:A,1,0),"мегафон"),"")</f>
        <v>мегафон</v>
      </c>
    </row>
    <row r="8" spans="1:19" x14ac:dyDescent="0.25">
      <c r="A8" t="s">
        <v>894</v>
      </c>
      <c r="B8" t="s">
        <v>838</v>
      </c>
      <c r="C8">
        <v>79160878969</v>
      </c>
      <c r="D8"/>
      <c r="E8" t="str">
        <f t="shared" ref="E8" si="2">RIGHT(A8,LEN(A8)-SEARCH(" ",A8))</f>
        <v>Олег Владимирович</v>
      </c>
      <c r="F8" t="str">
        <f t="shared" ref="F8" si="3">IFERROR(MID(A8,FIND(" ",A8,1)+1,FIND(" ",A8,FIND(" ",A8,1)+1)-FIND(" ",A8,1)-1),RIGHT(A8,LEN(A8)-FIND(" ",A8)))</f>
        <v>Олег</v>
      </c>
      <c r="G8">
        <f>IFERROR(VLOOKUP(LEFT(B8,10),'[3]тел(пор)'!$A:$C,3,0),"")</f>
        <v>79160878969</v>
      </c>
      <c r="H8" t="str">
        <f>IFERROR(VLOOKUP(LEFT(B8,10),'[3]тел(пор)'!$A:$B,2,0),"")</f>
        <v>Тищенко Олег Владимирович</v>
      </c>
      <c r="I8" t="str">
        <f>IFERROR(IF(VLOOKUP(B8,оплата!A:A,1,0)&lt;&gt;1,"!Деньги!"),"")</f>
        <v/>
      </c>
      <c r="S8" t="str">
        <f>IFERROR(IF(VLOOKUP(MID(C8,2,3)+0,тесты!A:A,1,0),"мегафон"),"")</f>
        <v/>
      </c>
    </row>
    <row r="9" spans="1:19" x14ac:dyDescent="0.25">
      <c r="A9" t="s">
        <v>839</v>
      </c>
      <c r="B9" t="s">
        <v>840</v>
      </c>
      <c r="C9">
        <f>IF(IFERROR(IFERROR(IF(VLOOKUP(B9,'[3]тел(заем)'!$B:$F,5,0),VLOOKUP(B9,'[3]тел(заем)'!$B:$F,5,0),VLOOKUP(B9,'[3]тел(заем)'!$B:$D,3,0)),VLOOKUP(B9,'[3]тел(заем)'!$B:$F,5,0)),VLOOKUP(A9,'[3]тел(заем)'!$A:$F,6,0))&gt;0,IFERROR(IFERROR(IF(VLOOKUP(B9,'[3]тел(заем)'!$B:$F,5,0),VLOOKUP(B9,'[3]тел(заем)'!$B:$F,5,0),VLOOKUP(B9,'[3]тел(заем)'!$B:$D,3,0)),VLOOKUP(B9,'[3]тел(заем)'!$B:$F,5,0)),VLOOKUP(A9,'[3]тел(заем)'!$A:$F,6,0)),IF(VLOOKUP(A9,'[1]тел(заемРасш)'!$B:$G,6,0)&gt;0,VLOOKUP(A9,'[1]тел(заемРасш)'!$B:$G,6,0),VLOOKUP(A9,'[1]тел(заемРасш)'!$B:$F,5,0)))</f>
        <v>79672796448</v>
      </c>
      <c r="D9"/>
      <c r="E9" t="str">
        <f t="shared" si="0"/>
        <v>Антон Валерьевич</v>
      </c>
      <c r="F9" t="str">
        <f t="shared" si="1"/>
        <v>Антон</v>
      </c>
      <c r="G9" t="str">
        <f>IFERROR(VLOOKUP(LEFT(B9,10),'[3]тел(пор)'!$A:$C,3,0),"")</f>
        <v/>
      </c>
      <c r="H9" t="str">
        <f>IFERROR(VLOOKUP(LEFT(B9,10),'[3]тел(пор)'!$A:$B,2,0),"")</f>
        <v/>
      </c>
      <c r="I9" t="str">
        <f>IFERROR(IF(VLOOKUP(B9,оплата!A:A,1,0)&lt;&gt;1,"!Деньги!"),"")</f>
        <v/>
      </c>
      <c r="S9" t="str">
        <f>IFERROR(IF(VLOOKUP(MID(C9,2,3)+0,тесты!A:A,1,0),"мегафон"),"")</f>
        <v/>
      </c>
    </row>
    <row r="10" spans="1:19" x14ac:dyDescent="0.25">
      <c r="A10" t="s">
        <v>841</v>
      </c>
      <c r="B10" t="s">
        <v>842</v>
      </c>
      <c r="C10">
        <f>IF(IFERROR(IFERROR(IF(VLOOKUP(B10,'[3]тел(заем)'!$B:$F,5,0),VLOOKUP(B10,'[3]тел(заем)'!$B:$F,5,0),VLOOKUP(B10,'[3]тел(заем)'!$B:$D,3,0)),VLOOKUP(B10,'[3]тел(заем)'!$B:$F,5,0)),VLOOKUP(A10,'[3]тел(заем)'!$A:$F,6,0))&gt;0,IFERROR(IFERROR(IF(VLOOKUP(B10,'[3]тел(заем)'!$B:$F,5,0),VLOOKUP(B10,'[3]тел(заем)'!$B:$F,5,0),VLOOKUP(B10,'[3]тел(заем)'!$B:$D,3,0)),VLOOKUP(B10,'[3]тел(заем)'!$B:$F,5,0)),VLOOKUP(A10,'[3]тел(заем)'!$A:$F,6,0)),IF(VLOOKUP(A10,'[1]тел(заемРасш)'!$B:$G,6,0)&gt;0,VLOOKUP(A10,'[1]тел(заемРасш)'!$B:$G,6,0),VLOOKUP(A10,'[1]тел(заемРасш)'!$B:$F,5,0)))</f>
        <v>79806869347</v>
      </c>
      <c r="D10"/>
      <c r="E10" t="str">
        <f t="shared" si="0"/>
        <v>Алексей Георгиевич</v>
      </c>
      <c r="F10" t="str">
        <f t="shared" si="1"/>
        <v>Алексей</v>
      </c>
      <c r="G10" t="str">
        <f>IFERROR(VLOOKUP(LEFT(B10,10),'[3]тел(пор)'!$A:$C,3,0),"")</f>
        <v/>
      </c>
      <c r="H10" t="str">
        <f>IFERROR(VLOOKUP(LEFT(B10,10),'[3]тел(пор)'!$A:$B,2,0),"")</f>
        <v/>
      </c>
      <c r="I10" t="str">
        <f>IFERROR(IF(VLOOKUP(B10,оплата!A:A,1,0)&lt;&gt;1,"!Деньги!"),"")</f>
        <v/>
      </c>
      <c r="S10" t="str">
        <f>IFERROR(IF(VLOOKUP(MID(C10,2,3)+0,тесты!A:A,1,0),"мегафон"),"")</f>
        <v/>
      </c>
    </row>
    <row r="11" spans="1:19" x14ac:dyDescent="0.25">
      <c r="A11" t="s">
        <v>843</v>
      </c>
      <c r="B11" t="s">
        <v>844</v>
      </c>
      <c r="C11">
        <f>IF(IFERROR(IFERROR(IF(VLOOKUP(B11,'[3]тел(заем)'!$B:$F,5,0),VLOOKUP(B11,'[3]тел(заем)'!$B:$F,5,0),VLOOKUP(B11,'[3]тел(заем)'!$B:$D,3,0)),VLOOKUP(B11,'[3]тел(заем)'!$B:$F,5,0)),VLOOKUP(A11,'[3]тел(заем)'!$A:$F,6,0))&gt;0,IFERROR(IFERROR(IF(VLOOKUP(B11,'[3]тел(заем)'!$B:$F,5,0),VLOOKUP(B11,'[3]тел(заем)'!$B:$F,5,0),VLOOKUP(B11,'[3]тел(заем)'!$B:$D,3,0)),VLOOKUP(B11,'[3]тел(заем)'!$B:$F,5,0)),VLOOKUP(A11,'[3]тел(заем)'!$A:$F,6,0)),IF(VLOOKUP(A11,'[1]тел(заемРасш)'!$B:$G,6,0)&gt;0,VLOOKUP(A11,'[1]тел(заемРасш)'!$B:$G,6,0),VLOOKUP(A11,'[1]тел(заемРасш)'!$B:$F,5,0)))</f>
        <v>79095704607</v>
      </c>
      <c r="D11"/>
      <c r="E11" t="str">
        <f t="shared" si="0"/>
        <v>Иван Эдуардович</v>
      </c>
      <c r="F11" t="str">
        <f t="shared" si="1"/>
        <v>Иван</v>
      </c>
      <c r="G11" t="str">
        <f>IFERROR(VLOOKUP(LEFT(B11,10),'[3]тел(пор)'!$A:$C,3,0),"")</f>
        <v/>
      </c>
      <c r="H11" t="str">
        <f>IFERROR(VLOOKUP(LEFT(B11,10),'[3]тел(пор)'!$A:$B,2,0),"")</f>
        <v/>
      </c>
      <c r="I11" t="str">
        <f>IFERROR(IF(VLOOKUP(B11,оплата!A:A,1,0)&lt;&gt;1,"!Деньги!"),"")</f>
        <v/>
      </c>
      <c r="S11" t="str">
        <f>IFERROR(IF(VLOOKUP(MID(C11,2,3)+0,тесты!A:A,1,0),"мегафон"),"")</f>
        <v/>
      </c>
    </row>
    <row r="12" spans="1:19" x14ac:dyDescent="0.25">
      <c r="A12" t="s">
        <v>845</v>
      </c>
      <c r="B12" t="s">
        <v>846</v>
      </c>
      <c r="C12">
        <f>IF(IFERROR(IFERROR(IF(VLOOKUP(B12,'[3]тел(заем)'!$B:$F,5,0),VLOOKUP(B12,'[3]тел(заем)'!$B:$F,5,0),VLOOKUP(B12,'[3]тел(заем)'!$B:$D,3,0)),VLOOKUP(B12,'[3]тел(заем)'!$B:$F,5,0)),VLOOKUP(A12,'[3]тел(заем)'!$A:$F,6,0))&gt;0,IFERROR(IFERROR(IF(VLOOKUP(B12,'[3]тел(заем)'!$B:$F,5,0),VLOOKUP(B12,'[3]тел(заем)'!$B:$F,5,0),VLOOKUP(B12,'[3]тел(заем)'!$B:$D,3,0)),VLOOKUP(B12,'[3]тел(заем)'!$B:$F,5,0)),VLOOKUP(A12,'[3]тел(заем)'!$A:$F,6,0)),IF(VLOOKUP(A12,'[1]тел(заемРасш)'!$B:$G,6,0)&gt;0,VLOOKUP(A12,'[1]тел(заемРасш)'!$B:$G,6,0),VLOOKUP(A12,'[1]тел(заемРасш)'!$B:$F,5,0)))</f>
        <v>79111600980</v>
      </c>
      <c r="D12"/>
      <c r="E12" t="str">
        <f t="shared" si="0"/>
        <v>Арарат Балабекович</v>
      </c>
      <c r="F12" t="str">
        <f t="shared" si="1"/>
        <v>Арарат</v>
      </c>
      <c r="G12" t="str">
        <f>IFERROR(VLOOKUP(LEFT(B12,10),'[3]тел(пор)'!$A:$C,3,0),"")</f>
        <v/>
      </c>
      <c r="H12" t="str">
        <f>IFERROR(VLOOKUP(LEFT(B12,10),'[3]тел(пор)'!$A:$B,2,0),"")</f>
        <v/>
      </c>
      <c r="I12" t="str">
        <f>IFERROR(IF(VLOOKUP(B12,оплата!A:A,1,0)&lt;&gt;1,"!Деньги!"),"")</f>
        <v/>
      </c>
      <c r="S12" t="str">
        <f>IFERROR(IF(VLOOKUP(MID(C12,2,3)+0,тесты!A:A,1,0),"мегафон"),"")</f>
        <v/>
      </c>
    </row>
    <row r="13" spans="1:19" x14ac:dyDescent="0.25">
      <c r="A13" t="s">
        <v>503</v>
      </c>
      <c r="B13" t="s">
        <v>847</v>
      </c>
      <c r="C13">
        <f>IF(IFERROR(IFERROR(IF(VLOOKUP(B13,'[3]тел(заем)'!$B:$F,5,0),VLOOKUP(B13,'[3]тел(заем)'!$B:$F,5,0),VLOOKUP(B13,'[3]тел(заем)'!$B:$D,3,0)),VLOOKUP(B13,'[3]тел(заем)'!$B:$F,5,0)),VLOOKUP(A13,'[3]тел(заем)'!$A:$F,6,0))&gt;0,IFERROR(IFERROR(IF(VLOOKUP(B13,'[3]тел(заем)'!$B:$F,5,0),VLOOKUP(B13,'[3]тел(заем)'!$B:$F,5,0),VLOOKUP(B13,'[3]тел(заем)'!$B:$D,3,0)),VLOOKUP(B13,'[3]тел(заем)'!$B:$F,5,0)),VLOOKUP(A13,'[3]тел(заем)'!$A:$F,6,0)),IF(VLOOKUP(A13,'[1]тел(заемРасш)'!$B:$G,6,0)&gt;0,VLOOKUP(A13,'[1]тел(заемРасш)'!$B:$G,6,0),VLOOKUP(A13,'[1]тел(заемРасш)'!$B:$F,5,0)))</f>
        <v>79622259165</v>
      </c>
      <c r="D13"/>
      <c r="E13" t="str">
        <f t="shared" si="0"/>
        <v>Константин Иванович</v>
      </c>
      <c r="F13" t="str">
        <f t="shared" si="1"/>
        <v>Константин</v>
      </c>
      <c r="G13" t="str">
        <f>IFERROR(VLOOKUP(LEFT(B13,10),'[3]тел(пор)'!$A:$C,3,0),"")</f>
        <v/>
      </c>
      <c r="H13" t="str">
        <f>IFERROR(VLOOKUP(LEFT(B13,10),'[3]тел(пор)'!$A:$B,2,0),"")</f>
        <v/>
      </c>
      <c r="I13" t="str">
        <f>IFERROR(IF(VLOOKUP(B13,оплата!A:A,1,0)&lt;&gt;1,"!Деньги!"),"")</f>
        <v/>
      </c>
      <c r="S13" t="str">
        <f>IFERROR(IF(VLOOKUP(MID(C13,2,3)+0,тесты!A:A,1,0),"мегафон"),"")</f>
        <v/>
      </c>
    </row>
    <row r="14" spans="1:19" x14ac:dyDescent="0.25">
      <c r="A14" t="s">
        <v>848</v>
      </c>
      <c r="B14" t="s">
        <v>849</v>
      </c>
      <c r="C14">
        <f>IF(IFERROR(IFERROR(IF(VLOOKUP(B14,'[3]тел(заем)'!$B:$F,5,0),VLOOKUP(B14,'[3]тел(заем)'!$B:$F,5,0),VLOOKUP(B14,'[3]тел(заем)'!$B:$D,3,0)),VLOOKUP(B14,'[3]тел(заем)'!$B:$F,5,0)),VLOOKUP(A14,'[3]тел(заем)'!$A:$F,6,0))&gt;0,IFERROR(IFERROR(IF(VLOOKUP(B14,'[3]тел(заем)'!$B:$F,5,0),VLOOKUP(B14,'[3]тел(заем)'!$B:$F,5,0),VLOOKUP(B14,'[3]тел(заем)'!$B:$D,3,0)),VLOOKUP(B14,'[3]тел(заем)'!$B:$F,5,0)),VLOOKUP(A14,'[3]тел(заем)'!$A:$F,6,0)),IF(VLOOKUP(A14,'[1]тел(заемРасш)'!$B:$G,6,0)&gt;0,VLOOKUP(A14,'[1]тел(заемРасш)'!$B:$G,6,0),VLOOKUP(A14,'[1]тел(заемРасш)'!$B:$F,5,0)))</f>
        <v>79829081999</v>
      </c>
      <c r="D14"/>
      <c r="E14" t="str">
        <f t="shared" si="0"/>
        <v>Олег Васильевич</v>
      </c>
      <c r="F14" t="str">
        <f t="shared" si="1"/>
        <v>Олег</v>
      </c>
      <c r="G14" t="str">
        <f>IFERROR(VLOOKUP(LEFT(B14,10),'[3]тел(пор)'!$A:$C,3,0),"")</f>
        <v/>
      </c>
      <c r="H14" t="str">
        <f>IFERROR(VLOOKUP(LEFT(B14,10),'[3]тел(пор)'!$A:$B,2,0),"")</f>
        <v/>
      </c>
      <c r="I14" t="str">
        <f>IFERROR(IF(VLOOKUP(B14,оплата!A:A,1,0)&lt;&gt;1,"!Деньги!"),"")</f>
        <v/>
      </c>
      <c r="S14" t="str">
        <f>IFERROR(IF(VLOOKUP(MID(C14,2,3)+0,тесты!A:A,1,0),"мегафон"),"")</f>
        <v/>
      </c>
    </row>
    <row r="15" spans="1:19" x14ac:dyDescent="0.25">
      <c r="A15" t="s">
        <v>850</v>
      </c>
      <c r="B15" t="s">
        <v>851</v>
      </c>
      <c r="C15">
        <f>IF(IFERROR(IFERROR(IF(VLOOKUP(B15,'[3]тел(заем)'!$B:$F,5,0),VLOOKUP(B15,'[3]тел(заем)'!$B:$F,5,0),VLOOKUP(B15,'[3]тел(заем)'!$B:$D,3,0)),VLOOKUP(B15,'[3]тел(заем)'!$B:$F,5,0)),VLOOKUP(A15,'[3]тел(заем)'!$A:$F,6,0))&gt;0,IFERROR(IFERROR(IF(VLOOKUP(B15,'[3]тел(заем)'!$B:$F,5,0),VLOOKUP(B15,'[3]тел(заем)'!$B:$F,5,0),VLOOKUP(B15,'[3]тел(заем)'!$B:$D,3,0)),VLOOKUP(B15,'[3]тел(заем)'!$B:$F,5,0)),VLOOKUP(A15,'[3]тел(заем)'!$A:$F,6,0)),IF(VLOOKUP(A15,'[1]тел(заемРасш)'!$B:$G,6,0)&gt;0,VLOOKUP(A15,'[1]тел(заемРасш)'!$B:$G,6,0),VLOOKUP(A15,'[1]тел(заемРасш)'!$B:$F,5,0)))</f>
        <v>79155979456</v>
      </c>
      <c r="D15"/>
      <c r="E15" t="str">
        <f t="shared" si="0"/>
        <v>Владимир Владимирович</v>
      </c>
      <c r="F15" t="str">
        <f t="shared" si="1"/>
        <v>Владимир</v>
      </c>
      <c r="G15" t="str">
        <f>IFERROR(VLOOKUP(LEFT(B15,10),'[3]тел(пор)'!$A:$C,3,0),"")</f>
        <v/>
      </c>
      <c r="H15" t="str">
        <f>IFERROR(VLOOKUP(LEFT(B15,10),'[3]тел(пор)'!$A:$B,2,0),"")</f>
        <v/>
      </c>
      <c r="I15" t="str">
        <f>IFERROR(IF(VLOOKUP(B15,оплата!A:A,1,0)&lt;&gt;1,"!Деньги!"),"")</f>
        <v/>
      </c>
      <c r="S15" t="str">
        <f>IFERROR(IF(VLOOKUP(MID(C15,2,3)+0,тесты!A:A,1,0),"мегафон"),"")</f>
        <v/>
      </c>
    </row>
    <row r="16" spans="1:19" x14ac:dyDescent="0.25">
      <c r="A16" t="s">
        <v>852</v>
      </c>
      <c r="B16" t="s">
        <v>853</v>
      </c>
      <c r="C16">
        <f>IF(IFERROR(IFERROR(IF(VLOOKUP(B16,'[3]тел(заем)'!$B:$F,5,0),VLOOKUP(B16,'[3]тел(заем)'!$B:$F,5,0),VLOOKUP(B16,'[3]тел(заем)'!$B:$D,3,0)),VLOOKUP(B16,'[3]тел(заем)'!$B:$F,5,0)),VLOOKUP(A16,'[3]тел(заем)'!$A:$F,6,0))&gt;0,IFERROR(IFERROR(IF(VLOOKUP(B16,'[3]тел(заем)'!$B:$F,5,0),VLOOKUP(B16,'[3]тел(заем)'!$B:$F,5,0),VLOOKUP(B16,'[3]тел(заем)'!$B:$D,3,0)),VLOOKUP(B16,'[3]тел(заем)'!$B:$F,5,0)),VLOOKUP(A16,'[3]тел(заем)'!$A:$F,6,0)),IF(VLOOKUP(A16,'[1]тел(заемРасш)'!$B:$G,6,0)&gt;0,VLOOKUP(A16,'[1]тел(заемРасш)'!$B:$G,6,0),VLOOKUP(A16,'[1]тел(заемРасш)'!$B:$F,5,0)))</f>
        <v>79774206754</v>
      </c>
      <c r="D16"/>
      <c r="E16" t="str">
        <f t="shared" si="0"/>
        <v>Александр Вячеславович</v>
      </c>
      <c r="F16" t="str">
        <f t="shared" si="1"/>
        <v>Александр</v>
      </c>
      <c r="G16" t="str">
        <f>IFERROR(VLOOKUP(LEFT(B16,10),'[3]тел(пор)'!$A:$C,3,0),"")</f>
        <v/>
      </c>
      <c r="H16" t="str">
        <f>IFERROR(VLOOKUP(LEFT(B16,10),'[3]тел(пор)'!$A:$B,2,0),"")</f>
        <v/>
      </c>
      <c r="I16" t="str">
        <f>IFERROR(IF(VLOOKUP(B16,оплата!A:A,1,0)&lt;&gt;1,"!Деньги!"),"")</f>
        <v/>
      </c>
      <c r="S16" t="str">
        <f>IFERROR(IF(VLOOKUP(MID(C16,2,3)+0,тесты!A:A,1,0),"мегафон"),"")</f>
        <v/>
      </c>
    </row>
    <row r="17" spans="1:19" x14ac:dyDescent="0.25">
      <c r="A17" t="s">
        <v>854</v>
      </c>
      <c r="B17" t="s">
        <v>855</v>
      </c>
      <c r="C17">
        <f>IF(IFERROR(IFERROR(IF(VLOOKUP(B17,'[3]тел(заем)'!$B:$F,5,0),VLOOKUP(B17,'[3]тел(заем)'!$B:$F,5,0),VLOOKUP(B17,'[3]тел(заем)'!$B:$D,3,0)),VLOOKUP(B17,'[3]тел(заем)'!$B:$F,5,0)),VLOOKUP(A17,'[3]тел(заем)'!$A:$F,6,0))&gt;0,IFERROR(IFERROR(IF(VLOOKUP(B17,'[3]тел(заем)'!$B:$F,5,0),VLOOKUP(B17,'[3]тел(заем)'!$B:$F,5,0),VLOOKUP(B17,'[3]тел(заем)'!$B:$D,3,0)),VLOOKUP(B17,'[3]тел(заем)'!$B:$F,5,0)),VLOOKUP(A17,'[3]тел(заем)'!$A:$F,6,0)),IF(VLOOKUP(A17,'[1]тел(заемРасш)'!$B:$G,6,0)&gt;0,VLOOKUP(A17,'[1]тел(заемРасш)'!$B:$G,6,0),VLOOKUP(A17,'[1]тел(заемРасш)'!$B:$F,5,0)))</f>
        <v>79062610803</v>
      </c>
      <c r="D17"/>
      <c r="E17" t="str">
        <f t="shared" si="0"/>
        <v>Владимир Владимирович</v>
      </c>
      <c r="F17" t="str">
        <f t="shared" si="1"/>
        <v>Владимир</v>
      </c>
      <c r="G17" t="str">
        <f>IFERROR(VLOOKUP(LEFT(B17,10),'[3]тел(пор)'!$A:$C,3,0),"")</f>
        <v/>
      </c>
      <c r="H17" t="str">
        <f>IFERROR(VLOOKUP(LEFT(B17,10),'[3]тел(пор)'!$A:$B,2,0),"")</f>
        <v/>
      </c>
      <c r="I17" t="str">
        <f>IFERROR(IF(VLOOKUP(B17,оплата!A:A,1,0)&lt;&gt;1,"!Деньги!"),"")</f>
        <v/>
      </c>
      <c r="S17" t="str">
        <f>IFERROR(IF(VLOOKUP(MID(C17,2,3)+0,тесты!A:A,1,0),"мегафон"),"")</f>
        <v/>
      </c>
    </row>
    <row r="18" spans="1:19" x14ac:dyDescent="0.25">
      <c r="A18" t="s">
        <v>856</v>
      </c>
      <c r="B18" t="s">
        <v>857</v>
      </c>
      <c r="C18">
        <f>IF(IFERROR(IFERROR(IF(VLOOKUP(B18,'[3]тел(заем)'!$B:$F,5,0),VLOOKUP(B18,'[3]тел(заем)'!$B:$F,5,0),VLOOKUP(B18,'[3]тел(заем)'!$B:$D,3,0)),VLOOKUP(B18,'[3]тел(заем)'!$B:$F,5,0)),VLOOKUP(A18,'[3]тел(заем)'!$A:$F,6,0))&gt;0,IFERROR(IFERROR(IF(VLOOKUP(B18,'[3]тел(заем)'!$B:$F,5,0),VLOOKUP(B18,'[3]тел(заем)'!$B:$F,5,0),VLOOKUP(B18,'[3]тел(заем)'!$B:$D,3,0)),VLOOKUP(B18,'[3]тел(заем)'!$B:$F,5,0)),VLOOKUP(A18,'[3]тел(заем)'!$A:$F,6,0)),IF(VLOOKUP(A18,'[1]тел(заемРасш)'!$B:$G,6,0)&gt;0,VLOOKUP(A18,'[1]тел(заемРасш)'!$B:$G,6,0),VLOOKUP(A18,'[1]тел(заемРасш)'!$B:$F,5,0)))</f>
        <v>79034048781</v>
      </c>
      <c r="D18"/>
      <c r="E18" t="str">
        <f t="shared" si="0"/>
        <v>Виктор Иванович</v>
      </c>
      <c r="F18" t="str">
        <f t="shared" si="1"/>
        <v>Виктор</v>
      </c>
      <c r="G18" t="str">
        <f>IFERROR(VLOOKUP(LEFT(B18,10),'[3]тел(пор)'!$A:$C,3,0),"")</f>
        <v/>
      </c>
      <c r="H18" t="str">
        <f>IFERROR(VLOOKUP(LEFT(B18,10),'[3]тел(пор)'!$A:$B,2,0),"")</f>
        <v/>
      </c>
      <c r="I18" t="str">
        <f>IFERROR(IF(VLOOKUP(B18,оплата!A:A,1,0)&lt;&gt;1,"!Деньги!"),"")</f>
        <v/>
      </c>
      <c r="S18" t="str">
        <f>IFERROR(IF(VLOOKUP(MID(C18,2,3)+0,тесты!A:A,1,0),"мегафон"),"")</f>
        <v/>
      </c>
    </row>
    <row r="19" spans="1:19" x14ac:dyDescent="0.25">
      <c r="A19" t="s">
        <v>621</v>
      </c>
      <c r="B19" t="s">
        <v>858</v>
      </c>
      <c r="C19">
        <f>IF(IFERROR(IFERROR(IF(VLOOKUP(B19,'[3]тел(заем)'!$B:$F,5,0),VLOOKUP(B19,'[3]тел(заем)'!$B:$F,5,0),VLOOKUP(B19,'[3]тел(заем)'!$B:$D,3,0)),VLOOKUP(B19,'[3]тел(заем)'!$B:$F,5,0)),VLOOKUP(A19,'[3]тел(заем)'!$A:$F,6,0))&gt;0,IFERROR(IFERROR(IF(VLOOKUP(B19,'[3]тел(заем)'!$B:$F,5,0),VLOOKUP(B19,'[3]тел(заем)'!$B:$F,5,0),VLOOKUP(B19,'[3]тел(заем)'!$B:$D,3,0)),VLOOKUP(B19,'[3]тел(заем)'!$B:$F,5,0)),VLOOKUP(A19,'[3]тел(заем)'!$A:$F,6,0)),IF(VLOOKUP(A19,'[1]тел(заемРасш)'!$B:$G,6,0)&gt;0,VLOOKUP(A19,'[1]тел(заемРасш)'!$B:$G,6,0),VLOOKUP(A19,'[1]тел(заемРасш)'!$B:$F,5,0)))</f>
        <v>79032249082</v>
      </c>
      <c r="D19"/>
      <c r="E19" t="str">
        <f t="shared" si="0"/>
        <v>Вадим Яковлевич</v>
      </c>
      <c r="F19" t="str">
        <f t="shared" si="1"/>
        <v>Вадим</v>
      </c>
      <c r="G19" t="str">
        <f>IFERROR(VLOOKUP(LEFT(B19,10),'[3]тел(пор)'!$A:$C,3,0),"")</f>
        <v/>
      </c>
      <c r="H19" t="str">
        <f>IFERROR(VLOOKUP(LEFT(B19,10),'[3]тел(пор)'!$A:$B,2,0),"")</f>
        <v/>
      </c>
      <c r="I19" t="str">
        <f>IFERROR(IF(VLOOKUP(B19,оплата!A:A,1,0)&lt;&gt;1,"!Деньги!"),"")</f>
        <v/>
      </c>
      <c r="S19" t="str">
        <f>IFERROR(IF(VLOOKUP(MID(C19,2,3)+0,тесты!A:A,1,0),"мегафон"),"")</f>
        <v/>
      </c>
    </row>
    <row r="20" spans="1:19" x14ac:dyDescent="0.25">
      <c r="A20" t="s">
        <v>859</v>
      </c>
      <c r="B20" t="s">
        <v>860</v>
      </c>
      <c r="C20">
        <f>IF(IFERROR(IFERROR(IF(VLOOKUP(B20,'[3]тел(заем)'!$B:$F,5,0),VLOOKUP(B20,'[3]тел(заем)'!$B:$F,5,0),VLOOKUP(B20,'[3]тел(заем)'!$B:$D,3,0)),VLOOKUP(B20,'[3]тел(заем)'!$B:$F,5,0)),VLOOKUP(A20,'[3]тел(заем)'!$A:$F,6,0))&gt;0,IFERROR(IFERROR(IF(VLOOKUP(B20,'[3]тел(заем)'!$B:$F,5,0),VLOOKUP(B20,'[3]тел(заем)'!$B:$F,5,0),VLOOKUP(B20,'[3]тел(заем)'!$B:$D,3,0)),VLOOKUP(B20,'[3]тел(заем)'!$B:$F,5,0)),VLOOKUP(A20,'[3]тел(заем)'!$A:$F,6,0)),IF(VLOOKUP(A20,'[1]тел(заемРасш)'!$B:$G,6,0)&gt;0,VLOOKUP(A20,'[1]тел(заемРасш)'!$B:$G,6,0),VLOOKUP(A20,'[1]тел(заемРасш)'!$B:$F,5,0)))</f>
        <v>79223224806</v>
      </c>
      <c r="D20"/>
      <c r="E20" t="str">
        <f t="shared" si="0"/>
        <v>Елена Леонидовна</v>
      </c>
      <c r="F20" t="str">
        <f t="shared" si="1"/>
        <v>Елена</v>
      </c>
      <c r="G20" t="str">
        <f>IFERROR(VLOOKUP(LEFT(B20,10),'[3]тел(пор)'!$A:$C,3,0),"")</f>
        <v/>
      </c>
      <c r="H20" t="str">
        <f>IFERROR(VLOOKUP(LEFT(B20,10),'[3]тел(пор)'!$A:$B,2,0),"")</f>
        <v/>
      </c>
      <c r="I20" t="str">
        <f>IFERROR(IF(VLOOKUP(B20,оплата!A:A,1,0)&lt;&gt;1,"!Деньги!"),"")</f>
        <v/>
      </c>
      <c r="S20" t="str">
        <f>IFERROR(IF(VLOOKUP(MID(C20,2,3)+0,тесты!A:A,1,0),"мегафон"),"")</f>
        <v>мегафон</v>
      </c>
    </row>
    <row r="21" spans="1:19" x14ac:dyDescent="0.25">
      <c r="A21" t="s">
        <v>735</v>
      </c>
      <c r="B21" t="s">
        <v>861</v>
      </c>
      <c r="C21">
        <f>IF(IFERROR(IFERROR(IF(VLOOKUP(B21,'[3]тел(заем)'!$B:$F,5,0),VLOOKUP(B21,'[3]тел(заем)'!$B:$F,5,0),VLOOKUP(B21,'[3]тел(заем)'!$B:$D,3,0)),VLOOKUP(B21,'[3]тел(заем)'!$B:$F,5,0)),VLOOKUP(A21,'[3]тел(заем)'!$A:$F,6,0))&gt;0,IFERROR(IFERROR(IF(VLOOKUP(B21,'[3]тел(заем)'!$B:$F,5,0),VLOOKUP(B21,'[3]тел(заем)'!$B:$F,5,0),VLOOKUP(B21,'[3]тел(заем)'!$B:$D,3,0)),VLOOKUP(B21,'[3]тел(заем)'!$B:$F,5,0)),VLOOKUP(A21,'[3]тел(заем)'!$A:$F,6,0)),IF(VLOOKUP(A21,'[1]тел(заемРасш)'!$B:$G,6,0)&gt;0,VLOOKUP(A21,'[1]тел(заемРасш)'!$B:$G,6,0),VLOOKUP(A21,'[1]тел(заемРасш)'!$B:$F,5,0)))</f>
        <v>79537495179</v>
      </c>
      <c r="D21"/>
      <c r="E21" t="str">
        <f t="shared" si="0"/>
        <v>Елена Александровна</v>
      </c>
      <c r="F21" t="str">
        <f t="shared" si="1"/>
        <v>Елена</v>
      </c>
      <c r="G21" t="str">
        <f>IFERROR(VLOOKUP(LEFT(B21,10),'[3]тел(пор)'!$A:$C,3,0),"")</f>
        <v/>
      </c>
      <c r="H21" t="str">
        <f>IFERROR(VLOOKUP(LEFT(B21,10),'[3]тел(пор)'!$A:$B,2,0),"")</f>
        <v/>
      </c>
      <c r="I21" t="str">
        <f>IFERROR(IF(VLOOKUP(B21,оплата!A:A,1,0)&lt;&gt;1,"!Деньги!"),"")</f>
        <v/>
      </c>
      <c r="S21" t="str">
        <f>IFERROR(IF(VLOOKUP(MID(C21,2,3)+0,тесты!A:A,1,0),"мегафон"),"")</f>
        <v/>
      </c>
    </row>
    <row r="22" spans="1:19" x14ac:dyDescent="0.25">
      <c r="A22" t="s">
        <v>862</v>
      </c>
      <c r="B22" t="s">
        <v>863</v>
      </c>
      <c r="C22">
        <f>IF(IFERROR(IFERROR(IF(VLOOKUP(B22,'[3]тел(заем)'!$B:$F,5,0),VLOOKUP(B22,'[3]тел(заем)'!$B:$F,5,0),VLOOKUP(B22,'[3]тел(заем)'!$B:$D,3,0)),VLOOKUP(B22,'[3]тел(заем)'!$B:$F,5,0)),VLOOKUP(A22,'[3]тел(заем)'!$A:$F,6,0))&gt;0,IFERROR(IFERROR(IF(VLOOKUP(B22,'[3]тел(заем)'!$B:$F,5,0),VLOOKUP(B22,'[3]тел(заем)'!$B:$F,5,0),VLOOKUP(B22,'[3]тел(заем)'!$B:$D,3,0)),VLOOKUP(B22,'[3]тел(заем)'!$B:$F,5,0)),VLOOKUP(A22,'[3]тел(заем)'!$A:$F,6,0)),IF(VLOOKUP(A22,'[1]тел(заемРасш)'!$B:$G,6,0)&gt;0,VLOOKUP(A22,'[1]тел(заемРасш)'!$B:$G,6,0),VLOOKUP(A22,'[1]тел(заемРасш)'!$B:$F,5,0)))</f>
        <v>79152920318</v>
      </c>
      <c r="D22"/>
      <c r="E22" t="str">
        <f t="shared" si="0"/>
        <v>Олег Владимирович</v>
      </c>
      <c r="F22" t="str">
        <f t="shared" si="1"/>
        <v>Олег</v>
      </c>
      <c r="G22" t="str">
        <f>IFERROR(VLOOKUP(LEFT(B22,10),'[3]тел(пор)'!$A:$C,3,0),"")</f>
        <v/>
      </c>
      <c r="H22" t="str">
        <f>IFERROR(VLOOKUP(LEFT(B22,10),'[3]тел(пор)'!$A:$B,2,0),"")</f>
        <v/>
      </c>
      <c r="I22" t="str">
        <f>IFERROR(IF(VLOOKUP(B22,оплата!A:A,1,0)&lt;&gt;1,"!Деньги!"),"")</f>
        <v/>
      </c>
      <c r="S22" t="str">
        <f>IFERROR(IF(VLOOKUP(MID(C22,2,3)+0,тесты!A:A,1,0),"мегафон"),"")</f>
        <v/>
      </c>
    </row>
    <row r="23" spans="1:19" x14ac:dyDescent="0.25">
      <c r="A23" t="s">
        <v>656</v>
      </c>
      <c r="B23" t="s">
        <v>864</v>
      </c>
      <c r="C23">
        <f>IF(IFERROR(IFERROR(IF(VLOOKUP(B23,'[3]тел(заем)'!$B:$F,5,0),VLOOKUP(B23,'[3]тел(заем)'!$B:$F,5,0),VLOOKUP(B23,'[3]тел(заем)'!$B:$D,3,0)),VLOOKUP(B23,'[3]тел(заем)'!$B:$F,5,0)),VLOOKUP(A23,'[3]тел(заем)'!$A:$F,6,0))&gt;0,IFERROR(IFERROR(IF(VLOOKUP(B23,'[3]тел(заем)'!$B:$F,5,0),VLOOKUP(B23,'[3]тел(заем)'!$B:$F,5,0),VLOOKUP(B23,'[3]тел(заем)'!$B:$D,3,0)),VLOOKUP(B23,'[3]тел(заем)'!$B:$F,5,0)),VLOOKUP(A23,'[3]тел(заем)'!$A:$F,6,0)),IF(VLOOKUP(A23,'[1]тел(заемРасш)'!$B:$G,6,0)&gt;0,VLOOKUP(A23,'[1]тел(заемРасш)'!$B:$G,6,0),VLOOKUP(A23,'[1]тел(заемРасш)'!$B:$F,5,0)))</f>
        <v>79684450505</v>
      </c>
      <c r="D23"/>
      <c r="E23" t="str">
        <f t="shared" si="0"/>
        <v>Ахмедхан Саидбекович</v>
      </c>
      <c r="F23" t="str">
        <f t="shared" si="1"/>
        <v>Ахмедхан</v>
      </c>
      <c r="G23" t="str">
        <f>IFERROR(VLOOKUP(LEFT(B23,10),'[3]тел(пор)'!$A:$C,3,0),"")</f>
        <v/>
      </c>
      <c r="H23" t="str">
        <f>IFERROR(VLOOKUP(LEFT(B23,10),'[3]тел(пор)'!$A:$B,2,0),"")</f>
        <v/>
      </c>
      <c r="I23" t="str">
        <f>IFERROR(IF(VLOOKUP(B23,оплата!A:A,1,0)&lt;&gt;1,"!Деньги!"),"")</f>
        <v/>
      </c>
      <c r="S23" t="str">
        <f>IFERROR(IF(VLOOKUP(MID(C23,2,3)+0,тесты!A:A,1,0),"мегафон"),"")</f>
        <v/>
      </c>
    </row>
    <row r="24" spans="1:19" x14ac:dyDescent="0.25">
      <c r="A24" t="s">
        <v>865</v>
      </c>
      <c r="B24" t="s">
        <v>866</v>
      </c>
      <c r="C24">
        <f>IF(IFERROR(IFERROR(IF(VLOOKUP(B24,'[3]тел(заем)'!$B:$F,5,0),VLOOKUP(B24,'[3]тел(заем)'!$B:$F,5,0),VLOOKUP(B24,'[3]тел(заем)'!$B:$D,3,0)),VLOOKUP(B24,'[3]тел(заем)'!$B:$F,5,0)),VLOOKUP(A24,'[3]тел(заем)'!$A:$F,6,0))&gt;0,IFERROR(IFERROR(IF(VLOOKUP(B24,'[3]тел(заем)'!$B:$F,5,0),VLOOKUP(B24,'[3]тел(заем)'!$B:$F,5,0),VLOOKUP(B24,'[3]тел(заем)'!$B:$D,3,0)),VLOOKUP(B24,'[3]тел(заем)'!$B:$F,5,0)),VLOOKUP(A24,'[3]тел(заем)'!$A:$F,6,0)),IF(VLOOKUP(A24,'[1]тел(заемРасш)'!$B:$G,6,0)&gt;0,VLOOKUP(A24,'[1]тел(заемРасш)'!$B:$G,6,0),VLOOKUP(A24,'[1]тел(заемРасш)'!$B:$F,5,0)))</f>
        <v>79258836928</v>
      </c>
      <c r="D24"/>
      <c r="E24" t="str">
        <f t="shared" si="0"/>
        <v>Татьяна Андреевна</v>
      </c>
      <c r="F24" t="str">
        <f t="shared" si="1"/>
        <v>Татьяна</v>
      </c>
      <c r="G24" t="str">
        <f>IFERROR(VLOOKUP(LEFT(B24,10),'[3]тел(пор)'!$A:$C,3,0),"")</f>
        <v/>
      </c>
      <c r="H24" t="str">
        <f>IFERROR(VLOOKUP(LEFT(B24,10),'[3]тел(пор)'!$A:$B,2,0),"")</f>
        <v/>
      </c>
      <c r="I24" t="str">
        <f>IFERROR(IF(VLOOKUP(B24,оплата!A:A,1,0)&lt;&gt;1,"!Деньги!"),"")</f>
        <v/>
      </c>
      <c r="S24" t="str">
        <f>IFERROR(IF(VLOOKUP(MID(C24,2,3)+0,тесты!A:A,1,0),"мегафон"),"")</f>
        <v>мегафон</v>
      </c>
    </row>
    <row r="25" spans="1:19" x14ac:dyDescent="0.25">
      <c r="A25" t="s">
        <v>867</v>
      </c>
      <c r="B25" t="s">
        <v>868</v>
      </c>
      <c r="C25">
        <f>IF(IFERROR(IFERROR(IF(VLOOKUP(B25,'[3]тел(заем)'!$B:$F,5,0),VLOOKUP(B25,'[3]тел(заем)'!$B:$F,5,0),VLOOKUP(B25,'[3]тел(заем)'!$B:$D,3,0)),VLOOKUP(B25,'[3]тел(заем)'!$B:$F,5,0)),VLOOKUP(A25,'[3]тел(заем)'!$A:$F,6,0))&gt;0,IFERROR(IFERROR(IF(VLOOKUP(B25,'[3]тел(заем)'!$B:$F,5,0),VLOOKUP(B25,'[3]тел(заем)'!$B:$F,5,0),VLOOKUP(B25,'[3]тел(заем)'!$B:$D,3,0)),VLOOKUP(B25,'[3]тел(заем)'!$B:$F,5,0)),VLOOKUP(A25,'[3]тел(заем)'!$A:$F,6,0)),IF(VLOOKUP(A25,'[1]тел(заемРасш)'!$B:$G,6,0)&gt;0,VLOOKUP(A25,'[1]тел(заемРасш)'!$B:$G,6,0),VLOOKUP(A25,'[1]тел(заемРасш)'!$B:$F,5,0)))</f>
        <v>79832020677</v>
      </c>
      <c r="D25"/>
      <c r="E25" t="str">
        <f t="shared" si="0"/>
        <v>Сергей Владимирович</v>
      </c>
      <c r="F25" t="str">
        <f t="shared" si="1"/>
        <v>Сергей</v>
      </c>
      <c r="G25" t="str">
        <f>IFERROR(VLOOKUP(LEFT(B25,10),'[3]тел(пор)'!$A:$C,3,0),"")</f>
        <v/>
      </c>
      <c r="H25" t="str">
        <f>IFERROR(VLOOKUP(LEFT(B25,10),'[3]тел(пор)'!$A:$B,2,0),"")</f>
        <v/>
      </c>
      <c r="I25" t="str">
        <f>IFERROR(IF(VLOOKUP(B25,оплата!A:A,1,0)&lt;&gt;1,"!Деньги!"),"")</f>
        <v/>
      </c>
      <c r="S25" t="str">
        <f>IFERROR(IF(VLOOKUP(MID(C25,2,3)+0,тесты!A:A,1,0),"мегафон"),"")</f>
        <v/>
      </c>
    </row>
    <row r="26" spans="1:19" x14ac:dyDescent="0.25">
      <c r="A26" t="s">
        <v>869</v>
      </c>
      <c r="B26" t="s">
        <v>870</v>
      </c>
      <c r="C26">
        <f>IF(IFERROR(IFERROR(IF(VLOOKUP(B26,'[3]тел(заем)'!$B:$F,5,0),VLOOKUP(B26,'[3]тел(заем)'!$B:$F,5,0),VLOOKUP(B26,'[3]тел(заем)'!$B:$D,3,0)),VLOOKUP(B26,'[3]тел(заем)'!$B:$F,5,0)),VLOOKUP(A26,'[3]тел(заем)'!$A:$F,6,0))&gt;0,IFERROR(IFERROR(IF(VLOOKUP(B26,'[3]тел(заем)'!$B:$F,5,0),VLOOKUP(B26,'[3]тел(заем)'!$B:$F,5,0),VLOOKUP(B26,'[3]тел(заем)'!$B:$D,3,0)),VLOOKUP(B26,'[3]тел(заем)'!$B:$F,5,0)),VLOOKUP(A26,'[3]тел(заем)'!$A:$F,6,0)),IF(VLOOKUP(A26,'[1]тел(заемРасш)'!$B:$G,6,0)&gt;0,VLOOKUP(A26,'[1]тел(заемРасш)'!$B:$G,6,0),VLOOKUP(A26,'[1]тел(заемРасш)'!$B:$F,5,0)))</f>
        <v>79636642614</v>
      </c>
      <c r="D26"/>
      <c r="E26" t="str">
        <f t="shared" si="0"/>
        <v>Василий Игоревич</v>
      </c>
      <c r="F26" t="str">
        <f t="shared" si="1"/>
        <v>Василий</v>
      </c>
      <c r="G26" t="str">
        <f>IFERROR(VLOOKUP(LEFT(B26,10),'[3]тел(пор)'!$A:$C,3,0),"")</f>
        <v/>
      </c>
      <c r="H26" t="str">
        <f>IFERROR(VLOOKUP(LEFT(B26,10),'[3]тел(пор)'!$A:$B,2,0),"")</f>
        <v/>
      </c>
      <c r="I26" t="str">
        <f>IFERROR(IF(VLOOKUP(B26,оплата!A:A,1,0)&lt;&gt;1,"!Деньги!"),"")</f>
        <v/>
      </c>
      <c r="S26" t="str">
        <f>IFERROR(IF(VLOOKUP(MID(C26,2,3)+0,тесты!A:A,1,0),"мегафон"),"")</f>
        <v/>
      </c>
    </row>
    <row r="27" spans="1:19" x14ac:dyDescent="0.25">
      <c r="A27" t="s">
        <v>440</v>
      </c>
      <c r="B27" t="s">
        <v>871</v>
      </c>
      <c r="C27">
        <f>IF(IFERROR(IFERROR(IF(VLOOKUP(B27,'[3]тел(заем)'!$B:$F,5,0),VLOOKUP(B27,'[3]тел(заем)'!$B:$F,5,0),VLOOKUP(B27,'[3]тел(заем)'!$B:$D,3,0)),VLOOKUP(B27,'[3]тел(заем)'!$B:$F,5,0)),VLOOKUP(A27,'[3]тел(заем)'!$A:$F,6,0))&gt;0,IFERROR(IFERROR(IF(VLOOKUP(B27,'[3]тел(заем)'!$B:$F,5,0),VLOOKUP(B27,'[3]тел(заем)'!$B:$F,5,0),VLOOKUP(B27,'[3]тел(заем)'!$B:$D,3,0)),VLOOKUP(B27,'[3]тел(заем)'!$B:$F,5,0)),VLOOKUP(A27,'[3]тел(заем)'!$A:$F,6,0)),IF(VLOOKUP(A27,'[1]тел(заемРасш)'!$B:$G,6,0)&gt;0,VLOOKUP(A27,'[1]тел(заемРасш)'!$B:$G,6,0),VLOOKUP(A27,'[1]тел(заемРасш)'!$B:$F,5,0)))</f>
        <v>79855645225</v>
      </c>
      <c r="D27"/>
      <c r="E27" t="str">
        <f t="shared" si="0"/>
        <v>Шахлохон Раимжановна</v>
      </c>
      <c r="F27" t="str">
        <f t="shared" si="1"/>
        <v>Шахлохон</v>
      </c>
      <c r="G27" t="str">
        <f>IFERROR(VLOOKUP(LEFT(B27,10),'[3]тел(пор)'!$A:$C,3,0),"")</f>
        <v/>
      </c>
      <c r="H27" t="str">
        <f>IFERROR(VLOOKUP(LEFT(B27,10),'[3]тел(пор)'!$A:$B,2,0),"")</f>
        <v/>
      </c>
      <c r="I27" t="str">
        <f>IFERROR(IF(VLOOKUP(B27,оплата!A:A,1,0)&lt;&gt;1,"!Деньги!"),"")</f>
        <v/>
      </c>
      <c r="S27" t="str">
        <f>IFERROR(IF(VLOOKUP(MID(C27,2,3)+0,тесты!A:A,1,0),"мегафон"),"")</f>
        <v/>
      </c>
    </row>
    <row r="28" spans="1:19" x14ac:dyDescent="0.25">
      <c r="A28" t="s">
        <v>872</v>
      </c>
      <c r="B28" t="s">
        <v>873</v>
      </c>
      <c r="C28">
        <f>IF(IFERROR(IFERROR(IF(VLOOKUP(B28,'[3]тел(заем)'!$B:$F,5,0),VLOOKUP(B28,'[3]тел(заем)'!$B:$F,5,0),VLOOKUP(B28,'[3]тел(заем)'!$B:$D,3,0)),VLOOKUP(B28,'[3]тел(заем)'!$B:$F,5,0)),VLOOKUP(A28,'[3]тел(заем)'!$A:$F,6,0))&gt;0,IFERROR(IFERROR(IF(VLOOKUP(B28,'[3]тел(заем)'!$B:$F,5,0),VLOOKUP(B28,'[3]тел(заем)'!$B:$F,5,0),VLOOKUP(B28,'[3]тел(заем)'!$B:$D,3,0)),VLOOKUP(B28,'[3]тел(заем)'!$B:$F,5,0)),VLOOKUP(A28,'[3]тел(заем)'!$A:$F,6,0)),IF(VLOOKUP(A28,'[1]тел(заемРасш)'!$B:$G,6,0)&gt;0,VLOOKUP(A28,'[1]тел(заемРасш)'!$B:$G,6,0),VLOOKUP(A28,'[1]тел(заемРасш)'!$B:$F,5,0)))</f>
        <v>79104401148</v>
      </c>
      <c r="D28"/>
      <c r="E28" t="str">
        <f t="shared" si="0"/>
        <v>Андрей Анатольевич</v>
      </c>
      <c r="F28" t="str">
        <f t="shared" si="1"/>
        <v>Андрей</v>
      </c>
      <c r="G28" t="str">
        <f>IFERROR(VLOOKUP(LEFT(B28,10),'[3]тел(пор)'!$A:$C,3,0),"")</f>
        <v/>
      </c>
      <c r="H28" t="str">
        <f>IFERROR(VLOOKUP(LEFT(B28,10),'[3]тел(пор)'!$A:$B,2,0),"")</f>
        <v/>
      </c>
      <c r="I28" t="str">
        <f>IFERROR(IF(VLOOKUP(B28,оплата!A:A,1,0)&lt;&gt;1,"!Деньги!"),"")</f>
        <v/>
      </c>
      <c r="S28" t="str">
        <f>IFERROR(IF(VLOOKUP(MID(C28,2,3)+0,тесты!A:A,1,0),"мегафон"),"")</f>
        <v/>
      </c>
    </row>
    <row r="29" spans="1:19" x14ac:dyDescent="0.25">
      <c r="A29" t="s">
        <v>874</v>
      </c>
      <c r="B29" t="s">
        <v>875</v>
      </c>
      <c r="C29">
        <f>IF(IFERROR(IFERROR(IF(VLOOKUP(B29,'[3]тел(заем)'!$B:$F,5,0),VLOOKUP(B29,'[3]тел(заем)'!$B:$F,5,0),VLOOKUP(B29,'[3]тел(заем)'!$B:$D,3,0)),VLOOKUP(B29,'[3]тел(заем)'!$B:$F,5,0)),VLOOKUP(A29,'[3]тел(заем)'!$A:$F,6,0))&gt;0,IFERROR(IFERROR(IF(VLOOKUP(B29,'[3]тел(заем)'!$B:$F,5,0),VLOOKUP(B29,'[3]тел(заем)'!$B:$F,5,0),VLOOKUP(B29,'[3]тел(заем)'!$B:$D,3,0)),VLOOKUP(B29,'[3]тел(заем)'!$B:$F,5,0)),VLOOKUP(A29,'[3]тел(заем)'!$A:$F,6,0)),IF(VLOOKUP(A29,'[1]тел(заемРасш)'!$B:$G,6,0)&gt;0,VLOOKUP(A29,'[1]тел(заемРасш)'!$B:$G,6,0),VLOOKUP(A29,'[1]тел(заемРасш)'!$B:$F,5,0)))</f>
        <v>79859500766</v>
      </c>
      <c r="D29"/>
      <c r="E29" t="str">
        <f t="shared" si="0"/>
        <v>Анна Сергеевна</v>
      </c>
      <c r="F29" t="str">
        <f t="shared" si="1"/>
        <v>Анна</v>
      </c>
      <c r="G29" t="str">
        <f>IFERROR(VLOOKUP(LEFT(B29,10),'[3]тел(пор)'!$A:$C,3,0),"")</f>
        <v/>
      </c>
      <c r="H29" t="str">
        <f>IFERROR(VLOOKUP(LEFT(B29,10),'[3]тел(пор)'!$A:$B,2,0),"")</f>
        <v/>
      </c>
      <c r="I29" t="str">
        <f>IFERROR(IF(VLOOKUP(B29,оплата!A:A,1,0)&lt;&gt;1,"!Деньги!"),"")</f>
        <v/>
      </c>
      <c r="S29" t="str">
        <f>IFERROR(IF(VLOOKUP(MID(C29,2,3)+0,тесты!A:A,1,0),"мегафон"),"")</f>
        <v/>
      </c>
    </row>
    <row r="30" spans="1:19" x14ac:dyDescent="0.25">
      <c r="A30" t="s">
        <v>749</v>
      </c>
      <c r="B30" t="s">
        <v>876</v>
      </c>
      <c r="C30">
        <f>IF(IFERROR(IFERROR(IF(VLOOKUP(B30,'[3]тел(заем)'!$B:$F,5,0),VLOOKUP(B30,'[3]тел(заем)'!$B:$F,5,0),VLOOKUP(B30,'[3]тел(заем)'!$B:$D,3,0)),VLOOKUP(B30,'[3]тел(заем)'!$B:$F,5,0)),VLOOKUP(A30,'[3]тел(заем)'!$A:$F,6,0))&gt;0,IFERROR(IFERROR(IF(VLOOKUP(B30,'[3]тел(заем)'!$B:$F,5,0),VLOOKUP(B30,'[3]тел(заем)'!$B:$F,5,0),VLOOKUP(B30,'[3]тел(заем)'!$B:$D,3,0)),VLOOKUP(B30,'[3]тел(заем)'!$B:$F,5,0)),VLOOKUP(A30,'[3]тел(заем)'!$A:$F,6,0)),IF(VLOOKUP(A30,'[1]тел(заемРасш)'!$B:$G,6,0)&gt;0,VLOOKUP(A30,'[1]тел(заемРасш)'!$B:$G,6,0),VLOOKUP(A30,'[1]тел(заемРасш)'!$B:$F,5,0)))</f>
        <v>79015017090</v>
      </c>
      <c r="D30"/>
      <c r="E30" t="str">
        <f t="shared" si="0"/>
        <v>Тигран Агванович</v>
      </c>
      <c r="F30" t="str">
        <f t="shared" si="1"/>
        <v>Тигран</v>
      </c>
      <c r="G30" t="str">
        <f>IFERROR(VLOOKUP(LEFT(B30,10),'[3]тел(пор)'!$A:$C,3,0),"")</f>
        <v/>
      </c>
      <c r="H30" t="str">
        <f>IFERROR(VLOOKUP(LEFT(B30,10),'[3]тел(пор)'!$A:$B,2,0),"")</f>
        <v/>
      </c>
      <c r="I30" t="str">
        <f>IFERROR(IF(VLOOKUP(B30,оплата!A:A,1,0)&lt;&gt;1,"!Деньги!"),"")</f>
        <v/>
      </c>
      <c r="S30" t="str">
        <f>IFERROR(IF(VLOOKUP(MID(C30,2,3)+0,тесты!A:A,1,0),"мегафон"),"")</f>
        <v/>
      </c>
    </row>
    <row r="31" spans="1:19" x14ac:dyDescent="0.25">
      <c r="A31" t="s">
        <v>725</v>
      </c>
      <c r="B31" t="s">
        <v>877</v>
      </c>
      <c r="C31">
        <f>IF(IFERROR(IFERROR(IF(VLOOKUP(B31,'[3]тел(заем)'!$B:$F,5,0),VLOOKUP(B31,'[3]тел(заем)'!$B:$F,5,0),VLOOKUP(B31,'[3]тел(заем)'!$B:$D,3,0)),VLOOKUP(B31,'[3]тел(заем)'!$B:$F,5,0)),VLOOKUP(A31,'[3]тел(заем)'!$A:$F,6,0))&gt;0,IFERROR(IFERROR(IF(VLOOKUP(B31,'[3]тел(заем)'!$B:$F,5,0),VLOOKUP(B31,'[3]тел(заем)'!$B:$F,5,0),VLOOKUP(B31,'[3]тел(заем)'!$B:$D,3,0)),VLOOKUP(B31,'[3]тел(заем)'!$B:$F,5,0)),VLOOKUP(A31,'[3]тел(заем)'!$A:$F,6,0)),IF(VLOOKUP(A31,'[1]тел(заемРасш)'!$B:$G,6,0)&gt;0,VLOOKUP(A31,'[1]тел(заемРасш)'!$B:$G,6,0),VLOOKUP(A31,'[1]тел(заемРасш)'!$B:$F,5,0)))</f>
        <v>79184991950</v>
      </c>
      <c r="D31"/>
      <c r="E31" t="str">
        <f t="shared" si="0"/>
        <v>Валерий Владиславович</v>
      </c>
      <c r="F31" t="str">
        <f t="shared" si="1"/>
        <v>Валерий</v>
      </c>
      <c r="G31" t="str">
        <f>IFERROR(VLOOKUP(LEFT(B31,10),'[3]тел(пор)'!$A:$C,3,0),"")</f>
        <v/>
      </c>
      <c r="H31" t="str">
        <f>IFERROR(VLOOKUP(LEFT(B31,10),'[3]тел(пор)'!$A:$B,2,0),"")</f>
        <v/>
      </c>
      <c r="I31" t="str">
        <f>IFERROR(IF(VLOOKUP(B31,оплата!A:A,1,0)&lt;&gt;1,"!Деньги!"),"")</f>
        <v/>
      </c>
      <c r="S31" t="str">
        <f>IFERROR(IF(VLOOKUP(MID(C31,2,3)+0,тесты!A:A,1,0),"мегафон"),"")</f>
        <v/>
      </c>
    </row>
    <row r="32" spans="1:19" x14ac:dyDescent="0.25">
      <c r="A32" t="s">
        <v>878</v>
      </c>
      <c r="B32" t="s">
        <v>879</v>
      </c>
      <c r="C32">
        <f>IF(IFERROR(IFERROR(IF(VLOOKUP(B32,'[3]тел(заем)'!$B:$F,5,0),VLOOKUP(B32,'[3]тел(заем)'!$B:$F,5,0),VLOOKUP(B32,'[3]тел(заем)'!$B:$D,3,0)),VLOOKUP(B32,'[3]тел(заем)'!$B:$F,5,0)),VLOOKUP(A32,'[3]тел(заем)'!$A:$F,6,0))&gt;0,IFERROR(IFERROR(IF(VLOOKUP(B32,'[3]тел(заем)'!$B:$F,5,0),VLOOKUP(B32,'[3]тел(заем)'!$B:$F,5,0),VLOOKUP(B32,'[3]тел(заем)'!$B:$D,3,0)),VLOOKUP(B32,'[3]тел(заем)'!$B:$F,5,0)),VLOOKUP(A32,'[3]тел(заем)'!$A:$F,6,0)),IF(VLOOKUP(A32,'[1]тел(заемРасш)'!$B:$G,6,0)&gt;0,VLOOKUP(A32,'[1]тел(заемРасш)'!$B:$G,6,0),VLOOKUP(A32,'[1]тел(заемРасш)'!$B:$F,5,0)))</f>
        <v>79219073237</v>
      </c>
      <c r="D32"/>
      <c r="E32" t="str">
        <f t="shared" si="0"/>
        <v>Натиг Байрам Оглы</v>
      </c>
      <c r="F32" t="str">
        <f t="shared" si="1"/>
        <v>Натиг</v>
      </c>
      <c r="G32" t="str">
        <f>IFERROR(VLOOKUP(LEFT(B32,10),'[3]тел(пор)'!$A:$C,3,0),"")</f>
        <v/>
      </c>
      <c r="H32" t="str">
        <f>IFERROR(VLOOKUP(LEFT(B32,10),'[3]тел(пор)'!$A:$B,2,0),"")</f>
        <v/>
      </c>
      <c r="I32" t="str">
        <f>IFERROR(IF(VLOOKUP(B32,оплата!A:A,1,0)&lt;&gt;1,"!Деньги!"),"")</f>
        <v/>
      </c>
      <c r="S32" t="str">
        <f>IFERROR(IF(VLOOKUP(MID(C32,2,3)+0,тесты!A:A,1,0),"мегафон"),"")</f>
        <v>мегафон</v>
      </c>
    </row>
    <row r="33" spans="1:19" x14ac:dyDescent="0.25">
      <c r="A33" t="s">
        <v>778</v>
      </c>
      <c r="B33" t="s">
        <v>880</v>
      </c>
      <c r="C33">
        <f>IF(IFERROR(IFERROR(IF(VLOOKUP(B33,'[3]тел(заем)'!$B:$F,5,0),VLOOKUP(B33,'[3]тел(заем)'!$B:$F,5,0),VLOOKUP(B33,'[3]тел(заем)'!$B:$D,3,0)),VLOOKUP(B33,'[3]тел(заем)'!$B:$F,5,0)),VLOOKUP(A33,'[3]тел(заем)'!$A:$F,6,0))&gt;0,IFERROR(IFERROR(IF(VLOOKUP(B33,'[3]тел(заем)'!$B:$F,5,0),VLOOKUP(B33,'[3]тел(заем)'!$B:$F,5,0),VLOOKUP(B33,'[3]тел(заем)'!$B:$D,3,0)),VLOOKUP(B33,'[3]тел(заем)'!$B:$F,5,0)),VLOOKUP(A33,'[3]тел(заем)'!$A:$F,6,0)),IF(VLOOKUP(A33,'[1]тел(заемРасш)'!$B:$G,6,0)&gt;0,VLOOKUP(A33,'[1]тел(заемРасш)'!$B:$G,6,0),VLOOKUP(A33,'[1]тел(заемРасш)'!$B:$F,5,0)))</f>
        <v>79036798811</v>
      </c>
      <c r="D33"/>
      <c r="E33" t="str">
        <f t="shared" si="0"/>
        <v>Всеволод Владимирович</v>
      </c>
      <c r="F33" t="str">
        <f t="shared" si="1"/>
        <v>Всеволод</v>
      </c>
      <c r="G33" t="str">
        <f>IFERROR(VLOOKUP(LEFT(B33,10),'[3]тел(пор)'!$A:$C,3,0),"")</f>
        <v/>
      </c>
      <c r="H33" t="str">
        <f>IFERROR(VLOOKUP(LEFT(B33,10),'[3]тел(пор)'!$A:$B,2,0),"")</f>
        <v/>
      </c>
      <c r="I33" t="str">
        <f>IFERROR(IF(VLOOKUP(B33,оплата!A:A,1,0)&lt;&gt;1,"!Деньги!"),"")</f>
        <v/>
      </c>
      <c r="S33" t="str">
        <f>IFERROR(IF(VLOOKUP(MID(C33,2,3)+0,тесты!A:A,1,0),"мегафон"),"")</f>
        <v/>
      </c>
    </row>
    <row r="34" spans="1:19" x14ac:dyDescent="0.25">
      <c r="A34" t="s">
        <v>881</v>
      </c>
      <c r="B34" t="s">
        <v>882</v>
      </c>
      <c r="C34">
        <f>IF(IFERROR(IFERROR(IF(VLOOKUP(B34,'[3]тел(заем)'!$B:$F,5,0),VLOOKUP(B34,'[3]тел(заем)'!$B:$F,5,0),VLOOKUP(B34,'[3]тел(заем)'!$B:$D,3,0)),VLOOKUP(B34,'[3]тел(заем)'!$B:$F,5,0)),VLOOKUP(A34,'[3]тел(заем)'!$A:$F,6,0))&gt;0,IFERROR(IFERROR(IF(VLOOKUP(B34,'[3]тел(заем)'!$B:$F,5,0),VLOOKUP(B34,'[3]тел(заем)'!$B:$F,5,0),VLOOKUP(B34,'[3]тел(заем)'!$B:$D,3,0)),VLOOKUP(B34,'[3]тел(заем)'!$B:$F,5,0)),VLOOKUP(A34,'[3]тел(заем)'!$A:$F,6,0)),IF(VLOOKUP(A34,'[1]тел(заемРасш)'!$B:$G,6,0)&gt;0,VLOOKUP(A34,'[1]тел(заемРасш)'!$B:$G,6,0),VLOOKUP(A34,'[1]тел(заемРасш)'!$B:$F,5,0)))</f>
        <v>79154745516</v>
      </c>
      <c r="D34"/>
      <c r="E34" t="str">
        <f t="shared" si="0"/>
        <v>Иван Алексеевич</v>
      </c>
      <c r="F34" t="str">
        <f t="shared" si="1"/>
        <v>Иван</v>
      </c>
      <c r="G34" t="str">
        <f>IFERROR(VLOOKUP(LEFT(B34,10),'[3]тел(пор)'!$A:$C,3,0),"")</f>
        <v/>
      </c>
      <c r="H34" t="str">
        <f>IFERROR(VLOOKUP(LEFT(B34,10),'[3]тел(пор)'!$A:$B,2,0),"")</f>
        <v/>
      </c>
      <c r="I34" t="str">
        <f>IFERROR(IF(VLOOKUP(B34,оплата!A:A,1,0)&lt;&gt;1,"!Деньги!"),"")</f>
        <v/>
      </c>
      <c r="S34" t="str">
        <f>IFERROR(IF(VLOOKUP(MID(C34,2,3)+0,тесты!A:A,1,0),"мегафон"),"")</f>
        <v/>
      </c>
    </row>
    <row r="35" spans="1:19" x14ac:dyDescent="0.25">
      <c r="A35" t="s">
        <v>850</v>
      </c>
      <c r="B35" t="s">
        <v>883</v>
      </c>
      <c r="C35">
        <f>IF(IFERROR(IFERROR(IF(VLOOKUP(B35,'[3]тел(заем)'!$B:$F,5,0),VLOOKUP(B35,'[3]тел(заем)'!$B:$F,5,0),VLOOKUP(B35,'[3]тел(заем)'!$B:$D,3,0)),VLOOKUP(B35,'[3]тел(заем)'!$B:$F,5,0)),VLOOKUP(A35,'[3]тел(заем)'!$A:$F,6,0))&gt;0,IFERROR(IFERROR(IF(VLOOKUP(B35,'[3]тел(заем)'!$B:$F,5,0),VLOOKUP(B35,'[3]тел(заем)'!$B:$F,5,0),VLOOKUP(B35,'[3]тел(заем)'!$B:$D,3,0)),VLOOKUP(B35,'[3]тел(заем)'!$B:$F,5,0)),VLOOKUP(A35,'[3]тел(заем)'!$A:$F,6,0)),IF(VLOOKUP(A35,'[1]тел(заемРасш)'!$B:$G,6,0)&gt;0,VLOOKUP(A35,'[1]тел(заемРасш)'!$B:$G,6,0),VLOOKUP(A35,'[1]тел(заемРасш)'!$B:$F,5,0)))</f>
        <v>79155979456</v>
      </c>
      <c r="D35"/>
      <c r="E35" t="str">
        <f t="shared" si="0"/>
        <v>Владимир Владимирович</v>
      </c>
      <c r="F35" t="str">
        <f t="shared" si="1"/>
        <v>Владимир</v>
      </c>
      <c r="G35" t="str">
        <f>IFERROR(VLOOKUP(LEFT(B35,10),'[3]тел(пор)'!$A:$C,3,0),"")</f>
        <v/>
      </c>
      <c r="H35" t="str">
        <f>IFERROR(VLOOKUP(LEFT(B35,10),'[3]тел(пор)'!$A:$B,2,0),"")</f>
        <v/>
      </c>
      <c r="I35" t="str">
        <f>IFERROR(IF(VLOOKUP(B35,оплата!A:A,1,0)&lt;&gt;1,"!Деньги!"),"")</f>
        <v/>
      </c>
      <c r="S35" t="str">
        <f>IFERROR(IF(VLOOKUP(MID(C35,2,3)+0,тесты!A:A,1,0),"мегафон"),"")</f>
        <v/>
      </c>
    </row>
    <row r="36" spans="1:19" x14ac:dyDescent="0.25">
      <c r="A36" t="s">
        <v>884</v>
      </c>
      <c r="B36" t="s">
        <v>885</v>
      </c>
      <c r="C36">
        <f>IF(IFERROR(IFERROR(IF(VLOOKUP(B36,'[3]тел(заем)'!$B:$F,5,0),VLOOKUP(B36,'[3]тел(заем)'!$B:$F,5,0),VLOOKUP(B36,'[3]тел(заем)'!$B:$D,3,0)),VLOOKUP(B36,'[3]тел(заем)'!$B:$F,5,0)),VLOOKUP(A36,'[3]тел(заем)'!$A:$F,6,0))&gt;0,IFERROR(IFERROR(IF(VLOOKUP(B36,'[3]тел(заем)'!$B:$F,5,0),VLOOKUP(B36,'[3]тел(заем)'!$B:$F,5,0),VLOOKUP(B36,'[3]тел(заем)'!$B:$D,3,0)),VLOOKUP(B36,'[3]тел(заем)'!$B:$F,5,0)),VLOOKUP(A36,'[3]тел(заем)'!$A:$F,6,0)),IF(VLOOKUP(A36,'[1]тел(заемРасш)'!$B:$G,6,0)&gt;0,VLOOKUP(A36,'[1]тел(заемРасш)'!$B:$G,6,0),VLOOKUP(A36,'[1]тел(заемРасш)'!$B:$F,5,0)))</f>
        <v>79204054175</v>
      </c>
      <c r="D36"/>
      <c r="E36" t="str">
        <f t="shared" si="0"/>
        <v>Ольга Владимировна</v>
      </c>
      <c r="F36" t="str">
        <f t="shared" si="1"/>
        <v>Ольга</v>
      </c>
      <c r="G36" t="str">
        <f>IFERROR(VLOOKUP(LEFT(B36,10),'[3]тел(пор)'!$A:$C,3,0),"")</f>
        <v/>
      </c>
      <c r="H36" t="str">
        <f>IFERROR(VLOOKUP(LEFT(B36,10),'[3]тел(пор)'!$A:$B,2,0),"")</f>
        <v/>
      </c>
      <c r="I36" t="str">
        <f>IFERROR(IF(VLOOKUP(B36,оплата!A:A,1,0)&lt;&gt;1,"!Деньги!"),"")</f>
        <v/>
      </c>
      <c r="S36" t="str">
        <f>IFERROR(IF(VLOOKUP(MID(C36,2,3)+0,тесты!A:A,1,0),"мегафон"),"")</f>
        <v>мегафон</v>
      </c>
    </row>
    <row r="37" spans="1:19" x14ac:dyDescent="0.25">
      <c r="A37" t="s">
        <v>886</v>
      </c>
      <c r="B37" t="s">
        <v>887</v>
      </c>
      <c r="C37">
        <f>IF(IFERROR(IFERROR(IF(VLOOKUP(B37,'[3]тел(заем)'!$B:$F,5,0),VLOOKUP(B37,'[3]тел(заем)'!$B:$F,5,0),VLOOKUP(B37,'[3]тел(заем)'!$B:$D,3,0)),VLOOKUP(B37,'[3]тел(заем)'!$B:$F,5,0)),VLOOKUP(A37,'[3]тел(заем)'!$A:$F,6,0))&gt;0,IFERROR(IFERROR(IF(VLOOKUP(B37,'[3]тел(заем)'!$B:$F,5,0),VLOOKUP(B37,'[3]тел(заем)'!$B:$F,5,0),VLOOKUP(B37,'[3]тел(заем)'!$B:$D,3,0)),VLOOKUP(B37,'[3]тел(заем)'!$B:$F,5,0)),VLOOKUP(A37,'[3]тел(заем)'!$A:$F,6,0)),IF(VLOOKUP(A37,'[1]тел(заемРасш)'!$B:$G,6,0)&gt;0,VLOOKUP(A37,'[1]тел(заемРасш)'!$B:$G,6,0),VLOOKUP(A37,'[1]тел(заемРасш)'!$B:$F,5,0)))</f>
        <v>79779070919</v>
      </c>
      <c r="D37"/>
      <c r="E37" t="str">
        <f t="shared" si="0"/>
        <v>Хачик Норайрович</v>
      </c>
      <c r="F37" t="str">
        <f t="shared" si="1"/>
        <v>Хачик</v>
      </c>
      <c r="G37" t="str">
        <f>IFERROR(VLOOKUP(LEFT(B37,10),'[3]тел(пор)'!$A:$C,3,0),"")</f>
        <v/>
      </c>
      <c r="H37" t="str">
        <f>IFERROR(VLOOKUP(LEFT(B37,10),'[3]тел(пор)'!$A:$B,2,0),"")</f>
        <v/>
      </c>
      <c r="I37" t="str">
        <f>IFERROR(IF(VLOOKUP(B37,оплата!A:A,1,0)&lt;&gt;1,"!Деньги!"),"")</f>
        <v/>
      </c>
      <c r="S37" t="str">
        <f>IFERROR(IF(VLOOKUP(MID(C37,2,3)+0,тесты!A:A,1,0),"мегафон"),"")</f>
        <v/>
      </c>
    </row>
    <row r="38" spans="1:19" x14ac:dyDescent="0.25">
      <c r="A38" t="s">
        <v>888</v>
      </c>
      <c r="B38" t="s">
        <v>889</v>
      </c>
      <c r="C38">
        <f>IF(IFERROR(IFERROR(IF(VLOOKUP(B38,'[3]тел(заем)'!$B:$F,5,0),VLOOKUP(B38,'[3]тел(заем)'!$B:$F,5,0),VLOOKUP(B38,'[3]тел(заем)'!$B:$D,3,0)),VLOOKUP(B38,'[3]тел(заем)'!$B:$F,5,0)),VLOOKUP(A38,'[3]тел(заем)'!$A:$F,6,0))&gt;0,IFERROR(IFERROR(IF(VLOOKUP(B38,'[3]тел(заем)'!$B:$F,5,0),VLOOKUP(B38,'[3]тел(заем)'!$B:$F,5,0),VLOOKUP(B38,'[3]тел(заем)'!$B:$D,3,0)),VLOOKUP(B38,'[3]тел(заем)'!$B:$F,5,0)),VLOOKUP(A38,'[3]тел(заем)'!$A:$F,6,0)),IF(VLOOKUP(A38,'[1]тел(заемРасш)'!$B:$G,6,0)&gt;0,VLOOKUP(A38,'[1]тел(заемРасш)'!$B:$G,6,0),VLOOKUP(A38,'[1]тел(заемРасш)'!$B:$F,5,0)))</f>
        <v>79110379585</v>
      </c>
      <c r="D38"/>
      <c r="E38" t="str">
        <f t="shared" si="0"/>
        <v>Владимир Левонович</v>
      </c>
      <c r="F38" t="str">
        <f t="shared" si="1"/>
        <v>Владимир</v>
      </c>
      <c r="G38" t="str">
        <f>IFERROR(VLOOKUP(LEFT(B38,10),'[3]тел(пор)'!$A:$C,3,0),"")</f>
        <v/>
      </c>
      <c r="H38" t="str">
        <f>IFERROR(VLOOKUP(LEFT(B38,10),'[3]тел(пор)'!$A:$B,2,0),"")</f>
        <v/>
      </c>
      <c r="I38" t="str">
        <f>IFERROR(IF(VLOOKUP(B38,оплата!A:A,1,0)&lt;&gt;1,"!Деньги!"),"")</f>
        <v/>
      </c>
      <c r="S38" t="str">
        <f>IFERROR(IF(VLOOKUP(MID(C38,2,3)+0,тесты!A:A,1,0),"мегафон"),"")</f>
        <v/>
      </c>
    </row>
    <row r="39" spans="1:19" x14ac:dyDescent="0.25">
      <c r="A39" t="s">
        <v>890</v>
      </c>
      <c r="B39" t="s">
        <v>891</v>
      </c>
      <c r="C39">
        <f>IF(IFERROR(IFERROR(IF(VLOOKUP(B39,'[3]тел(заем)'!$B:$F,5,0),VLOOKUP(B39,'[3]тел(заем)'!$B:$F,5,0),VLOOKUP(B39,'[3]тел(заем)'!$B:$D,3,0)),VLOOKUP(B39,'[3]тел(заем)'!$B:$F,5,0)),VLOOKUP(A39,'[3]тел(заем)'!$A:$F,6,0))&gt;0,IFERROR(IFERROR(IF(VLOOKUP(B39,'[3]тел(заем)'!$B:$F,5,0),VLOOKUP(B39,'[3]тел(заем)'!$B:$F,5,0),VLOOKUP(B39,'[3]тел(заем)'!$B:$D,3,0)),VLOOKUP(B39,'[3]тел(заем)'!$B:$F,5,0)),VLOOKUP(A39,'[3]тел(заем)'!$A:$F,6,0)),IF(VLOOKUP(A39,'[1]тел(заемРасш)'!$B:$G,6,0)&gt;0,VLOOKUP(A39,'[1]тел(заемРасш)'!$B:$G,6,0),VLOOKUP(A39,'[1]тел(заемРасш)'!$B:$F,5,0)))</f>
        <v>79255497874</v>
      </c>
      <c r="D39"/>
      <c r="E39" t="str">
        <f t="shared" si="0"/>
        <v>Светлана Евгеньевна</v>
      </c>
      <c r="F39" t="str">
        <f t="shared" si="1"/>
        <v>Светлана</v>
      </c>
      <c r="G39" t="str">
        <f>IFERROR(VLOOKUP(LEFT(B39,10),'[3]тел(пор)'!$A:$C,3,0),"")</f>
        <v/>
      </c>
      <c r="H39" t="str">
        <f>IFERROR(VLOOKUP(LEFT(B39,10),'[3]тел(пор)'!$A:$B,2,0),"")</f>
        <v/>
      </c>
      <c r="I39" t="str">
        <f>IFERROR(IF(VLOOKUP(B39,оплата!A:A,1,0)&lt;&gt;1,"!Деньги!"),"")</f>
        <v/>
      </c>
      <c r="S39" t="str">
        <f>IFERROR(IF(VLOOKUP(MID(C39,2,3)+0,тесты!A:A,1,0),"мегафон"),"")</f>
        <v>мегафон</v>
      </c>
    </row>
    <row r="40" spans="1:19" x14ac:dyDescent="0.25">
      <c r="A40" t="s">
        <v>892</v>
      </c>
      <c r="B40" t="s">
        <v>893</v>
      </c>
      <c r="C40">
        <f>IF(IFERROR(IFERROR(IF(VLOOKUP(B40,'[3]тел(заем)'!$B:$F,5,0),VLOOKUP(B40,'[3]тел(заем)'!$B:$F,5,0),VLOOKUP(B40,'[3]тел(заем)'!$B:$D,3,0)),VLOOKUP(B40,'[3]тел(заем)'!$B:$F,5,0)),VLOOKUP(A40,'[3]тел(заем)'!$A:$F,6,0))&gt;0,IFERROR(IFERROR(IF(VLOOKUP(B40,'[3]тел(заем)'!$B:$F,5,0),VLOOKUP(B40,'[3]тел(заем)'!$B:$F,5,0),VLOOKUP(B40,'[3]тел(заем)'!$B:$D,3,0)),VLOOKUP(B40,'[3]тел(заем)'!$B:$F,5,0)),VLOOKUP(A40,'[3]тел(заем)'!$A:$F,6,0)),IF(VLOOKUP(A40,'[1]тел(заемРасш)'!$B:$G,6,0)&gt;0,VLOOKUP(A40,'[1]тел(заемРасш)'!$B:$G,6,0),VLOOKUP(A40,'[1]тел(заемРасш)'!$B:$F,5,0)))</f>
        <v>79160973836</v>
      </c>
      <c r="D40"/>
      <c r="E40" t="str">
        <f t="shared" si="0"/>
        <v>Екатерина Николаевна</v>
      </c>
      <c r="F40" t="str">
        <f t="shared" si="1"/>
        <v>Екатерина</v>
      </c>
      <c r="G40" t="str">
        <f>IFERROR(VLOOKUP(LEFT(B40,10),'[3]тел(пор)'!$A:$C,3,0),"")</f>
        <v/>
      </c>
      <c r="H40" t="str">
        <f>IFERROR(VLOOKUP(LEFT(B40,10),'[3]тел(пор)'!$A:$B,2,0),"")</f>
        <v/>
      </c>
      <c r="I40" t="str">
        <f>IFERROR(IF(VLOOKUP(B40,оплата!A:A,1,0)&lt;&gt;1,"!Деньги!"),"")</f>
        <v/>
      </c>
      <c r="S40" t="str">
        <f>IFERROR(IF(VLOOKUP(MID(C40,2,3)+0,тесты!A:A,1,0),"мегафон"),"")</f>
        <v/>
      </c>
    </row>
    <row r="41" spans="1:19" x14ac:dyDescent="0.25">
      <c r="D41"/>
    </row>
    <row r="42" spans="1:19" x14ac:dyDescent="0.25">
      <c r="D42"/>
    </row>
    <row r="43" spans="1:19" x14ac:dyDescent="0.25">
      <c r="D43"/>
    </row>
    <row r="44" spans="1:19" x14ac:dyDescent="0.25">
      <c r="D44"/>
    </row>
    <row r="45" spans="1:19" x14ac:dyDescent="0.25">
      <c r="D45"/>
    </row>
    <row r="46" spans="1:19" x14ac:dyDescent="0.25">
      <c r="D46"/>
    </row>
    <row r="47" spans="1:19" x14ac:dyDescent="0.25">
      <c r="D47"/>
    </row>
    <row r="48" spans="1:19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  <row r="147" spans="4:4" x14ac:dyDescent="0.25">
      <c r="D147"/>
    </row>
    <row r="148" spans="4:4" x14ac:dyDescent="0.25">
      <c r="D148"/>
    </row>
    <row r="149" spans="4:4" x14ac:dyDescent="0.25">
      <c r="D149"/>
    </row>
    <row r="150" spans="4:4" x14ac:dyDescent="0.25">
      <c r="D150"/>
    </row>
    <row r="151" spans="4:4" x14ac:dyDescent="0.25">
      <c r="D151"/>
    </row>
    <row r="152" spans="4:4" x14ac:dyDescent="0.25">
      <c r="D152"/>
    </row>
    <row r="153" spans="4:4" x14ac:dyDescent="0.25">
      <c r="D153"/>
    </row>
    <row r="154" spans="4:4" x14ac:dyDescent="0.25">
      <c r="D154"/>
    </row>
    <row r="155" spans="4:4" x14ac:dyDescent="0.25">
      <c r="D155"/>
    </row>
    <row r="156" spans="4:4" x14ac:dyDescent="0.25">
      <c r="D156"/>
    </row>
    <row r="157" spans="4:4" x14ac:dyDescent="0.25">
      <c r="D157"/>
    </row>
    <row r="158" spans="4:4" x14ac:dyDescent="0.25">
      <c r="D158"/>
    </row>
    <row r="159" spans="4:4" x14ac:dyDescent="0.25">
      <c r="D159"/>
    </row>
    <row r="160" spans="4:4" x14ac:dyDescent="0.25">
      <c r="D160"/>
    </row>
    <row r="161" spans="4:4" x14ac:dyDescent="0.25">
      <c r="D161"/>
    </row>
    <row r="162" spans="4:4" x14ac:dyDescent="0.25">
      <c r="D162"/>
    </row>
    <row r="163" spans="4:4" x14ac:dyDescent="0.25">
      <c r="D163"/>
    </row>
    <row r="164" spans="4:4" x14ac:dyDescent="0.25">
      <c r="D164"/>
    </row>
    <row r="165" spans="4:4" x14ac:dyDescent="0.25">
      <c r="D165"/>
    </row>
    <row r="166" spans="4:4" x14ac:dyDescent="0.25">
      <c r="D166"/>
    </row>
    <row r="167" spans="4:4" x14ac:dyDescent="0.25">
      <c r="D167"/>
    </row>
    <row r="168" spans="4:4" x14ac:dyDescent="0.25">
      <c r="D168"/>
    </row>
    <row r="169" spans="4:4" x14ac:dyDescent="0.25">
      <c r="D169"/>
    </row>
    <row r="170" spans="4:4" x14ac:dyDescent="0.25">
      <c r="D170"/>
    </row>
    <row r="171" spans="4:4" x14ac:dyDescent="0.25">
      <c r="D171"/>
    </row>
    <row r="172" spans="4:4" x14ac:dyDescent="0.25">
      <c r="D172"/>
    </row>
    <row r="173" spans="4:4" x14ac:dyDescent="0.25">
      <c r="D173"/>
    </row>
    <row r="174" spans="4:4" x14ac:dyDescent="0.25">
      <c r="D174"/>
    </row>
    <row r="175" spans="4:4" x14ac:dyDescent="0.25">
      <c r="D175"/>
    </row>
    <row r="176" spans="4:4" x14ac:dyDescent="0.25">
      <c r="D176"/>
    </row>
    <row r="177" spans="4:4" x14ac:dyDescent="0.25">
      <c r="D177"/>
    </row>
    <row r="178" spans="4:4" x14ac:dyDescent="0.25">
      <c r="D178"/>
    </row>
    <row r="179" spans="4:4" x14ac:dyDescent="0.25">
      <c r="D179"/>
    </row>
    <row r="180" spans="4:4" x14ac:dyDescent="0.25">
      <c r="D180"/>
    </row>
    <row r="181" spans="4:4" x14ac:dyDescent="0.25">
      <c r="D181"/>
    </row>
    <row r="182" spans="4:4" x14ac:dyDescent="0.25">
      <c r="D182"/>
    </row>
    <row r="183" spans="4:4" x14ac:dyDescent="0.25">
      <c r="D183"/>
    </row>
    <row r="184" spans="4:4" x14ac:dyDescent="0.25">
      <c r="D184"/>
    </row>
    <row r="185" spans="4:4" x14ac:dyDescent="0.25">
      <c r="D185"/>
    </row>
    <row r="186" spans="4:4" x14ac:dyDescent="0.25">
      <c r="D186"/>
    </row>
    <row r="187" spans="4:4" x14ac:dyDescent="0.25">
      <c r="D187"/>
    </row>
    <row r="188" spans="4:4" x14ac:dyDescent="0.25">
      <c r="D188"/>
    </row>
    <row r="189" spans="4:4" x14ac:dyDescent="0.25">
      <c r="D189"/>
    </row>
    <row r="190" spans="4:4" x14ac:dyDescent="0.25">
      <c r="D190"/>
    </row>
    <row r="191" spans="4:4" x14ac:dyDescent="0.25">
      <c r="D191"/>
    </row>
    <row r="192" spans="4:4" x14ac:dyDescent="0.25">
      <c r="D192"/>
    </row>
    <row r="193" spans="4:4" x14ac:dyDescent="0.25">
      <c r="D193"/>
    </row>
    <row r="194" spans="4:4" x14ac:dyDescent="0.25">
      <c r="D194"/>
    </row>
    <row r="195" spans="4:4" x14ac:dyDescent="0.25">
      <c r="D195"/>
    </row>
    <row r="196" spans="4:4" x14ac:dyDescent="0.25">
      <c r="D196"/>
    </row>
    <row r="197" spans="4:4" x14ac:dyDescent="0.25">
      <c r="D197"/>
    </row>
    <row r="198" spans="4:4" x14ac:dyDescent="0.25">
      <c r="D198"/>
    </row>
    <row r="199" spans="4:4" x14ac:dyDescent="0.25">
      <c r="D199"/>
    </row>
    <row r="200" spans="4:4" x14ac:dyDescent="0.25">
      <c r="D200"/>
    </row>
    <row r="201" spans="4:4" x14ac:dyDescent="0.25">
      <c r="D201"/>
    </row>
    <row r="202" spans="4:4" x14ac:dyDescent="0.25">
      <c r="D202"/>
    </row>
    <row r="203" spans="4:4" x14ac:dyDescent="0.25">
      <c r="D203"/>
    </row>
    <row r="204" spans="4:4" x14ac:dyDescent="0.25">
      <c r="D204"/>
    </row>
    <row r="205" spans="4:4" x14ac:dyDescent="0.25">
      <c r="D205"/>
    </row>
    <row r="206" spans="4:4" x14ac:dyDescent="0.25">
      <c r="D206"/>
    </row>
    <row r="207" spans="4:4" x14ac:dyDescent="0.25">
      <c r="D207"/>
    </row>
    <row r="208" spans="4:4" x14ac:dyDescent="0.25">
      <c r="D208"/>
    </row>
    <row r="209" spans="4:4" x14ac:dyDescent="0.25">
      <c r="D209"/>
    </row>
    <row r="210" spans="4:4" x14ac:dyDescent="0.25">
      <c r="D210"/>
    </row>
    <row r="211" spans="4:4" x14ac:dyDescent="0.25">
      <c r="D211"/>
    </row>
    <row r="212" spans="4:4" x14ac:dyDescent="0.25">
      <c r="D212"/>
    </row>
    <row r="213" spans="4:4" x14ac:dyDescent="0.25">
      <c r="D213"/>
    </row>
    <row r="214" spans="4:4" x14ac:dyDescent="0.25">
      <c r="D214"/>
    </row>
    <row r="215" spans="4:4" x14ac:dyDescent="0.25">
      <c r="D215"/>
    </row>
    <row r="216" spans="4:4" x14ac:dyDescent="0.25">
      <c r="D216"/>
    </row>
    <row r="217" spans="4:4" x14ac:dyDescent="0.25">
      <c r="D217"/>
    </row>
    <row r="218" spans="4:4" x14ac:dyDescent="0.25">
      <c r="D218"/>
    </row>
    <row r="219" spans="4:4" x14ac:dyDescent="0.25">
      <c r="D219"/>
    </row>
    <row r="220" spans="4:4" x14ac:dyDescent="0.25">
      <c r="D220"/>
    </row>
    <row r="221" spans="4:4" x14ac:dyDescent="0.25">
      <c r="D221"/>
    </row>
    <row r="222" spans="4:4" x14ac:dyDescent="0.25">
      <c r="D222"/>
    </row>
    <row r="223" spans="4:4" x14ac:dyDescent="0.25">
      <c r="D223"/>
    </row>
    <row r="224" spans="4:4" x14ac:dyDescent="0.25">
      <c r="D224"/>
    </row>
    <row r="225" spans="4:4" x14ac:dyDescent="0.25">
      <c r="D225"/>
    </row>
    <row r="226" spans="4:4" x14ac:dyDescent="0.25">
      <c r="D226"/>
    </row>
    <row r="227" spans="4:4" x14ac:dyDescent="0.25">
      <c r="D227"/>
    </row>
    <row r="228" spans="4:4" x14ac:dyDescent="0.25">
      <c r="D228"/>
    </row>
    <row r="229" spans="4:4" x14ac:dyDescent="0.25">
      <c r="D229"/>
    </row>
    <row r="230" spans="4:4" x14ac:dyDescent="0.25">
      <c r="D230"/>
    </row>
    <row r="231" spans="4:4" x14ac:dyDescent="0.25">
      <c r="D231"/>
    </row>
    <row r="232" spans="4:4" x14ac:dyDescent="0.25">
      <c r="D232"/>
    </row>
    <row r="233" spans="4:4" x14ac:dyDescent="0.25">
      <c r="D233"/>
    </row>
    <row r="234" spans="4:4" x14ac:dyDescent="0.25">
      <c r="D234"/>
    </row>
    <row r="235" spans="4:4" x14ac:dyDescent="0.25">
      <c r="D235"/>
    </row>
    <row r="236" spans="4:4" x14ac:dyDescent="0.25">
      <c r="D236"/>
    </row>
    <row r="237" spans="4:4" x14ac:dyDescent="0.25">
      <c r="D237"/>
    </row>
    <row r="238" spans="4:4" x14ac:dyDescent="0.25">
      <c r="D238"/>
    </row>
    <row r="239" spans="4:4" x14ac:dyDescent="0.25">
      <c r="D239"/>
    </row>
    <row r="240" spans="4:4" x14ac:dyDescent="0.25">
      <c r="D240"/>
    </row>
    <row r="241" spans="4:4" x14ac:dyDescent="0.25">
      <c r="D241"/>
    </row>
    <row r="242" spans="4:4" x14ac:dyDescent="0.25">
      <c r="D242"/>
    </row>
    <row r="243" spans="4:4" x14ac:dyDescent="0.25">
      <c r="D243"/>
    </row>
    <row r="244" spans="4:4" x14ac:dyDescent="0.25">
      <c r="D244"/>
    </row>
    <row r="245" spans="4:4" x14ac:dyDescent="0.25">
      <c r="D245"/>
    </row>
    <row r="246" spans="4:4" x14ac:dyDescent="0.25">
      <c r="D246"/>
    </row>
    <row r="247" spans="4:4" x14ac:dyDescent="0.25">
      <c r="D247"/>
    </row>
    <row r="248" spans="4:4" x14ac:dyDescent="0.25">
      <c r="D248"/>
    </row>
    <row r="249" spans="4:4" x14ac:dyDescent="0.25">
      <c r="D249"/>
    </row>
    <row r="250" spans="4:4" x14ac:dyDescent="0.25">
      <c r="D250"/>
    </row>
    <row r="251" spans="4:4" x14ac:dyDescent="0.25">
      <c r="D251"/>
    </row>
    <row r="252" spans="4:4" x14ac:dyDescent="0.25">
      <c r="D252"/>
    </row>
    <row r="253" spans="4:4" x14ac:dyDescent="0.25">
      <c r="D253"/>
    </row>
    <row r="254" spans="4:4" x14ac:dyDescent="0.25">
      <c r="D254"/>
    </row>
    <row r="255" spans="4:4" x14ac:dyDescent="0.25">
      <c r="D255"/>
    </row>
    <row r="256" spans="4:4" x14ac:dyDescent="0.25">
      <c r="D256"/>
    </row>
    <row r="257" spans="4:4" x14ac:dyDescent="0.25">
      <c r="D257"/>
    </row>
    <row r="258" spans="4:4" x14ac:dyDescent="0.25">
      <c r="D258"/>
    </row>
    <row r="259" spans="4:4" x14ac:dyDescent="0.25">
      <c r="D259"/>
    </row>
    <row r="260" spans="4:4" x14ac:dyDescent="0.25">
      <c r="D260"/>
    </row>
    <row r="261" spans="4:4" x14ac:dyDescent="0.25">
      <c r="D261"/>
    </row>
    <row r="262" spans="4:4" x14ac:dyDescent="0.25">
      <c r="D262"/>
    </row>
    <row r="263" spans="4:4" x14ac:dyDescent="0.25">
      <c r="D263"/>
    </row>
    <row r="264" spans="4:4" x14ac:dyDescent="0.25">
      <c r="D264"/>
    </row>
    <row r="265" spans="4:4" x14ac:dyDescent="0.25">
      <c r="D265"/>
    </row>
    <row r="266" spans="4:4" x14ac:dyDescent="0.25">
      <c r="D266"/>
    </row>
    <row r="267" spans="4:4" x14ac:dyDescent="0.25">
      <c r="D267"/>
    </row>
    <row r="268" spans="4:4" x14ac:dyDescent="0.25">
      <c r="D268"/>
    </row>
    <row r="269" spans="4:4" x14ac:dyDescent="0.25">
      <c r="D269"/>
    </row>
    <row r="270" spans="4:4" x14ac:dyDescent="0.25">
      <c r="D270"/>
    </row>
    <row r="271" spans="4:4" x14ac:dyDescent="0.25">
      <c r="D271"/>
    </row>
    <row r="272" spans="4:4" x14ac:dyDescent="0.25">
      <c r="D272"/>
    </row>
    <row r="273" spans="4:4" x14ac:dyDescent="0.25">
      <c r="D273"/>
    </row>
    <row r="274" spans="4:4" x14ac:dyDescent="0.25">
      <c r="D274"/>
    </row>
    <row r="275" spans="4:4" x14ac:dyDescent="0.25">
      <c r="D275"/>
    </row>
    <row r="276" spans="4:4" x14ac:dyDescent="0.25">
      <c r="D276"/>
    </row>
    <row r="277" spans="4:4" x14ac:dyDescent="0.25">
      <c r="D277"/>
    </row>
    <row r="278" spans="4:4" x14ac:dyDescent="0.25">
      <c r="D278"/>
    </row>
    <row r="279" spans="4:4" x14ac:dyDescent="0.25">
      <c r="D279"/>
    </row>
    <row r="280" spans="4:4" x14ac:dyDescent="0.25">
      <c r="D280"/>
    </row>
    <row r="281" spans="4:4" x14ac:dyDescent="0.25">
      <c r="D281"/>
    </row>
    <row r="282" spans="4:4" x14ac:dyDescent="0.25">
      <c r="D282"/>
    </row>
    <row r="283" spans="4:4" x14ac:dyDescent="0.25">
      <c r="D283"/>
    </row>
    <row r="284" spans="4:4" x14ac:dyDescent="0.25">
      <c r="D284"/>
    </row>
    <row r="285" spans="4:4" x14ac:dyDescent="0.25">
      <c r="D285"/>
    </row>
    <row r="286" spans="4:4" x14ac:dyDescent="0.25">
      <c r="D286"/>
    </row>
    <row r="287" spans="4:4" x14ac:dyDescent="0.25">
      <c r="D287"/>
    </row>
    <row r="288" spans="4:4" x14ac:dyDescent="0.25">
      <c r="D288"/>
    </row>
    <row r="289" spans="4:4" x14ac:dyDescent="0.25">
      <c r="D289"/>
    </row>
    <row r="290" spans="4:4" x14ac:dyDescent="0.25">
      <c r="D290"/>
    </row>
    <row r="291" spans="4:4" x14ac:dyDescent="0.25">
      <c r="D291"/>
    </row>
    <row r="292" spans="4:4" x14ac:dyDescent="0.25">
      <c r="D292"/>
    </row>
    <row r="293" spans="4:4" x14ac:dyDescent="0.25">
      <c r="D293"/>
    </row>
    <row r="294" spans="4:4" x14ac:dyDescent="0.25">
      <c r="D294"/>
    </row>
    <row r="295" spans="4:4" x14ac:dyDescent="0.25">
      <c r="D295"/>
    </row>
    <row r="296" spans="4:4" x14ac:dyDescent="0.25">
      <c r="D296"/>
    </row>
    <row r="297" spans="4:4" x14ac:dyDescent="0.25">
      <c r="D297"/>
    </row>
    <row r="298" spans="4:4" x14ac:dyDescent="0.25">
      <c r="D298"/>
    </row>
    <row r="299" spans="4:4" x14ac:dyDescent="0.25">
      <c r="D299"/>
    </row>
    <row r="300" spans="4:4" x14ac:dyDescent="0.25">
      <c r="D300"/>
    </row>
    <row r="301" spans="4:4" x14ac:dyDescent="0.25">
      <c r="D301"/>
    </row>
    <row r="302" spans="4:4" x14ac:dyDescent="0.25">
      <c r="D302"/>
    </row>
    <row r="303" spans="4:4" x14ac:dyDescent="0.25">
      <c r="D303"/>
    </row>
    <row r="304" spans="4:4" x14ac:dyDescent="0.25">
      <c r="D304"/>
    </row>
    <row r="305" spans="4:4" x14ac:dyDescent="0.25">
      <c r="D305"/>
    </row>
    <row r="306" spans="4:4" x14ac:dyDescent="0.25">
      <c r="D306"/>
    </row>
    <row r="307" spans="4:4" x14ac:dyDescent="0.25">
      <c r="D307"/>
    </row>
    <row r="308" spans="4:4" x14ac:dyDescent="0.25">
      <c r="D308"/>
    </row>
    <row r="309" spans="4:4" x14ac:dyDescent="0.25">
      <c r="D309"/>
    </row>
    <row r="310" spans="4:4" x14ac:dyDescent="0.25">
      <c r="D310"/>
    </row>
    <row r="311" spans="4:4" x14ac:dyDescent="0.25">
      <c r="D311"/>
    </row>
    <row r="312" spans="4:4" x14ac:dyDescent="0.25">
      <c r="D312"/>
    </row>
    <row r="313" spans="4:4" x14ac:dyDescent="0.25">
      <c r="D313"/>
    </row>
    <row r="314" spans="4:4" x14ac:dyDescent="0.25">
      <c r="D314"/>
    </row>
    <row r="315" spans="4:4" x14ac:dyDescent="0.25">
      <c r="D315"/>
    </row>
    <row r="316" spans="4:4" x14ac:dyDescent="0.25">
      <c r="D316"/>
    </row>
    <row r="317" spans="4:4" x14ac:dyDescent="0.25">
      <c r="D317"/>
    </row>
    <row r="318" spans="4:4" x14ac:dyDescent="0.25">
      <c r="D318"/>
    </row>
    <row r="319" spans="4:4" x14ac:dyDescent="0.25">
      <c r="D319"/>
    </row>
    <row r="320" spans="4:4" x14ac:dyDescent="0.25">
      <c r="D320"/>
    </row>
    <row r="321" spans="4:4" x14ac:dyDescent="0.25">
      <c r="D321"/>
    </row>
    <row r="322" spans="4:4" x14ac:dyDescent="0.25">
      <c r="D322"/>
    </row>
    <row r="323" spans="4:4" x14ac:dyDescent="0.25">
      <c r="D323"/>
    </row>
    <row r="324" spans="4:4" x14ac:dyDescent="0.25">
      <c r="D324"/>
    </row>
    <row r="325" spans="4:4" x14ac:dyDescent="0.25">
      <c r="D325"/>
    </row>
    <row r="326" spans="4:4" x14ac:dyDescent="0.25">
      <c r="D326"/>
    </row>
    <row r="327" spans="4:4" x14ac:dyDescent="0.25">
      <c r="D327"/>
    </row>
    <row r="328" spans="4:4" x14ac:dyDescent="0.25">
      <c r="D328"/>
    </row>
    <row r="329" spans="4:4" x14ac:dyDescent="0.25">
      <c r="D329"/>
    </row>
    <row r="330" spans="4:4" x14ac:dyDescent="0.25">
      <c r="D330"/>
    </row>
    <row r="331" spans="4:4" x14ac:dyDescent="0.25">
      <c r="D331"/>
    </row>
    <row r="332" spans="4:4" x14ac:dyDescent="0.25">
      <c r="D332"/>
    </row>
    <row r="333" spans="4:4" x14ac:dyDescent="0.25">
      <c r="D333"/>
    </row>
    <row r="334" spans="4:4" x14ac:dyDescent="0.25">
      <c r="D334"/>
    </row>
    <row r="335" spans="4:4" x14ac:dyDescent="0.25">
      <c r="D335"/>
    </row>
    <row r="336" spans="4:4" x14ac:dyDescent="0.25">
      <c r="D336"/>
    </row>
    <row r="337" spans="4:4" x14ac:dyDescent="0.25">
      <c r="D337"/>
    </row>
    <row r="338" spans="4:4" x14ac:dyDescent="0.25">
      <c r="D338"/>
    </row>
    <row r="339" spans="4:4" x14ac:dyDescent="0.25">
      <c r="D339"/>
    </row>
    <row r="340" spans="4:4" x14ac:dyDescent="0.25">
      <c r="D340"/>
    </row>
    <row r="341" spans="4:4" x14ac:dyDescent="0.25">
      <c r="D341"/>
    </row>
    <row r="342" spans="4:4" x14ac:dyDescent="0.25">
      <c r="D342"/>
    </row>
    <row r="343" spans="4:4" x14ac:dyDescent="0.25">
      <c r="D343"/>
    </row>
    <row r="344" spans="4:4" x14ac:dyDescent="0.25">
      <c r="D344"/>
    </row>
    <row r="345" spans="4:4" x14ac:dyDescent="0.25">
      <c r="D345"/>
    </row>
    <row r="346" spans="4:4" x14ac:dyDescent="0.25">
      <c r="D346"/>
    </row>
    <row r="347" spans="4:4" x14ac:dyDescent="0.25">
      <c r="D347"/>
    </row>
    <row r="348" spans="4:4" x14ac:dyDescent="0.25">
      <c r="D348"/>
    </row>
    <row r="349" spans="4:4" x14ac:dyDescent="0.25">
      <c r="D349"/>
    </row>
    <row r="350" spans="4:4" x14ac:dyDescent="0.25">
      <c r="D350"/>
    </row>
    <row r="351" spans="4:4" x14ac:dyDescent="0.25">
      <c r="D351"/>
    </row>
    <row r="352" spans="4:4" x14ac:dyDescent="0.25">
      <c r="D352"/>
    </row>
    <row r="353" spans="4:4" x14ac:dyDescent="0.25">
      <c r="D353"/>
    </row>
    <row r="354" spans="4:4" x14ac:dyDescent="0.25">
      <c r="D354"/>
    </row>
    <row r="355" spans="4:4" x14ac:dyDescent="0.25">
      <c r="D355"/>
    </row>
    <row r="356" spans="4:4" x14ac:dyDescent="0.25">
      <c r="D356"/>
    </row>
    <row r="357" spans="4:4" x14ac:dyDescent="0.25">
      <c r="D357"/>
    </row>
    <row r="358" spans="4:4" x14ac:dyDescent="0.25">
      <c r="D358"/>
    </row>
    <row r="359" spans="4:4" x14ac:dyDescent="0.25">
      <c r="D359"/>
    </row>
    <row r="360" spans="4:4" x14ac:dyDescent="0.25">
      <c r="D360"/>
    </row>
    <row r="361" spans="4:4" x14ac:dyDescent="0.25">
      <c r="D361"/>
    </row>
    <row r="362" spans="4:4" x14ac:dyDescent="0.25">
      <c r="D362"/>
    </row>
    <row r="363" spans="4:4" x14ac:dyDescent="0.25">
      <c r="D363"/>
    </row>
    <row r="364" spans="4:4" x14ac:dyDescent="0.25">
      <c r="D364"/>
    </row>
    <row r="365" spans="4:4" x14ac:dyDescent="0.25">
      <c r="D365"/>
    </row>
    <row r="366" spans="4:4" x14ac:dyDescent="0.25">
      <c r="D366"/>
    </row>
    <row r="367" spans="4:4" x14ac:dyDescent="0.25">
      <c r="D367"/>
    </row>
    <row r="368" spans="4:4" x14ac:dyDescent="0.25">
      <c r="D368"/>
    </row>
    <row r="369" spans="4:4" x14ac:dyDescent="0.25">
      <c r="D369"/>
    </row>
    <row r="370" spans="4:4" x14ac:dyDescent="0.25">
      <c r="D370"/>
    </row>
    <row r="371" spans="4:4" x14ac:dyDescent="0.25">
      <c r="D371"/>
    </row>
    <row r="372" spans="4:4" x14ac:dyDescent="0.25">
      <c r="D372"/>
    </row>
    <row r="373" spans="4:4" x14ac:dyDescent="0.25">
      <c r="D373"/>
    </row>
    <row r="374" spans="4:4" x14ac:dyDescent="0.25">
      <c r="D374"/>
    </row>
    <row r="375" spans="4:4" x14ac:dyDescent="0.25">
      <c r="D375"/>
    </row>
    <row r="376" spans="4:4" x14ac:dyDescent="0.25">
      <c r="D376"/>
    </row>
    <row r="377" spans="4:4" x14ac:dyDescent="0.25">
      <c r="D377"/>
    </row>
    <row r="378" spans="4:4" x14ac:dyDescent="0.25">
      <c r="D378"/>
    </row>
    <row r="379" spans="4:4" x14ac:dyDescent="0.25">
      <c r="D379"/>
    </row>
    <row r="380" spans="4:4" x14ac:dyDescent="0.25">
      <c r="D380"/>
    </row>
    <row r="381" spans="4:4" x14ac:dyDescent="0.25">
      <c r="D381"/>
    </row>
    <row r="382" spans="4:4" x14ac:dyDescent="0.25">
      <c r="D382"/>
    </row>
    <row r="383" spans="4:4" x14ac:dyDescent="0.25">
      <c r="D383"/>
    </row>
    <row r="384" spans="4:4" x14ac:dyDescent="0.25">
      <c r="D384"/>
    </row>
    <row r="385" spans="4:4" x14ac:dyDescent="0.25">
      <c r="D385"/>
    </row>
    <row r="386" spans="4:4" x14ac:dyDescent="0.25">
      <c r="D386"/>
    </row>
    <row r="387" spans="4:4" x14ac:dyDescent="0.25">
      <c r="D387"/>
    </row>
    <row r="388" spans="4:4" x14ac:dyDescent="0.25">
      <c r="D388"/>
    </row>
    <row r="389" spans="4:4" x14ac:dyDescent="0.25">
      <c r="D389"/>
    </row>
    <row r="390" spans="4:4" x14ac:dyDescent="0.25">
      <c r="D390"/>
    </row>
    <row r="391" spans="4:4" x14ac:dyDescent="0.25">
      <c r="D391"/>
    </row>
    <row r="392" spans="4:4" x14ac:dyDescent="0.25">
      <c r="D392"/>
    </row>
    <row r="393" spans="4:4" x14ac:dyDescent="0.25">
      <c r="D393"/>
    </row>
    <row r="394" spans="4:4" x14ac:dyDescent="0.25">
      <c r="D394"/>
    </row>
    <row r="395" spans="4:4" x14ac:dyDescent="0.25">
      <c r="D395"/>
    </row>
    <row r="396" spans="4:4" x14ac:dyDescent="0.25">
      <c r="D396"/>
    </row>
    <row r="397" spans="4:4" x14ac:dyDescent="0.25">
      <c r="D397"/>
    </row>
    <row r="398" spans="4:4" x14ac:dyDescent="0.25">
      <c r="D398"/>
    </row>
    <row r="399" spans="4:4" x14ac:dyDescent="0.25">
      <c r="D399"/>
    </row>
    <row r="400" spans="4:4" x14ac:dyDescent="0.25">
      <c r="D400"/>
    </row>
    <row r="401" spans="4:4" x14ac:dyDescent="0.25">
      <c r="D401"/>
    </row>
    <row r="402" spans="4:4" x14ac:dyDescent="0.25">
      <c r="D402"/>
    </row>
    <row r="403" spans="4:4" x14ac:dyDescent="0.25">
      <c r="D403"/>
    </row>
    <row r="404" spans="4:4" x14ac:dyDescent="0.25">
      <c r="D404"/>
    </row>
    <row r="405" spans="4:4" x14ac:dyDescent="0.25">
      <c r="D405"/>
    </row>
    <row r="406" spans="4:4" x14ac:dyDescent="0.25">
      <c r="D406"/>
    </row>
    <row r="407" spans="4:4" x14ac:dyDescent="0.25">
      <c r="D407"/>
    </row>
    <row r="408" spans="4:4" x14ac:dyDescent="0.25">
      <c r="D408"/>
    </row>
    <row r="409" spans="4:4" x14ac:dyDescent="0.25">
      <c r="D409"/>
    </row>
    <row r="410" spans="4:4" x14ac:dyDescent="0.25">
      <c r="D410"/>
    </row>
    <row r="411" spans="4:4" x14ac:dyDescent="0.25">
      <c r="D411"/>
    </row>
    <row r="412" spans="4:4" x14ac:dyDescent="0.25">
      <c r="D412"/>
    </row>
    <row r="413" spans="4:4" x14ac:dyDescent="0.25">
      <c r="D413"/>
    </row>
    <row r="414" spans="4:4" x14ac:dyDescent="0.25">
      <c r="D414"/>
    </row>
    <row r="415" spans="4:4" x14ac:dyDescent="0.25">
      <c r="D415"/>
    </row>
    <row r="416" spans="4:4" x14ac:dyDescent="0.25">
      <c r="D416"/>
    </row>
    <row r="417" spans="4:4" x14ac:dyDescent="0.25">
      <c r="D417"/>
    </row>
    <row r="418" spans="4:4" x14ac:dyDescent="0.25">
      <c r="D418"/>
    </row>
    <row r="419" spans="4:4" x14ac:dyDescent="0.25">
      <c r="D419"/>
    </row>
    <row r="420" spans="4:4" x14ac:dyDescent="0.25">
      <c r="D420"/>
    </row>
    <row r="421" spans="4:4" x14ac:dyDescent="0.25">
      <c r="D421"/>
    </row>
    <row r="422" spans="4:4" x14ac:dyDescent="0.25">
      <c r="D422"/>
    </row>
    <row r="423" spans="4:4" x14ac:dyDescent="0.25">
      <c r="D423"/>
    </row>
    <row r="424" spans="4:4" x14ac:dyDescent="0.25">
      <c r="D424"/>
    </row>
    <row r="425" spans="4:4" x14ac:dyDescent="0.25">
      <c r="D425"/>
    </row>
    <row r="426" spans="4:4" x14ac:dyDescent="0.25">
      <c r="D426"/>
    </row>
    <row r="427" spans="4:4" x14ac:dyDescent="0.25">
      <c r="D427"/>
    </row>
    <row r="428" spans="4:4" x14ac:dyDescent="0.25">
      <c r="D428"/>
    </row>
    <row r="429" spans="4:4" x14ac:dyDescent="0.25">
      <c r="D429"/>
    </row>
    <row r="430" spans="4:4" x14ac:dyDescent="0.25">
      <c r="D430"/>
    </row>
    <row r="431" spans="4:4" x14ac:dyDescent="0.25">
      <c r="D431"/>
    </row>
    <row r="432" spans="4:4" x14ac:dyDescent="0.25">
      <c r="D432"/>
    </row>
    <row r="433" spans="4:4" x14ac:dyDescent="0.25">
      <c r="D433"/>
    </row>
    <row r="434" spans="4:4" x14ac:dyDescent="0.25">
      <c r="D434"/>
    </row>
    <row r="435" spans="4:4" x14ac:dyDescent="0.25">
      <c r="D435"/>
    </row>
    <row r="436" spans="4:4" x14ac:dyDescent="0.25">
      <c r="D436"/>
    </row>
    <row r="437" spans="4:4" x14ac:dyDescent="0.25">
      <c r="D437"/>
    </row>
    <row r="438" spans="4:4" x14ac:dyDescent="0.25">
      <c r="D438"/>
    </row>
    <row r="439" spans="4:4" x14ac:dyDescent="0.25">
      <c r="D439"/>
    </row>
    <row r="440" spans="4:4" x14ac:dyDescent="0.25">
      <c r="D440"/>
    </row>
    <row r="441" spans="4:4" x14ac:dyDescent="0.25">
      <c r="D441"/>
    </row>
    <row r="442" spans="4:4" x14ac:dyDescent="0.25">
      <c r="D442"/>
    </row>
    <row r="443" spans="4:4" x14ac:dyDescent="0.25">
      <c r="D443"/>
    </row>
    <row r="444" spans="4:4" x14ac:dyDescent="0.25">
      <c r="D444"/>
    </row>
    <row r="445" spans="4:4" x14ac:dyDescent="0.25">
      <c r="D445"/>
    </row>
    <row r="446" spans="4:4" x14ac:dyDescent="0.25">
      <c r="D446"/>
    </row>
    <row r="447" spans="4:4" x14ac:dyDescent="0.25">
      <c r="D447"/>
    </row>
    <row r="448" spans="4:4" x14ac:dyDescent="0.25">
      <c r="D448"/>
    </row>
    <row r="449" spans="4:4" x14ac:dyDescent="0.25">
      <c r="D449"/>
    </row>
    <row r="450" spans="4:4" x14ac:dyDescent="0.25">
      <c r="D450"/>
    </row>
    <row r="451" spans="4:4" x14ac:dyDescent="0.25">
      <c r="D451"/>
    </row>
    <row r="452" spans="4:4" x14ac:dyDescent="0.25">
      <c r="D452"/>
    </row>
    <row r="453" spans="4:4" x14ac:dyDescent="0.25">
      <c r="D453"/>
    </row>
    <row r="454" spans="4:4" x14ac:dyDescent="0.25">
      <c r="D454"/>
    </row>
    <row r="455" spans="4:4" x14ac:dyDescent="0.25">
      <c r="D455"/>
    </row>
    <row r="456" spans="4:4" x14ac:dyDescent="0.25">
      <c r="D456"/>
    </row>
    <row r="457" spans="4:4" x14ac:dyDescent="0.25">
      <c r="D457"/>
    </row>
    <row r="458" spans="4:4" x14ac:dyDescent="0.25">
      <c r="D458"/>
    </row>
    <row r="459" spans="4:4" x14ac:dyDescent="0.25">
      <c r="D459"/>
    </row>
    <row r="460" spans="4:4" x14ac:dyDescent="0.25">
      <c r="D460"/>
    </row>
    <row r="461" spans="4:4" x14ac:dyDescent="0.25">
      <c r="D461"/>
    </row>
    <row r="462" spans="4:4" x14ac:dyDescent="0.25">
      <c r="D462"/>
    </row>
    <row r="463" spans="4:4" x14ac:dyDescent="0.25">
      <c r="D463"/>
    </row>
    <row r="464" spans="4:4" x14ac:dyDescent="0.25">
      <c r="D464"/>
    </row>
    <row r="465" spans="4:4" x14ac:dyDescent="0.25">
      <c r="D465"/>
    </row>
    <row r="466" spans="4:4" x14ac:dyDescent="0.25">
      <c r="D466"/>
    </row>
    <row r="467" spans="4:4" x14ac:dyDescent="0.25">
      <c r="D467"/>
    </row>
    <row r="468" spans="4:4" x14ac:dyDescent="0.25">
      <c r="D468"/>
    </row>
    <row r="469" spans="4:4" x14ac:dyDescent="0.25">
      <c r="D469"/>
    </row>
    <row r="470" spans="4:4" x14ac:dyDescent="0.25">
      <c r="D470"/>
    </row>
    <row r="471" spans="4:4" x14ac:dyDescent="0.25">
      <c r="D471"/>
    </row>
    <row r="472" spans="4:4" x14ac:dyDescent="0.25">
      <c r="D472"/>
    </row>
    <row r="473" spans="4:4" x14ac:dyDescent="0.25">
      <c r="D473"/>
    </row>
    <row r="474" spans="4:4" x14ac:dyDescent="0.25">
      <c r="D474"/>
    </row>
    <row r="475" spans="4:4" x14ac:dyDescent="0.25">
      <c r="D475"/>
    </row>
    <row r="476" spans="4:4" x14ac:dyDescent="0.25">
      <c r="D476"/>
    </row>
    <row r="477" spans="4:4" x14ac:dyDescent="0.25">
      <c r="D477"/>
    </row>
    <row r="478" spans="4:4" x14ac:dyDescent="0.25">
      <c r="D478"/>
    </row>
    <row r="479" spans="4:4" x14ac:dyDescent="0.25">
      <c r="D479"/>
    </row>
    <row r="480" spans="4:4" x14ac:dyDescent="0.25">
      <c r="D480"/>
    </row>
    <row r="481" spans="4:4" x14ac:dyDescent="0.25">
      <c r="D481"/>
    </row>
    <row r="482" spans="4:4" x14ac:dyDescent="0.25">
      <c r="D482"/>
    </row>
    <row r="483" spans="4:4" x14ac:dyDescent="0.25">
      <c r="D483"/>
    </row>
    <row r="484" spans="4:4" x14ac:dyDescent="0.25">
      <c r="D484"/>
    </row>
    <row r="485" spans="4:4" x14ac:dyDescent="0.25">
      <c r="D485"/>
    </row>
    <row r="486" spans="4:4" x14ac:dyDescent="0.25">
      <c r="D486"/>
    </row>
    <row r="487" spans="4:4" x14ac:dyDescent="0.25">
      <c r="D487"/>
    </row>
    <row r="488" spans="4:4" x14ac:dyDescent="0.25">
      <c r="D488"/>
    </row>
    <row r="489" spans="4:4" x14ac:dyDescent="0.25">
      <c r="D489"/>
    </row>
    <row r="490" spans="4:4" x14ac:dyDescent="0.25">
      <c r="D490"/>
    </row>
    <row r="491" spans="4:4" x14ac:dyDescent="0.25">
      <c r="D491"/>
    </row>
    <row r="492" spans="4:4" x14ac:dyDescent="0.25">
      <c r="D492"/>
    </row>
    <row r="493" spans="4:4" x14ac:dyDescent="0.25">
      <c r="D493"/>
    </row>
    <row r="494" spans="4:4" x14ac:dyDescent="0.25">
      <c r="D494"/>
    </row>
    <row r="495" spans="4:4" x14ac:dyDescent="0.25">
      <c r="D495"/>
    </row>
    <row r="496" spans="4:4" x14ac:dyDescent="0.25">
      <c r="D496"/>
    </row>
    <row r="497" spans="4:4" x14ac:dyDescent="0.25">
      <c r="D497"/>
    </row>
    <row r="498" spans="4:4" x14ac:dyDescent="0.25">
      <c r="D498"/>
    </row>
    <row r="499" spans="4:4" x14ac:dyDescent="0.25">
      <c r="D499"/>
    </row>
    <row r="500" spans="4:4" x14ac:dyDescent="0.25">
      <c r="D500"/>
    </row>
    <row r="501" spans="4:4" x14ac:dyDescent="0.25">
      <c r="D501"/>
    </row>
    <row r="502" spans="4:4" x14ac:dyDescent="0.25">
      <c r="D502"/>
    </row>
    <row r="503" spans="4:4" x14ac:dyDescent="0.25">
      <c r="D503"/>
    </row>
    <row r="504" spans="4:4" x14ac:dyDescent="0.25">
      <c r="D504"/>
    </row>
    <row r="505" spans="4:4" x14ac:dyDescent="0.25">
      <c r="D505"/>
    </row>
    <row r="506" spans="4:4" x14ac:dyDescent="0.25">
      <c r="D506"/>
    </row>
    <row r="507" spans="4:4" x14ac:dyDescent="0.25">
      <c r="D507"/>
    </row>
    <row r="508" spans="4:4" x14ac:dyDescent="0.25">
      <c r="D508"/>
    </row>
    <row r="509" spans="4:4" x14ac:dyDescent="0.25">
      <c r="D509"/>
    </row>
    <row r="510" spans="4:4" x14ac:dyDescent="0.25">
      <c r="D510"/>
    </row>
    <row r="511" spans="4:4" x14ac:dyDescent="0.25">
      <c r="D511"/>
    </row>
    <row r="512" spans="4:4" x14ac:dyDescent="0.25">
      <c r="D512"/>
    </row>
    <row r="513" spans="4:4" x14ac:dyDescent="0.25">
      <c r="D513"/>
    </row>
    <row r="514" spans="4:4" x14ac:dyDescent="0.25">
      <c r="D514"/>
    </row>
    <row r="515" spans="4:4" x14ac:dyDescent="0.25">
      <c r="D515"/>
    </row>
    <row r="516" spans="4:4" x14ac:dyDescent="0.25">
      <c r="D516"/>
    </row>
    <row r="517" spans="4:4" x14ac:dyDescent="0.25">
      <c r="D517"/>
    </row>
    <row r="518" spans="4:4" x14ac:dyDescent="0.25">
      <c r="D518"/>
    </row>
    <row r="519" spans="4:4" x14ac:dyDescent="0.25">
      <c r="D519"/>
    </row>
    <row r="520" spans="4:4" x14ac:dyDescent="0.25">
      <c r="D520"/>
    </row>
    <row r="521" spans="4:4" x14ac:dyDescent="0.25">
      <c r="D521"/>
    </row>
    <row r="522" spans="4:4" x14ac:dyDescent="0.25">
      <c r="D522"/>
    </row>
    <row r="523" spans="4:4" x14ac:dyDescent="0.25">
      <c r="D523"/>
    </row>
    <row r="524" spans="4:4" x14ac:dyDescent="0.25">
      <c r="D524"/>
    </row>
    <row r="525" spans="4:4" x14ac:dyDescent="0.25">
      <c r="D525"/>
    </row>
    <row r="526" spans="4:4" x14ac:dyDescent="0.25">
      <c r="D526"/>
    </row>
    <row r="527" spans="4:4" x14ac:dyDescent="0.25">
      <c r="D527"/>
    </row>
    <row r="528" spans="4:4" x14ac:dyDescent="0.25">
      <c r="D528"/>
    </row>
    <row r="529" spans="4:4" x14ac:dyDescent="0.25">
      <c r="D529"/>
    </row>
    <row r="530" spans="4:4" x14ac:dyDescent="0.25">
      <c r="D530"/>
    </row>
    <row r="531" spans="4:4" x14ac:dyDescent="0.25">
      <c r="D531"/>
    </row>
    <row r="532" spans="4:4" x14ac:dyDescent="0.25">
      <c r="D532"/>
    </row>
    <row r="533" spans="4:4" x14ac:dyDescent="0.25">
      <c r="D533"/>
    </row>
    <row r="534" spans="4:4" x14ac:dyDescent="0.25">
      <c r="D534"/>
    </row>
    <row r="535" spans="4:4" x14ac:dyDescent="0.25">
      <c r="D535"/>
    </row>
    <row r="536" spans="4:4" x14ac:dyDescent="0.25">
      <c r="D536"/>
    </row>
    <row r="537" spans="4:4" x14ac:dyDescent="0.25">
      <c r="D537"/>
    </row>
    <row r="538" spans="4:4" x14ac:dyDescent="0.25">
      <c r="D538"/>
    </row>
    <row r="539" spans="4:4" x14ac:dyDescent="0.25">
      <c r="D539"/>
    </row>
    <row r="540" spans="4:4" x14ac:dyDescent="0.25">
      <c r="D540"/>
    </row>
    <row r="541" spans="4:4" x14ac:dyDescent="0.25">
      <c r="D541"/>
    </row>
    <row r="542" spans="4:4" x14ac:dyDescent="0.25">
      <c r="D542"/>
    </row>
    <row r="543" spans="4:4" x14ac:dyDescent="0.25">
      <c r="D543"/>
    </row>
    <row r="544" spans="4:4" x14ac:dyDescent="0.25">
      <c r="D544"/>
    </row>
    <row r="545" spans="4:4" x14ac:dyDescent="0.25">
      <c r="D545"/>
    </row>
    <row r="546" spans="4:4" x14ac:dyDescent="0.25">
      <c r="D546"/>
    </row>
    <row r="547" spans="4:4" x14ac:dyDescent="0.25">
      <c r="D547"/>
    </row>
    <row r="548" spans="4:4" x14ac:dyDescent="0.25">
      <c r="D548"/>
    </row>
    <row r="549" spans="4:4" x14ac:dyDescent="0.25">
      <c r="D549"/>
    </row>
    <row r="550" spans="4:4" x14ac:dyDescent="0.25">
      <c r="D550"/>
    </row>
    <row r="551" spans="4:4" x14ac:dyDescent="0.25">
      <c r="D551"/>
    </row>
    <row r="552" spans="4:4" x14ac:dyDescent="0.25">
      <c r="D552"/>
    </row>
    <row r="553" spans="4:4" x14ac:dyDescent="0.25">
      <c r="D553"/>
    </row>
    <row r="554" spans="4:4" x14ac:dyDescent="0.25">
      <c r="D554"/>
    </row>
    <row r="555" spans="4:4" x14ac:dyDescent="0.25">
      <c r="D555"/>
    </row>
    <row r="556" spans="4:4" x14ac:dyDescent="0.25">
      <c r="D556"/>
    </row>
    <row r="557" spans="4:4" x14ac:dyDescent="0.25">
      <c r="D557"/>
    </row>
    <row r="558" spans="4:4" x14ac:dyDescent="0.25">
      <c r="D558"/>
    </row>
    <row r="559" spans="4:4" x14ac:dyDescent="0.25">
      <c r="D559"/>
    </row>
    <row r="560" spans="4:4" x14ac:dyDescent="0.25">
      <c r="D560"/>
    </row>
    <row r="561" spans="4:4" x14ac:dyDescent="0.25">
      <c r="D561"/>
    </row>
    <row r="562" spans="4:4" x14ac:dyDescent="0.25">
      <c r="D562"/>
    </row>
    <row r="563" spans="4:4" x14ac:dyDescent="0.25">
      <c r="D563"/>
    </row>
    <row r="564" spans="4:4" x14ac:dyDescent="0.25">
      <c r="D564"/>
    </row>
    <row r="565" spans="4:4" x14ac:dyDescent="0.25">
      <c r="D565"/>
    </row>
    <row r="566" spans="4:4" x14ac:dyDescent="0.25">
      <c r="D566"/>
    </row>
    <row r="567" spans="4:4" x14ac:dyDescent="0.25">
      <c r="D567"/>
    </row>
    <row r="568" spans="4:4" x14ac:dyDescent="0.25">
      <c r="D568"/>
    </row>
    <row r="569" spans="4:4" x14ac:dyDescent="0.25">
      <c r="D569"/>
    </row>
    <row r="570" spans="4:4" x14ac:dyDescent="0.25">
      <c r="D570"/>
    </row>
    <row r="571" spans="4:4" x14ac:dyDescent="0.25">
      <c r="D571"/>
    </row>
    <row r="572" spans="4:4" x14ac:dyDescent="0.25">
      <c r="D572"/>
    </row>
    <row r="573" spans="4:4" x14ac:dyDescent="0.25">
      <c r="D573"/>
    </row>
    <row r="574" spans="4:4" x14ac:dyDescent="0.25">
      <c r="D574"/>
    </row>
    <row r="575" spans="4:4" x14ac:dyDescent="0.25">
      <c r="D575"/>
    </row>
    <row r="576" spans="4:4" x14ac:dyDescent="0.25">
      <c r="D576"/>
    </row>
    <row r="577" spans="4:4" x14ac:dyDescent="0.25">
      <c r="D577"/>
    </row>
    <row r="578" spans="4:4" x14ac:dyDescent="0.25">
      <c r="D578"/>
    </row>
    <row r="579" spans="4:4" x14ac:dyDescent="0.25">
      <c r="D579"/>
    </row>
  </sheetData>
  <autoFilter ref="A1:O579" xr:uid="{00000000-0001-0000-0000-000000000000}"/>
  <phoneticPr fontId="9" type="noConversion"/>
  <conditionalFormatting sqref="A1:C1">
    <cfRule type="duplicateValues" dxfId="2" priority="462"/>
  </conditionalFormatting>
  <conditionalFormatting sqref="A656:A1048576 A1">
    <cfRule type="duplicateValues" dxfId="1" priority="1"/>
  </conditionalFormatting>
  <pageMargins left="0.7" right="0.7" top="0.75" bottom="0.75" header="0.3" footer="0.3"/>
  <pageSetup paperSize="9" orientation="portrait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6E846-15EC-4AB6-A7E1-923576FF3E63}">
  <sheetPr codeName="Лист1"/>
  <dimension ref="A1:F47"/>
  <sheetViews>
    <sheetView workbookViewId="0">
      <selection activeCell="A30" sqref="A30:C30"/>
    </sheetView>
  </sheetViews>
  <sheetFormatPr defaultRowHeight="15" x14ac:dyDescent="0.25"/>
  <cols>
    <col min="1" max="2" width="22.140625" bestFit="1" customWidth="1"/>
  </cols>
  <sheetData>
    <row r="1" spans="1:6" x14ac:dyDescent="0.25">
      <c r="A1" t="e">
        <f>IFERROR(IF(AND(VLOOKUP(Пени!#REF!,'[1]email(заем)'!A:D,3,0)="",VLOOKUP(Пени!#REF!,'[1]email(заем)'!A:D,4,0)=""),"мыла нет",IF(VLOOKUP(Пени!#REF!,'[1]email(заем)'!A:D,3,0)&lt;&gt;"",VLOOKUP(Пени!#REF!,'[1]email(заем)'!A:D,3,0),VLOOKUP(Пени!#REF!,'[1]email(заем)'!A:D,4,0))),IF(VLOOKUP(Пени!#REF!,'[1]email(заем)'!B:D,2,0)&lt;&gt;"",VLOOKUP(Пени!#REF!,'[1]email(заем)'!B:D,2,0),VLOOKUP(Пени!#REF!,'[1]email(заем)'!B:D,3,0)))</f>
        <v>#REF!</v>
      </c>
      <c r="B1" t="s">
        <v>793</v>
      </c>
      <c r="C1" t="s">
        <v>820</v>
      </c>
      <c r="E1" t="str">
        <f>IFERROR(IF(VLOOKUP(Пени!#REF!,[2]акция!$B:$C,2,0)&gt;=interface!$T$1,"П","Н"),"неУЧ.")</f>
        <v>неУЧ.</v>
      </c>
      <c r="F1" t="e">
        <f>Пени!#REF!</f>
        <v>#REF!</v>
      </c>
    </row>
    <row r="2" spans="1:6" x14ac:dyDescent="0.25">
      <c r="A2" t="e">
        <f>IFERROR(IF(AND(VLOOKUP(Пени!#REF!,'[1]email(заем)'!A:D,3,0)="",VLOOKUP(Пени!#REF!,'[1]email(заем)'!A:D,4,0)=""),"мыла нет",IF(VLOOKUP(Пени!#REF!,'[1]email(заем)'!A:D,3,0)&lt;&gt;"",VLOOKUP(Пени!#REF!,'[1]email(заем)'!A:D,3,0),VLOOKUP(Пени!#REF!,'[1]email(заем)'!A:D,4,0))),IF(VLOOKUP(Пени!#REF!,'[1]email(заем)'!B:D,2,0)&lt;&gt;"",VLOOKUP(Пени!#REF!,'[1]email(заем)'!B:D,2,0),VLOOKUP(Пени!#REF!,'[1]email(заем)'!B:D,3,0)))</f>
        <v>#REF!</v>
      </c>
      <c r="B2" t="s">
        <v>793</v>
      </c>
      <c r="C2" t="s">
        <v>821</v>
      </c>
      <c r="E2" t="str">
        <f>IFERROR(IF(VLOOKUP(Пени!#REF!,[2]акция!$B:$C,2,0)&gt;=interface!$T$1,"П","Н"),"неУЧ.")</f>
        <v>неУЧ.</v>
      </c>
      <c r="F2" t="e">
        <f>Пени!#REF!</f>
        <v>#REF!</v>
      </c>
    </row>
    <row r="3" spans="1:6" x14ac:dyDescent="0.25">
      <c r="A3" t="str">
        <f>IFERROR(IF(AND(VLOOKUP(Пени!A2,'[1]email(заем)'!A:D,3,0)="",VLOOKUP(Пени!A2,'[1]email(заем)'!A:D,4,0)=""),"мыла нет",IF(VLOOKUP(Пени!A2,'[1]email(заем)'!A:D,3,0)&lt;&gt;"",VLOOKUP(Пени!A2,'[1]email(заем)'!A:D,3,0),VLOOKUP(Пени!A2,'[1]email(заем)'!A:D,4,0))),IF(VLOOKUP(Пени!B2,'[1]email(заем)'!B:D,2,0)&lt;&gt;"",VLOOKUP(Пени!B2,'[1]email(заем)'!B:D,2,0),VLOOKUP(Пени!B2,'[1]email(заем)'!B:D,3,0)))</f>
        <v>krupinae@yandex.ru</v>
      </c>
      <c r="B3" t="s">
        <v>793</v>
      </c>
      <c r="C3" t="s">
        <v>822</v>
      </c>
      <c r="E3" t="str">
        <f>IFERROR(IF(VLOOKUP(Пени!B2,[2]акция!$B:$C,2,0)&gt;=interface!$T$1,"П","Н"),"неУЧ.")</f>
        <v>неУЧ.</v>
      </c>
      <c r="F3" t="str">
        <f>Пени!A2</f>
        <v>Наумик Екатерина Андреевна</v>
      </c>
    </row>
    <row r="4" spans="1:6" x14ac:dyDescent="0.25">
      <c r="A4" t="str">
        <f>IFERROR(IF(AND(VLOOKUP(Пени!A3,'[1]email(заем)'!A:D,3,0)="",VLOOKUP(Пени!A3,'[1]email(заем)'!A:D,4,0)=""),"мыла нет",IF(VLOOKUP(Пени!A3,'[1]email(заем)'!A:D,3,0)&lt;&gt;"",VLOOKUP(Пени!A3,'[1]email(заем)'!A:D,3,0),VLOOKUP(Пени!A3,'[1]email(заем)'!A:D,4,0))),IF(VLOOKUP(Пени!B3,'[1]email(заем)'!B:D,2,0)&lt;&gt;"",VLOOKUP(Пени!B3,'[1]email(заем)'!B:D,2,0),VLOOKUP(Пени!B3,'[1]email(заем)'!B:D,3,0)))</f>
        <v>мыла нет</v>
      </c>
      <c r="B4" t="s">
        <v>793</v>
      </c>
      <c r="C4" t="s">
        <v>794</v>
      </c>
      <c r="E4" t="str">
        <f>IFERROR(IF(VLOOKUP(Пени!B3,[2]акция!$B:$C,2,0)&gt;=interface!$T$1,"П","Н"),"неУЧ.")</f>
        <v>неУЧ.</v>
      </c>
      <c r="F4" t="str">
        <f>Пени!A3</f>
        <v>Харитонова Ирина Александровна</v>
      </c>
    </row>
    <row r="5" spans="1:6" x14ac:dyDescent="0.25">
      <c r="A5" t="str">
        <f>IFERROR(IF(AND(VLOOKUP(Пени!A4,'[1]email(заем)'!A:D,3,0)="",VLOOKUP(Пени!A4,'[1]email(заем)'!A:D,4,0)=""),"мыла нет",IF(VLOOKUP(Пени!A4,'[1]email(заем)'!A:D,3,0)&lt;&gt;"",VLOOKUP(Пени!A4,'[1]email(заем)'!A:D,3,0),VLOOKUP(Пени!A4,'[1]email(заем)'!A:D,4,0))),IF(VLOOKUP(Пени!B4,'[1]email(заем)'!B:D,2,0)&lt;&gt;"",VLOOKUP(Пени!B4,'[1]email(заем)'!B:D,2,0),VLOOKUP(Пени!B4,'[1]email(заем)'!B:D,3,0)))</f>
        <v>marinae2008@yandex.ru</v>
      </c>
      <c r="B5" t="s">
        <v>793</v>
      </c>
      <c r="C5" t="s">
        <v>795</v>
      </c>
      <c r="E5" t="str">
        <f>IFERROR(IF(VLOOKUP(Пени!B4,[2]акция!$B:$C,2,0)&gt;=interface!$T$1,"П","Н"),"неУЧ.")</f>
        <v>неУЧ.</v>
      </c>
      <c r="F5" t="str">
        <f>Пени!A4</f>
        <v>Ерофеева Марина Игоревна</v>
      </c>
    </row>
    <row r="6" spans="1:6" x14ac:dyDescent="0.25">
      <c r="A6" t="e">
        <f>IFERROR(IF(AND(VLOOKUP(Пени!#REF!,'[1]email(заем)'!A:D,3,0)="",VLOOKUP(Пени!#REF!,'[1]email(заем)'!A:D,4,0)=""),"мыла нет",IF(VLOOKUP(Пени!#REF!,'[1]email(заем)'!A:D,3,0)&lt;&gt;"",VLOOKUP(Пени!#REF!,'[1]email(заем)'!A:D,3,0),VLOOKUP(Пени!#REF!,'[1]email(заем)'!A:D,4,0))),IF(VLOOKUP(Пени!#REF!,'[1]email(заем)'!B:D,2,0)&lt;&gt;"",VLOOKUP(Пени!#REF!,'[1]email(заем)'!B:D,2,0),VLOOKUP(Пени!#REF!,'[1]email(заем)'!B:D,3,0)))</f>
        <v>#REF!</v>
      </c>
      <c r="B6" t="s">
        <v>793</v>
      </c>
      <c r="C6" t="s">
        <v>796</v>
      </c>
      <c r="E6" t="str">
        <f>IFERROR(IF(VLOOKUP(Пени!#REF!,[2]акция!$B:$C,2,0)&gt;=interface!$T$1,"П","Н"),"неУЧ.")</f>
        <v>неУЧ.</v>
      </c>
      <c r="F6" t="e">
        <f>Пени!#REF!</f>
        <v>#REF!</v>
      </c>
    </row>
    <row r="7" spans="1:6" x14ac:dyDescent="0.25">
      <c r="A7" t="str">
        <f>IFERROR(IF(AND(VLOOKUP(Пени!A5,'[1]email(заем)'!A:D,3,0)="",VLOOKUP(Пени!A5,'[1]email(заем)'!A:D,4,0)=""),"мыла нет",IF(VLOOKUP(Пени!A5,'[1]email(заем)'!A:D,3,0)&lt;&gt;"",VLOOKUP(Пени!A5,'[1]email(заем)'!A:D,3,0),VLOOKUP(Пени!A5,'[1]email(заем)'!A:D,4,0))),IF(VLOOKUP(Пени!B5,'[1]email(заем)'!B:D,2,0)&lt;&gt;"",VLOOKUP(Пени!B5,'[1]email(заем)'!B:D,2,0),VLOOKUP(Пени!B5,'[1]email(заем)'!B:D,3,0)))</f>
        <v>2295626@mail.ru</v>
      </c>
      <c r="B7" t="s">
        <v>793</v>
      </c>
      <c r="C7" t="s">
        <v>797</v>
      </c>
      <c r="E7" t="str">
        <f>IFERROR(IF(VLOOKUP(Пени!B5,[2]акция!$B:$C,2,0)&gt;=interface!$T$1,"П","Н"),"неУЧ.")</f>
        <v>неУЧ.</v>
      </c>
      <c r="F7" t="str">
        <f>Пени!A5</f>
        <v>Мамлина Наталия Андреевна</v>
      </c>
    </row>
    <row r="8" spans="1:6" x14ac:dyDescent="0.25">
      <c r="A8" t="str">
        <f>IFERROR(IF(AND(VLOOKUP(Пени!A6,'[1]email(заем)'!A:D,3,0)="",VLOOKUP(Пени!A6,'[1]email(заем)'!A:D,4,0)=""),"мыла нет",IF(VLOOKUP(Пени!A6,'[1]email(заем)'!A:D,3,0)&lt;&gt;"",VLOOKUP(Пени!A6,'[1]email(заем)'!A:D,3,0),VLOOKUP(Пени!A6,'[1]email(заем)'!A:D,4,0))),IF(VLOOKUP(Пени!B6,'[1]email(заем)'!B:D,2,0)&lt;&gt;"",VLOOKUP(Пени!B6,'[1]email(заем)'!B:D,2,0),VLOOKUP(Пени!B6,'[1]email(заем)'!B:D,3,0)))</f>
        <v>stas.atletov@mail.ru</v>
      </c>
      <c r="B8" t="s">
        <v>793</v>
      </c>
      <c r="C8" t="s">
        <v>798</v>
      </c>
      <c r="E8" t="str">
        <f>IFERROR(IF(VLOOKUP(Пени!B6,[2]акция!$B:$C,2,0)&gt;=interface!$T$1,"П","Н"),"неУЧ.")</f>
        <v>неУЧ.</v>
      </c>
      <c r="F8" t="str">
        <f>Пени!A6</f>
        <v>Сапожников Станислав Михайлович</v>
      </c>
    </row>
    <row r="9" spans="1:6" x14ac:dyDescent="0.25">
      <c r="A9" t="str">
        <f>IFERROR(IF(AND(VLOOKUP(Пени!A7,'[1]email(заем)'!A:D,3,0)="",VLOOKUP(Пени!A7,'[1]email(заем)'!A:D,4,0)=""),"мыла нет",IF(VLOOKUP(Пени!A7,'[1]email(заем)'!A:D,3,0)&lt;&gt;"",VLOOKUP(Пени!A7,'[1]email(заем)'!A:D,3,0),VLOOKUP(Пени!A7,'[1]email(заем)'!A:D,4,0))),IF(VLOOKUP(Пени!B7,'[1]email(заем)'!B:D,2,0)&lt;&gt;"",VLOOKUP(Пени!B7,'[1]email(заем)'!B:D,2,0),VLOOKUP(Пени!B7,'[1]email(заем)'!B:D,3,0)))</f>
        <v>mds.vladimirv@yandex.ru</v>
      </c>
      <c r="B9" t="s">
        <v>793</v>
      </c>
      <c r="C9" t="s">
        <v>799</v>
      </c>
      <c r="E9" t="str">
        <f>IFERROR(IF(VLOOKUP(Пени!B7,[2]акция!$B:$C,2,0)&gt;=interface!$T$1,"П","Н"),"неУЧ.")</f>
        <v>неУЧ.</v>
      </c>
      <c r="F9" t="str">
        <f>Пени!A7</f>
        <v>Ворошилин Владимир Игоревич</v>
      </c>
    </row>
    <row r="10" spans="1:6" x14ac:dyDescent="0.25">
      <c r="A10" t="str">
        <f>IFERROR(IF(AND(VLOOKUP(Пени!A9,'[1]email(заем)'!A:D,3,0)="",VLOOKUP(Пени!A9,'[1]email(заем)'!A:D,4,0)=""),"мыла нет",IF(VLOOKUP(Пени!A9,'[1]email(заем)'!A:D,3,0)&lt;&gt;"",VLOOKUP(Пени!A9,'[1]email(заем)'!A:D,3,0),VLOOKUP(Пени!A9,'[1]email(заем)'!A:D,4,0))),IF(VLOOKUP(Пени!B9,'[1]email(заем)'!B:D,2,0)&lt;&gt;"",VLOOKUP(Пени!B9,'[1]email(заем)'!B:D,2,0),VLOOKUP(Пени!B9,'[1]email(заем)'!B:D,3,0)))</f>
        <v>kolpakov.anton.v@gmail.com</v>
      </c>
      <c r="B10" t="s">
        <v>793</v>
      </c>
      <c r="C10" t="s">
        <v>800</v>
      </c>
      <c r="E10" t="str">
        <f>IFERROR(IF(VLOOKUP(Пени!B9,[2]акция!$B:$C,2,0)&gt;=interface!$T$1,"П","Н"),"неУЧ.")</f>
        <v>неУЧ.</v>
      </c>
      <c r="F10" t="str">
        <f>Пени!A9</f>
        <v>Колпаков Антон Валерьевич</v>
      </c>
    </row>
    <row r="11" spans="1:6" x14ac:dyDescent="0.25">
      <c r="A11" t="str">
        <f>IFERROR(IF(AND(VLOOKUP(Пени!A10,'[1]email(заем)'!A:D,3,0)="",VLOOKUP(Пени!A10,'[1]email(заем)'!A:D,4,0)=""),"мыла нет",IF(VLOOKUP(Пени!A10,'[1]email(заем)'!A:D,3,0)&lt;&gt;"",VLOOKUP(Пени!A10,'[1]email(заем)'!A:D,3,0),VLOOKUP(Пени!A10,'[1]email(заем)'!A:D,4,0))),IF(VLOOKUP(Пени!B10,'[1]email(заем)'!B:D,2,0)&lt;&gt;"",VLOOKUP(Пени!B10,'[1]email(заем)'!B:D,2,0),VLOOKUP(Пени!B10,'[1]email(заем)'!B:D,3,0)))</f>
        <v>pavlovag83@mail.ru</v>
      </c>
      <c r="B11" t="s">
        <v>793</v>
      </c>
      <c r="C11" t="s">
        <v>801</v>
      </c>
      <c r="E11" t="str">
        <f>IFERROR(IF(VLOOKUP(Пени!B10,[2]акция!$B:$C,2,0)&gt;=interface!$T$1,"П","Н"),"неУЧ.")</f>
        <v>неУЧ.</v>
      </c>
      <c r="F11" t="str">
        <f>Пени!A10</f>
        <v>Павлов Алексей Георгиевич</v>
      </c>
    </row>
    <row r="12" spans="1:6" x14ac:dyDescent="0.25">
      <c r="A12" t="str">
        <f>IFERROR(IF(AND(VLOOKUP(Пени!A11,'[1]email(заем)'!A:D,3,0)="",VLOOKUP(Пени!A11,'[1]email(заем)'!A:D,4,0)=""),"мыла нет",IF(VLOOKUP(Пени!A11,'[1]email(заем)'!A:D,3,0)&lt;&gt;"",VLOOKUP(Пени!A11,'[1]email(заем)'!A:D,3,0),VLOOKUP(Пени!A11,'[1]email(заем)'!A:D,4,0))),IF(VLOOKUP(Пени!B11,'[1]email(заем)'!B:D,2,0)&lt;&gt;"",VLOOKUP(Пени!B11,'[1]email(заем)'!B:D,2,0),VLOOKUP(Пени!B11,'[1]email(заем)'!B:D,3,0)))</f>
        <v>Guhan0974@mail.com</v>
      </c>
      <c r="B12" t="s">
        <v>793</v>
      </c>
      <c r="C12" t="s">
        <v>802</v>
      </c>
      <c r="E12" t="str">
        <f>IFERROR(IF(VLOOKUP(Пени!B11,[2]акция!$B:$C,2,0)&gt;=interface!$T$1,"П","Н"),"неУЧ.")</f>
        <v>неУЧ.</v>
      </c>
      <c r="F12" t="str">
        <f>Пени!A11</f>
        <v>Горбачев Иван Эдуардович</v>
      </c>
    </row>
    <row r="13" spans="1:6" x14ac:dyDescent="0.25">
      <c r="A13" t="str">
        <f>IFERROR(IF(AND(VLOOKUP(Пени!A12,'[1]email(заем)'!A:D,3,0)="",VLOOKUP(Пени!A12,'[1]email(заем)'!A:D,4,0)=""),"мыла нет",IF(VLOOKUP(Пени!A12,'[1]email(заем)'!A:D,3,0)&lt;&gt;"",VLOOKUP(Пени!A12,'[1]email(заем)'!A:D,3,0),VLOOKUP(Пени!A12,'[1]email(заем)'!A:D,4,0))),IF(VLOOKUP(Пени!B12,'[1]email(заем)'!B:D,2,0)&lt;&gt;"",VLOOKUP(Пени!B12,'[1]email(заем)'!B:D,2,0),VLOOKUP(Пени!B12,'[1]email(заем)'!B:D,3,0)))</f>
        <v>ararat2008@gmail.com</v>
      </c>
      <c r="B13" t="s">
        <v>793</v>
      </c>
      <c r="C13" t="s">
        <v>803</v>
      </c>
      <c r="E13" t="str">
        <f>IFERROR(IF(VLOOKUP(Пени!B12,[2]акция!$B:$C,2,0)&gt;=interface!$T$1,"П","Н"),"неУЧ.")</f>
        <v>неУЧ.</v>
      </c>
      <c r="F13" t="str">
        <f>Пени!A12</f>
        <v>Малхасян Арарат Балабекович</v>
      </c>
    </row>
    <row r="14" spans="1:6" x14ac:dyDescent="0.25">
      <c r="A14" t="str">
        <f>IFERROR(IF(AND(VLOOKUP(Пени!A13,'[1]email(заем)'!A:D,3,0)="",VLOOKUP(Пени!A13,'[1]email(заем)'!A:D,4,0)=""),"мыла нет",IF(VLOOKUP(Пени!A13,'[1]email(заем)'!A:D,3,0)&lt;&gt;"",VLOOKUP(Пени!A13,'[1]email(заем)'!A:D,3,0),VLOOKUP(Пени!A13,'[1]email(заем)'!A:D,4,0))),IF(VLOOKUP(Пени!B13,'[1]email(заем)'!B:D,2,0)&lt;&gt;"",VLOOKUP(Пени!B13,'[1]email(заем)'!B:D,2,0),VLOOKUP(Пени!B13,'[1]email(заем)'!B:D,3,0)))</f>
        <v>zavernyl@mail.ru</v>
      </c>
      <c r="B14" t="s">
        <v>793</v>
      </c>
      <c r="C14" t="s">
        <v>804</v>
      </c>
      <c r="E14" t="str">
        <f>IFERROR(IF(VLOOKUP(Пени!B13,[2]акция!$B:$C,2,0)&gt;=interface!$T$1,"П","Н"),"неУЧ.")</f>
        <v>неУЧ.</v>
      </c>
      <c r="F14" t="str">
        <f>Пени!A13</f>
        <v>Соколов Константин Иванович</v>
      </c>
    </row>
    <row r="15" spans="1:6" x14ac:dyDescent="0.25">
      <c r="A15" t="str">
        <f>IFERROR(IF(AND(VLOOKUP(Пени!A14,'[1]email(заем)'!A:D,3,0)="",VLOOKUP(Пени!A14,'[1]email(заем)'!A:D,4,0)=""),"мыла нет",IF(VLOOKUP(Пени!A14,'[1]email(заем)'!A:D,3,0)&lt;&gt;"",VLOOKUP(Пени!A14,'[1]email(заем)'!A:D,3,0),VLOOKUP(Пени!A14,'[1]email(заем)'!A:D,4,0))),IF(VLOOKUP(Пени!B14,'[1]email(заем)'!B:D,2,0)&lt;&gt;"",VLOOKUP(Пени!B14,'[1]email(заем)'!B:D,2,0),VLOOKUP(Пени!B14,'[1]email(заем)'!B:D,3,0)))</f>
        <v>tarasov.esm@mail.ru</v>
      </c>
      <c r="B15" t="s">
        <v>793</v>
      </c>
      <c r="C15" t="s">
        <v>805</v>
      </c>
      <c r="E15" t="str">
        <f>IFERROR(IF(VLOOKUP(Пени!B14,[2]акция!$B:$C,2,0)&gt;=interface!$T$1,"П","Н"),"неУЧ.")</f>
        <v>неУЧ.</v>
      </c>
      <c r="F15" t="str">
        <f>Пени!A14</f>
        <v>Тарасов Олег Васильевич</v>
      </c>
    </row>
    <row r="16" spans="1:6" x14ac:dyDescent="0.25">
      <c r="A16" t="str">
        <f>IFERROR(IF(AND(VLOOKUP(Пени!A16,'[1]email(заем)'!A:D,3,0)="",VLOOKUP(Пени!A16,'[1]email(заем)'!A:D,4,0)=""),"мыла нет",IF(VLOOKUP(Пени!A16,'[1]email(заем)'!A:D,3,0)&lt;&gt;"",VLOOKUP(Пени!A16,'[1]email(заем)'!A:D,3,0),VLOOKUP(Пени!A16,'[1]email(заем)'!A:D,4,0))),IF(VLOOKUP(Пени!B16,'[1]email(заем)'!B:D,2,0)&lt;&gt;"",VLOOKUP(Пени!B16,'[1]email(заем)'!B:D,2,0),VLOOKUP(Пени!B16,'[1]email(заем)'!B:D,3,0)))</f>
        <v>мыла нет</v>
      </c>
      <c r="B16" t="s">
        <v>793</v>
      </c>
      <c r="C16" t="s">
        <v>806</v>
      </c>
      <c r="E16" t="str">
        <f>IFERROR(IF(VLOOKUP(Пени!B16,[2]акция!$B:$C,2,0)&gt;=interface!$T$1,"П","Н"),"неУЧ.")</f>
        <v>неУЧ.</v>
      </c>
      <c r="F16" t="str">
        <f>Пени!A16</f>
        <v>Аксенчук Александр Вячеславович</v>
      </c>
    </row>
    <row r="17" spans="1:6" x14ac:dyDescent="0.25">
      <c r="A17" t="str">
        <f>IFERROR(IF(AND(VLOOKUP(Пени!A17,'[1]email(заем)'!A:D,3,0)="",VLOOKUP(Пени!A17,'[1]email(заем)'!A:D,4,0)=""),"мыла нет",IF(VLOOKUP(Пени!A17,'[1]email(заем)'!A:D,3,0)&lt;&gt;"",VLOOKUP(Пени!A17,'[1]email(заем)'!A:D,3,0),VLOOKUP(Пени!A17,'[1]email(заем)'!A:D,4,0))),IF(VLOOKUP(Пени!B17,'[1]email(заем)'!B:D,2,0)&lt;&gt;"",VLOOKUP(Пени!B17,'[1]email(заем)'!B:D,2,0),VLOOKUP(Пени!B17,'[1]email(заем)'!B:D,3,0)))</f>
        <v>vladimir2105@yandex.ru</v>
      </c>
      <c r="B17" t="s">
        <v>793</v>
      </c>
      <c r="C17" t="s">
        <v>807</v>
      </c>
      <c r="E17" t="str">
        <f>IFERROR(IF(VLOOKUP(Пени!B17,[2]акция!$B:$C,2,0)&gt;=interface!$T$1,"П","Н"),"неУЧ.")</f>
        <v>неУЧ.</v>
      </c>
      <c r="F17" t="str">
        <f>Пени!A17</f>
        <v>Змиевский Владимир Владимирович</v>
      </c>
    </row>
    <row r="18" spans="1:6" x14ac:dyDescent="0.25">
      <c r="A18" t="str">
        <f>IFERROR(IF(AND(VLOOKUP(Пени!A18,'[1]email(заем)'!A:D,3,0)="",VLOOKUP(Пени!A18,'[1]email(заем)'!A:D,4,0)=""),"мыла нет",IF(VLOOKUP(Пени!A18,'[1]email(заем)'!A:D,3,0)&lt;&gt;"",VLOOKUP(Пени!A18,'[1]email(заем)'!A:D,3,0),VLOOKUP(Пени!A18,'[1]email(заем)'!A:D,4,0))),IF(VLOOKUP(Пени!B18,'[1]email(заем)'!B:D,2,0)&lt;&gt;"",VLOOKUP(Пени!B18,'[1]email(заем)'!B:D,2,0),VLOOKUP(Пени!B18,'[1]email(заем)'!B:D,3,0)))</f>
        <v>viktorsmolin932@mail.com</v>
      </c>
      <c r="B18" t="s">
        <v>793</v>
      </c>
      <c r="C18" t="s">
        <v>808</v>
      </c>
      <c r="E18" t="str">
        <f>IFERROR(IF(VLOOKUP(Пени!B18,[2]акция!$B:$C,2,0)&gt;=interface!$T$1,"П","Н"),"неУЧ.")</f>
        <v>неУЧ.</v>
      </c>
      <c r="F18" t="str">
        <f>Пени!A18</f>
        <v>Смолин Виктор Иванович</v>
      </c>
    </row>
    <row r="19" spans="1:6" x14ac:dyDescent="0.25">
      <c r="A19" t="str">
        <f>IFERROR(IF(AND(VLOOKUP(Пени!A19,'[1]email(заем)'!A:D,3,0)="",VLOOKUP(Пени!A19,'[1]email(заем)'!A:D,4,0)=""),"мыла нет",IF(VLOOKUP(Пени!A19,'[1]email(заем)'!A:D,3,0)&lt;&gt;"",VLOOKUP(Пени!A19,'[1]email(заем)'!A:D,3,0),VLOOKUP(Пени!A19,'[1]email(заем)'!A:D,4,0))),IF(VLOOKUP(Пени!B19,'[1]email(заем)'!B:D,2,0)&lt;&gt;"",VLOOKUP(Пени!B19,'[1]email(заем)'!B:D,2,0),VLOOKUP(Пени!B19,'[1]email(заем)'!B:D,3,0)))</f>
        <v>Vad-ghost@yandex.ru</v>
      </c>
      <c r="B19" t="s">
        <v>793</v>
      </c>
      <c r="C19" t="s">
        <v>809</v>
      </c>
      <c r="E19" t="str">
        <f>IFERROR(IF(VLOOKUP(Пени!B19,[2]акция!$B:$C,2,0)&gt;=interface!$T$1,"П","Н"),"неУЧ.")</f>
        <v>неУЧ.</v>
      </c>
      <c r="F19" t="str">
        <f>Пени!A19</f>
        <v>Ципис Вадим Яковлевич</v>
      </c>
    </row>
    <row r="20" spans="1:6" x14ac:dyDescent="0.25">
      <c r="A20" t="str">
        <f>IFERROR(IF(AND(VLOOKUP(Пени!A20,'[1]email(заем)'!A:D,3,0)="",VLOOKUP(Пени!A20,'[1]email(заем)'!A:D,4,0)=""),"мыла нет",IF(VLOOKUP(Пени!A20,'[1]email(заем)'!A:D,3,0)&lt;&gt;"",VLOOKUP(Пени!A20,'[1]email(заем)'!A:D,3,0),VLOOKUP(Пени!A20,'[1]email(заем)'!A:D,4,0))),IF(VLOOKUP(Пени!B20,'[1]email(заем)'!B:D,2,0)&lt;&gt;"",VLOOKUP(Пени!B20,'[1]email(заем)'!B:D,2,0),VLOOKUP(Пени!B20,'[1]email(заем)'!B:D,3,0)))</f>
        <v>elena2akhmetova@yandex.ru</v>
      </c>
      <c r="B20" t="s">
        <v>793</v>
      </c>
      <c r="C20" t="s">
        <v>810</v>
      </c>
      <c r="E20" t="str">
        <f>IFERROR(IF(VLOOKUP(Пени!B20,[2]акция!$B:$C,2,0)&gt;=interface!$T$1,"П","Н"),"неУЧ.")</f>
        <v>неУЧ.</v>
      </c>
      <c r="F20" t="str">
        <f>Пени!A20</f>
        <v>Ахметова Елена Леонидовна</v>
      </c>
    </row>
    <row r="21" spans="1:6" x14ac:dyDescent="0.25">
      <c r="A21" t="str">
        <f>IFERROR(IF(AND(VLOOKUP(Пени!A21,'[1]email(заем)'!A:D,3,0)="",VLOOKUP(Пени!A21,'[1]email(заем)'!A:D,4,0)=""),"мыла нет",IF(VLOOKUP(Пени!A21,'[1]email(заем)'!A:D,3,0)&lt;&gt;"",VLOOKUP(Пени!A21,'[1]email(заем)'!A:D,3,0),VLOOKUP(Пени!A21,'[1]email(заем)'!A:D,4,0))),IF(VLOOKUP(Пени!B21,'[1]email(заем)'!B:D,2,0)&lt;&gt;"",VLOOKUP(Пени!B21,'[1]email(заем)'!B:D,2,0),VLOOKUP(Пени!B21,'[1]email(заем)'!B:D,3,0)))</f>
        <v>lenochka9509@mail.ru</v>
      </c>
      <c r="B21" t="s">
        <v>793</v>
      </c>
      <c r="C21" t="s">
        <v>811</v>
      </c>
      <c r="E21" t="str">
        <f>IFERROR(IF(VLOOKUP(Пени!B21,[2]акция!$B:$C,2,0)&gt;=interface!$T$1,"П","Н"),"неУЧ.")</f>
        <v>неУЧ.</v>
      </c>
      <c r="F21" t="str">
        <f>Пени!A21</f>
        <v>Коркина Елена Александровна</v>
      </c>
    </row>
    <row r="22" spans="1:6" x14ac:dyDescent="0.25">
      <c r="A22" t="str">
        <f>IFERROR(IF(AND(VLOOKUP(Пени!A22,'[1]email(заем)'!A:D,3,0)="",VLOOKUP(Пени!A22,'[1]email(заем)'!A:D,4,0)=""),"мыла нет",IF(VLOOKUP(Пени!A22,'[1]email(заем)'!A:D,3,0)&lt;&gt;"",VLOOKUP(Пени!A22,'[1]email(заем)'!A:D,3,0),VLOOKUP(Пени!A22,'[1]email(заем)'!A:D,4,0))),IF(VLOOKUP(Пени!B22,'[1]email(заем)'!B:D,2,0)&lt;&gt;"",VLOOKUP(Пени!B22,'[1]email(заем)'!B:D,2,0),VLOOKUP(Пени!B22,'[1]email(заем)'!B:D,3,0)))</f>
        <v>мыла нет</v>
      </c>
      <c r="B22" t="s">
        <v>793</v>
      </c>
      <c r="C22" t="s">
        <v>812</v>
      </c>
      <c r="E22" t="str">
        <f>IFERROR(IF(VLOOKUP(Пени!B22,[2]акция!$B:$C,2,0)&gt;=interface!$T$1,"П","Н"),"неУЧ.")</f>
        <v>неУЧ.</v>
      </c>
      <c r="F22" t="str">
        <f>Пени!A22</f>
        <v>Наумов Олег Владимирович</v>
      </c>
    </row>
    <row r="23" spans="1:6" x14ac:dyDescent="0.25">
      <c r="A23" t="str">
        <f>IFERROR(IF(AND(VLOOKUP(Пени!A23,'[1]email(заем)'!A:D,3,0)="",VLOOKUP(Пени!A23,'[1]email(заем)'!A:D,4,0)=""),"мыла нет",IF(VLOOKUP(Пени!A23,'[1]email(заем)'!A:D,3,0)&lt;&gt;"",VLOOKUP(Пени!A23,'[1]email(заем)'!A:D,3,0),VLOOKUP(Пени!A23,'[1]email(заем)'!A:D,4,0))),IF(VLOOKUP(Пени!B23,'[1]email(заем)'!B:D,2,0)&lt;&gt;"",VLOOKUP(Пени!B23,'[1]email(заем)'!B:D,2,0),VLOOKUP(Пени!B23,'[1]email(заем)'!B:D,3,0)))</f>
        <v>мыла нет</v>
      </c>
      <c r="B23" t="s">
        <v>793</v>
      </c>
      <c r="C23" t="s">
        <v>813</v>
      </c>
      <c r="E23" t="str">
        <f>IFERROR(IF(VLOOKUP(Пени!B23,[2]акция!$B:$C,2,0)&gt;=interface!$T$1,"П","Н"),"неУЧ.")</f>
        <v>неУЧ.</v>
      </c>
      <c r="F23" t="str">
        <f>Пени!A23</f>
        <v>Расулов Ахмедхан Саидбекович</v>
      </c>
    </row>
    <row r="24" spans="1:6" x14ac:dyDescent="0.25">
      <c r="A24" t="str">
        <f>IFERROR(IF(AND(VLOOKUP(Пени!A24,'[1]email(заем)'!A:D,3,0)="",VLOOKUP(Пени!A24,'[1]email(заем)'!A:D,4,0)=""),"мыла нет",IF(VLOOKUP(Пени!A24,'[1]email(заем)'!A:D,3,0)&lt;&gt;"",VLOOKUP(Пени!A24,'[1]email(заем)'!A:D,3,0),VLOOKUP(Пени!A24,'[1]email(заем)'!A:D,4,0))),IF(VLOOKUP(Пени!B24,'[1]email(заем)'!B:D,2,0)&lt;&gt;"",VLOOKUP(Пени!B24,'[1]email(заем)'!B:D,2,0),VLOOKUP(Пени!B24,'[1]email(заем)'!B:D,3,0)))</f>
        <v>SHALAMOVA.T@LIST.RU</v>
      </c>
      <c r="B24" t="s">
        <v>793</v>
      </c>
      <c r="C24" t="s">
        <v>814</v>
      </c>
      <c r="E24" t="str">
        <f>IFERROR(IF(VLOOKUP(Пени!B24,[2]акция!$B:$C,2,0)&gt;=interface!$T$1,"П","Н"),"неУЧ.")</f>
        <v>неУЧ.</v>
      </c>
      <c r="F24" t="str">
        <f>Пени!A24</f>
        <v>Шаламова Татьяна Андреевна</v>
      </c>
    </row>
    <row r="25" spans="1:6" x14ac:dyDescent="0.25">
      <c r="A25" t="str">
        <f>IFERROR(IF(AND(VLOOKUP(Пени!A25,'[1]email(заем)'!A:D,3,0)="",VLOOKUP(Пени!A25,'[1]email(заем)'!A:D,4,0)=""),"мыла нет",IF(VLOOKUP(Пени!A25,'[1]email(заем)'!A:D,3,0)&lt;&gt;"",VLOOKUP(Пени!A25,'[1]email(заем)'!A:D,3,0),VLOOKUP(Пени!A25,'[1]email(заем)'!A:D,4,0))),IF(VLOOKUP(Пени!B25,'[1]email(заем)'!B:D,2,0)&lt;&gt;"",VLOOKUP(Пени!B25,'[1]email(заем)'!B:D,2,0),VLOOKUP(Пени!B25,'[1]email(заем)'!B:D,3,0)))</f>
        <v>sergeblinov775@gmail.com</v>
      </c>
      <c r="B25" t="s">
        <v>793</v>
      </c>
      <c r="C25" t="s">
        <v>815</v>
      </c>
      <c r="E25" t="str">
        <f>IFERROR(IF(VLOOKUP(Пени!B25,[2]акция!$B:$C,2,0)&gt;=interface!$T$1,"П","Н"),"неУЧ.")</f>
        <v>неУЧ.</v>
      </c>
      <c r="F25" t="str">
        <f>Пени!A25</f>
        <v>Блинов Сергей Владимирович</v>
      </c>
    </row>
    <row r="26" spans="1:6" x14ac:dyDescent="0.25">
      <c r="A26" t="str">
        <f>IFERROR(IF(AND(VLOOKUP(Пени!A26,'[1]email(заем)'!A:D,3,0)="",VLOOKUP(Пени!A26,'[1]email(заем)'!A:D,4,0)=""),"мыла нет",IF(VLOOKUP(Пени!A26,'[1]email(заем)'!A:D,3,0)&lt;&gt;"",VLOOKUP(Пени!A26,'[1]email(заем)'!A:D,3,0),VLOOKUP(Пени!A26,'[1]email(заем)'!A:D,4,0))),IF(VLOOKUP(Пени!B26,'[1]email(заем)'!B:D,2,0)&lt;&gt;"",VLOOKUP(Пени!B26,'[1]email(заем)'!B:D,2,0),VLOOKUP(Пени!B26,'[1]email(заем)'!B:D,3,0)))</f>
        <v>vasian2021@mail.ru</v>
      </c>
      <c r="B26" t="s">
        <v>793</v>
      </c>
      <c r="C26" t="s">
        <v>816</v>
      </c>
      <c r="E26" t="str">
        <f>IFERROR(IF(VLOOKUP(Пени!B26,[2]акция!$B:$C,2,0)&gt;=interface!$T$1,"П","Н"),"неУЧ.")</f>
        <v>неУЧ.</v>
      </c>
      <c r="F26" t="str">
        <f>Пени!A26</f>
        <v>Кондрашов Василий Игоревич</v>
      </c>
    </row>
    <row r="27" spans="1:6" x14ac:dyDescent="0.25">
      <c r="A27" t="str">
        <f>IFERROR(IF(AND(VLOOKUP(Пени!A27,'[1]email(заем)'!A:D,3,0)="",VLOOKUP(Пени!A27,'[1]email(заем)'!A:D,4,0)=""),"мыла нет",IF(VLOOKUP(Пени!A27,'[1]email(заем)'!A:D,3,0)&lt;&gt;"",VLOOKUP(Пени!A27,'[1]email(заем)'!A:D,3,0),VLOOKUP(Пени!A27,'[1]email(заем)'!A:D,4,0))),IF(VLOOKUP(Пени!B27,'[1]email(заем)'!B:D,2,0)&lt;&gt;"",VLOOKUP(Пени!B27,'[1]email(заем)'!B:D,2,0),VLOOKUP(Пени!B27,'[1]email(заем)'!B:D,3,0)))</f>
        <v>ayana_nasyrova94@icloud.com</v>
      </c>
      <c r="B27" t="s">
        <v>793</v>
      </c>
      <c r="C27" t="s">
        <v>817</v>
      </c>
      <c r="E27" t="str">
        <f>IFERROR(IF(VLOOKUP(Пени!B27,[2]акция!$B:$C,2,0)&gt;=interface!$T$1,"П","Н"),"неУЧ.")</f>
        <v>неУЧ.</v>
      </c>
      <c r="F27" t="str">
        <f>Пени!A27</f>
        <v>Насырова Шахлохон Раимжановна</v>
      </c>
    </row>
    <row r="28" spans="1:6" x14ac:dyDescent="0.25">
      <c r="A28" t="s">
        <v>826</v>
      </c>
      <c r="B28" t="s">
        <v>793</v>
      </c>
      <c r="C28" t="s">
        <v>818</v>
      </c>
      <c r="E28" t="str">
        <f>IFERROR(IF(VLOOKUP(Пени!B28,[2]акция!$B:$C,2,0)&gt;=interface!$T$1,"П","Н"),"неУЧ.")</f>
        <v>неУЧ.</v>
      </c>
      <c r="F28" t="str">
        <f>Пени!A28</f>
        <v>Терехов Андрей Анатольевич</v>
      </c>
    </row>
    <row r="29" spans="1:6" x14ac:dyDescent="0.25">
      <c r="A29" t="str">
        <f>IFERROR(IF(AND(VLOOKUP(Пени!A29,'[1]email(заем)'!A:D,3,0)="",VLOOKUP(Пени!A29,'[1]email(заем)'!A:D,4,0)=""),"мыла нет",IF(VLOOKUP(Пени!A29,'[1]email(заем)'!A:D,3,0)&lt;&gt;"",VLOOKUP(Пени!A29,'[1]email(заем)'!A:D,3,0),VLOOKUP(Пени!A29,'[1]email(заем)'!A:D,4,0))),IF(VLOOKUP(Пени!B29,'[1]email(заем)'!B:D,2,0)&lt;&gt;"",VLOOKUP(Пени!B29,'[1]email(заем)'!B:D,2,0),VLOOKUP(Пени!B29,'[1]email(заем)'!B:D,3,0)))</f>
        <v>biserovoozero3@mail.ru</v>
      </c>
      <c r="B29" t="s">
        <v>793</v>
      </c>
      <c r="C29" t="s">
        <v>819</v>
      </c>
      <c r="E29" t="str">
        <f>IFERROR(IF(VLOOKUP(Пени!B29,[2]акция!$B:$C,2,0)&gt;=interface!$T$1,"П","Н"),"неУЧ.")</f>
        <v>неУЧ.</v>
      </c>
      <c r="F29" t="str">
        <f>Пени!A29</f>
        <v>Янишевская Анна Сергеевна</v>
      </c>
    </row>
    <row r="30" spans="1:6" x14ac:dyDescent="0.25">
      <c r="A30" s="25" t="s">
        <v>824</v>
      </c>
      <c r="B30" t="s">
        <v>793</v>
      </c>
      <c r="C30" t="s">
        <v>825</v>
      </c>
      <c r="E30" t="s">
        <v>823</v>
      </c>
      <c r="F30" t="s">
        <v>784</v>
      </c>
    </row>
    <row r="47" ht="17.25" customHeight="1" x14ac:dyDescent="0.25"/>
  </sheetData>
  <hyperlinks>
    <hyperlink ref="A30" r:id="rId1" xr:uid="{18E5E416-4DCB-44B7-88B7-2EC8F907D4A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47ECA-D4F5-4378-9A8F-EB2856357EE8}">
  <sheetPr codeName="Лист9"/>
  <dimension ref="A1:E222"/>
  <sheetViews>
    <sheetView topLeftCell="A215" workbookViewId="0">
      <selection activeCell="B259" sqref="B259"/>
    </sheetView>
  </sheetViews>
  <sheetFormatPr defaultRowHeight="15" x14ac:dyDescent="0.25"/>
  <cols>
    <col min="1" max="1" width="38.7109375" bestFit="1" customWidth="1"/>
    <col min="2" max="2" width="24.28515625" bestFit="1" customWidth="1"/>
    <col min="3" max="3" width="12" bestFit="1" customWidth="1"/>
    <col min="4" max="4" width="10.28515625" bestFit="1" customWidth="1"/>
    <col min="15" max="15" width="8.5703125" customWidth="1"/>
  </cols>
  <sheetData>
    <row r="1" spans="1:5" x14ac:dyDescent="0.25">
      <c r="A1" t="s">
        <v>402</v>
      </c>
      <c r="B1" t="s">
        <v>403</v>
      </c>
      <c r="C1">
        <v>79180577034</v>
      </c>
      <c r="D1" t="s">
        <v>715</v>
      </c>
      <c r="E1" t="str">
        <f>IFERROR(IF(VLOOKUP(MID(C1,2,3)+0,тесты!A:A,1,0),"мегафон"),"")</f>
        <v/>
      </c>
    </row>
    <row r="2" spans="1:5" x14ac:dyDescent="0.25">
      <c r="A2" t="s">
        <v>559</v>
      </c>
      <c r="B2" t="s">
        <v>560</v>
      </c>
      <c r="C2">
        <v>79645796128</v>
      </c>
      <c r="D2" t="s">
        <v>715</v>
      </c>
      <c r="E2" t="str">
        <f>IFERROR(IF(VLOOKUP(MID(C2,2,3)+0,тесты!A:A,1,0),"мегафон"),"")</f>
        <v/>
      </c>
    </row>
    <row r="3" spans="1:5" x14ac:dyDescent="0.25">
      <c r="A3" t="s">
        <v>532</v>
      </c>
      <c r="B3" t="s">
        <v>533</v>
      </c>
      <c r="C3">
        <v>79220274533</v>
      </c>
      <c r="D3" t="s">
        <v>715</v>
      </c>
      <c r="E3" t="str">
        <f>IFERROR(IF(VLOOKUP(MID(C3,2,3)+0,тесты!A:A,1,0),"мегафон"),"")</f>
        <v>мегафон</v>
      </c>
    </row>
    <row r="4" spans="1:5" x14ac:dyDescent="0.25">
      <c r="A4" t="s">
        <v>660</v>
      </c>
      <c r="B4" t="s">
        <v>661</v>
      </c>
      <c r="C4">
        <v>89606005503</v>
      </c>
      <c r="D4" t="s">
        <v>715</v>
      </c>
      <c r="E4" t="str">
        <f>IFERROR(IF(VLOOKUP(MID(C4,2,3)+0,тесты!A:A,1,0),"мегафон"),"")</f>
        <v/>
      </c>
    </row>
    <row r="5" spans="1:5" x14ac:dyDescent="0.25">
      <c r="A5" t="s">
        <v>448</v>
      </c>
      <c r="B5" t="s">
        <v>449</v>
      </c>
      <c r="C5">
        <v>79607319694</v>
      </c>
      <c r="D5" t="s">
        <v>715</v>
      </c>
      <c r="E5" t="str">
        <f>IFERROR(IF(VLOOKUP(MID(C5,2,3)+0,тесты!A:A,1,0),"мегафон"),"")</f>
        <v/>
      </c>
    </row>
    <row r="6" spans="1:5" x14ac:dyDescent="0.25">
      <c r="A6" t="s">
        <v>713</v>
      </c>
      <c r="B6" t="s">
        <v>714</v>
      </c>
      <c r="C6">
        <v>79169286270</v>
      </c>
      <c r="D6" t="s">
        <v>715</v>
      </c>
      <c r="E6" t="str">
        <f>IFERROR(IF(VLOOKUP(MID(C6,2,3)+0,тесты!A:A,1,0),"мегафон"),"")</f>
        <v/>
      </c>
    </row>
    <row r="7" spans="1:5" x14ac:dyDescent="0.25">
      <c r="A7" t="s">
        <v>379</v>
      </c>
      <c r="B7" t="s">
        <v>380</v>
      </c>
      <c r="C7">
        <v>79214061513</v>
      </c>
      <c r="D7" t="s">
        <v>715</v>
      </c>
      <c r="E7" t="str">
        <f>IFERROR(IF(VLOOKUP(MID(C7,2,3)+0,тесты!A:A,1,0),"мегафон"),"")</f>
        <v>мегафон</v>
      </c>
    </row>
    <row r="8" spans="1:5" x14ac:dyDescent="0.25">
      <c r="A8" t="s">
        <v>587</v>
      </c>
      <c r="B8" t="s">
        <v>588</v>
      </c>
      <c r="C8">
        <v>79514452677</v>
      </c>
      <c r="D8" t="s">
        <v>715</v>
      </c>
      <c r="E8" t="str">
        <f>IFERROR(IF(VLOOKUP(MID(C8,2,3)+0,тесты!A:A,1,0),"мегафон"),"")</f>
        <v>мегафон</v>
      </c>
    </row>
    <row r="9" spans="1:5" x14ac:dyDescent="0.25">
      <c r="A9" t="s">
        <v>342</v>
      </c>
      <c r="B9" t="s">
        <v>343</v>
      </c>
      <c r="C9">
        <v>79785003671</v>
      </c>
      <c r="D9" t="s">
        <v>715</v>
      </c>
      <c r="E9" t="str">
        <f>IFERROR(IF(VLOOKUP(MID(C9,2,3)+0,тесты!A:A,1,0),"мегафон"),"")</f>
        <v/>
      </c>
    </row>
    <row r="10" spans="1:5" x14ac:dyDescent="0.25">
      <c r="A10" t="s">
        <v>549</v>
      </c>
      <c r="B10" t="s">
        <v>550</v>
      </c>
      <c r="C10">
        <v>79032437959</v>
      </c>
      <c r="D10" t="s">
        <v>715</v>
      </c>
      <c r="E10" t="str">
        <f>IFERROR(IF(VLOOKUP(MID(C10,2,3)+0,тесты!A:A,1,0),"мегафон"),"")</f>
        <v/>
      </c>
    </row>
    <row r="11" spans="1:5" x14ac:dyDescent="0.25">
      <c r="A11" t="s">
        <v>662</v>
      </c>
      <c r="B11" t="s">
        <v>663</v>
      </c>
      <c r="C11">
        <v>79286577777</v>
      </c>
      <c r="D11" t="s">
        <v>715</v>
      </c>
      <c r="E11" t="str">
        <f>IFERROR(IF(VLOOKUP(MID(C11,2,3)+0,тесты!A:A,1,0),"мегафон"),"")</f>
        <v>мегафон</v>
      </c>
    </row>
    <row r="12" spans="1:5" x14ac:dyDescent="0.25">
      <c r="A12" t="s">
        <v>621</v>
      </c>
      <c r="B12" t="s">
        <v>622</v>
      </c>
      <c r="C12">
        <v>79032249082</v>
      </c>
      <c r="D12" t="s">
        <v>715</v>
      </c>
      <c r="E12" t="str">
        <f>IFERROR(IF(VLOOKUP(MID(C12,2,3)+0,тесты!A:A,1,0),"мегафон"),"")</f>
        <v/>
      </c>
    </row>
    <row r="13" spans="1:5" x14ac:dyDescent="0.25">
      <c r="A13" t="s">
        <v>424</v>
      </c>
      <c r="B13" t="s">
        <v>425</v>
      </c>
      <c r="C13">
        <v>79969224020</v>
      </c>
      <c r="D13" t="s">
        <v>715</v>
      </c>
      <c r="E13" t="str">
        <f>IFERROR(IF(VLOOKUP(MID(C13,2,3)+0,тесты!A:A,1,0),"мегафон"),"")</f>
        <v/>
      </c>
    </row>
    <row r="14" spans="1:5" x14ac:dyDescent="0.25">
      <c r="A14" t="s">
        <v>372</v>
      </c>
      <c r="B14" t="s">
        <v>373</v>
      </c>
      <c r="C14">
        <v>79067777090</v>
      </c>
      <c r="D14" t="s">
        <v>715</v>
      </c>
      <c r="E14" t="str">
        <f>IFERROR(IF(VLOOKUP(MID(C14,2,3)+0,тесты!A:A,1,0),"мегафон"),"")</f>
        <v/>
      </c>
    </row>
    <row r="15" spans="1:5" x14ac:dyDescent="0.25">
      <c r="A15" t="s">
        <v>619</v>
      </c>
      <c r="B15" t="s">
        <v>620</v>
      </c>
      <c r="C15">
        <v>79885403478</v>
      </c>
      <c r="D15" t="s">
        <v>715</v>
      </c>
      <c r="E15" t="str">
        <f>IFERROR(IF(VLOOKUP(MID(C15,2,3)+0,тесты!A:A,1,0),"мегафон"),"")</f>
        <v/>
      </c>
    </row>
    <row r="16" spans="1:5" x14ac:dyDescent="0.25">
      <c r="A16" t="s">
        <v>692</v>
      </c>
      <c r="B16" t="s">
        <v>693</v>
      </c>
      <c r="C16">
        <v>79646453922</v>
      </c>
      <c r="D16" t="s">
        <v>715</v>
      </c>
      <c r="E16" t="str">
        <f>IFERROR(IF(VLOOKUP(MID(C16,2,3)+0,тесты!A:A,1,0),"мегафон"),"")</f>
        <v/>
      </c>
    </row>
    <row r="17" spans="1:5" x14ac:dyDescent="0.25">
      <c r="A17" t="s">
        <v>330</v>
      </c>
      <c r="B17" t="s">
        <v>331</v>
      </c>
      <c r="C17">
        <v>79206153081</v>
      </c>
      <c r="D17" t="s">
        <v>715</v>
      </c>
      <c r="E17" t="str">
        <f>IFERROR(IF(VLOOKUP(MID(C17,2,3)+0,тесты!A:A,1,0),"мегафон"),"")</f>
        <v>мегафон</v>
      </c>
    </row>
    <row r="18" spans="1:5" x14ac:dyDescent="0.25">
      <c r="A18" t="s">
        <v>404</v>
      </c>
      <c r="B18" t="s">
        <v>405</v>
      </c>
      <c r="C18">
        <v>79686377877</v>
      </c>
      <c r="D18" t="s">
        <v>715</v>
      </c>
      <c r="E18" t="str">
        <f>IFERROR(IF(VLOOKUP(MID(C18,2,3)+0,тесты!A:A,1,0),"мегафон"),"")</f>
        <v/>
      </c>
    </row>
    <row r="19" spans="1:5" x14ac:dyDescent="0.25">
      <c r="A19" t="s">
        <v>356</v>
      </c>
      <c r="B19" t="s">
        <v>357</v>
      </c>
      <c r="C19">
        <v>79687547777</v>
      </c>
      <c r="D19" t="s">
        <v>715</v>
      </c>
      <c r="E19" t="str">
        <f>IFERROR(IF(VLOOKUP(MID(C19,2,3)+0,тесты!A:A,1,0),"мегафон"),"")</f>
        <v/>
      </c>
    </row>
    <row r="20" spans="1:5" x14ac:dyDescent="0.25">
      <c r="A20" t="s">
        <v>493</v>
      </c>
      <c r="B20" t="s">
        <v>494</v>
      </c>
      <c r="C20">
        <v>79895096989</v>
      </c>
      <c r="D20" t="s">
        <v>715</v>
      </c>
      <c r="E20" t="str">
        <f>IFERROR(IF(VLOOKUP(MID(C20,2,3)+0,тесты!A:A,1,0),"мегафон"),"")</f>
        <v/>
      </c>
    </row>
    <row r="21" spans="1:5" x14ac:dyDescent="0.25">
      <c r="A21" t="s">
        <v>557</v>
      </c>
      <c r="B21" t="s">
        <v>558</v>
      </c>
      <c r="C21">
        <v>79178658909</v>
      </c>
      <c r="D21" t="s">
        <v>715</v>
      </c>
      <c r="E21" t="str">
        <f>IFERROR(IF(VLOOKUP(MID(C21,2,3)+0,тесты!A:A,1,0),"мегафон"),"")</f>
        <v/>
      </c>
    </row>
    <row r="22" spans="1:5" x14ac:dyDescent="0.25">
      <c r="A22" t="s">
        <v>547</v>
      </c>
      <c r="B22" t="s">
        <v>548</v>
      </c>
      <c r="C22">
        <v>79178708672</v>
      </c>
      <c r="D22" t="s">
        <v>715</v>
      </c>
      <c r="E22" t="str">
        <f>IFERROR(IF(VLOOKUP(MID(C22,2,3)+0,тесты!A:A,1,0),"мегафон"),"")</f>
        <v/>
      </c>
    </row>
    <row r="23" spans="1:5" x14ac:dyDescent="0.25">
      <c r="A23" t="s">
        <v>518</v>
      </c>
      <c r="B23" t="s">
        <v>519</v>
      </c>
      <c r="C23">
        <v>79037926375</v>
      </c>
      <c r="D23" t="s">
        <v>715</v>
      </c>
      <c r="E23" t="str">
        <f>IFERROR(IF(VLOOKUP(MID(C23,2,3)+0,тесты!A:A,1,0),"мегафон"),"")</f>
        <v/>
      </c>
    </row>
    <row r="24" spans="1:5" x14ac:dyDescent="0.25">
      <c r="A24" t="s">
        <v>292</v>
      </c>
      <c r="B24" t="s">
        <v>293</v>
      </c>
      <c r="C24">
        <v>79263030102</v>
      </c>
      <c r="D24" t="s">
        <v>715</v>
      </c>
      <c r="E24" t="str">
        <f>IFERROR(IF(VLOOKUP(MID(C24,2,3)+0,тесты!A:A,1,0),"мегафон"),"")</f>
        <v>мегафон</v>
      </c>
    </row>
    <row r="25" spans="1:5" x14ac:dyDescent="0.25">
      <c r="A25" t="s">
        <v>304</v>
      </c>
      <c r="B25" t="s">
        <v>305</v>
      </c>
      <c r="C25">
        <v>79221799222</v>
      </c>
      <c r="D25" t="s">
        <v>715</v>
      </c>
      <c r="E25" t="str">
        <f>IFERROR(IF(VLOOKUP(MID(C25,2,3)+0,тесты!A:A,1,0),"мегафон"),"")</f>
        <v>мегафон</v>
      </c>
    </row>
    <row r="26" spans="1:5" x14ac:dyDescent="0.25">
      <c r="A26" t="s">
        <v>395</v>
      </c>
      <c r="B26" t="s">
        <v>396</v>
      </c>
      <c r="C26">
        <v>79021231202</v>
      </c>
      <c r="D26" t="s">
        <v>715</v>
      </c>
      <c r="E26" t="str">
        <f>IFERROR(IF(VLOOKUP(MID(C26,2,3)+0,тесты!A:A,1,0),"мегафон"),"")</f>
        <v>мегафон</v>
      </c>
    </row>
    <row r="27" spans="1:5" x14ac:dyDescent="0.25">
      <c r="A27" t="s">
        <v>314</v>
      </c>
      <c r="B27" t="s">
        <v>315</v>
      </c>
      <c r="C27">
        <v>79297003562</v>
      </c>
      <c r="D27" t="s">
        <v>715</v>
      </c>
      <c r="E27" t="str">
        <f>IFERROR(IF(VLOOKUP(MID(C27,2,3)+0,тесты!A:A,1,0),"мегафон"),"")</f>
        <v>мегафон</v>
      </c>
    </row>
    <row r="28" spans="1:5" x14ac:dyDescent="0.25">
      <c r="A28" t="s">
        <v>385</v>
      </c>
      <c r="B28" t="s">
        <v>386</v>
      </c>
      <c r="C28">
        <v>79167908897</v>
      </c>
      <c r="D28" t="s">
        <v>715</v>
      </c>
      <c r="E28" t="str">
        <f>IFERROR(IF(VLOOKUP(MID(C28,2,3)+0,тесты!A:A,1,0),"мегафон"),"")</f>
        <v/>
      </c>
    </row>
    <row r="29" spans="1:5" x14ac:dyDescent="0.25">
      <c r="A29" t="s">
        <v>408</v>
      </c>
      <c r="B29" t="s">
        <v>409</v>
      </c>
      <c r="C29">
        <v>79068500727</v>
      </c>
      <c r="D29" t="s">
        <v>715</v>
      </c>
      <c r="E29" t="str">
        <f>IFERROR(IF(VLOOKUP(MID(C29,2,3)+0,тесты!A:A,1,0),"мегафон"),"")</f>
        <v/>
      </c>
    </row>
    <row r="30" spans="1:5" x14ac:dyDescent="0.25">
      <c r="A30" t="s">
        <v>537</v>
      </c>
      <c r="B30" t="s">
        <v>538</v>
      </c>
      <c r="C30">
        <v>79217875907</v>
      </c>
      <c r="D30" t="s">
        <v>715</v>
      </c>
      <c r="E30" t="str">
        <f>IFERROR(IF(VLOOKUP(MID(C30,2,3)+0,тесты!A:A,1,0),"мегафон"),"")</f>
        <v>мегафон</v>
      </c>
    </row>
    <row r="31" spans="1:5" x14ac:dyDescent="0.25">
      <c r="A31" t="s">
        <v>705</v>
      </c>
      <c r="B31" t="s">
        <v>706</v>
      </c>
      <c r="C31">
        <v>79651729544</v>
      </c>
      <c r="D31" t="s">
        <v>715</v>
      </c>
      <c r="E31" t="str">
        <f>IFERROR(IF(VLOOKUP(MID(C31,2,3)+0,тесты!A:A,1,0),"мегафон"),"")</f>
        <v/>
      </c>
    </row>
    <row r="32" spans="1:5" x14ac:dyDescent="0.25">
      <c r="A32" t="s">
        <v>412</v>
      </c>
      <c r="B32" t="s">
        <v>413</v>
      </c>
      <c r="C32">
        <v>79035260173</v>
      </c>
      <c r="D32" t="s">
        <v>715</v>
      </c>
      <c r="E32" t="str">
        <f>IFERROR(IF(VLOOKUP(MID(C32,2,3)+0,тесты!A:A,1,0),"мегафон"),"")</f>
        <v/>
      </c>
    </row>
    <row r="33" spans="1:5" x14ac:dyDescent="0.25">
      <c r="A33" t="s">
        <v>642</v>
      </c>
      <c r="B33" t="s">
        <v>643</v>
      </c>
      <c r="C33">
        <v>79107795024</v>
      </c>
      <c r="D33" t="s">
        <v>715</v>
      </c>
      <c r="E33" t="str">
        <f>IFERROR(IF(VLOOKUP(MID(C33,2,3)+0,тесты!A:A,1,0),"мегафон"),"")</f>
        <v/>
      </c>
    </row>
    <row r="34" spans="1:5" x14ac:dyDescent="0.25">
      <c r="A34" t="s">
        <v>625</v>
      </c>
      <c r="B34" t="s">
        <v>626</v>
      </c>
      <c r="C34">
        <v>79219185170</v>
      </c>
      <c r="D34" t="s">
        <v>715</v>
      </c>
      <c r="E34" t="str">
        <f>IFERROR(IF(VLOOKUP(MID(C34,2,3)+0,тесты!A:A,1,0),"мегафон"),"")</f>
        <v>мегафон</v>
      </c>
    </row>
    <row r="35" spans="1:5" x14ac:dyDescent="0.25">
      <c r="A35" t="s">
        <v>426</v>
      </c>
      <c r="B35" t="s">
        <v>427</v>
      </c>
      <c r="C35">
        <v>79263241855</v>
      </c>
      <c r="D35" t="s">
        <v>715</v>
      </c>
      <c r="E35" t="str">
        <f>IFERROR(IF(VLOOKUP(MID(C35,2,3)+0,тесты!A:A,1,0),"мегафон"),"")</f>
        <v>мегафон</v>
      </c>
    </row>
    <row r="36" spans="1:5" x14ac:dyDescent="0.25">
      <c r="A36" t="s">
        <v>275</v>
      </c>
      <c r="B36" t="s">
        <v>276</v>
      </c>
      <c r="C36">
        <v>79998242758</v>
      </c>
      <c r="D36" t="s">
        <v>715</v>
      </c>
      <c r="E36" t="str">
        <f>IFERROR(IF(VLOOKUP(MID(C36,2,3)+0,тесты!A:A,1,0),"мегафон"),"")</f>
        <v>мегафон</v>
      </c>
    </row>
    <row r="37" spans="1:5" x14ac:dyDescent="0.25">
      <c r="A37" t="s">
        <v>690</v>
      </c>
      <c r="B37" t="s">
        <v>691</v>
      </c>
      <c r="C37">
        <v>79096579794</v>
      </c>
      <c r="D37" t="s">
        <v>715</v>
      </c>
      <c r="E37" t="str">
        <f>IFERROR(IF(VLOOKUP(MID(C37,2,3)+0,тесты!A:A,1,0),"мегафон"),"")</f>
        <v/>
      </c>
    </row>
    <row r="38" spans="1:5" x14ac:dyDescent="0.25">
      <c r="A38" t="s">
        <v>503</v>
      </c>
      <c r="B38" t="s">
        <v>504</v>
      </c>
      <c r="C38">
        <v>79622259165</v>
      </c>
      <c r="D38" t="s">
        <v>715</v>
      </c>
      <c r="E38" t="str">
        <f>IFERROR(IF(VLOOKUP(MID(C38,2,3)+0,тесты!A:A,1,0),"мегафон"),"")</f>
        <v/>
      </c>
    </row>
    <row r="39" spans="1:5" x14ac:dyDescent="0.25">
      <c r="A39" t="s">
        <v>680</v>
      </c>
      <c r="B39" t="s">
        <v>681</v>
      </c>
      <c r="C39">
        <v>79161613613</v>
      </c>
      <c r="D39" t="s">
        <v>715</v>
      </c>
      <c r="E39" t="str">
        <f>IFERROR(IF(VLOOKUP(MID(C39,2,3)+0,тесты!A:A,1,0),"мегафон"),"")</f>
        <v/>
      </c>
    </row>
    <row r="40" spans="1:5" x14ac:dyDescent="0.25">
      <c r="A40" t="s">
        <v>452</v>
      </c>
      <c r="B40" t="s">
        <v>453</v>
      </c>
      <c r="C40">
        <v>79047520322</v>
      </c>
      <c r="D40" t="s">
        <v>715</v>
      </c>
      <c r="E40" t="str">
        <f>IFERROR(IF(VLOOKUP(MID(C40,2,3)+0,тесты!A:A,1,0),"мегафон"),"")</f>
        <v>мегафон</v>
      </c>
    </row>
    <row r="41" spans="1:5" x14ac:dyDescent="0.25">
      <c r="A41" t="s">
        <v>308</v>
      </c>
      <c r="B41" t="s">
        <v>309</v>
      </c>
      <c r="C41">
        <v>79142198143</v>
      </c>
      <c r="D41" t="s">
        <v>715</v>
      </c>
      <c r="E41" t="str">
        <f>IFERROR(IF(VLOOKUP(MID(C41,2,3)+0,тесты!A:A,1,0),"мегафон"),"")</f>
        <v/>
      </c>
    </row>
    <row r="42" spans="1:5" x14ac:dyDescent="0.25">
      <c r="A42" t="s">
        <v>712</v>
      </c>
      <c r="B42" t="s">
        <v>698</v>
      </c>
      <c r="C42">
        <v>79653030110</v>
      </c>
      <c r="D42" t="s">
        <v>715</v>
      </c>
      <c r="E42" t="str">
        <f>IFERROR(IF(VLOOKUP(MID(C42,2,3)+0,тесты!A:A,1,0),"мегафон"),"")</f>
        <v/>
      </c>
    </row>
    <row r="43" spans="1:5" x14ac:dyDescent="0.25">
      <c r="A43" t="s">
        <v>617</v>
      </c>
      <c r="B43" t="s">
        <v>618</v>
      </c>
      <c r="C43">
        <v>79163572699</v>
      </c>
      <c r="D43" t="s">
        <v>715</v>
      </c>
      <c r="E43" t="str">
        <f>IFERROR(IF(VLOOKUP(MID(C43,2,3)+0,тесты!A:A,1,0),"мегафон"),"")</f>
        <v/>
      </c>
    </row>
    <row r="44" spans="1:5" x14ac:dyDescent="0.25">
      <c r="A44" t="s">
        <v>636</v>
      </c>
      <c r="B44" t="s">
        <v>637</v>
      </c>
      <c r="C44">
        <v>79167239743</v>
      </c>
      <c r="D44" t="s">
        <v>715</v>
      </c>
      <c r="E44" t="str">
        <f>IFERROR(IF(VLOOKUP(MID(C44,2,3)+0,тесты!A:A,1,0),"мегафон"),"")</f>
        <v/>
      </c>
    </row>
    <row r="45" spans="1:5" x14ac:dyDescent="0.25">
      <c r="A45" t="s">
        <v>628</v>
      </c>
      <c r="B45" t="s">
        <v>629</v>
      </c>
      <c r="C45">
        <v>79311002444</v>
      </c>
      <c r="D45" t="s">
        <v>715</v>
      </c>
      <c r="E45" t="str">
        <f>IFERROR(IF(VLOOKUP(MID(C45,2,3)+0,тесты!A:A,1,0),"мегафон"),"")</f>
        <v>мегафон</v>
      </c>
    </row>
    <row r="46" spans="1:5" x14ac:dyDescent="0.25">
      <c r="A46" t="s">
        <v>326</v>
      </c>
      <c r="B46" t="s">
        <v>327</v>
      </c>
      <c r="C46">
        <v>79295331111</v>
      </c>
      <c r="D46" t="s">
        <v>715</v>
      </c>
      <c r="E46" t="str">
        <f>IFERROR(IF(VLOOKUP(MID(C46,2,3)+0,тесты!A:A,1,0),"мегафон"),"")</f>
        <v>мегафон</v>
      </c>
    </row>
    <row r="47" spans="1:5" x14ac:dyDescent="0.25">
      <c r="A47" t="s">
        <v>593</v>
      </c>
      <c r="B47" t="s">
        <v>594</v>
      </c>
      <c r="C47">
        <v>79912401545</v>
      </c>
      <c r="D47" t="s">
        <v>715</v>
      </c>
      <c r="E47" t="str">
        <f>IFERROR(IF(VLOOKUP(MID(C47,2,3)+0,тесты!A:A,1,0),"мегафон"),"")</f>
        <v/>
      </c>
    </row>
    <row r="48" spans="1:5" x14ac:dyDescent="0.25">
      <c r="A48" t="s">
        <v>438</v>
      </c>
      <c r="B48" t="s">
        <v>439</v>
      </c>
      <c r="C48">
        <v>79037409910</v>
      </c>
      <c r="D48" t="s">
        <v>715</v>
      </c>
      <c r="E48" t="str">
        <f>IFERROR(IF(VLOOKUP(MID(C48,2,3)+0,тесты!A:A,1,0),"мегафон"),"")</f>
        <v/>
      </c>
    </row>
    <row r="49" spans="1:5" x14ac:dyDescent="0.25">
      <c r="A49" t="s">
        <v>495</v>
      </c>
      <c r="B49" t="s">
        <v>496</v>
      </c>
      <c r="C49">
        <v>79268100105</v>
      </c>
      <c r="D49" t="s">
        <v>715</v>
      </c>
      <c r="E49" t="str">
        <f>IFERROR(IF(VLOOKUP(MID(C49,2,3)+0,тесты!A:A,1,0),"мегафон"),"")</f>
        <v>мегафон</v>
      </c>
    </row>
    <row r="50" spans="1:5" x14ac:dyDescent="0.25">
      <c r="A50" t="s">
        <v>387</v>
      </c>
      <c r="B50" t="s">
        <v>388</v>
      </c>
      <c r="C50">
        <v>79269416891</v>
      </c>
      <c r="D50" t="s">
        <v>715</v>
      </c>
      <c r="E50" t="str">
        <f>IFERROR(IF(VLOOKUP(MID(C50,2,3)+0,тесты!A:A,1,0),"мегафон"),"")</f>
        <v>мегафон</v>
      </c>
    </row>
    <row r="51" spans="1:5" x14ac:dyDescent="0.25">
      <c r="A51" t="s">
        <v>553</v>
      </c>
      <c r="B51" t="s">
        <v>554</v>
      </c>
      <c r="C51">
        <v>79851883999</v>
      </c>
      <c r="D51" t="s">
        <v>715</v>
      </c>
      <c r="E51" t="str">
        <f>IFERROR(IF(VLOOKUP(MID(C51,2,3)+0,тесты!A:A,1,0),"мегафон"),"")</f>
        <v/>
      </c>
    </row>
    <row r="52" spans="1:5" x14ac:dyDescent="0.25">
      <c r="A52" t="s">
        <v>505</v>
      </c>
      <c r="B52" t="s">
        <v>506</v>
      </c>
      <c r="C52">
        <v>79146766666</v>
      </c>
      <c r="D52" t="s">
        <v>715</v>
      </c>
      <c r="E52" t="str">
        <f>IFERROR(IF(VLOOKUP(MID(C52,2,3)+0,тесты!A:A,1,0),"мегафон"),"")</f>
        <v/>
      </c>
    </row>
    <row r="53" spans="1:5" x14ac:dyDescent="0.25">
      <c r="A53" t="s">
        <v>583</v>
      </c>
      <c r="B53" t="s">
        <v>584</v>
      </c>
      <c r="C53">
        <v>79773423510</v>
      </c>
      <c r="D53" t="s">
        <v>715</v>
      </c>
      <c r="E53" t="str">
        <f>IFERROR(IF(VLOOKUP(MID(C53,2,3)+0,тесты!A:A,1,0),"мегафон"),"")</f>
        <v/>
      </c>
    </row>
    <row r="54" spans="1:5" x14ac:dyDescent="0.25">
      <c r="A54" t="s">
        <v>470</v>
      </c>
      <c r="B54" t="s">
        <v>471</v>
      </c>
      <c r="C54">
        <v>79263470289</v>
      </c>
      <c r="D54" t="s">
        <v>715</v>
      </c>
      <c r="E54" t="str">
        <f>IFERROR(IF(VLOOKUP(MID(C54,2,3)+0,тесты!A:A,1,0),"мегафон"),"")</f>
        <v>мегафон</v>
      </c>
    </row>
    <row r="55" spans="1:5" x14ac:dyDescent="0.25">
      <c r="A55" t="s">
        <v>575</v>
      </c>
      <c r="B55" t="s">
        <v>576</v>
      </c>
      <c r="C55">
        <v>79778192293</v>
      </c>
      <c r="D55" t="s">
        <v>715</v>
      </c>
      <c r="E55" t="str">
        <f>IFERROR(IF(VLOOKUP(MID(C55,2,3)+0,тесты!A:A,1,0),"мегафон"),"")</f>
        <v/>
      </c>
    </row>
    <row r="56" spans="1:5" x14ac:dyDescent="0.25">
      <c r="A56" t="s">
        <v>658</v>
      </c>
      <c r="B56" t="s">
        <v>659</v>
      </c>
      <c r="C56">
        <v>79134929319</v>
      </c>
      <c r="D56" t="s">
        <v>715</v>
      </c>
      <c r="E56" t="str">
        <f>IFERROR(IF(VLOOKUP(MID(C56,2,3)+0,тесты!A:A,1,0),"мегафон"),"")</f>
        <v/>
      </c>
    </row>
    <row r="57" spans="1:5" x14ac:dyDescent="0.25">
      <c r="A57" t="s">
        <v>638</v>
      </c>
      <c r="B57" t="s">
        <v>639</v>
      </c>
      <c r="C57">
        <v>79055552760</v>
      </c>
      <c r="D57" t="s">
        <v>715</v>
      </c>
      <c r="E57" t="str">
        <f>IFERROR(IF(VLOOKUP(MID(C57,2,3)+0,тесты!A:A,1,0),"мегафон"),"")</f>
        <v/>
      </c>
    </row>
    <row r="58" spans="1:5" x14ac:dyDescent="0.25">
      <c r="A58" t="s">
        <v>656</v>
      </c>
      <c r="B58" t="s">
        <v>657</v>
      </c>
      <c r="C58">
        <v>79684450505</v>
      </c>
      <c r="D58" t="s">
        <v>715</v>
      </c>
      <c r="E58" t="str">
        <f>IFERROR(IF(VLOOKUP(MID(C58,2,3)+0,тесты!A:A,1,0),"мегафон"),"")</f>
        <v/>
      </c>
    </row>
    <row r="59" spans="1:5" x14ac:dyDescent="0.25">
      <c r="A59" t="s">
        <v>684</v>
      </c>
      <c r="B59" t="s">
        <v>685</v>
      </c>
      <c r="C59">
        <v>89307268930</v>
      </c>
      <c r="D59" t="s">
        <v>715</v>
      </c>
      <c r="E59" t="str">
        <f>IFERROR(IF(VLOOKUP(MID(C59,2,3)+0,тесты!A:A,1,0),"мегафон"),"")</f>
        <v>мегафон</v>
      </c>
    </row>
    <row r="60" spans="1:5" x14ac:dyDescent="0.25">
      <c r="A60" t="s">
        <v>484</v>
      </c>
      <c r="B60" t="s">
        <v>485</v>
      </c>
      <c r="C60">
        <v>79645781616</v>
      </c>
      <c r="D60" t="s">
        <v>715</v>
      </c>
      <c r="E60" t="str">
        <f>IFERROR(IF(VLOOKUP(MID(C60,2,3)+0,тесты!A:A,1,0),"мегафон"),"")</f>
        <v/>
      </c>
    </row>
    <row r="61" spans="1:5" x14ac:dyDescent="0.25">
      <c r="A61" t="s">
        <v>300</v>
      </c>
      <c r="B61" t="s">
        <v>301</v>
      </c>
      <c r="C61">
        <v>79605961359</v>
      </c>
      <c r="D61" t="s">
        <v>715</v>
      </c>
      <c r="E61" t="str">
        <f>IFERROR(IF(VLOOKUP(MID(C61,2,3)+0,тесты!A:A,1,0),"мегафон"),"")</f>
        <v/>
      </c>
    </row>
    <row r="62" spans="1:5" x14ac:dyDescent="0.25">
      <c r="A62" t="s">
        <v>668</v>
      </c>
      <c r="B62" t="s">
        <v>669</v>
      </c>
      <c r="C62">
        <v>79383128283</v>
      </c>
      <c r="D62" t="s">
        <v>715</v>
      </c>
      <c r="E62" t="str">
        <f>IFERROR(IF(VLOOKUP(MID(C62,2,3)+0,тесты!A:A,1,0),"мегафон"),"")</f>
        <v>мегафон</v>
      </c>
    </row>
    <row r="63" spans="1:5" x14ac:dyDescent="0.25">
      <c r="A63" t="s">
        <v>579</v>
      </c>
      <c r="B63" t="s">
        <v>580</v>
      </c>
      <c r="C63">
        <v>79032553195</v>
      </c>
      <c r="D63" t="s">
        <v>715</v>
      </c>
      <c r="E63" t="str">
        <f>IFERROR(IF(VLOOKUP(MID(C63,2,3)+0,тесты!A:A,1,0),"мегафон"),"")</f>
        <v/>
      </c>
    </row>
    <row r="64" spans="1:5" x14ac:dyDescent="0.25">
      <c r="A64" t="s">
        <v>646</v>
      </c>
      <c r="B64" t="s">
        <v>647</v>
      </c>
      <c r="C64">
        <v>79254232555</v>
      </c>
      <c r="D64" t="s">
        <v>715</v>
      </c>
      <c r="E64" t="str">
        <f>IFERROR(IF(VLOOKUP(MID(C64,2,3)+0,тесты!A:A,1,0),"мегафон"),"")</f>
        <v>мегафон</v>
      </c>
    </row>
    <row r="65" spans="1:5" x14ac:dyDescent="0.25">
      <c r="A65" t="s">
        <v>509</v>
      </c>
      <c r="B65" t="s">
        <v>510</v>
      </c>
      <c r="C65">
        <v>79037970956</v>
      </c>
      <c r="D65" t="s">
        <v>715</v>
      </c>
      <c r="E65" t="str">
        <f>IFERROR(IF(VLOOKUP(MID(C65,2,3)+0,тесты!A:A,1,0),"мегафон"),"")</f>
        <v/>
      </c>
    </row>
    <row r="66" spans="1:5" x14ac:dyDescent="0.25">
      <c r="A66" t="s">
        <v>707</v>
      </c>
      <c r="B66" t="s">
        <v>708</v>
      </c>
      <c r="C66">
        <v>79326199360</v>
      </c>
      <c r="D66" t="s">
        <v>715</v>
      </c>
      <c r="E66" t="str">
        <f>IFERROR(IF(VLOOKUP(MID(C66,2,3)+0,тесты!A:A,1,0),"мегафон"),"")</f>
        <v>мегафон</v>
      </c>
    </row>
    <row r="67" spans="1:5" x14ac:dyDescent="0.25">
      <c r="A67" t="s">
        <v>535</v>
      </c>
      <c r="B67" t="s">
        <v>536</v>
      </c>
      <c r="C67">
        <v>79164869058</v>
      </c>
      <c r="D67" t="s">
        <v>715</v>
      </c>
      <c r="E67" t="str">
        <f>IFERROR(IF(VLOOKUP(MID(C67,2,3)+0,тесты!A:A,1,0),"мегафон"),"")</f>
        <v/>
      </c>
    </row>
    <row r="68" spans="1:5" x14ac:dyDescent="0.25">
      <c r="A68" t="s">
        <v>577</v>
      </c>
      <c r="B68" t="s">
        <v>578</v>
      </c>
      <c r="C68">
        <v>79191349401</v>
      </c>
      <c r="D68" t="s">
        <v>715</v>
      </c>
      <c r="E68" t="str">
        <f>IFERROR(IF(VLOOKUP(MID(C68,2,3)+0,тесты!A:A,1,0),"мегафон"),"")</f>
        <v/>
      </c>
    </row>
    <row r="69" spans="1:5" x14ac:dyDescent="0.25">
      <c r="A69" t="s">
        <v>701</v>
      </c>
      <c r="B69" t="s">
        <v>702</v>
      </c>
      <c r="C69">
        <v>79250295009</v>
      </c>
      <c r="D69" t="s">
        <v>715</v>
      </c>
      <c r="E69" t="str">
        <f>IFERROR(IF(VLOOKUP(MID(C69,2,3)+0,тесты!A:A,1,0),"мегафон"),"")</f>
        <v>мегафон</v>
      </c>
    </row>
    <row r="70" spans="1:5" x14ac:dyDescent="0.25">
      <c r="A70" t="s">
        <v>368</v>
      </c>
      <c r="B70" t="s">
        <v>369</v>
      </c>
      <c r="C70">
        <v>79802518283</v>
      </c>
      <c r="D70" t="s">
        <v>715</v>
      </c>
      <c r="E70" t="str">
        <f>IFERROR(IF(VLOOKUP(MID(C70,2,3)+0,тесты!A:A,1,0),"мегафон"),"")</f>
        <v/>
      </c>
    </row>
    <row r="71" spans="1:5" x14ac:dyDescent="0.25">
      <c r="A71" t="s">
        <v>264</v>
      </c>
      <c r="B71" t="s">
        <v>279</v>
      </c>
      <c r="C71">
        <v>79213566544</v>
      </c>
      <c r="D71" t="s">
        <v>715</v>
      </c>
      <c r="E71" t="str">
        <f>IFERROR(IF(VLOOKUP(MID(C71,2,3)+0,тесты!A:A,1,0),"мегафон"),"")</f>
        <v>мегафон</v>
      </c>
    </row>
    <row r="72" spans="1:5" x14ac:dyDescent="0.25">
      <c r="A72" t="s">
        <v>630</v>
      </c>
      <c r="B72" t="s">
        <v>631</v>
      </c>
      <c r="C72">
        <v>79624223090</v>
      </c>
      <c r="D72" t="s">
        <v>715</v>
      </c>
      <c r="E72" t="str">
        <f>IFERROR(IF(VLOOKUP(MID(C72,2,3)+0,тесты!A:A,1,0),"мегафон"),"")</f>
        <v/>
      </c>
    </row>
    <row r="73" spans="1:5" x14ac:dyDescent="0.25">
      <c r="A73" t="s">
        <v>377</v>
      </c>
      <c r="B73" t="s">
        <v>378</v>
      </c>
      <c r="C73">
        <v>79171740555</v>
      </c>
      <c r="D73" t="s">
        <v>715</v>
      </c>
      <c r="E73" t="str">
        <f>IFERROR(IF(VLOOKUP(MID(C73,2,3)+0,тесты!A:A,1,0),"мегафон"),"")</f>
        <v/>
      </c>
    </row>
    <row r="74" spans="1:5" x14ac:dyDescent="0.25">
      <c r="A74" t="s">
        <v>406</v>
      </c>
      <c r="B74" t="s">
        <v>407</v>
      </c>
      <c r="C74">
        <v>79033874777</v>
      </c>
      <c r="D74" t="s">
        <v>715</v>
      </c>
      <c r="E74" t="str">
        <f>IFERROR(IF(VLOOKUP(MID(C74,2,3)+0,тесты!A:A,1,0),"мегафон"),"")</f>
        <v/>
      </c>
    </row>
    <row r="75" spans="1:5" x14ac:dyDescent="0.25">
      <c r="A75" t="s">
        <v>571</v>
      </c>
      <c r="B75" t="s">
        <v>572</v>
      </c>
      <c r="C75">
        <v>79629134902</v>
      </c>
      <c r="D75" t="s">
        <v>715</v>
      </c>
      <c r="E75" t="str">
        <f>IFERROR(IF(VLOOKUP(MID(C75,2,3)+0,тесты!A:A,1,0),"мегафон"),"")</f>
        <v/>
      </c>
    </row>
    <row r="76" spans="1:5" x14ac:dyDescent="0.25">
      <c r="A76" t="s">
        <v>613</v>
      </c>
      <c r="B76" t="s">
        <v>614</v>
      </c>
      <c r="C76">
        <v>79636718919</v>
      </c>
      <c r="D76" t="s">
        <v>715</v>
      </c>
      <c r="E76" t="str">
        <f>IFERROR(IF(VLOOKUP(MID(C76,2,3)+0,тесты!A:A,1,0),"мегафон"),"")</f>
        <v/>
      </c>
    </row>
    <row r="77" spans="1:5" x14ac:dyDescent="0.25">
      <c r="A77" t="s">
        <v>563</v>
      </c>
      <c r="B77" t="s">
        <v>564</v>
      </c>
      <c r="C77">
        <v>79675373839</v>
      </c>
      <c r="D77" t="s">
        <v>715</v>
      </c>
      <c r="E77" t="str">
        <f>IFERROR(IF(VLOOKUP(MID(C77,2,3)+0,тесты!A:A,1,0),"мегафон"),"")</f>
        <v/>
      </c>
    </row>
    <row r="78" spans="1:5" x14ac:dyDescent="0.25">
      <c r="A78" t="s">
        <v>454</v>
      </c>
      <c r="B78" t="s">
        <v>455</v>
      </c>
      <c r="C78">
        <v>79289741541</v>
      </c>
      <c r="D78" t="s">
        <v>715</v>
      </c>
      <c r="E78" t="str">
        <f>IFERROR(IF(VLOOKUP(MID(C78,2,3)+0,тесты!A:A,1,0),"мегафон"),"")</f>
        <v>мегафон</v>
      </c>
    </row>
    <row r="79" spans="1:5" x14ac:dyDescent="0.25">
      <c r="A79" t="s">
        <v>418</v>
      </c>
      <c r="B79" t="s">
        <v>419</v>
      </c>
      <c r="C79">
        <v>79185540969</v>
      </c>
      <c r="D79" t="s">
        <v>715</v>
      </c>
      <c r="E79" t="str">
        <f>IFERROR(IF(VLOOKUP(MID(C79,2,3)+0,тесты!A:A,1,0),"мегафон"),"")</f>
        <v/>
      </c>
    </row>
    <row r="80" spans="1:5" x14ac:dyDescent="0.25">
      <c r="A80" t="s">
        <v>286</v>
      </c>
      <c r="B80" t="s">
        <v>287</v>
      </c>
      <c r="C80">
        <v>79997721003</v>
      </c>
      <c r="D80" t="s">
        <v>715</v>
      </c>
      <c r="E80" t="str">
        <f>IFERROR(IF(VLOOKUP(MID(C80,2,3)+0,тесты!A:A,1,0),"мегафон"),"")</f>
        <v>мегафон</v>
      </c>
    </row>
    <row r="81" spans="1:5" x14ac:dyDescent="0.25">
      <c r="A81" t="s">
        <v>585</v>
      </c>
      <c r="B81" t="s">
        <v>586</v>
      </c>
      <c r="C81">
        <v>79661685959</v>
      </c>
      <c r="D81" t="s">
        <v>715</v>
      </c>
      <c r="E81" t="str">
        <f>IFERROR(IF(VLOOKUP(MID(C81,2,3)+0,тесты!A:A,1,0),"мегафон"),"")</f>
        <v/>
      </c>
    </row>
    <row r="82" spans="1:5" x14ac:dyDescent="0.25">
      <c r="A82" t="s">
        <v>267</v>
      </c>
      <c r="B82" t="s">
        <v>268</v>
      </c>
      <c r="C82">
        <v>79181530907</v>
      </c>
      <c r="D82" t="s">
        <v>715</v>
      </c>
      <c r="E82" t="str">
        <f>IFERROR(IF(VLOOKUP(MID(C82,2,3)+0,тесты!A:A,1,0),"мегафон"),"")</f>
        <v/>
      </c>
    </row>
    <row r="83" spans="1:5" x14ac:dyDescent="0.25">
      <c r="A83" t="s">
        <v>699</v>
      </c>
      <c r="B83" t="s">
        <v>700</v>
      </c>
      <c r="C83">
        <v>79102437545</v>
      </c>
      <c r="D83" t="s">
        <v>715</v>
      </c>
      <c r="E83" t="str">
        <f>IFERROR(IF(VLOOKUP(MID(C83,2,3)+0,тесты!A:A,1,0),"мегафон"),"")</f>
        <v/>
      </c>
    </row>
    <row r="84" spans="1:5" x14ac:dyDescent="0.25">
      <c r="A84" t="s">
        <v>271</v>
      </c>
      <c r="B84" t="s">
        <v>272</v>
      </c>
      <c r="C84">
        <v>79186930426</v>
      </c>
      <c r="D84" t="s">
        <v>715</v>
      </c>
      <c r="E84" t="str">
        <f>IFERROR(IF(VLOOKUP(MID(C84,2,3)+0,тесты!A:A,1,0),"мегафон"),"")</f>
        <v/>
      </c>
    </row>
    <row r="85" spans="1:5" x14ac:dyDescent="0.25">
      <c r="A85" t="s">
        <v>480</v>
      </c>
      <c r="B85" t="s">
        <v>481</v>
      </c>
      <c r="C85">
        <v>79237504761</v>
      </c>
      <c r="D85" t="s">
        <v>715</v>
      </c>
      <c r="E85" t="str">
        <f>IFERROR(IF(VLOOKUP(MID(C85,2,3)+0,тесты!A:A,1,0),"мегафон"),"")</f>
        <v>мегафон</v>
      </c>
    </row>
    <row r="86" spans="1:5" x14ac:dyDescent="0.25">
      <c r="A86" t="s">
        <v>440</v>
      </c>
      <c r="B86" t="s">
        <v>441</v>
      </c>
      <c r="C86">
        <v>79855645225</v>
      </c>
      <c r="D86" t="s">
        <v>715</v>
      </c>
      <c r="E86" t="str">
        <f>IFERROR(IF(VLOOKUP(MID(C86,2,3)+0,тесты!A:A,1,0),"мегафон"),"")</f>
        <v/>
      </c>
    </row>
    <row r="87" spans="1:5" x14ac:dyDescent="0.25">
      <c r="A87" t="s">
        <v>516</v>
      </c>
      <c r="B87" t="s">
        <v>517</v>
      </c>
      <c r="C87">
        <v>79160417078</v>
      </c>
      <c r="D87" t="s">
        <v>715</v>
      </c>
      <c r="E87" t="str">
        <f>IFERROR(IF(VLOOKUP(MID(C87,2,3)+0,тесты!A:A,1,0),"мегафон"),"")</f>
        <v/>
      </c>
    </row>
    <row r="88" spans="1:5" x14ac:dyDescent="0.25">
      <c r="A88" t="s">
        <v>362</v>
      </c>
      <c r="B88" t="s">
        <v>363</v>
      </c>
      <c r="C88">
        <v>79950000030</v>
      </c>
      <c r="D88" t="s">
        <v>715</v>
      </c>
      <c r="E88" t="str">
        <f>IFERROR(IF(VLOOKUP(MID(C88,2,3)+0,тесты!A:A,1,0),"мегафон"),"")</f>
        <v/>
      </c>
    </row>
    <row r="89" spans="1:5" x14ac:dyDescent="0.25">
      <c r="A89" t="s">
        <v>430</v>
      </c>
      <c r="B89" t="s">
        <v>431</v>
      </c>
      <c r="C89">
        <v>79081355049</v>
      </c>
      <c r="D89" t="s">
        <v>715</v>
      </c>
      <c r="E89" t="str">
        <f>IFERROR(IF(VLOOKUP(MID(C89,2,3)+0,тесты!A:A,1,0),"мегафон"),"")</f>
        <v>мегафон</v>
      </c>
    </row>
    <row r="90" spans="1:5" x14ac:dyDescent="0.25">
      <c r="A90" t="s">
        <v>541</v>
      </c>
      <c r="B90" t="s">
        <v>542</v>
      </c>
      <c r="C90">
        <v>79787200413</v>
      </c>
      <c r="D90" t="s">
        <v>715</v>
      </c>
      <c r="E90" t="str">
        <f>IFERROR(IF(VLOOKUP(MID(C90,2,3)+0,тесты!A:A,1,0),"мегафон"),"")</f>
        <v/>
      </c>
    </row>
    <row r="91" spans="1:5" x14ac:dyDescent="0.25">
      <c r="A91" t="s">
        <v>597</v>
      </c>
      <c r="B91" t="s">
        <v>598</v>
      </c>
      <c r="C91">
        <v>79679070701</v>
      </c>
      <c r="D91" t="s">
        <v>715</v>
      </c>
      <c r="E91" t="str">
        <f>IFERROR(IF(VLOOKUP(MID(C91,2,3)+0,тесты!A:A,1,0),"мегафон"),"")</f>
        <v/>
      </c>
    </row>
    <row r="92" spans="1:5" x14ac:dyDescent="0.25">
      <c r="A92" t="s">
        <v>545</v>
      </c>
      <c r="B92" t="s">
        <v>546</v>
      </c>
      <c r="C92">
        <v>79266588248</v>
      </c>
      <c r="D92" t="s">
        <v>715</v>
      </c>
      <c r="E92" t="str">
        <f>IFERROR(IF(VLOOKUP(MID(C92,2,3)+0,тесты!A:A,1,0),"мегафон"),"")</f>
        <v>мегафон</v>
      </c>
    </row>
    <row r="93" spans="1:5" x14ac:dyDescent="0.25">
      <c r="A93" t="s">
        <v>501</v>
      </c>
      <c r="B93" t="s">
        <v>502</v>
      </c>
      <c r="C93">
        <v>79964272738</v>
      </c>
      <c r="D93" t="s">
        <v>715</v>
      </c>
      <c r="E93" t="str">
        <f>IFERROR(IF(VLOOKUP(MID(C93,2,3)+0,тесты!A:A,1,0),"мегафон"),"")</f>
        <v/>
      </c>
    </row>
    <row r="94" spans="1:5" x14ac:dyDescent="0.25">
      <c r="A94" t="s">
        <v>338</v>
      </c>
      <c r="B94" t="s">
        <v>339</v>
      </c>
      <c r="C94">
        <v>79036898056</v>
      </c>
      <c r="D94" t="s">
        <v>715</v>
      </c>
      <c r="E94" t="str">
        <f>IFERROR(IF(VLOOKUP(MID(C94,2,3)+0,тесты!A:A,1,0),"мегафон"),"")</f>
        <v/>
      </c>
    </row>
    <row r="95" spans="1:5" x14ac:dyDescent="0.25">
      <c r="A95" t="s">
        <v>611</v>
      </c>
      <c r="B95" t="s">
        <v>612</v>
      </c>
      <c r="C95">
        <v>79161011366</v>
      </c>
      <c r="D95" t="s">
        <v>715</v>
      </c>
      <c r="E95" t="str">
        <f>IFERROR(IF(VLOOKUP(MID(C95,2,3)+0,тесты!A:A,1,0),"мегафон"),"")</f>
        <v/>
      </c>
    </row>
    <row r="96" spans="1:5" x14ac:dyDescent="0.25">
      <c r="A96" t="s">
        <v>599</v>
      </c>
      <c r="B96" t="s">
        <v>600</v>
      </c>
      <c r="C96">
        <v>79660007770</v>
      </c>
      <c r="D96" t="s">
        <v>715</v>
      </c>
      <c r="E96" t="str">
        <f>IFERROR(IF(VLOOKUP(MID(C96,2,3)+0,тесты!A:A,1,0),"мегафон"),"")</f>
        <v/>
      </c>
    </row>
    <row r="97" spans="1:5" x14ac:dyDescent="0.25">
      <c r="A97" t="s">
        <v>312</v>
      </c>
      <c r="B97" t="s">
        <v>313</v>
      </c>
      <c r="C97">
        <v>79652300400</v>
      </c>
      <c r="D97" t="s">
        <v>715</v>
      </c>
      <c r="E97" t="str">
        <f>IFERROR(IF(VLOOKUP(MID(C97,2,3)+0,тесты!A:A,1,0),"мегафон"),"")</f>
        <v/>
      </c>
    </row>
    <row r="98" spans="1:5" x14ac:dyDescent="0.25">
      <c r="A98" t="s">
        <v>401</v>
      </c>
      <c r="B98" t="s">
        <v>245</v>
      </c>
      <c r="C98">
        <v>79787665046</v>
      </c>
      <c r="D98" t="s">
        <v>715</v>
      </c>
      <c r="E98" t="str">
        <f>IFERROR(IF(VLOOKUP(MID(C98,2,3)+0,тесты!A:A,1,0),"мегафон"),"")</f>
        <v/>
      </c>
    </row>
    <row r="99" spans="1:5" x14ac:dyDescent="0.25">
      <c r="A99" t="s">
        <v>491</v>
      </c>
      <c r="B99" t="s">
        <v>492</v>
      </c>
      <c r="C99">
        <v>79260461793</v>
      </c>
      <c r="D99" t="s">
        <v>715</v>
      </c>
      <c r="E99" t="str">
        <f>IFERROR(IF(VLOOKUP(MID(C99,2,3)+0,тесты!A:A,1,0),"мегафон"),"")</f>
        <v>мегафон</v>
      </c>
    </row>
    <row r="100" spans="1:5" x14ac:dyDescent="0.25">
      <c r="A100" t="s">
        <v>350</v>
      </c>
      <c r="B100" t="s">
        <v>351</v>
      </c>
      <c r="C100">
        <v>79998833823</v>
      </c>
      <c r="D100" t="s">
        <v>715</v>
      </c>
      <c r="E100" t="str">
        <f>IFERROR(IF(VLOOKUP(MID(C100,2,3)+0,тесты!A:A,1,0),"мегафон"),"")</f>
        <v>мегафон</v>
      </c>
    </row>
    <row r="101" spans="1:5" x14ac:dyDescent="0.25">
      <c r="A101" t="s">
        <v>486</v>
      </c>
      <c r="B101" t="s">
        <v>487</v>
      </c>
      <c r="C101">
        <v>79152571893</v>
      </c>
      <c r="D101" t="s">
        <v>715</v>
      </c>
      <c r="E101" t="str">
        <f>IFERROR(IF(VLOOKUP(MID(C101,2,3)+0,тесты!A:A,1,0),"мегафон"),"")</f>
        <v/>
      </c>
    </row>
    <row r="102" spans="1:5" x14ac:dyDescent="0.25">
      <c r="A102" t="s">
        <v>434</v>
      </c>
      <c r="B102" t="s">
        <v>435</v>
      </c>
      <c r="C102">
        <v>79781440760</v>
      </c>
      <c r="D102" t="s">
        <v>715</v>
      </c>
      <c r="E102" t="str">
        <f>IFERROR(IF(VLOOKUP(MID(C102,2,3)+0,тесты!A:A,1,0),"мегафон"),"")</f>
        <v/>
      </c>
    </row>
    <row r="103" spans="1:5" x14ac:dyDescent="0.25">
      <c r="A103" t="s">
        <v>360</v>
      </c>
      <c r="B103" t="s">
        <v>361</v>
      </c>
      <c r="C103">
        <v>79251004250</v>
      </c>
      <c r="D103" t="s">
        <v>715</v>
      </c>
      <c r="E103" t="str">
        <f>IFERROR(IF(VLOOKUP(MID(C103,2,3)+0,тесты!A:A,1,0),"мегафон"),"")</f>
        <v>мегафон</v>
      </c>
    </row>
    <row r="104" spans="1:5" x14ac:dyDescent="0.25">
      <c r="A104" t="s">
        <v>605</v>
      </c>
      <c r="B104" t="s">
        <v>606</v>
      </c>
      <c r="C104">
        <v>79774447323</v>
      </c>
      <c r="D104" t="s">
        <v>715</v>
      </c>
      <c r="E104" t="str">
        <f>IFERROR(IF(VLOOKUP(MID(C104,2,3)+0,тесты!A:A,1,0),"мегафон"),"")</f>
        <v/>
      </c>
    </row>
    <row r="105" spans="1:5" x14ac:dyDescent="0.25">
      <c r="A105" t="s">
        <v>676</v>
      </c>
      <c r="B105" t="s">
        <v>677</v>
      </c>
      <c r="C105">
        <v>79652489708</v>
      </c>
      <c r="D105" t="s">
        <v>715</v>
      </c>
      <c r="E105" t="str">
        <f>IFERROR(IF(VLOOKUP(MID(C105,2,3)+0,тесты!A:A,1,0),"мегафон"),"")</f>
        <v/>
      </c>
    </row>
    <row r="106" spans="1:5" x14ac:dyDescent="0.25">
      <c r="A106" t="s">
        <v>591</v>
      </c>
      <c r="B106" t="s">
        <v>592</v>
      </c>
      <c r="C106">
        <v>79992164924</v>
      </c>
      <c r="D106" t="s">
        <v>715</v>
      </c>
      <c r="E106" t="str">
        <f>IFERROR(IF(VLOOKUP(MID(C106,2,3)+0,тесты!A:A,1,0),"мегафон"),"")</f>
        <v>мегафон</v>
      </c>
    </row>
    <row r="107" spans="1:5" x14ac:dyDescent="0.25">
      <c r="A107" t="s">
        <v>366</v>
      </c>
      <c r="B107" t="s">
        <v>367</v>
      </c>
      <c r="C107">
        <v>79268813850</v>
      </c>
      <c r="D107" t="s">
        <v>715</v>
      </c>
      <c r="E107" t="str">
        <f>IFERROR(IF(VLOOKUP(MID(C107,2,3)+0,тесты!A:A,1,0),"мегафон"),"")</f>
        <v>мегафон</v>
      </c>
    </row>
    <row r="108" spans="1:5" x14ac:dyDescent="0.25">
      <c r="A108" t="s">
        <v>581</v>
      </c>
      <c r="B108" t="s">
        <v>582</v>
      </c>
      <c r="C108">
        <v>79643323292</v>
      </c>
      <c r="D108" t="s">
        <v>715</v>
      </c>
      <c r="E108" t="str">
        <f>IFERROR(IF(VLOOKUP(MID(C108,2,3)+0,тесты!A:A,1,0),"мегафон"),"")</f>
        <v/>
      </c>
    </row>
    <row r="109" spans="1:5" x14ac:dyDescent="0.25">
      <c r="A109" t="s">
        <v>567</v>
      </c>
      <c r="B109" t="s">
        <v>568</v>
      </c>
      <c r="C109">
        <v>79161282203</v>
      </c>
      <c r="D109" t="s">
        <v>715</v>
      </c>
      <c r="E109" t="str">
        <f>IFERROR(IF(VLOOKUP(MID(C109,2,3)+0,тесты!A:A,1,0),"мегафон"),"")</f>
        <v/>
      </c>
    </row>
    <row r="110" spans="1:5" x14ac:dyDescent="0.25">
      <c r="A110" t="s">
        <v>670</v>
      </c>
      <c r="B110" t="s">
        <v>671</v>
      </c>
      <c r="C110">
        <v>79272017750</v>
      </c>
      <c r="D110" t="s">
        <v>715</v>
      </c>
      <c r="E110" t="str">
        <f>IFERROR(IF(VLOOKUP(MID(C110,2,3)+0,тесты!A:A,1,0),"мегафон"),"")</f>
        <v>мегафон</v>
      </c>
    </row>
    <row r="111" spans="1:5" x14ac:dyDescent="0.25">
      <c r="A111" t="s">
        <v>696</v>
      </c>
      <c r="B111" t="s">
        <v>697</v>
      </c>
      <c r="C111">
        <v>79167906097</v>
      </c>
      <c r="D111" t="s">
        <v>715</v>
      </c>
      <c r="E111" t="str">
        <f>IFERROR(IF(VLOOKUP(MID(C111,2,3)+0,тесты!A:A,1,0),"мегафон"),"")</f>
        <v/>
      </c>
    </row>
    <row r="112" spans="1:5" x14ac:dyDescent="0.25">
      <c r="A112" t="s">
        <v>520</v>
      </c>
      <c r="B112" t="s">
        <v>521</v>
      </c>
      <c r="C112">
        <v>79194867647</v>
      </c>
      <c r="D112" t="s">
        <v>715</v>
      </c>
      <c r="E112" t="str">
        <f>IFERROR(IF(VLOOKUP(MID(C112,2,3)+0,тесты!A:A,1,0),"мегафон"),"")</f>
        <v/>
      </c>
    </row>
    <row r="113" spans="1:5" x14ac:dyDescent="0.25">
      <c r="A113" t="s">
        <v>277</v>
      </c>
      <c r="B113" t="s">
        <v>278</v>
      </c>
      <c r="C113">
        <v>79144493888</v>
      </c>
      <c r="D113" t="s">
        <v>715</v>
      </c>
      <c r="E113" t="str">
        <f>IFERROR(IF(VLOOKUP(MID(C113,2,3)+0,тесты!A:A,1,0),"мегафон"),"")</f>
        <v/>
      </c>
    </row>
    <row r="114" spans="1:5" x14ac:dyDescent="0.25">
      <c r="A114" t="s">
        <v>694</v>
      </c>
      <c r="B114" t="s">
        <v>695</v>
      </c>
      <c r="C114">
        <v>79090285655</v>
      </c>
      <c r="D114" t="s">
        <v>715</v>
      </c>
      <c r="E114" t="str">
        <f>IFERROR(IF(VLOOKUP(MID(C114,2,3)+0,тесты!A:A,1,0),"мегафон"),"")</f>
        <v/>
      </c>
    </row>
    <row r="115" spans="1:5" x14ac:dyDescent="0.25">
      <c r="A115" t="s">
        <v>632</v>
      </c>
      <c r="B115" t="s">
        <v>633</v>
      </c>
      <c r="C115">
        <v>79185881804</v>
      </c>
      <c r="D115" t="s">
        <v>715</v>
      </c>
      <c r="E115" t="str">
        <f>IFERROR(IF(VLOOKUP(MID(C115,2,3)+0,тесты!A:A,1,0),"мегафон"),"")</f>
        <v/>
      </c>
    </row>
    <row r="116" spans="1:5" x14ac:dyDescent="0.25">
      <c r="A116" t="s">
        <v>513</v>
      </c>
      <c r="B116" t="s">
        <v>514</v>
      </c>
      <c r="C116">
        <v>79627262124</v>
      </c>
      <c r="D116" t="s">
        <v>715</v>
      </c>
      <c r="E116" t="str">
        <f>IFERROR(IF(VLOOKUP(MID(C116,2,3)+0,тесты!A:A,1,0),"мегафон"),"")</f>
        <v/>
      </c>
    </row>
    <row r="117" spans="1:5" x14ac:dyDescent="0.25">
      <c r="A117" t="s">
        <v>328</v>
      </c>
      <c r="B117" t="s">
        <v>329</v>
      </c>
      <c r="C117">
        <v>79109502279</v>
      </c>
      <c r="D117" t="s">
        <v>715</v>
      </c>
      <c r="E117" t="str">
        <f>IFERROR(IF(VLOOKUP(MID(C117,2,3)+0,тесты!A:A,1,0),"мегафон"),"")</f>
        <v/>
      </c>
    </row>
    <row r="118" spans="1:5" x14ac:dyDescent="0.25">
      <c r="A118" t="s">
        <v>688</v>
      </c>
      <c r="B118" t="s">
        <v>689</v>
      </c>
      <c r="C118">
        <v>79037209373</v>
      </c>
      <c r="D118" t="s">
        <v>715</v>
      </c>
      <c r="E118" t="str">
        <f>IFERROR(IF(VLOOKUP(MID(C118,2,3)+0,тесты!A:A,1,0),"мегафон"),"")</f>
        <v/>
      </c>
    </row>
    <row r="119" spans="1:5" x14ac:dyDescent="0.25">
      <c r="A119" t="s">
        <v>569</v>
      </c>
      <c r="B119" t="s">
        <v>570</v>
      </c>
      <c r="C119">
        <v>79112730146</v>
      </c>
      <c r="D119" t="s">
        <v>715</v>
      </c>
      <c r="E119" t="str">
        <f>IFERROR(IF(VLOOKUP(MID(C119,2,3)+0,тесты!A:A,1,0),"мегафон"),"")</f>
        <v/>
      </c>
    </row>
    <row r="120" spans="1:5" x14ac:dyDescent="0.25">
      <c r="A120" t="s">
        <v>460</v>
      </c>
      <c r="B120" t="s">
        <v>461</v>
      </c>
      <c r="C120">
        <v>79637178904</v>
      </c>
      <c r="D120" t="s">
        <v>715</v>
      </c>
      <c r="E120" t="str">
        <f>IFERROR(IF(VLOOKUP(MID(C120,2,3)+0,тесты!A:A,1,0),"мегафон"),"")</f>
        <v/>
      </c>
    </row>
    <row r="121" spans="1:5" x14ac:dyDescent="0.25">
      <c r="A121" t="s">
        <v>444</v>
      </c>
      <c r="B121" t="s">
        <v>445</v>
      </c>
      <c r="C121">
        <v>79517587421</v>
      </c>
      <c r="D121" t="s">
        <v>715</v>
      </c>
      <c r="E121" t="str">
        <f>IFERROR(IF(VLOOKUP(MID(C121,2,3)+0,тесты!A:A,1,0),"мегафон"),"")</f>
        <v>мегафон</v>
      </c>
    </row>
    <row r="122" spans="1:5" x14ac:dyDescent="0.25">
      <c r="A122" t="s">
        <v>589</v>
      </c>
      <c r="B122" t="s">
        <v>590</v>
      </c>
      <c r="C122">
        <v>79996794623</v>
      </c>
      <c r="D122" t="s">
        <v>715</v>
      </c>
      <c r="E122" t="str">
        <f>IFERROR(IF(VLOOKUP(MID(C122,2,3)+0,тесты!A:A,1,0),"мегафон"),"")</f>
        <v>мегафон</v>
      </c>
    </row>
    <row r="123" spans="1:5" x14ac:dyDescent="0.25">
      <c r="A123" t="s">
        <v>565</v>
      </c>
      <c r="B123" t="s">
        <v>566</v>
      </c>
      <c r="C123">
        <v>79959979969</v>
      </c>
      <c r="D123" t="s">
        <v>715</v>
      </c>
      <c r="E123" t="str">
        <f>IFERROR(IF(VLOOKUP(MID(C123,2,3)+0,тесты!A:A,1,0),"мегафон"),"")</f>
        <v/>
      </c>
    </row>
    <row r="124" spans="1:5" x14ac:dyDescent="0.25">
      <c r="A124" t="s">
        <v>456</v>
      </c>
      <c r="B124" t="s">
        <v>457</v>
      </c>
      <c r="C124">
        <v>79106121114</v>
      </c>
      <c r="D124" t="s">
        <v>715</v>
      </c>
      <c r="E124" t="str">
        <f>IFERROR(IF(VLOOKUP(MID(C124,2,3)+0,тесты!A:A,1,0),"мегафон"),"")</f>
        <v/>
      </c>
    </row>
    <row r="125" spans="1:5" x14ac:dyDescent="0.25">
      <c r="A125" t="s">
        <v>397</v>
      </c>
      <c r="B125" t="s">
        <v>398</v>
      </c>
      <c r="C125">
        <v>79037968869</v>
      </c>
      <c r="D125" t="s">
        <v>715</v>
      </c>
      <c r="E125" t="str">
        <f>IFERROR(IF(VLOOKUP(MID(C125,2,3)+0,тесты!A:A,1,0),"мегафон"),"")</f>
        <v/>
      </c>
    </row>
    <row r="126" spans="1:5" x14ac:dyDescent="0.25">
      <c r="A126" t="s">
        <v>474</v>
      </c>
      <c r="B126" t="s">
        <v>475</v>
      </c>
      <c r="C126">
        <v>79175621918</v>
      </c>
      <c r="D126" t="s">
        <v>715</v>
      </c>
      <c r="E126" t="str">
        <f>IFERROR(IF(VLOOKUP(MID(C126,2,3)+0,тесты!A:A,1,0),"мегафон"),"")</f>
        <v/>
      </c>
    </row>
    <row r="127" spans="1:5" x14ac:dyDescent="0.25">
      <c r="A127" t="s">
        <v>462</v>
      </c>
      <c r="B127" t="s">
        <v>463</v>
      </c>
      <c r="C127">
        <v>79370214535</v>
      </c>
      <c r="D127" t="s">
        <v>715</v>
      </c>
      <c r="E127" t="str">
        <f>IFERROR(IF(VLOOKUP(MID(C127,2,3)+0,тесты!A:A,1,0),"мегафон"),"")</f>
        <v>мегафон</v>
      </c>
    </row>
    <row r="128" spans="1:5" x14ac:dyDescent="0.25">
      <c r="A128" t="s">
        <v>526</v>
      </c>
      <c r="B128" t="s">
        <v>527</v>
      </c>
      <c r="C128">
        <v>79091500039</v>
      </c>
      <c r="D128" t="s">
        <v>715</v>
      </c>
      <c r="E128" t="str">
        <f>IFERROR(IF(VLOOKUP(MID(C128,2,3)+0,тесты!A:A,1,0),"мегафон"),"")</f>
        <v/>
      </c>
    </row>
    <row r="129" spans="1:5" x14ac:dyDescent="0.25">
      <c r="A129" t="s">
        <v>416</v>
      </c>
      <c r="B129" t="s">
        <v>417</v>
      </c>
      <c r="C129">
        <v>79995636451</v>
      </c>
      <c r="D129" t="s">
        <v>715</v>
      </c>
      <c r="E129" t="str">
        <f>IFERROR(IF(VLOOKUP(MID(C129,2,3)+0,тесты!A:A,1,0),"мегафон"),"")</f>
        <v>мегафон</v>
      </c>
    </row>
    <row r="130" spans="1:5" x14ac:dyDescent="0.25">
      <c r="A130" t="s">
        <v>432</v>
      </c>
      <c r="B130" t="s">
        <v>433</v>
      </c>
      <c r="C130">
        <v>79119272677</v>
      </c>
      <c r="D130" t="s">
        <v>715</v>
      </c>
      <c r="E130" t="str">
        <f>IFERROR(IF(VLOOKUP(MID(C130,2,3)+0,тесты!A:A,1,0),"мегафон"),"")</f>
        <v/>
      </c>
    </row>
    <row r="131" spans="1:5" x14ac:dyDescent="0.25">
      <c r="A131" t="s">
        <v>446</v>
      </c>
      <c r="B131" t="s">
        <v>447</v>
      </c>
      <c r="C131">
        <v>79303799999</v>
      </c>
      <c r="D131" t="s">
        <v>715</v>
      </c>
      <c r="E131" t="str">
        <f>IFERROR(IF(VLOOKUP(MID(C131,2,3)+0,тесты!A:A,1,0),"мегафон"),"")</f>
        <v>мегафон</v>
      </c>
    </row>
    <row r="132" spans="1:5" x14ac:dyDescent="0.25">
      <c r="A132" t="s">
        <v>466</v>
      </c>
      <c r="B132" t="s">
        <v>467</v>
      </c>
      <c r="C132">
        <v>79534275511</v>
      </c>
      <c r="D132" t="s">
        <v>715</v>
      </c>
      <c r="E132" t="str">
        <f>IFERROR(IF(VLOOKUP(MID(C132,2,3)+0,тесты!A:A,1,0),"мегафон"),"")</f>
        <v/>
      </c>
    </row>
    <row r="133" spans="1:5" x14ac:dyDescent="0.25">
      <c r="A133" t="s">
        <v>284</v>
      </c>
      <c r="B133" t="s">
        <v>285</v>
      </c>
      <c r="C133">
        <v>79185435217</v>
      </c>
      <c r="D133" t="s">
        <v>715</v>
      </c>
      <c r="E133" t="str">
        <f>IFERROR(IF(VLOOKUP(MID(C133,2,3)+0,тесты!A:A,1,0),"мегафон"),"")</f>
        <v/>
      </c>
    </row>
    <row r="134" spans="1:5" x14ac:dyDescent="0.25">
      <c r="A134" t="s">
        <v>530</v>
      </c>
      <c r="B134" t="s">
        <v>531</v>
      </c>
      <c r="C134">
        <v>79064793696</v>
      </c>
      <c r="D134" t="s">
        <v>715</v>
      </c>
      <c r="E134" t="str">
        <f>IFERROR(IF(VLOOKUP(MID(C134,2,3)+0,тесты!A:A,1,0),"мегафон"),"")</f>
        <v/>
      </c>
    </row>
    <row r="135" spans="1:5" x14ac:dyDescent="0.25">
      <c r="A135" t="s">
        <v>428</v>
      </c>
      <c r="B135" t="s">
        <v>429</v>
      </c>
      <c r="C135">
        <v>79885454000</v>
      </c>
      <c r="D135" t="s">
        <v>715</v>
      </c>
      <c r="E135" t="str">
        <f>IFERROR(IF(VLOOKUP(MID(C135,2,3)+0,тесты!A:A,1,0),"мегафон"),"")</f>
        <v/>
      </c>
    </row>
    <row r="136" spans="1:5" x14ac:dyDescent="0.25">
      <c r="A136" t="s">
        <v>348</v>
      </c>
      <c r="B136" t="s">
        <v>349</v>
      </c>
      <c r="C136">
        <v>79167486030</v>
      </c>
      <c r="D136" t="s">
        <v>715</v>
      </c>
      <c r="E136" t="str">
        <f>IFERROR(IF(VLOOKUP(MID(C136,2,3)+0,тесты!A:A,1,0),"мегафон"),"")</f>
        <v/>
      </c>
    </row>
    <row r="137" spans="1:5" x14ac:dyDescent="0.25">
      <c r="A137" t="s">
        <v>607</v>
      </c>
      <c r="B137" t="s">
        <v>608</v>
      </c>
      <c r="C137">
        <v>79057778814</v>
      </c>
      <c r="D137" t="s">
        <v>715</v>
      </c>
      <c r="E137" t="str">
        <f>IFERROR(IF(VLOOKUP(MID(C137,2,3)+0,тесты!A:A,1,0),"мегафон"),"")</f>
        <v/>
      </c>
    </row>
    <row r="138" spans="1:5" x14ac:dyDescent="0.25">
      <c r="A138" t="s">
        <v>389</v>
      </c>
      <c r="B138" t="s">
        <v>390</v>
      </c>
      <c r="C138">
        <v>79997352009</v>
      </c>
      <c r="D138" t="s">
        <v>715</v>
      </c>
      <c r="E138" t="str">
        <f>IFERROR(IF(VLOOKUP(MID(C138,2,3)+0,тесты!A:A,1,0),"мегафон"),"")</f>
        <v>мегафон</v>
      </c>
    </row>
    <row r="139" spans="1:5" x14ac:dyDescent="0.25">
      <c r="A139" t="s">
        <v>298</v>
      </c>
      <c r="B139" t="s">
        <v>299</v>
      </c>
      <c r="C139">
        <v>79513421351</v>
      </c>
      <c r="D139" t="s">
        <v>715</v>
      </c>
      <c r="E139" t="str">
        <f>IFERROR(IF(VLOOKUP(MID(C139,2,3)+0,тесты!A:A,1,0),"мегафон"),"")</f>
        <v>мегафон</v>
      </c>
    </row>
    <row r="140" spans="1:5" x14ac:dyDescent="0.25">
      <c r="A140" t="s">
        <v>346</v>
      </c>
      <c r="B140" t="s">
        <v>347</v>
      </c>
      <c r="C140">
        <v>79189086446</v>
      </c>
      <c r="D140" t="s">
        <v>715</v>
      </c>
      <c r="E140" t="str">
        <f>IFERROR(IF(VLOOKUP(MID(C140,2,3)+0,тесты!A:A,1,0),"мегафон"),"")</f>
        <v/>
      </c>
    </row>
    <row r="141" spans="1:5" x14ac:dyDescent="0.25">
      <c r="A141" t="s">
        <v>615</v>
      </c>
      <c r="B141" t="s">
        <v>616</v>
      </c>
      <c r="C141">
        <v>79652274249</v>
      </c>
      <c r="D141" t="s">
        <v>715</v>
      </c>
      <c r="E141" t="str">
        <f>IFERROR(IF(VLOOKUP(MID(C141,2,3)+0,тесты!A:A,1,0),"мегафон"),"")</f>
        <v/>
      </c>
    </row>
    <row r="142" spans="1:5" x14ac:dyDescent="0.25">
      <c r="A142" t="s">
        <v>623</v>
      </c>
      <c r="B142" t="s">
        <v>624</v>
      </c>
      <c r="C142">
        <v>79787532105</v>
      </c>
      <c r="D142" t="s">
        <v>715</v>
      </c>
      <c r="E142" t="str">
        <f>IFERROR(IF(VLOOKUP(MID(C142,2,3)+0,тесты!A:A,1,0),"мегафон"),"")</f>
        <v/>
      </c>
    </row>
    <row r="143" spans="1:5" x14ac:dyDescent="0.25">
      <c r="A143" t="s">
        <v>393</v>
      </c>
      <c r="B143" t="s">
        <v>394</v>
      </c>
      <c r="C143">
        <v>79002969088</v>
      </c>
      <c r="D143" t="s">
        <v>715</v>
      </c>
      <c r="E143" t="str">
        <f>IFERROR(IF(VLOOKUP(MID(C143,2,3)+0,тесты!A:A,1,0),"мегафон"),"")</f>
        <v/>
      </c>
    </row>
    <row r="144" spans="1:5" x14ac:dyDescent="0.25">
      <c r="A144" t="s">
        <v>551</v>
      </c>
      <c r="B144" t="s">
        <v>552</v>
      </c>
      <c r="C144">
        <v>79892612951</v>
      </c>
      <c r="D144" t="s">
        <v>715</v>
      </c>
      <c r="E144" t="str">
        <f>IFERROR(IF(VLOOKUP(MID(C144,2,3)+0,тесты!A:A,1,0),"мегафон"),"")</f>
        <v/>
      </c>
    </row>
    <row r="145" spans="1:5" x14ac:dyDescent="0.25">
      <c r="A145" t="s">
        <v>381</v>
      </c>
      <c r="B145" t="s">
        <v>382</v>
      </c>
      <c r="C145">
        <v>79999722055</v>
      </c>
      <c r="D145" t="s">
        <v>715</v>
      </c>
      <c r="E145" t="str">
        <f>IFERROR(IF(VLOOKUP(MID(C145,2,3)+0,тесты!A:A,1,0),"мегафон"),"")</f>
        <v>мегафон</v>
      </c>
    </row>
    <row r="146" spans="1:5" x14ac:dyDescent="0.25">
      <c r="A146" t="s">
        <v>340</v>
      </c>
      <c r="B146" t="s">
        <v>341</v>
      </c>
      <c r="C146">
        <v>79526609261</v>
      </c>
      <c r="D146" t="s">
        <v>715</v>
      </c>
      <c r="E146" t="str">
        <f>IFERROR(IF(VLOOKUP(MID(C146,2,3)+0,тесты!A:A,1,0),"мегафон"),"")</f>
        <v/>
      </c>
    </row>
    <row r="147" spans="1:5" x14ac:dyDescent="0.25">
      <c r="A147" t="s">
        <v>472</v>
      </c>
      <c r="B147" t="s">
        <v>473</v>
      </c>
      <c r="C147">
        <v>79803760029</v>
      </c>
      <c r="D147" t="s">
        <v>715</v>
      </c>
      <c r="E147" t="str">
        <f>IFERROR(IF(VLOOKUP(MID(C147,2,3)+0,тесты!A:A,1,0),"мегафон"),"")</f>
        <v/>
      </c>
    </row>
    <row r="148" spans="1:5" x14ac:dyDescent="0.25">
      <c r="A148" t="s">
        <v>334</v>
      </c>
      <c r="B148" t="s">
        <v>335</v>
      </c>
      <c r="C148">
        <v>79186920208</v>
      </c>
      <c r="D148" t="s">
        <v>715</v>
      </c>
      <c r="E148" t="str">
        <f>IFERROR(IF(VLOOKUP(MID(C148,2,3)+0,тесты!A:A,1,0),"мегафон"),"")</f>
        <v/>
      </c>
    </row>
    <row r="149" spans="1:5" x14ac:dyDescent="0.25">
      <c r="A149" t="s">
        <v>422</v>
      </c>
      <c r="B149" t="s">
        <v>423</v>
      </c>
      <c r="C149">
        <v>79858917170</v>
      </c>
      <c r="D149" t="s">
        <v>715</v>
      </c>
      <c r="E149" t="str">
        <f>IFERROR(IF(VLOOKUP(MID(C149,2,3)+0,тесты!A:A,1,0),"мегафон"),"")</f>
        <v/>
      </c>
    </row>
    <row r="150" spans="1:5" x14ac:dyDescent="0.25">
      <c r="A150" t="s">
        <v>682</v>
      </c>
      <c r="B150" t="s">
        <v>683</v>
      </c>
      <c r="C150">
        <v>79289571255</v>
      </c>
      <c r="D150" t="s">
        <v>715</v>
      </c>
      <c r="E150" t="str">
        <f>IFERROR(IF(VLOOKUP(MID(C150,2,3)+0,тесты!A:A,1,0),"мегафон"),"")</f>
        <v>мегафон</v>
      </c>
    </row>
    <row r="151" spans="1:5" x14ac:dyDescent="0.25">
      <c r="A151" t="s">
        <v>709</v>
      </c>
      <c r="B151" t="s">
        <v>710</v>
      </c>
      <c r="C151">
        <v>79102164993</v>
      </c>
      <c r="D151" t="s">
        <v>715</v>
      </c>
      <c r="E151" t="str">
        <f>IFERROR(IF(VLOOKUP(MID(C151,2,3)+0,тесты!A:A,1,0),"мегафон"),"")</f>
        <v/>
      </c>
    </row>
    <row r="152" spans="1:5" x14ac:dyDescent="0.25">
      <c r="A152" t="s">
        <v>262</v>
      </c>
      <c r="B152" t="s">
        <v>263</v>
      </c>
      <c r="C152">
        <v>79092265724</v>
      </c>
      <c r="D152" t="s">
        <v>715</v>
      </c>
      <c r="E152" t="str">
        <f>IFERROR(IF(VLOOKUP(MID(C152,2,3)+0,тесты!A:A,1,0),"мегафон"),"")</f>
        <v/>
      </c>
    </row>
    <row r="153" spans="1:5" x14ac:dyDescent="0.25">
      <c r="A153" t="s">
        <v>650</v>
      </c>
      <c r="B153" t="s">
        <v>651</v>
      </c>
      <c r="C153">
        <v>79155238688</v>
      </c>
      <c r="D153" t="s">
        <v>715</v>
      </c>
      <c r="E153" t="str">
        <f>IFERROR(IF(VLOOKUP(MID(C153,2,3)+0,тесты!A:A,1,0),"мегафон"),"")</f>
        <v/>
      </c>
    </row>
    <row r="154" spans="1:5" x14ac:dyDescent="0.25">
      <c r="A154" t="s">
        <v>280</v>
      </c>
      <c r="B154" t="s">
        <v>281</v>
      </c>
      <c r="C154">
        <v>79055553616</v>
      </c>
      <c r="D154" t="s">
        <v>715</v>
      </c>
      <c r="E154" t="str">
        <f>IFERROR(IF(VLOOKUP(MID(C154,2,3)+0,тесты!A:A,1,0),"мегафон"),"")</f>
        <v/>
      </c>
    </row>
    <row r="155" spans="1:5" x14ac:dyDescent="0.25">
      <c r="A155" t="s">
        <v>640</v>
      </c>
      <c r="B155" t="s">
        <v>641</v>
      </c>
      <c r="C155">
        <v>79800046483</v>
      </c>
      <c r="D155" t="s">
        <v>715</v>
      </c>
      <c r="E155" t="str">
        <f>IFERROR(IF(VLOOKUP(MID(C155,2,3)+0,тесты!A:A,1,0),"мегафон"),"")</f>
        <v/>
      </c>
    </row>
    <row r="156" spans="1:5" x14ac:dyDescent="0.25">
      <c r="A156" t="s">
        <v>374</v>
      </c>
      <c r="B156" t="s">
        <v>375</v>
      </c>
      <c r="C156">
        <v>79256466364</v>
      </c>
      <c r="D156" t="s">
        <v>715</v>
      </c>
      <c r="E156" t="str">
        <f>IFERROR(IF(VLOOKUP(MID(C156,2,3)+0,тесты!A:A,1,0),"мегафон"),"")</f>
        <v>мегафон</v>
      </c>
    </row>
    <row r="157" spans="1:5" x14ac:dyDescent="0.25">
      <c r="A157" t="s">
        <v>332</v>
      </c>
      <c r="B157" t="s">
        <v>333</v>
      </c>
      <c r="C157">
        <v>79637560542</v>
      </c>
      <c r="D157" t="s">
        <v>715</v>
      </c>
      <c r="E157" t="str">
        <f>IFERROR(IF(VLOOKUP(MID(C157,2,3)+0,тесты!A:A,1,0),"мегафон"),"")</f>
        <v/>
      </c>
    </row>
    <row r="158" spans="1:5" x14ac:dyDescent="0.25">
      <c r="A158" t="s">
        <v>644</v>
      </c>
      <c r="B158" t="s">
        <v>645</v>
      </c>
      <c r="C158">
        <v>79602369556</v>
      </c>
      <c r="D158" t="s">
        <v>715</v>
      </c>
      <c r="E158" t="str">
        <f>IFERROR(IF(VLOOKUP(MID(C158,2,3)+0,тесты!A:A,1,0),"мегафон"),"")</f>
        <v/>
      </c>
    </row>
    <row r="159" spans="1:5" x14ac:dyDescent="0.25">
      <c r="A159" t="s">
        <v>703</v>
      </c>
      <c r="B159" t="s">
        <v>704</v>
      </c>
      <c r="C159">
        <v>79163455552</v>
      </c>
      <c r="D159" t="s">
        <v>715</v>
      </c>
      <c r="E159" t="str">
        <f>IFERROR(IF(VLOOKUP(MID(C159,2,3)+0,тесты!A:A,1,0),"мегафон"),"")</f>
        <v/>
      </c>
    </row>
    <row r="160" spans="1:5" x14ac:dyDescent="0.25">
      <c r="A160" t="s">
        <v>672</v>
      </c>
      <c r="B160" t="s">
        <v>673</v>
      </c>
      <c r="C160">
        <v>79023113609</v>
      </c>
      <c r="D160" t="s">
        <v>715</v>
      </c>
      <c r="E160" t="str">
        <f>IFERROR(IF(VLOOKUP(MID(C160,2,3)+0,тесты!A:A,1,0),"мегафон"),"")</f>
        <v>мегафон</v>
      </c>
    </row>
    <row r="161" spans="1:5" x14ac:dyDescent="0.25">
      <c r="A161" t="s">
        <v>601</v>
      </c>
      <c r="B161" t="s">
        <v>602</v>
      </c>
      <c r="C161">
        <v>79035900820</v>
      </c>
      <c r="D161" t="s">
        <v>715</v>
      </c>
      <c r="E161" t="str">
        <f>IFERROR(IF(VLOOKUP(MID(C161,2,3)+0,тесты!A:A,1,0),"мегафон"),"")</f>
        <v/>
      </c>
    </row>
    <row r="162" spans="1:5" x14ac:dyDescent="0.25">
      <c r="A162" t="s">
        <v>539</v>
      </c>
      <c r="B162" t="s">
        <v>540</v>
      </c>
      <c r="C162">
        <v>79955067888</v>
      </c>
      <c r="D162" t="s">
        <v>715</v>
      </c>
      <c r="E162" t="str">
        <f>IFERROR(IF(VLOOKUP(MID(C162,2,3)+0,тесты!A:A,1,0),"мегафон"),"")</f>
        <v/>
      </c>
    </row>
    <row r="163" spans="1:5" x14ac:dyDescent="0.25">
      <c r="A163" t="s">
        <v>399</v>
      </c>
      <c r="B163" t="s">
        <v>400</v>
      </c>
      <c r="C163">
        <v>79855607848</v>
      </c>
      <c r="D163" t="s">
        <v>715</v>
      </c>
      <c r="E163" t="str">
        <f>IFERROR(IF(VLOOKUP(MID(C163,2,3)+0,тесты!A:A,1,0),"мегафон"),"")</f>
        <v/>
      </c>
    </row>
    <row r="164" spans="1:5" x14ac:dyDescent="0.25">
      <c r="A164" t="s">
        <v>528</v>
      </c>
      <c r="B164" t="s">
        <v>529</v>
      </c>
      <c r="C164">
        <v>79629951331</v>
      </c>
      <c r="D164" t="s">
        <v>715</v>
      </c>
      <c r="E164" t="str">
        <f>IFERROR(IF(VLOOKUP(MID(C164,2,3)+0,тесты!A:A,1,0),"мегафон"),"")</f>
        <v/>
      </c>
    </row>
    <row r="165" spans="1:5" x14ac:dyDescent="0.25">
      <c r="A165" t="s">
        <v>497</v>
      </c>
      <c r="B165" t="s">
        <v>498</v>
      </c>
      <c r="C165">
        <v>79046461888</v>
      </c>
      <c r="D165" t="s">
        <v>715</v>
      </c>
      <c r="E165" t="str">
        <f>IFERROR(IF(VLOOKUP(MID(C165,2,3)+0,тесты!A:A,1,0),"мегафон"),"")</f>
        <v>мегафон</v>
      </c>
    </row>
    <row r="166" spans="1:5" x14ac:dyDescent="0.25">
      <c r="A166" t="s">
        <v>420</v>
      </c>
      <c r="B166" t="s">
        <v>421</v>
      </c>
      <c r="C166">
        <v>79807420517</v>
      </c>
      <c r="D166" t="s">
        <v>715</v>
      </c>
      <c r="E166" t="str">
        <f>IFERROR(IF(VLOOKUP(MID(C166,2,3)+0,тесты!A:A,1,0),"мегафон"),"")</f>
        <v/>
      </c>
    </row>
    <row r="167" spans="1:5" x14ac:dyDescent="0.25">
      <c r="A167" t="s">
        <v>595</v>
      </c>
      <c r="B167" t="s">
        <v>596</v>
      </c>
      <c r="C167">
        <v>79687969551</v>
      </c>
      <c r="D167" t="s">
        <v>715</v>
      </c>
      <c r="E167" t="str">
        <f>IFERROR(IF(VLOOKUP(MID(C167,2,3)+0,тесты!A:A,1,0),"мегафон"),"")</f>
        <v/>
      </c>
    </row>
    <row r="168" spans="1:5" x14ac:dyDescent="0.25">
      <c r="A168" t="s">
        <v>290</v>
      </c>
      <c r="B168" t="s">
        <v>291</v>
      </c>
      <c r="C168">
        <v>79100000660</v>
      </c>
      <c r="D168" t="s">
        <v>715</v>
      </c>
      <c r="E168" t="str">
        <f>IFERROR(IF(VLOOKUP(MID(C168,2,3)+0,тесты!A:A,1,0),"мегафон"),"")</f>
        <v/>
      </c>
    </row>
    <row r="169" spans="1:5" x14ac:dyDescent="0.25">
      <c r="A169" t="s">
        <v>678</v>
      </c>
      <c r="B169" t="s">
        <v>679</v>
      </c>
      <c r="C169">
        <v>79040950112</v>
      </c>
      <c r="D169" t="s">
        <v>715</v>
      </c>
      <c r="E169" t="str">
        <f>IFERROR(IF(VLOOKUP(MID(C169,2,3)+0,тесты!A:A,1,0),"мегафон"),"")</f>
        <v>мегафон</v>
      </c>
    </row>
    <row r="170" spans="1:5" x14ac:dyDescent="0.25">
      <c r="A170" t="s">
        <v>482</v>
      </c>
      <c r="B170" t="s">
        <v>483</v>
      </c>
      <c r="C170">
        <v>79653384337</v>
      </c>
      <c r="D170" t="s">
        <v>715</v>
      </c>
      <c r="E170" t="str">
        <f>IFERROR(IF(VLOOKUP(MID(C170,2,3)+0,тесты!A:A,1,0),"мегафон"),"")</f>
        <v/>
      </c>
    </row>
    <row r="171" spans="1:5" x14ac:dyDescent="0.25">
      <c r="A171" t="s">
        <v>310</v>
      </c>
      <c r="B171" t="s">
        <v>311</v>
      </c>
      <c r="C171">
        <v>79654428428</v>
      </c>
      <c r="D171" t="s">
        <v>715</v>
      </c>
      <c r="E171" t="str">
        <f>IFERROR(IF(VLOOKUP(MID(C171,2,3)+0,тесты!A:A,1,0),"мегафон"),"")</f>
        <v/>
      </c>
    </row>
    <row r="172" spans="1:5" x14ac:dyDescent="0.25">
      <c r="A172" t="s">
        <v>468</v>
      </c>
      <c r="B172" t="s">
        <v>469</v>
      </c>
      <c r="C172">
        <v>79181848343</v>
      </c>
      <c r="D172" t="s">
        <v>715</v>
      </c>
      <c r="E172" t="str">
        <f>IFERROR(IF(VLOOKUP(MID(C172,2,3)+0,тесты!A:A,1,0),"мегафон"),"")</f>
        <v/>
      </c>
    </row>
    <row r="173" spans="1:5" x14ac:dyDescent="0.25">
      <c r="A173" t="s">
        <v>288</v>
      </c>
      <c r="B173" t="s">
        <v>289</v>
      </c>
      <c r="C173">
        <v>79011808364</v>
      </c>
      <c r="D173" t="s">
        <v>715</v>
      </c>
      <c r="E173" t="str">
        <f>IFERROR(IF(VLOOKUP(MID(C173,2,3)+0,тесты!A:A,1,0),"мегафон"),"")</f>
        <v/>
      </c>
    </row>
    <row r="174" spans="1:5" x14ac:dyDescent="0.25">
      <c r="A174" t="s">
        <v>488</v>
      </c>
      <c r="B174" t="s">
        <v>489</v>
      </c>
      <c r="C174">
        <v>79154250785</v>
      </c>
      <c r="D174" t="s">
        <v>715</v>
      </c>
      <c r="E174" t="str">
        <f>IFERROR(IF(VLOOKUP(MID(C174,2,3)+0,тесты!A:A,1,0),"мегафон"),"")</f>
        <v/>
      </c>
    </row>
    <row r="175" spans="1:5" x14ac:dyDescent="0.25">
      <c r="A175" t="s">
        <v>522</v>
      </c>
      <c r="B175" t="s">
        <v>523</v>
      </c>
      <c r="C175">
        <v>79271310093</v>
      </c>
      <c r="D175" t="s">
        <v>715</v>
      </c>
      <c r="E175" t="str">
        <f>IFERROR(IF(VLOOKUP(MID(C175,2,3)+0,тесты!A:A,1,0),"мегафон"),"")</f>
        <v>мегафон</v>
      </c>
    </row>
    <row r="176" spans="1:5" x14ac:dyDescent="0.25">
      <c r="A176" t="s">
        <v>666</v>
      </c>
      <c r="B176" t="s">
        <v>667</v>
      </c>
      <c r="C176">
        <v>79119212562</v>
      </c>
      <c r="D176" t="s">
        <v>715</v>
      </c>
      <c r="E176" t="str">
        <f>IFERROR(IF(VLOOKUP(MID(C176,2,3)+0,тесты!A:A,1,0),"мегафон"),"")</f>
        <v/>
      </c>
    </row>
    <row r="177" spans="1:5" x14ac:dyDescent="0.25">
      <c r="A177" t="s">
        <v>344</v>
      </c>
      <c r="B177" t="s">
        <v>345</v>
      </c>
      <c r="C177">
        <v>79528209675</v>
      </c>
      <c r="D177" t="s">
        <v>715</v>
      </c>
      <c r="E177" t="str">
        <f>IFERROR(IF(VLOOKUP(MID(C177,2,3)+0,тесты!A:A,1,0),"мегафон"),"")</f>
        <v/>
      </c>
    </row>
    <row r="178" spans="1:5" x14ac:dyDescent="0.25">
      <c r="A178" t="s">
        <v>273</v>
      </c>
      <c r="B178" t="s">
        <v>274</v>
      </c>
      <c r="C178">
        <v>79255555113</v>
      </c>
      <c r="D178" t="s">
        <v>715</v>
      </c>
      <c r="E178" t="str">
        <f>IFERROR(IF(VLOOKUP(MID(C178,2,3)+0,тесты!A:A,1,0),"мегафон"),"")</f>
        <v>мегафон</v>
      </c>
    </row>
    <row r="179" spans="1:5" x14ac:dyDescent="0.25">
      <c r="A179" t="s">
        <v>634</v>
      </c>
      <c r="B179" t="s">
        <v>635</v>
      </c>
      <c r="C179">
        <v>79113595178</v>
      </c>
      <c r="D179" t="s">
        <v>715</v>
      </c>
      <c r="E179" t="str">
        <f>IFERROR(IF(VLOOKUP(MID(C179,2,3)+0,тесты!A:A,1,0),"мегафон"),"")</f>
        <v/>
      </c>
    </row>
    <row r="180" spans="1:5" x14ac:dyDescent="0.25">
      <c r="A180" t="s">
        <v>358</v>
      </c>
      <c r="B180" t="s">
        <v>359</v>
      </c>
      <c r="C180">
        <v>79686660823</v>
      </c>
      <c r="D180" t="s">
        <v>715</v>
      </c>
      <c r="E180" t="str">
        <f>IFERROR(IF(VLOOKUP(MID(C180,2,3)+0,тесты!A:A,1,0),"мегафон"),"")</f>
        <v/>
      </c>
    </row>
    <row r="181" spans="1:5" x14ac:dyDescent="0.25">
      <c r="A181" t="s">
        <v>354</v>
      </c>
      <c r="B181" t="s">
        <v>355</v>
      </c>
      <c r="C181">
        <v>79192567809</v>
      </c>
      <c r="D181" t="s">
        <v>715</v>
      </c>
      <c r="E181" t="str">
        <f>IFERROR(IF(VLOOKUP(MID(C181,2,3)+0,тесты!A:A,1,0),"мегафон"),"")</f>
        <v/>
      </c>
    </row>
    <row r="182" spans="1:5" x14ac:dyDescent="0.25">
      <c r="A182" t="s">
        <v>282</v>
      </c>
      <c r="B182" t="s">
        <v>283</v>
      </c>
      <c r="C182">
        <v>79260416134</v>
      </c>
      <c r="D182" t="s">
        <v>715</v>
      </c>
      <c r="E182" t="str">
        <f>IFERROR(IF(VLOOKUP(MID(C182,2,3)+0,тесты!A:A,1,0),"мегафон"),"")</f>
        <v>мегафон</v>
      </c>
    </row>
    <row r="183" spans="1:5" x14ac:dyDescent="0.25">
      <c r="A183" t="s">
        <v>524</v>
      </c>
      <c r="B183" t="s">
        <v>525</v>
      </c>
      <c r="C183">
        <v>79151714744</v>
      </c>
      <c r="D183" t="s">
        <v>715</v>
      </c>
      <c r="E183" t="str">
        <f>IFERROR(IF(VLOOKUP(MID(C183,2,3)+0,тесты!A:A,1,0),"мегафон"),"")</f>
        <v/>
      </c>
    </row>
    <row r="184" spans="1:5" x14ac:dyDescent="0.25">
      <c r="A184" t="s">
        <v>296</v>
      </c>
      <c r="B184" t="s">
        <v>297</v>
      </c>
      <c r="C184">
        <v>79241777899</v>
      </c>
      <c r="D184" t="s">
        <v>715</v>
      </c>
      <c r="E184" t="str">
        <f>IFERROR(IF(VLOOKUP(MID(C184,2,3)+0,тесты!A:A,1,0),"мегафон"),"")</f>
        <v>мегафон</v>
      </c>
    </row>
    <row r="185" spans="1:5" x14ac:dyDescent="0.25">
      <c r="A185" t="s">
        <v>436</v>
      </c>
      <c r="B185" t="s">
        <v>437</v>
      </c>
      <c r="C185">
        <v>79100001005</v>
      </c>
      <c r="D185" t="s">
        <v>715</v>
      </c>
      <c r="E185" t="str">
        <f>IFERROR(IF(VLOOKUP(MID(C185,2,3)+0,тесты!A:A,1,0),"мегафон"),"")</f>
        <v/>
      </c>
    </row>
    <row r="186" spans="1:5" x14ac:dyDescent="0.25">
      <c r="A186" t="s">
        <v>294</v>
      </c>
      <c r="B186" t="s">
        <v>295</v>
      </c>
      <c r="C186">
        <v>79951139356</v>
      </c>
      <c r="D186" t="s">
        <v>715</v>
      </c>
      <c r="E186" t="str">
        <f>IFERROR(IF(VLOOKUP(MID(C186,2,3)+0,тесты!A:A,1,0),"мегафон"),"")</f>
        <v/>
      </c>
    </row>
    <row r="187" spans="1:5" x14ac:dyDescent="0.25">
      <c r="A187" t="s">
        <v>499</v>
      </c>
      <c r="B187" t="s">
        <v>500</v>
      </c>
      <c r="C187">
        <v>79898099181</v>
      </c>
      <c r="D187" t="s">
        <v>715</v>
      </c>
      <c r="E187" t="str">
        <f>IFERROR(IF(VLOOKUP(MID(C187,2,3)+0,тесты!A:A,1,0),"мегафон"),"")</f>
        <v/>
      </c>
    </row>
    <row r="188" spans="1:5" x14ac:dyDescent="0.25">
      <c r="A188" t="s">
        <v>306</v>
      </c>
      <c r="B188" t="s">
        <v>307</v>
      </c>
      <c r="C188">
        <v>79204038222</v>
      </c>
      <c r="D188" t="s">
        <v>715</v>
      </c>
      <c r="E188" t="str">
        <f>IFERROR(IF(VLOOKUP(MID(C188,2,3)+0,тесты!A:A,1,0),"мегафон"),"")</f>
        <v>мегафон</v>
      </c>
    </row>
    <row r="189" spans="1:5" x14ac:dyDescent="0.25">
      <c r="A189" t="s">
        <v>370</v>
      </c>
      <c r="B189" t="s">
        <v>371</v>
      </c>
      <c r="C189">
        <v>79158023383</v>
      </c>
      <c r="D189" t="s">
        <v>715</v>
      </c>
      <c r="E189" t="str">
        <f>IFERROR(IF(VLOOKUP(MID(C189,2,3)+0,тесты!A:A,1,0),"мегафон"),"")</f>
        <v/>
      </c>
    </row>
    <row r="190" spans="1:5" x14ac:dyDescent="0.25">
      <c r="A190" t="s">
        <v>652</v>
      </c>
      <c r="B190" t="s">
        <v>653</v>
      </c>
      <c r="C190">
        <v>79160973288</v>
      </c>
      <c r="D190" t="s">
        <v>715</v>
      </c>
      <c r="E190" t="str">
        <f>IFERROR(IF(VLOOKUP(MID(C190,2,3)+0,тесты!A:A,1,0),"мегафон"),"")</f>
        <v/>
      </c>
    </row>
    <row r="191" spans="1:5" x14ac:dyDescent="0.25">
      <c r="A191" t="s">
        <v>352</v>
      </c>
      <c r="B191" t="s">
        <v>353</v>
      </c>
      <c r="C191">
        <v>79165491616</v>
      </c>
      <c r="D191" t="s">
        <v>715</v>
      </c>
      <c r="E191" t="str">
        <f>IFERROR(IF(VLOOKUP(MID(C191,2,3)+0,тесты!A:A,1,0),"мегафон"),"")</f>
        <v/>
      </c>
    </row>
    <row r="192" spans="1:5" x14ac:dyDescent="0.25">
      <c r="A192" t="s">
        <v>490</v>
      </c>
      <c r="B192" t="s">
        <v>230</v>
      </c>
      <c r="C192">
        <v>79780081478</v>
      </c>
      <c r="D192" t="s">
        <v>715</v>
      </c>
      <c r="E192" t="str">
        <f>IFERROR(IF(VLOOKUP(MID(C192,2,3)+0,тесты!A:A,1,0),"мегафон"),"")</f>
        <v/>
      </c>
    </row>
    <row r="193" spans="1:5" x14ac:dyDescent="0.25">
      <c r="A193" t="s">
        <v>534</v>
      </c>
      <c r="B193" t="s">
        <v>515</v>
      </c>
      <c r="C193">
        <v>79183323932</v>
      </c>
      <c r="D193" t="s">
        <v>715</v>
      </c>
      <c r="E193" t="str">
        <f>IFERROR(IF(VLOOKUP(MID(C193,2,3)+0,тесты!A:A,1,0),"мегафон"),"")</f>
        <v/>
      </c>
    </row>
    <row r="194" spans="1:5" x14ac:dyDescent="0.25">
      <c r="A194" t="s">
        <v>543</v>
      </c>
      <c r="B194" t="s">
        <v>544</v>
      </c>
      <c r="C194">
        <v>79112208586</v>
      </c>
      <c r="D194" t="s">
        <v>715</v>
      </c>
      <c r="E194" t="str">
        <f>IFERROR(IF(VLOOKUP(MID(C194,2,3)+0,тесты!A:A,1,0),"мегафон"),"")</f>
        <v/>
      </c>
    </row>
    <row r="195" spans="1:5" x14ac:dyDescent="0.25">
      <c r="A195" t="s">
        <v>674</v>
      </c>
      <c r="B195" t="s">
        <v>675</v>
      </c>
      <c r="C195">
        <v>79672543796</v>
      </c>
      <c r="D195" t="s">
        <v>715</v>
      </c>
      <c r="E195" t="str">
        <f>IFERROR(IF(VLOOKUP(MID(C195,2,3)+0,тесты!A:A,1,0),"мегафон"),"")</f>
        <v/>
      </c>
    </row>
    <row r="196" spans="1:5" x14ac:dyDescent="0.25">
      <c r="A196" t="s">
        <v>573</v>
      </c>
      <c r="B196" t="s">
        <v>574</v>
      </c>
      <c r="C196">
        <v>79013396636</v>
      </c>
      <c r="D196" t="s">
        <v>715</v>
      </c>
      <c r="E196" t="str">
        <f>IFERROR(IF(VLOOKUP(MID(C196,2,3)+0,тесты!A:A,1,0),"мегафон"),"")</f>
        <v/>
      </c>
    </row>
    <row r="197" spans="1:5" x14ac:dyDescent="0.25">
      <c r="A197" t="s">
        <v>476</v>
      </c>
      <c r="B197" t="s">
        <v>477</v>
      </c>
      <c r="C197">
        <v>79854114106</v>
      </c>
      <c r="D197" t="s">
        <v>715</v>
      </c>
      <c r="E197" t="str">
        <f>IFERROR(IF(VLOOKUP(MID(C197,2,3)+0,тесты!A:A,1,0),"мегафон"),"")</f>
        <v/>
      </c>
    </row>
    <row r="198" spans="1:5" x14ac:dyDescent="0.25">
      <c r="A198" t="s">
        <v>686</v>
      </c>
      <c r="B198" t="s">
        <v>687</v>
      </c>
      <c r="C198">
        <v>79032337191</v>
      </c>
      <c r="D198" t="s">
        <v>715</v>
      </c>
      <c r="E198" t="str">
        <f>IFERROR(IF(VLOOKUP(MID(C198,2,3)+0,тесты!A:A,1,0),"мегафон"),"")</f>
        <v/>
      </c>
    </row>
    <row r="199" spans="1:5" x14ac:dyDescent="0.25">
      <c r="A199" t="s">
        <v>711</v>
      </c>
      <c r="B199" t="s">
        <v>627</v>
      </c>
      <c r="C199">
        <v>79184334107</v>
      </c>
      <c r="D199" t="s">
        <v>715</v>
      </c>
      <c r="E199" t="str">
        <f>IFERROR(IF(VLOOKUP(MID(C199,2,3)+0,тесты!A:A,1,0),"мегафон"),"")</f>
        <v/>
      </c>
    </row>
    <row r="200" spans="1:5" x14ac:dyDescent="0.25">
      <c r="A200" t="s">
        <v>302</v>
      </c>
      <c r="B200" t="s">
        <v>303</v>
      </c>
      <c r="C200">
        <v>79777619786</v>
      </c>
      <c r="D200" t="s">
        <v>715</v>
      </c>
      <c r="E200" t="str">
        <f>IFERROR(IF(VLOOKUP(MID(C200,2,3)+0,тесты!A:A,1,0),"мегафон"),"")</f>
        <v/>
      </c>
    </row>
    <row r="201" spans="1:5" x14ac:dyDescent="0.25">
      <c r="A201" t="s">
        <v>648</v>
      </c>
      <c r="B201" t="s">
        <v>649</v>
      </c>
      <c r="C201">
        <v>79052130429</v>
      </c>
      <c r="D201" t="s">
        <v>715</v>
      </c>
      <c r="E201" t="str">
        <f>IFERROR(IF(VLOOKUP(MID(C201,2,3)+0,тесты!A:A,1,0),"мегафон"),"")</f>
        <v/>
      </c>
    </row>
    <row r="202" spans="1:5" x14ac:dyDescent="0.25">
      <c r="A202" t="s">
        <v>383</v>
      </c>
      <c r="B202" t="s">
        <v>384</v>
      </c>
      <c r="C202">
        <v>79104212400</v>
      </c>
      <c r="D202" t="s">
        <v>715</v>
      </c>
      <c r="E202" t="str">
        <f>IFERROR(IF(VLOOKUP(MID(C202,2,3)+0,тесты!A:A,1,0),"мегафон"),"")</f>
        <v/>
      </c>
    </row>
    <row r="203" spans="1:5" x14ac:dyDescent="0.25">
      <c r="A203" t="s">
        <v>609</v>
      </c>
      <c r="B203" t="s">
        <v>610</v>
      </c>
      <c r="C203">
        <v>79615012246</v>
      </c>
      <c r="D203" t="s">
        <v>715</v>
      </c>
      <c r="E203" t="str">
        <f>IFERROR(IF(VLOOKUP(MID(C203,2,3)+0,тесты!A:A,1,0),"мегафон"),"")</f>
        <v/>
      </c>
    </row>
    <row r="204" spans="1:5" x14ac:dyDescent="0.25">
      <c r="A204" t="s">
        <v>269</v>
      </c>
      <c r="B204" t="s">
        <v>270</v>
      </c>
      <c r="C204">
        <v>79006315919</v>
      </c>
      <c r="D204" t="s">
        <v>715</v>
      </c>
      <c r="E204" t="str">
        <f>IFERROR(IF(VLOOKUP(MID(C204,2,3)+0,тесты!A:A,1,0),"мегафон"),"")</f>
        <v/>
      </c>
    </row>
    <row r="205" spans="1:5" x14ac:dyDescent="0.25">
      <c r="A205" t="s">
        <v>458</v>
      </c>
      <c r="B205" t="s">
        <v>459</v>
      </c>
      <c r="C205">
        <v>79260452980</v>
      </c>
      <c r="D205" t="s">
        <v>715</v>
      </c>
      <c r="E205" t="str">
        <f>IFERROR(IF(VLOOKUP(MID(C205,2,3)+0,тесты!A:A,1,0),"мегафон"),"")</f>
        <v>мегафон</v>
      </c>
    </row>
    <row r="206" spans="1:5" x14ac:dyDescent="0.25">
      <c r="A206" t="s">
        <v>654</v>
      </c>
      <c r="B206" t="s">
        <v>655</v>
      </c>
      <c r="C206">
        <v>79288446218</v>
      </c>
      <c r="D206" t="s">
        <v>715</v>
      </c>
      <c r="E206" t="str">
        <f>IFERROR(IF(VLOOKUP(MID(C206,2,3)+0,тесты!A:A,1,0),"мегафон"),"")</f>
        <v>мегафон</v>
      </c>
    </row>
    <row r="207" spans="1:5" x14ac:dyDescent="0.25">
      <c r="A207" t="s">
        <v>511</v>
      </c>
      <c r="B207" t="s">
        <v>512</v>
      </c>
      <c r="C207">
        <v>79266499523</v>
      </c>
      <c r="D207" t="s">
        <v>715</v>
      </c>
      <c r="E207" t="str">
        <f>IFERROR(IF(VLOOKUP(MID(C207,2,3)+0,тесты!A:A,1,0),"мегафон"),"")</f>
        <v>мегафон</v>
      </c>
    </row>
    <row r="208" spans="1:5" x14ac:dyDescent="0.25">
      <c r="A208" t="s">
        <v>336</v>
      </c>
      <c r="B208" t="s">
        <v>337</v>
      </c>
      <c r="C208">
        <v>79154624804</v>
      </c>
      <c r="D208" t="s">
        <v>715</v>
      </c>
      <c r="E208" t="str">
        <f>IFERROR(IF(VLOOKUP(MID(C208,2,3)+0,тесты!A:A,1,0),"мегафон"),"")</f>
        <v/>
      </c>
    </row>
    <row r="209" spans="1:5" x14ac:dyDescent="0.25">
      <c r="A209" t="s">
        <v>391</v>
      </c>
      <c r="B209" t="s">
        <v>392</v>
      </c>
      <c r="C209">
        <v>79295715778</v>
      </c>
      <c r="D209" t="s">
        <v>715</v>
      </c>
      <c r="E209" t="str">
        <f>IFERROR(IF(VLOOKUP(MID(C209,2,3)+0,тесты!A:A,1,0),"мегафон"),"")</f>
        <v>мегафон</v>
      </c>
    </row>
    <row r="210" spans="1:5" x14ac:dyDescent="0.25">
      <c r="A210" t="s">
        <v>442</v>
      </c>
      <c r="B210" t="s">
        <v>443</v>
      </c>
      <c r="C210">
        <v>79263972100</v>
      </c>
      <c r="D210" t="s">
        <v>715</v>
      </c>
      <c r="E210" t="str">
        <f>IFERROR(IF(VLOOKUP(MID(C210,2,3)+0,тесты!A:A,1,0),"мегафон"),"")</f>
        <v>мегафон</v>
      </c>
    </row>
    <row r="211" spans="1:5" x14ac:dyDescent="0.25">
      <c r="A211" t="s">
        <v>450</v>
      </c>
      <c r="B211" t="s">
        <v>451</v>
      </c>
      <c r="C211">
        <v>79154897142</v>
      </c>
      <c r="D211" t="s">
        <v>715</v>
      </c>
      <c r="E211" t="str">
        <f>IFERROR(IF(VLOOKUP(MID(C211,2,3)+0,тесты!A:A,1,0),"мегафон"),"")</f>
        <v/>
      </c>
    </row>
    <row r="212" spans="1:5" x14ac:dyDescent="0.25">
      <c r="A212" t="s">
        <v>561</v>
      </c>
      <c r="B212" t="s">
        <v>562</v>
      </c>
      <c r="C212">
        <v>79056956259</v>
      </c>
      <c r="D212" t="s">
        <v>715</v>
      </c>
      <c r="E212" t="str">
        <f>IFERROR(IF(VLOOKUP(MID(C212,2,3)+0,тесты!A:A,1,0),"мегафон"),"")</f>
        <v/>
      </c>
    </row>
    <row r="213" spans="1:5" x14ac:dyDescent="0.25">
      <c r="A213" t="s">
        <v>478</v>
      </c>
      <c r="B213" t="s">
        <v>479</v>
      </c>
      <c r="C213">
        <v>79647177060</v>
      </c>
      <c r="D213" t="s">
        <v>715</v>
      </c>
      <c r="E213" t="str">
        <f>IFERROR(IF(VLOOKUP(MID(C213,2,3)+0,тесты!A:A,1,0),"мегафон"),"")</f>
        <v/>
      </c>
    </row>
    <row r="214" spans="1:5" x14ac:dyDescent="0.25">
      <c r="A214" t="s">
        <v>664</v>
      </c>
      <c r="B214" t="s">
        <v>665</v>
      </c>
      <c r="C214">
        <v>79858362124</v>
      </c>
      <c r="D214" t="s">
        <v>715</v>
      </c>
      <c r="E214" t="str">
        <f>IFERROR(IF(VLOOKUP(MID(C214,2,3)+0,тесты!A:A,1,0),"мегафон"),"")</f>
        <v/>
      </c>
    </row>
    <row r="215" spans="1:5" x14ac:dyDescent="0.25">
      <c r="A215" t="s">
        <v>555</v>
      </c>
      <c r="B215" t="s">
        <v>556</v>
      </c>
      <c r="C215">
        <v>79817208331</v>
      </c>
      <c r="D215" t="s">
        <v>715</v>
      </c>
      <c r="E215" t="str">
        <f>IFERROR(IF(VLOOKUP(MID(C215,2,3)+0,тесты!A:A,1,0),"мегафон"),"")</f>
        <v/>
      </c>
    </row>
    <row r="216" spans="1:5" x14ac:dyDescent="0.25">
      <c r="A216" t="s">
        <v>364</v>
      </c>
      <c r="B216" t="s">
        <v>365</v>
      </c>
      <c r="C216">
        <v>79992078749</v>
      </c>
      <c r="D216" t="s">
        <v>715</v>
      </c>
      <c r="E216" t="str">
        <f>IFERROR(IF(VLOOKUP(MID(C216,2,3)+0,тесты!A:A,1,0),"мегафон"),"")</f>
        <v>мегафон</v>
      </c>
    </row>
    <row r="217" spans="1:5" x14ac:dyDescent="0.25">
      <c r="A217" t="s">
        <v>603</v>
      </c>
      <c r="B217" t="s">
        <v>604</v>
      </c>
      <c r="C217">
        <v>79671714603</v>
      </c>
      <c r="D217" t="s">
        <v>715</v>
      </c>
      <c r="E217" t="str">
        <f>IFERROR(IF(VLOOKUP(MID(C217,2,3)+0,тесты!A:A,1,0),"мегафон"),"")</f>
        <v/>
      </c>
    </row>
    <row r="218" spans="1:5" x14ac:dyDescent="0.25">
      <c r="A218" t="s">
        <v>464</v>
      </c>
      <c r="B218" t="s">
        <v>465</v>
      </c>
      <c r="C218">
        <v>79259185883</v>
      </c>
      <c r="D218" t="s">
        <v>715</v>
      </c>
      <c r="E218" t="str">
        <f>IFERROR(IF(VLOOKUP(MID(C218,2,3)+0,тесты!A:A,1,0),"мегафон"),"")</f>
        <v>мегафон</v>
      </c>
    </row>
    <row r="219" spans="1:5" x14ac:dyDescent="0.25">
      <c r="A219" t="s">
        <v>507</v>
      </c>
      <c r="B219" t="s">
        <v>508</v>
      </c>
      <c r="C219">
        <v>79899072129</v>
      </c>
      <c r="D219" t="s">
        <v>715</v>
      </c>
      <c r="E219" t="str">
        <f>IFERROR(IF(VLOOKUP(MID(C219,2,3)+0,тесты!A:A,1,0),"мегафон"),"")</f>
        <v/>
      </c>
    </row>
    <row r="220" spans="1:5" x14ac:dyDescent="0.25">
      <c r="A220" t="s">
        <v>265</v>
      </c>
      <c r="B220" t="s">
        <v>266</v>
      </c>
      <c r="C220">
        <v>79777711739</v>
      </c>
      <c r="D220" t="s">
        <v>715</v>
      </c>
      <c r="E220" t="str">
        <f>IFERROR(IF(VLOOKUP(MID(C220,2,3)+0,тесты!A:A,1,0),"мегафон"),"")</f>
        <v/>
      </c>
    </row>
    <row r="221" spans="1:5" x14ac:dyDescent="0.25">
      <c r="A221" t="s">
        <v>410</v>
      </c>
      <c r="B221" t="s">
        <v>411</v>
      </c>
      <c r="C221">
        <v>79647779397</v>
      </c>
      <c r="D221" t="s">
        <v>715</v>
      </c>
      <c r="E221" t="str">
        <f>IFERROR(IF(VLOOKUP(MID(C221,2,3)+0,тесты!A:A,1,0),"мегафон"),"")</f>
        <v/>
      </c>
    </row>
    <row r="222" spans="1:5" x14ac:dyDescent="0.25">
      <c r="A222" t="s">
        <v>414</v>
      </c>
      <c r="B222" t="s">
        <v>415</v>
      </c>
      <c r="C222">
        <v>79655911940</v>
      </c>
      <c r="D222" t="s">
        <v>715</v>
      </c>
      <c r="E222" t="str">
        <f>IFERROR(IF(VLOOKUP(MID(C222,2,3)+0,тесты!A:A,1,0),"мегафон"),"")</f>
        <v/>
      </c>
    </row>
  </sheetData>
  <sortState xmlns:xlrd2="http://schemas.microsoft.com/office/spreadsheetml/2017/richdata2" ref="A1:M282">
    <sortCondition descending="1" ref="A1:A28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5BDE-2BD3-45FF-A199-B36BB8FF9F7E}">
  <sheetPr codeName="Лист5"/>
  <dimension ref="A1:T29"/>
  <sheetViews>
    <sheetView workbookViewId="0">
      <selection activeCell="F8" sqref="F8"/>
    </sheetView>
  </sheetViews>
  <sheetFormatPr defaultRowHeight="15" x14ac:dyDescent="0.25"/>
  <cols>
    <col min="1" max="1" width="9.140625" customWidth="1"/>
    <col min="3" max="3" width="8.42578125" bestFit="1" customWidth="1"/>
    <col min="6" max="6" width="9.140625" customWidth="1"/>
    <col min="7" max="7" width="12" customWidth="1"/>
    <col min="19" max="19" width="12.140625" bestFit="1" customWidth="1"/>
  </cols>
  <sheetData>
    <row r="1" spans="1:20" ht="15.75" x14ac:dyDescent="0.25">
      <c r="A1" s="30" t="s">
        <v>137</v>
      </c>
      <c r="B1" s="31"/>
      <c r="C1" s="4" t="s">
        <v>145</v>
      </c>
      <c r="F1" s="34" t="s">
        <v>137</v>
      </c>
      <c r="G1" s="34"/>
      <c r="H1" s="4" t="s">
        <v>146</v>
      </c>
      <c r="K1" s="34" t="s">
        <v>137</v>
      </c>
      <c r="L1" s="34"/>
      <c r="M1" s="4" t="s">
        <v>169</v>
      </c>
      <c r="P1" s="21" t="s">
        <v>203</v>
      </c>
      <c r="Q1" s="4" t="s">
        <v>204</v>
      </c>
      <c r="S1" s="21" t="s">
        <v>212</v>
      </c>
      <c r="T1">
        <v>23</v>
      </c>
    </row>
    <row r="2" spans="1:20" ht="16.5" thickBot="1" x14ac:dyDescent="0.3">
      <c r="A2" s="14" t="s">
        <v>316</v>
      </c>
      <c r="B2" s="15"/>
      <c r="C2" s="13"/>
      <c r="F2" s="12" t="s">
        <v>317</v>
      </c>
      <c r="H2" s="13"/>
      <c r="K2" s="12" t="s">
        <v>318</v>
      </c>
      <c r="M2" s="13"/>
    </row>
    <row r="3" spans="1:20" ht="16.5" customHeight="1" thickBot="1" x14ac:dyDescent="0.3"/>
    <row r="4" spans="1:20" ht="15.75" x14ac:dyDescent="0.25">
      <c r="A4" s="28" t="s">
        <v>153</v>
      </c>
      <c r="B4" s="29"/>
      <c r="F4" s="17" t="s">
        <v>158</v>
      </c>
      <c r="G4" s="18"/>
      <c r="K4" s="26" t="s">
        <v>170</v>
      </c>
      <c r="L4" s="27"/>
      <c r="P4" s="26" t="s">
        <v>178</v>
      </c>
      <c r="Q4" s="27"/>
    </row>
    <row r="5" spans="1:20" ht="15.75" thickBot="1" x14ac:dyDescent="0.3">
      <c r="A5" s="16" t="s">
        <v>325</v>
      </c>
      <c r="B5" s="15"/>
      <c r="F5" s="16" t="s">
        <v>159</v>
      </c>
      <c r="G5" s="15"/>
      <c r="K5" s="16"/>
      <c r="L5" s="15"/>
      <c r="P5" s="16" t="s">
        <v>206</v>
      </c>
      <c r="Q5" s="15"/>
    </row>
    <row r="6" spans="1:20" ht="15.75" thickBot="1" x14ac:dyDescent="0.3"/>
    <row r="7" spans="1:20" ht="15.75" x14ac:dyDescent="0.25">
      <c r="A7" s="17" t="s">
        <v>158</v>
      </c>
      <c r="B7" s="18"/>
      <c r="F7" s="32" t="s">
        <v>162</v>
      </c>
      <c r="G7" s="33"/>
      <c r="K7" s="28" t="s">
        <v>171</v>
      </c>
      <c r="L7" s="29"/>
      <c r="P7" s="26" t="s">
        <v>178</v>
      </c>
      <c r="Q7" s="27"/>
    </row>
    <row r="8" spans="1:20" ht="15.75" thickBot="1" x14ac:dyDescent="0.3">
      <c r="A8" s="16" t="s">
        <v>159</v>
      </c>
      <c r="B8" s="15"/>
      <c r="F8" s="16" t="s">
        <v>325</v>
      </c>
      <c r="G8" s="15"/>
      <c r="K8" s="16" t="s">
        <v>325</v>
      </c>
      <c r="L8" s="15"/>
      <c r="P8" s="16" t="s">
        <v>205</v>
      </c>
    </row>
    <row r="9" spans="1:20" ht="15.75" thickBot="1" x14ac:dyDescent="0.3"/>
    <row r="10" spans="1:20" ht="16.5" thickBot="1" x14ac:dyDescent="0.3">
      <c r="K10" s="26" t="s">
        <v>153</v>
      </c>
      <c r="L10" s="27"/>
      <c r="P10" s="26" t="s">
        <v>224</v>
      </c>
      <c r="Q10" s="27"/>
    </row>
    <row r="11" spans="1:20" ht="16.5" thickBot="1" x14ac:dyDescent="0.3">
      <c r="A11" s="30" t="s">
        <v>194</v>
      </c>
      <c r="B11" s="31"/>
      <c r="F11" s="34" t="s">
        <v>194</v>
      </c>
      <c r="G11" s="34"/>
      <c r="K11" s="16"/>
      <c r="L11" s="15"/>
      <c r="P11" s="16" t="s">
        <v>208</v>
      </c>
    </row>
    <row r="12" spans="1:20" ht="16.5" thickBot="1" x14ac:dyDescent="0.3">
      <c r="A12" s="14" t="s">
        <v>195</v>
      </c>
      <c r="B12" s="15"/>
      <c r="F12" s="12" t="s">
        <v>233</v>
      </c>
    </row>
    <row r="13" spans="1:20" ht="16.5" thickBot="1" x14ac:dyDescent="0.3">
      <c r="K13" s="26" t="s">
        <v>175</v>
      </c>
      <c r="L13" s="27"/>
      <c r="P13" s="26" t="s">
        <v>217</v>
      </c>
      <c r="Q13" s="27"/>
    </row>
    <row r="14" spans="1:20" ht="16.5" thickBot="1" x14ac:dyDescent="0.3">
      <c r="A14" s="30"/>
      <c r="B14" s="31"/>
      <c r="K14" s="16" t="s">
        <v>200</v>
      </c>
      <c r="L14" s="15"/>
      <c r="P14" s="16"/>
    </row>
    <row r="15" spans="1:20" ht="15.75" thickBot="1" x14ac:dyDescent="0.3">
      <c r="F15" s="32" t="s">
        <v>226</v>
      </c>
      <c r="G15" s="33"/>
    </row>
    <row r="16" spans="1:20" ht="16.5" thickBot="1" x14ac:dyDescent="0.3">
      <c r="F16" s="16" t="s">
        <v>325</v>
      </c>
      <c r="G16" s="15"/>
      <c r="K16" s="26" t="s">
        <v>177</v>
      </c>
      <c r="L16" s="27"/>
      <c r="P16" s="26" t="s">
        <v>225</v>
      </c>
      <c r="Q16" s="27"/>
    </row>
    <row r="17" spans="11:16" ht="15.75" thickBot="1" x14ac:dyDescent="0.3">
      <c r="K17" s="16" t="s">
        <v>210</v>
      </c>
      <c r="L17" s="15"/>
      <c r="P17" s="16" t="s">
        <v>64</v>
      </c>
    </row>
    <row r="18" spans="11:16" ht="15.75" thickBot="1" x14ac:dyDescent="0.3"/>
    <row r="19" spans="11:16" ht="15.75" x14ac:dyDescent="0.25">
      <c r="K19" s="26" t="s">
        <v>215</v>
      </c>
      <c r="L19" s="27"/>
    </row>
    <row r="20" spans="11:16" ht="15.75" thickBot="1" x14ac:dyDescent="0.3">
      <c r="K20" s="16"/>
      <c r="L20" s="15"/>
    </row>
    <row r="21" spans="11:16" ht="15.75" thickBot="1" x14ac:dyDescent="0.3"/>
    <row r="22" spans="11:16" ht="15.75" x14ac:dyDescent="0.25">
      <c r="K22" s="26" t="s">
        <v>216</v>
      </c>
      <c r="L22" s="27"/>
    </row>
    <row r="23" spans="11:16" ht="15.75" thickBot="1" x14ac:dyDescent="0.3">
      <c r="K23" s="16" t="s">
        <v>319</v>
      </c>
    </row>
    <row r="24" spans="11:16" ht="15.75" thickBot="1" x14ac:dyDescent="0.3"/>
    <row r="25" spans="11:16" ht="15.75" x14ac:dyDescent="0.25">
      <c r="K25" s="28" t="s">
        <v>219</v>
      </c>
      <c r="L25" s="29"/>
    </row>
    <row r="26" spans="11:16" ht="15.75" thickBot="1" x14ac:dyDescent="0.3">
      <c r="K26" s="16" t="s">
        <v>325</v>
      </c>
      <c r="L26" s="15"/>
    </row>
    <row r="27" spans="11:16" ht="15.75" thickBot="1" x14ac:dyDescent="0.3"/>
    <row r="28" spans="11:16" ht="15.75" x14ac:dyDescent="0.25">
      <c r="K28" s="26" t="s">
        <v>320</v>
      </c>
      <c r="L28" s="27"/>
    </row>
    <row r="29" spans="11:16" ht="15.75" thickBot="1" x14ac:dyDescent="0.3">
      <c r="K29" s="16" t="s">
        <v>321</v>
      </c>
    </row>
  </sheetData>
  <mergeCells count="23">
    <mergeCell ref="A1:B1"/>
    <mergeCell ref="A4:B4"/>
    <mergeCell ref="F1:G1"/>
    <mergeCell ref="F7:G7"/>
    <mergeCell ref="K1:L1"/>
    <mergeCell ref="K4:L4"/>
    <mergeCell ref="K7:L7"/>
    <mergeCell ref="A11:B11"/>
    <mergeCell ref="F11:G11"/>
    <mergeCell ref="P4:Q4"/>
    <mergeCell ref="P7:Q7"/>
    <mergeCell ref="P10:Q10"/>
    <mergeCell ref="K10:L10"/>
    <mergeCell ref="K28:L28"/>
    <mergeCell ref="P13:Q13"/>
    <mergeCell ref="K25:L25"/>
    <mergeCell ref="A14:B14"/>
    <mergeCell ref="P16:Q16"/>
    <mergeCell ref="F15:G15"/>
    <mergeCell ref="K22:L22"/>
    <mergeCell ref="K13:L13"/>
    <mergeCell ref="K16:L16"/>
    <mergeCell ref="K19:L19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86F5E2E8-EFC3-4EAF-8B0F-BF4C519EEDC9}">
          <x14:formula1>
            <xm:f>Текст!$C$81:$C$91</xm:f>
          </x14:formula1>
          <xm:sqref>F8:G8 F16:G16</xm:sqref>
        </x14:dataValidation>
        <x14:dataValidation type="list" allowBlank="1" showInputMessage="1" showErrorMessage="1" xr:uid="{599CCCD8-6808-449B-B59A-CF6BCB245A71}">
          <x14:formula1>
            <xm:f>Текст!$A$81:$A$92</xm:f>
          </x14:formula1>
          <xm:sqref>A5</xm:sqref>
        </x14:dataValidation>
        <x14:dataValidation type="list" allowBlank="1" showInputMessage="1" showErrorMessage="1" xr:uid="{A0E32CAC-4ADE-440E-8E5E-5B12F500B525}">
          <x14:formula1>
            <xm:f>Текст!$K$75:$K$79</xm:f>
          </x14:formula1>
          <xm:sqref>K5</xm:sqref>
        </x14:dataValidation>
        <x14:dataValidation type="list" allowBlank="1" showInputMessage="1" showErrorMessage="1" xr:uid="{D47E63D9-D181-462C-8EB7-CE1B8EA6C14C}">
          <x14:formula1>
            <xm:f>Текст!$L$75:$L$81</xm:f>
          </x14:formula1>
          <xm:sqref>K8</xm:sqref>
        </x14:dataValidation>
        <x14:dataValidation type="list" allowBlank="1" showInputMessage="1" showErrorMessage="1" xr:uid="{F2EC16AB-2895-4AEB-8C01-0EE74CF6AEEA}">
          <x14:formula1>
            <xm:f>Текст!$M$75:$M$79</xm:f>
          </x14:formula1>
          <xm:sqref>K14</xm:sqref>
        </x14:dataValidation>
        <x14:dataValidation type="list" allowBlank="1" showInputMessage="1" showErrorMessage="1" xr:uid="{E7670DE6-79E0-4878-9B88-CC92D85BB358}">
          <x14:formula1>
            <xm:f>Текст!$N$75:$N$79</xm:f>
          </x14:formula1>
          <xm:sqref>K17</xm:sqref>
        </x14:dataValidation>
        <x14:dataValidation type="list" allowBlank="1" showInputMessage="1" showErrorMessage="1" xr:uid="{2AC87BF4-8C2F-4568-8D16-192D3924BB07}">
          <x14:formula1>
            <xm:f>Текст!$O$75:$O$78</xm:f>
          </x14:formula1>
          <xm:sqref>K11</xm:sqref>
        </x14:dataValidation>
        <x14:dataValidation type="list" allowBlank="1" showInputMessage="1" showErrorMessage="1" xr:uid="{DED09347-58EA-44A9-83BE-FD4029EB87CC}">
          <x14:formula1>
            <xm:f>Текст!$Q$75:$Q$79</xm:f>
          </x14:formula1>
          <xm:sqref>P11 P17</xm:sqref>
        </x14:dataValidation>
        <x14:dataValidation type="list" allowBlank="1" showInputMessage="1" showErrorMessage="1" xr:uid="{B6B2420C-4398-4AE6-8C61-A043CC61937B}">
          <x14:formula1>
            <xm:f>Текст!$L$88:$L$91</xm:f>
          </x14:formula1>
          <xm:sqref>K23</xm:sqref>
        </x14:dataValidation>
        <x14:dataValidation type="list" allowBlank="1" showInputMessage="1" showErrorMessage="1" xr:uid="{D672D8C7-1973-4E81-A8D6-71D2E9390B67}">
          <x14:formula1>
            <xm:f>Текст!$L$93:$L$98</xm:f>
          </x14:formula1>
          <xm:sqref>K26</xm:sqref>
        </x14:dataValidation>
        <x14:dataValidation type="list" allowBlank="1" showInputMessage="1" showErrorMessage="1" xr:uid="{C821A7CB-38F0-42B6-80A6-7F44B63A80C6}">
          <x14:formula1>
            <xm:f>Текст!$P$93:$P$96</xm:f>
          </x14:formula1>
          <xm:sqref>K29</xm:sqref>
        </x14:dataValidation>
        <x14:dataValidation type="list" allowBlank="1" showInputMessage="1" showErrorMessage="1" xr:uid="{1C2B368B-A347-4AA9-8A35-BCC43B834A02}">
          <x14:formula1>
            <xm:f>Текст!L83:L86</xm:f>
          </x14:formula1>
          <xm:sqref>K20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D014-DE6B-430C-9F58-9CCB46967909}">
  <sheetPr codeName="Лист7"/>
  <dimension ref="A1:A3"/>
  <sheetViews>
    <sheetView workbookViewId="0">
      <selection activeCell="B10" sqref="B10"/>
    </sheetView>
  </sheetViews>
  <sheetFormatPr defaultRowHeight="15" x14ac:dyDescent="0.25"/>
  <sheetData>
    <row r="1" spans="1:1" x14ac:dyDescent="0.25">
      <c r="A1" t="s">
        <v>120</v>
      </c>
    </row>
    <row r="2" spans="1:1" x14ac:dyDescent="0.25">
      <c r="A2" t="s">
        <v>376</v>
      </c>
    </row>
    <row r="3" spans="1:1" x14ac:dyDescent="0.25">
      <c r="A3" t="s">
        <v>121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F003C-522D-4DBF-93DC-3BC162B5D916}">
  <sheetPr codeName="Лист8"/>
  <dimension ref="A1:A76"/>
  <sheetViews>
    <sheetView topLeftCell="A22" workbookViewId="0">
      <selection activeCell="C41" sqref="C41"/>
    </sheetView>
  </sheetViews>
  <sheetFormatPr defaultRowHeight="15" x14ac:dyDescent="0.25"/>
  <cols>
    <col min="3" max="3" width="10.28515625" bestFit="1" customWidth="1"/>
  </cols>
  <sheetData>
    <row r="1" spans="1:1" x14ac:dyDescent="0.25">
      <c r="A1" t="s">
        <v>234</v>
      </c>
    </row>
    <row r="2" spans="1:1" x14ac:dyDescent="0.25">
      <c r="A2" t="s">
        <v>234</v>
      </c>
    </row>
    <row r="3" spans="1:1" x14ac:dyDescent="0.25">
      <c r="A3" t="s">
        <v>230</v>
      </c>
    </row>
    <row r="4" spans="1:1" x14ac:dyDescent="0.25">
      <c r="A4" t="s">
        <v>230</v>
      </c>
    </row>
    <row r="5" spans="1:1" x14ac:dyDescent="0.25">
      <c r="A5" t="s">
        <v>235</v>
      </c>
    </row>
    <row r="6" spans="1:1" x14ac:dyDescent="0.25">
      <c r="A6" t="s">
        <v>236</v>
      </c>
    </row>
    <row r="7" spans="1:1" x14ac:dyDescent="0.25">
      <c r="A7" t="s">
        <v>237</v>
      </c>
    </row>
    <row r="8" spans="1:1" x14ac:dyDescent="0.25">
      <c r="A8" t="s">
        <v>238</v>
      </c>
    </row>
    <row r="9" spans="1:1" x14ac:dyDescent="0.25">
      <c r="A9" t="s">
        <v>239</v>
      </c>
    </row>
    <row r="10" spans="1:1" x14ac:dyDescent="0.25">
      <c r="A10" s="10" t="s">
        <v>240</v>
      </c>
    </row>
    <row r="11" spans="1:1" x14ac:dyDescent="0.25">
      <c r="A11" s="10" t="s">
        <v>240</v>
      </c>
    </row>
    <row r="12" spans="1:1" x14ac:dyDescent="0.25">
      <c r="A12" s="10" t="s">
        <v>241</v>
      </c>
    </row>
    <row r="13" spans="1:1" x14ac:dyDescent="0.25">
      <c r="A13" s="10" t="s">
        <v>242</v>
      </c>
    </row>
    <row r="14" spans="1:1" x14ac:dyDescent="0.25">
      <c r="A14" s="10" t="s">
        <v>242</v>
      </c>
    </row>
    <row r="15" spans="1:1" x14ac:dyDescent="0.25">
      <c r="A15" s="10" t="s">
        <v>243</v>
      </c>
    </row>
    <row r="16" spans="1:1" x14ac:dyDescent="0.25">
      <c r="A16" s="10" t="s">
        <v>244</v>
      </c>
    </row>
    <row r="17" spans="1:1" x14ac:dyDescent="0.25">
      <c r="A17" s="10" t="s">
        <v>245</v>
      </c>
    </row>
    <row r="18" spans="1:1" x14ac:dyDescent="0.25">
      <c r="A18" s="10" t="s">
        <v>246</v>
      </c>
    </row>
    <row r="19" spans="1:1" x14ac:dyDescent="0.25">
      <c r="A19" s="10" t="s">
        <v>247</v>
      </c>
    </row>
    <row r="20" spans="1:1" x14ac:dyDescent="0.25">
      <c r="A20" s="10" t="s">
        <v>248</v>
      </c>
    </row>
    <row r="21" spans="1:1" x14ac:dyDescent="0.25">
      <c r="A21" s="10" t="s">
        <v>249</v>
      </c>
    </row>
    <row r="22" spans="1:1" x14ac:dyDescent="0.25">
      <c r="A22" s="10" t="s">
        <v>250</v>
      </c>
    </row>
    <row r="23" spans="1:1" x14ac:dyDescent="0.25">
      <c r="A23" s="10" t="s">
        <v>250</v>
      </c>
    </row>
    <row r="24" spans="1:1" x14ac:dyDescent="0.25">
      <c r="A24" s="10" t="s">
        <v>251</v>
      </c>
    </row>
    <row r="25" spans="1:1" x14ac:dyDescent="0.25">
      <c r="A25" s="10" t="s">
        <v>252</v>
      </c>
    </row>
    <row r="26" spans="1:1" x14ac:dyDescent="0.25">
      <c r="A26" s="10" t="s">
        <v>253</v>
      </c>
    </row>
    <row r="27" spans="1:1" x14ac:dyDescent="0.25">
      <c r="A27" s="10" t="s">
        <v>253</v>
      </c>
    </row>
    <row r="28" spans="1:1" x14ac:dyDescent="0.25">
      <c r="A28" s="10" t="s">
        <v>254</v>
      </c>
    </row>
    <row r="29" spans="1:1" x14ac:dyDescent="0.25">
      <c r="A29" s="10" t="s">
        <v>254</v>
      </c>
    </row>
    <row r="30" spans="1:1" x14ac:dyDescent="0.25">
      <c r="A30" s="10" t="s">
        <v>255</v>
      </c>
    </row>
    <row r="31" spans="1:1" x14ac:dyDescent="0.25">
      <c r="A31" s="10" t="s">
        <v>255</v>
      </c>
    </row>
    <row r="32" spans="1:1" x14ac:dyDescent="0.25">
      <c r="A32" s="10" t="s">
        <v>256</v>
      </c>
    </row>
    <row r="33" spans="1:1" x14ac:dyDescent="0.25">
      <c r="A33" s="10" t="s">
        <v>257</v>
      </c>
    </row>
    <row r="34" spans="1:1" x14ac:dyDescent="0.25">
      <c r="A34" s="10" t="s">
        <v>258</v>
      </c>
    </row>
    <row r="35" spans="1:1" x14ac:dyDescent="0.25">
      <c r="A35" s="10" t="s">
        <v>259</v>
      </c>
    </row>
    <row r="36" spans="1:1" x14ac:dyDescent="0.25">
      <c r="A36" s="10" t="s">
        <v>260</v>
      </c>
    </row>
    <row r="37" spans="1:1" x14ac:dyDescent="0.25">
      <c r="A37" s="10"/>
    </row>
    <row r="38" spans="1:1" x14ac:dyDescent="0.25">
      <c r="A38" s="10"/>
    </row>
    <row r="39" spans="1:1" x14ac:dyDescent="0.25">
      <c r="A39" s="10"/>
    </row>
    <row r="40" spans="1:1" x14ac:dyDescent="0.25">
      <c r="A40" s="10"/>
    </row>
    <row r="41" spans="1:1" x14ac:dyDescent="0.25">
      <c r="A41" s="10"/>
    </row>
    <row r="42" spans="1:1" x14ac:dyDescent="0.25">
      <c r="A42" s="10"/>
    </row>
    <row r="43" spans="1:1" x14ac:dyDescent="0.25">
      <c r="A43" s="10"/>
    </row>
    <row r="44" spans="1:1" x14ac:dyDescent="0.25">
      <c r="A44" s="10"/>
    </row>
    <row r="45" spans="1:1" x14ac:dyDescent="0.25">
      <c r="A45" s="10"/>
    </row>
    <row r="46" spans="1:1" x14ac:dyDescent="0.25">
      <c r="A46" s="10"/>
    </row>
    <row r="47" spans="1:1" x14ac:dyDescent="0.25">
      <c r="A47" s="10"/>
    </row>
    <row r="48" spans="1:1" x14ac:dyDescent="0.25">
      <c r="A48" s="10"/>
    </row>
    <row r="49" spans="1:1" x14ac:dyDescent="0.25">
      <c r="A49" s="10"/>
    </row>
    <row r="50" spans="1:1" x14ac:dyDescent="0.25">
      <c r="A50" s="10"/>
    </row>
    <row r="51" spans="1:1" x14ac:dyDescent="0.25">
      <c r="A51" s="10"/>
    </row>
    <row r="52" spans="1:1" x14ac:dyDescent="0.25">
      <c r="A52" s="10"/>
    </row>
    <row r="53" spans="1:1" x14ac:dyDescent="0.25">
      <c r="A53" s="10"/>
    </row>
    <row r="54" spans="1:1" x14ac:dyDescent="0.25">
      <c r="A54" s="10"/>
    </row>
    <row r="55" spans="1:1" x14ac:dyDescent="0.25">
      <c r="A55" s="10"/>
    </row>
    <row r="56" spans="1:1" x14ac:dyDescent="0.25">
      <c r="A56" s="10"/>
    </row>
    <row r="57" spans="1:1" x14ac:dyDescent="0.25">
      <c r="A57" s="10"/>
    </row>
    <row r="58" spans="1:1" x14ac:dyDescent="0.25">
      <c r="A58" s="10"/>
    </row>
    <row r="59" spans="1:1" x14ac:dyDescent="0.25">
      <c r="A59" s="10"/>
    </row>
    <row r="60" spans="1:1" x14ac:dyDescent="0.25">
      <c r="A60" s="10"/>
    </row>
    <row r="61" spans="1:1" x14ac:dyDescent="0.25">
      <c r="A61" s="10"/>
    </row>
    <row r="62" spans="1:1" x14ac:dyDescent="0.25">
      <c r="A62" s="10"/>
    </row>
    <row r="63" spans="1:1" x14ac:dyDescent="0.25">
      <c r="A63" s="10"/>
    </row>
    <row r="64" spans="1:1" x14ac:dyDescent="0.25">
      <c r="A64" s="10"/>
    </row>
    <row r="65" spans="1:1" x14ac:dyDescent="0.25">
      <c r="A65" s="10"/>
    </row>
    <row r="66" spans="1:1" x14ac:dyDescent="0.25">
      <c r="A66" s="10"/>
    </row>
    <row r="67" spans="1:1" x14ac:dyDescent="0.25">
      <c r="A67" s="10"/>
    </row>
    <row r="68" spans="1:1" x14ac:dyDescent="0.25">
      <c r="A68" s="10"/>
    </row>
    <row r="69" spans="1:1" x14ac:dyDescent="0.25">
      <c r="A69" s="10"/>
    </row>
    <row r="70" spans="1:1" x14ac:dyDescent="0.25">
      <c r="A70" s="10"/>
    </row>
    <row r="71" spans="1:1" x14ac:dyDescent="0.25">
      <c r="A71" s="10"/>
    </row>
    <row r="72" spans="1:1" x14ac:dyDescent="0.25">
      <c r="A72" s="10"/>
    </row>
    <row r="73" spans="1:1" x14ac:dyDescent="0.25">
      <c r="A73" s="10"/>
    </row>
    <row r="74" spans="1:1" x14ac:dyDescent="0.25">
      <c r="A74" s="10"/>
    </row>
    <row r="75" spans="1:1" x14ac:dyDescent="0.25">
      <c r="A75" s="10"/>
    </row>
    <row r="76" spans="1:1" x14ac:dyDescent="0.25">
      <c r="A76" s="10"/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B39EE-5DE4-4AEF-88FA-A82E1CF890AA}">
  <sheetPr codeName="Лист6"/>
  <dimension ref="A1:Z94"/>
  <sheetViews>
    <sheetView topLeftCell="A70" workbookViewId="0">
      <selection activeCell="D93" sqref="D93"/>
    </sheetView>
  </sheetViews>
  <sheetFormatPr defaultRowHeight="15" x14ac:dyDescent="0.25"/>
  <cols>
    <col min="1" max="1" width="14.7109375" customWidth="1"/>
  </cols>
  <sheetData>
    <row r="1" spans="1:26" x14ac:dyDescent="0.25">
      <c r="A1" t="s">
        <v>19</v>
      </c>
      <c r="F1" s="4" t="s">
        <v>184</v>
      </c>
    </row>
    <row r="2" spans="1:26" x14ac:dyDescent="0.25">
      <c r="A2" t="s">
        <v>20</v>
      </c>
      <c r="F2" s="4" t="s">
        <v>185</v>
      </c>
      <c r="G2" s="4" t="s">
        <v>186</v>
      </c>
    </row>
    <row r="3" spans="1:26" x14ac:dyDescent="0.25">
      <c r="A3" t="s">
        <v>21</v>
      </c>
      <c r="F3" s="4" t="s">
        <v>187</v>
      </c>
    </row>
    <row r="4" spans="1:26" x14ac:dyDescent="0.25">
      <c r="A4" t="s">
        <v>22</v>
      </c>
    </row>
    <row r="5" spans="1:26" x14ac:dyDescent="0.25">
      <c r="A5" t="s">
        <v>23</v>
      </c>
    </row>
    <row r="6" spans="1:26" x14ac:dyDescent="0.25">
      <c r="A6" t="s">
        <v>31</v>
      </c>
    </row>
    <row r="9" spans="1:26" x14ac:dyDescent="0.25">
      <c r="A9" s="2" t="s">
        <v>30</v>
      </c>
    </row>
    <row r="10" spans="1:26" x14ac:dyDescent="0.25">
      <c r="A10" s="2" t="s">
        <v>32</v>
      </c>
      <c r="Z10" t="s">
        <v>43</v>
      </c>
    </row>
    <row r="11" spans="1:26" x14ac:dyDescent="0.25">
      <c r="A11" t="s">
        <v>37</v>
      </c>
      <c r="Z11" t="s">
        <v>44</v>
      </c>
    </row>
    <row r="12" spans="1:26" x14ac:dyDescent="0.25">
      <c r="A12" s="2" t="s">
        <v>42</v>
      </c>
      <c r="Z12" t="s">
        <v>45</v>
      </c>
    </row>
    <row r="15" spans="1:26" x14ac:dyDescent="0.25">
      <c r="A15" t="s">
        <v>49</v>
      </c>
    </row>
    <row r="17" spans="1:3" x14ac:dyDescent="0.25">
      <c r="A17" t="s">
        <v>12</v>
      </c>
    </row>
    <row r="18" spans="1:3" x14ac:dyDescent="0.25">
      <c r="A18" s="4" t="s">
        <v>86</v>
      </c>
    </row>
    <row r="19" spans="1:3" x14ac:dyDescent="0.25">
      <c r="A19" t="s">
        <v>18</v>
      </c>
    </row>
    <row r="21" spans="1:3" x14ac:dyDescent="0.25">
      <c r="A21" s="2" t="s">
        <v>8</v>
      </c>
    </row>
    <row r="23" spans="1:3" x14ac:dyDescent="0.25">
      <c r="A23" t="s">
        <v>9</v>
      </c>
    </row>
    <row r="24" spans="1:3" x14ac:dyDescent="0.25">
      <c r="A24" t="s">
        <v>10</v>
      </c>
    </row>
    <row r="25" spans="1:3" x14ac:dyDescent="0.25">
      <c r="A25" t="s">
        <v>11</v>
      </c>
    </row>
    <row r="26" spans="1:3" x14ac:dyDescent="0.25">
      <c r="A26" s="2" t="s">
        <v>13</v>
      </c>
    </row>
    <row r="28" spans="1:3" x14ac:dyDescent="0.25">
      <c r="A28" t="s">
        <v>56</v>
      </c>
    </row>
    <row r="29" spans="1:3" x14ac:dyDescent="0.25">
      <c r="A29" t="s">
        <v>73</v>
      </c>
      <c r="B29" t="s">
        <v>71</v>
      </c>
    </row>
    <row r="30" spans="1:3" x14ac:dyDescent="0.25">
      <c r="A30" t="s">
        <v>76</v>
      </c>
    </row>
    <row r="31" spans="1:3" x14ac:dyDescent="0.25">
      <c r="A31" s="4" t="s">
        <v>107</v>
      </c>
      <c r="B31" s="4" t="s">
        <v>108</v>
      </c>
      <c r="C31" t="s">
        <v>91</v>
      </c>
    </row>
    <row r="33" spans="1:2" x14ac:dyDescent="0.25">
      <c r="A33" t="s">
        <v>78</v>
      </c>
    </row>
    <row r="34" spans="1:2" x14ac:dyDescent="0.25">
      <c r="A34" s="5" t="s">
        <v>89</v>
      </c>
      <c r="B34" t="s">
        <v>90</v>
      </c>
    </row>
    <row r="35" spans="1:2" x14ac:dyDescent="0.25">
      <c r="A35" s="4"/>
    </row>
    <row r="37" spans="1:2" x14ac:dyDescent="0.25">
      <c r="A37" s="6" t="s">
        <v>103</v>
      </c>
    </row>
    <row r="39" spans="1:2" x14ac:dyDescent="0.25">
      <c r="A39" t="s">
        <v>87</v>
      </c>
    </row>
    <row r="41" spans="1:2" x14ac:dyDescent="0.25">
      <c r="A41" s="4" t="s">
        <v>101</v>
      </c>
    </row>
    <row r="42" spans="1:2" x14ac:dyDescent="0.25">
      <c r="A42" s="4" t="s">
        <v>102</v>
      </c>
    </row>
    <row r="44" spans="1:2" x14ac:dyDescent="0.25">
      <c r="A44" s="4" t="s">
        <v>115</v>
      </c>
    </row>
    <row r="45" spans="1:2" x14ac:dyDescent="0.25">
      <c r="A45" s="19" t="s">
        <v>143</v>
      </c>
    </row>
    <row r="47" spans="1:2" x14ac:dyDescent="0.25">
      <c r="A47" s="19" t="s">
        <v>152</v>
      </c>
    </row>
    <row r="48" spans="1:2" x14ac:dyDescent="0.25">
      <c r="A48" s="4" t="s">
        <v>164</v>
      </c>
    </row>
    <row r="49" spans="1:4" x14ac:dyDescent="0.25">
      <c r="A49" s="4" t="s">
        <v>165</v>
      </c>
    </row>
    <row r="51" spans="1:4" x14ac:dyDescent="0.25">
      <c r="A51" s="4" t="s">
        <v>193</v>
      </c>
    </row>
    <row r="54" spans="1:4" x14ac:dyDescent="0.25">
      <c r="A54" s="35" t="s">
        <v>139</v>
      </c>
      <c r="B54" s="35"/>
      <c r="C54" s="35"/>
      <c r="D54" s="35"/>
    </row>
    <row r="56" spans="1:4" x14ac:dyDescent="0.25">
      <c r="A56" t="s">
        <v>131</v>
      </c>
    </row>
    <row r="57" spans="1:4" x14ac:dyDescent="0.25">
      <c r="A57" t="s">
        <v>138</v>
      </c>
    </row>
    <row r="58" spans="1:4" x14ac:dyDescent="0.25">
      <c r="A58" t="s">
        <v>140</v>
      </c>
    </row>
    <row r="59" spans="1:4" x14ac:dyDescent="0.25">
      <c r="A59" t="s">
        <v>141</v>
      </c>
    </row>
    <row r="60" spans="1:4" x14ac:dyDescent="0.25">
      <c r="A60" s="11" t="s">
        <v>142</v>
      </c>
    </row>
    <row r="61" spans="1:4" x14ac:dyDescent="0.25">
      <c r="A61" s="19" t="s">
        <v>144</v>
      </c>
    </row>
    <row r="64" spans="1:4" x14ac:dyDescent="0.25">
      <c r="A64" t="s">
        <v>148</v>
      </c>
    </row>
    <row r="66" spans="1:4" x14ac:dyDescent="0.25">
      <c r="A66" t="s">
        <v>149</v>
      </c>
    </row>
    <row r="69" spans="1:4" x14ac:dyDescent="0.25">
      <c r="A69" t="s">
        <v>154</v>
      </c>
    </row>
    <row r="71" spans="1:4" x14ac:dyDescent="0.25">
      <c r="A71" s="4" t="s">
        <v>163</v>
      </c>
    </row>
    <row r="74" spans="1:4" ht="15.75" x14ac:dyDescent="0.25">
      <c r="A74" s="36" t="s">
        <v>168</v>
      </c>
      <c r="B74" s="36"/>
      <c r="C74" s="36"/>
      <c r="D74" s="36"/>
    </row>
    <row r="76" spans="1:4" x14ac:dyDescent="0.25">
      <c r="A76" s="4" t="s">
        <v>181</v>
      </c>
    </row>
    <row r="78" spans="1:4" x14ac:dyDescent="0.25">
      <c r="A78" s="4" t="s">
        <v>174</v>
      </c>
    </row>
    <row r="79" spans="1:4" x14ac:dyDescent="0.25">
      <c r="A79" t="s">
        <v>188</v>
      </c>
    </row>
    <row r="82" spans="1:2" x14ac:dyDescent="0.25">
      <c r="A82" t="s">
        <v>198</v>
      </c>
    </row>
    <row r="84" spans="1:2" x14ac:dyDescent="0.25">
      <c r="A84" t="s">
        <v>199</v>
      </c>
    </row>
    <row r="86" spans="1:2" x14ac:dyDescent="0.25">
      <c r="A86" t="s">
        <v>231</v>
      </c>
      <c r="B86" t="str">
        <f>IFERROR(IF(VLOOKUP(MID(C2,2,3)+0,тесты!A:A,1,0),"мегафон"),"")</f>
        <v/>
      </c>
    </row>
    <row r="87" spans="1:2" x14ac:dyDescent="0.25">
      <c r="A87" t="s">
        <v>261</v>
      </c>
      <c r="B87" t="str">
        <f>IFERROR(IF(VLOOKUP(MID(C2,2,3)+0,тесты!A:A,1,0),"мегафон"),"")</f>
        <v/>
      </c>
    </row>
    <row r="89" spans="1:2" x14ac:dyDescent="0.25">
      <c r="A89" s="4" t="s">
        <v>322</v>
      </c>
    </row>
    <row r="90" spans="1:2" x14ac:dyDescent="0.25">
      <c r="A90" s="4" t="s">
        <v>324</v>
      </c>
      <c r="B90" t="s">
        <v>323</v>
      </c>
    </row>
    <row r="91" spans="1:2" x14ac:dyDescent="0.25">
      <c r="A91" t="s">
        <v>716</v>
      </c>
    </row>
    <row r="93" spans="1:2" x14ac:dyDescent="0.25">
      <c r="A93" t="s">
        <v>718</v>
      </c>
    </row>
    <row r="94" spans="1:2" x14ac:dyDescent="0.25">
      <c r="A94" t="s">
        <v>719</v>
      </c>
    </row>
  </sheetData>
  <mergeCells count="2">
    <mergeCell ref="A54:D54"/>
    <mergeCell ref="A74:D74"/>
  </mergeCells>
  <pageMargins left="0.7" right="0.7" top="0.75" bottom="0.75" header="0.3" footer="0.3"/>
  <pageSetup paperSize="9" orientation="portrait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T97"/>
  <sheetViews>
    <sheetView topLeftCell="A81" workbookViewId="0">
      <selection activeCell="A91" sqref="A91"/>
    </sheetView>
  </sheetViews>
  <sheetFormatPr defaultRowHeight="15" x14ac:dyDescent="0.25"/>
  <cols>
    <col min="1" max="1" width="19.28515625" customWidth="1"/>
  </cols>
  <sheetData>
    <row r="1" spans="1:14" x14ac:dyDescent="0.25">
      <c r="A1" t="s">
        <v>50</v>
      </c>
      <c r="B1" t="s">
        <v>66</v>
      </c>
      <c r="C1" t="s">
        <v>80</v>
      </c>
      <c r="D1" s="4" t="s">
        <v>93</v>
      </c>
    </row>
    <row r="2" spans="1:14" x14ac:dyDescent="0.25">
      <c r="A2" t="s">
        <v>55</v>
      </c>
      <c r="B2" t="s">
        <v>67</v>
      </c>
      <c r="C2" t="s">
        <v>79</v>
      </c>
    </row>
    <row r="3" spans="1:14" x14ac:dyDescent="0.25">
      <c r="A3" s="4" t="s">
        <v>59</v>
      </c>
      <c r="B3" t="s">
        <v>68</v>
      </c>
      <c r="C3" t="s">
        <v>84</v>
      </c>
    </row>
    <row r="4" spans="1:14" x14ac:dyDescent="0.25">
      <c r="A4" t="s">
        <v>51</v>
      </c>
      <c r="B4" s="2" t="s">
        <v>60</v>
      </c>
      <c r="C4" t="s">
        <v>69</v>
      </c>
      <c r="D4" t="s">
        <v>70</v>
      </c>
    </row>
    <row r="5" spans="1:14" x14ac:dyDescent="0.25">
      <c r="A5" t="s">
        <v>52</v>
      </c>
      <c r="B5" s="2" t="s">
        <v>61</v>
      </c>
    </row>
    <row r="6" spans="1:14" x14ac:dyDescent="0.25">
      <c r="A6" t="s">
        <v>53</v>
      </c>
      <c r="B6" s="2" t="s">
        <v>62</v>
      </c>
      <c r="C6" t="s">
        <v>72</v>
      </c>
      <c r="D6" t="s">
        <v>74</v>
      </c>
      <c r="E6" s="4" t="s">
        <v>75</v>
      </c>
      <c r="F6" t="s">
        <v>81</v>
      </c>
    </row>
    <row r="7" spans="1:14" x14ac:dyDescent="0.25">
      <c r="A7" t="s">
        <v>83</v>
      </c>
      <c r="B7" s="2" t="s">
        <v>82</v>
      </c>
    </row>
    <row r="8" spans="1:14" x14ac:dyDescent="0.25">
      <c r="A8" t="s">
        <v>91</v>
      </c>
      <c r="B8" s="2" t="s">
        <v>92</v>
      </c>
    </row>
    <row r="10" spans="1:14" x14ac:dyDescent="0.25">
      <c r="A10" t="s">
        <v>47</v>
      </c>
    </row>
    <row r="11" spans="1:14" x14ac:dyDescent="0.25">
      <c r="A11" t="s">
        <v>5</v>
      </c>
    </row>
    <row r="12" spans="1:14" x14ac:dyDescent="0.25">
      <c r="A12" t="s">
        <v>4</v>
      </c>
    </row>
    <row r="13" spans="1:14" x14ac:dyDescent="0.25">
      <c r="A13" t="s">
        <v>3</v>
      </c>
    </row>
    <row r="14" spans="1:14" x14ac:dyDescent="0.25">
      <c r="A14" t="s">
        <v>7</v>
      </c>
    </row>
    <row r="16" spans="1:14" x14ac:dyDescent="0.25">
      <c r="A16" s="1" t="s">
        <v>6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8" spans="1:1" x14ac:dyDescent="0.25">
      <c r="A18" t="s">
        <v>16</v>
      </c>
    </row>
    <row r="19" spans="1:1" x14ac:dyDescent="0.25">
      <c r="A19" t="s">
        <v>17</v>
      </c>
    </row>
    <row r="20" spans="1:1" x14ac:dyDescent="0.25">
      <c r="A20" t="s">
        <v>14</v>
      </c>
    </row>
    <row r="21" spans="1:1" x14ac:dyDescent="0.25">
      <c r="A21" t="s">
        <v>15</v>
      </c>
    </row>
    <row r="22" spans="1:1" x14ac:dyDescent="0.25">
      <c r="A22" t="s">
        <v>24</v>
      </c>
    </row>
    <row r="23" spans="1:1" x14ac:dyDescent="0.25">
      <c r="A23" s="2" t="s">
        <v>25</v>
      </c>
    </row>
    <row r="25" spans="1:1" x14ac:dyDescent="0.25">
      <c r="A25" t="s">
        <v>38</v>
      </c>
    </row>
    <row r="27" spans="1:1" x14ac:dyDescent="0.25">
      <c r="A27" t="s">
        <v>39</v>
      </c>
    </row>
    <row r="29" spans="1:1" x14ac:dyDescent="0.25">
      <c r="A29" t="s">
        <v>48</v>
      </c>
    </row>
    <row r="31" spans="1:1" x14ac:dyDescent="0.25">
      <c r="A31" t="s">
        <v>35</v>
      </c>
    </row>
    <row r="32" spans="1:1" x14ac:dyDescent="0.25">
      <c r="A32" t="s">
        <v>34</v>
      </c>
    </row>
    <row r="33" spans="1:4" x14ac:dyDescent="0.25">
      <c r="A33" t="s">
        <v>36</v>
      </c>
    </row>
    <row r="34" spans="1:4" x14ac:dyDescent="0.25">
      <c r="A34" t="s">
        <v>40</v>
      </c>
    </row>
    <row r="35" spans="1:4" x14ac:dyDescent="0.25">
      <c r="A35" t="s">
        <v>46</v>
      </c>
    </row>
    <row r="36" spans="1:4" x14ac:dyDescent="0.25">
      <c r="A36" t="s">
        <v>54</v>
      </c>
    </row>
    <row r="37" spans="1:4" x14ac:dyDescent="0.25">
      <c r="A37" t="s">
        <v>41</v>
      </c>
    </row>
    <row r="39" spans="1:4" x14ac:dyDescent="0.25">
      <c r="A39" t="s">
        <v>26</v>
      </c>
      <c r="B39" t="s">
        <v>63</v>
      </c>
      <c r="C39" t="s">
        <v>64</v>
      </c>
      <c r="D39" t="s">
        <v>65</v>
      </c>
    </row>
    <row r="40" spans="1:4" x14ac:dyDescent="0.25">
      <c r="A40" t="s">
        <v>27</v>
      </c>
    </row>
    <row r="42" spans="1:4" x14ac:dyDescent="0.25">
      <c r="A42" t="s">
        <v>28</v>
      </c>
    </row>
    <row r="43" spans="1:4" x14ac:dyDescent="0.25">
      <c r="A43" t="s">
        <v>29</v>
      </c>
    </row>
    <row r="44" spans="1:4" x14ac:dyDescent="0.25">
      <c r="A44" t="s">
        <v>33</v>
      </c>
    </row>
    <row r="46" spans="1:4" x14ac:dyDescent="0.25">
      <c r="A46" t="s">
        <v>57</v>
      </c>
    </row>
    <row r="47" spans="1:4" x14ac:dyDescent="0.25">
      <c r="A47" t="s">
        <v>58</v>
      </c>
    </row>
    <row r="48" spans="1:4" x14ac:dyDescent="0.25">
      <c r="A48" t="str">
        <f ca="1">"сегодня "&amp;"("&amp;TEXT(TODAY(),"ДД.ММ.ГГГГ")&amp;")"</f>
        <v>сегодня (29.12.2023)</v>
      </c>
    </row>
    <row r="49" spans="1:4" x14ac:dyDescent="0.25">
      <c r="A49" t="s">
        <v>132</v>
      </c>
      <c r="B49" t="s">
        <v>133</v>
      </c>
      <c r="C49" t="s">
        <v>147</v>
      </c>
    </row>
    <row r="51" spans="1:4" x14ac:dyDescent="0.25">
      <c r="A51" t="s">
        <v>85</v>
      </c>
    </row>
    <row r="52" spans="1:4" x14ac:dyDescent="0.25">
      <c r="A52" t="s">
        <v>94</v>
      </c>
    </row>
    <row r="53" spans="1:4" x14ac:dyDescent="0.25">
      <c r="A53" t="s">
        <v>95</v>
      </c>
    </row>
    <row r="54" spans="1:4" x14ac:dyDescent="0.25">
      <c r="A54" t="s">
        <v>96</v>
      </c>
    </row>
    <row r="55" spans="1:4" x14ac:dyDescent="0.25">
      <c r="A55" t="s">
        <v>99</v>
      </c>
      <c r="B55" s="4" t="s">
        <v>97</v>
      </c>
    </row>
    <row r="56" spans="1:4" x14ac:dyDescent="0.25">
      <c r="A56" t="s">
        <v>100</v>
      </c>
      <c r="B56" s="4" t="s">
        <v>91</v>
      </c>
      <c r="C56" t="s">
        <v>106</v>
      </c>
      <c r="D56" s="4" t="s">
        <v>111</v>
      </c>
    </row>
    <row r="57" spans="1:4" x14ac:dyDescent="0.25">
      <c r="A57" t="s">
        <v>105</v>
      </c>
      <c r="B57" s="4" t="s">
        <v>98</v>
      </c>
    </row>
    <row r="58" spans="1:4" x14ac:dyDescent="0.25">
      <c r="A58" t="s">
        <v>104</v>
      </c>
      <c r="B58" s="4" t="s">
        <v>97</v>
      </c>
    </row>
    <row r="59" spans="1:4" x14ac:dyDescent="0.25">
      <c r="B59" s="4"/>
    </row>
    <row r="60" spans="1:4" x14ac:dyDescent="0.25">
      <c r="A60" t="s">
        <v>109</v>
      </c>
      <c r="B60" s="4" t="s">
        <v>110</v>
      </c>
    </row>
    <row r="61" spans="1:4" x14ac:dyDescent="0.25">
      <c r="A61" s="7" t="s">
        <v>112</v>
      </c>
      <c r="B61" s="4" t="s">
        <v>113</v>
      </c>
    </row>
    <row r="62" spans="1:4" x14ac:dyDescent="0.25">
      <c r="A62" s="4" t="s">
        <v>114</v>
      </c>
    </row>
    <row r="63" spans="1:4" x14ac:dyDescent="0.25">
      <c r="A63" s="4" t="s">
        <v>116</v>
      </c>
      <c r="B63" s="4" t="s">
        <v>117</v>
      </c>
    </row>
    <row r="65" spans="1:20" x14ac:dyDescent="0.25">
      <c r="A65" s="4" t="s">
        <v>118</v>
      </c>
    </row>
    <row r="66" spans="1:20" x14ac:dyDescent="0.25">
      <c r="A66" s="4" t="s">
        <v>119</v>
      </c>
    </row>
    <row r="70" spans="1:20" ht="15.75" x14ac:dyDescent="0.25">
      <c r="A70" s="3" t="s">
        <v>122</v>
      </c>
      <c r="B70" s="3" t="s">
        <v>0</v>
      </c>
      <c r="C70" s="3" t="s">
        <v>1</v>
      </c>
      <c r="D70" s="3" t="s">
        <v>123</v>
      </c>
      <c r="E70" s="8" t="s">
        <v>2</v>
      </c>
      <c r="F70" s="8" t="s">
        <v>88</v>
      </c>
      <c r="G70" s="8" t="s">
        <v>125</v>
      </c>
      <c r="H70" s="8" t="s">
        <v>126</v>
      </c>
      <c r="I70" s="8" t="s">
        <v>124</v>
      </c>
      <c r="J70" s="8" t="s">
        <v>77</v>
      </c>
      <c r="K70" s="8" t="s">
        <v>127</v>
      </c>
      <c r="L70" s="8" t="s">
        <v>128</v>
      </c>
      <c r="M70" s="8" t="s">
        <v>129</v>
      </c>
      <c r="N70" s="8" t="s">
        <v>130</v>
      </c>
      <c r="O70" s="3"/>
    </row>
    <row r="73" spans="1:20" ht="18.75" x14ac:dyDescent="0.3">
      <c r="A73" s="37" t="s">
        <v>139</v>
      </c>
      <c r="B73" s="37"/>
      <c r="C73" s="37"/>
      <c r="D73" s="37"/>
      <c r="E73" s="37"/>
      <c r="I73" s="37" t="s">
        <v>168</v>
      </c>
      <c r="J73" s="37"/>
      <c r="K73" s="37"/>
      <c r="L73" s="37"/>
      <c r="M73" s="37"/>
      <c r="N73" s="37"/>
      <c r="O73" s="37"/>
      <c r="P73" s="37"/>
      <c r="Q73" s="37"/>
    </row>
    <row r="75" spans="1:20" x14ac:dyDescent="0.25">
      <c r="A75" t="s">
        <v>136</v>
      </c>
      <c r="B75" t="s">
        <v>160</v>
      </c>
      <c r="K75" t="s">
        <v>132</v>
      </c>
      <c r="L75" t="s">
        <v>172</v>
      </c>
      <c r="M75" t="s">
        <v>176</v>
      </c>
      <c r="N75" t="s">
        <v>182</v>
      </c>
      <c r="O75" t="s">
        <v>179</v>
      </c>
      <c r="Q75" t="s">
        <v>64</v>
      </c>
      <c r="S75" t="str">
        <f>CHAR(10)</f>
        <v xml:space="preserve">
</v>
      </c>
      <c r="T75" t="s">
        <v>211</v>
      </c>
    </row>
    <row r="76" spans="1:20" x14ac:dyDescent="0.25">
      <c r="A76" t="s">
        <v>135</v>
      </c>
      <c r="B76" t="s">
        <v>161</v>
      </c>
      <c r="K76" t="s">
        <v>133</v>
      </c>
      <c r="L76" t="s">
        <v>150</v>
      </c>
      <c r="M76" t="s">
        <v>200</v>
      </c>
      <c r="N76" t="s">
        <v>183</v>
      </c>
      <c r="O76" t="s">
        <v>180</v>
      </c>
      <c r="Q76" t="s">
        <v>63</v>
      </c>
    </row>
    <row r="77" spans="1:20" x14ac:dyDescent="0.25">
      <c r="K77" t="s">
        <v>147</v>
      </c>
      <c r="L77" t="s">
        <v>173</v>
      </c>
      <c r="N77" t="s">
        <v>210</v>
      </c>
      <c r="Q77" t="s">
        <v>208</v>
      </c>
    </row>
    <row r="78" spans="1:20" x14ac:dyDescent="0.25">
      <c r="K78" t="s">
        <v>191</v>
      </c>
      <c r="L78" t="s">
        <v>325</v>
      </c>
      <c r="Q78" t="s">
        <v>209</v>
      </c>
    </row>
    <row r="79" spans="1:20" x14ac:dyDescent="0.25">
      <c r="L79" t="s">
        <v>192</v>
      </c>
    </row>
    <row r="80" spans="1:20" x14ac:dyDescent="0.25">
      <c r="L80" t="s">
        <v>229</v>
      </c>
    </row>
    <row r="81" spans="1:16" x14ac:dyDescent="0.25">
      <c r="A81" t="s">
        <v>157</v>
      </c>
      <c r="C81" t="s">
        <v>150</v>
      </c>
      <c r="L81" t="s">
        <v>207</v>
      </c>
    </row>
    <row r="82" spans="1:16" x14ac:dyDescent="0.25">
      <c r="A82" t="s">
        <v>155</v>
      </c>
      <c r="C82" t="s">
        <v>166</v>
      </c>
    </row>
    <row r="83" spans="1:16" x14ac:dyDescent="0.25">
      <c r="A83" t="s">
        <v>156</v>
      </c>
      <c r="C83" t="s">
        <v>167</v>
      </c>
      <c r="L83" t="s">
        <v>213</v>
      </c>
    </row>
    <row r="84" spans="1:16" x14ac:dyDescent="0.25">
      <c r="A84" t="s">
        <v>189</v>
      </c>
      <c r="C84" t="s">
        <v>190</v>
      </c>
      <c r="L84" t="s">
        <v>214</v>
      </c>
    </row>
    <row r="85" spans="1:16" x14ac:dyDescent="0.25">
      <c r="A85" t="s">
        <v>196</v>
      </c>
      <c r="C85" t="s">
        <v>197</v>
      </c>
    </row>
    <row r="86" spans="1:16" x14ac:dyDescent="0.25">
      <c r="A86" t="s">
        <v>223</v>
      </c>
      <c r="C86" t="s">
        <v>227</v>
      </c>
      <c r="L86" t="s">
        <v>205</v>
      </c>
    </row>
    <row r="87" spans="1:16" x14ac:dyDescent="0.25">
      <c r="A87" t="s">
        <v>228</v>
      </c>
      <c r="C87" t="s">
        <v>325</v>
      </c>
    </row>
    <row r="88" spans="1:16" x14ac:dyDescent="0.25">
      <c r="A88" t="s">
        <v>325</v>
      </c>
      <c r="L88" t="s">
        <v>218</v>
      </c>
    </row>
    <row r="89" spans="1:16" x14ac:dyDescent="0.25">
      <c r="L89" t="s">
        <v>222</v>
      </c>
    </row>
    <row r="90" spans="1:16" x14ac:dyDescent="0.25">
      <c r="L90" t="s">
        <v>319</v>
      </c>
    </row>
    <row r="91" spans="1:16" x14ac:dyDescent="0.25">
      <c r="A91" t="s">
        <v>792</v>
      </c>
      <c r="L91" t="s">
        <v>205</v>
      </c>
    </row>
    <row r="93" spans="1:16" x14ac:dyDescent="0.25">
      <c r="L93" t="s">
        <v>220</v>
      </c>
      <c r="P93" s="22" t="s">
        <v>321</v>
      </c>
    </row>
    <row r="94" spans="1:16" x14ac:dyDescent="0.25">
      <c r="L94" t="s">
        <v>221</v>
      </c>
    </row>
    <row r="95" spans="1:16" x14ac:dyDescent="0.25">
      <c r="L95" t="s">
        <v>207</v>
      </c>
    </row>
    <row r="96" spans="1:16" x14ac:dyDescent="0.25">
      <c r="L96" t="s">
        <v>229</v>
      </c>
    </row>
    <row r="97" spans="12:12" x14ac:dyDescent="0.25">
      <c r="L97" t="s">
        <v>325</v>
      </c>
    </row>
  </sheetData>
  <mergeCells count="2">
    <mergeCell ref="A73:E73"/>
    <mergeCell ref="I73:Q73"/>
  </mergeCells>
  <conditionalFormatting sqref="A70:C70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FCA26-D8FD-444E-90A0-E6D175240628}">
  <sheetPr codeName="Лист11"/>
  <dimension ref="A1:A25"/>
  <sheetViews>
    <sheetView workbookViewId="0">
      <selection activeCell="J25" sqref="J25"/>
    </sheetView>
  </sheetViews>
  <sheetFormatPr defaultRowHeight="15" x14ac:dyDescent="0.25"/>
  <sheetData>
    <row r="1" spans="1:1" x14ac:dyDescent="0.25">
      <c r="A1">
        <v>902</v>
      </c>
    </row>
    <row r="2" spans="1:1" x14ac:dyDescent="0.25">
      <c r="A2">
        <v>904</v>
      </c>
    </row>
    <row r="3" spans="1:1" x14ac:dyDescent="0.25">
      <c r="A3">
        <v>908</v>
      </c>
    </row>
    <row r="4" spans="1:1" x14ac:dyDescent="0.25">
      <c r="A4">
        <v>920</v>
      </c>
    </row>
    <row r="5" spans="1:1" x14ac:dyDescent="0.25">
      <c r="A5">
        <v>921</v>
      </c>
    </row>
    <row r="6" spans="1:1" x14ac:dyDescent="0.25">
      <c r="A6">
        <v>922</v>
      </c>
    </row>
    <row r="7" spans="1:1" x14ac:dyDescent="0.25">
      <c r="A7">
        <v>923</v>
      </c>
    </row>
    <row r="8" spans="1:1" x14ac:dyDescent="0.25">
      <c r="A8">
        <v>924</v>
      </c>
    </row>
    <row r="9" spans="1:1" x14ac:dyDescent="0.25">
      <c r="A9">
        <v>925</v>
      </c>
    </row>
    <row r="10" spans="1:1" x14ac:dyDescent="0.25">
      <c r="A10">
        <v>926</v>
      </c>
    </row>
    <row r="11" spans="1:1" x14ac:dyDescent="0.25">
      <c r="A11">
        <v>927</v>
      </c>
    </row>
    <row r="12" spans="1:1" x14ac:dyDescent="0.25">
      <c r="A12">
        <v>928</v>
      </c>
    </row>
    <row r="13" spans="1:1" x14ac:dyDescent="0.25">
      <c r="A13">
        <v>929</v>
      </c>
    </row>
    <row r="14" spans="1:1" x14ac:dyDescent="0.25">
      <c r="A14">
        <v>930</v>
      </c>
    </row>
    <row r="15" spans="1:1" x14ac:dyDescent="0.25">
      <c r="A15">
        <v>931</v>
      </c>
    </row>
    <row r="16" spans="1:1" x14ac:dyDescent="0.25">
      <c r="A16">
        <v>932</v>
      </c>
    </row>
    <row r="17" spans="1:1" x14ac:dyDescent="0.25">
      <c r="A17">
        <v>933</v>
      </c>
    </row>
    <row r="18" spans="1:1" x14ac:dyDescent="0.25">
      <c r="A18">
        <v>934</v>
      </c>
    </row>
    <row r="19" spans="1:1" x14ac:dyDescent="0.25">
      <c r="A19">
        <v>936</v>
      </c>
    </row>
    <row r="20" spans="1:1" x14ac:dyDescent="0.25">
      <c r="A20">
        <v>937</v>
      </c>
    </row>
    <row r="21" spans="1:1" x14ac:dyDescent="0.25">
      <c r="A21">
        <v>938</v>
      </c>
    </row>
    <row r="22" spans="1:1" x14ac:dyDescent="0.25">
      <c r="A22">
        <v>939</v>
      </c>
    </row>
    <row r="23" spans="1:1" x14ac:dyDescent="0.25">
      <c r="A23">
        <v>950</v>
      </c>
    </row>
    <row r="24" spans="1:1" x14ac:dyDescent="0.25">
      <c r="A24">
        <v>951</v>
      </c>
    </row>
    <row r="25" spans="1:1" x14ac:dyDescent="0.25">
      <c r="A25">
        <v>999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AB42B-4505-4B2C-BF98-8F45CCE292DE}">
  <sheetPr codeName="Лист4" filterMode="1"/>
  <dimension ref="A1:F36"/>
  <sheetViews>
    <sheetView topLeftCell="A6" workbookViewId="0">
      <selection activeCell="A2" sqref="A2:B36"/>
    </sheetView>
  </sheetViews>
  <sheetFormatPr defaultRowHeight="15" x14ac:dyDescent="0.25"/>
  <sheetData>
    <row r="1" spans="1:6" x14ac:dyDescent="0.25">
      <c r="A1" s="24" t="s">
        <v>786</v>
      </c>
      <c r="B1" s="24" t="s">
        <v>787</v>
      </c>
      <c r="C1" s="24" t="s">
        <v>788</v>
      </c>
      <c r="D1" s="24" t="s">
        <v>789</v>
      </c>
      <c r="E1" s="24" t="s">
        <v>790</v>
      </c>
      <c r="F1" s="24" t="s">
        <v>791</v>
      </c>
    </row>
    <row r="2" spans="1:6" x14ac:dyDescent="0.25">
      <c r="A2" t="s">
        <v>722</v>
      </c>
      <c r="B2" t="s">
        <v>723</v>
      </c>
      <c r="C2">
        <v>45182</v>
      </c>
      <c r="D2">
        <v>9459.4</v>
      </c>
      <c r="E2">
        <v>148128.87</v>
      </c>
      <c r="F2" t="s">
        <v>724</v>
      </c>
    </row>
    <row r="3" spans="1:6" x14ac:dyDescent="0.25">
      <c r="A3" t="s">
        <v>725</v>
      </c>
      <c r="B3" t="s">
        <v>726</v>
      </c>
      <c r="C3">
        <v>45182</v>
      </c>
      <c r="D3">
        <v>7275.35</v>
      </c>
      <c r="E3">
        <v>118806.88</v>
      </c>
      <c r="F3" t="s">
        <v>724</v>
      </c>
    </row>
    <row r="4" spans="1:6" x14ac:dyDescent="0.25">
      <c r="A4" t="s">
        <v>727</v>
      </c>
      <c r="B4" t="s">
        <v>728</v>
      </c>
      <c r="C4">
        <v>45182</v>
      </c>
      <c r="D4">
        <v>50900.480000000003</v>
      </c>
      <c r="E4">
        <v>559394.4</v>
      </c>
      <c r="F4" t="s">
        <v>724</v>
      </c>
    </row>
    <row r="5" spans="1:6" x14ac:dyDescent="0.25">
      <c r="A5" t="s">
        <v>729</v>
      </c>
      <c r="B5" t="s">
        <v>730</v>
      </c>
      <c r="C5">
        <v>45182</v>
      </c>
      <c r="D5">
        <v>20013.23</v>
      </c>
      <c r="E5">
        <v>72128.34</v>
      </c>
      <c r="F5" t="s">
        <v>724</v>
      </c>
    </row>
    <row r="6" spans="1:6" x14ac:dyDescent="0.25">
      <c r="A6" t="s">
        <v>731</v>
      </c>
      <c r="B6" t="s">
        <v>732</v>
      </c>
      <c r="C6">
        <v>45182</v>
      </c>
      <c r="D6">
        <v>43398.11</v>
      </c>
      <c r="E6">
        <v>587785.99</v>
      </c>
      <c r="F6" t="s">
        <v>724</v>
      </c>
    </row>
    <row r="7" spans="1:6" x14ac:dyDescent="0.25">
      <c r="A7" t="s">
        <v>733</v>
      </c>
      <c r="B7" t="s">
        <v>734</v>
      </c>
      <c r="C7">
        <v>45182</v>
      </c>
      <c r="D7">
        <v>59832.45</v>
      </c>
      <c r="E7">
        <v>57395.12</v>
      </c>
      <c r="F7" t="s">
        <v>724</v>
      </c>
    </row>
    <row r="8" spans="1:6" x14ac:dyDescent="0.25">
      <c r="A8" t="s">
        <v>735</v>
      </c>
      <c r="B8" t="s">
        <v>736</v>
      </c>
      <c r="C8">
        <v>45182</v>
      </c>
      <c r="D8">
        <v>6410.16</v>
      </c>
      <c r="E8">
        <v>85805.53</v>
      </c>
      <c r="F8" t="s">
        <v>724</v>
      </c>
    </row>
    <row r="9" spans="1:6" hidden="1" x14ac:dyDescent="0.25">
      <c r="A9" t="s">
        <v>737</v>
      </c>
      <c r="B9" t="s">
        <v>738</v>
      </c>
      <c r="C9">
        <v>45182</v>
      </c>
      <c r="D9">
        <v>16242.42</v>
      </c>
      <c r="E9">
        <v>26911.11</v>
      </c>
      <c r="F9" t="s">
        <v>739</v>
      </c>
    </row>
    <row r="10" spans="1:6" x14ac:dyDescent="0.25">
      <c r="A10" t="s">
        <v>740</v>
      </c>
      <c r="B10" t="s">
        <v>741</v>
      </c>
      <c r="C10">
        <v>45182</v>
      </c>
      <c r="D10">
        <v>50900.480000000003</v>
      </c>
      <c r="E10">
        <v>559394.4</v>
      </c>
      <c r="F10" t="s">
        <v>724</v>
      </c>
    </row>
    <row r="11" spans="1:6" x14ac:dyDescent="0.25">
      <c r="A11" t="s">
        <v>742</v>
      </c>
      <c r="B11" t="s">
        <v>743</v>
      </c>
      <c r="C11">
        <v>45182</v>
      </c>
      <c r="D11">
        <v>50864.25</v>
      </c>
      <c r="E11">
        <v>558996.21</v>
      </c>
      <c r="F11" t="s">
        <v>724</v>
      </c>
    </row>
    <row r="12" spans="1:6" x14ac:dyDescent="0.25">
      <c r="A12" t="s">
        <v>744</v>
      </c>
      <c r="B12" t="s">
        <v>745</v>
      </c>
      <c r="C12">
        <v>45182</v>
      </c>
      <c r="D12">
        <v>16677.689999999999</v>
      </c>
      <c r="E12">
        <v>60107.040000000001</v>
      </c>
      <c r="F12" t="s">
        <v>724</v>
      </c>
    </row>
    <row r="13" spans="1:6" x14ac:dyDescent="0.25">
      <c r="A13" t="s">
        <v>746</v>
      </c>
      <c r="B13" t="s">
        <v>747</v>
      </c>
      <c r="C13">
        <v>45182</v>
      </c>
      <c r="D13">
        <v>12756.77</v>
      </c>
      <c r="E13">
        <v>168244.8</v>
      </c>
      <c r="F13" t="s">
        <v>724</v>
      </c>
    </row>
    <row r="14" spans="1:6" hidden="1" x14ac:dyDescent="0.25">
      <c r="A14" t="s">
        <v>559</v>
      </c>
      <c r="B14" t="s">
        <v>560</v>
      </c>
      <c r="C14">
        <v>45182</v>
      </c>
      <c r="D14">
        <v>14494.18</v>
      </c>
      <c r="E14">
        <v>102744.52</v>
      </c>
      <c r="F14" t="s">
        <v>748</v>
      </c>
    </row>
    <row r="15" spans="1:6" x14ac:dyDescent="0.25">
      <c r="A15" t="s">
        <v>749</v>
      </c>
      <c r="B15" t="s">
        <v>750</v>
      </c>
      <c r="C15">
        <v>45183</v>
      </c>
      <c r="D15">
        <v>30217.23</v>
      </c>
      <c r="E15">
        <v>234075.74</v>
      </c>
      <c r="F15" t="s">
        <v>724</v>
      </c>
    </row>
    <row r="16" spans="1:6" hidden="1" x14ac:dyDescent="0.25">
      <c r="A16" t="s">
        <v>751</v>
      </c>
      <c r="B16" t="s">
        <v>752</v>
      </c>
      <c r="C16">
        <v>45183</v>
      </c>
      <c r="D16">
        <v>41342.53</v>
      </c>
      <c r="E16">
        <v>540292.54</v>
      </c>
      <c r="F16" t="s">
        <v>739</v>
      </c>
    </row>
    <row r="17" spans="1:6" x14ac:dyDescent="0.25">
      <c r="A17" t="s">
        <v>753</v>
      </c>
      <c r="B17" t="s">
        <v>754</v>
      </c>
      <c r="C17">
        <v>45183</v>
      </c>
      <c r="D17">
        <v>10720.54</v>
      </c>
      <c r="E17">
        <v>96858.15</v>
      </c>
      <c r="F17" t="s">
        <v>724</v>
      </c>
    </row>
    <row r="18" spans="1:6" x14ac:dyDescent="0.25">
      <c r="A18" t="s">
        <v>755</v>
      </c>
      <c r="B18" t="s">
        <v>756</v>
      </c>
      <c r="C18">
        <v>45183</v>
      </c>
      <c r="D18">
        <v>7333.14</v>
      </c>
      <c r="E18">
        <v>98160.13</v>
      </c>
      <c r="F18" t="s">
        <v>724</v>
      </c>
    </row>
    <row r="19" spans="1:6" hidden="1" x14ac:dyDescent="0.25">
      <c r="A19" t="s">
        <v>717</v>
      </c>
      <c r="B19" t="s">
        <v>757</v>
      </c>
      <c r="C19">
        <v>45183</v>
      </c>
      <c r="D19">
        <v>22630.84</v>
      </c>
      <c r="E19">
        <v>254968.95</v>
      </c>
      <c r="F19" t="s">
        <v>748</v>
      </c>
    </row>
    <row r="20" spans="1:6" x14ac:dyDescent="0.25">
      <c r="A20" t="s">
        <v>758</v>
      </c>
      <c r="B20" t="s">
        <v>759</v>
      </c>
      <c r="C20">
        <v>45183</v>
      </c>
      <c r="D20">
        <v>15874.58</v>
      </c>
      <c r="E20">
        <v>230753.49</v>
      </c>
      <c r="F20" t="s">
        <v>724</v>
      </c>
    </row>
    <row r="21" spans="1:6" x14ac:dyDescent="0.25">
      <c r="A21" t="s">
        <v>760</v>
      </c>
      <c r="B21" t="s">
        <v>761</v>
      </c>
      <c r="C21">
        <v>45183</v>
      </c>
      <c r="D21">
        <v>14993.72</v>
      </c>
      <c r="E21">
        <v>126330.01</v>
      </c>
      <c r="F21" t="s">
        <v>724</v>
      </c>
    </row>
    <row r="22" spans="1:6" hidden="1" x14ac:dyDescent="0.25">
      <c r="A22" t="s">
        <v>762</v>
      </c>
      <c r="B22" t="s">
        <v>763</v>
      </c>
      <c r="C22">
        <v>45183</v>
      </c>
      <c r="D22">
        <v>14533.41</v>
      </c>
      <c r="E22">
        <v>238191.12</v>
      </c>
      <c r="F22" t="s">
        <v>748</v>
      </c>
    </row>
    <row r="23" spans="1:6" x14ac:dyDescent="0.25">
      <c r="A23" t="s">
        <v>764</v>
      </c>
      <c r="B23" t="s">
        <v>765</v>
      </c>
      <c r="C23">
        <v>45183</v>
      </c>
      <c r="D23">
        <v>18185.09</v>
      </c>
      <c r="E23">
        <v>283315.93</v>
      </c>
      <c r="F23" t="s">
        <v>724</v>
      </c>
    </row>
    <row r="24" spans="1:6" hidden="1" x14ac:dyDescent="0.25">
      <c r="A24" t="s">
        <v>766</v>
      </c>
      <c r="B24" t="s">
        <v>767</v>
      </c>
      <c r="C24">
        <v>45183</v>
      </c>
      <c r="D24">
        <v>15769.13</v>
      </c>
      <c r="E24">
        <v>146529.69</v>
      </c>
      <c r="F24" t="s">
        <v>748</v>
      </c>
    </row>
    <row r="25" spans="1:6" x14ac:dyDescent="0.25">
      <c r="A25" t="s">
        <v>768</v>
      </c>
      <c r="B25" t="s">
        <v>769</v>
      </c>
      <c r="C25">
        <v>45184</v>
      </c>
      <c r="D25">
        <v>7013.92</v>
      </c>
      <c r="E25">
        <v>35453.75</v>
      </c>
      <c r="F25" t="s">
        <v>724</v>
      </c>
    </row>
    <row r="26" spans="1:6" x14ac:dyDescent="0.25">
      <c r="A26" t="s">
        <v>770</v>
      </c>
      <c r="B26" t="s">
        <v>771</v>
      </c>
      <c r="C26">
        <v>45184</v>
      </c>
      <c r="D26">
        <v>16515.23</v>
      </c>
      <c r="E26">
        <v>232569.46</v>
      </c>
      <c r="F26" t="s">
        <v>724</v>
      </c>
    </row>
    <row r="27" spans="1:6" x14ac:dyDescent="0.25">
      <c r="A27" t="s">
        <v>772</v>
      </c>
      <c r="B27" t="s">
        <v>773</v>
      </c>
      <c r="C27">
        <v>45184</v>
      </c>
      <c r="D27">
        <v>7549.99</v>
      </c>
      <c r="E27">
        <v>78922.95</v>
      </c>
      <c r="F27" t="s">
        <v>724</v>
      </c>
    </row>
    <row r="28" spans="1:6" x14ac:dyDescent="0.25">
      <c r="A28" t="s">
        <v>774</v>
      </c>
      <c r="B28" t="s">
        <v>775</v>
      </c>
      <c r="C28">
        <v>45184</v>
      </c>
      <c r="D28">
        <v>28318.61</v>
      </c>
      <c r="E28">
        <v>97201.7</v>
      </c>
      <c r="F28" t="s">
        <v>724</v>
      </c>
    </row>
    <row r="29" spans="1:6" x14ac:dyDescent="0.25">
      <c r="A29" t="s">
        <v>776</v>
      </c>
      <c r="B29" t="s">
        <v>777</v>
      </c>
      <c r="C29">
        <v>45184</v>
      </c>
      <c r="D29">
        <v>23751.89</v>
      </c>
      <c r="E29">
        <v>268196.67</v>
      </c>
      <c r="F29" t="s">
        <v>724</v>
      </c>
    </row>
    <row r="30" spans="1:6" hidden="1" x14ac:dyDescent="0.25">
      <c r="A30" t="s">
        <v>720</v>
      </c>
      <c r="B30" t="s">
        <v>721</v>
      </c>
      <c r="C30">
        <v>45184</v>
      </c>
      <c r="D30">
        <v>7302.15</v>
      </c>
      <c r="E30">
        <v>0</v>
      </c>
      <c r="F30" t="s">
        <v>748</v>
      </c>
    </row>
    <row r="31" spans="1:6" x14ac:dyDescent="0.25">
      <c r="A31" t="s">
        <v>778</v>
      </c>
      <c r="B31" t="s">
        <v>779</v>
      </c>
      <c r="C31">
        <v>45184</v>
      </c>
      <c r="D31">
        <v>5820.28</v>
      </c>
      <c r="E31">
        <v>96616.89</v>
      </c>
      <c r="F31" t="s">
        <v>724</v>
      </c>
    </row>
    <row r="32" spans="1:6" x14ac:dyDescent="0.25">
      <c r="A32" t="s">
        <v>780</v>
      </c>
      <c r="B32" t="s">
        <v>781</v>
      </c>
      <c r="C32">
        <v>45184</v>
      </c>
      <c r="D32">
        <v>10102.36</v>
      </c>
      <c r="E32">
        <v>157050.59</v>
      </c>
      <c r="F32" t="s">
        <v>724</v>
      </c>
    </row>
    <row r="33" spans="1:6" x14ac:dyDescent="0.25">
      <c r="A33" t="s">
        <v>579</v>
      </c>
      <c r="B33" t="s">
        <v>580</v>
      </c>
      <c r="C33">
        <v>45184</v>
      </c>
      <c r="D33">
        <v>9647.94</v>
      </c>
      <c r="E33">
        <v>144446.07</v>
      </c>
      <c r="F33" t="s">
        <v>724</v>
      </c>
    </row>
    <row r="34" spans="1:6" x14ac:dyDescent="0.25">
      <c r="A34" t="s">
        <v>593</v>
      </c>
      <c r="B34" t="s">
        <v>594</v>
      </c>
      <c r="C34">
        <v>45184</v>
      </c>
      <c r="D34">
        <v>8794.44</v>
      </c>
      <c r="E34">
        <v>62452.81</v>
      </c>
      <c r="F34" t="s">
        <v>724</v>
      </c>
    </row>
    <row r="35" spans="1:6" x14ac:dyDescent="0.25">
      <c r="A35" t="s">
        <v>782</v>
      </c>
      <c r="B35" t="s">
        <v>783</v>
      </c>
      <c r="C35">
        <v>45184</v>
      </c>
      <c r="D35">
        <v>10670.52</v>
      </c>
      <c r="E35">
        <v>99371.75</v>
      </c>
      <c r="F35" t="s">
        <v>724</v>
      </c>
    </row>
    <row r="36" spans="1:6" x14ac:dyDescent="0.25">
      <c r="A36" t="s">
        <v>784</v>
      </c>
      <c r="B36" t="s">
        <v>785</v>
      </c>
      <c r="C36">
        <v>45184</v>
      </c>
      <c r="D36">
        <v>3820.49</v>
      </c>
      <c r="E36">
        <v>25272.69</v>
      </c>
      <c r="F36" t="s">
        <v>724</v>
      </c>
    </row>
  </sheetData>
  <autoFilter ref="A1:F36" xr:uid="{669AB42B-4505-4B2C-BF98-8F45CCE292DE}">
    <filterColumn colId="5">
      <filters>
        <filter val="грядет"/>
      </filters>
    </filterColumn>
  </autoFilter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0E0D97-4BED-45E2-941B-D1099F215FB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23</vt:i4>
      </vt:variant>
    </vt:vector>
  </HeadingPairs>
  <TitlesOfParts>
    <vt:vector size="33" baseType="lpstr">
      <vt:lpstr>Пени</vt:lpstr>
      <vt:lpstr>Email</vt:lpstr>
      <vt:lpstr>WA</vt:lpstr>
      <vt:lpstr>interface</vt:lpstr>
      <vt:lpstr>не звоним</vt:lpstr>
      <vt:lpstr>оплата</vt:lpstr>
      <vt:lpstr>xforms</vt:lpstr>
      <vt:lpstr>Текст</vt:lpstr>
      <vt:lpstr>тесты</vt:lpstr>
      <vt:lpstr>разное</vt:lpstr>
      <vt:lpstr>адрес</vt:lpstr>
      <vt:lpstr>ВАдоп1</vt:lpstr>
      <vt:lpstr>ВАдоп2</vt:lpstr>
      <vt:lpstr>ВАдоп3</vt:lpstr>
      <vt:lpstr>ВАпродл</vt:lpstr>
      <vt:lpstr>выгода</vt:lpstr>
      <vt:lpstr>действ2</vt:lpstr>
      <vt:lpstr>действДО</vt:lpstr>
      <vt:lpstr>договор</vt:lpstr>
      <vt:lpstr>ДОдоп</vt:lpstr>
      <vt:lpstr>ИО</vt:lpstr>
      <vt:lpstr>лого</vt:lpstr>
      <vt:lpstr>Меил_до</vt:lpstr>
      <vt:lpstr>МеилТема1</vt:lpstr>
      <vt:lpstr>МеилТема2</vt:lpstr>
      <vt:lpstr>оплата</vt:lpstr>
      <vt:lpstr>перСтр</vt:lpstr>
      <vt:lpstr>Приветствие</vt:lpstr>
      <vt:lpstr>СМС_до</vt:lpstr>
      <vt:lpstr>СМСшапка</vt:lpstr>
      <vt:lpstr>текстЧ1</vt:lpstr>
      <vt:lpstr>текстЧ2</vt:lpstr>
      <vt:lpstr>Шапка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2023-12-29T09:08:45Z</dcterms:modified>
</cp:coreProperties>
</file>